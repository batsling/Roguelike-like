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CA1440-471A-41A2-A2E4-FF78624F644E}"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8" l="1"/>
  <c r="B21" i="18"/>
  <c r="D939" i="47"/>
  <c r="B8" i="18"/>
  <c r="E857" i="1"/>
  <c r="E570" i="1"/>
  <c r="E497" i="1"/>
  <c r="E842" i="1"/>
  <c r="E752" i="1"/>
  <c r="E210" i="1"/>
  <c r="E602" i="1"/>
  <c r="E600" i="1"/>
  <c r="E615" i="1"/>
  <c r="E123" i="1"/>
  <c r="E307" i="1"/>
  <c r="E412" i="1"/>
  <c r="E84" i="1"/>
  <c r="E577" i="1"/>
  <c r="E419" i="1"/>
  <c r="E762" i="1"/>
  <c r="E152" i="1"/>
  <c r="E676" i="1"/>
  <c r="E730" i="1"/>
  <c r="E453" i="1"/>
  <c r="E212" i="1"/>
  <c r="E554" i="1"/>
  <c r="E147" i="1"/>
  <c r="E79" i="1"/>
  <c r="E716" i="1"/>
  <c r="E312" i="1"/>
  <c r="E645" i="1"/>
  <c r="E443" i="1"/>
  <c r="E208" i="1"/>
  <c r="E718" i="1"/>
  <c r="D718" i="1"/>
  <c r="E673" i="1"/>
  <c r="D673" i="1"/>
  <c r="D155" i="1"/>
  <c r="E750" i="1"/>
  <c r="D750" i="1"/>
  <c r="E221" i="1"/>
  <c r="D221" i="1"/>
  <c r="E814" i="1"/>
  <c r="D814" i="1"/>
  <c r="E571" i="1"/>
  <c r="E850" i="1"/>
  <c r="E27" i="1"/>
  <c r="E734" i="1"/>
  <c r="E605" i="1"/>
  <c r="E757" i="1"/>
  <c r="E428" i="1"/>
  <c r="D571" i="1"/>
  <c r="D850" i="1"/>
  <c r="D27" i="1"/>
  <c r="D734" i="1"/>
  <c r="D605" i="1"/>
  <c r="D757" i="1"/>
  <c r="D428" i="1"/>
  <c r="E434" i="1"/>
  <c r="D434" i="1"/>
  <c r="E398" i="1"/>
  <c r="D398" i="1"/>
  <c r="E249" i="1"/>
  <c r="D249" i="1"/>
  <c r="E415" i="1"/>
  <c r="D415" i="1"/>
  <c r="E828" i="1"/>
  <c r="D828" i="1"/>
  <c r="E430" i="1"/>
  <c r="D430" i="1"/>
  <c r="E197" i="1"/>
  <c r="D197" i="1"/>
  <c r="E65" i="1"/>
  <c r="D65" i="1"/>
  <c r="E705" i="1"/>
  <c r="D705" i="1"/>
  <c r="A868" i="47"/>
  <c r="D868" i="47" s="1"/>
  <c r="A867" i="47"/>
  <c r="D867" i="47" s="1"/>
  <c r="E595" i="1"/>
  <c r="D595" i="1"/>
  <c r="E690" i="1"/>
  <c r="D690" i="1"/>
  <c r="E813" i="1"/>
  <c r="D813" i="1"/>
  <c r="E633" i="1"/>
  <c r="D633" i="1"/>
  <c r="D201" i="1"/>
  <c r="E614" i="1"/>
  <c r="D614" i="1"/>
  <c r="E563" i="1"/>
  <c r="D563" i="1"/>
  <c r="E622" i="1"/>
  <c r="D622" i="1"/>
  <c r="E18" i="1"/>
  <c r="D18" i="1"/>
  <c r="E359" i="1"/>
  <c r="D359" i="1"/>
  <c r="E735" i="1"/>
  <c r="D735" i="1"/>
  <c r="E885" i="1"/>
  <c r="D885" i="1"/>
  <c r="E242" i="1"/>
  <c r="D242" i="1"/>
  <c r="E173" i="1"/>
  <c r="D173" i="1"/>
  <c r="E103" i="1"/>
  <c r="D103" i="1"/>
  <c r="E555" i="1"/>
  <c r="D555" i="1"/>
  <c r="E349" i="1"/>
  <c r="D349" i="1"/>
  <c r="E858" i="1"/>
  <c r="D858" i="1"/>
  <c r="E574" i="1"/>
  <c r="D574"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D949" i="47" s="1"/>
  <c r="U948" i="47"/>
  <c r="T948" i="47"/>
  <c r="A948" i="47"/>
  <c r="K948" i="47" s="1"/>
  <c r="U947" i="47"/>
  <c r="T947" i="47"/>
  <c r="B947" i="47"/>
  <c r="A947" i="47"/>
  <c r="D947" i="47" s="1"/>
  <c r="U946" i="47"/>
  <c r="T946" i="47"/>
  <c r="A946" i="47"/>
  <c r="I946" i="47" s="1"/>
  <c r="U945" i="47"/>
  <c r="T945" i="47"/>
  <c r="A945" i="47"/>
  <c r="O945" i="47" s="1"/>
  <c r="U944" i="47"/>
  <c r="T944" i="47"/>
  <c r="I944" i="47"/>
  <c r="A944" i="47"/>
  <c r="K944" i="47" s="1"/>
  <c r="U943" i="47"/>
  <c r="T943" i="47"/>
  <c r="A943" i="47"/>
  <c r="M943" i="47" s="1"/>
  <c r="U942" i="47"/>
  <c r="T942" i="47"/>
  <c r="A942" i="47"/>
  <c r="P942" i="47" s="1"/>
  <c r="Q942" i="47" s="1"/>
  <c r="U941" i="47"/>
  <c r="T941" i="47"/>
  <c r="A941" i="47"/>
  <c r="O941" i="47" s="1"/>
  <c r="U940" i="47"/>
  <c r="T940" i="47"/>
  <c r="A940" i="47"/>
  <c r="D940" i="47" s="1"/>
  <c r="U939" i="47"/>
  <c r="T939" i="47"/>
  <c r="A939" i="47"/>
  <c r="G939" i="47" s="1"/>
  <c r="U938" i="47"/>
  <c r="T938" i="47"/>
  <c r="A938" i="47"/>
  <c r="P938" i="47" s="1"/>
  <c r="Q938" i="47" s="1"/>
  <c r="U937" i="47"/>
  <c r="T937" i="47"/>
  <c r="A937" i="47"/>
  <c r="E937" i="47" s="1"/>
  <c r="U936" i="47"/>
  <c r="T936" i="47"/>
  <c r="A936" i="47"/>
  <c r="K936" i="47" s="1"/>
  <c r="U935" i="47"/>
  <c r="T935" i="47"/>
  <c r="A935" i="47"/>
  <c r="M935" i="47" s="1"/>
  <c r="U934" i="47"/>
  <c r="T934" i="47"/>
  <c r="A934" i="47"/>
  <c r="M934" i="47" s="1"/>
  <c r="U933" i="47"/>
  <c r="T933" i="47"/>
  <c r="A933" i="47"/>
  <c r="D933" i="47" s="1"/>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A926" i="47"/>
  <c r="C926" i="47" s="1"/>
  <c r="U925" i="47"/>
  <c r="T925" i="47"/>
  <c r="A925" i="47"/>
  <c r="D925" i="47" s="1"/>
  <c r="U924" i="47"/>
  <c r="T924" i="47"/>
  <c r="A924" i="47"/>
  <c r="D924" i="47" s="1"/>
  <c r="U923" i="47"/>
  <c r="T923" i="47"/>
  <c r="A923" i="47"/>
  <c r="D923" i="47" s="1"/>
  <c r="U922" i="47"/>
  <c r="T922" i="47"/>
  <c r="A922" i="47"/>
  <c r="D922" i="47" s="1"/>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6" i="1"/>
  <c r="D856" i="1"/>
  <c r="E855" i="1"/>
  <c r="D855" i="1"/>
  <c r="E854" i="1"/>
  <c r="D854" i="1"/>
  <c r="E853" i="1"/>
  <c r="D853" i="1"/>
  <c r="E852" i="1"/>
  <c r="D852" i="1"/>
  <c r="E851" i="1"/>
  <c r="D851" i="1"/>
  <c r="E849" i="1"/>
  <c r="D849" i="1"/>
  <c r="E848" i="1"/>
  <c r="D848" i="1"/>
  <c r="E847" i="1"/>
  <c r="D847" i="1"/>
  <c r="E846" i="1"/>
  <c r="D846" i="1"/>
  <c r="E845" i="1"/>
  <c r="D845" i="1"/>
  <c r="E844" i="1"/>
  <c r="D844" i="1"/>
  <c r="E843" i="1"/>
  <c r="D843"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1" i="1"/>
  <c r="D761" i="1"/>
  <c r="E760" i="1"/>
  <c r="E759" i="1"/>
  <c r="D759" i="1"/>
  <c r="E758" i="1"/>
  <c r="D758" i="1"/>
  <c r="E756" i="1"/>
  <c r="D756" i="1"/>
  <c r="E755" i="1"/>
  <c r="D755" i="1"/>
  <c r="E754" i="1"/>
  <c r="D754" i="1"/>
  <c r="E753" i="1"/>
  <c r="D753" i="1"/>
  <c r="E751" i="1"/>
  <c r="D751"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3" i="1"/>
  <c r="D733" i="1"/>
  <c r="E732" i="1"/>
  <c r="D732" i="1"/>
  <c r="E731" i="1"/>
  <c r="D731" i="1"/>
  <c r="E729" i="1"/>
  <c r="D729" i="1"/>
  <c r="E728" i="1"/>
  <c r="D728" i="1"/>
  <c r="E727" i="1"/>
  <c r="D727" i="1"/>
  <c r="E726" i="1"/>
  <c r="D726" i="1"/>
  <c r="E725" i="1"/>
  <c r="E724" i="1"/>
  <c r="D724" i="1"/>
  <c r="E723" i="1"/>
  <c r="D723" i="1"/>
  <c r="E722" i="1"/>
  <c r="D722" i="1"/>
  <c r="E721" i="1"/>
  <c r="D721" i="1"/>
  <c r="E720" i="1"/>
  <c r="D720" i="1"/>
  <c r="E719" i="1"/>
  <c r="D719" i="1"/>
  <c r="E717" i="1"/>
  <c r="D717" i="1"/>
  <c r="E715" i="1"/>
  <c r="D715" i="1"/>
  <c r="E714" i="1"/>
  <c r="D714" i="1"/>
  <c r="E713" i="1"/>
  <c r="D713" i="1"/>
  <c r="E712" i="1"/>
  <c r="D712" i="1"/>
  <c r="E711" i="1"/>
  <c r="D711" i="1"/>
  <c r="E710" i="1"/>
  <c r="D710" i="1"/>
  <c r="E709" i="1"/>
  <c r="D709" i="1"/>
  <c r="E708" i="1"/>
  <c r="D708" i="1"/>
  <c r="E707" i="1"/>
  <c r="D707" i="1"/>
  <c r="E706" i="1"/>
  <c r="D706"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5" i="1"/>
  <c r="D675" i="1"/>
  <c r="E674" i="1"/>
  <c r="D674"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4" i="1"/>
  <c r="D644" i="1"/>
  <c r="E643" i="1"/>
  <c r="D643" i="1"/>
  <c r="E642" i="1"/>
  <c r="D642" i="1"/>
  <c r="E641" i="1"/>
  <c r="D641" i="1"/>
  <c r="E640" i="1"/>
  <c r="D640" i="1"/>
  <c r="E639" i="1"/>
  <c r="D639" i="1"/>
  <c r="E638" i="1"/>
  <c r="D638" i="1"/>
  <c r="E637" i="1"/>
  <c r="D637" i="1"/>
  <c r="E636" i="1"/>
  <c r="D636" i="1"/>
  <c r="E635" i="1"/>
  <c r="D635" i="1"/>
  <c r="E634" i="1"/>
  <c r="D634" i="1"/>
  <c r="E632" i="1"/>
  <c r="D632" i="1"/>
  <c r="E631" i="1"/>
  <c r="D631" i="1"/>
  <c r="E630" i="1"/>
  <c r="D630" i="1"/>
  <c r="E629" i="1"/>
  <c r="D629" i="1"/>
  <c r="E628" i="1"/>
  <c r="D628" i="1"/>
  <c r="E627" i="1"/>
  <c r="D627" i="1"/>
  <c r="E626" i="1"/>
  <c r="D626" i="1"/>
  <c r="E625" i="1"/>
  <c r="D625" i="1"/>
  <c r="E624" i="1"/>
  <c r="D624" i="1"/>
  <c r="E623" i="1"/>
  <c r="D623" i="1"/>
  <c r="E621" i="1"/>
  <c r="D621" i="1"/>
  <c r="E620" i="1"/>
  <c r="D620" i="1"/>
  <c r="E619" i="1"/>
  <c r="D619" i="1"/>
  <c r="E618" i="1"/>
  <c r="D618" i="1"/>
  <c r="E617" i="1"/>
  <c r="D617" i="1"/>
  <c r="E616" i="1"/>
  <c r="D616" i="1"/>
  <c r="E613" i="1"/>
  <c r="D613" i="1"/>
  <c r="E612" i="1"/>
  <c r="D612" i="1"/>
  <c r="E611" i="1"/>
  <c r="D611" i="1"/>
  <c r="E610" i="1"/>
  <c r="D610" i="1"/>
  <c r="E609" i="1"/>
  <c r="D609" i="1"/>
  <c r="E608" i="1"/>
  <c r="E607" i="1"/>
  <c r="D607" i="1"/>
  <c r="E606" i="1"/>
  <c r="D606" i="1"/>
  <c r="E604" i="1"/>
  <c r="D604" i="1"/>
  <c r="E603" i="1"/>
  <c r="D603" i="1"/>
  <c r="E601" i="1"/>
  <c r="D601" i="1"/>
  <c r="E599" i="1"/>
  <c r="D599" i="1"/>
  <c r="E598" i="1"/>
  <c r="D598" i="1"/>
  <c r="E597" i="1"/>
  <c r="D597" i="1"/>
  <c r="E596" i="1"/>
  <c r="D596"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6" i="1"/>
  <c r="D576" i="1"/>
  <c r="E575" i="1"/>
  <c r="D575" i="1"/>
  <c r="E573" i="1"/>
  <c r="D573" i="1"/>
  <c r="E572" i="1"/>
  <c r="D572"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416" i="47" l="1"/>
  <c r="D545" i="47"/>
  <c r="D684" i="47"/>
  <c r="D392" i="47"/>
  <c r="D36" i="47"/>
  <c r="D878" i="47"/>
  <c r="D817" i="47"/>
  <c r="D390" i="47"/>
  <c r="D891" i="47"/>
  <c r="D873" i="47"/>
  <c r="D51" i="47"/>
  <c r="D457" i="47"/>
  <c r="D214" i="47"/>
  <c r="D253" i="47"/>
  <c r="D849" i="47"/>
  <c r="D777" i="47"/>
  <c r="D50" i="47"/>
  <c r="D200" i="47"/>
  <c r="D408" i="47"/>
  <c r="D851" i="47"/>
  <c r="D575" i="47"/>
  <c r="D343" i="47"/>
  <c r="D122" i="47"/>
  <c r="D508" i="47"/>
  <c r="D628" i="47"/>
  <c r="D221" i="47"/>
  <c r="D208" i="47"/>
  <c r="D88" i="47"/>
  <c r="D385" i="47"/>
  <c r="D27" i="47"/>
  <c r="D185" i="47"/>
  <c r="D63" i="47"/>
  <c r="D505" i="47"/>
  <c r="D84" i="47"/>
  <c r="D176" i="47"/>
  <c r="D769" i="47"/>
  <c r="D124" i="47"/>
  <c r="D872" i="47"/>
  <c r="D773" i="47"/>
  <c r="D802" i="47"/>
  <c r="D332" i="47"/>
  <c r="D328" i="47"/>
  <c r="D352" i="47"/>
  <c r="D154" i="47"/>
  <c r="D841" i="47"/>
  <c r="D264" i="47"/>
  <c r="D454" i="47"/>
  <c r="D738" i="47"/>
  <c r="D466" i="47"/>
  <c r="D216" i="47"/>
  <c r="D182" i="47"/>
  <c r="D298" i="47"/>
  <c r="D5" i="47"/>
  <c r="D150" i="47"/>
  <c r="D327" i="47"/>
  <c r="D6" i="47"/>
  <c r="D582" i="47"/>
  <c r="D290" i="47"/>
  <c r="D257" i="47"/>
  <c r="D928" i="47"/>
  <c r="D24" i="47"/>
  <c r="D289" i="47"/>
  <c r="D524" i="47"/>
  <c r="D579" i="47"/>
  <c r="D412" i="47"/>
  <c r="D68" i="47"/>
  <c r="D23" i="47"/>
  <c r="D340" i="47"/>
  <c r="D184" i="47"/>
  <c r="D447" i="47"/>
  <c r="D238" i="47"/>
  <c r="D14" i="47"/>
  <c r="D280" i="47"/>
  <c r="D620" i="47"/>
  <c r="D842" i="47"/>
  <c r="D453" i="47"/>
  <c r="D619" i="47"/>
  <c r="D618" i="47"/>
  <c r="D728" i="47"/>
  <c r="D322" i="47"/>
  <c r="D719" i="47"/>
  <c r="D746" i="47"/>
  <c r="D727" i="47"/>
  <c r="D287" i="47"/>
  <c r="D402" i="47"/>
  <c r="D410" i="47"/>
  <c r="D476" i="47"/>
  <c r="D694" i="47"/>
  <c r="D804" i="47"/>
  <c r="D946" i="47"/>
  <c r="D440" i="47"/>
  <c r="D668" i="47"/>
  <c r="D571" i="47"/>
  <c r="D312" i="47"/>
  <c r="D479" i="47"/>
  <c r="D892" i="47"/>
  <c r="D146" i="47"/>
  <c r="D631" i="47"/>
  <c r="D121" i="47"/>
  <c r="D175" i="47"/>
  <c r="D516" i="47"/>
  <c r="D685" i="47"/>
  <c r="D429" i="47"/>
  <c r="D818" i="47"/>
  <c r="D568" i="47"/>
  <c r="D118" i="47"/>
  <c r="D688" i="47"/>
  <c r="D149" i="47"/>
  <c r="D119" i="47"/>
  <c r="D771" i="47"/>
  <c r="D574" i="47"/>
  <c r="D761" i="47"/>
  <c r="D715" i="47"/>
  <c r="D319" i="47"/>
  <c r="D663" i="47"/>
  <c r="D244" i="47"/>
  <c r="D427" i="47"/>
  <c r="D114" i="47"/>
  <c r="D793" i="47"/>
  <c r="D936" i="47"/>
  <c r="D356" i="47"/>
  <c r="D10" i="47"/>
  <c r="D41" i="47"/>
  <c r="D639" i="47"/>
  <c r="D52" i="47"/>
  <c r="D916" i="47"/>
  <c r="D877" i="47"/>
  <c r="D361" i="47"/>
  <c r="D563" i="47"/>
  <c r="D869" i="47"/>
  <c r="D111" i="47"/>
  <c r="D202" i="47"/>
  <c r="D8" i="47"/>
  <c r="D333" i="47"/>
  <c r="D64" i="47"/>
  <c r="D690" i="47"/>
  <c r="D460" i="47"/>
  <c r="D437" i="47"/>
  <c r="D69" i="47"/>
  <c r="D57" i="47"/>
  <c r="D294" i="47"/>
  <c r="D409" i="47"/>
  <c r="D889" i="47"/>
  <c r="D91" i="47"/>
  <c r="D236" i="47"/>
  <c r="D471" i="47"/>
  <c r="D612" i="47"/>
  <c r="D16" i="47"/>
  <c r="D235" i="47"/>
  <c r="D944" i="47"/>
  <c r="D943" i="47"/>
  <c r="D65" i="47"/>
  <c r="D519" i="47"/>
  <c r="D396" i="47"/>
  <c r="D145" i="47"/>
  <c r="D482" i="47"/>
  <c r="D72" i="47"/>
  <c r="D910" i="47"/>
  <c r="D153" i="47"/>
  <c r="D189" i="47"/>
  <c r="D901" i="47"/>
  <c r="D180" i="47"/>
  <c r="D720" i="47"/>
  <c r="D213" i="47"/>
  <c r="D159" i="47"/>
  <c r="D251" i="47"/>
  <c r="D806" i="47"/>
  <c r="D32" i="47"/>
  <c r="D254" i="47"/>
  <c r="D315" i="47"/>
  <c r="D43" i="47"/>
  <c r="D583" i="47"/>
  <c r="D456" i="47"/>
  <c r="D246" i="47"/>
  <c r="D183" i="47"/>
  <c r="D781" i="47"/>
  <c r="D887" i="47"/>
  <c r="D116" i="47"/>
  <c r="D398" i="47"/>
  <c r="D230" i="47"/>
  <c r="D934" i="47"/>
  <c r="D470" i="47"/>
  <c r="D428" i="47"/>
  <c r="D789" i="47"/>
  <c r="D271" i="47"/>
  <c r="D608" i="47"/>
  <c r="D179" i="47"/>
  <c r="D286" i="47"/>
  <c r="D535" i="47"/>
  <c r="D138" i="47"/>
  <c r="D485" i="47"/>
  <c r="D80" i="47"/>
  <c r="D47" i="47"/>
  <c r="O47" i="47" s="1"/>
  <c r="D4" i="47"/>
  <c r="D441" i="47"/>
  <c r="D630" i="47"/>
  <c r="D484" i="47"/>
  <c r="D78" i="47"/>
  <c r="D265" i="47"/>
  <c r="D195" i="47"/>
  <c r="D445" i="47"/>
  <c r="D103" i="47"/>
  <c r="D634" i="47"/>
  <c r="D443" i="47"/>
  <c r="D547" i="47"/>
  <c r="D748" i="47"/>
  <c r="D819" i="47"/>
  <c r="D197" i="47"/>
  <c r="D627" i="47"/>
  <c r="D284" i="47"/>
  <c r="D926" i="47"/>
  <c r="D929" i="47"/>
  <c r="D389" i="47"/>
  <c r="D510" i="47"/>
  <c r="D56" i="47"/>
  <c r="D825" i="47"/>
  <c r="D162" i="47"/>
  <c r="D33" i="47"/>
  <c r="D801" i="47"/>
  <c r="D815" i="47"/>
  <c r="D29" i="47"/>
  <c r="D172" i="47"/>
  <c r="D652" i="47"/>
  <c r="D123" i="47"/>
  <c r="D648" i="47"/>
  <c r="D363" i="47"/>
  <c r="D425" i="47"/>
  <c r="D726" i="47"/>
  <c r="D752" i="47"/>
  <c r="D148" i="47"/>
  <c r="D786" i="47"/>
  <c r="D782" i="47"/>
  <c r="D220" i="47"/>
  <c r="D463" i="47"/>
  <c r="D342" i="47"/>
  <c r="D209" i="47"/>
  <c r="D227" i="47"/>
  <c r="D249" i="47"/>
  <c r="D144" i="47"/>
  <c r="D772" i="47"/>
  <c r="D25" i="47"/>
  <c r="O25" i="47" s="1"/>
  <c r="D941" i="47"/>
  <c r="D950" i="47"/>
  <c r="E926" i="47"/>
  <c r="M948" i="47"/>
  <c r="D796" i="47"/>
  <c r="D156" i="47"/>
  <c r="D536" i="47"/>
  <c r="D194" i="47"/>
  <c r="D846" i="47"/>
  <c r="D21" i="47"/>
  <c r="D811" i="47"/>
  <c r="D67" i="47"/>
  <c r="D18" i="47"/>
  <c r="D386" i="47"/>
  <c r="D109" i="47"/>
  <c r="D127" i="47"/>
  <c r="D217" i="47"/>
  <c r="D884" i="47"/>
  <c r="D713" i="47"/>
  <c r="D762" i="47"/>
  <c r="D615" i="47"/>
  <c r="D432" i="47"/>
  <c r="D509" i="47"/>
  <c r="D784" i="47"/>
  <c r="D93" i="47"/>
  <c r="D99" i="47"/>
  <c r="D559" i="47"/>
  <c r="D255" i="47"/>
  <c r="D424" i="47"/>
  <c r="D341" i="47"/>
  <c r="O341" i="47" s="1"/>
  <c r="D654" i="47"/>
  <c r="D774" i="47"/>
  <c r="O774" i="47" s="1"/>
  <c r="D201" i="47"/>
  <c r="D948" i="47"/>
  <c r="M926" i="47"/>
  <c r="P934" i="47"/>
  <c r="Q934" i="47" s="1"/>
  <c r="E944" i="47"/>
  <c r="N948" i="47"/>
  <c r="D310" i="47"/>
  <c r="D918" i="47"/>
  <c r="D861" i="47"/>
  <c r="D313" i="47"/>
  <c r="D617" i="47"/>
  <c r="D686" i="47"/>
  <c r="D130" i="47"/>
  <c r="D433" i="47"/>
  <c r="D306" i="47"/>
  <c r="D632" i="47"/>
  <c r="O632" i="47" s="1"/>
  <c r="D600" i="47"/>
  <c r="D820" i="47"/>
  <c r="D205" i="47"/>
  <c r="D560" i="47"/>
  <c r="D598" i="47"/>
  <c r="D212" i="47"/>
  <c r="D487" i="47"/>
  <c r="D12" i="47"/>
  <c r="D31" i="47"/>
  <c r="D518" i="47"/>
  <c r="D186" i="47"/>
  <c r="D190" i="47"/>
  <c r="D641" i="47"/>
  <c r="D860" i="47"/>
  <c r="D239" i="47"/>
  <c r="D414" i="47"/>
  <c r="O414" i="47" s="1"/>
  <c r="D602" i="47"/>
  <c r="D39" i="47"/>
  <c r="D658" i="47"/>
  <c r="D938" i="47"/>
  <c r="D937" i="47"/>
  <c r="P926" i="47"/>
  <c r="Q926" i="47" s="1"/>
  <c r="D879" i="47"/>
  <c r="D517" i="47"/>
  <c r="D635" i="47"/>
  <c r="D821" i="47"/>
  <c r="D698" i="47"/>
  <c r="D161" i="47"/>
  <c r="D269" i="47"/>
  <c r="D318" i="47"/>
  <c r="O318" i="47" s="1"/>
  <c r="D170" i="47"/>
  <c r="D228" i="47"/>
  <c r="O228" i="47" s="1"/>
  <c r="D140" i="47"/>
  <c r="D824" i="47"/>
  <c r="D588" i="47"/>
  <c r="D584" i="47"/>
  <c r="D669" i="47"/>
  <c r="D837" i="47"/>
  <c r="D525" i="47"/>
  <c r="D757" i="47"/>
  <c r="D376" i="47"/>
  <c r="D829" i="47"/>
  <c r="D710" i="47"/>
  <c r="D490" i="47"/>
  <c r="D561" i="47"/>
  <c r="D178" i="47"/>
  <c r="O178" i="47" s="1"/>
  <c r="D474" i="47"/>
  <c r="D739" i="47"/>
  <c r="O739" i="47" s="1"/>
  <c r="D450" i="47"/>
  <c r="D171" i="47"/>
  <c r="D204" i="47"/>
  <c r="D931" i="47"/>
  <c r="D95" i="47"/>
  <c r="D496" i="47"/>
  <c r="D22" i="47"/>
  <c r="D843" i="47"/>
  <c r="D866" i="47"/>
  <c r="D242" i="47"/>
  <c r="D295" i="47"/>
  <c r="D531" i="47"/>
  <c r="D232" i="47"/>
  <c r="O232" i="47" s="1"/>
  <c r="D497" i="47"/>
  <c r="O497" i="47" s="1"/>
  <c r="D595" i="47"/>
  <c r="D573" i="47"/>
  <c r="D779" i="47"/>
  <c r="D845" i="47"/>
  <c r="D696" i="47"/>
  <c r="D656" i="47"/>
  <c r="D70" i="47"/>
  <c r="D700" i="47"/>
  <c r="D115" i="47"/>
  <c r="D537" i="47"/>
  <c r="D45" i="47"/>
  <c r="D682" i="47"/>
  <c r="D374" i="47"/>
  <c r="D714" i="47"/>
  <c r="D276" i="47"/>
  <c r="D79" i="47"/>
  <c r="Q79" i="47" s="1"/>
  <c r="D143" i="47"/>
  <c r="D764" i="47"/>
  <c r="O764" i="47" s="1"/>
  <c r="D17" i="47"/>
  <c r="D945" i="47"/>
  <c r="D930" i="47"/>
  <c r="D372" i="47"/>
  <c r="D401" i="47"/>
  <c r="D261" i="47"/>
  <c r="D787" i="47"/>
  <c r="D104" i="47"/>
  <c r="D35" i="47"/>
  <c r="D349" i="47"/>
  <c r="D791" i="47"/>
  <c r="D880" i="47"/>
  <c r="D844" i="47"/>
  <c r="D248" i="47"/>
  <c r="O248" i="47" s="1"/>
  <c r="D277" i="47"/>
  <c r="D708" i="47"/>
  <c r="O708" i="47" s="1"/>
  <c r="D809" i="47"/>
  <c r="D828" i="47"/>
  <c r="D44" i="47"/>
  <c r="D49" i="47"/>
  <c r="D502" i="47"/>
  <c r="D865" i="47"/>
  <c r="D475" i="47"/>
  <c r="D550" i="47"/>
  <c r="D285" i="47"/>
  <c r="D326" i="47"/>
  <c r="D48" i="47"/>
  <c r="D661" i="47"/>
  <c r="D320" i="47"/>
  <c r="O320" i="47" s="1"/>
  <c r="D775" i="47"/>
  <c r="O775" i="47" s="1"/>
  <c r="D683" i="47"/>
  <c r="D529" i="47"/>
  <c r="D549" i="47"/>
  <c r="D927" i="47"/>
  <c r="O935" i="47"/>
  <c r="D207" i="47"/>
  <c r="D448" i="47"/>
  <c r="D224" i="47"/>
  <c r="D733" i="47"/>
  <c r="D157" i="47"/>
  <c r="D336" i="47"/>
  <c r="D321" i="47"/>
  <c r="D592" i="47"/>
  <c r="D15" i="47"/>
  <c r="D724" i="47"/>
  <c r="O724" i="47" s="1"/>
  <c r="D303" i="47"/>
  <c r="D231" i="47"/>
  <c r="D530" i="47"/>
  <c r="O530" i="47" s="1"/>
  <c r="D624" i="47"/>
  <c r="D449" i="47"/>
  <c r="D591" i="47"/>
  <c r="D503" i="47"/>
  <c r="D660" i="47"/>
  <c r="D886" i="47"/>
  <c r="D434" i="47"/>
  <c r="D651" i="47"/>
  <c r="O651" i="47" s="1"/>
  <c r="D458" i="47"/>
  <c r="D813" i="47"/>
  <c r="D128" i="47"/>
  <c r="D11" i="47"/>
  <c r="D198" i="47"/>
  <c r="D106" i="47"/>
  <c r="O106" i="47" s="1"/>
  <c r="D233" i="47"/>
  <c r="O233" i="47" s="1"/>
  <c r="D46" i="47"/>
  <c r="O46" i="47" s="1"/>
  <c r="D864" i="47"/>
  <c r="O864" i="47" s="1"/>
  <c r="D935" i="47"/>
  <c r="D569" i="47"/>
  <c r="D703" i="47"/>
  <c r="D169" i="47"/>
  <c r="D325" i="47"/>
  <c r="D799" i="47"/>
  <c r="D480" i="47"/>
  <c r="D523" i="47"/>
  <c r="D736" i="47"/>
  <c r="D351" i="47"/>
  <c r="D54" i="47"/>
  <c r="D438" i="47"/>
  <c r="O438" i="47" s="1"/>
  <c r="D557" i="47"/>
  <c r="O557" i="47" s="1"/>
  <c r="D500" i="47"/>
  <c r="D76" i="47"/>
  <c r="O76" i="47" s="1"/>
  <c r="D267" i="47"/>
  <c r="D292" i="47"/>
  <c r="D430" i="47"/>
  <c r="D37" i="47"/>
  <c r="D97" i="47"/>
  <c r="O97" i="47" s="1"/>
  <c r="D222" i="47"/>
  <c r="D745" i="47"/>
  <c r="D107" i="47"/>
  <c r="D740" i="47"/>
  <c r="D281" i="47"/>
  <c r="D742" i="47"/>
  <c r="D709" i="47"/>
  <c r="O709" i="47" s="1"/>
  <c r="D370" i="47"/>
  <c r="D539" i="47"/>
  <c r="D594" i="47"/>
  <c r="D26" i="47"/>
  <c r="O26" i="47" s="1"/>
  <c r="D942" i="47"/>
  <c r="D622" i="47"/>
  <c r="D655" i="47"/>
  <c r="D19" i="47"/>
  <c r="D40" i="47"/>
  <c r="D259" i="47"/>
  <c r="D61" i="47"/>
  <c r="D316" i="47"/>
  <c r="D603" i="47"/>
  <c r="D20" i="47"/>
  <c r="D914" i="47"/>
  <c r="Q914" i="47" s="1"/>
  <c r="D580" i="47"/>
  <c r="D533" i="47"/>
  <c r="D323" i="47"/>
  <c r="O323" i="47" s="1"/>
  <c r="D3" i="47"/>
  <c r="O3" i="47" s="1"/>
  <c r="D601" i="47"/>
  <c r="D384" i="47"/>
  <c r="O384" i="47" s="1"/>
  <c r="D906" i="47"/>
  <c r="D113" i="47"/>
  <c r="D337" i="47"/>
  <c r="D629" i="47"/>
  <c r="D766" i="47"/>
  <c r="D215" i="47"/>
  <c r="D226" i="47"/>
  <c r="O226" i="47" s="1"/>
  <c r="D812" i="47"/>
  <c r="D314" i="47"/>
  <c r="D750" i="47"/>
  <c r="Q750" i="47" s="1"/>
  <c r="D577" i="47"/>
  <c r="O577" i="47" s="1"/>
  <c r="D711" i="47"/>
  <c r="O711" i="47" s="1"/>
  <c r="D301" i="47"/>
  <c r="O301" i="47" s="1"/>
  <c r="D664" i="47"/>
  <c r="D932" i="47"/>
  <c r="O257" i="47"/>
  <c r="O290" i="47"/>
  <c r="O6" i="47"/>
  <c r="O150" i="47"/>
  <c r="O5" i="47"/>
  <c r="Q298" i="47"/>
  <c r="O182" i="47"/>
  <c r="O216" i="47"/>
  <c r="O466" i="47"/>
  <c r="Q738" i="47"/>
  <c r="O454" i="47"/>
  <c r="O841" i="47"/>
  <c r="O154" i="47"/>
  <c r="O352" i="47"/>
  <c r="O328" i="47"/>
  <c r="O773" i="47"/>
  <c r="O872" i="47"/>
  <c r="O124" i="47"/>
  <c r="O349" i="47"/>
  <c r="O769" i="47"/>
  <c r="O176" i="47"/>
  <c r="O84" i="47"/>
  <c r="O861" i="47"/>
  <c r="O505" i="47"/>
  <c r="O777" i="47"/>
  <c r="O261" i="47"/>
  <c r="O63" i="47"/>
  <c r="O253" i="47"/>
  <c r="O389" i="47"/>
  <c r="O65" i="47"/>
  <c r="O356" i="47"/>
  <c r="O457" i="47"/>
  <c r="O622" i="47"/>
  <c r="O919" i="47"/>
  <c r="O249" i="47"/>
  <c r="O545" i="47"/>
  <c r="O476" i="47"/>
  <c r="O612" i="47"/>
  <c r="O116" i="47"/>
  <c r="O197" i="47"/>
  <c r="O144" i="47"/>
  <c r="O43" i="47"/>
  <c r="F918" i="47"/>
  <c r="O628" i="47"/>
  <c r="O198" i="47"/>
  <c r="O503" i="47"/>
  <c r="O757" i="47"/>
  <c r="O658" i="47"/>
  <c r="O430" i="47"/>
  <c r="O842" i="47"/>
  <c r="O463" i="47"/>
  <c r="Q91" i="47"/>
  <c r="Q99" i="47"/>
  <c r="O648" i="47"/>
  <c r="O64" i="47"/>
  <c r="O190" i="47"/>
  <c r="O244" i="47"/>
  <c r="O217" i="47"/>
  <c r="O490" i="47"/>
  <c r="O205" i="47"/>
  <c r="O630" i="47"/>
  <c r="O682" i="47"/>
  <c r="Q918" i="47"/>
  <c r="O917" i="47"/>
  <c r="O915" i="47"/>
  <c r="F914" i="47"/>
  <c r="O913" i="47"/>
  <c r="Q910" i="47"/>
  <c r="O409" i="47"/>
  <c r="Q906" i="47"/>
  <c r="O905" i="47"/>
  <c r="O901" i="47"/>
  <c r="O292" i="47"/>
  <c r="O817" i="47"/>
  <c r="O321" i="47"/>
  <c r="O485" i="47"/>
  <c r="O524" i="47"/>
  <c r="O208" i="47"/>
  <c r="O31" i="47"/>
  <c r="O523" i="47"/>
  <c r="O202" i="47"/>
  <c r="O563" i="47"/>
  <c r="O172" i="47"/>
  <c r="O801" i="47"/>
  <c r="O897" i="47"/>
  <c r="O200" i="47"/>
  <c r="O677" i="47"/>
  <c r="O246" i="47"/>
  <c r="O281" i="47"/>
  <c r="O214" i="47"/>
  <c r="O181" i="47"/>
  <c r="O848"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276" i="47"/>
  <c r="O434" i="47"/>
  <c r="O62" i="47"/>
  <c r="O94" i="47"/>
  <c r="O174" i="47"/>
  <c r="O462" i="47"/>
  <c r="O638"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E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17" i="47"/>
  <c r="B162" i="47"/>
  <c r="B172" i="47"/>
  <c r="C419" i="47"/>
  <c r="E419" i="47" s="1"/>
  <c r="P482" i="47"/>
  <c r="F823" i="47"/>
  <c r="C32" i="47"/>
  <c r="N32" i="47" s="1"/>
  <c r="O104"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L773" i="47" s="1"/>
  <c r="P842" i="47"/>
  <c r="P8" i="47"/>
  <c r="P16" i="47"/>
  <c r="Q16" i="47" s="1"/>
  <c r="B46" i="47"/>
  <c r="O57" i="47"/>
  <c r="B86" i="47"/>
  <c r="Q130" i="47"/>
  <c r="F143" i="47"/>
  <c r="O161" i="47"/>
  <c r="O169" i="47"/>
  <c r="F209" i="47"/>
  <c r="F308" i="47"/>
  <c r="F312" i="47"/>
  <c r="N312" i="47" s="1"/>
  <c r="P333" i="47"/>
  <c r="B436" i="47"/>
  <c r="C474" i="47"/>
  <c r="L474" i="47" s="1"/>
  <c r="F598" i="47"/>
  <c r="F632"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I393" i="47" s="1"/>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H174" i="47" s="1"/>
  <c r="B213" i="47"/>
  <c r="F220" i="47"/>
  <c r="J220" i="47" s="1"/>
  <c r="B220" i="47"/>
  <c r="K220" i="47" s="1"/>
  <c r="B340" i="47"/>
  <c r="P360" i="47"/>
  <c r="O360" i="47"/>
  <c r="B428" i="47"/>
  <c r="B507" i="47"/>
  <c r="O511" i="47"/>
  <c r="F511" i="47"/>
  <c r="B528" i="47"/>
  <c r="F552" i="47"/>
  <c r="O552" i="47"/>
  <c r="C552" i="47"/>
  <c r="E552" i="47" s="1"/>
  <c r="B552" i="47"/>
  <c r="B557" i="47"/>
  <c r="G557" i="47" s="1"/>
  <c r="B595" i="47"/>
  <c r="P636" i="47"/>
  <c r="B636" i="47"/>
  <c r="I668" i="47"/>
  <c r="C140" i="47"/>
  <c r="N140" i="47" s="1"/>
  <c r="P174" i="47"/>
  <c r="Q174" i="47" s="1"/>
  <c r="P257" i="47"/>
  <c r="P344" i="47"/>
  <c r="Q344" i="47" s="1"/>
  <c r="F344" i="47"/>
  <c r="B344" i="47"/>
  <c r="P411" i="47"/>
  <c r="C411" i="47"/>
  <c r="P419" i="47"/>
  <c r="B419" i="47"/>
  <c r="F428" i="47"/>
  <c r="C477" i="47"/>
  <c r="E477" i="47" s="1"/>
  <c r="F477" i="47"/>
  <c r="O477" i="47"/>
  <c r="C507" i="47"/>
  <c r="B511" i="47"/>
  <c r="B524" i="47"/>
  <c r="F524" i="47"/>
  <c r="H524" i="47" s="1"/>
  <c r="C595" i="47"/>
  <c r="P692" i="47"/>
  <c r="C692" i="47"/>
  <c r="P100" i="47"/>
  <c r="O100"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M592" i="47" s="1"/>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C133" i="47"/>
  <c r="H133" i="47" s="1"/>
  <c r="C172" i="47"/>
  <c r="M172" i="47" s="1"/>
  <c r="H232" i="47"/>
  <c r="F258" i="47"/>
  <c r="B277" i="47"/>
  <c r="B281" i="47"/>
  <c r="G281" i="47" s="1"/>
  <c r="C309" i="47"/>
  <c r="I309" i="47" s="1"/>
  <c r="P324" i="47"/>
  <c r="Q324" i="47" s="1"/>
  <c r="B324" i="47"/>
  <c r="P353" i="47"/>
  <c r="P420" i="47"/>
  <c r="P454" i="47"/>
  <c r="F454" i="47"/>
  <c r="P484" i="47"/>
  <c r="P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P229" i="47"/>
  <c r="Q229" i="47" s="1"/>
  <c r="F306" i="47"/>
  <c r="C313" i="47"/>
  <c r="K313" i="47" s="1"/>
  <c r="B321" i="47"/>
  <c r="G321" i="47" s="1"/>
  <c r="C347" i="47"/>
  <c r="M347" i="47" s="1"/>
  <c r="P354" i="47"/>
  <c r="Q354" i="47" s="1"/>
  <c r="O359" i="47"/>
  <c r="B359" i="47"/>
  <c r="C425" i="47"/>
  <c r="C442" i="47"/>
  <c r="P530" i="47"/>
  <c r="F551" i="47"/>
  <c r="C551" i="47"/>
  <c r="B121" i="47"/>
  <c r="F154" i="47"/>
  <c r="O313" i="47"/>
  <c r="C422" i="47"/>
  <c r="J422" i="47" s="1"/>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G602" i="47" s="1"/>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O844" i="47"/>
  <c r="P509" i="47"/>
  <c r="C532" i="47"/>
  <c r="M532" i="47" s="1"/>
  <c r="O549" i="47"/>
  <c r="F556" i="47"/>
  <c r="F565" i="47"/>
  <c r="C610" i="47"/>
  <c r="L610" i="47" s="1"/>
  <c r="F661" i="47"/>
  <c r="F719" i="47"/>
  <c r="P756" i="47"/>
  <c r="C809" i="47"/>
  <c r="H809" i="47" s="1"/>
  <c r="F811" i="47"/>
  <c r="F396" i="47"/>
  <c r="H396" i="47" s="1"/>
  <c r="B499" i="47"/>
  <c r="M499" i="47" s="1"/>
  <c r="F549" i="47"/>
  <c r="F568" i="47"/>
  <c r="C598" i="47"/>
  <c r="B635" i="47"/>
  <c r="B660" i="47"/>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O22"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K19" i="47" s="1"/>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G190" i="47" s="1"/>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G234" i="47" s="1"/>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I321" i="47"/>
  <c r="K336" i="47"/>
  <c r="P352" i="47"/>
  <c r="B352" i="47"/>
  <c r="I115" i="47"/>
  <c r="E124" i="47"/>
  <c r="F162" i="47"/>
  <c r="L162" i="47" s="1"/>
  <c r="M204" i="47"/>
  <c r="C230" i="47"/>
  <c r="H230" i="47" s="1"/>
  <c r="F268" i="47"/>
  <c r="F285" i="47"/>
  <c r="C285" i="47"/>
  <c r="N285" i="47" s="1"/>
  <c r="P291" i="47"/>
  <c r="F291" i="47"/>
  <c r="C296" i="47"/>
  <c r="P362" i="47"/>
  <c r="B362" i="47"/>
  <c r="F543" i="47"/>
  <c r="C543" i="47"/>
  <c r="B104" i="47"/>
  <c r="J124" i="47"/>
  <c r="F126" i="47"/>
  <c r="B128" i="47"/>
  <c r="B136" i="47"/>
  <c r="O138" i="47"/>
  <c r="F186" i="47"/>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K201" i="47" s="1"/>
  <c r="O206" i="47"/>
  <c r="O209" i="47"/>
  <c r="C226" i="47"/>
  <c r="E226" i="47" s="1"/>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M334" i="47" s="1"/>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B188" i="47"/>
  <c r="G188" i="47" s="1"/>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J270" i="47" s="1"/>
  <c r="F280" i="47"/>
  <c r="C284" i="47"/>
  <c r="J284" i="47" s="1"/>
  <c r="B284" i="47"/>
  <c r="P287" i="47"/>
  <c r="C287" i="47"/>
  <c r="K287" i="47" s="1"/>
  <c r="O300" i="47"/>
  <c r="N326" i="47"/>
  <c r="F338" i="47"/>
  <c r="C365" i="47"/>
  <c r="P415" i="47"/>
  <c r="C415" i="47"/>
  <c r="B415" i="47"/>
  <c r="E140" i="47"/>
  <c r="C200" i="47"/>
  <c r="N200" i="47" s="1"/>
  <c r="O212" i="47"/>
  <c r="C214" i="47"/>
  <c r="L214" i="47" s="1"/>
  <c r="C216" i="47"/>
  <c r="H216" i="47" s="1"/>
  <c r="C218" i="47"/>
  <c r="F222" i="47"/>
  <c r="L222" i="47" s="1"/>
  <c r="B306" i="47"/>
  <c r="O306" i="47"/>
  <c r="O316" i="47"/>
  <c r="B316" i="47"/>
  <c r="C404" i="47"/>
  <c r="P404" i="47"/>
  <c r="F404" i="47"/>
  <c r="O404" i="47"/>
  <c r="P673" i="47"/>
  <c r="O673" i="47"/>
  <c r="F673" i="47"/>
  <c r="C673" i="47"/>
  <c r="B673" i="47"/>
  <c r="P290" i="47"/>
  <c r="C306" i="47"/>
  <c r="C316" i="47"/>
  <c r="N316" i="47" s="1"/>
  <c r="K425" i="47"/>
  <c r="P505" i="47"/>
  <c r="B505" i="47"/>
  <c r="K505" i="47" s="1"/>
  <c r="P676" i="47"/>
  <c r="P800" i="47"/>
  <c r="F800" i="47"/>
  <c r="J264" i="47"/>
  <c r="F309" i="47"/>
  <c r="B309" i="47"/>
  <c r="K309" i="47" s="1"/>
  <c r="P510" i="47"/>
  <c r="O510" i="47"/>
  <c r="C510" i="47"/>
  <c r="H510" i="47" s="1"/>
  <c r="B510" i="47"/>
  <c r="P535" i="47"/>
  <c r="F537" i="47"/>
  <c r="B537" i="47"/>
  <c r="O652" i="47"/>
  <c r="C652" i="47"/>
  <c r="B652" i="47"/>
  <c r="P652"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H347" i="47" s="1"/>
  <c r="O350" i="47"/>
  <c r="F350" i="47"/>
  <c r="C359" i="47"/>
  <c r="F411" i="47"/>
  <c r="I425" i="47"/>
  <c r="P430" i="47"/>
  <c r="Q430" i="47" s="1"/>
  <c r="C436" i="47"/>
  <c r="B444" i="47"/>
  <c r="O447" i="47"/>
  <c r="C450" i="47"/>
  <c r="I450" i="47" s="1"/>
  <c r="C466" i="47"/>
  <c r="J466" i="47" s="1"/>
  <c r="B502" i="47"/>
  <c r="P519" i="47"/>
  <c r="E519" i="47"/>
  <c r="B544" i="47"/>
  <c r="B550" i="47"/>
  <c r="G550" i="47" s="1"/>
  <c r="C553" i="47"/>
  <c r="K553" i="47" s="1"/>
  <c r="F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J400" i="47" s="1"/>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N561" i="47" s="1"/>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Q723" i="47" s="1"/>
  <c r="C723" i="47"/>
  <c r="C759" i="47"/>
  <c r="O762" i="47"/>
  <c r="F765"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B686" i="47"/>
  <c r="O702" i="47"/>
  <c r="C702" i="47"/>
  <c r="B702" i="47"/>
  <c r="P708" i="47"/>
  <c r="F716" i="47"/>
  <c r="Q727" i="47"/>
  <c r="C731" i="47"/>
  <c r="N748" i="47"/>
  <c r="Q756" i="47"/>
  <c r="F759" i="47"/>
  <c r="C779" i="47"/>
  <c r="P789" i="47"/>
  <c r="F789" i="47"/>
  <c r="O789" i="47"/>
  <c r="C789" i="47"/>
  <c r="Q819" i="47"/>
  <c r="B819" i="47"/>
  <c r="B824" i="47"/>
  <c r="P827" i="47"/>
  <c r="B827" i="47"/>
  <c r="F833" i="47"/>
  <c r="F835" i="47"/>
  <c r="O835" i="47"/>
  <c r="B835" i="47"/>
  <c r="B540" i="47"/>
  <c r="E565" i="47"/>
  <c r="C577" i="47"/>
  <c r="H577" i="47" s="1"/>
  <c r="C586" i="47"/>
  <c r="E586" i="47" s="1"/>
  <c r="C605" i="47"/>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L809" i="47"/>
  <c r="P846" i="47"/>
  <c r="O846" i="47"/>
  <c r="B846" i="47"/>
  <c r="B854" i="47"/>
  <c r="F854" i="47"/>
  <c r="O854" i="47"/>
  <c r="C854" i="47"/>
  <c r="L854" i="47" s="1"/>
  <c r="O653" i="47"/>
  <c r="C653" i="47"/>
  <c r="N653" i="47" s="1"/>
  <c r="B653" i="47"/>
  <c r="G653" i="47" s="1"/>
  <c r="K668"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H11" i="47"/>
  <c r="E11" i="47"/>
  <c r="M11" i="47"/>
  <c r="V12" i="47"/>
  <c r="V56" i="47"/>
  <c r="L55" i="47"/>
  <c r="M59" i="47"/>
  <c r="E62" i="47"/>
  <c r="B63" i="47"/>
  <c r="P64" i="47"/>
  <c r="M65" i="47"/>
  <c r="L71" i="47"/>
  <c r="F79" i="47"/>
  <c r="P93" i="47"/>
  <c r="V98" i="47"/>
  <c r="M100" i="47"/>
  <c r="E103" i="47"/>
  <c r="F112" i="47"/>
  <c r="C114" i="47"/>
  <c r="P118" i="47"/>
  <c r="K124" i="47"/>
  <c r="N130" i="47"/>
  <c r="H151" i="47"/>
  <c r="Y48" i="18"/>
  <c r="Q2" i="47"/>
  <c r="E5" i="47"/>
  <c r="I8" i="47"/>
  <c r="I12" i="47"/>
  <c r="I16"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B93" i="47"/>
  <c r="P94" i="47"/>
  <c r="Q94" i="47" s="1"/>
  <c r="B99" i="47"/>
  <c r="O105" i="47"/>
  <c r="B106" i="47"/>
  <c r="V107" i="47"/>
  <c r="F114" i="47"/>
  <c r="B116"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P123" i="47"/>
  <c r="M128" i="47"/>
  <c r="N142" i="47"/>
  <c r="L142" i="47"/>
  <c r="Q3" i="47"/>
  <c r="I5" i="47"/>
  <c r="M8" i="47"/>
  <c r="M12" i="47"/>
  <c r="M16" i="47"/>
  <c r="I21" i="47"/>
  <c r="Q23" i="47"/>
  <c r="M28" i="47"/>
  <c r="M32" i="47"/>
  <c r="M36" i="47"/>
  <c r="I37" i="47"/>
  <c r="M40" i="47"/>
  <c r="I41" i="47"/>
  <c r="M44" i="47"/>
  <c r="M48" i="47"/>
  <c r="Q55" i="47"/>
  <c r="M56" i="47"/>
  <c r="B59" i="47"/>
  <c r="I59" i="47" s="1"/>
  <c r="P60" i="47"/>
  <c r="H65" i="47"/>
  <c r="L67" i="47"/>
  <c r="F69" i="47"/>
  <c r="N69" i="47" s="1"/>
  <c r="F75" i="47"/>
  <c r="L75" i="47" s="1"/>
  <c r="N78" i="47"/>
  <c r="B82" i="47"/>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C91" i="47"/>
  <c r="B97" i="47"/>
  <c r="I97" i="47" s="1"/>
  <c r="P98" i="47"/>
  <c r="Q98" i="47" s="1"/>
  <c r="J100" i="47"/>
  <c r="B103" i="47"/>
  <c r="P104" i="47"/>
  <c r="F111" i="47"/>
  <c r="O112" i="47"/>
  <c r="B113" i="47"/>
  <c r="M113" i="47" s="1"/>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P270" i="47"/>
  <c r="Q270" i="47" s="1"/>
  <c r="O270" i="47"/>
  <c r="K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K190"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B219" i="47"/>
  <c r="J226" i="47"/>
  <c r="P227" i="47"/>
  <c r="L232" i="47"/>
  <c r="K236" i="47"/>
  <c r="C245" i="47"/>
  <c r="N258" i="47"/>
  <c r="N267" i="47"/>
  <c r="J267" i="47"/>
  <c r="B271" i="47"/>
  <c r="I271" i="47" s="1"/>
  <c r="C278" i="47"/>
  <c r="B283" i="47"/>
  <c r="J288" i="47"/>
  <c r="E288" i="47"/>
  <c r="F319" i="47"/>
  <c r="N322" i="47"/>
  <c r="P351" i="47"/>
  <c r="F351" i="47"/>
  <c r="O351" i="47"/>
  <c r="C351" i="47"/>
  <c r="E290" i="47"/>
  <c r="E293"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5" i="47"/>
  <c r="K209" i="47"/>
  <c r="G210" i="47"/>
  <c r="G226" i="47"/>
  <c r="G238" i="47"/>
  <c r="E247" i="47"/>
  <c r="O247" i="47"/>
  <c r="P249" i="47"/>
  <c r="G253" i="47"/>
  <c r="L264" i="47"/>
  <c r="J265" i="47"/>
  <c r="H288" i="47"/>
  <c r="H289" i="47"/>
  <c r="J290" i="47"/>
  <c r="J291" i="47"/>
  <c r="I293" i="47"/>
  <c r="C307" i="47"/>
  <c r="H308" i="47"/>
  <c r="P311" i="47"/>
  <c r="O315" i="47"/>
  <c r="G318" i="47"/>
  <c r="F329" i="47"/>
  <c r="I339" i="47"/>
  <c r="F355" i="47"/>
  <c r="P144" i="47"/>
  <c r="P148" i="47"/>
  <c r="P152" i="47"/>
  <c r="Q152" i="47" s="1"/>
  <c r="H154" i="47"/>
  <c r="P156" i="47"/>
  <c r="H158" i="47"/>
  <c r="P160" i="47"/>
  <c r="H162" i="47"/>
  <c r="P164" i="47"/>
  <c r="H166" i="47"/>
  <c r="P168" i="47"/>
  <c r="Q168" i="47" s="1"/>
  <c r="P172" i="47"/>
  <c r="P176" i="47"/>
  <c r="H178" i="47"/>
  <c r="P180" i="47"/>
  <c r="H182" i="47"/>
  <c r="P184" i="47"/>
  <c r="H186" i="47"/>
  <c r="P188" i="47"/>
  <c r="Q188" i="47" s="1"/>
  <c r="L189" i="47"/>
  <c r="H190" i="47"/>
  <c r="P192" i="47"/>
  <c r="L193" i="47"/>
  <c r="H194" i="47"/>
  <c r="P196" i="47"/>
  <c r="Q196" i="47" s="1"/>
  <c r="L197" i="47"/>
  <c r="H198" i="47"/>
  <c r="P200" i="47"/>
  <c r="H202" i="47"/>
  <c r="P204" i="47"/>
  <c r="L205" i="47"/>
  <c r="H206" i="47"/>
  <c r="P208" i="47"/>
  <c r="L209" i="47"/>
  <c r="P212" i="47"/>
  <c r="P216" i="47"/>
  <c r="H218" i="47"/>
  <c r="P220" i="47"/>
  <c r="Q220" i="47" s="1"/>
  <c r="H222" i="47"/>
  <c r="P224" i="47"/>
  <c r="H226" i="47"/>
  <c r="P228" i="47"/>
  <c r="P232" i="47"/>
  <c r="H234" i="47"/>
  <c r="P236" i="47"/>
  <c r="B247" i="47"/>
  <c r="I247" i="47" s="1"/>
  <c r="M257" i="47"/>
  <c r="L257" i="47"/>
  <c r="V259" i="47"/>
  <c r="P262" i="47"/>
  <c r="K265" i="47"/>
  <c r="L267" i="47"/>
  <c r="I288" i="47"/>
  <c r="I289"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41" i="47"/>
  <c r="C349" i="47"/>
  <c r="B349" i="47"/>
  <c r="J354" i="47"/>
  <c r="F364" i="47"/>
  <c r="B286" i="47"/>
  <c r="G286" i="47" s="1"/>
  <c r="M286" i="47"/>
  <c r="O287" i="47"/>
  <c r="J292"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P350" i="47"/>
  <c r="G353" i="47"/>
  <c r="E354" i="47"/>
  <c r="P356" i="47"/>
  <c r="G359" i="47"/>
  <c r="O361" i="47"/>
  <c r="O363" i="47"/>
  <c r="F365" i="47"/>
  <c r="H365" i="47" s="1"/>
  <c r="F368" i="47"/>
  <c r="P372" i="47"/>
  <c r="O375" i="47"/>
  <c r="B385" i="47"/>
  <c r="O401" i="47"/>
  <c r="E404" i="47"/>
  <c r="P322"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H477" i="47"/>
  <c r="P439" i="47"/>
  <c r="F439" i="47"/>
  <c r="J392" i="47"/>
  <c r="J396" i="47"/>
  <c r="J404" i="47"/>
  <c r="J408" i="47"/>
  <c r="F409" i="47"/>
  <c r="O415" i="47"/>
  <c r="I419" i="47"/>
  <c r="F420" i="47"/>
  <c r="L420" i="47" s="1"/>
  <c r="M425" i="47"/>
  <c r="K426" i="47"/>
  <c r="J429" i="47"/>
  <c r="F431" i="47"/>
  <c r="B439" i="47"/>
  <c r="K442" i="47"/>
  <c r="C445" i="47"/>
  <c r="K445" i="47" s="1"/>
  <c r="O452" i="47"/>
  <c r="F452" i="47"/>
  <c r="C452" i="47"/>
  <c r="B452" i="47"/>
  <c r="K392" i="47"/>
  <c r="O407"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F578" i="47"/>
  <c r="O578" i="47"/>
  <c r="B578" i="47"/>
  <c r="F462" i="47"/>
  <c r="B464" i="47"/>
  <c r="B465" i="47"/>
  <c r="P465" i="47"/>
  <c r="Q465" i="47" s="1"/>
  <c r="F471" i="47"/>
  <c r="E472" i="47"/>
  <c r="O473" i="47"/>
  <c r="N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L551" i="47"/>
  <c r="J552" i="47"/>
  <c r="K556" i="47"/>
  <c r="K557" i="47"/>
  <c r="P562" i="47"/>
  <c r="O562" i="47"/>
  <c r="O569" i="47"/>
  <c r="F569" i="47"/>
  <c r="L589" i="47"/>
  <c r="P499" i="47"/>
  <c r="Q499" i="47" s="1"/>
  <c r="E503" i="47"/>
  <c r="M506" i="47"/>
  <c r="O509"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E602" i="47"/>
  <c r="F538" i="47"/>
  <c r="L538" i="47" s="1"/>
  <c r="P543" i="47"/>
  <c r="P546" i="47"/>
  <c r="P547"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F659" i="47"/>
  <c r="H659" i="47" s="1"/>
  <c r="B667" i="47"/>
  <c r="N669" i="47"/>
  <c r="E682" i="47"/>
  <c r="B695" i="47"/>
  <c r="C695" i="47"/>
  <c r="P695" i="47"/>
  <c r="B704" i="47"/>
  <c r="B706" i="47"/>
  <c r="Q640" i="47"/>
  <c r="B655" i="47"/>
  <c r="K655" i="47" s="1"/>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I797" i="47"/>
  <c r="F806" i="47"/>
  <c r="C806" i="47"/>
  <c r="K806" i="47" s="1"/>
  <c r="P815" i="47"/>
  <c r="C815" i="47"/>
  <c r="J815" i="47" s="1"/>
  <c r="B815" i="47"/>
  <c r="O836" i="47"/>
  <c r="K842" i="47"/>
  <c r="J765" i="47"/>
  <c r="J789" i="47"/>
  <c r="K797" i="47"/>
  <c r="J805" i="47"/>
  <c r="P823" i="47"/>
  <c r="Q823" i="47" s="1"/>
  <c r="C823" i="47"/>
  <c r="B823" i="47"/>
  <c r="P832" i="47"/>
  <c r="P830" i="47"/>
  <c r="O83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C896" i="47"/>
  <c r="F899" i="47"/>
  <c r="B899" i="47"/>
  <c r="M899" i="47" s="1"/>
  <c r="C907" i="47"/>
  <c r="I907" i="47" s="1"/>
  <c r="F876" i="47"/>
  <c r="O883" i="47"/>
  <c r="C884" i="47"/>
  <c r="O895" i="47"/>
  <c r="F896" i="47"/>
  <c r="C899" i="47"/>
  <c r="J899" i="47" s="1"/>
  <c r="F904" i="47"/>
  <c r="C904" i="47"/>
  <c r="M904" i="47" s="1"/>
  <c r="F907" i="47"/>
  <c r="F923" i="47"/>
  <c r="P923" i="47"/>
  <c r="Q923" i="47" s="1"/>
  <c r="C923" i="47"/>
  <c r="M923" i="47" s="1"/>
  <c r="B923" i="47"/>
  <c r="B871" i="47"/>
  <c r="O884" i="47"/>
  <c r="P888" i="47"/>
  <c r="B898" i="47"/>
  <c r="B904" i="47"/>
  <c r="B916" i="47"/>
  <c r="K916" i="47" s="1"/>
  <c r="P916" i="47"/>
  <c r="Q916" i="47" s="1"/>
  <c r="J916" i="47"/>
  <c r="G916" i="47"/>
  <c r="F916" i="47"/>
  <c r="L916" i="47" s="1"/>
  <c r="O916" i="47"/>
  <c r="H916" i="47"/>
  <c r="J930" i="47"/>
  <c r="H930" i="47"/>
  <c r="B930" i="47"/>
  <c r="O930" i="47"/>
  <c r="N930" i="47"/>
  <c r="L930" i="47"/>
  <c r="P930" i="47"/>
  <c r="Q930" i="47" s="1"/>
  <c r="M930" i="47"/>
  <c r="K930" i="47"/>
  <c r="I930" i="47"/>
  <c r="G930" i="47"/>
  <c r="F930" i="47"/>
  <c r="Q852" i="47"/>
  <c r="Q856" i="47"/>
  <c r="B866" i="47"/>
  <c r="P867" i="47"/>
  <c r="C871" i="47"/>
  <c r="F884" i="47"/>
  <c r="C898" i="47"/>
  <c r="M898" i="47" s="1"/>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F924" i="47"/>
  <c r="G929" i="47"/>
  <c r="G933" i="47"/>
  <c r="C936" i="47"/>
  <c r="E943" i="47"/>
  <c r="J946" i="47"/>
  <c r="H946" i="47"/>
  <c r="G946" i="47"/>
  <c r="B946" i="47"/>
  <c r="O946" i="47"/>
  <c r="N946" i="47"/>
  <c r="L946" i="47"/>
  <c r="L947" i="47"/>
  <c r="F950" i="47"/>
  <c r="V967" i="47"/>
  <c r="V999" i="47"/>
  <c r="V1031" i="47"/>
  <c r="B906" i="47"/>
  <c r="G906" i="47" s="1"/>
  <c r="O906" i="47"/>
  <c r="N906" i="47"/>
  <c r="L906" i="47"/>
  <c r="F911" i="47"/>
  <c r="H911" i="47" s="1"/>
  <c r="P911" i="47"/>
  <c r="Q911" i="47" s="1"/>
  <c r="N911" i="47"/>
  <c r="K911" i="47"/>
  <c r="J911" i="47"/>
  <c r="V918" i="47"/>
  <c r="C924" i="47"/>
  <c r="I924" i="47" s="1"/>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J929" i="47"/>
  <c r="B932" i="47"/>
  <c r="P932" i="47"/>
  <c r="Q932" i="47" s="1"/>
  <c r="O932" i="47"/>
  <c r="L932" i="47"/>
  <c r="J932" i="47"/>
  <c r="G932" i="47"/>
  <c r="F932" i="47"/>
  <c r="J933" i="47"/>
  <c r="H936" i="47"/>
  <c r="O947" i="47"/>
  <c r="V1032" i="47"/>
  <c r="V1078" i="47"/>
  <c r="F919" i="47"/>
  <c r="P919" i="47"/>
  <c r="Q919" i="47" s="1"/>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J910" i="47"/>
  <c r="H910" i="47"/>
  <c r="B910" i="47"/>
  <c r="I910" i="47" s="1"/>
  <c r="O910" i="47"/>
  <c r="N910" i="47"/>
  <c r="L910" i="47"/>
  <c r="G911" i="47"/>
  <c r="C919" i="47"/>
  <c r="M919" i="47" s="1"/>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C914" i="47"/>
  <c r="I914" i="47" s="1"/>
  <c r="B918" i="47"/>
  <c r="O918" i="47"/>
  <c r="M928" i="47"/>
  <c r="B931" i="47"/>
  <c r="K932" i="47"/>
  <c r="G935" i="47"/>
  <c r="C938" i="47"/>
  <c r="M939" i="47"/>
  <c r="N941" i="47"/>
  <c r="L941" i="47"/>
  <c r="K941" i="47"/>
  <c r="H941" i="47"/>
  <c r="F941" i="47"/>
  <c r="C941" i="47"/>
  <c r="B941" i="47"/>
  <c r="P941" i="47"/>
  <c r="Q941" i="47" s="1"/>
  <c r="I942" i="47"/>
  <c r="G945" i="47"/>
  <c r="P946" i="47"/>
  <c r="Q946" i="47" s="1"/>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20" i="47" l="1"/>
  <c r="J680" i="47"/>
  <c r="H658" i="47"/>
  <c r="N253" i="47"/>
  <c r="L90" i="47"/>
  <c r="E17" i="47"/>
  <c r="N300" i="47"/>
  <c r="L201" i="47"/>
  <c r="K910" i="47"/>
  <c r="K550" i="47"/>
  <c r="H334" i="47"/>
  <c r="I214" i="47"/>
  <c r="I270" i="47"/>
  <c r="M270" i="47"/>
  <c r="I884" i="47"/>
  <c r="J658" i="47"/>
  <c r="L477" i="47"/>
  <c r="G334" i="47"/>
  <c r="J118" i="47"/>
  <c r="N840" i="47"/>
  <c r="J214" i="47"/>
  <c r="H118" i="47"/>
  <c r="G17" i="47"/>
  <c r="L911" i="47"/>
  <c r="M921" i="47"/>
  <c r="H624" i="47"/>
  <c r="K578" i="47"/>
  <c r="L444" i="47"/>
  <c r="G214" i="47"/>
  <c r="K300" i="47"/>
  <c r="N118" i="47"/>
  <c r="K365" i="47"/>
  <c r="L51" i="47"/>
  <c r="K605" i="47"/>
  <c r="M773" i="47"/>
  <c r="J41" i="47"/>
  <c r="H895" i="47"/>
  <c r="I300" i="47"/>
  <c r="I17" i="47"/>
  <c r="H773" i="47"/>
  <c r="K773" i="47"/>
  <c r="L326" i="47"/>
  <c r="N128" i="47"/>
  <c r="N411" i="47"/>
  <c r="H642" i="47"/>
  <c r="L714" i="47"/>
  <c r="E773" i="47"/>
  <c r="J598" i="47"/>
  <c r="N916" i="47"/>
  <c r="L658" i="47"/>
  <c r="M477" i="47"/>
  <c r="N477" i="47"/>
  <c r="J444" i="47"/>
  <c r="L300" i="47"/>
  <c r="G270" i="47"/>
  <c r="L218" i="47"/>
  <c r="G841" i="47"/>
  <c r="G347" i="47"/>
  <c r="H253" i="47"/>
  <c r="M17" i="47"/>
  <c r="L117" i="47"/>
  <c r="K11" i="47"/>
  <c r="G41" i="47"/>
  <c r="L923" i="47"/>
  <c r="I320" i="47"/>
  <c r="K290" i="47"/>
  <c r="M192" i="47"/>
  <c r="J795" i="47"/>
  <c r="E923" i="47"/>
  <c r="G411" i="47"/>
  <c r="I82" i="47"/>
  <c r="M769" i="47"/>
  <c r="M742" i="47"/>
  <c r="K90" i="47"/>
  <c r="E769" i="47"/>
  <c r="G212" i="47"/>
  <c r="G130" i="47"/>
  <c r="I769" i="47"/>
  <c r="L347" i="47"/>
  <c r="M510" i="47"/>
  <c r="L186" i="47"/>
  <c r="G660" i="47"/>
  <c r="H425" i="47"/>
  <c r="G910" i="47"/>
  <c r="G904" i="47"/>
  <c r="N692" i="47"/>
  <c r="N566" i="47"/>
  <c r="N769" i="47"/>
  <c r="G248" i="47"/>
  <c r="I123" i="47"/>
  <c r="M669" i="47"/>
  <c r="H210" i="47"/>
  <c r="J254" i="47"/>
  <c r="K158" i="47"/>
  <c r="N924" i="47"/>
  <c r="M924" i="47"/>
  <c r="E924" i="47"/>
  <c r="H924" i="47"/>
  <c r="K924" i="47"/>
  <c r="G924" i="47"/>
  <c r="J924" i="47"/>
  <c r="L924" i="47"/>
  <c r="G923" i="47"/>
  <c r="I923" i="47"/>
  <c r="H923" i="47"/>
  <c r="J923" i="47"/>
  <c r="K923" i="47"/>
  <c r="N923" i="47"/>
  <c r="M638" i="47"/>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<sst xmlns="http://schemas.openxmlformats.org/spreadsheetml/2006/main" count="34606" uniqueCount="12739">
  <si>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</si>
  <si>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</si>
  <si>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</si>
  <si>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</si>
  <si>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</si>
  <si>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</si>
  <si>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</si>
  <si>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</si>
  <si>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</si>
  <si>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</si>
  <si>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</si>
  <si>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</si>
  <si>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</si>
  <si>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</si>
  <si>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</si>
  <si>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</si>
  <si>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</si>
  <si>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</si>
  <si>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</si>
  <si>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</si>
  <si>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</si>
  <si>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</si>
  <si>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</si>
  <si>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</si>
  <si>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</si>
  <si>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</si>
  <si>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</si>
  <si>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</si>
  <si>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</si>
  <si>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</si>
  <si>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</si>
  <si>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</si>
  <si>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</si>
  <si>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</si>
  <si>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</si>
  <si>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</si>
  <si>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</si>
  <si>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</si>
  <si>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</si>
  <si>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</si>
  <si>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</si>
  <si>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</si>
  <si>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</si>
  <si>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</si>
  <si>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</si>
  <si>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</si>
  <si>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</si>
  <si>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</si>
  <si>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</si>
  <si>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</si>
  <si>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</si>
  <si>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</si>
  <si>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</si>
  <si>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</si>
  <si>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</si>
  <si>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</si>
  <si>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</si>
  <si>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</si>
  <si>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</si>
  <si>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</si>
  <si>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</si>
  <si>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</si>
  <si>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</si>
  <si>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</si>
  <si>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</si>
  <si>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</si>
  <si>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</si>
  <si>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</si>
  <si>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</si>
  <si>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</si>
  <si>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</si>
  <si>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</si>
  <si>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</si>
  <si>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</si>
  <si>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</si>
  <si>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</si>
  <si>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</si>
  <si>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</si>
  <si>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</si>
  <si>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</si>
  <si>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</si>
  <si>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</si>
  <si>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</si>
  <si>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</si>
  <si>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</si>
  <si>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</si>
  <si>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</si>
  <si>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</si>
  <si>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</si>
  <si>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</si>
  <si>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</si>
  <si>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</si>
  <si>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</si>
  <si>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</si>
  <si>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</si>
  <si>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</si>
  <si>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</si>
  <si>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</si>
  <si>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</si>
  <si>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</si>
  <si>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</si>
  <si>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</si>
  <si>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</si>
  <si>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</si>
  <si>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</si>
  <si>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</si>
  <si>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</si>
  <si>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</si>
  <si>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</si>
  <si>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</si>
  <si>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</si>
  <si>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</si>
  <si>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</si>
  <si>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</si>
  <si>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</si>
  <si>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</si>
  <si>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</si>
  <si>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</si>
  <si>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</si>
  <si>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</si>
  <si>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</si>
  <si>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</si>
  <si>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</si>
  <si>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</si>
  <si>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</si>
  <si>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</si>
  <si>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</si>
  <si>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</si>
  <si>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</si>
  <si>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</si>
  <si>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</si>
  <si>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</si>
  <si>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</si>
  <si>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</si>
  <si>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</si>
  <si>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</si>
  <si>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</si>
  <si>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</si>
  <si>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</si>
  <si>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</si>
  <si>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</si>
  <si>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</si>
  <si>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</si>
  <si>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</si>
  <si>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</si>
  <si>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</si>
  <si>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</si>
  <si>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</si>
  <si>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</si>
  <si>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</si>
  <si>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</si>
  <si>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</si>
  <si>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</si>
  <si>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</si>
  <si>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</si>
  <si>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</si>
  <si>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</si>
  <si>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</si>
  <si>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</si>
  <si>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</si>
  <si>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</si>
  <si>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</si>
  <si>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</si>
  <si>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</si>
  <si>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</si>
  <si>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</si>
  <si>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</si>
  <si>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</si>
  <si>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</si>
  <si>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</si>
  <si>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</si>
  <si>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</si>
  <si>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</si>
  <si>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</si>
  <si>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</si>
  <si>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</si>
  <si>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</si>
  <si>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</si>
  <si>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</si>
  <si>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</si>
  <si>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</si>
  <si>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</si>
  <si>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</si>
  <si>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</si>
  <si>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</si>
  <si>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</si>
  <si>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</si>
  <si>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</si>
  <si>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</si>
  <si>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</si>
  <si>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</si>
  <si>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</si>
  <si>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</si>
  <si>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</si>
  <si>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</si>
  <si>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</si>
  <si>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</si>
  <si>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</si>
  <si>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</si>
  <si>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</si>
  <si>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</si>
  <si>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</si>
  <si>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</si>
  <si>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</si>
  <si>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</si>
  <si>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</si>
  <si>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</si>
  <si>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</si>
  <si>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</si>
  <si>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</si>
  <si>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</si>
  <si>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</si>
  <si>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</si>
  <si>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</si>
  <si>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</si>
  <si>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</si>
  <si>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</si>
  <si>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</si>
  <si>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</si>
  <si>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</si>
  <si>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</si>
  <si>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</si>
  <si>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</si>
  <si>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</si>
  <si>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</si>
  <si>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</si>
  <si>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</si>
  <si>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</si>
  <si>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</si>
  <si>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</si>
  <si>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</si>
  <si>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</si>
  <si>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</si>
  <si>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</si>
  <si>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</si>
  <si>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</si>
  <si>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</si>
  <si>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</si>
  <si>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</si>
  <si>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</si>
  <si>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</si>
  <si>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</si>
  <si>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</si>
  <si>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</si>
  <si>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</si>
  <si>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</si>
  <si>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</si>
  <si>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</si>
  <si>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</si>
  <si>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</si>
  <si>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</si>
  <si>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</si>
  <si>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</si>
  <si>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</si>
  <si>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</si>
  <si>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</si>
  <si>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</si>
  <si>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</si>
  <si>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</si>
  <si>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</si>
  <si>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</si>
  <si>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</si>
  <si>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</si>
  <si>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</si>
  <si>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</si>
  <si>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</si>
  <si>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</si>
  <si>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</si>
  <si>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</si>
  <si>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</si>
  <si>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</si>
  <si>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</si>
  <si>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</si>
  <si>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</si>
  <si>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</si>
  <si>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</si>
  <si>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</si>
  <si>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</si>
  <si>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</si>
  <si>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</si>
  <si>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</si>
  <si>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</si>
  <si>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</si>
  <si>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</si>
  <si>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</si>
  <si>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</si>
  <si>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</si>
  <si>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</si>
  <si>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</si>
  <si>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</si>
  <si>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</si>
  <si>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</si>
  <si>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</si>
  <si>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</si>
  <si>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</si>
  <si>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</si>
  <si>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</si>
  <si>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</si>
  <si>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</si>
  <si>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</si>
  <si>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</si>
  <si>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</si>
  <si>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</si>
  <si>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</si>
  <si>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</si>
  <si>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</si>
  <si>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</si>
  <si>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</si>
  <si>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</si>
  <si>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</si>
  <si>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</si>
  <si>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</si>
  <si>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</si>
  <si>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</si>
  <si>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</si>
  <si>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</si>
  <si>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</si>
  <si>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</si>
  <si>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</si>
  <si>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</si>
  <si>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</si>
  <si>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</si>
  <si>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</si>
  <si>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</si>
  <si>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</si>
  <si>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</si>
  <si>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</si>
  <si>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</si>
  <si>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</si>
  <si>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</si>
  <si>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</si>
  <si>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</si>
  <si>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</si>
  <si>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</si>
  <si>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</si>
  <si>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</si>
  <si>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</si>
  <si>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</si>
  <si>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</si>
  <si>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</si>
  <si>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</si>
  <si>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</si>
  <si>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</si>
  <si>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</si>
  <si>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</si>
  <si>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</si>
  <si>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</si>
  <si>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</si>
  <si>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</si>
  <si>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</si>
  <si>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</si>
  <si>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</si>
  <si>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</si>
  <si>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</si>
  <si>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</si>
  <si>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</si>
  <si>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</si>
  <si>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</si>
  <si>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</si>
  <si>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</si>
  <si>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</si>
  <si>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</si>
  <si>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</si>
  <si>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</si>
  <si>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</si>
  <si>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</si>
  <si>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</si>
  <si>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</si>
  <si>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</si>
  <si>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</si>
  <si>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</si>
  <si>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</si>
  <si>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</si>
  <si>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</si>
  <si>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</si>
  <si>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</si>
  <si>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</si>
  <si>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</si>
  <si>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</si>
  <si>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</si>
  <si>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</si>
  <si>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</si>
  <si>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</si>
  <si>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</si>
  <si>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</si>
  <si>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</si>
  <si>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</si>
  <si>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</si>
  <si>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</si>
  <si>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</si>
  <si>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</si>
  <si>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</si>
  <si>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</si>
  <si>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</si>
  <si>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</si>
  <si>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</si>
  <si>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</si>
  <si>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</si>
  <si>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</si>
  <si>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</si>
  <si>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</si>
  <si>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</si>
  <si>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</si>
  <si>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</si>
  <si>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</si>
  <si>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</si>
  <si>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</si>
  <si>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</si>
  <si>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</si>
  <si>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</si>
  <si>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</si>
  <si>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</si>
  <si>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</si>
  <si>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</si>
  <si>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</si>
  <si>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</si>
  <si>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</si>
  <si>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</si>
  <si>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</si>
  <si>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</si>
  <si>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</si>
  <si>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</si>
  <si>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</si>
  <si>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</si>
  <si>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</si>
  <si>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</si>
  <si>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</si>
  <si>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</si>
  <si>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</si>
  <si>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</si>
  <si>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</si>
  <si>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</si>
  <si>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</si>
  <si>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</si>
  <si>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</si>
  <si>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</si>
  <si>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</si>
  <si>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</si>
  <si>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</si>
  <si>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</si>
  <si>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</si>
  <si>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</si>
  <si>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</si>
  <si>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</si>
  <si>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</si>
  <si>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</si>
  <si>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</si>
  <si>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</si>
  <si>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</si>
  <si>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</si>
  <si>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</si>
  <si>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</si>
  <si>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</si>
  <si>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</si>
  <si>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</si>
  <si>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</si>
  <si>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</si>
  <si>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</si>
  <si>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</si>
  <si>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</si>
  <si>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</si>
  <si>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</si>
  <si>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</si>
  <si>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</si>
  <si>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</si>
  <si>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</si>
  <si>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</si>
  <si>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</si>
  <si>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</si>
  <si>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</si>
  <si>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</si>
  <si>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</si>
  <si>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</si>
  <si>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</si>
  <si>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</si>
  <si>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</si>
  <si>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</si>
  <si>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</si>
  <si>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</si>
  <si>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</si>
  <si>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</si>
  <si>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</si>
  <si>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</si>
  <si>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</si>
  <si>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</si>
  <si>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</si>
  <si>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</si>
  <si>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</si>
  <si>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</si>
  <si>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</si>
  <si>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</si>
  <si>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</si>
  <si>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</si>
  <si>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</si>
  <si>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</si>
  <si>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</si>
  <si>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</si>
  <si>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</si>
  <si>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</si>
  <si>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</si>
  <si>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</si>
  <si>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</si>
  <si>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</si>
  <si>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</si>
  <si>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</si>
  <si>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</si>
  <si>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</si>
  <si>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</si>
  <si>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</si>
  <si>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</si>
  <si>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</si>
  <si>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</si>
  <si>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</si>
  <si>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</si>
  <si>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</si>
  <si>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</si>
  <si>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</si>
  <si>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</si>
  <si>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</si>
  <si>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</si>
  <si>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</si>
  <si>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</si>
  <si>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</si>
  <si>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</si>
  <si>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</si>
  <si>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</si>
  <si>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</si>
  <si>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</si>
  <si>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</si>
  <si>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</si>
  <si>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</si>
  <si>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</si>
  <si>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</si>
  <si>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</si>
  <si>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</si>
  <si>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</si>
  <si>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</si>
  <si>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</si>
  <si>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</si>
  <si>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</si>
  <si>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</si>
  <si>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</si>
  <si>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</si>
  <si>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</si>
  <si>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</si>
  <si>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</si>
  <si>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</si>
  <si>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</si>
  <si>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</si>
  <si>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</si>
  <si>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</si>
  <si>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</si>
  <si>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</si>
  <si>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</si>
  <si>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</si>
  <si>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</si>
  <si>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</si>
  <si>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</si>
  <si>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</si>
  <si>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</si>
  <si>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</si>
  <si>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</si>
  <si>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</si>
  <si>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</si>
  <si>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</si>
  <si>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</si>
  <si>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</si>
  <si>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</si>
  <si>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</si>
  <si>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</si>
  <si>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</si>
  <si>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</si>
  <si>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</si>
  <si>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</si>
  <si>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</si>
  <si>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</si>
  <si>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</si>
  <si>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</si>
  <si>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</si>
  <si>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</si>
  <si>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</si>
  <si>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</si>
  <si>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</si>
  <si>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</si>
  <si>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</si>
  <si>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</si>
  <si>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</si>
  <si>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</si>
  <si>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</si>
  <si>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</si>
  <si>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</si>
  <si>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</si>
  <si>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</si>
  <si>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</si>
  <si>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</si>
  <si>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</si>
  <si>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</si>
  <si>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</si>
  <si>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</si>
  <si>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</si>
  <si>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</si>
  <si>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</si>
  <si>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</si>
  <si>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</si>
  <si>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</si>
  <si>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</si>
  <si>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</si>
  <si>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</si>
  <si>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</si>
  <si>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</si>
  <si>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</si>
  <si>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</si>
  <si>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</si>
  <si>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</si>
  <si>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</si>
  <si>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</si>
  <si>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</si>
  <si>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</si>
  <si>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</si>
  <si>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</si>
  <si>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</si>
  <si>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</si>
  <si>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</si>
  <si>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</si>
  <si>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</si>
  <si>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</si>
  <si>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</si>
  <si>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</si>
  <si>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</si>
  <si>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</si>
  <si>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</si>
  <si>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</si>
  <si>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</si>
  <si>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</si>
  <si>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</si>
  <si>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</si>
  <si>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</si>
  <si>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</si>
  <si>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</si>
  <si>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</si>
  <si>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</si>
  <si>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</si>
  <si>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</si>
  <si>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</si>
  <si>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</si>
  <si>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</si>
  <si>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</si>
  <si>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</si>
  <si>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</si>
  <si>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</si>
  <si>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</si>
  <si>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</si>
  <si>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</si>
  <si>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</si>
  <si>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</si>
  <si>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</si>
  <si>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</si>
  <si>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</si>
  <si>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</si>
  <si>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</si>
  <si>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</si>
  <si>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</si>
  <si>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</si>
  <si>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</si>
  <si>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</si>
  <si>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</si>
  <si>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</si>
  <si>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</si>
  <si>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</si>
  <si>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</si>
  <si>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</si>
  <si>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</si>
  <si>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</si>
  <si>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</si>
  <si>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</si>
  <si>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</si>
  <si>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</si>
  <si>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</si>
  <si>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</si>
  <si>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</si>
  <si>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</si>
  <si>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</si>
  <si>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</si>
  <si>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</si>
  <si>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</si>
  <si>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</si>
  <si>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</si>
  <si>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</si>
  <si>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</si>
  <si>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</si>
  <si>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</si>
  <si>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</si>
  <si>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</si>
  <si>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</si>
  <si>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</si>
  <si>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</si>
  <si>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</si>
  <si>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</si>
  <si>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</si>
  <si>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</si>
  <si>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</si>
  <si>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</si>
  <si>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</si>
  <si>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</si>
  <si>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</si>
  <si>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</si>
  <si>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</si>
  <si>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</si>
  <si>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</si>
  <si>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</si>
  <si>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</si>
  <si>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</si>
  <si>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</si>
  <si>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</si>
  <si>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</si>
  <si>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</si>
  <si>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</si>
  <si>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</si>
  <si>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</si>
  <si>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</si>
  <si>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</si>
  <si>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</si>
  <si>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</si>
  <si>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</si>
  <si>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</si>
  <si>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</si>
  <si>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</si>
  <si>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</si>
  <si>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</si>
  <si>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</si>
  <si>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</si>
  <si>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</si>
  <si>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</si>
  <si>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</si>
  <si>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</si>
  <si>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</si>
  <si>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</si>
  <si>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</si>
  <si>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</si>
  <si>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</si>
  <si>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</si>
  <si>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</si>
  <si>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</si>
  <si>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</si>
  <si>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</si>
  <si>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</si>
  <si>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</si>
  <si>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</si>
  <si>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</si>
  <si>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</si>
  <si>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</si>
  <si>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</si>
  <si>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</si>
  <si>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</si>
  <si>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</si>
  <si>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</si>
  <si>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</si>
  <si>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</si>
  <si>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</si>
  <si>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</si>
  <si>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</si>
  <si>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</si>
  <si>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</si>
  <si>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</si>
  <si>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</si>
  <si>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</si>
  <si>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</si>
  <si>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</si>
  <si>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</si>
  <si>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</si>
  <si>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</si>
  <si>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</si>
  <si>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</si>
  <si>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</si>
  <si>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</si>
  <si>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</si>
  <si>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</si>
  <si>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</si>
  <si>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</si>
  <si>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</si>
  <si>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</si>
  <si>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</si>
  <si>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</si>
  <si>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</si>
  <si>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</si>
  <si>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</si>
  <si>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</si>
  <si>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</si>
  <si>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</si>
  <si>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</si>
  <si>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</si>
  <si>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</si>
  <si>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</si>
  <si>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</si>
  <si>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</si>
  <si>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</si>
  <si>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</si>
  <si>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</si>
  <si>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</si>
  <si>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</si>
  <si>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</si>
  <si>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</si>
  <si>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</si>
  <si>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</si>
  <si>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</si>
  <si>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</si>
  <si>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</si>
  <si>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</si>
  <si>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</si>
  <si>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</si>
  <si>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</si>
  <si>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</si>
  <si>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</si>
  <si>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</si>
  <si>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</si>
  <si>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</si>
  <si>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</si>
  <si>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</si>
  <si>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</si>
  <si>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</si>
  <si>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</si>
  <si>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</si>
  <si>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</si>
  <si>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</si>
  <si>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</si>
  <si>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</si>
  <si>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</si>
  <si>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</si>
  <si>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</si>
  <si>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</si>
  <si>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</si>
  <si>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</si>
  <si>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</si>
  <si>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</si>
  <si>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</si>
  <si>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</si>
  <si>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</si>
  <si>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</si>
  <si>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</si>
  <si>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</si>
  <si>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</si>
  <si>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</si>
  <si>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</si>
  <si>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</si>
  <si>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</si>
  <si>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</si>
  <si>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</si>
  <si>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</si>
  <si>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</si>
  <si>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</si>
  <si>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</si>
  <si>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</si>
  <si>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</si>
  <si>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</si>
  <si>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</si>
  <si>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</si>
  <si>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</si>
  <si>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</si>
  <si>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</si>
  <si>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</si>
  <si>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</si>
  <si>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</si>
  <si>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</si>
  <si>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</si>
  <si>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</si>
  <si>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</si>
  <si>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</si>
  <si>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</si>
  <si>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</si>
  <si>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</si>
  <si>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</si>
  <si>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</si>
  <si>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</si>
  <si>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</si>
  <si>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</si>
  <si>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</si>
  <si>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</si>
  <si>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</si>
  <si>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</si>
  <si>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</si>
  <si>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</si>
  <si>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</si>
  <si>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</si>
  <si>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</si>
  <si>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</si>
  <si>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</si>
  <si>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</si>
  <si>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</si>
  <si>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</si>
  <si>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</si>
  <si>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</si>
  <si>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</si>
  <si>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</si>
  <si>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</si>
  <si>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</si>
  <si>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</si>
  <si>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</si>
  <si>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</si>
  <si>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</si>
  <si>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</si>
  <si>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</si>
  <si>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</si>
  <si>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</si>
  <si>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</si>
  <si>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</si>
  <si>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</si>
  <si>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</si>
  <si>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</si>
  <si>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</si>
  <si>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</si>
  <si>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</si>
  <si>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</si>
  <si>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</si>
  <si>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</si>
  <si>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</si>
  <si>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</si>
  <si>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</si>
  <si>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</si>
  <si>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</si>
  <si>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</si>
  <si>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</si>
  <si>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</si>
  <si>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</si>
  <si>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</si>
  <si>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</si>
  <si>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</si>
  <si>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</si>
  <si>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</si>
  <si>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</si>
  <si>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</si>
  <si>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</si>
  <si>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</si>
  <si>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</si>
  <si>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</si>
  <si>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</si>
  <si>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</si>
  <si>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</si>
  <si>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</si>
  <si>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</si>
  <si>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</si>
  <si>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</si>
  <si>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</si>
  <si>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</si>
  <si>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</si>
  <si>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</si>
  <si>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</si>
  <si>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</si>
  <si>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</si>
  <si>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</si>
  <si>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</si>
  <si>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</si>
  <si>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</si>
  <si>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</si>
  <si>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</si>
  <si>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</si>
  <si>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</si>
  <si>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</si>
  <si>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</si>
  <si>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</si>
  <si>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</si>
  <si>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</si>
  <si>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</si>
  <si>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</si>
  <si>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</si>
  <si>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</si>
  <si>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</si>
  <si>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</si>
  <si>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</si>
  <si>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</si>
  <si>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</si>
  <si>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</si>
  <si>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</si>
  <si>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</si>
  <si>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</si>
  <si>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</si>
  <si>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</si>
  <si>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</si>
  <si>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</si>
  <si>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</si>
  <si>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</si>
  <si>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</si>
  <si>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</si>
  <si>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</si>
  <si>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</si>
  <si>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</si>
  <si>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</si>
  <si>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</si>
  <si>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</si>
  <si>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</si>
  <si>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</si>
  <si>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</si>
  <si>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</si>
  <si>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</si>
  <si>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</si>
  <si>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</si>
  <si>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</si>
  <si>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</si>
  <si>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</si>
  <si>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</si>
  <si>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</si>
  <si>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</si>
  <si>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</si>
  <si>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</si>
  <si>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</si>
  <si>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</si>
  <si>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</si>
  <si>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</si>
  <si>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</si>
  <si>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</si>
  <si>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</si>
  <si>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</si>
  <si>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</si>
  <si>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</si>
  <si>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</si>
  <si>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</si>
  <si>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</si>
  <si>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</si>
  <si>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</si>
  <si>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</si>
  <si>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</si>
  <si>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</si>
  <si>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</si>
  <si>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</si>
  <si>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</si>
  <si>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</si>
  <si>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</si>
  <si>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</si>
  <si>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</si>
  <si>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</si>
  <si>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</si>
  <si>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</si>
  <si>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</si>
  <si>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</si>
  <si>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</si>
  <si>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</si>
  <si>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</si>
  <si>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</si>
  <si>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</si>
  <si>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</si>
  <si>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</si>
  <si>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</si>
  <si>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</si>
  <si>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</si>
  <si>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</si>
  <si>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</si>
  <si>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</si>
  <si>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</si>
  <si>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</si>
  <si>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</si>
  <si>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</si>
  <si>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</si>
  <si>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</si>
  <si>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</si>
  <si>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</si>
  <si>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</si>
  <si>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</si>
  <si>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</si>
  <si>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</si>
  <si>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</si>
  <si>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</si>
  <si>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</si>
  <si>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</si>
  <si>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</si>
  <si>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</si>
  <si>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</si>
  <si>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</si>
  <si>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</si>
  <si>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</si>
  <si>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</si>
  <si>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</si>
  <si>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</si>
  <si>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</si>
  <si>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</si>
  <si>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</si>
  <si>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</si>
  <si>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</si>
  <si>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</si>
  <si>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</si>
  <si>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</si>
  <si>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</si>
  <si>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</si>
  <si>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</si>
  <si>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</si>
  <si>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</si>
  <si>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</si>
  <si>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</si>
  <si>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</si>
  <si>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</si>
  <si>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</si>
  <si>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</si>
  <si>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</si>
  <si>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</si>
  <si>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</si>
  <si>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</si>
  <si>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</si>
  <si>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</si>
  <si>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</si>
  <si>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</si>
  <si>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</si>
  <si>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</si>
  <si>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</si>
  <si>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</si>
  <si>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</si>
  <si>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</si>
  <si>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</si>
  <si>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</si>
  <si>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</si>
  <si>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</si>
  <si>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</si>
  <si>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</si>
  <si>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</si>
  <si>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</si>
  <si>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</si>
  <si>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</si>
  <si>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</si>
  <si>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</si>
  <si>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</si>
  <si>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</si>
  <si>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</si>
  <si>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</si>
  <si>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</si>
  <si>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</si>
  <si>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</si>
  <si>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</si>
  <si>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</si>
  <si>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</si>
  <si>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</si>
  <si>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</si>
  <si>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</si>
  <si>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</si>
  <si>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</si>
  <si>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</si>
  <si>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</si>
  <si>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</si>
  <si>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</si>
  <si>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</si>
  <si>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</si>
  <si>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</si>
  <si>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</si>
  <si>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</si>
  <si>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</si>
  <si>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</si>
  <si>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</si>
  <si>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</si>
  <si>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</si>
  <si>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</si>
  <si>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</si>
  <si>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</si>
  <si>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</si>
  <si>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</si>
  <si>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</si>
  <si>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</si>
  <si>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</si>
  <si>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</si>
  <si>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</si>
  <si>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</si>
  <si>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</si>
  <si>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</si>
  <si>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</si>
  <si>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</si>
  <si>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</si>
  <si>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</si>
  <si>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</si>
  <si>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</si>
  <si>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</si>
  <si>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</si>
  <si>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</si>
  <si>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</si>
  <si>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</si>
  <si>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</si>
  <si>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</si>
  <si>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</si>
  <si>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</si>
  <si>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</si>
  <si>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</si>
  <si>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</si>
  <si>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</si>
  <si>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</si>
  <si>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</si>
  <si>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</si>
  <si>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</si>
  <si>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</si>
  <si>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</si>
  <si>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</si>
  <si>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</si>
  <si>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</si>
  <si>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</si>
  <si>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</si>
  <si>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</si>
  <si>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</si>
  <si>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</si>
  <si>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</si>
  <si>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</si>
  <si>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</si>
  <si>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</si>
  <si>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</si>
  <si>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</si>
  <si>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</si>
  <si>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</si>
  <si>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</si>
  <si>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</si>
  <si>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</si>
  <si>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</si>
  <si>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</si>
  <si>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</si>
  <si>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</si>
  <si>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</si>
  <si>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</si>
  <si>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</si>
  <si>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</si>
  <si>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</si>
  <si>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</si>
  <si>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</si>
  <si>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</si>
  <si>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</si>
  <si>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</si>
  <si>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</si>
  <si>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</si>
  <si>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</si>
  <si>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</si>
  <si>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</si>
  <si>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</si>
  <si>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</si>
  <si>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</si>
  <si>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</si>
  <si>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</si>
  <si>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</si>
  <si>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</si>
  <si>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</si>
  <si>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</si>
  <si>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</si>
  <si>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</si>
  <si>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</si>
  <si>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</si>
  <si>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</si>
  <si>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</si>
  <si>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</si>
  <si>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</si>
  <si>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</si>
  <si>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</si>
  <si>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</si>
  <si>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</si>
  <si>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</si>
  <si>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</si>
  <si>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</si>
  <si>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</si>
  <si>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</si>
  <si>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</si>
  <si>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</si>
  <si>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</si>
  <si>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</si>
  <si>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</si>
  <si>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</si>
  <si>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</si>
  <si>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</si>
  <si>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</si>
  <si>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</si>
  <si>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</si>
  <si>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</si>
  <si>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</si>
  <si>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</si>
  <si>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</si>
  <si>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</si>
  <si>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</si>
  <si>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</si>
  <si>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</si>
  <si>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</si>
  <si>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</si>
  <si>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</si>
  <si>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</si>
  <si>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</si>
  <si>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</si>
  <si>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</si>
  <si>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</si>
  <si>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</si>
  <si>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</si>
  <si>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</si>
  <si>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</si>
  <si>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</si>
  <si>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</si>
  <si>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</si>
  <si>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</si>
  <si>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</si>
  <si>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</si>
  <si>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</si>
  <si>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</si>
  <si>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</si>
  <si>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</si>
  <si>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</si>
  <si>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</si>
  <si>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</si>
  <si>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</si>
  <si>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</si>
  <si>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</si>
  <si>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</si>
  <si>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</si>
  <si>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</si>
  <si>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</si>
  <si>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</si>
  <si>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</si>
  <si>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</si>
  <si>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</si>
  <si>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</si>
  <si>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</si>
  <si>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</si>
  <si>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</si>
  <si>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</si>
  <si>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</si>
  <si>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</si>
  <si>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</si>
  <si>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</si>
  <si>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</si>
  <si>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</si>
  <si>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</si>
  <si>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</si>
  <si>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</si>
  <si>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</si>
  <si>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</si>
  <si>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</si>
  <si>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</si>
  <si>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</si>
  <si>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</si>
  <si>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</si>
  <si>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</si>
  <si>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</si>
  <si>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</si>
  <si>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</si>
  <si>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</si>
  <si>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</si>
  <si>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</si>
  <si>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</si>
  <si>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</si>
  <si>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</si>
  <si>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</si>
  <si>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</si>
  <si>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</si>
  <si>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</si>
  <si>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</si>
  <si>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</si>
  <si>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</si>
  <si>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</si>
  <si>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</si>
  <si>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</si>
  <si>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</si>
  <si>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</si>
  <si>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</si>
  <si>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</si>
  <si>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</si>
  <si>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</si>
  <si>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</si>
  <si>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</si>
  <si>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</si>
  <si>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</si>
  <si>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</si>
  <si>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</si>
  <si>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</si>
  <si>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</si>
  <si>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</si>
  <si>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</si>
  <si>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</si>
  <si>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</si>
  <si>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</si>
  <si>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</si>
  <si>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</si>
  <si>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</si>
  <si>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</si>
  <si>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</si>
  <si>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</si>
  <si>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</si>
  <si>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</si>
  <si>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</si>
  <si>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</si>
  <si>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</si>
  <si>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</si>
  <si>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</si>
  <si>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</si>
  <si>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</si>
  <si>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</si>
  <si>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</si>
  <si>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</si>
  <si>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</si>
  <si>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</si>
  <si>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</si>
  <si>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</si>
  <si>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</si>
  <si>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</si>
  <si>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</si>
  <si>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</si>
  <si>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</si>
  <si>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</si>
  <si>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</si>
  <si>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</si>
  <si>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</si>
  <si>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</si>
  <si>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</si>
  <si>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</si>
  <si>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</si>
  <si>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</si>
  <si>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</si>
  <si>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</si>
  <si>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</si>
  <si>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</si>
  <si>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</si>
  <si>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</si>
  <si>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</si>
  <si>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</si>
  <si>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</si>
  <si>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</si>
  <si>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</si>
  <si>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</si>
  <si>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</si>
  <si>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</si>
  <si>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</si>
  <si>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</si>
  <si>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</si>
  <si>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</si>
  <si>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</si>
  <si>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</si>
  <si>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</si>
  <si>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</si>
  <si>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</si>
  <si>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</si>
  <si>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</si>
  <si>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</si>
  <si>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</si>
  <si>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</si>
  <si>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</si>
  <si>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</si>
  <si>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</si>
  <si>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</si>
  <si>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</si>
  <si>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</si>
  <si>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</si>
  <si>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</si>
  <si>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</si>
  <si>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</si>
  <si>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</si>
  <si>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</si>
  <si>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</si>
  <si>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</si>
  <si>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</si>
  <si>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</si>
  <si>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</si>
  <si>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</si>
  <si>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</si>
  <si>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</si>
  <si>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</si>
  <si>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</si>
  <si>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</si>
  <si>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</si>
  <si>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</si>
  <si>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</si>
  <si>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</si>
  <si>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</si>
  <si>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</si>
  <si>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</si>
  <si>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</si>
  <si>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</si>
  <si>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</si>
  <si>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</si>
  <si>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</si>
  <si>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</si>
  <si>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</si>
  <si>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</si>
  <si>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</si>
  <si>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</si>
  <si>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</si>
  <si>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</si>
  <si>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</si>
  <si>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</si>
  <si>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</si>
  <si>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</si>
  <si>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</si>
  <si>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</si>
  <si>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</si>
  <si>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</si>
  <si>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</si>
  <si>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</si>
  <si>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</si>
  <si>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</si>
  <si>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</si>
  <si>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</si>
  <si>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</si>
  <si>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</si>
  <si>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</si>
  <si>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</si>
  <si>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</si>
  <si>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</si>
  <si>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</si>
  <si>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</si>
  <si>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</si>
  <si>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</si>
  <si>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</si>
  <si>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</si>
  <si>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</si>
  <si>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</si>
  <si>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</si>
  <si>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</si>
  <si>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</si>
  <si>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</si>
  <si>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</si>
  <si>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</si>
  <si>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</si>
  <si>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</si>
  <si>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</si>
  <si>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</si>
  <si>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</si>
  <si>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</si>
  <si>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</si>
  <si>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</si>
  <si>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</si>
  <si>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</si>
  <si>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</si>
  <si>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</si>
  <si>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</si>
  <si>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</si>
  <si>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</si>
  <si>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</si>
  <si>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</si>
  <si>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</si>
  <si>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</si>
  <si>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</si>
  <si>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</si>
  <si>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</si>
  <si>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</si>
  <si>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</si>
  <si>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</si>
  <si>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</si>
  <si>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</si>
  <si>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</si>
  <si>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</si>
  <si>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</si>
  <si>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</si>
  <si>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</si>
  <si>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</si>
  <si>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</si>
  <si>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</si>
  <si>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</si>
  <si>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</si>
  <si>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</si>
  <si>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</si>
  <si>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</si>
  <si>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</si>
  <si>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</si>
  <si>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</si>
  <si>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</si>
  <si>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</si>
  <si>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</si>
  <si>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</si>
  <si>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</si>
  <si>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</si>
  <si>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</si>
  <si>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</si>
  <si>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</si>
  <si>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</si>
  <si>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</si>
  <si>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</si>
  <si>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</si>
  <si>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</si>
  <si>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</si>
  <si>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</si>
  <si>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</si>
  <si>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</si>
  <si>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</si>
  <si>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</si>
  <si>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</si>
  <si>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</si>
  <si>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</si>
  <si>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</si>
  <si>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</si>
  <si>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</si>
  <si>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</si>
  <si>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</si>
  <si>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</si>
  <si>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</si>
  <si>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</si>
  <si>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</si>
  <si>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</si>
  <si>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</si>
  <si>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</si>
  <si>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</si>
  <si>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</si>
  <si>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</si>
  <si>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</si>
  <si>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</si>
  <si>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</si>
  <si>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</si>
  <si>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</si>
  <si>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</si>
  <si>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</si>
  <si>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</si>
  <si>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</si>
  <si>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</si>
  <si>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</si>
  <si>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</si>
  <si>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</si>
  <si>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</si>
  <si>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</si>
  <si>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</si>
  <si>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</si>
  <si>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</si>
  <si>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</si>
  <si>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</si>
  <si>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</si>
  <si>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</si>
  <si>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</si>
  <si>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</si>
  <si>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</si>
  <si>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</si>
  <si>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</si>
  <si>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</si>
  <si>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</si>
  <si>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</si>
  <si>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</si>
  <si>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</si>
  <si>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</si>
  <si>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</si>
  <si>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</si>
  <si>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</si>
  <si>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</si>
  <si>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</si>
  <si>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</si>
  <si>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</si>
  <si>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</si>
  <si>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</si>
  <si>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</si>
  <si>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</si>
  <si>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</si>
  <si>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</si>
  <si>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</si>
  <si>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</si>
  <si>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</si>
  <si>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</si>
  <si>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</si>
  <si>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</si>
  <si>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</si>
  <si>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</si>
  <si>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</si>
  <si>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</si>
  <si>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</si>
  <si>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</si>
  <si>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</si>
  <si>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</si>
  <si>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</si>
  <si>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</si>
  <si>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</si>
  <si>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</si>
  <si>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</si>
  <si>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</si>
  <si>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</si>
  <si>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</si>
  <si>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</si>
  <si>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</si>
  <si>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</si>
  <si>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</si>
  <si>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</si>
  <si>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</si>
  <si>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</si>
  <si>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</si>
  <si>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</si>
  <si>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</si>
  <si>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</si>
  <si>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</si>
  <si>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</si>
  <si>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</si>
  <si>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</si>
  <si>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</si>
  <si>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</si>
  <si>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</si>
  <si>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</si>
  <si>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</si>
  <si>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</si>
  <si>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</si>
  <si>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</si>
  <si>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</si>
  <si>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</si>
  <si>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</si>
  <si>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</si>
  <si>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</si>
  <si>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</si>
  <si>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</si>
  <si>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</si>
  <si>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</si>
  <si>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</si>
  <si>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</si>
  <si>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</si>
  <si>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</si>
  <si>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</si>
  <si>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</si>
  <si>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</si>
  <si>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</si>
  <si>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</si>
  <si>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</si>
  <si>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</si>
  <si>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</si>
  <si>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</si>
  <si>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</si>
  <si>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</si>
  <si>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</si>
  <si>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</si>
  <si>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</si>
  <si>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</si>
  <si>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</si>
  <si>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</si>
  <si>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</si>
  <si>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</si>
  <si>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</si>
  <si>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</si>
  <si>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</si>
  <si>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</si>
  <si>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</si>
  <si>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</si>
  <si>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</si>
  <si>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</si>
  <si>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</si>
  <si>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</si>
  <si>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</si>
  <si>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</si>
  <si>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</si>
  <si>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</si>
  <si>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</si>
  <si>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</si>
  <si>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</si>
  <si>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</si>
  <si>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</si>
  <si>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</si>
  <si>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</si>
  <si>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</si>
  <si>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</si>
  <si>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</si>
  <si>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</si>
  <si>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</si>
  <si>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</si>
  <si>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</si>
  <si>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</si>
  <si>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</si>
  <si>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</si>
  <si>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</si>
  <si>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</si>
  <si>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</si>
  <si>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</si>
  <si>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</si>
  <si>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</si>
  <si>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</si>
  <si>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</si>
  <si>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</si>
  <si>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</si>
  <si>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</si>
  <si>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</si>
  <si>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</si>
  <si>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</si>
  <si>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</si>
  <si>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</si>
  <si>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</si>
  <si>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</si>
  <si>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</si>
  <si>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</si>
  <si>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</si>
  <si>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</si>
  <si>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</si>
  <si>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</si>
  <si>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</si>
  <si>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</si>
  <si>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</si>
  <si>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</si>
  <si>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</si>
  <si>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</si>
  <si>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</si>
  <si>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</si>
  <si>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</si>
  <si>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</si>
  <si>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</si>
  <si>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</si>
  <si>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</si>
  <si>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</si>
  <si>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</si>
  <si>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</si>
  <si>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</si>
  <si>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</si>
  <si>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</si>
  <si>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</si>
  <si>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</si>
  <si>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</si>
  <si>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</si>
  <si>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</si>
  <si>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</si>
  <si>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</si>
  <si>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</si>
  <si>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</si>
  <si>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</si>
  <si>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</si>
  <si>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</si>
  <si>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</si>
  <si>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</si>
  <si>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</si>
  <si>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</si>
  <si>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</si>
  <si>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</si>
  <si>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</si>
  <si>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</si>
  <si>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</si>
  <si>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</si>
  <si>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</si>
  <si>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</si>
  <si>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</si>
  <si>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</si>
  <si>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</si>
  <si>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</si>
  <si>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</si>
  <si>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</si>
  <si>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</si>
  <si>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</si>
  <si>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</si>
  <si>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</si>
  <si>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</si>
  <si>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</si>
  <si>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</si>
  <si>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</si>
  <si>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</si>
  <si>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</si>
  <si>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</si>
  <si>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</si>
  <si>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</si>
  <si>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</si>
  <si>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</si>
  <si>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</si>
  <si>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</si>
  <si>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</si>
  <si>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</si>
  <si>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</si>
  <si>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</si>
  <si>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</si>
  <si>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</si>
  <si>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</si>
  <si>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</si>
  <si>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</si>
  <si>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</si>
  <si>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</si>
  <si>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</si>
  <si>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</si>
  <si>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</si>
  <si>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</si>
  <si>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</si>
  <si>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</si>
  <si>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</si>
  <si>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</si>
  <si>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</si>
  <si>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</si>
  <si>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</si>
  <si>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</si>
  <si>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</si>
  <si>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</si>
  <si>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</si>
  <si>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</si>
  <si>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</si>
  <si>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</si>
  <si>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</si>
  <si>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</si>
  <si>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</si>
  <si>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</si>
  <si>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</si>
  <si>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</si>
  <si>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</si>
  <si>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</si>
  <si>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</si>
  <si>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</si>
  <si>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</si>
  <si>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</si>
  <si>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</si>
  <si>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</si>
  <si>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</si>
  <si>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</si>
  <si>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</si>
  <si>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</si>
  <si>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</si>
  <si>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</si>
  <si>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</si>
  <si>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</si>
  <si>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</si>
  <si>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</si>
  <si>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</si>
  <si>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</si>
  <si>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</si>
  <si>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</si>
  <si>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</si>
  <si>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</si>
  <si>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</si>
  <si>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</si>
  <si>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</si>
  <si>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</si>
  <si>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</si>
  <si>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</si>
  <si>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</si>
  <si>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</si>
  <si>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</si>
  <si>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</si>
  <si>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</si>
  <si>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</si>
  <si>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</si>
  <si>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</si>
  <si>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</si>
  <si>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</si>
  <si>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</si>
  <si>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</si>
  <si>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</si>
  <si>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</si>
  <si>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</si>
  <si>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</si>
  <si>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</si>
  <si>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</si>
  <si>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</si>
  <si>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</si>
  <si>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</si>
  <si>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</si>
  <si>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</si>
  <si>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</si>
  <si>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</si>
  <si>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</si>
  <si>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</si>
  <si>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</si>
  <si>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</si>
  <si>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</si>
  <si>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</si>
  <si>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</si>
  <si>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</si>
  <si>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</si>
  <si>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</si>
  <si>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</si>
  <si>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</si>
  <si>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</si>
  <si>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</si>
  <si>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</si>
  <si>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</si>
  <si>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</si>
  <si>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</si>
  <si>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</si>
  <si>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</si>
  <si>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</si>
  <si>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</si>
  <si>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</si>
  <si>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</si>
  <si>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</si>
  <si>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</si>
  <si>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</si>
  <si>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</si>
  <si>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</si>
  <si>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</si>
  <si>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</si>
  <si>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</si>
  <si>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</si>
  <si>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</si>
  <si>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</si>
  <si>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</si>
  <si>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</si>
  <si>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</si>
  <si>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</si>
  <si>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</si>
  <si>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</si>
  <si>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</si>
  <si>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</si>
  <si>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</si>
  <si>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</si>
  <si>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</si>
  <si>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</si>
  <si>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</si>
  <si>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</si>
  <si>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</si>
  <si>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</si>
  <si>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</si>
  <si>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</si>
  <si>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</si>
  <si>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</si>
  <si>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</si>
  <si>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</si>
  <si>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</si>
  <si>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</si>
  <si>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</si>
  <si>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</si>
  <si>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</si>
  <si>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</si>
  <si>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</si>
  <si>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</si>
  <si>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</si>
  <si>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</si>
  <si>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</si>
  <si>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</si>
  <si>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</si>
  <si>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</si>
  <si>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</si>
  <si>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</si>
  <si>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</si>
  <si>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</si>
  <si>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</si>
  <si>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</si>
  <si>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</si>
  <si>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</si>
  <si>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</si>
  <si>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</si>
  <si>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</si>
  <si>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</si>
  <si>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</si>
  <si>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</si>
  <si>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</si>
  <si>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</si>
  <si>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</si>
  <si>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</si>
  <si>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</si>
  <si>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</si>
  <si>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</si>
  <si>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</si>
  <si>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</si>
  <si>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</si>
  <si>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</si>
  <si>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</si>
  <si>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</si>
  <si>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</si>
  <si>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</si>
  <si>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</si>
  <si>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</si>
  <si>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</si>
  <si>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</si>
  <si>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</si>
  <si>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</si>
  <si>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</si>
  <si>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</si>
  <si>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</si>
  <si>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</si>
  <si>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</si>
  <si>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</si>
  <si>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</si>
  <si>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</si>
  <si>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</si>
  <si>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</si>
  <si>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</si>
  <si>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</si>
  <si>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</si>
  <si>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</si>
  <si>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</si>
  <si>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</si>
  <si>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</si>
  <si>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</si>
  <si>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</si>
  <si>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</si>
  <si>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</si>
  <si>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</si>
  <si>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</si>
  <si>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</si>
  <si>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</si>
  <si>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</si>
  <si>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</si>
  <si>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</si>
  <si>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</si>
  <si>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</si>
  <si>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</si>
  <si>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</si>
  <si>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</si>
  <si>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</si>
  <si>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</si>
  <si>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</si>
  <si>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</si>
  <si>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</si>
  <si>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</si>
  <si>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</si>
  <si>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</si>
  <si>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</si>
  <si>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</si>
  <si>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</si>
  <si>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</si>
  <si>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</si>
  <si>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</si>
  <si>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</si>
  <si>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</si>
  <si>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</si>
  <si>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</si>
  <si>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</si>
  <si>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</si>
  <si>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</si>
  <si>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</si>
  <si>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</si>
  <si>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</si>
  <si>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</si>
  <si>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</si>
  <si>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</si>
  <si>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</si>
  <si>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</si>
  <si>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</si>
  <si>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</si>
  <si>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</si>
  <si>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</si>
  <si>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</si>
  <si>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</si>
  <si>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</si>
  <si>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</si>
  <si>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</si>
  <si>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</si>
  <si>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</si>
  <si>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</si>
  <si>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</si>
  <si>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</si>
  <si>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</si>
  <si>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</si>
  <si>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</si>
  <si>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</si>
  <si>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</si>
  <si>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</si>
  <si>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</si>
  <si>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</si>
  <si>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</si>
  <si>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</si>
  <si>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</si>
  <si>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</si>
  <si>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</si>
  <si>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</si>
  <si>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</si>
  <si>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</si>
  <si>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</si>
  <si>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</si>
  <si>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</si>
  <si>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</si>
  <si>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</si>
  <si>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</si>
  <si>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</si>
  <si>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</si>
  <si>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</si>
  <si>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</si>
  <si>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</si>
  <si>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</si>
  <si>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</si>
  <si>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</si>
  <si>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</si>
  <si>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</si>
  <si>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</si>
  <si>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</si>
  <si>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</si>
  <si>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</si>
  <si>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</si>
  <si>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</si>
  <si>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</si>
  <si>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</si>
  <si>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</si>
  <si>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</si>
  <si>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</si>
  <si>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</si>
  <si>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</si>
  <si>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</si>
  <si>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</si>
  <si>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</si>
  <si>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</si>
  <si>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</si>
  <si>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</si>
  <si>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</si>
  <si>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</si>
  <si>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</si>
  <si>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</si>
  <si>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</si>
  <si>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</si>
  <si>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</si>
  <si>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</si>
  <si>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</si>
  <si>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</si>
  <si>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</si>
  <si>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</si>
  <si>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</si>
  <si>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</si>
  <si>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</si>
  <si>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</si>
  <si>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</si>
  <si>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</si>
  <si>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</si>
  <si>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</si>
  <si>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</si>
  <si>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</si>
  <si>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</si>
  <si>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</si>
  <si>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</si>
  <si>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</si>
  <si>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</si>
  <si>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</si>
  <si>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</si>
  <si>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</si>
  <si>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</si>
  <si>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</si>
  <si>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</si>
  <si>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</si>
  <si>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</si>
  <si>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</si>
  <si>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</si>
  <si>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</si>
  <si>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</si>
  <si>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</si>
  <si>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</si>
  <si>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</si>
  <si>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</si>
  <si>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</si>
  <si>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</si>
  <si>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</si>
  <si>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</si>
  <si>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</si>
  <si>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</si>
  <si>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</si>
  <si>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</si>
  <si>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</si>
  <si>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</si>
  <si>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</si>
  <si>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</si>
  <si>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</si>
  <si>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</si>
  <si>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</si>
  <si>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</si>
  <si>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</si>
  <si>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</si>
  <si>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</si>
  <si>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</si>
  <si>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</si>
  <si>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</si>
  <si>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</si>
  <si>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</si>
  <si>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</si>
  <si>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</si>
  <si>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</si>
  <si>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</si>
  <si>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</si>
  <si>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</si>
  <si>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</si>
  <si>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</si>
  <si>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</si>
  <si>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</si>
  <si>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</si>
  <si>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</si>
  <si>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</si>
  <si>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</si>
  <si>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</si>
  <si>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</si>
  <si>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</si>
  <si>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</si>
  <si>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</si>
  <si>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</si>
  <si>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</si>
  <si>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</si>
  <si>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</si>
  <si>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</si>
  <si>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</si>
  <si>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</si>
  <si>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</si>
  <si>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</si>
  <si>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</si>
  <si>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</si>
  <si>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</si>
  <si>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</si>
  <si>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</si>
  <si>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</si>
  <si>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</si>
  <si>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</si>
  <si>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</si>
  <si>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</si>
  <si>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</si>
  <si>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</si>
  <si>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</si>
  <si>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</si>
  <si>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</si>
  <si>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</si>
  <si>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</si>
  <si>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</si>
  <si>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</si>
  <si>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</si>
  <si>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</si>
  <si>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</si>
  <si>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</si>
  <si>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</si>
  <si>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</si>
  <si>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</si>
  <si>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</si>
  <si>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</si>
  <si>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</si>
  <si>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</si>
  <si>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</si>
  <si>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</si>
  <si>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</si>
  <si>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</si>
  <si>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</si>
  <si>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</si>
  <si>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</si>
  <si>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</si>
  <si>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</si>
  <si>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</si>
  <si>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</si>
  <si>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</si>
  <si>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</si>
  <si>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</si>
  <si>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</si>
  <si>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</si>
  <si>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</si>
  <si>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</si>
  <si>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</si>
  <si>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</si>
  <si>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</si>
  <si>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</si>
  <si>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</si>
  <si>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</si>
  <si>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</si>
  <si>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</si>
  <si>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</si>
  <si>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</si>
  <si>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</si>
  <si>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</si>
  <si>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</si>
  <si>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</si>
  <si>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</si>
  <si>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</si>
  <si>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</si>
  <si>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</si>
  <si>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</si>
  <si>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</si>
  <si>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</si>
  <si>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</si>
  <si>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</si>
  <si>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</si>
  <si>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</si>
  <si>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</si>
  <si>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</si>
  <si>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</si>
  <si>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</si>
  <si>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</si>
  <si>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</si>
  <si>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</si>
  <si>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</si>
  <si>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</si>
  <si>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</si>
  <si>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</si>
  <si>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</si>
  <si>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</si>
  <si>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</si>
  <si>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</si>
  <si>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</si>
  <si>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</si>
  <si>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</si>
  <si>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</si>
  <si>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</si>
  <si>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</si>
  <si>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</si>
  <si>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</si>
  <si>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</si>
  <si>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</si>
  <si>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</si>
  <si>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</si>
  <si>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</si>
  <si>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</si>
  <si>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</si>
  <si>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</si>
  <si>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</si>
  <si>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</si>
  <si>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</si>
  <si>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</si>
  <si>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</si>
  <si>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</si>
  <si>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</si>
  <si>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</si>
  <si>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</si>
  <si>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</si>
  <si>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</si>
  <si>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</si>
  <si>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</si>
  <si>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</si>
  <si>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</si>
  <si>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</si>
  <si>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</si>
  <si>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</si>
  <si>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</si>
  <si>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</si>
  <si>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</si>
  <si>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</si>
  <si>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</si>
  <si>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</si>
  <si>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</si>
  <si>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</si>
  <si>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</si>
  <si>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</si>
  <si>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</si>
  <si>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</si>
  <si>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</si>
  <si>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</si>
  <si>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</si>
  <si>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</si>
  <si>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</si>
  <si>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</si>
  <si>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</si>
  <si>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</si>
  <si>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</si>
  <si>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</si>
  <si>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</si>
  <si>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</si>
  <si>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</si>
  <si>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</si>
  <si>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</si>
  <si>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</si>
  <si>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</si>
  <si>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</si>
  <si>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</si>
  <si>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</si>
  <si>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</si>
  <si>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</si>
  <si>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</si>
  <si>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</si>
  <si>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</si>
  <si>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</si>
  <si>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</si>
  <si>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</si>
  <si>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</si>
  <si>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</si>
  <si>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</si>
  <si>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</si>
  <si>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</si>
  <si>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</si>
  <si>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</si>
  <si>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</si>
  <si>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</si>
  <si>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</si>
  <si>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</si>
  <si>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</si>
  <si>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</si>
  <si>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</si>
  <si>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</si>
  <si>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</si>
  <si>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</si>
  <si>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</si>
  <si>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</si>
  <si>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</si>
  <si>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</si>
  <si>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</si>
  <si>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</si>
  <si>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</si>
  <si>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</si>
  <si>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</si>
  <si>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</si>
  <si>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</si>
  <si>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</si>
  <si>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</si>
  <si>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</si>
  <si>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</si>
  <si>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</si>
  <si>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</si>
  <si>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</si>
  <si>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</si>
  <si>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</si>
  <si>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</si>
  <si>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</si>
  <si>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</si>
  <si>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</si>
  <si>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</si>
  <si>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</si>
  <si>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</si>
  <si>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</si>
  <si>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</si>
  <si>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</si>
  <si>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</si>
  <si>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</si>
  <si>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</si>
  <si>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</si>
  <si>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</si>
  <si>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</si>
  <si>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</si>
  <si>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</si>
  <si>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</si>
  <si>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</si>
  <si>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</si>
  <si>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</si>
  <si>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</si>
  <si>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</si>
  <si>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</si>
  <si>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</si>
  <si>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</si>
  <si>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</si>
  <si>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</si>
  <si>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</si>
  <si>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</si>
  <si>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</si>
  <si>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</si>
  <si>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</si>
  <si>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</si>
  <si>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</si>
  <si>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</si>
  <si>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</si>
  <si>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</si>
  <si>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</si>
  <si>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</si>
  <si>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</si>
  <si>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</si>
  <si>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</si>
  <si>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</si>
  <si>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</si>
  <si>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</si>
  <si>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</si>
  <si>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</si>
  <si>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</si>
  <si>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</si>
  <si>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</si>
  <si>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</si>
  <si>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</si>
  <si>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</si>
  <si>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</si>
  <si>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</si>
  <si>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</si>
  <si>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</si>
  <si>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</si>
  <si>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</si>
  <si>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</si>
  <si>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</si>
  <si>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</si>
  <si>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</si>
  <si>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</si>
  <si>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</si>
  <si>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</si>
  <si>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</si>
  <si>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</si>
  <si>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</si>
  <si>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</si>
  <si>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</si>
  <si>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</si>
  <si>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</si>
  <si>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</si>
  <si>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</si>
  <si>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</si>
  <si>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</si>
  <si>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</si>
  <si>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</si>
  <si>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</si>
  <si>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</si>
  <si>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</si>
  <si>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</si>
  <si>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</si>
  <si>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</si>
  <si>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</si>
  <si>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</si>
  <si>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</si>
  <si>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</si>
  <si>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</si>
  <si>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</si>
  <si>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</si>
  <si>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</si>
  <si>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</si>
  <si>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</si>
  <si>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</si>
  <si>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</si>
  <si>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</si>
  <si>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</si>
  <si>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</si>
  <si>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</si>
  <si>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</si>
  <si>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</si>
  <si>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</si>
  <si>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</si>
  <si>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</si>
  <si>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</si>
  <si>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</si>
  <si>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</si>
  <si>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</si>
  <si>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</si>
  <si>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</si>
  <si>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</si>
  <si>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</si>
  <si>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</si>
  <si>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</si>
  <si>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</si>
  <si>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</si>
  <si>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</si>
  <si>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</si>
  <si>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</si>
  <si>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</si>
  <si>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</si>
  <si>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</si>
  <si>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</si>
  <si>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</si>
  <si>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</si>
  <si>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</si>
  <si>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</si>
  <si>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</si>
  <si>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</si>
  <si>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</si>
  <si>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</si>
  <si>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</si>
  <si>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</si>
  <si>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</si>
  <si>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</si>
  <si>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</si>
  <si>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</si>
  <si>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</si>
  <si>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</si>
  <si>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</si>
  <si>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</si>
  <si>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</si>
  <si>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</si>
  <si>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</si>
  <si>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</si>
  <si>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</si>
  <si>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</si>
  <si>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</si>
  <si>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</si>
  <si>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</si>
  <si>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</si>
  <si>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</si>
  <si>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</si>
  <si>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</si>
  <si>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</si>
  <si>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</si>
  <si>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</si>
  <si>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</si>
  <si>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</si>
  <si>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</si>
  <si>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</si>
  <si>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</si>
  <si>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</si>
  <si>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</si>
  <si>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</si>
  <si>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</si>
  <si>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</si>
  <si>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</si>
  <si>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</si>
  <si>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</si>
  <si>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</si>
  <si>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</si>
  <si>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</si>
  <si>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</si>
  <si>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</si>
  <si>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</si>
  <si>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</si>
  <si>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</si>
  <si>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</si>
  <si>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</si>
  <si>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</si>
  <si>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</si>
  <si>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</si>
  <si>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</si>
  <si>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</si>
  <si>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</si>
  <si>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</si>
  <si>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</si>
  <si>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</si>
  <si>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</si>
  <si>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</si>
  <si>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</si>
  <si>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</si>
  <si>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</si>
  <si>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</si>
  <si>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</si>
  <si>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</si>
  <si>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</si>
  <si>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</si>
  <si>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</si>
  <si>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</si>
  <si>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</si>
  <si>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</si>
  <si>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</si>
  <si>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</si>
  <si>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</si>
  <si>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</si>
  <si>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</si>
  <si>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</si>
  <si>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</si>
  <si>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</si>
  <si>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</si>
  <si>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</si>
  <si>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</si>
  <si>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</si>
  <si>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</si>
  <si>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</si>
  <si>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</si>
  <si>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</si>
  <si>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</si>
  <si>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</si>
  <si>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</si>
  <si>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</si>
  <si>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</si>
  <si>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</si>
  <si>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</si>
  <si>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</si>
  <si>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</si>
  <si>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</si>
  <si>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</si>
  <si>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</si>
  <si>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</si>
  <si>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</si>
  <si>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</si>
  <si>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</si>
  <si>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</si>
  <si>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</si>
  <si>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</si>
  <si>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</si>
  <si>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</si>
  <si>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</si>
  <si>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</si>
  <si>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</si>
  <si>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</si>
  <si>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</si>
  <si>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</si>
  <si>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</si>
  <si>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</si>
  <si>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</si>
  <si>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</si>
  <si>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</si>
  <si>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</si>
  <si>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</si>
  <si>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</si>
  <si>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</si>
  <si>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</si>
  <si>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</si>
  <si>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</si>
  <si>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</si>
  <si>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</si>
  <si>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</si>
  <si>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</si>
  <si>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</si>
  <si>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</si>
  <si>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</si>
  <si>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</si>
  <si>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</si>
  <si>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</si>
  <si>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</si>
  <si>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</si>
  <si>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</si>
  <si>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</si>
  <si>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</si>
  <si>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</si>
  <si>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</si>
  <si>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</si>
  <si>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</si>
  <si>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</si>
  <si>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</si>
  <si>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</si>
  <si>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</si>
  <si>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</si>
  <si>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</si>
  <si>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</si>
  <si>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</si>
  <si>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</si>
  <si>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</si>
  <si>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</si>
  <si>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</si>
  <si>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</si>
  <si>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</si>
  <si>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</si>
  <si>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</si>
  <si>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</si>
  <si>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</si>
  <si>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</si>
  <si>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</si>
  <si>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</si>
  <si>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</si>
  <si>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</si>
  <si>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</si>
  <si>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</si>
  <si>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</si>
  <si>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</si>
  <si>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</si>
  <si>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</si>
  <si>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</si>
  <si>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</si>
  <si>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</si>
  <si>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</si>
  <si>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</si>
  <si>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</si>
  <si>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</si>
  <si>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</si>
  <si>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</si>
  <si>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</si>
  <si>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</si>
  <si>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</si>
  <si>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</si>
  <si>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</si>
  <si>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</si>
  <si>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</si>
  <si>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</si>
  <si>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</si>
  <si>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</si>
  <si>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</si>
  <si>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</si>
  <si>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</si>
  <si>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</si>
  <si>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</si>
  <si>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</si>
  <si>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</si>
  <si>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</si>
  <si>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</si>
  <si>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</si>
  <si>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</si>
  <si>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</si>
  <si>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</si>
  <si>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</si>
  <si>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</si>
  <si>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</si>
  <si>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</si>
  <si>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</si>
  <si>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</si>
  <si>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</si>
  <si>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</si>
  <si>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</si>
  <si>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</si>
  <si>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</si>
  <si>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</si>
  <si>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</si>
  <si>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</si>
  <si>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</si>
  <si>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</si>
  <si>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</si>
  <si>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</si>
  <si>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</si>
  <si>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</si>
  <si>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</si>
  <si>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</si>
  <si>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</si>
  <si>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</si>
  <si>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</si>
  <si>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</si>
  <si>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</si>
  <si>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</si>
  <si>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</si>
  <si>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</si>
  <si>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</si>
  <si>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</si>
  <si>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</si>
  <si>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</si>
  <si>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</si>
  <si>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</si>
  <si>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</si>
  <si>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</si>
  <si>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</si>
  <si>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</si>
  <si>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</si>
  <si>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</si>
  <si>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</si>
  <si>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</si>
  <si>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</si>
  <si>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</si>
  <si>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</si>
  <si>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</si>
  <si>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</si>
  <si>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</si>
  <si>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</si>
  <si>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</si>
  <si>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</si>
  <si>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</si>
  <si>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</si>
  <si>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</si>
  <si>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</si>
  <si>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</si>
  <si>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</si>
  <si>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</si>
  <si>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</si>
  <si>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</si>
  <si>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</si>
  <si>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</si>
  <si>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</si>
  <si>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</si>
  <si>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</si>
  <si>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</si>
  <si>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</si>
  <si>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</si>
  <si>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</si>
  <si>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</si>
  <si>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</si>
  <si>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</si>
  <si>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</si>
  <si>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</si>
  <si>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</si>
  <si>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</si>
  <si>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</si>
  <si>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</si>
  <si>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</si>
  <si>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</si>
  <si>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</si>
  <si>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</si>
  <si>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</si>
  <si>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</si>
  <si>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</si>
  <si>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</si>
  <si>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</si>
  <si>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</si>
  <si>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</si>
  <si>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</si>
  <si>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</si>
  <si>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</si>
  <si>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</si>
  <si>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</si>
  <si>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</si>
  <si>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</si>
  <si>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</si>
  <si>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</si>
  <si>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</si>
  <si>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</si>
  <si>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</si>
  <si>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</si>
  <si>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</si>
  <si>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</si>
  <si>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</si>
  <si>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</si>
  <si>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</si>
  <si>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</si>
  <si>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</si>
  <si>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</si>
  <si>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</si>
  <si>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</si>
  <si>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</si>
  <si>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</si>
  <si>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</si>
  <si>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</si>
  <si>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</si>
  <si>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</si>
  <si>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</si>
  <si>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</si>
  <si>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</si>
  <si>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</si>
  <si>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</si>
  <si>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</si>
  <si>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</si>
  <si>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</si>
  <si>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</si>
  <si>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</si>
  <si>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</si>
  <si>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</si>
  <si>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</si>
  <si>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</si>
  <si>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</si>
  <si>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</si>
  <si>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</si>
  <si>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</si>
  <si>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</si>
  <si>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</si>
  <si>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</si>
  <si>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</si>
  <si>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</si>
  <si>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</si>
  <si>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</si>
  <si>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</si>
  <si>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</si>
  <si>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</si>
  <si>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</si>
  <si>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</si>
  <si>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</si>
  <si>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</si>
  <si>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</si>
  <si>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</si>
  <si>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</si>
  <si>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</si>
  <si>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</si>
  <si>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</si>
  <si>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</si>
  <si>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</si>
  <si>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</si>
  <si>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</si>
  <si>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</si>
  <si>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</si>
  <si>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</si>
  <si>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</si>
  <si>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</si>
  <si>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</si>
  <si>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</si>
  <si>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</si>
  <si>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</si>
  <si>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</si>
  <si>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</si>
  <si>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</si>
  <si>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</si>
  <si>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</si>
  <si>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</si>
  <si>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</si>
  <si>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</si>
  <si>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</si>
  <si>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</si>
  <si>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</si>
  <si>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</si>
  <si>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</si>
  <si>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</si>
  <si>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</si>
  <si>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</si>
  <si>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</si>
  <si>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</si>
  <si>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</si>
  <si>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</si>
  <si>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</si>
  <si>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</si>
  <si>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</si>
  <si>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</si>
  <si>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</si>
  <si>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</si>
  <si>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</si>
  <si>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</si>
  <si>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</si>
  <si>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</si>
  <si>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</si>
  <si>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</si>
  <si>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</si>
  <si>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</si>
  <si>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</si>
  <si>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</si>
  <si>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</si>
  <si>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</si>
  <si>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</si>
  <si>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</si>
  <si>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</si>
  <si>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</si>
  <si>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</si>
  <si>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</si>
  <si>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</si>
  <si>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</si>
  <si>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</si>
  <si>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</si>
  <si>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</si>
  <si>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</si>
  <si>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</si>
  <si>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</si>
  <si>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</si>
  <si>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</si>
  <si>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</si>
  <si>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</si>
  <si>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</si>
  <si>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</si>
  <si>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</si>
  <si>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</si>
  <si>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</si>
  <si>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</si>
  <si>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</si>
  <si>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</si>
  <si>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</si>
  <si>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</si>
  <si>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</si>
  <si>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</si>
  <si>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</si>
  <si>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</si>
  <si>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</si>
  <si>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</si>
  <si>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</si>
  <si>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</si>
  <si>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</si>
  <si>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</si>
  <si>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</si>
  <si>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</si>
  <si>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</si>
  <si>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</si>
  <si>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</si>
  <si>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</si>
  <si>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</si>
  <si>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</si>
  <si>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</si>
  <si>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</si>
  <si>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</si>
  <si>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</si>
  <si>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</si>
  <si>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</si>
  <si>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</si>
  <si>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</si>
  <si>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</si>
  <si>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</si>
  <si>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</si>
  <si>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</si>
  <si>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</si>
  <si>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</si>
  <si>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</si>
  <si>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</si>
  <si>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</si>
  <si>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</si>
  <si>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</si>
  <si>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</si>
  <si>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</si>
  <si>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</si>
  <si>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</si>
  <si>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</si>
  <si>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</si>
  <si>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</si>
  <si>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</si>
  <si>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</si>
  <si>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</si>
  <si>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</si>
  <si>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</si>
  <si>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</si>
  <si>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</si>
  <si>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</si>
  <si>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</si>
  <si>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</si>
  <si>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</si>
  <si>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</si>
  <si>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</si>
  <si>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</si>
  <si>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</si>
  <si>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</si>
  <si>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</si>
  <si>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</si>
  <si>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</si>
  <si>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</si>
  <si>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</si>
  <si>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</si>
  <si>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</si>
  <si>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</si>
  <si>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</si>
  <si>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</si>
  <si>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</si>
  <si>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</si>
  <si>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</si>
  <si>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</si>
  <si>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</si>
  <si>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</si>
  <si>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</si>
  <si>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</si>
  <si>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</si>
  <si>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</si>
  <si>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</si>
  <si>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</si>
  <si>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</si>
  <si>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</si>
  <si>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</si>
  <si>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</si>
  <si>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</si>
  <si>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</si>
  <si>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</si>
  <si>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</si>
  <si>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</si>
  <si>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</si>
  <si>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</si>
  <si>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</si>
  <si>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</si>
  <si>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</si>
  <si>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</si>
  <si>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</si>
  <si>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</si>
  <si>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</si>
  <si>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</si>
  <si>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</si>
  <si>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</si>
  <si>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</si>
  <si>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</si>
  <si>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</si>
  <si>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</si>
  <si>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</si>
  <si>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</si>
  <si>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</si>
  <si>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</si>
  <si>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</si>
  <si>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</si>
  <si>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</si>
  <si>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</si>
  <si>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</si>
  <si>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</si>
  <si>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</si>
  <si>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</si>
  <si>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</si>
  <si>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</si>
  <si>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</si>
  <si>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</si>
  <si>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</si>
  <si>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</si>
  <si>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</si>
  <si>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</si>
  <si>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</si>
  <si>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</si>
  <si>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</si>
  <si>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</si>
  <si>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</si>
  <si>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</si>
  <si>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</si>
  <si>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</si>
  <si>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</si>
  <si>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</si>
  <si>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</si>
  <si>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</si>
  <si>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</si>
  <si>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</si>
  <si>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</si>
  <si>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</si>
  <si>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</si>
  <si>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</si>
  <si>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</si>
  <si>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</si>
  <si>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</si>
  <si>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</si>
  <si>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</si>
  <si>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</si>
  <si>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</si>
  <si>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</si>
  <si>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</si>
  <si>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</si>
  <si>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</si>
  <si>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</si>
  <si>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</si>
  <si>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</si>
  <si>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</si>
  <si>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</si>
  <si>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</si>
  <si>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</si>
  <si>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</si>
  <si>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</si>
  <si>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</si>
  <si>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</si>
  <si>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</si>
  <si>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</si>
  <si>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</si>
  <si>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</si>
  <si>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</si>
  <si>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</si>
  <si>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</si>
  <si>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</si>
  <si>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</si>
  <si>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</si>
  <si>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</si>
  <si>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</si>
  <si>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</si>
  <si>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</si>
  <si>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</si>
  <si>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</si>
  <si>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</si>
  <si>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</si>
  <si>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</si>
  <si>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</si>
  <si>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</si>
  <si>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</si>
  <si>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</si>
  <si>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</si>
  <si>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</si>
  <si>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</si>
  <si>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</si>
  <si>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</si>
  <si>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</si>
  <si>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</si>
  <si>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</si>
  <si>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</si>
  <si>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</si>
  <si>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</si>
  <si>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</si>
  <si>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</si>
  <si>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</si>
  <si>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</si>
  <si>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</si>
  <si>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</si>
  <si>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</si>
  <si>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</si>
  <si>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</si>
  <si>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</si>
  <si>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</si>
  <si>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</si>
  <si>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</si>
  <si>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</si>
  <si>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</si>
  <si>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</si>
  <si>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</si>
  <si>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</si>
  <si>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</si>
  <si>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</si>
  <si>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</si>
  <si>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</si>
  <si>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</si>
  <si>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</si>
  <si>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</si>
  <si>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</si>
  <si>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</si>
  <si>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</si>
  <si>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</si>
  <si>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</si>
  <si>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</si>
  <si>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</si>
  <si>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</si>
  <si>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</si>
  <si>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</si>
  <si>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</si>
  <si>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</si>
  <si>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</si>
  <si>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</si>
  <si>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</si>
  <si>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</si>
  <si>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</si>
  <si>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</si>
  <si>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</si>
  <si>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</si>
  <si>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</si>
  <si>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</si>
  <si>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</si>
  <si>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</si>
  <si>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</si>
  <si>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</si>
  <si>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</si>
  <si>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</si>
  <si>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</si>
  <si>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</si>
  <si>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</si>
  <si>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</si>
  <si>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</si>
  <si>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</si>
  <si>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</si>
  <si>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</si>
  <si>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</si>
  <si>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</si>
  <si>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</si>
  <si>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</si>
  <si>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</si>
  <si>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</si>
  <si>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</si>
  <si>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</si>
  <si>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</si>
  <si>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</si>
  <si>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</si>
  <si>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</si>
  <si>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</si>
  <si>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</si>
  <si>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</si>
  <si>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</si>
  <si>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</si>
  <si>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</si>
  <si>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</si>
  <si>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</si>
  <si>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</si>
  <si>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</si>
  <si>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</si>
  <si>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</si>
  <si>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</si>
  <si>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</si>
  <si>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</si>
  <si>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</si>
  <si>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</si>
  <si>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</si>
  <si>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</si>
  <si>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</si>
  <si>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</si>
  <si>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</si>
  <si>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</si>
  <si>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</si>
  <si>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</si>
  <si>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</si>
  <si>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</si>
  <si>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</si>
  <si>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</si>
  <si>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</si>
  <si>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</si>
  <si>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</si>
  <si>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</si>
  <si>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</si>
  <si>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</si>
  <si>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</si>
  <si>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</si>
  <si>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</si>
  <si>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</si>
  <si>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</si>
  <si>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</si>
  <si>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</si>
  <si>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</si>
  <si>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</si>
  <si>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</si>
  <si>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</si>
  <si>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</si>
  <si>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</si>
  <si>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</si>
  <si>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</si>
  <si>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</si>
  <si>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</si>
  <si>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</si>
  <si>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</si>
  <si>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</si>
  <si>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</si>
  <si>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</si>
  <si>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</si>
  <si>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</si>
  <si>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</si>
  <si>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</si>
  <si>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</si>
  <si>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</si>
  <si>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</si>
  <si>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</si>
  <si>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</si>
  <si>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</si>
  <si>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</si>
  <si>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</si>
  <si>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</si>
  <si>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</si>
  <si>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</si>
  <si>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</si>
  <si>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</si>
  <si>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</si>
  <si>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</si>
  <si>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</si>
  <si>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</si>
  <si>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</si>
  <si>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</si>
  <si>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</si>
  <si>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</si>
  <si>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</si>
  <si>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</si>
  <si>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</si>
  <si>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</si>
  <si>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</si>
  <si>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</si>
  <si>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</si>
  <si>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</si>
  <si>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</si>
  <si>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</si>
  <si>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</si>
  <si>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</si>
  <si>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</si>
  <si>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</si>
  <si>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</si>
  <si>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</si>
  <si>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</si>
  <si>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</si>
  <si>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</si>
  <si>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</si>
  <si>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</si>
  <si>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</si>
  <si>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</si>
  <si>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</si>
  <si>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</si>
  <si>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</si>
  <si>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</si>
  <si>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</si>
  <si>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</si>
  <si>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</si>
  <si>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</si>
  <si>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</si>
  <si>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</si>
  <si>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</si>
  <si>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</si>
  <si>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</si>
  <si>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</si>
  <si>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</si>
  <si>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</si>
  <si>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</si>
  <si>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</si>
  <si>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</si>
  <si>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</si>
  <si>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</si>
  <si>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</si>
  <si>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</si>
  <si>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</si>
  <si>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</si>
  <si>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</si>
  <si>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</si>
  <si>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</si>
  <si>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</si>
  <si>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</si>
  <si>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</si>
  <si>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</si>
  <si>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</si>
  <si>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</si>
  <si>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</si>
  <si>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</si>
  <si>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</si>
  <si>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</si>
  <si>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</si>
  <si>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</si>
  <si>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</si>
  <si>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</si>
  <si>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</si>
  <si>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</si>
  <si>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</si>
  <si>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</si>
  <si>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</si>
  <si>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</si>
  <si>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</si>
  <si>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</si>
  <si>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</si>
  <si>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</si>
  <si>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</si>
  <si>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</si>
  <si>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</si>
  <si>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</si>
  <si>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</si>
  <si>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</si>
  <si>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</si>
  <si>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</si>
  <si>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</si>
  <si>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</si>
  <si>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</si>
  <si>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</si>
  <si>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</si>
  <si>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</si>
  <si>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</si>
  <si>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</si>
  <si>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</si>
  <si>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</si>
  <si>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</si>
  <si>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</si>
  <si>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</si>
  <si>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</si>
  <si>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</si>
  <si>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</si>
  <si>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</si>
  <si>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</si>
  <si>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</si>
  <si>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</si>
  <si>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</si>
  <si>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</si>
  <si>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</si>
  <si>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</si>
  <si>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</si>
  <si>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</si>
  <si>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</si>
  <si>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</si>
  <si>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</si>
  <si>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</si>
  <si>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</si>
  <si>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</si>
  <si>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</si>
  <si>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</si>
  <si>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</si>
  <si>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</si>
  <si>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</si>
  <si>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</si>
  <si>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</si>
  <si>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</si>
  <si>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</si>
  <si>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</si>
  <si>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</si>
  <si>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</si>
  <si>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</si>
  <si>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</si>
  <si>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</si>
  <si>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</si>
  <si>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</si>
  <si>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</si>
  <si>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</si>
  <si>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</si>
  <si>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</si>
  <si>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</si>
  <si>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</si>
  <si>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</si>
  <si>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</si>
  <si>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</si>
  <si>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</si>
  <si>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</si>
  <si>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</si>
  <si>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</si>
  <si>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</si>
  <si>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</si>
  <si>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</si>
  <si>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</si>
  <si>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</si>
  <si>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</si>
  <si>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</si>
  <si>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</si>
  <si>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</si>
  <si>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</si>
  <si>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</si>
  <si>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</si>
  <si>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</si>
  <si>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</si>
  <si>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</si>
  <si>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</si>
  <si>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</si>
  <si>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</si>
  <si>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</si>
  <si>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</si>
  <si>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</si>
  <si>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</si>
  <si>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</si>
  <si>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</si>
  <si>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</si>
  <si>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</si>
  <si>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</si>
  <si>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</si>
  <si>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</si>
  <si>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</si>
  <si>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</si>
  <si>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</si>
  <si>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</si>
  <si>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</si>
  <si>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</si>
  <si>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</si>
  <si>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</si>
  <si>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</si>
  <si>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</si>
  <si>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</si>
  <si>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</si>
  <si>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</si>
  <si>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</si>
  <si>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</si>
  <si>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</si>
  <si>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</si>
  <si>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</si>
  <si>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</si>
  <si>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</si>
  <si>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</si>
  <si>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</si>
  <si>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</si>
  <si>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</si>
  <si>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</si>
  <si>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</si>
  <si>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</si>
  <si>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</si>
  <si>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</si>
  <si>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</si>
  <si>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</si>
  <si>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</si>
  <si>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</si>
  <si>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</si>
  <si>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</si>
  <si>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</si>
  <si>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</si>
  <si>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</si>
  <si>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</si>
  <si>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</si>
  <si>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</si>
  <si>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</si>
  <si>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</si>
  <si>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</si>
  <si>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</si>
  <si>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</si>
  <si>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</si>
  <si>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</si>
  <si>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</si>
  <si>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</si>
  <si>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</si>
  <si>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</si>
  <si>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</si>
  <si>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</si>
  <si>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</si>
  <si>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</si>
  <si>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</si>
  <si>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</si>
  <si>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</si>
  <si>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</si>
  <si>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</si>
  <si>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</si>
  <si>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</si>
  <si>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</si>
  <si>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</si>
  <si>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</si>
  <si>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</si>
  <si>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</si>
  <si>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</si>
  <si>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</si>
  <si>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</si>
  <si>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</si>
  <si>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</si>
  <si>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</si>
  <si>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</si>
  <si>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</si>
  <si>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</si>
  <si>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</si>
  <si>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</si>
  <si>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</si>
  <si>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</si>
  <si>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</si>
  <si>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</si>
  <si>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</si>
  <si>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</si>
  <si>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</si>
  <si>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</si>
  <si>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</si>
  <si>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</si>
  <si>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</si>
  <si>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</si>
  <si>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</si>
  <si>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</si>
  <si>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</si>
  <si>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</si>
  <si>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</si>
  <si>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</si>
  <si>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</si>
  <si>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</si>
  <si>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</si>
  <si>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</si>
  <si>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</si>
  <si>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</si>
  <si>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</si>
  <si>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</si>
  <si>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</si>
  <si>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</si>
  <si>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</si>
  <si>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</si>
  <si>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</si>
  <si>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</si>
  <si>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</si>
  <si>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</si>
  <si>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</si>
  <si>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</si>
  <si>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</si>
  <si>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</si>
  <si>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</si>
  <si>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</si>
  <si>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</si>
  <si>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</si>
  <si>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</si>
  <si>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</si>
  <si>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</si>
  <si>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</si>
  <si>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</si>
  <si>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</si>
  <si>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</si>
  <si>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</si>
  <si>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</si>
  <si>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</si>
  <si>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</si>
  <si>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</si>
  <si>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</si>
  <si>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</si>
  <si>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</si>
  <si>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</si>
  <si>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</si>
  <si>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</si>
  <si>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</si>
  <si>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</si>
  <si>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</si>
  <si>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</si>
  <si>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</si>
  <si>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</si>
  <si>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</si>
  <si>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</si>
  <si>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</si>
  <si>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</si>
  <si>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</si>
  <si>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</si>
  <si>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</si>
  <si>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</si>
  <si>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</si>
  <si>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</si>
  <si>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</si>
  <si>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</si>
  <si>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</si>
  <si>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</si>
  <si>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</si>
  <si>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</si>
  <si>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</si>
  <si>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</si>
  <si>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</si>
  <si>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</si>
  <si>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</si>
  <si>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</si>
  <si>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</si>
  <si>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</si>
  <si>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</si>
  <si>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</si>
  <si>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</si>
  <si>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</si>
  <si>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</si>
  <si>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</si>
  <si>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</si>
  <si>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</si>
  <si>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</si>
  <si>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</si>
  <si>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</si>
  <si>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</si>
  <si>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</si>
  <si>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</si>
  <si>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</si>
  <si>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</si>
  <si>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</si>
  <si>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</si>
  <si>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</si>
  <si>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</si>
  <si>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</si>
  <si>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</si>
  <si>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</si>
  <si>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</si>
  <si>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</si>
  <si>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</si>
  <si>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</si>
  <si>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</si>
  <si>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</si>
  <si>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</si>
  <si>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</si>
  <si>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</si>
  <si>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</si>
  <si>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</si>
  <si>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</si>
  <si>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</si>
  <si>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</si>
  <si>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</si>
  <si>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</si>
  <si>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</si>
  <si>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</si>
  <si>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</si>
  <si>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</si>
  <si>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</si>
  <si>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</si>
  <si>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</si>
  <si>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</si>
  <si>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</si>
  <si>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</si>
  <si>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</si>
  <si>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</si>
  <si>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</si>
  <si>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</si>
  <si>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</si>
  <si>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</si>
  <si>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</si>
  <si>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</si>
  <si>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</si>
  <si>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</si>
  <si>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</si>
  <si>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</si>
  <si>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</si>
  <si>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</si>
  <si>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</si>
  <si>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</si>
  <si>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</si>
  <si>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</si>
  <si>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</si>
  <si>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</si>
  <si>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</si>
  <si>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</si>
  <si>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</si>
  <si>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</si>
  <si>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</si>
  <si>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</si>
  <si>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</si>
  <si>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</si>
  <si>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</si>
  <si>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</si>
  <si>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</si>
  <si>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</si>
  <si>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</si>
  <si>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</si>
  <si>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</si>
  <si>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</si>
  <si>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</si>
  <si>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</si>
  <si>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</si>
  <si>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</si>
  <si>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</si>
  <si>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</si>
  <si>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</si>
  <si>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</si>
  <si>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</si>
  <si>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</si>
  <si>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</si>
  <si>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</si>
  <si>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</si>
  <si>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</si>
  <si>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</si>
  <si>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</si>
  <si>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</si>
  <si>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</si>
  <si>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</si>
  <si>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</si>
  <si>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</si>
  <si>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</si>
  <si>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</si>
  <si>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</si>
  <si>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</si>
  <si>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</si>
  <si>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</si>
  <si>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</si>
  <si>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</si>
  <si>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</si>
  <si>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</si>
  <si>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</si>
  <si>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</si>
  <si>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</si>
  <si>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</si>
  <si>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</si>
  <si>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</si>
  <si>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</si>
  <si>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</si>
  <si>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</si>
  <si>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</si>
  <si>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</si>
  <si>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</si>
  <si>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</si>
  <si>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</si>
  <si>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</si>
  <si>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</si>
  <si>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</si>
  <si>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</si>
  <si>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</si>
  <si>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</si>
  <si>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</si>
  <si>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</si>
  <si>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</si>
  <si>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</si>
  <si>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</si>
  <si>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</si>
  <si>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</si>
  <si>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</si>
  <si>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</si>
  <si>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</si>
  <si>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</si>
  <si>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</si>
  <si>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</si>
  <si>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</si>
  <si>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</si>
  <si>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</si>
  <si>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</si>
  <si>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</si>
  <si>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</si>
  <si>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</si>
  <si>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</si>
  <si>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</si>
  <si>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</si>
  <si>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</si>
  <si>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</si>
  <si>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</si>
  <si>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</si>
  <si>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</si>
  <si>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</si>
  <si>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</si>
  <si>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</si>
  <si>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</si>
  <si>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</si>
  <si>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</si>
  <si>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</si>
  <si>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</si>
  <si>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</si>
  <si>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</si>
  <si>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</si>
  <si>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</si>
  <si>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</si>
  <si>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</si>
  <si>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</si>
  <si>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</si>
  <si>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</si>
  <si>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</si>
  <si>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</si>
  <si>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</si>
  <si>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</si>
  <si>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</si>
  <si>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</si>
  <si>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</si>
  <si>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</si>
  <si>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</si>
  <si>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</si>
  <si>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</si>
  <si>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</si>
  <si>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</si>
  <si>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</si>
  <si>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</si>
  <si>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</si>
  <si>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</si>
  <si>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</si>
  <si>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</si>
  <si>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</si>
  <si>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</si>
  <si>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</si>
  <si>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</si>
  <si>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</si>
  <si>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</si>
  <si>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</si>
  <si>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</si>
  <si>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</si>
  <si>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</si>
  <si>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</si>
  <si>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</si>
  <si>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</si>
  <si>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</si>
  <si>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</si>
  <si>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</si>
  <si>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</si>
  <si>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</si>
  <si>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</si>
  <si>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</si>
  <si>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</si>
  <si>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</si>
  <si>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</si>
  <si>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</si>
  <si>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</si>
  <si>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</si>
  <si>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</si>
  <si>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</si>
  <si>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</si>
  <si>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</si>
  <si>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</si>
  <si>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</si>
  <si>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</si>
  <si>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</si>
  <si>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</si>
  <si>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</si>
  <si>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</si>
  <si>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</si>
  <si>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</si>
  <si>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</si>
  <si>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</si>
  <si>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</si>
  <si>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</si>
  <si>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</si>
  <si>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</si>
  <si>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</si>
  <si>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</si>
  <si>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</si>
  <si>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</si>
  <si>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</si>
  <si>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</si>
  <si>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</si>
  <si>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</si>
  <si>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</si>
  <si>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</si>
  <si>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</si>
  <si>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</si>
  <si>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</si>
  <si>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</si>
  <si>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</si>
  <si>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</si>
  <si>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</si>
  <si>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</si>
  <si>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</si>
  <si>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</si>
  <si>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</si>
  <si>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</si>
  <si>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</si>
  <si>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</si>
  <si>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</si>
  <si>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</si>
  <si>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</si>
  <si>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</si>
  <si>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</si>
  <si>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</si>
  <si>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</si>
  <si>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</si>
  <si>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</si>
  <si>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</si>
  <si>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</si>
  <si>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</si>
  <si>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</si>
  <si>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</si>
  <si>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</si>
  <si>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</si>
  <si>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</si>
  <si>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</si>
  <si>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</si>
  <si>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</si>
  <si>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</si>
  <si>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</si>
  <si>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</si>
  <si>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</si>
  <si>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</si>
  <si>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</si>
  <si>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</si>
  <si>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</si>
  <si>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</si>
  <si>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</si>
  <si>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</si>
  <si>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</si>
  <si>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</si>
  <si>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</si>
  <si>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</si>
  <si>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</si>
  <si>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</si>
  <si>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</si>
  <si>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</si>
  <si>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</si>
  <si>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</si>
  <si>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</si>
  <si>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</si>
  <si>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</si>
  <si>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</si>
  <si>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</si>
  <si>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</si>
  <si>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</si>
  <si>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</si>
  <si>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</si>
  <si>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</si>
  <si>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</si>
  <si>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</si>
  <si>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</si>
  <si>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</si>
  <si>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</si>
  <si>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</si>
  <si>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</si>
  <si>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</si>
  <si>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</si>
  <si>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</si>
  <si>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</si>
  <si>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</si>
  <si>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</si>
  <si>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</si>
  <si>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</si>
  <si>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</si>
  <si>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</si>
  <si>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</si>
  <si>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</si>
  <si>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</si>
  <si>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</si>
  <si>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</si>
  <si>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</si>
  <si>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</si>
  <si>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</si>
  <si>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</si>
  <si>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</si>
  <si>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</si>
  <si>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</si>
  <si>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</si>
  <si>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</si>
  <si>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</si>
  <si>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</si>
  <si>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</si>
  <si>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</si>
  <si>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</si>
  <si>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</si>
  <si>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</si>
  <si>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</si>
  <si>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</si>
  <si>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</si>
  <si>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</si>
  <si>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</si>
  <si>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</si>
  <si>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</si>
  <si>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</si>
  <si>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</si>
  <si>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</si>
  <si>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</si>
  <si>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</si>
  <si>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</si>
  <si>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</si>
  <si>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</si>
  <si>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</si>
  <si>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</si>
  <si>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</si>
  <si>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</si>
  <si>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</si>
  <si>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</si>
  <si>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</si>
  <si>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</si>
  <si>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</si>
  <si>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</si>
  <si>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</si>
  <si>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</si>
  <si>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</si>
  <si>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</si>
  <si>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</si>
  <si>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</si>
  <si>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</si>
  <si>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</si>
  <si>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</si>
  <si>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</si>
  <si>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</si>
  <si>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</si>
  <si>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</si>
  <si>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</si>
  <si>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</si>
  <si>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</si>
  <si>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</si>
  <si>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</si>
  <si>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</si>
  <si>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</si>
  <si>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</si>
  <si>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</si>
  <si>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</si>
  <si>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</si>
  <si>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</si>
  <si>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</si>
  <si>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</si>
  <si>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</si>
  <si>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</si>
  <si>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</si>
  <si>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</si>
  <si>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</si>
  <si>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</si>
  <si>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</si>
  <si>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</si>
  <si>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</si>
  <si>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</si>
  <si>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</si>
  <si>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</si>
  <si>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</si>
  <si>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</si>
  <si>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</si>
  <si>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</si>
  <si>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</si>
  <si>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</si>
  <si>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</si>
  <si>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</si>
  <si>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</si>
  <si>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</si>
  <si>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</si>
  <si>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</si>
  <si>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</si>
  <si>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</si>
  <si>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</si>
  <si>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</si>
  <si>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</si>
  <si>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</si>
  <si>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</si>
  <si>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</si>
  <si>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</si>
  <si>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</si>
  <si>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</si>
  <si>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</si>
  <si>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</si>
  <si>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</si>
  <si>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</si>
  <si>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</si>
  <si>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</si>
  <si>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</si>
  <si>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</si>
  <si>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</si>
  <si>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</si>
  <si>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</si>
  <si>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</si>
  <si>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</si>
  <si>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</si>
  <si>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</si>
  <si>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</si>
  <si>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</si>
  <si>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</si>
  <si>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</si>
  <si>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</si>
  <si>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</si>
  <si>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</si>
  <si>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</si>
  <si>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</si>
  <si>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</si>
  <si>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</si>
  <si>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</si>
  <si>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</si>
  <si>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</si>
  <si>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</si>
  <si>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</si>
  <si>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</si>
  <si>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</si>
  <si>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</si>
  <si>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</si>
  <si>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</si>
  <si>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</si>
  <si>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</si>
  <si>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</si>
  <si>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</si>
  <si>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</si>
  <si>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</si>
  <si>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</si>
  <si>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</si>
  <si>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</si>
  <si>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</si>
  <si>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</si>
  <si>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</si>
  <si>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</si>
  <si>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</si>
  <si>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</si>
  <si>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</si>
  <si>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</si>
  <si>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</si>
  <si>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</si>
  <si>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</si>
  <si>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</si>
  <si>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</si>
  <si>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</si>
  <si>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</si>
  <si>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</si>
  <si>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</si>
  <si>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</si>
  <si>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</si>
  <si>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</si>
  <si>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</si>
  <si>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</si>
  <si>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</si>
  <si>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</si>
  <si>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</si>
  <si>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</si>
  <si>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</si>
  <si>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</si>
  <si>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</si>
  <si>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</si>
  <si>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</si>
  <si>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</si>
  <si>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</si>
  <si>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</si>
  <si>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</si>
  <si>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</si>
  <si>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</si>
  <si>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</si>
  <si>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</si>
  <si>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</si>
  <si>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</si>
  <si>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</si>
  <si>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</si>
  <si>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</si>
  <si>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</si>
  <si>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</si>
  <si>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</si>
  <si>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</si>
  <si>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</si>
  <si>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</si>
  <si>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</si>
  <si>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</si>
  <si>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</si>
  <si>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</si>
  <si>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</si>
  <si>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</si>
  <si>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</si>
  <si>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</si>
  <si>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</si>
  <si>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</si>
  <si>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</si>
  <si>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</si>
  <si>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</si>
  <si>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</si>
  <si>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</si>
  <si>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</si>
  <si>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</si>
  <si>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</si>
  <si>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</si>
  <si>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</si>
  <si>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</si>
  <si>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</si>
  <si>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</si>
  <si>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</si>
  <si>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</si>
  <si>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</si>
  <si>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</si>
  <si>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</si>
  <si>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</si>
  <si>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</si>
  <si>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</si>
  <si>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</si>
  <si>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</si>
  <si>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</si>
  <si>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</si>
  <si>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</si>
  <si>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</si>
  <si>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</si>
  <si>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</si>
  <si>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</si>
  <si>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</si>
  <si>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</si>
  <si>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</si>
  <si>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</si>
  <si>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</si>
  <si>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</si>
  <si>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</si>
  <si>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</si>
  <si>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</si>
  <si>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</si>
  <si>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</si>
  <si>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</si>
  <si>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</si>
  <si>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</si>
  <si>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</si>
  <si>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</si>
  <si>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</si>
  <si>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</si>
  <si>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</si>
  <si>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</si>
  <si>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</si>
  <si>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</si>
  <si>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</si>
  <si>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</si>
  <si>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</si>
  <si>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</si>
  <si>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</si>
  <si>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</si>
  <si>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</si>
  <si>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</si>
  <si>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</si>
  <si>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</si>
  <si>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</si>
  <si>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</si>
  <si>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</si>
  <si>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</si>
  <si>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</si>
  <si>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</si>
  <si>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</si>
  <si>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</si>
  <si>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</si>
  <si>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</si>
  <si>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</si>
  <si>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</si>
  <si>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</si>
  <si>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</si>
  <si>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</si>
  <si>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</si>
  <si>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</si>
  <si>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</si>
  <si>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</si>
  <si>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</si>
  <si>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</si>
  <si>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</si>
  <si>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</si>
  <si>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</si>
  <si>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</si>
  <si>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</si>
  <si>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</si>
  <si>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</si>
  <si>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</si>
  <si>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</si>
  <si>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</si>
  <si>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</si>
  <si>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</si>
  <si>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</si>
  <si>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</si>
  <si>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</si>
  <si>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</si>
  <si>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</si>
  <si>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</si>
  <si>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</si>
  <si>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</si>
  <si>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</si>
  <si>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</si>
  <si>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</si>
  <si>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</si>
  <si>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</si>
  <si>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</si>
  <si>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</si>
  <si>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</si>
  <si>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</si>
  <si>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</si>
  <si>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</si>
  <si>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</si>
  <si>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</si>
  <si>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</si>
  <si>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</si>
  <si>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</si>
  <si>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</si>
  <si>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</si>
  <si>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</si>
  <si>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</si>
  <si>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</si>
  <si>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</si>
  <si>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</si>
  <si>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</si>
  <si>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</si>
  <si>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</si>
  <si>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</si>
  <si>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</si>
  <si>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</si>
  <si>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</si>
  <si>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</si>
  <si>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</si>
  <si>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</si>
  <si>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</si>
  <si>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</si>
  <si>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</si>
  <si>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</si>
  <si>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</si>
  <si>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</si>
  <si>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</si>
  <si>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</si>
  <si>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</si>
  <si>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</si>
  <si>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</si>
  <si>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</si>
  <si>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</si>
  <si>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</si>
  <si>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</si>
  <si>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</si>
  <si>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</si>
  <si>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</si>
  <si>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</si>
  <si>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</si>
  <si>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</si>
  <si>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</si>
  <si>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</si>
  <si>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</si>
  <si>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</si>
  <si>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</si>
  <si>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</si>
  <si>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</si>
  <si>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</si>
  <si>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</si>
  <si>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</si>
  <si>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</si>
  <si>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</si>
  <si>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</si>
  <si>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</si>
  <si>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</si>
  <si>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</si>
  <si>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</si>
  <si>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</si>
  <si>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</si>
  <si>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</si>
  <si>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</si>
  <si>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</si>
  <si>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</si>
  <si>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</si>
  <si>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</si>
  <si>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</si>
  <si>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</si>
  <si>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</si>
  <si>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</si>
  <si>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</si>
  <si>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</si>
  <si>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</si>
  <si>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</si>
  <si>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</si>
  <si>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</si>
  <si>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</si>
  <si>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</si>
  <si>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</si>
  <si>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</si>
  <si>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</si>
  <si>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</si>
  <si>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</si>
  <si>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</si>
  <si>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</si>
  <si>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</si>
  <si>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</si>
  <si>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</si>
  <si>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</si>
  <si>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</si>
  <si>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</si>
  <si>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</si>
  <si>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</si>
  <si>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</si>
  <si>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</si>
  <si>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</si>
  <si>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</si>
  <si>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</si>
  <si>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</si>
  <si>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</si>
  <si>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</si>
  <si>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</si>
  <si>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</si>
  <si>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</si>
  <si>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</si>
  <si>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</si>
  <si>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</si>
  <si>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</si>
  <si>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</si>
  <si>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</si>
  <si>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</si>
  <si>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</si>
  <si>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</si>
  <si>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</si>
  <si>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</si>
  <si>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</si>
  <si>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</si>
  <si>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</si>
  <si>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</si>
  <si>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</si>
  <si>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</si>
  <si>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</si>
  <si>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</si>
  <si>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</si>
  <si>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</si>
  <si>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</si>
  <si>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</si>
  <si>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</si>
  <si>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</si>
  <si>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</si>
  <si>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</si>
  <si>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</si>
  <si>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</si>
  <si>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</si>
  <si>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</si>
  <si>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</si>
  <si>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</si>
  <si>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</si>
  <si>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</si>
  <si>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</si>
  <si>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</si>
  <si>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</si>
  <si>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</si>
  <si>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</si>
  <si>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</si>
  <si>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</si>
  <si>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</si>
  <si>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</si>
  <si>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</si>
  <si>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</si>
  <si>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</si>
  <si>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</si>
  <si>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</si>
  <si>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</si>
  <si>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</si>
  <si>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</si>
  <si>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</si>
  <si>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</si>
  <si>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</si>
  <si>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</si>
  <si>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</si>
  <si>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</si>
  <si>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</si>
  <si>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</si>
  <si>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</si>
  <si>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</si>
  <si>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</si>
  <si>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</si>
  <si>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</si>
  <si>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</si>
  <si>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</si>
  <si>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</si>
  <si>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</si>
  <si>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</si>
  <si>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</si>
  <si>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</si>
  <si>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</si>
  <si>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</si>
  <si>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</si>
  <si>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</si>
  <si>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</si>
  <si>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</si>
  <si>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</si>
  <si>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</si>
  <si>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</si>
  <si>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</si>
  <si>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</si>
  <si>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</si>
  <si>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</si>
  <si>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</si>
  <si>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</si>
  <si>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</si>
  <si>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</si>
  <si>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</si>
  <si>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</si>
  <si>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</si>
  <si>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</si>
  <si>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</si>
  <si>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</si>
  <si>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</si>
  <si>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</si>
  <si>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</si>
  <si>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</si>
  <si>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</si>
  <si>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</si>
  <si>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</si>
  <si>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</si>
  <si>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</si>
  <si>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</si>
  <si>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</si>
  <si>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</si>
  <si>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</si>
  <si>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</si>
  <si>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</si>
  <si>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</si>
  <si>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</si>
  <si>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</si>
  <si>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</si>
  <si>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</si>
  <si>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</si>
  <si>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</si>
  <si>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</si>
  <si>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</si>
  <si>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</si>
  <si>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</si>
  <si>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</si>
  <si>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</si>
  <si>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</si>
  <si>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</si>
  <si>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</si>
  <si>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</si>
  <si>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</si>
  <si>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</si>
  <si>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</si>
  <si>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</si>
  <si>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</si>
  <si>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</si>
  <si>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</si>
  <si>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</si>
  <si>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</si>
  <si>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</si>
  <si>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</si>
  <si>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</si>
  <si>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</si>
  <si>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</si>
  <si>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</si>
  <si>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</si>
  <si>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</si>
  <si>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</si>
  <si>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</si>
  <si>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</si>
  <si>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</si>
  <si>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</si>
  <si>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</si>
  <si>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</si>
  <si>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</si>
  <si>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</si>
  <si>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</si>
  <si>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</si>
  <si>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</si>
  <si>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</si>
  <si>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</si>
  <si>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</si>
  <si>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</si>
  <si>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</si>
  <si>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</si>
  <si>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</si>
  <si>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</si>
  <si>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</si>
  <si>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</si>
  <si>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</si>
  <si>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</si>
  <si>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</si>
  <si>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</si>
  <si>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</si>
  <si>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</si>
  <si>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</si>
  <si>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</si>
  <si>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</si>
  <si>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</si>
  <si>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</si>
  <si>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</si>
  <si>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</si>
  <si>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</si>
  <si>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</si>
  <si>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</si>
  <si>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</si>
  <si>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</si>
  <si>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</si>
  <si>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</si>
  <si>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</si>
  <si>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</si>
  <si>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</si>
  <si>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</si>
  <si>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</si>
  <si>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</si>
  <si>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</si>
  <si>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</si>
  <si>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</si>
  <si>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</si>
  <si>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</si>
  <si>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</si>
  <si>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</si>
  <si>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</si>
  <si>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</si>
  <si>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</si>
  <si>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</si>
  <si>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</si>
  <si>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</si>
  <si>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</si>
  <si>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</si>
  <si>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</si>
  <si>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</si>
  <si>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</si>
  <si>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</si>
  <si>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</si>
  <si>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</si>
  <si>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</si>
  <si>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</si>
  <si>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</si>
  <si>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</si>
  <si>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</si>
  <si>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</si>
  <si>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</si>
  <si>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</si>
  <si>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</si>
  <si>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</si>
  <si>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</si>
  <si>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</si>
  <si>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</si>
  <si>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</si>
  <si>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</si>
  <si>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</si>
  <si>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</si>
  <si>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</si>
  <si>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</si>
  <si>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</si>
  <si>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</si>
  <si>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</si>
  <si>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</si>
  <si>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</si>
  <si>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</si>
  <si>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</si>
  <si>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</si>
  <si>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</si>
  <si>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</si>
  <si>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</si>
  <si>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</si>
  <si>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</si>
  <si>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</si>
  <si>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</si>
  <si>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</si>
  <si>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</si>
  <si>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</si>
  <si>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</si>
  <si>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</si>
  <si>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</si>
  <si>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</si>
  <si>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</si>
  <si>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</si>
  <si>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</si>
  <si>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</si>
  <si>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</si>
  <si>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</si>
  <si>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</si>
  <si>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</si>
  <si>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</si>
  <si>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</si>
  <si>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</si>
  <si>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</si>
  <si>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</si>
  <si>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</si>
  <si>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</si>
  <si>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</si>
  <si>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</si>
  <si>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</si>
  <si>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</si>
  <si>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</si>
  <si>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</si>
  <si>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</si>
  <si>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</si>
  <si>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</si>
  <si>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</si>
  <si>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</si>
  <si>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</si>
  <si>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</si>
  <si>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</si>
  <si>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</si>
  <si>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</si>
  <si>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</si>
  <si>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</si>
  <si>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</si>
  <si>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</si>
  <si>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</si>
  <si>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</si>
  <si>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</si>
  <si>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</si>
  <si>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</si>
  <si>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</si>
  <si>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</si>
  <si>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</si>
  <si>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</si>
  <si>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</si>
  <si>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</si>
  <si>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</si>
  <si>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</si>
  <si>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</si>
  <si>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</si>
  <si>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</si>
  <si>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</si>
  <si>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</si>
  <si>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</si>
  <si>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</si>
  <si>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</si>
  <si>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</si>
  <si>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</si>
  <si>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</si>
  <si>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</si>
  <si>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</si>
  <si>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</si>
  <si>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</si>
  <si>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</si>
  <si>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</si>
  <si>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</si>
  <si>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</si>
  <si>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</si>
  <si>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</si>
  <si>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</si>
  <si>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</si>
  <si>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</si>
  <si>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</si>
  <si>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</si>
  <si>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</si>
  <si>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</si>
  <si>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</si>
  <si>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</si>
  <si>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</si>
  <si>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</si>
  <si>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</si>
  <si>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</si>
  <si>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</si>
  <si>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</si>
  <si>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</si>
  <si>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</si>
  <si>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</si>
  <si>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</si>
  <si>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</si>
  <si>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</si>
  <si>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</si>
  <si>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</si>
  <si>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</si>
  <si>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</si>
  <si>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</si>
  <si>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</si>
  <si>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</si>
  <si>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</si>
  <si>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</si>
  <si>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</si>
  <si>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</si>
  <si>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</si>
  <si>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</si>
  <si>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</si>
  <si>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</si>
  <si>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</si>
  <si>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</si>
  <si>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</si>
  <si>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</si>
  <si>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</si>
  <si>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</si>
  <si>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</si>
  <si>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</si>
  <si>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</si>
  <si>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</si>
  <si>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</si>
  <si>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</si>
  <si>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</si>
  <si>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</si>
  <si>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</si>
  <si>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</si>
  <si>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</si>
  <si>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</si>
  <si>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</si>
  <si>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</si>
  <si>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</si>
  <si>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</si>
  <si>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</si>
  <si>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</si>
  <si>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</si>
  <si>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</si>
  <si>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</si>
  <si>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</si>
  <si>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</si>
  <si>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</si>
  <si>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</si>
  <si>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</si>
  <si>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</si>
  <si>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</si>
  <si>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</si>
  <si>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</si>
  <si>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</si>
  <si>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</si>
  <si>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</si>
  <si>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</si>
  <si>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</si>
  <si>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</si>
  <si>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</si>
  <si>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</si>
  <si>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</si>
  <si>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</si>
  <si>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</si>
  <si>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</si>
  <si>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</si>
  <si>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</si>
  <si>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</si>
  <si>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</si>
  <si>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</si>
  <si>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</si>
  <si>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</si>
  <si>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</si>
  <si>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</si>
  <si>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</si>
  <si>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</si>
  <si>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</si>
  <si>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</si>
  <si>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</si>
  <si>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</si>
  <si>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</si>
  <si>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</si>
  <si>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</si>
  <si>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</si>
  <si>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</si>
  <si>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</si>
  <si>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</si>
  <si>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</si>
  <si>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</si>
  <si>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</si>
  <si>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</si>
  <si>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</si>
  <si>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</si>
  <si>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</si>
  <si>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</si>
  <si>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</si>
  <si>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</si>
  <si>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</si>
  <si>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</si>
  <si>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</si>
  <si>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</si>
  <si>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</si>
  <si>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</si>
  <si>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</si>
  <si>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</si>
  <si>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</si>
  <si>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</si>
  <si>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</si>
  <si>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</si>
  <si>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</si>
  <si>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</si>
  <si>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</si>
  <si>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</si>
  <si>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</si>
  <si>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</si>
  <si>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</si>
  <si>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</si>
  <si>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</si>
  <si>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</si>
  <si>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</si>
  <si>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</si>
  <si>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</si>
  <si>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</si>
  <si>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</si>
  <si>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</si>
  <si>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</si>
  <si>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</si>
  <si>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</si>
  <si>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</si>
  <si>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</si>
  <si>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</si>
  <si>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</si>
  <si>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</si>
  <si>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</si>
  <si>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</si>
  <si>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</si>
  <si>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</si>
  <si>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</si>
  <si>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</si>
  <si>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</si>
  <si>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</si>
  <si>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</si>
  <si>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</si>
  <si>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</si>
  <si>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</si>
  <si>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</si>
  <si>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</si>
  <si>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</si>
  <si>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</si>
  <si>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</si>
  <si>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</si>
  <si>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</si>
  <si>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</si>
  <si>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</si>
  <si>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</si>
  <si>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</si>
  <si>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</si>
  <si>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</si>
  <si>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</si>
  <si>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</si>
  <si>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</si>
  <si>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</si>
  <si>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</si>
  <si>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</si>
  <si>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</si>
  <si>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</si>
  <si>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</si>
  <si>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</si>
  <si>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</si>
  <si>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</si>
  <si>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</si>
  <si>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</si>
  <si>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</si>
  <si>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</si>
  <si>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</si>
  <si>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</si>
  <si>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</si>
  <si>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</si>
  <si>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</si>
  <si>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</si>
  <si>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</si>
  <si>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</si>
  <si>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</si>
  <si>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</si>
  <si>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</si>
  <si>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</si>
  <si>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</si>
  <si>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</si>
  <si>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</si>
  <si>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</si>
  <si>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</si>
  <si>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</si>
  <si>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</si>
  <si>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</si>
  <si>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</si>
  <si>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</si>
  <si>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</si>
  <si>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</si>
  <si>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</si>
  <si>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</si>
  <si>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</si>
  <si>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</si>
  <si>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</si>
  <si>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</si>
  <si>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</si>
  <si>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</si>
  <si>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</si>
  <si>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</si>
  <si>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</si>
  <si>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</si>
  <si>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</si>
  <si>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</si>
  <si>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</si>
  <si>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</si>
  <si>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</si>
  <si>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</si>
  <si>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</si>
  <si>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</si>
  <si>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</si>
  <si>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</si>
  <si>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</si>
  <si>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</si>
  <si>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</si>
  <si>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</si>
  <si>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</si>
  <si>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</si>
  <si>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</si>
  <si>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</si>
  <si>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</si>
  <si>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</si>
  <si>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</si>
  <si>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</si>
  <si>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</si>
  <si>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</si>
  <si>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</si>
  <si>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</si>
  <si>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</si>
  <si>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</si>
  <si>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</si>
  <si>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</si>
  <si>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</si>
  <si>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</si>
  <si>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</si>
  <si>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</si>
  <si>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</si>
  <si>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</si>
  <si>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</si>
  <si>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</si>
  <si>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</si>
  <si>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</si>
  <si>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</si>
  <si>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</si>
  <si>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</si>
  <si>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</si>
  <si>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</si>
  <si>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</si>
  <si>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</si>
  <si>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</si>
  <si>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</si>
  <si>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</si>
  <si>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</si>
  <si>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</si>
  <si>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</si>
  <si>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</si>
  <si>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</si>
  <si>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</si>
  <si>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</si>
  <si>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</si>
  <si>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</si>
  <si>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</si>
  <si>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</si>
  <si>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</si>
  <si>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</si>
  <si>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</si>
  <si>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</si>
  <si>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</si>
  <si>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</si>
  <si>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</si>
  <si>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</si>
  <si>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</si>
  <si>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</si>
  <si>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</si>
  <si>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</si>
  <si>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</si>
  <si>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</si>
  <si>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</si>
  <si>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</si>
  <si>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</si>
  <si>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</si>
  <si>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</si>
  <si>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</si>
  <si>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</si>
  <si>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</si>
  <si>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</si>
  <si>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</si>
  <si>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</si>
  <si>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</si>
  <si>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</si>
  <si>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</si>
  <si>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</si>
  <si>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</si>
  <si>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</si>
  <si>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</si>
  <si>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</si>
  <si>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</si>
  <si>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</si>
  <si>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</si>
  <si>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</si>
  <si>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</si>
  <si>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</si>
  <si>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</si>
  <si>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</si>
  <si>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</si>
  <si>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</si>
  <si>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</si>
  <si>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</si>
  <si>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</si>
  <si>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</si>
  <si>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</si>
  <si>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</si>
  <si>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</si>
  <si>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</si>
  <si>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</si>
  <si>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</si>
  <si>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</si>
  <si>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</si>
  <si>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</si>
  <si>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</si>
  <si>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</si>
  <si>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</si>
  <si>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</si>
  <si>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</si>
  <si>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</si>
  <si>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</si>
  <si>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</si>
  <si>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</si>
  <si>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</si>
  <si>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</si>
  <si>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</si>
  <si>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</si>
  <si>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</si>
  <si>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</si>
  <si>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</si>
  <si>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</si>
  <si>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</si>
  <si>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</si>
  <si>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</si>
  <si>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</si>
  <si>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</si>
  <si>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</si>
  <si>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</si>
  <si>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</si>
  <si>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</si>
  <si>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</si>
  <si>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</si>
  <si>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</si>
  <si>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</si>
  <si>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</si>
  <si>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</si>
  <si>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</si>
  <si>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</si>
  <si>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</si>
  <si>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</si>
  <si>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</si>
  <si>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</si>
  <si>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</si>
  <si>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</si>
  <si>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</si>
  <si>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</si>
  <si>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</si>
  <si>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</si>
  <si>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</si>
  <si>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</si>
  <si>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</si>
  <si>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</si>
  <si>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</si>
  <si>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</si>
  <si>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</si>
  <si>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</si>
  <si>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</si>
  <si>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</si>
  <si>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</si>
  <si>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</si>
  <si>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</si>
  <si>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</si>
  <si>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</si>
  <si>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</si>
  <si>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</si>
  <si>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</si>
  <si>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</si>
  <si>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</si>
  <si>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</si>
  <si>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</si>
  <si>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</si>
  <si>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</si>
  <si>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</si>
  <si>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</si>
  <si>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</si>
  <si>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</si>
  <si>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</si>
  <si>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</si>
  <si>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</si>
  <si>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</si>
  <si>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</si>
  <si>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</si>
  <si>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</si>
  <si>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</si>
  <si>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</si>
  <si>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</si>
  <si>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</si>
  <si>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</si>
  <si>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</si>
  <si>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</si>
  <si>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</si>
  <si>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</si>
  <si>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</si>
  <si>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</si>
  <si>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</si>
  <si>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</si>
  <si>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</si>
  <si>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</si>
  <si>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</si>
  <si>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</si>
  <si>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</si>
  <si>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</si>
  <si>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</si>
  <si>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</si>
  <si>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</si>
  <si>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</si>
  <si>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</si>
  <si>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</si>
  <si>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</si>
  <si>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</si>
  <si>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</si>
  <si>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</si>
  <si>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</si>
  <si>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</si>
  <si>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</si>
  <si>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</si>
  <si>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</si>
  <si>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</si>
  <si>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</si>
  <si>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</si>
  <si>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</si>
  <si>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</si>
  <si>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</si>
  <si>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</si>
  <si>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</si>
  <si>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</si>
  <si>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</si>
  <si>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</si>
  <si>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</si>
  <si>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</si>
  <si>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</si>
  <si>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</si>
  <si>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</si>
  <si>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</si>
  <si>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</si>
  <si>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</si>
  <si>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</si>
  <si>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</si>
  <si>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</si>
  <si>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</si>
  <si>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</si>
  <si>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</si>
  <si>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</si>
  <si>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</si>
  <si>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</si>
  <si>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</si>
  <si>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</si>
  <si>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</si>
  <si>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</si>
  <si>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</si>
  <si>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</si>
  <si>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</si>
  <si>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</si>
  <si>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</si>
  <si>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</si>
  <si>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</si>
  <si>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</si>
  <si>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</si>
  <si>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</si>
  <si>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</si>
  <si>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</si>
  <si>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</si>
  <si>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</si>
  <si>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</si>
  <si>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</si>
  <si>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</si>
  <si>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</si>
  <si>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</si>
  <si>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</si>
  <si>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</si>
  <si>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</si>
  <si>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</si>
  <si>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</si>
  <si>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</si>
  <si>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</si>
  <si>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</si>
  <si>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</si>
  <si>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</si>
  <si>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</si>
  <si>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</si>
  <si>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</si>
  <si>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</si>
  <si>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</si>
  <si>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</si>
  <si>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</si>
  <si>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</si>
  <si>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</si>
  <si>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</si>
  <si>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</si>
  <si>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</si>
  <si>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</si>
  <si>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</si>
  <si>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</si>
  <si>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</si>
  <si>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</si>
  <si>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</si>
  <si>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</si>
  <si>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</si>
  <si>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</si>
  <si>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</si>
  <si>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</si>
  <si>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</si>
  <si>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</si>
  <si>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</si>
  <si>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</si>
  <si>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</si>
  <si>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</si>
  <si>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</si>
  <si>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</si>
  <si>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</si>
  <si>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</si>
  <si>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</si>
  <si>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</si>
  <si>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</si>
  <si>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</si>
  <si>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</si>
  <si>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</si>
  <si>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</si>
  <si>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</si>
  <si>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</si>
  <si>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</si>
  <si>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</si>
  <si>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</si>
  <si>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</si>
  <si>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</si>
  <si>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</si>
  <si>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</si>
  <si>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</si>
  <si>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</si>
  <si>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</si>
  <si>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</si>
  <si>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</si>
  <si>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</si>
  <si>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</si>
  <si>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</si>
  <si>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</si>
  <si>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</si>
  <si>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</si>
  <si>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</si>
  <si>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</si>
  <si>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</si>
  <si>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</si>
  <si>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</si>
  <si>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</si>
  <si>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</si>
  <si>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</si>
  <si>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</si>
  <si>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</si>
  <si>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</si>
  <si>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</si>
  <si>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</si>
  <si>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</si>
  <si>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</si>
  <si>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</si>
  <si>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</si>
  <si>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</si>
  <si>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</si>
  <si>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</si>
  <si>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</si>
  <si>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</si>
  <si>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</si>
  <si>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</si>
  <si>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</si>
  <si>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</si>
  <si>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</si>
  <si>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</si>
  <si>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</si>
  <si>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</si>
  <si>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</si>
  <si>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</si>
  <si>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</si>
  <si>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</si>
  <si>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</si>
  <si>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</si>
  <si>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</si>
  <si>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</si>
  <si>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</si>
  <si>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</si>
  <si>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</si>
  <si>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</si>
  <si>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</si>
  <si>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</si>
  <si>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</si>
  <si>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</si>
  <si>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</si>
  <si>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</si>
  <si>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</si>
  <si>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</si>
  <si>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</si>
  <si>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</si>
  <si>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</si>
  <si>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</si>
  <si>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</si>
  <si>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</si>
  <si>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</si>
  <si>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</si>
  <si>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</si>
  <si>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</si>
  <si>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</si>
  <si>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</si>
  <si>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</si>
  <si>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</si>
  <si>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</si>
  <si>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</si>
  <si>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</si>
  <si>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</si>
  <si>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</si>
  <si>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</si>
  <si>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</si>
  <si>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</si>
  <si>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</si>
  <si>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</si>
  <si>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</si>
  <si>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</si>
  <si>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</si>
  <si>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</si>
  <si>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</si>
  <si>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</si>
  <si>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</si>
  <si>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</si>
  <si>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</si>
  <si>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</si>
  <si>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</si>
  <si>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</si>
  <si>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</si>
  <si>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</si>
  <si>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</si>
  <si>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</si>
  <si>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</si>
  <si>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</si>
  <si>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</si>
  <si>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</si>
  <si>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</si>
  <si>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</si>
  <si>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</si>
  <si>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</si>
  <si>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</si>
  <si>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</si>
  <si>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</si>
  <si>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</si>
  <si>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</si>
  <si>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</si>
  <si>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</si>
  <si>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</si>
  <si>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</si>
  <si>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</si>
  <si>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</si>
  <si>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</si>
  <si>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</si>
  <si>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</si>
  <si>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</si>
  <si>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</si>
  <si>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</si>
  <si>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</si>
  <si>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</si>
  <si>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</si>
  <si>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</si>
  <si>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</si>
  <si>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</si>
  <si>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</si>
  <si>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</si>
  <si>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</si>
  <si>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</si>
  <si>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</si>
  <si>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</si>
  <si>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</si>
  <si>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</si>
  <si>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</si>
  <si>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</si>
  <si>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</si>
  <si>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</si>
  <si>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</si>
  <si>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</si>
  <si>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</si>
  <si>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</si>
  <si>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</si>
  <si>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</si>
  <si>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</si>
  <si>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</si>
  <si>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</si>
  <si>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</si>
  <si>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</si>
  <si>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</si>
  <si>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</si>
  <si>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</si>
  <si>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</si>
  <si>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</si>
  <si>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</si>
  <si>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</si>
  <si>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</si>
  <si>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</si>
  <si>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</si>
  <si>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</si>
  <si>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</si>
  <si>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</si>
  <si>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</si>
  <si>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</si>
  <si>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</si>
  <si>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</si>
  <si>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</si>
  <si>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</si>
  <si>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</si>
  <si>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</si>
  <si>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</si>
  <si>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</si>
  <si>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</si>
  <si>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</si>
  <si>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</si>
  <si>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</si>
  <si>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</si>
  <si>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</si>
  <si>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</si>
  <si>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</si>
  <si>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</si>
  <si>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</si>
  <si>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</si>
  <si>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</si>
  <si>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</si>
  <si>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</si>
  <si>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</si>
  <si>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</si>
  <si>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</si>
  <si>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</si>
  <si>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</si>
  <si>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</si>
  <si>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</si>
  <si>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</si>
  <si>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</si>
  <si>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</si>
  <si>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</si>
  <si>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</si>
  <si>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</si>
  <si>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</si>
  <si>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</si>
  <si>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</si>
  <si>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</si>
  <si>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</si>
  <si>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</si>
  <si>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</si>
  <si>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</si>
  <si>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</si>
  <si>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</si>
  <si>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</si>
  <si>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</si>
  <si>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</si>
  <si>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</si>
  <si>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</si>
  <si>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</si>
  <si>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</si>
  <si>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</si>
  <si>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</si>
  <si>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</si>
  <si>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</si>
  <si>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</si>
  <si>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</si>
  <si>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</si>
  <si>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</si>
  <si>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</si>
  <si>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</si>
  <si>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</si>
  <si>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</si>
  <si>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</si>
  <si>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</si>
  <si>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</si>
  <si>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</si>
  <si>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</si>
  <si>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</si>
  <si>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</si>
  <si>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</si>
  <si>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</si>
  <si>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</si>
  <si>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</si>
  <si>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</si>
  <si>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</si>
  <si>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</si>
  <si>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</si>
  <si>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</si>
  <si>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</si>
  <si>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</si>
  <si>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</si>
  <si>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</si>
  <si>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</si>
  <si>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</si>
  <si>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</si>
  <si>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</si>
  <si>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</si>
  <si>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</si>
  <si>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</si>
  <si>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</si>
  <si>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</si>
  <si>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</si>
  <si>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</si>
  <si>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</si>
  <si>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</si>
  <si>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</si>
  <si>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</si>
  <si>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</si>
  <si>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</si>
  <si>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</si>
  <si>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</si>
  <si>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</si>
  <si>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</si>
  <si>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</si>
  <si>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</si>
  <si>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</si>
  <si>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</si>
  <si>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</si>
  <si>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</si>
  <si>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</si>
  <si>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</si>
  <si>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</si>
  <si>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</si>
  <si>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</si>
  <si>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</si>
  <si>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</si>
  <si>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</si>
  <si>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</si>
  <si>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</si>
  <si>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</si>
  <si>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</si>
  <si>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</si>
  <si>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</si>
  <si>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</si>
  <si>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</si>
  <si>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</si>
  <si>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</si>
  <si>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</si>
  <si>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</si>
  <si>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</si>
  <si>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</si>
  <si>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</si>
  <si>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</si>
  <si>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</si>
  <si>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</si>
  <si>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</si>
  <si>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</si>
  <si>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</si>
  <si>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</si>
  <si>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</si>
  <si>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</si>
  <si>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</si>
  <si>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</si>
  <si>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</si>
  <si>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</si>
  <si>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</si>
  <si>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</si>
  <si>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</si>
  <si>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</si>
  <si>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</si>
  <si>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</si>
  <si>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</si>
  <si>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</si>
  <si>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</si>
  <si>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</si>
  <si>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</si>
  <si>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</si>
  <si>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</si>
  <si>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</si>
  <si>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</si>
  <si>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</si>
  <si>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</si>
  <si>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</si>
  <si>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</si>
  <si>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</si>
  <si>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</si>
  <si>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</si>
  <si>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</si>
  <si>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</si>
  <si>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</si>
  <si>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</si>
  <si>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</si>
  <si>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</si>
  <si>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</si>
  <si>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</si>
  <si>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</si>
  <si>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</si>
  <si>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</si>
  <si>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</si>
  <si>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</si>
  <si>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</si>
  <si>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</si>
  <si>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</si>
  <si>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</si>
  <si>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</si>
  <si>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</si>
  <si>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</si>
  <si>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</si>
  <si>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</si>
  <si>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</si>
  <si>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</si>
  <si>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</si>
  <si>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</si>
  <si>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</si>
  <si>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</si>
  <si>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</si>
  <si>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</si>
  <si>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</si>
  <si>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</si>
  <si>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</si>
  <si>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</si>
  <si>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</si>
  <si>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</si>
  <si>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</si>
  <si>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</si>
  <si>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</si>
  <si>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</si>
  <si>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</si>
  <si>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</si>
  <si>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</si>
  <si>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</si>
  <si>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</si>
  <si>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</si>
  <si>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</si>
  <si>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</si>
  <si>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</si>
  <si>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</si>
  <si>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</si>
  <si>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</si>
  <si>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</si>
  <si>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</si>
  <si>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</si>
  <si>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</si>
  <si>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</si>
  <si>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</si>
  <si>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</si>
  <si>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</si>
  <si>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</si>
  <si>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</si>
  <si>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</si>
  <si>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</si>
  <si>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</si>
  <si>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</si>
  <si>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</si>
  <si>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</si>
  <si>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</si>
  <si>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</si>
  <si>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</si>
  <si>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</si>
  <si>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</si>
  <si>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</si>
  <si>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</si>
  <si>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</si>
  <si>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</si>
  <si>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</si>
  <si>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</si>
  <si>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</si>
  <si>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</si>
  <si>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</si>
  <si>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</si>
  <si>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</si>
  <si>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</si>
  <si>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</si>
  <si>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</si>
  <si>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</si>
  <si>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</si>
  <si>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</si>
  <si>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</si>
  <si>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</si>
  <si>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</si>
  <si>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</si>
  <si>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</si>
  <si>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</si>
  <si>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</si>
  <si>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</si>
  <si>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</si>
  <si>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</si>
  <si>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</si>
  <si>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</si>
  <si>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</si>
  <si>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</si>
  <si>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</si>
  <si>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</si>
  <si>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</si>
  <si>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</si>
  <si>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</si>
  <si>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</si>
  <si>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</si>
  <si>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</si>
  <si>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</si>
  <si>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</si>
  <si>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</si>
  <si>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</si>
  <si>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</si>
  <si>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</si>
  <si>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</si>
  <si>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</si>
  <si>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</si>
  <si>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</si>
  <si>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</si>
  <si>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</si>
  <si>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</si>
  <si>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</si>
  <si>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</si>
  <si>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</si>
  <si>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</si>
  <si>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</si>
  <si>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</si>
  <si>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</si>
  <si>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</si>
  <si>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</si>
  <si>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</si>
  <si>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</si>
  <si>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</si>
  <si>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</si>
  <si>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</si>
  <si>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</si>
  <si>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</si>
  <si>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</si>
  <si>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</si>
  <si>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</si>
  <si>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</si>
  <si>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</si>
  <si>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</si>
  <si>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</si>
  <si>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</si>
  <si>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</si>
  <si>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</si>
  <si>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</si>
  <si>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</si>
  <si>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</si>
  <si>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</si>
  <si>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</si>
  <si>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</si>
  <si>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</si>
  <si>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</si>
  <si>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</si>
  <si>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</si>
  <si>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</si>
  <si>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</si>
  <si>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</si>
  <si>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</si>
  <si>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</si>
  <si>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</si>
  <si>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</si>
  <si>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</si>
  <si>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</si>
  <si>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</si>
  <si>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</si>
  <si>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</si>
  <si>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</si>
  <si>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</si>
  <si>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</si>
  <si>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</si>
  <si>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</si>
  <si>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</si>
  <si>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</si>
  <si>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</si>
  <si>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</si>
  <si>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</si>
  <si>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</si>
  <si>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</si>
  <si>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</si>
  <si>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</si>
  <si>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</si>
  <si>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</si>
  <si>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</si>
  <si>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</si>
  <si>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</si>
  <si>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</si>
  <si>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</si>
  <si>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</si>
  <si>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</si>
  <si>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</si>
  <si>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</si>
  <si>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</si>
  <si>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</si>
  <si>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</si>
  <si>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</si>
  <si>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</si>
  <si>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</si>
  <si>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</si>
  <si>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</si>
  <si>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</si>
  <si>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</si>
  <si>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</si>
  <si>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</si>
  <si>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</si>
  <si>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</si>
  <si>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</si>
  <si>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</si>
  <si>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</si>
  <si>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</si>
  <si>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</si>
  <si>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</si>
  <si>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</si>
  <si>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</si>
  <si>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</si>
  <si>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</si>
  <si>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</si>
  <si>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</si>
  <si>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</si>
  <si>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</si>
  <si>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</si>
  <si>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</si>
  <si>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</si>
  <si>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</si>
  <si>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</si>
  <si>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</si>
  <si>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</si>
  <si>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</si>
  <si>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</si>
  <si>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</si>
  <si>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</si>
  <si>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</si>
  <si>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</si>
  <si>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</si>
  <si>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</si>
  <si>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</si>
  <si>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</si>
  <si>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</si>
  <si>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</si>
  <si>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</si>
  <si>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</si>
  <si>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</si>
  <si>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</si>
  <si>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</si>
  <si>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</si>
  <si>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</si>
  <si>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</si>
  <si>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</si>
  <si>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</si>
  <si>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</si>
  <si>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</si>
  <si>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</si>
  <si>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</si>
  <si>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</si>
  <si>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</si>
  <si>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</si>
  <si>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</si>
  <si>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</si>
  <si>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</si>
  <si>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</si>
  <si>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</si>
  <si>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</si>
  <si>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</si>
  <si>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</si>
  <si>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</si>
  <si>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</si>
  <si>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</si>
  <si>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</si>
  <si>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</si>
  <si>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</si>
  <si>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</si>
  <si>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</si>
  <si>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</si>
  <si>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</si>
  <si>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</si>
  <si>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</si>
  <si>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</si>
  <si>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</si>
  <si>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</si>
  <si>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</si>
  <si>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</si>
  <si>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</si>
  <si>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</si>
  <si>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</si>
  <si>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</si>
  <si>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</si>
  <si>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</si>
  <si>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</si>
  <si>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</si>
  <si>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</si>
  <si>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</si>
  <si>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</si>
  <si>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</si>
  <si>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</si>
  <si>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</si>
  <si>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</si>
  <si>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</si>
  <si>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</si>
  <si>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</si>
  <si>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</si>
  <si>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</si>
  <si>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</si>
  <si>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</si>
  <si>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</si>
  <si>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</si>
  <si>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</si>
  <si>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</si>
  <si>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</si>
  <si>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</si>
  <si>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</si>
  <si>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</si>
  <si>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</si>
  <si>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</si>
  <si>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</si>
  <si>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</si>
  <si>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</si>
  <si>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</si>
  <si>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</si>
  <si>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</si>
  <si>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</si>
  <si>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</si>
  <si>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</si>
  <si>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</si>
  <si>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</si>
  <si>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</si>
  <si>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</si>
  <si>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</si>
  <si>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</si>
  <si>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</si>
  <si>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</si>
  <si>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</si>
  <si>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</si>
  <si>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</si>
  <si>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</si>
  <si>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</si>
  <si>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</si>
  <si>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</si>
  <si>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</si>
  <si>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</si>
  <si>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</si>
  <si>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</si>
  <si>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</si>
  <si>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</si>
  <si>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</si>
  <si>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</si>
  <si>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</si>
  <si>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</si>
  <si>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</si>
  <si>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</si>
  <si>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</si>
  <si>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</si>
  <si>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</si>
  <si>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</si>
  <si>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</si>
  <si>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</si>
  <si>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</si>
  <si>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</si>
  <si>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</si>
  <si>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</si>
  <si>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</si>
  <si>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</si>
  <si>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</si>
  <si>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</si>
  <si>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</si>
  <si>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</si>
  <si>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</si>
  <si>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</si>
  <si>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</si>
  <si>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</si>
  <si>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</si>
  <si>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</si>
  <si>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</si>
  <si>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</si>
  <si>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</si>
  <si>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</si>
  <si>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</si>
  <si>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</si>
  <si>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</si>
  <si>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</si>
  <si>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</si>
  <si>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</si>
  <si>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</si>
  <si>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</si>
  <si>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</si>
  <si>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</si>
  <si>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</si>
  <si>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</si>
  <si>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</si>
  <si>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</si>
  <si>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</si>
  <si>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</si>
  <si>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</si>
  <si>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</si>
  <si>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</si>
  <si>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</si>
  <si>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</si>
  <si>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</si>
  <si>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</si>
  <si>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</si>
  <si>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</si>
  <si>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</si>
  <si>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</si>
  <si>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</si>
  <si>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</si>
  <si>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</si>
  <si>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</si>
  <si>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</si>
  <si>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</si>
  <si>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</si>
  <si>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</si>
  <si>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</si>
  <si>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</si>
  <si>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</si>
  <si>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</si>
  <si>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</si>
  <si>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</si>
  <si>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</si>
  <si>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</si>
  <si>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</si>
  <si>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</si>
  <si>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</si>
  <si>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</si>
  <si>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</si>
  <si>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</si>
  <si>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</si>
  <si>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</si>
  <si>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</si>
  <si>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</si>
  <si>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</si>
  <si>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</si>
  <si>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</si>
  <si>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</si>
  <si>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</si>
  <si>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</si>
  <si>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</si>
  <si>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</si>
  <si>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</si>
  <si>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</si>
  <si>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</si>
  <si>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</si>
  <si>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</si>
  <si>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</si>
  <si>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</si>
  <si>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</si>
  <si>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</si>
  <si>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</si>
  <si>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</si>
  <si>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</si>
  <si>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</si>
  <si>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</si>
  <si>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</si>
  <si>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</si>
  <si>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</si>
  <si>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</si>
  <si>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</si>
  <si>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</si>
  <si>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</si>
  <si>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</si>
  <si>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</si>
  <si>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</si>
  <si>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</si>
  <si>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</si>
  <si>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</si>
  <si>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</si>
  <si>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</si>
  <si>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</si>
  <si>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</si>
  <si>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</si>
  <si>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</si>
  <si>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</si>
  <si>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</si>
  <si>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</si>
  <si>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</si>
  <si>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</si>
  <si>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</si>
  <si>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</si>
  <si>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</si>
  <si>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</si>
  <si>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</si>
  <si>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</si>
  <si>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</si>
  <si>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</si>
  <si>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</si>
  <si>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</si>
  <si>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</si>
  <si>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</si>
  <si>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</si>
  <si>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</si>
  <si>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</si>
  <si>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</si>
  <si>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</si>
  <si>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</si>
  <si>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</si>
  <si>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</si>
  <si>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</si>
  <si>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</si>
  <si>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</si>
  <si>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</si>
  <si>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</si>
  <si>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</si>
  <si>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</si>
  <si>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</si>
  <si>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</si>
  <si>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</si>
  <si>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</si>
  <si>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</si>
  <si>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</si>
  <si>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</si>
  <si>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</si>
  <si>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</si>
  <si>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</si>
  <si>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</si>
  <si>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</si>
  <si>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</si>
  <si>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</si>
  <si>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</si>
  <si>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</si>
  <si>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</si>
  <si>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</si>
  <si>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</si>
  <si>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</si>
  <si>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</si>
  <si>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</si>
  <si>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</si>
  <si>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</si>
  <si>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</si>
  <si>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</si>
  <si>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</si>
  <si>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</si>
  <si>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</si>
  <si>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</si>
  <si>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</si>
  <si>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</si>
  <si>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</si>
  <si>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</si>
  <si>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</si>
  <si>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</si>
  <si>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</si>
  <si>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</si>
  <si>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</si>
  <si>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</si>
  <si>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</si>
  <si>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</si>
  <si>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</si>
  <si>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</si>
  <si>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</si>
  <si>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</si>
  <si>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</si>
  <si>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</si>
  <si>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</si>
  <si>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</si>
  <si>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</si>
  <si>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</si>
  <si>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</si>
  <si>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</si>
  <si>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</si>
  <si>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</si>
  <si>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</si>
  <si>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</si>
  <si>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</si>
  <si>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</si>
  <si>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</si>
  <si>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</si>
  <si>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</si>
  <si>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</si>
  <si>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</si>
  <si>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</si>
  <si>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</si>
  <si>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</si>
  <si>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</si>
  <si>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</si>
  <si>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</si>
  <si>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</si>
  <si>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</si>
  <si>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</si>
  <si>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</si>
  <si>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</si>
  <si>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</si>
  <si>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</si>
  <si>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</si>
  <si>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</si>
  <si>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</si>
  <si>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</si>
  <si>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</si>
  <si>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</si>
  <si>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</si>
  <si>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</si>
  <si>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</si>
  <si>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</si>
  <si>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</si>
  <si>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</si>
  <si>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</si>
  <si>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</si>
  <si>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</si>
  <si>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</si>
  <si>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</si>
  <si>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</si>
  <si>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</si>
  <si>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</si>
  <si>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</si>
  <si>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</si>
  <si>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</si>
  <si>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</si>
  <si>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</si>
  <si>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</si>
  <si>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</si>
  <si>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</si>
  <si>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</si>
  <si>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</si>
  <si>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</si>
  <si>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</si>
  <si>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</si>
  <si>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</si>
  <si>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</si>
  <si>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</si>
  <si>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</si>
  <si>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</si>
  <si>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</si>
  <si>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</si>
  <si>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</si>
  <si>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</si>
  <si>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</si>
  <si>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</si>
  <si>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</si>
  <si>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</si>
  <si>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</si>
  <si>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</si>
  <si>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</si>
  <si>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</si>
  <si>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</si>
  <si>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</si>
  <si>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</si>
  <si>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</si>
  <si>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</si>
  <si>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</si>
  <si>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</si>
  <si>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</si>
  <si>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</si>
  <si>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</si>
  <si>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</si>
  <si>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</si>
  <si>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</si>
  <si>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</si>
  <si>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</si>
  <si>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</si>
  <si>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</si>
  <si>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</si>
  <si>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</si>
  <si>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</si>
  <si>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</si>
  <si>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</si>
  <si>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</si>
  <si>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</si>
  <si>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</si>
  <si>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</si>
  <si>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</si>
  <si>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</si>
  <si>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</si>
  <si>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</si>
  <si>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</si>
  <si>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</si>
  <si>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</si>
  <si>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</si>
  <si>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</si>
  <si>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</si>
  <si>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</si>
  <si>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</si>
  <si>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</si>
  <si>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</si>
  <si>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</si>
  <si>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</si>
  <si>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</si>
  <si>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</si>
  <si>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</si>
  <si>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</si>
  <si>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</si>
  <si>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</si>
  <si>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</si>
  <si>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</si>
  <si>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</si>
  <si>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</si>
  <si>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</si>
  <si>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</si>
  <si>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</si>
  <si>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</si>
  <si>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</si>
  <si>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</si>
  <si>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</si>
  <si>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</si>
  <si>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</si>
  <si>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</si>
  <si>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</si>
  <si>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</si>
  <si>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</si>
  <si>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</si>
  <si>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</si>
  <si>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</si>
  <si>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</si>
  <si>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</si>
  <si>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</si>
  <si>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</si>
  <si>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</si>
  <si>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</si>
  <si>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</si>
  <si>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</si>
  <si>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</si>
  <si>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</si>
  <si>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</si>
  <si>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</si>
  <si>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</si>
  <si>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</si>
  <si>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</si>
  <si>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</si>
  <si>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</si>
  <si>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</si>
  <si>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</si>
  <si>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</si>
  <si>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</si>
  <si>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</si>
  <si>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</si>
  <si>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</si>
  <si>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</si>
  <si>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</si>
  <si>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</si>
  <si>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</si>
  <si>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</si>
  <si>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</si>
  <si>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</si>
  <si>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</si>
  <si>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</si>
  <si>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</si>
  <si>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</si>
  <si>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</si>
  <si>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</si>
  <si>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</si>
  <si>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</si>
  <si>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</si>
  <si>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</si>
  <si>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</si>
  <si>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</si>
  <si>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</si>
  <si>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</si>
  <si>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</si>
  <si>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</si>
  <si>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</si>
  <si>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</si>
  <si>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</si>
  <si>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</si>
  <si>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</si>
  <si>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</si>
  <si>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</si>
  <si>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</si>
  <si>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</si>
  <si>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</si>
  <si>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</si>
  <si>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</si>
  <si>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</si>
  <si>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</si>
  <si>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</si>
  <si>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</si>
  <si>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</si>
  <si>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</si>
  <si>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</si>
  <si>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</si>
  <si>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</si>
  <si>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</si>
  <si>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</si>
  <si>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</si>
  <si>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</si>
  <si>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</si>
  <si>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</si>
  <si>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</si>
  <si>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</si>
  <si>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</si>
  <si>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</si>
  <si>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</si>
  <si>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</si>
  <si>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</si>
  <si>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</si>
  <si>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</si>
  <si>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</si>
  <si>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</si>
  <si>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</si>
  <si>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</si>
  <si>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</si>
  <si>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</si>
  <si>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</si>
  <si>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</si>
  <si>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</si>
  <si>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</si>
  <si>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</si>
  <si>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</si>
  <si>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</si>
  <si>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</si>
  <si>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</si>
  <si>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</si>
  <si>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</si>
  <si>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</si>
  <si>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</si>
  <si>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</si>
  <si>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</si>
  <si>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</si>
  <si>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</si>
  <si>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</si>
  <si>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</si>
  <si>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</si>
  <si>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</si>
  <si>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</si>
  <si>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</si>
  <si>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</si>
  <si>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</si>
  <si>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</si>
  <si>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</si>
  <si>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</si>
  <si>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</si>
  <si>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</si>
  <si>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</si>
  <si>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</si>
  <si>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</si>
  <si>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</si>
  <si>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</si>
  <si>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</si>
  <si>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</si>
  <si>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</si>
  <si>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</si>
  <si>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</si>
  <si>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</si>
  <si>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</si>
  <si>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</si>
  <si>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</si>
  <si>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</si>
  <si>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</si>
  <si>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</si>
  <si>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</si>
  <si>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</si>
  <si>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</si>
  <si>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</si>
  <si>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</si>
  <si>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</si>
  <si>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</si>
  <si>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</si>
  <si>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</si>
  <si>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</si>
  <si>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</si>
  <si>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</si>
  <si>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</si>
  <si>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</si>
  <si>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</si>
  <si>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</si>
  <si>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</si>
  <si>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</si>
  <si>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</si>
  <si>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</si>
  <si>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</si>
  <si>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</si>
  <si>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</si>
  <si>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</si>
  <si>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</si>
  <si>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</si>
  <si>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</si>
  <si>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</si>
  <si>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</si>
  <si>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</si>
  <si>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</si>
  <si>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</si>
  <si>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</si>
  <si>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</si>
  <si>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</si>
  <si>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</si>
  <si>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</si>
  <si>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</si>
  <si>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</si>
  <si>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</si>
  <si>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</si>
  <si>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</si>
  <si>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</si>
  <si>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</si>
  <si>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</si>
  <si>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</si>
  <si>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</si>
  <si>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</si>
  <si>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</si>
  <si>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</si>
  <si>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</si>
  <si>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</si>
  <si>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</si>
  <si>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</si>
  <si>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</si>
  <si>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</si>
  <si>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</si>
  <si>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</si>
  <si>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</si>
  <si>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</si>
  <si>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</si>
  <si>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</si>
  <si>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</si>
  <si>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</si>
  <si>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</si>
  <si>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</si>
  <si>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</si>
  <si>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</si>
  <si>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</si>
  <si>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</si>
  <si>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</si>
  <si>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</si>
  <si>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</si>
  <si>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</si>
  <si>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</si>
  <si>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</si>
  <si>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</si>
  <si>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</si>
  <si>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</si>
  <si>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</si>
  <si>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</si>
  <si>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</si>
  <si>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</si>
  <si>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</si>
  <si>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</si>
  <si>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</si>
  <si>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</si>
  <si>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</si>
  <si>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</si>
  <si>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</si>
  <si>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</si>
  <si>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</si>
  <si>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</si>
  <si>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</si>
  <si>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</si>
  <si>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</si>
  <si>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</si>
  <si>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</si>
  <si>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</si>
  <si>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</si>
  <si>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</si>
  <si>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</si>
  <si>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</si>
  <si>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</si>
  <si>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</si>
  <si>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</si>
  <si>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</si>
  <si>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</si>
  <si>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</si>
  <si>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</si>
  <si>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</si>
  <si>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</si>
  <si>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</si>
  <si>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</si>
  <si>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</si>
  <si>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</si>
  <si>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</si>
  <si>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</si>
  <si>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</si>
  <si>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</si>
  <si>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</si>
  <si>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</si>
  <si>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</si>
  <si>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</si>
  <si>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</si>
  <si>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</si>
  <si>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</si>
  <si>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</si>
  <si>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</si>
  <si>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</si>
  <si>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</si>
  <si>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</si>
  <si>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</si>
  <si>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</si>
  <si>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</si>
  <si>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</si>
  <si>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</si>
  <si>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</si>
  <si>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</si>
  <si>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</si>
  <si>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</si>
  <si>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</si>
  <si>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</si>
  <si>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</si>
  <si>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</si>
  <si>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</si>
  <si>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</si>
  <si>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</si>
  <si>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</si>
  <si>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</si>
  <si>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</si>
  <si>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</si>
  <si>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</si>
  <si>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</si>
  <si>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</si>
  <si>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</si>
  <si>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</si>
  <si>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</si>
  <si>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</si>
  <si>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</si>
  <si>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</si>
  <si>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</si>
  <si>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</si>
  <si>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</si>
  <si>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</si>
  <si>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</si>
  <si>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</si>
  <si>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</si>
  <si>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</si>
  <si>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</si>
  <si>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</si>
  <si>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</si>
  <si>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</si>
  <si>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</si>
  <si>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</si>
  <si>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</si>
  <si>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</si>
  <si>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</si>
  <si>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</si>
  <si>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</si>
  <si>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</si>
  <si>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</si>
  <si>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</si>
  <si>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</si>
  <si>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</si>
  <si>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</si>
  <si>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</si>
  <si>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</si>
  <si>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</si>
  <si>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</si>
  <si>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</si>
  <si>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</si>
  <si>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</si>
  <si>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</si>
  <si>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</si>
  <si>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</si>
  <si>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</si>
  <si>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</si>
  <si>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</si>
  <si>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</si>
  <si>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</si>
  <si>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</si>
  <si>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</si>
  <si>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</si>
  <si>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</si>
  <si>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</si>
  <si>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</si>
  <si>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</si>
  <si>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</si>
  <si>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</si>
  <si>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</si>
  <si>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</si>
  <si>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</si>
  <si>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</si>
  <si>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</si>
  <si>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</si>
  <si>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</si>
  <si>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</si>
  <si>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</si>
  <si>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</si>
  <si>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</si>
  <si>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</si>
  <si>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</si>
  <si>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</si>
  <si>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</si>
  <si>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</si>
  <si>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</si>
  <si>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</si>
  <si>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</si>
  <si>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</si>
  <si>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</si>
  <si>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</si>
  <si>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</si>
  <si>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</si>
  <si>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</si>
  <si>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</si>
  <si>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</si>
  <si>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</si>
  <si>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</si>
  <si>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</si>
  <si>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</si>
  <si>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</si>
  <si>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</si>
  <si>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</si>
  <si>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</si>
  <si>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</si>
  <si>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</si>
  <si>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</si>
  <si>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</si>
  <si>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</si>
  <si>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</si>
  <si>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</si>
  <si>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</si>
  <si>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</si>
  <si>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</si>
  <si>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</si>
  <si>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</si>
  <si>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</si>
  <si>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</si>
  <si>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</si>
  <si>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</si>
  <si>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</si>
  <si>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</si>
  <si>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</si>
  <si>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</si>
  <si>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</si>
  <si>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</si>
  <si>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</si>
  <si>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</si>
  <si>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</si>
  <si>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</si>
  <si>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</si>
  <si>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</si>
  <si>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</si>
  <si>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</si>
  <si>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</si>
  <si>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</si>
  <si>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</si>
  <si>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</si>
  <si>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</si>
  <si>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</si>
  <si>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</si>
  <si>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</si>
  <si>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</si>
  <si>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</si>
  <si>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</si>
  <si>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</si>
  <si>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</si>
  <si>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</si>
  <si>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</si>
  <si>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</si>
  <si>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</si>
  <si>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</si>
  <si>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</si>
  <si>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</si>
  <si>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</si>
  <si>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</si>
  <si>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</si>
  <si>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</si>
  <si>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</si>
  <si>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</si>
  <si>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</si>
  <si>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</si>
  <si>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</si>
  <si>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</si>
  <si>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</si>
  <si>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</si>
  <si>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</si>
  <si>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</si>
  <si>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</si>
  <si>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</si>
  <si>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</si>
  <si>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</si>
  <si>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</si>
  <si>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</si>
  <si>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</si>
  <si>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</si>
  <si>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</si>
  <si>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</si>
  <si>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</si>
  <si>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</si>
  <si>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</si>
  <si>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</si>
  <si>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</si>
  <si>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</si>
  <si>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</si>
  <si>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</si>
  <si>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</si>
  <si>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</si>
  <si>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</si>
  <si>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</si>
  <si>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</si>
  <si>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</si>
  <si>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</si>
  <si>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</si>
  <si>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</si>
  <si>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</si>
  <si>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</si>
  <si>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</si>
  <si>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</si>
  <si>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</si>
  <si>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</si>
  <si>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</si>
  <si>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</si>
  <si>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</si>
  <si>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</si>
  <si>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</si>
  <si>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</si>
  <si>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</si>
  <si>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</si>
  <si>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</si>
  <si>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</si>
  <si>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</si>
  <si>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</si>
  <si>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</si>
  <si>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</si>
  <si>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</si>
  <si>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</si>
  <si>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</si>
  <si>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</si>
  <si>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</si>
  <si>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</si>
  <si>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</si>
  <si>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</si>
  <si>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</si>
  <si>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</si>
  <si>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</si>
  <si>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</si>
  <si>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</si>
  <si>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</si>
  <si>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</si>
  <si>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</si>
  <si>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</si>
  <si>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</si>
  <si>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</si>
  <si>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</si>
  <si>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</si>
  <si>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</si>
  <si>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</si>
  <si>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</si>
  <si>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</si>
  <si>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</si>
  <si>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</si>
  <si>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</si>
  <si>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</si>
  <si>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</si>
  <si>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</si>
  <si>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</si>
  <si>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</si>
  <si>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</si>
  <si>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</si>
  <si>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</si>
  <si>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</si>
  <si>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</si>
  <si>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</si>
  <si>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</si>
  <si>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</si>
  <si>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</si>
  <si>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</si>
  <si>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</si>
  <si>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</si>
  <si>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</si>
  <si>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</si>
  <si>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</si>
  <si>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</si>
  <si>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</si>
  <si>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</si>
  <si>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</si>
  <si>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</si>
  <si>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</si>
  <si>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</si>
  <si>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</si>
  <si>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</si>
  <si>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</si>
  <si>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</si>
  <si>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</si>
  <si>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</si>
  <si>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</si>
  <si>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</si>
  <si>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</si>
  <si>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</si>
  <si>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</si>
  <si>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</si>
  <si>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</si>
  <si>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</si>
  <si>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</si>
  <si>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</si>
  <si>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</si>
  <si>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</si>
  <si>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</si>
  <si>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</si>
  <si>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</si>
  <si>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</si>
  <si>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</si>
  <si>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</si>
  <si>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</si>
  <si>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</si>
  <si>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</si>
  <si>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</si>
  <si>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</si>
  <si>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</si>
  <si>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</si>
  <si>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</si>
  <si>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</si>
  <si>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</si>
  <si>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</si>
  <si>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</si>
  <si>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</si>
  <si>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</si>
  <si>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</si>
  <si>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</si>
  <si>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</si>
  <si>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</si>
  <si>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</si>
  <si>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</si>
  <si>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</si>
  <si>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</si>
  <si>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</si>
  <si>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</si>
  <si>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</si>
  <si>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</si>
  <si>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</si>
  <si>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</si>
  <si>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</si>
  <si>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</si>
  <si>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</si>
  <si>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</si>
  <si>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</si>
  <si>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</si>
  <si>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</si>
  <si>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</si>
  <si>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</si>
  <si>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</si>
  <si>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</si>
  <si>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</si>
  <si>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</si>
  <si>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</si>
  <si>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</si>
  <si>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</si>
  <si>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</si>
  <si>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</si>
  <si>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</si>
  <si>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</si>
  <si>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</si>
  <si>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</si>
  <si>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</si>
  <si>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</si>
  <si>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</si>
  <si>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</si>
  <si>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</si>
  <si>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</si>
  <si>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</si>
  <si>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</si>
  <si>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</si>
  <si>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</si>
  <si>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</si>
  <si>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</si>
  <si>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</si>
  <si>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</si>
  <si>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</si>
  <si>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</si>
  <si>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</si>
  <si>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</si>
  <si>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</si>
  <si>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</si>
  <si>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</si>
  <si>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</si>
  <si>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</si>
  <si>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</si>
  <si>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</si>
  <si>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</si>
  <si>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</si>
  <si>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</si>
  <si>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</si>
  <si>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</si>
  <si>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</si>
  <si>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</si>
  <si>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</si>
  <si>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</si>
  <si>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</si>
  <si>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</si>
  <si>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</si>
  <si>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</si>
  <si>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</si>
  <si>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</si>
  <si>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</si>
  <si>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</si>
  <si>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</si>
  <si>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</si>
  <si>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</si>
  <si>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</si>
  <si>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</si>
  <si>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</si>
  <si>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</si>
  <si>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</si>
  <si>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</si>
  <si>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</si>
  <si>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</si>
  <si>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</si>
  <si>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</si>
  <si>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</si>
  <si>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</si>
  <si>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</si>
  <si>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</si>
  <si>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</si>
  <si>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</si>
  <si>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</si>
  <si>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</si>
  <si>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</si>
  <si>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</si>
  <si>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</si>
  <si>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</si>
  <si>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</si>
  <si>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</si>
  <si>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</si>
  <si>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</si>
  <si>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</si>
  <si>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</si>
  <si>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</si>
  <si>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</si>
  <si>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</si>
  <si>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</si>
  <si>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</si>
  <si>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</si>
  <si>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</si>
  <si>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</si>
  <si>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</si>
  <si>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</si>
  <si>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</si>
  <si>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</si>
  <si>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</si>
  <si>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</si>
  <si>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</si>
  <si>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</si>
  <si>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</si>
  <si>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</si>
  <si>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</si>
  <si>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</si>
  <si>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</si>
  <si>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</si>
  <si>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</si>
  <si>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</si>
  <si>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</si>
  <si>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</si>
  <si>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</si>
  <si>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</si>
  <si>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</si>
  <si>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</si>
  <si>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</si>
  <si>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</si>
  <si>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</si>
  <si>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</si>
  <si>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</si>
  <si>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</si>
  <si>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</si>
  <si>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</si>
  <si>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</si>
  <si>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</si>
  <si>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</si>
  <si>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</si>
  <si>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</si>
  <si>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</si>
  <si>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</si>
  <si>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</si>
  <si>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</si>
  <si>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</si>
  <si>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</si>
  <si>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</si>
  <si>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</si>
  <si>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</si>
  <si>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</si>
  <si>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</si>
  <si>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</si>
  <si>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</si>
  <si>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</si>
  <si>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</si>
  <si>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</si>
  <si>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</si>
  <si>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</si>
  <si>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</si>
  <si>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</si>
  <si>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</si>
  <si>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</si>
  <si>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</si>
  <si>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</si>
  <si>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</si>
  <si>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</si>
  <si>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</si>
  <si>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</si>
  <si>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</si>
  <si>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</si>
  <si>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</si>
  <si>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</si>
  <si>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</si>
  <si>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</si>
  <si>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</si>
  <si>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</si>
  <si>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</si>
  <si>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</si>
  <si>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</si>
  <si>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</si>
  <si>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</si>
  <si>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</si>
  <si>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</si>
  <si>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</si>
  <si>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</si>
  <si>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</si>
  <si>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</si>
  <si>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</si>
  <si>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</si>
  <si>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</si>
  <si>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</si>
  <si>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</si>
  <si>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</si>
  <si>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</si>
  <si>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</si>
  <si>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</si>
  <si>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</si>
  <si>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</si>
  <si>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</si>
  <si>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</si>
  <si>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</si>
  <si>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</si>
  <si>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</si>
  <si>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</si>
  <si>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</si>
  <si>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</si>
  <si>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</si>
  <si>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</si>
  <si>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</si>
  <si>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</si>
  <si>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</si>
  <si>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</si>
  <si>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</si>
  <si>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</si>
  <si>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</si>
  <si>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</si>
  <si>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</si>
  <si>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</si>
  <si>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</si>
  <si>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</si>
  <si>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</si>
  <si>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</si>
  <si>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</si>
  <si>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</si>
  <si>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</si>
  <si>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</si>
  <si>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</si>
  <si>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</si>
  <si>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</si>
  <si>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</si>
  <si>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</si>
  <si>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</si>
  <si>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</si>
  <si>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</si>
  <si>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</si>
  <si>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</si>
  <si>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</si>
  <si>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</si>
  <si>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</si>
  <si>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</si>
  <si>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</si>
  <si>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</si>
  <si>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</si>
  <si>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</si>
  <si>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</si>
  <si>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</si>
  <si>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</si>
  <si>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</si>
  <si>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</si>
  <si>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</si>
  <si>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</si>
  <si>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</si>
  <si>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</si>
  <si>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</si>
  <si>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</si>
  <si>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</si>
  <si>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</si>
  <si>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</si>
  <si>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</si>
  <si>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</si>
  <si>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</si>
  <si>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</si>
  <si>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</si>
  <si>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</si>
  <si>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</si>
  <si>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</si>
  <si>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</si>
  <si>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</si>
  <si>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</si>
  <si>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</si>
  <si>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</si>
  <si>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</si>
  <si>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</si>
  <si>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</si>
  <si>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</si>
  <si>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</si>
  <si>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</si>
  <si>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</si>
  <si>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</si>
  <si>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</si>
  <si>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</si>
  <si>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</si>
  <si>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</si>
  <si>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</si>
  <si>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</si>
  <si>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</si>
  <si>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</si>
  <si>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</si>
  <si>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</si>
  <si>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</si>
  <si>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</si>
  <si>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</si>
  <si>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</si>
  <si>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</si>
  <si>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</si>
  <si>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</si>
  <si>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</si>
  <si>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</si>
  <si>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</si>
  <si>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</si>
  <si>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</si>
  <si>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</si>
  <si>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</si>
  <si>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</si>
  <si>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</si>
  <si>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</si>
  <si>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</si>
  <si>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</si>
  <si>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</si>
  <si>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</si>
  <si>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</si>
  <si>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</si>
  <si>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</si>
  <si>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</si>
  <si>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</si>
  <si>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</si>
  <si>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</si>
  <si>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</si>
  <si>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</si>
  <si>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</si>
  <si>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</si>
  <si>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</si>
  <si>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</si>
  <si>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</si>
  <si>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</si>
  <si>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</si>
  <si>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</si>
  <si>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</si>
  <si>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</si>
  <si>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</si>
  <si>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</si>
  <si>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</si>
  <si>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</si>
  <si>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</si>
  <si>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</si>
  <si>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</si>
  <si>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</si>
  <si>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</si>
  <si>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</si>
  <si>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</si>
  <si>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</si>
  <si>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</si>
  <si>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</si>
  <si>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</si>
  <si>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</si>
  <si>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</si>
  <si>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</si>
  <si>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</si>
  <si>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</si>
  <si>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</si>
  <si>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</si>
  <si>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</si>
  <si>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</si>
  <si>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</si>
  <si>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</si>
  <si>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</si>
  <si>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</si>
  <si>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</si>
  <si>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</si>
  <si>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</si>
  <si>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</si>
  <si>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</si>
  <si>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</si>
  <si>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</si>
  <si>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</si>
  <si>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</si>
  <si>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</si>
  <si>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</si>
  <si>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</si>
  <si>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</si>
  <si>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</si>
  <si>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</si>
  <si>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</si>
  <si>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</si>
  <si>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</si>
  <si>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</si>
  <si>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</si>
  <si>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</si>
  <si>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</si>
  <si>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</si>
  <si>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</si>
  <si>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</si>
  <si>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</si>
  <si>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</si>
  <si>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</si>
  <si>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</si>
  <si>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</si>
  <si>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</si>
  <si>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</si>
  <si>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</si>
  <si>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</si>
  <si>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</si>
  <si>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</si>
  <si>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</si>
  <si>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</si>
  <si>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</si>
  <si>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</si>
  <si>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</si>
  <si>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</si>
  <si>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</si>
  <si>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</si>
  <si>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</si>
  <si>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</si>
  <si>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</si>
  <si>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</si>
  <si>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</si>
  <si>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</si>
  <si>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</si>
  <si>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</si>
  <si>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</si>
  <si>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</si>
  <si>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</si>
  <si>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</si>
  <si>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</si>
  <si>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</si>
  <si>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</si>
  <si>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</si>
  <si>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</si>
  <si>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</si>
  <si>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</si>
  <si>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</si>
  <si>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</si>
  <si>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</si>
  <si>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</si>
  <si>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</si>
  <si>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</si>
  <si>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</si>
  <si>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</si>
  <si>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</si>
  <si>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</si>
  <si>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</si>
  <si>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</si>
  <si>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</si>
  <si>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</si>
  <si>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</si>
  <si>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</si>
  <si>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</si>
  <si>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</si>
  <si>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</si>
  <si>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</si>
  <si>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</si>
  <si>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</si>
  <si>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</si>
  <si>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</si>
  <si>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</si>
  <si>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</si>
  <si>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</si>
  <si>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</si>
  <si>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</si>
  <si>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</si>
  <si>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</si>
  <si>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</si>
  <si>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</si>
  <si>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</si>
  <si>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</si>
  <si>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</si>
  <si>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</si>
  <si>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</si>
  <si>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</si>
  <si>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</si>
  <si>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</si>
  <si>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</si>
  <si>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</si>
  <si>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</si>
  <si>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</si>
  <si>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</si>
  <si>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</si>
  <si>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</si>
  <si>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</si>
  <si>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</si>
  <si>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</si>
  <si>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</si>
  <si>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</si>
  <si>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</si>
  <si>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</si>
  <si>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</si>
  <si>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</si>
  <si>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</si>
  <si>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</si>
  <si>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</si>
  <si>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</si>
  <si>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</si>
  <si>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</si>
  <si>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</si>
  <si>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</si>
  <si>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</si>
  <si>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</si>
  <si>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</si>
  <si>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</si>
  <si>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</si>
  <si>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</si>
  <si>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</si>
  <si>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</si>
  <si>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</si>
  <si>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</si>
  <si>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</si>
  <si>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</si>
  <si>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</si>
  <si>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</si>
  <si>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</si>
  <si>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</si>
  <si>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</si>
  <si>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</si>
  <si>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</si>
  <si>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</si>
  <si>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</si>
  <si>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</si>
  <si>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</si>
  <si>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</si>
  <si>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</si>
  <si>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</si>
  <si>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</si>
  <si>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</si>
  <si>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</si>
  <si>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</si>
  <si>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</si>
  <si>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</si>
  <si>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</si>
  <si>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</si>
  <si>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</si>
  <si>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</si>
  <si>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</si>
  <si>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</si>
  <si>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</si>
  <si>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</si>
  <si>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</si>
  <si>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</si>
  <si>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</si>
  <si>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</si>
  <si>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</si>
  <si>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</si>
  <si>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</si>
  <si>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</si>
  <si>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</si>
  <si>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</si>
  <si>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</si>
  <si>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</si>
  <si>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</si>
  <si>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</si>
  <si>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</si>
  <si>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</si>
  <si>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</si>
  <si>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</si>
  <si>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</si>
  <si>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</si>
  <si>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</si>
  <si>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</si>
  <si>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</si>
  <si>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</si>
  <si>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</si>
  <si>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</si>
  <si>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</si>
  <si>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</si>
  <si>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</si>
  <si>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</si>
  <si>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</si>
  <si>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</si>
  <si>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</si>
  <si>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</si>
  <si>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</si>
  <si>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</si>
  <si>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</si>
  <si>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</si>
  <si>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</si>
  <si>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</si>
  <si>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</si>
  <si>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</si>
  <si>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</si>
  <si>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</si>
  <si>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</si>
  <si>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</si>
  <si>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</si>
  <si>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</si>
  <si>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</si>
  <si>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</si>
  <si>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</si>
  <si>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</si>
  <si>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</si>
  <si>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</si>
  <si>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</si>
  <si>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</si>
  <si>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</si>
  <si>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</si>
  <si>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</si>
  <si>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</si>
  <si>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</si>
  <si>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</si>
  <si>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</si>
  <si>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</si>
  <si>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</si>
  <si>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</si>
  <si>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</si>
  <si>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</si>
  <si>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</si>
  <si>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</si>
  <si>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</si>
  <si>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</si>
  <si>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</si>
  <si>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</si>
  <si>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</si>
  <si>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</si>
  <si>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</si>
  <si>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</si>
  <si>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</si>
  <si>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</si>
  <si>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</si>
  <si>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</si>
  <si>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</si>
  <si>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</si>
  <si>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</si>
  <si>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</si>
  <si>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</si>
  <si>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</si>
  <si>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</si>
  <si>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</si>
  <si>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</si>
  <si>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</si>
  <si>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</si>
  <si>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</si>
  <si>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</si>
  <si>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</si>
  <si>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</si>
  <si>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</si>
  <si>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</si>
  <si>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</si>
  <si>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</si>
  <si>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</si>
  <si>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</si>
  <si>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</si>
  <si>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</si>
  <si>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</si>
  <si>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</si>
  <si>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</si>
  <si>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</si>
  <si>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</si>
  <si>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</si>
  <si>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</si>
  <si>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</si>
  <si>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</si>
  <si>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</si>
  <si>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</si>
  <si>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</si>
  <si>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</si>
  <si>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</si>
  <si>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</si>
  <si>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</si>
  <si>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</si>
  <si>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</si>
  <si>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</si>
  <si>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</si>
  <si>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</si>
  <si>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</si>
  <si>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</si>
  <si>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</si>
  <si>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</si>
  <si>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</si>
  <si>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</si>
  <si>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</si>
  <si>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</si>
  <si>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</si>
  <si>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</si>
  <si>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</si>
  <si>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</si>
  <si>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</si>
  <si>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</si>
  <si>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</si>
  <si>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</si>
  <si>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</si>
  <si>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</si>
  <si>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</si>
  <si>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</si>
  <si>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</si>
  <si>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</si>
  <si>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</si>
  <si>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</si>
  <si>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</si>
  <si>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</si>
  <si>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</si>
  <si>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</si>
  <si>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</si>
  <si>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</si>
  <si>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</si>
  <si>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</si>
  <si>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</si>
  <si>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</si>
  <si>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</si>
  <si>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</si>
  <si>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</si>
  <si>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</si>
  <si>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</si>
  <si>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</si>
  <si>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</si>
  <si>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</si>
  <si>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</si>
  <si>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</si>
  <si>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</si>
  <si>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</si>
  <si>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</si>
  <si>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</si>
  <si>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</si>
  <si>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</si>
  <si>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</si>
  <si>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</si>
  <si>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</si>
  <si>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</si>
  <si>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</si>
  <si>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</si>
  <si>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</si>
  <si>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</si>
  <si>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</si>
  <si>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</si>
  <si>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</si>
  <si>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</si>
  <si>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</si>
  <si>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</si>
  <si>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</si>
  <si>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</si>
  <si>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</si>
  <si>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</si>
  <si>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</si>
  <si>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</si>
  <si>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</si>
  <si>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</si>
  <si>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</si>
  <si>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</si>
  <si>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</si>
  <si>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</si>
  <si>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</si>
  <si>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</si>
  <si>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</si>
  <si>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</si>
  <si>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</si>
  <si>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</si>
  <si>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</si>
  <si>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</si>
  <si>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</si>
  <si>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</si>
  <si>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</si>
  <si>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</si>
  <si>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</si>
  <si>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</si>
  <si>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</si>
  <si>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</si>
  <si>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</si>
  <si>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</si>
  <si>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</si>
  <si>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</si>
  <si>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</si>
  <si>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</si>
  <si>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</si>
  <si>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</si>
  <si>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</si>
  <si>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</si>
  <si>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</si>
  <si>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</si>
  <si>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</si>
  <si>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</si>
  <si>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</si>
  <si>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</si>
  <si>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</si>
  <si>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</si>
  <si>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</si>
  <si>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</si>
  <si>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</si>
  <si>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</si>
  <si>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</si>
  <si>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</si>
  <si>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</si>
  <si>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</si>
  <si>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</si>
  <si>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</si>
  <si>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</si>
  <si>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</si>
  <si>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</si>
  <si>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</si>
  <si>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</si>
  <si>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</si>
  <si>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</si>
  <si>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</si>
  <si>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</si>
  <si>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</si>
  <si>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</si>
  <si>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</si>
  <si>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</si>
  <si>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</si>
  <si>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</si>
  <si>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</si>
  <si>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</si>
  <si>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</si>
  <si>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</si>
  <si>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</si>
  <si>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</si>
  <si>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</si>
  <si>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</si>
  <si>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</si>
  <si>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</si>
  <si>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</si>
  <si>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</si>
  <si>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</si>
  <si>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</si>
  <si>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</si>
  <si>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</si>
  <si>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</si>
  <si>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</si>
  <si>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</si>
  <si>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</si>
  <si>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</si>
  <si>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</si>
  <si>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</si>
  <si>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</si>
  <si>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</si>
  <si>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</si>
  <si>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</si>
  <si>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</si>
  <si>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</si>
  <si>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</si>
  <si>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</si>
  <si>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</si>
  <si>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</si>
  <si>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</si>
  <si>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</si>
  <si>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</si>
  <si>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</si>
  <si>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</si>
  <si>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</si>
  <si>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</si>
  <si>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</si>
  <si>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</si>
  <si>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</si>
  <si>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</si>
  <si>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</si>
  <si>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</si>
  <si>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</si>
  <si>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</si>
  <si>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</si>
  <si>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</si>
  <si>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</si>
  <si>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</si>
  <si>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</si>
  <si>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</si>
  <si>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</si>
  <si>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</si>
  <si>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</si>
  <si>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</si>
  <si>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</si>
  <si>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</si>
  <si>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</si>
  <si>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</si>
  <si>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</si>
  <si>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</si>
  <si>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</si>
  <si>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</si>
  <si>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</si>
  <si>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</si>
  <si>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</si>
  <si>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</si>
  <si>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</si>
  <si>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</si>
  <si>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</si>
  <si>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</si>
  <si>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</si>
  <si>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</si>
  <si>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</si>
  <si>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</si>
  <si>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</si>
  <si>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</si>
  <si>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</si>
  <si>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</si>
  <si>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</si>
  <si>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</si>
  <si>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</si>
  <si>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</si>
  <si>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</si>
  <si>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</si>
  <si>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</si>
  <si>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</si>
  <si>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</si>
  <si>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</si>
  <si>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</si>
  <si>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</si>
  <si>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</si>
  <si>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</si>
  <si>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</si>
  <si>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</si>
  <si>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</si>
  <si>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</si>
  <si>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</si>
  <si>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</si>
  <si>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</si>
  <si>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</si>
  <si>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</si>
  <si>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</si>
  <si>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</si>
  <si>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</si>
  <si>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</si>
  <si>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</si>
  <si>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</si>
  <si>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</si>
  <si>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</si>
  <si>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</si>
  <si>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</si>
  <si>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</si>
  <si>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</si>
  <si>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</si>
  <si>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</si>
  <si>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</si>
  <si>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</si>
  <si>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</si>
  <si>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</si>
  <si>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</si>
  <si>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</si>
  <si>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</si>
  <si>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</si>
  <si>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</si>
  <si>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</si>
  <si>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</si>
  <si>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</si>
  <si>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</si>
  <si>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</si>
  <si>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</si>
  <si>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</si>
  <si>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</si>
  <si>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</si>
  <si>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</si>
  <si>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</si>
  <si>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</si>
  <si>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</si>
  <si>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</si>
  <si>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</si>
  <si>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</si>
  <si>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</si>
  <si>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</si>
  <si>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</si>
  <si>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</si>
  <si>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</si>
  <si>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</si>
  <si>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</si>
  <si>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</si>
  <si>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</si>
  <si>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</si>
  <si>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</si>
  <si>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</si>
  <si>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</si>
  <si>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</si>
  <si>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</si>
  <si>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</si>
  <si>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</si>
  <si>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</si>
  <si>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</si>
  <si>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</si>
  <si>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</si>
  <si>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</si>
  <si>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</si>
  <si>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</si>
  <si>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</si>
  <si>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</si>
  <si>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</si>
  <si>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</si>
  <si>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</si>
  <si>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</si>
  <si>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</si>
  <si>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</si>
  <si>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</si>
  <si>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</si>
  <si>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</si>
  <si>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</si>
  <si>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</si>
  <si>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</si>
  <si>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</si>
  <si>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</si>
  <si>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</si>
  <si>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</si>
  <si>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</si>
  <si>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</si>
  <si>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</si>
  <si>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</si>
  <si>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</si>
  <si>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</si>
  <si>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</si>
  <si>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</si>
  <si>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</si>
  <si>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</si>
  <si>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</si>
  <si>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</si>
  <si>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</si>
  <si>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</si>
  <si>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</si>
  <si>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</si>
  <si>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</si>
  <si>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</si>
  <si>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</si>
  <si>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</si>
  <si>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</si>
  <si>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</si>
  <si>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</si>
  <si>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</si>
  <si>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</si>
  <si>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</si>
  <si>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</si>
  <si>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</si>
  <si>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</si>
  <si>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</si>
  <si>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</si>
  <si>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</si>
  <si>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</si>
  <si>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</si>
  <si>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</si>
  <si>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</si>
  <si>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</si>
  <si>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</si>
  <si>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</si>
  <si>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</si>
  <si>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</si>
  <si>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</si>
  <si>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</si>
  <si>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</si>
  <si>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</si>
  <si>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</si>
  <si>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</si>
  <si>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</si>
  <si>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</si>
  <si>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</si>
  <si>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</si>
  <si>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</si>
  <si>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</si>
  <si>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</si>
  <si>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</si>
  <si>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</si>
  <si>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</si>
  <si>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</si>
  <si>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</si>
  <si>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</si>
  <si>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</si>
  <si>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</si>
  <si>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</si>
  <si>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</si>
  <si>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</si>
  <si>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</si>
  <si>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</si>
  <si>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</si>
  <si>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</si>
  <si>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</si>
  <si>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</si>
  <si>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</si>
  <si>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</si>
  <si>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</si>
  <si>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</si>
  <si>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</si>
  <si>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</si>
  <si>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</si>
  <si>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</si>
  <si>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</si>
  <si>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</si>
  <si>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</si>
  <si>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</si>
  <si>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</si>
  <si>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</si>
  <si>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</si>
  <si>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</si>
  <si>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</si>
  <si>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</si>
  <si>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</si>
  <si>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</si>
  <si>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</si>
  <si>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</si>
  <si>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</si>
  <si>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</si>
  <si>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</si>
  <si>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</si>
  <si>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</si>
  <si>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</si>
  <si>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</si>
  <si>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</si>
  <si>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</si>
  <si>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</si>
  <si>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</si>
  <si>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</si>
  <si>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</si>
  <si>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</si>
  <si>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</si>
  <si>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</si>
  <si>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</si>
  <si>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</si>
  <si>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</si>
  <si>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</si>
  <si>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</si>
  <si>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</si>
  <si>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</si>
  <si>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</si>
  <si>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</si>
  <si>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</si>
  <si>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</si>
  <si>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</si>
  <si>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</si>
  <si>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</si>
  <si>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</si>
  <si>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</si>
  <si>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</si>
  <si>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</si>
  <si>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</si>
  <si>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</si>
  <si>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</si>
  <si>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</si>
  <si>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</si>
  <si>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</si>
  <si>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</si>
  <si>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</si>
  <si>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</si>
  <si>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</si>
  <si>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</si>
  <si>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</si>
  <si>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</si>
  <si>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</si>
  <si>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</si>
  <si>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</si>
  <si>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</si>
  <si>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</si>
  <si>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</si>
  <si>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</si>
  <si>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</si>
  <si>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</si>
  <si>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</si>
  <si>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</si>
  <si>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</si>
  <si>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</si>
  <si>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</si>
  <si>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</si>
  <si>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</si>
  <si>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</si>
  <si>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</si>
  <si>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</si>
  <si>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</si>
  <si>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</si>
  <si>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</si>
  <si>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</si>
  <si>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</si>
  <si>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</si>
  <si>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</si>
  <si>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</si>
  <si>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</si>
  <si>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</si>
  <si>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</si>
  <si>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</si>
  <si>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</si>
  <si>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</si>
  <si>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</si>
  <si>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</si>
  <si>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</si>
  <si>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</si>
  <si>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</si>
  <si>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</si>
  <si>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</si>
  <si>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</si>
  <si>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</si>
  <si>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</si>
  <si>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</si>
  <si>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</si>
  <si>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</si>
  <si>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</si>
  <si>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</si>
  <si>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</si>
  <si>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</si>
  <si>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</si>
  <si>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</si>
  <si>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</si>
  <si>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</si>
  <si>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</si>
  <si>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</si>
  <si>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</si>
  <si>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</si>
  <si>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</si>
  <si>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</si>
  <si>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</si>
  <si>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</si>
  <si>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</si>
  <si>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</si>
  <si>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</si>
  <si>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</si>
  <si>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</si>
  <si>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</si>
  <si>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</si>
  <si>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</si>
  <si>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</si>
  <si>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</si>
  <si>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</si>
  <si>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</si>
  <si>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</si>
  <si>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</si>
  <si>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</si>
  <si>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</si>
  <si>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</si>
  <si>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</si>
  <si>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</si>
  <si>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</si>
  <si>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</si>
  <si>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</si>
  <si>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</si>
  <si>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</si>
  <si>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</si>
  <si>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</si>
  <si>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</si>
  <si>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</si>
  <si>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</si>
  <si>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</si>
  <si>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</si>
  <si>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</si>
  <si>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</si>
  <si>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</si>
  <si>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</si>
  <si>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</si>
  <si>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</si>
  <si>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</si>
  <si>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</si>
  <si>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</si>
  <si>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</si>
  <si>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</si>
  <si>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</si>
  <si>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</si>
  <si>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</si>
  <si>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</si>
  <si>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</si>
  <si>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</si>
  <si>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</si>
  <si>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</si>
  <si>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</si>
  <si>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</si>
  <si>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</si>
  <si>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</si>
  <si>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</si>
  <si>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</si>
  <si>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</si>
  <si>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</si>
  <si>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</si>
  <si>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</si>
  <si>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</si>
  <si>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</si>
  <si>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</si>
  <si>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</si>
  <si>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</si>
  <si>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</si>
  <si>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</si>
  <si>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</si>
  <si>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</si>
  <si>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</si>
  <si>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</si>
  <si>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</si>
  <si>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</si>
  <si>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</si>
  <si>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</si>
  <si>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</si>
  <si>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</si>
  <si>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</si>
  <si>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</si>
  <si>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</si>
  <si>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</si>
  <si>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</si>
  <si>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</si>
  <si>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</si>
  <si>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</si>
  <si>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</si>
  <si>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</si>
  <si>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</si>
  <si>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</si>
  <si>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</si>
  <si>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</si>
  <si>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</si>
  <si>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</si>
  <si>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</si>
  <si>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</si>
  <si>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</si>
  <si>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</si>
  <si>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</si>
  <si>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</si>
  <si>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</si>
  <si>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</si>
  <si>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</si>
  <si>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</si>
  <si>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</si>
  <si>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</si>
  <si>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</si>
  <si>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</si>
  <si>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</si>
  <si>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</si>
  <si>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</si>
  <si>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</si>
  <si>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</si>
  <si>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</si>
  <si>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</si>
  <si>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</si>
  <si>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</si>
  <si>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</si>
  <si>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</si>
  <si>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</si>
  <si>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</si>
  <si>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</si>
  <si>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</si>
  <si>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</si>
  <si>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</si>
  <si>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</si>
  <si>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</si>
  <si>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</si>
  <si>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</si>
  <si>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</si>
  <si>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</si>
  <si>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</si>
  <si>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</si>
  <si>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</si>
  <si>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</si>
  <si>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</si>
  <si>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</si>
  <si>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</si>
  <si>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</si>
  <si>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</si>
  <si>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</si>
  <si>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</si>
  <si>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</si>
  <si>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</si>
  <si>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</si>
  <si>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</si>
  <si>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</si>
  <si>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</si>
  <si>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</si>
  <si>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</si>
  <si>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</si>
  <si>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</si>
  <si>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</si>
  <si>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</si>
  <si>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</si>
  <si>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</si>
  <si>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</si>
  <si>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</si>
  <si>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</si>
  <si>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</si>
  <si>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</si>
  <si>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</si>
  <si>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</si>
  <si>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</si>
  <si>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</si>
  <si>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</si>
  <si>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</si>
  <si>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</si>
  <si>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</si>
  <si>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</si>
  <si>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</si>
  <si>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</si>
  <si>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</si>
  <si>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</si>
  <si>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</si>
  <si>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</si>
  <si>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</si>
  <si>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</si>
  <si>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</si>
  <si>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</si>
  <si>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</si>
  <si>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</si>
  <si>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</si>
  <si>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</si>
  <si>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</si>
  <si>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</si>
  <si>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</si>
  <si>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</si>
  <si>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</si>
  <si>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</si>
  <si>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</si>
  <si>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</si>
  <si>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</si>
  <si>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</si>
  <si>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</si>
  <si>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</si>
  <si>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</si>
  <si>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</si>
  <si>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</si>
  <si>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</si>
  <si>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</si>
  <si>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</si>
  <si>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</si>
  <si>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</si>
  <si>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</si>
  <si>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</si>
  <si>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</si>
  <si>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</si>
  <si>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</si>
  <si>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</si>
  <si>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</si>
  <si>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</si>
  <si>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</si>
  <si>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</si>
  <si>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</si>
  <si>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</si>
  <si>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</si>
  <si>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</si>
  <si>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</si>
  <si>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</si>
  <si>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</si>
  <si>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</si>
  <si>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</si>
  <si>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</si>
  <si>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</si>
  <si>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</si>
  <si>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</si>
  <si>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</si>
  <si>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</si>
  <si>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</si>
  <si>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</si>
  <si>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</si>
  <si>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</si>
  <si>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</si>
  <si>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</si>
  <si>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</si>
  <si>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</si>
  <si>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</si>
  <si>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</si>
  <si>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</si>
  <si>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</si>
  <si>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</si>
  <si>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</si>
  <si>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</si>
  <si>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</si>
  <si>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</si>
  <si>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</si>
  <si>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</si>
  <si>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</si>
  <si>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</si>
  <si>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</si>
  <si>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</si>
  <si>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</si>
  <si>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</si>
  <si>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</si>
  <si>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</si>
  <si>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</si>
  <si>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</si>
  <si>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</si>
  <si>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</si>
  <si>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</si>
  <si>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</si>
  <si>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</si>
  <si>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</si>
  <si>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</si>
  <si>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</si>
  <si>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</si>
  <si>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</si>
  <si>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</si>
  <si>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</si>
  <si>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</si>
  <si>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</si>
  <si>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</si>
  <si>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</si>
  <si>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</si>
  <si>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</si>
  <si>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</si>
  <si>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</si>
  <si>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</si>
  <si>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</si>
  <si>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</si>
  <si>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</si>
  <si>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</si>
  <si>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</si>
  <si>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</si>
  <si>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</si>
  <si>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</si>
  <si>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</si>
  <si>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</si>
  <si>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</si>
  <si>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</si>
  <si>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</si>
  <si>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</si>
  <si>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</si>
  <si>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</si>
  <si>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</si>
  <si>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</si>
  <si>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</si>
  <si>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</si>
  <si>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</si>
  <si>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</si>
  <si>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</si>
  <si>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</si>
  <si>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</si>
  <si>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</si>
  <si>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</si>
  <si>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</si>
  <si>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</si>
  <si>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</si>
  <si>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</si>
  <si>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</si>
  <si>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</si>
  <si>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</si>
  <si>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</si>
  <si>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</si>
  <si>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</si>
  <si>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</si>
  <si>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</si>
  <si>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</si>
  <si>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</si>
  <si>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</si>
  <si>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</si>
  <si>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</si>
  <si>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</si>
  <si>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</si>
  <si>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</si>
  <si>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</si>
  <si>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</si>
  <si>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</si>
  <si>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</si>
  <si>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</si>
  <si>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</si>
  <si>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</si>
  <si>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</si>
  <si>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</si>
  <si>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</si>
  <si>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</si>
  <si>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</si>
  <si>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</si>
  <si>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</si>
  <si>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</si>
  <si>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</si>
  <si>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</si>
  <si>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</si>
  <si>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</si>
  <si>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</si>
  <si>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</si>
  <si>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</si>
  <si>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</si>
  <si>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</si>
  <si>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</si>
  <si>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</si>
  <si>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</si>
  <si>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</si>
  <si>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</si>
  <si>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</si>
  <si>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</si>
  <si>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</si>
  <si>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</si>
  <si>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</si>
  <si>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</si>
  <si>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</si>
  <si>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</si>
  <si>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</si>
  <si>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</si>
  <si>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</si>
  <si>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</si>
  <si>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</si>
  <si>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</si>
  <si>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</si>
  <si>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</si>
  <si>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</si>
  <si>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</si>
  <si>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</si>
  <si>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</si>
  <si>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</si>
  <si>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</si>
  <si>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</si>
  <si>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</si>
  <si>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</si>
  <si>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</si>
  <si>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</si>
  <si>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</si>
  <si>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</si>
  <si>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</si>
  <si>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</si>
  <si>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</si>
  <si>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</si>
  <si>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</si>
  <si>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</si>
  <si>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</si>
  <si>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</si>
  <si>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</si>
  <si>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</si>
  <si>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</si>
  <si>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</si>
  <si>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</si>
  <si>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</si>
  <si>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</si>
  <si>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</si>
  <si>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</si>
  <si>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</si>
  <si>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</si>
  <si>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</si>
  <si>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</si>
  <si>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</si>
  <si>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</si>
  <si>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</si>
  <si>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</si>
  <si>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</si>
  <si>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</si>
  <si>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</si>
  <si>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</si>
  <si>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</si>
  <si>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</si>
  <si>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</si>
  <si>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</si>
  <si>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</si>
  <si>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</si>
  <si>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</si>
  <si>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</si>
  <si>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</si>
  <si>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</si>
  <si>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</si>
  <si>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</si>
  <si>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</si>
  <si>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</si>
  <si>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</si>
  <si>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</si>
  <si>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</si>
  <si>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</si>
  <si>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</si>
  <si>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</si>
  <si>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</si>
  <si>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</si>
  <si>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</si>
  <si>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</si>
  <si>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</si>
  <si>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</si>
  <si>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</si>
  <si>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</si>
  <si>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</si>
  <si>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</si>
  <si>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</si>
  <si>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</si>
  <si>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</si>
  <si>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</si>
  <si>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</si>
  <si>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</si>
  <si>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</si>
  <si>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</si>
  <si>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</si>
  <si>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</si>
  <si>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</si>
  <si>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</si>
  <si>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</si>
  <si>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</si>
  <si>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</si>
  <si>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</si>
  <si>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</si>
  <si>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</si>
  <si>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</si>
  <si>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</si>
  <si>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</si>
  <si>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</si>
  <si>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</si>
  <si>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</si>
  <si>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</si>
  <si>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</si>
  <si>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</si>
  <si>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</si>
  <si>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</si>
  <si>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</si>
  <si>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</si>
  <si>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</si>
  <si>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</si>
  <si>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</si>
  <si>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</si>
  <si>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</si>
  <si>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</si>
  <si>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</si>
  <si>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</si>
  <si>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</si>
  <si>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</si>
  <si>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</si>
  <si>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</si>
  <si>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</si>
  <si>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</si>
  <si>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</si>
  <si>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</si>
  <si>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</si>
  <si>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</si>
  <si>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</si>
  <si>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</si>
  <si>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</si>
  <si>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</si>
  <si>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</si>
  <si>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</si>
  <si>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</si>
  <si>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</si>
  <si>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</si>
  <si>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</si>
  <si>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</si>
  <si>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</si>
  <si>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</si>
  <si>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</si>
  <si>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</si>
  <si>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</si>
  <si>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</si>
  <si>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</si>
  <si>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</si>
  <si>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</si>
  <si>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</si>
  <si>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</si>
  <si>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</si>
  <si>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</si>
  <si>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</si>
  <si>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</si>
  <si>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</si>
  <si>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</si>
  <si>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</si>
  <si>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</si>
  <si>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</si>
  <si>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</si>
  <si>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</si>
  <si>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</si>
  <si>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</si>
  <si>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</si>
  <si>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</si>
  <si>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</si>
  <si>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</si>
  <si>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</si>
  <si>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</si>
  <si>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</si>
  <si>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</si>
  <si>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</si>
  <si>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</si>
  <si>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</si>
  <si>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</si>
  <si>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</si>
  <si>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</si>
  <si>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</si>
  <si>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</si>
  <si>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</si>
  <si>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</si>
  <si>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</si>
  <si>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</si>
  <si>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</si>
  <si>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</si>
  <si>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</si>
  <si>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</si>
  <si>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</si>
  <si>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</si>
  <si>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</si>
  <si>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</si>
  <si>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</si>
  <si>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</si>
  <si>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</si>
  <si>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</si>
  <si>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</si>
  <si>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</si>
  <si>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</si>
  <si>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</si>
  <si>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</si>
  <si>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</si>
  <si>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</si>
  <si>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</si>
  <si>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</si>
  <si>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</si>
  <si>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</si>
  <si>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</si>
  <si>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</si>
  <si>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</si>
  <si>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</si>
  <si>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</si>
  <si>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</si>
  <si>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</si>
  <si>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</si>
  <si>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</si>
  <si>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</si>
  <si>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</si>
  <si>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</si>
  <si>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</si>
  <si>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</si>
  <si>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</si>
  <si>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</si>
  <si>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</si>
  <si>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</si>
  <si>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</si>
  <si>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</si>
  <si>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</si>
  <si>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</si>
  <si>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</si>
  <si>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</si>
  <si>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</si>
  <si>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</si>
  <si>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</si>
  <si>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</si>
  <si>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</si>
  <si>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</si>
  <si>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</si>
  <si>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</si>
  <si>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</si>
  <si>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</si>
  <si>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</si>
  <si>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</si>
  <si>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</si>
  <si>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</si>
  <si>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</si>
  <si>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</si>
  <si>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</si>
  <si>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</si>
  <si>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</si>
  <si>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</si>
  <si>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</si>
  <si>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</si>
  <si>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</si>
  <si>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</si>
  <si>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</si>
  <si>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</si>
  <si>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</si>
  <si>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</si>
  <si>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</si>
  <si>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</si>
  <si>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</si>
  <si>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</si>
  <si>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</si>
  <si>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</si>
  <si>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</si>
  <si>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</si>
  <si>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</si>
  <si>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</si>
  <si>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</si>
  <si>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</si>
  <si>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</si>
  <si>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</si>
  <si>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</si>
  <si>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</si>
  <si>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</si>
  <si>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</si>
  <si>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</si>
  <si>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</si>
  <si>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</si>
  <si>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</si>
  <si>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</si>
  <si>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</si>
  <si>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</si>
  <si>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</si>
  <si>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</si>
  <si>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</si>
  <si>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</si>
  <si>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</si>
  <si>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</si>
  <si>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</si>
  <si>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</si>
  <si>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</si>
  <si>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</si>
  <si>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</si>
  <si>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</si>
  <si>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</si>
  <si>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</si>
  <si>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</si>
  <si>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</si>
  <si>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</si>
  <si>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</si>
  <si>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</si>
  <si>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</si>
  <si>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</si>
  <si>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</si>
  <si>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</si>
  <si>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</si>
  <si>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</si>
  <si>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</si>
  <si>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</si>
  <si>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</si>
  <si>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</si>
  <si>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</si>
  <si>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</si>
  <si>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</si>
  <si>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</si>
  <si>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</si>
  <si>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</si>
  <si>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</si>
  <si>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</si>
  <si>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</si>
  <si>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</si>
  <si>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</si>
  <si>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</si>
  <si>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</si>
  <si>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</si>
  <si>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</si>
  <si>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</si>
  <si>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</si>
  <si>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</si>
  <si>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</si>
  <si>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</si>
  <si>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</si>
  <si>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</si>
  <si>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</si>
  <si>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</si>
  <si>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</si>
  <si>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</si>
  <si>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</si>
  <si>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</si>
  <si>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</si>
  <si>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</si>
  <si>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</si>
  <si>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</si>
  <si>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</si>
  <si>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</si>
  <si>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</si>
  <si>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</si>
  <si>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</si>
  <si>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</si>
  <si>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</si>
  <si>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</si>
  <si>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</si>
  <si>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</si>
  <si>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</si>
  <si>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</si>
  <si>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</si>
  <si>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</si>
  <si>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</si>
  <si>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</si>
  <si>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</si>
  <si>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</si>
  <si>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</si>
  <si>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</si>
  <si>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</si>
  <si>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</si>
  <si>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</si>
  <si>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</si>
  <si>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</si>
  <si>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</si>
  <si>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</si>
  <si>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</si>
  <si>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</si>
  <si>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</si>
  <si>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</si>
  <si>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</si>
  <si>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</si>
  <si>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</si>
  <si>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</si>
  <si>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</si>
  <si>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</si>
  <si>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</si>
  <si>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</si>
  <si>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</si>
  <si>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</si>
  <si>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</si>
  <si>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</si>
  <si>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</si>
  <si>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</si>
  <si>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</si>
  <si>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</si>
  <si>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</si>
  <si>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</si>
  <si>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</si>
  <si>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</si>
  <si>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</si>
  <si>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</si>
  <si>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</si>
  <si>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</si>
  <si>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</si>
  <si>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</si>
  <si>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</si>
  <si>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</si>
  <si>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</si>
  <si>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</si>
  <si>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</si>
  <si>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</si>
  <si>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</si>
  <si>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</si>
  <si>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</si>
  <si>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</si>
  <si>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</si>
  <si>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</si>
  <si>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</si>
  <si>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</si>
  <si>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</si>
  <si>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</si>
  <si>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</si>
  <si>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</si>
  <si>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</si>
  <si>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</si>
  <si>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</si>
  <si>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</si>
  <si>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</si>
  <si>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</si>
  <si>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</si>
  <si>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</si>
  <si>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</si>
  <si>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</si>
  <si>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</si>
  <si>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</si>
  <si>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</si>
  <si>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</si>
  <si>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</si>
  <si>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</si>
  <si>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</si>
  <si>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</si>
  <si>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</si>
  <si>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</si>
  <si>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</si>
  <si>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</si>
  <si>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</si>
  <si>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</si>
  <si>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</si>
  <si>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</si>
  <si>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</si>
  <si>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</si>
  <si>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</si>
  <si>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</si>
  <si>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</si>
  <si>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</si>
  <si>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</si>
  <si>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</si>
  <si>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</si>
  <si>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</si>
  <si>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</si>
  <si>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</si>
  <si>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</si>
  <si>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</si>
  <si>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</si>
  <si>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</si>
  <si>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</si>
  <si>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</si>
  <si>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</si>
  <si>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</si>
  <si>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</si>
  <si>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</si>
  <si>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</si>
  <si>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</si>
  <si>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</si>
  <si>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</si>
  <si>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</si>
  <si>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</si>
  <si>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</si>
  <si>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</si>
  <si>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</si>
  <si>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</si>
  <si>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</si>
  <si>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</si>
  <si>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</si>
  <si>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</si>
  <si>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</si>
  <si>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</si>
  <si>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</si>
  <si>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</si>
  <si>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</si>
  <si>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</si>
  <si>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</si>
  <si>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</si>
  <si>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</si>
  <si>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</si>
  <si>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</si>
  <si>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</si>
  <si>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</si>
  <si>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</si>
  <si>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</si>
  <si>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</si>
  <si>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</si>
  <si>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</si>
  <si>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</si>
  <si>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</si>
  <si>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</si>
  <si>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</si>
  <si>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</si>
  <si>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</si>
  <si>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</si>
  <si>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</si>
  <si>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</si>
  <si>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</si>
  <si>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</si>
  <si>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</si>
  <si>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</si>
  <si>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</si>
  <si>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</si>
  <si>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</si>
  <si>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</si>
  <si>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</si>
  <si>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</si>
  <si>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</si>
  <si>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</si>
  <si>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</si>
  <si>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</si>
  <si>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</si>
  <si>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</si>
  <si>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</si>
  <si>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</si>
  <si>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</si>
  <si>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</si>
  <si>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</si>
  <si>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</si>
  <si>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</si>
  <si>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</si>
  <si>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</si>
  <si>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</si>
  <si>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</si>
  <si>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</si>
  <si>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</si>
  <si>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</si>
  <si>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</si>
  <si>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</si>
  <si>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</si>
  <si>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</si>
  <si>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</si>
  <si>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</si>
  <si>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</si>
  <si>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</si>
  <si>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</si>
  <si>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</si>
  <si>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</si>
  <si>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</si>
  <si>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</si>
  <si>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</si>
  <si>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</si>
  <si>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</si>
  <si>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</si>
  <si>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</si>
  <si>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</si>
  <si>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</si>
  <si>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</si>
  <si>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</si>
  <si>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</si>
  <si>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</si>
  <si>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</si>
  <si>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</si>
  <si>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</si>
  <si>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</si>
  <si>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</si>
  <si>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</si>
  <si>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</si>
  <si>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</si>
  <si>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</si>
  <si>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</si>
  <si>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</si>
  <si>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</si>
  <si>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</si>
  <si>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</si>
  <si>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</si>
  <si>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</si>
  <si>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</si>
  <si>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</si>
  <si>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</si>
  <si>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</si>
  <si>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</si>
  <si>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</si>
  <si>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</si>
  <si>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</si>
  <si>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</si>
  <si>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</si>
  <si>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</si>
  <si>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</si>
  <si>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</si>
  <si>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</si>
  <si>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</si>
  <si>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</si>
  <si>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</si>
  <si>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</si>
  <si>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</si>
  <si>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</si>
  <si>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</si>
  <si>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</si>
  <si>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</si>
  <si>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</si>
  <si>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</si>
  <si>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</si>
  <si>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</si>
  <si>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</si>
  <si>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</si>
  <si>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</si>
  <si>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</si>
  <si>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</si>
  <si>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</si>
  <si>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</si>
  <si>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</si>
  <si>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</si>
  <si>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</si>
  <si>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</si>
  <si>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</si>
  <si>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</si>
  <si>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</si>
  <si>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</si>
  <si>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</si>
  <si>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</si>
  <si>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</si>
  <si>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</si>
  <si>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</si>
  <si>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</si>
  <si>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</si>
  <si>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</si>
  <si>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</si>
  <si>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</si>
  <si>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</si>
  <si>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</si>
  <si>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</si>
  <si>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</si>
  <si>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</si>
  <si>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</si>
  <si>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</si>
  <si>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</si>
  <si>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</si>
  <si>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</si>
  <si>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</si>
  <si>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</si>
  <si>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</si>
  <si>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</si>
  <si>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</si>
  <si>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</si>
  <si>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</si>
  <si>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</si>
  <si>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</si>
  <si>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</si>
  <si>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</si>
  <si>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</si>
  <si>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</si>
  <si>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</si>
  <si>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</si>
  <si>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</si>
  <si>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</si>
  <si>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</si>
  <si>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</si>
  <si>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</si>
  <si>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</si>
  <si>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</si>
  <si>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</si>
  <si>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</si>
  <si>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</si>
  <si>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</si>
  <si>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</si>
  <si>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</si>
  <si>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</si>
  <si>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</si>
  <si>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</si>
  <si>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</si>
  <si>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</si>
  <si>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</si>
  <si>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</si>
  <si>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</si>
  <si>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</si>
  <si>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</si>
  <si>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</si>
  <si>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</si>
  <si>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</si>
  <si>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</si>
  <si>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</si>
  <si>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</si>
  <si>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</si>
  <si>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</si>
  <si>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</si>
  <si>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</si>
  <si>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</si>
  <si>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</si>
  <si>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</si>
  <si>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</si>
  <si>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</si>
  <si>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</si>
  <si>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</si>
  <si>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</si>
  <si>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</si>
  <si>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</si>
  <si>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</si>
  <si>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</si>
  <si>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</si>
  <si>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</si>
  <si>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</si>
  <si>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</si>
  <si>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</si>
  <si>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</si>
  <si>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</si>
  <si>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</si>
  <si>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</si>
  <si>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</si>
  <si>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</si>
  <si>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</si>
  <si>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</si>
  <si>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</si>
  <si>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</si>
  <si>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</si>
  <si>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</si>
  <si>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</si>
  <si>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</si>
  <si>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</si>
  <si>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</si>
  <si>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</si>
  <si>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</si>
  <si>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</si>
  <si>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</si>
  <si>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</si>
  <si>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</si>
  <si>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</si>
  <si>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</si>
  <si>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</si>
  <si>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</si>
  <si>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</si>
  <si>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</si>
  <si>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</si>
  <si>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</si>
  <si>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</si>
  <si>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</si>
  <si>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</si>
  <si>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</si>
  <si>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</si>
  <si>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</si>
  <si>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</si>
  <si>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</si>
  <si>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</si>
  <si>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</si>
  <si>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</si>
  <si>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</si>
  <si>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</si>
  <si>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</si>
  <si>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</si>
  <si>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</si>
  <si>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</si>
  <si>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</si>
  <si>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</si>
  <si>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</si>
  <si>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</si>
  <si>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</si>
  <si>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</si>
  <si>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</si>
  <si>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</si>
  <si>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</si>
  <si>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</si>
  <si>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</si>
  <si>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</si>
  <si>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</si>
  <si>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</si>
  <si>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</si>
  <si>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</si>
  <si>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</si>
  <si>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</si>
  <si>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</si>
  <si>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</si>
  <si>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</si>
  <si>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</si>
  <si>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</si>
  <si>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</si>
  <si>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</si>
  <si>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</si>
  <si>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</si>
  <si>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</si>
  <si>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</si>
  <si>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</si>
  <si>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</si>
  <si>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</si>
  <si>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</si>
  <si>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</si>
  <si>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</si>
  <si>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</si>
  <si>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</si>
  <si>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</si>
  <si>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</si>
  <si>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</si>
  <si>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</si>
  <si>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</si>
  <si>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</si>
  <si>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</si>
  <si>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</si>
  <si>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</si>
  <si>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</si>
  <si>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</si>
  <si>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</si>
  <si>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</si>
  <si>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</si>
  <si>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</si>
  <si>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</si>
  <si>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</si>
  <si>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</si>
  <si>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</si>
  <si>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</si>
  <si>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</si>
  <si>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</si>
  <si>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</si>
  <si>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</si>
  <si>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</si>
  <si>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</si>
  <si>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</si>
  <si>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</si>
  <si>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</si>
  <si>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</si>
  <si>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</si>
  <si>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</si>
  <si>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</si>
  <si>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</si>
  <si>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</si>
  <si>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</si>
  <si>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</si>
  <si>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</si>
  <si>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</si>
  <si>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</si>
  <si>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</si>
  <si>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</si>
  <si>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</si>
  <si>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</si>
  <si>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</si>
  <si>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</si>
  <si>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</si>
  <si>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</si>
  <si>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</si>
  <si>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</si>
  <si>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</si>
  <si>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</si>
  <si>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</si>
  <si>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</si>
  <si>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</si>
  <si>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</si>
  <si>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</si>
  <si>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</si>
  <si>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</si>
  <si>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</si>
  <si>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</si>
  <si>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</si>
  <si>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</si>
  <si>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</si>
  <si>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</si>
  <si>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</si>
  <si>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</si>
  <si>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</si>
  <si>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</si>
  <si>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</si>
  <si>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</si>
  <si>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</si>
  <si>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</si>
  <si>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</si>
  <si>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</si>
  <si>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</si>
  <si>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</si>
  <si>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</si>
  <si>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</si>
  <si>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</si>
  <si>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</si>
  <si>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</si>
  <si>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</si>
  <si>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</si>
  <si>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</si>
  <si>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</si>
  <si>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</si>
  <si>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</si>
  <si>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</si>
  <si>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</si>
  <si>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</si>
  <si>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</si>
  <si>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</si>
  <si>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</si>
  <si>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</si>
  <si>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</si>
  <si>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</si>
  <si>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</si>
  <si>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</si>
  <si>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</si>
  <si>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</si>
  <si>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</si>
  <si>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</si>
  <si>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</si>
  <si>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</si>
  <si>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</si>
  <si>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</si>
  <si>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</si>
  <si>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</si>
  <si>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</si>
  <si>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</si>
  <si>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</si>
  <si>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</si>
  <si>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</si>
  <si>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</si>
  <si>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</si>
  <si>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</si>
  <si>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</si>
  <si>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</si>
  <si>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</si>
  <si>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</si>
  <si>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</si>
  <si>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</si>
  <si>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</si>
  <si>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</si>
  <si>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</si>
  <si>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</si>
  <si>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</si>
  <si>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</si>
  <si>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</si>
  <si>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</si>
  <si>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</si>
  <si>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</si>
  <si>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</si>
  <si>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</si>
  <si>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</si>
  <si>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</si>
  <si>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</si>
  <si>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</si>
  <si>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</si>
  <si>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</si>
  <si>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</si>
  <si>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</si>
  <si>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</si>
  <si>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</si>
  <si>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</si>
  <si>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</si>
  <si>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</si>
  <si>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</si>
  <si>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</si>
  <si>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</si>
  <si>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</si>
  <si>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</si>
  <si>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</si>
  <si>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</si>
  <si>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</si>
  <si>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</si>
  <si>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</si>
  <si>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</si>
  <si>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</si>
  <si>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</si>
  <si>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</si>
  <si>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</si>
  <si>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</si>
  <si>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</si>
  <si>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</si>
  <si>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</si>
  <si>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</si>
  <si>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</si>
  <si>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</si>
  <si>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</si>
  <si>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</si>
  <si>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</si>
  <si>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</si>
  <si>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</si>
  <si>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</si>
  <si>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</si>
  <si>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</si>
  <si>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</si>
  <si>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</si>
  <si>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</si>
  <si>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</si>
  <si>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</si>
  <si>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</si>
  <si>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</si>
  <si>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</si>
  <si>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</si>
  <si>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</si>
  <si>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</si>
  <si>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</si>
  <si>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</si>
  <si>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</si>
  <si>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</si>
  <si>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</si>
  <si>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</si>
  <si>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</si>
  <si>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</si>
  <si>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</si>
  <si>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</si>
  <si>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</si>
  <si>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</si>
  <si>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</si>
  <si>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</si>
  <si>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</si>
  <si>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</si>
  <si>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</si>
  <si>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</si>
  <si>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</si>
  <si>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</si>
  <si>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</si>
  <si>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</si>
  <si>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</si>
  <si>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</si>
  <si>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</si>
  <si>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</si>
  <si>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</si>
  <si>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</si>
  <si>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</si>
  <si>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</si>
  <si>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</si>
  <si>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</si>
  <si>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</si>
  <si>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</si>
  <si>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</si>
  <si>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</si>
  <si>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</si>
  <si>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</si>
  <si>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</si>
  <si>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</si>
  <si>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</si>
  <si>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</si>
  <si>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</si>
  <si>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</si>
  <si>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</si>
  <si>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</si>
  <si>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</si>
  <si>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</si>
  <si>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</si>
  <si>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</si>
  <si>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</si>
  <si>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</si>
  <si>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</si>
  <si>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</si>
  <si>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</si>
  <si>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</si>
  <si>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</si>
  <si>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</si>
  <si>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</si>
  <si>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</si>
  <si>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</si>
  <si>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</si>
  <si>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</si>
  <si>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</si>
  <si>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</si>
  <si>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</si>
  <si>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</si>
  <si>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</si>
  <si>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</si>
  <si>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</si>
  <si>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</si>
  <si>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</si>
  <si>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</si>
  <si>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</si>
  <si>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</si>
  <si>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</si>
  <si>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</si>
  <si>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</si>
  <si>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</si>
  <si>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</si>
  <si>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</si>
  <si>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</si>
  <si>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</si>
  <si>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</si>
  <si>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</si>
  <si>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</si>
  <si>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</si>
  <si>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</si>
  <si>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</si>
  <si>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</si>
  <si>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</si>
  <si>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</si>
  <si>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</si>
  <si>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</si>
  <si>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</si>
  <si>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</si>
  <si>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</si>
  <si>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</si>
  <si>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</si>
  <si>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</si>
  <si>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</si>
  <si>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</si>
  <si>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</si>
  <si>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</si>
  <si>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</si>
  <si>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</si>
  <si>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</si>
  <si>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</si>
  <si>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</si>
  <si>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</si>
  <si>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</si>
  <si>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</si>
  <si>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</si>
  <si>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</si>
  <si>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</si>
  <si>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</si>
  <si>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</si>
  <si>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</si>
  <si>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</si>
  <si>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</si>
  <si>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</si>
  <si>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</si>
  <si>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</si>
  <si>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</si>
  <si>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</si>
  <si>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</si>
  <si>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</si>
  <si>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</si>
  <si>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</si>
  <si>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</si>
  <si>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</si>
  <si>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</si>
  <si>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</si>
  <si>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</si>
  <si>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</si>
  <si>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</si>
  <si>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</si>
  <si>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</si>
  <si>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</si>
  <si>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</si>
  <si>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</si>
  <si>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</si>
  <si>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</si>
  <si>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</si>
  <si>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</si>
  <si>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</si>
  <si>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</si>
  <si>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</si>
  <si>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</si>
  <si>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</si>
  <si>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</si>
  <si>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</si>
  <si>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</si>
  <si>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</si>
  <si>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</si>
  <si>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</si>
  <si>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</si>
  <si>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</si>
  <si>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</si>
  <si>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</si>
  <si>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</si>
  <si>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</si>
  <si>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</si>
  <si>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</si>
  <si>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</si>
  <si>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</si>
  <si>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</si>
  <si>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</si>
  <si>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</si>
  <si>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</si>
  <si>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</si>
  <si>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</si>
  <si>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</si>
  <si>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</si>
  <si>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</si>
  <si>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</si>
  <si>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</si>
  <si>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</si>
  <si>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</si>
  <si>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</si>
  <si>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</si>
  <si>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</si>
  <si>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</si>
  <si>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</si>
  <si>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</si>
  <si>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</si>
  <si>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</si>
  <si>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</si>
  <si>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</si>
  <si>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</si>
  <si>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</si>
  <si>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</si>
  <si>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</si>
  <si>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</si>
  <si>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</si>
  <si>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</si>
  <si>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</si>
  <si>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</si>
  <si>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</si>
  <si>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</si>
  <si>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</si>
  <si>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</si>
  <si>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</si>
  <si>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</si>
  <si>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</si>
  <si>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</si>
  <si>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</si>
  <si>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</si>
  <si>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</si>
  <si>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</si>
  <si>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</si>
  <si>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</si>
  <si>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</si>
  <si>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</si>
  <si>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</si>
  <si>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</si>
  <si>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</si>
  <si>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</si>
  <si>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</si>
  <si>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</si>
  <si>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</si>
  <si>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</si>
  <si>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</si>
  <si>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</si>
  <si>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</si>
  <si>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</si>
  <si>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</si>
  <si>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</si>
  <si>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</si>
  <si>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</si>
  <si>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</si>
  <si>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</si>
  <si>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</si>
  <si>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</si>
  <si>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</si>
  <si>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</si>
  <si>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</si>
  <si>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</si>
  <si>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</si>
  <si>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</si>
  <si>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</si>
  <si>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</si>
  <si>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</si>
  <si>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</si>
  <si>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</si>
  <si>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</si>
  <si>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</si>
  <si>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</si>
  <si>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</si>
  <si>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</si>
  <si>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</si>
  <si>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</si>
  <si>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</si>
  <si>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</si>
  <si>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</si>
  <si>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</si>
  <si>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</si>
  <si>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</si>
  <si>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</si>
  <si>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</si>
  <si>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</si>
  <si>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</si>
  <si>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</si>
  <si>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</si>
  <si>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</si>
  <si>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</si>
  <si>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</si>
  <si>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</si>
  <si>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</si>
  <si>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</si>
  <si>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</si>
  <si>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</si>
  <si>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</si>
  <si>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</si>
  <si>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</si>
  <si>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</si>
  <si>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</si>
  <si>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</si>
  <si>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</si>
  <si>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</si>
  <si>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</si>
  <si>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</si>
  <si>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</si>
  <si>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</si>
  <si>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</si>
  <si>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</si>
  <si>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</si>
  <si>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</si>
  <si>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</si>
  <si>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</si>
  <si>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</si>
  <si>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</si>
  <si>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</si>
  <si>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</si>
  <si>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</si>
  <si>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</si>
  <si>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</si>
  <si>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</si>
  <si>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</si>
  <si>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</si>
  <si>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</si>
  <si>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</si>
  <si>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</si>
  <si>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</si>
  <si>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</si>
  <si>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</si>
  <si>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</si>
  <si>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</si>
  <si>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</si>
  <si>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</si>
  <si>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</si>
  <si>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</si>
  <si>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</si>
  <si>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</si>
  <si>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</si>
  <si>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</si>
  <si>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</si>
  <si>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</si>
  <si>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</si>
  <si>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</si>
  <si>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</si>
  <si>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</si>
  <si>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</si>
  <si>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</si>
  <si>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</si>
  <si>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</si>
  <si>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</si>
  <si>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</si>
  <si>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</si>
  <si>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</si>
  <si>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</si>
  <si>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</si>
  <si>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</si>
  <si>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</si>
  <si>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</si>
  <si>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</si>
  <si>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</si>
  <si>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</si>
  <si>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</si>
  <si>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</si>
  <si>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</si>
  <si>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</si>
  <si>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</si>
  <si>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</si>
  <si>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</si>
  <si>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</si>
  <si>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</si>
  <si>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</si>
  <si>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</si>
  <si>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</si>
  <si>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</si>
  <si>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</si>
  <si>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</si>
  <si>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</si>
  <si>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</si>
  <si>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</si>
  <si>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</si>
  <si>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</si>
  <si>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</si>
  <si>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</si>
  <si>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</si>
  <si>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</si>
  <si>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</si>
  <si>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</si>
  <si>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</si>
  <si>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</si>
  <si>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</si>
  <si>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</si>
  <si>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</si>
  <si>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</si>
  <si>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</si>
  <si>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</si>
  <si>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</si>
  <si>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</si>
  <si>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</si>
  <si>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</si>
  <si>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</si>
  <si>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</si>
  <si>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</si>
  <si>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</si>
  <si>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</si>
  <si>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</si>
  <si>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</si>
  <si>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</si>
  <si>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</si>
  <si>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</si>
  <si>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</si>
  <si>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</si>
  <si>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</si>
  <si>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</si>
  <si>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</si>
  <si>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</si>
  <si>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</si>
  <si>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</si>
  <si>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</si>
  <si>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</si>
  <si>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</si>
  <si>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</si>
  <si>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</si>
  <si>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</si>
  <si>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</si>
  <si>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</si>
  <si>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</si>
  <si>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</si>
  <si>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</si>
  <si>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</si>
  <si>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</si>
  <si>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</si>
  <si>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</si>
  <si>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</si>
  <si>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</si>
  <si>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</si>
  <si>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</si>
  <si>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</si>
  <si>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</si>
  <si>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</si>
  <si>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</si>
  <si>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</si>
  <si>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</si>
  <si>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</si>
  <si>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</si>
  <si>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</si>
  <si>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</si>
  <si>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</si>
  <si>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</si>
  <si>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</si>
  <si>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</si>
  <si>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</si>
  <si>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</si>
  <si>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</si>
  <si>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</si>
  <si>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</si>
  <si>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</si>
  <si>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</si>
  <si>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</si>
  <si>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</si>
  <si>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</si>
  <si>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</si>
  <si>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</si>
  <si>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</si>
  <si>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</si>
  <si>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</si>
  <si>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</si>
  <si>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</si>
  <si>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</si>
  <si>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</si>
  <si>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</si>
  <si>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</si>
  <si>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</si>
  <si>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</si>
  <si>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</si>
  <si>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</si>
  <si>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</si>
  <si>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</si>
  <si>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</si>
  <si>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</si>
  <si>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</si>
  <si>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</si>
  <si>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</si>
  <si>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</si>
  <si>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</si>
  <si>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</si>
  <si>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</si>
  <si>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</si>
  <si>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</si>
  <si>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</si>
  <si>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</si>
  <si>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</si>
  <si>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</si>
  <si>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</si>
  <si>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</si>
  <si>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</si>
  <si>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</si>
  <si>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</si>
  <si>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</si>
  <si>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</si>
  <si>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</si>
  <si>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</si>
  <si>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</si>
  <si>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</si>
  <si>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</si>
  <si>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</si>
  <si>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</si>
  <si>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</si>
  <si>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</si>
  <si>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</si>
  <si>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</si>
  <si>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</si>
  <si>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</si>
  <si>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</si>
  <si>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</si>
  <si>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</si>
  <si>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</si>
  <si>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</si>
  <si>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</si>
  <si>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</si>
  <si>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</si>
  <si>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</si>
  <si>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</si>
  <si>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</si>
  <si>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</si>
  <si>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</si>
  <si>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</si>
  <si>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</si>
  <si>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</si>
  <si>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</si>
  <si>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</si>
  <si>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</si>
  <si>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</si>
  <si>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</si>
  <si>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</si>
  <si>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</si>
  <si>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</si>
  <si>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</si>
  <si>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</si>
  <si>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</si>
  <si>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</si>
  <si>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</si>
  <si>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</si>
  <si>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</si>
  <si>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</si>
  <si>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</si>
  <si>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</si>
  <si>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</si>
  <si>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</si>
  <si>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</si>
  <si>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</si>
  <si>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</si>
  <si>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</si>
  <si>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</si>
  <si>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</si>
  <si>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</si>
  <si>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</si>
  <si>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</si>
  <si>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</si>
  <si>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</si>
  <si>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</si>
  <si>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</si>
  <si>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</si>
  <si>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</si>
  <si>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</si>
  <si>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</si>
  <si>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</si>
  <si>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</si>
  <si>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</si>
  <si>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</si>
  <si>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</si>
  <si>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</si>
  <si>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</si>
  <si>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</si>
  <si>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</si>
  <si>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</si>
  <si>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</si>
  <si>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</si>
  <si>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</si>
  <si>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</si>
  <si>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</si>
  <si>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</si>
  <si>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</si>
  <si>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</si>
  <si>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</si>
  <si>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</si>
  <si>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</si>
  <si>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</si>
  <si>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</si>
  <si>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</si>
  <si>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</si>
  <si>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</si>
  <si>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</si>
  <si>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</si>
  <si>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</si>
  <si>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</si>
  <si>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</si>
  <si>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</si>
  <si>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</si>
  <si>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</si>
  <si>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</si>
  <si>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</si>
  <si>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</si>
  <si>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</si>
  <si>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</si>
  <si>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</si>
  <si>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</si>
  <si>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</si>
  <si>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</si>
  <si>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</si>
  <si>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</si>
  <si>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</si>
  <si>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</si>
  <si>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</si>
  <si>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</si>
  <si>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</si>
  <si>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</si>
  <si>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</si>
  <si>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</si>
  <si>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</si>
  <si>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</si>
  <si>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</si>
  <si>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</si>
  <si>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</si>
  <si>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</si>
  <si>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</si>
  <si>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</si>
  <si>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</si>
  <si>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</si>
  <si>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</si>
  <si>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</si>
  <si>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</si>
  <si>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</si>
  <si>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</si>
  <si>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</si>
  <si>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</si>
  <si>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</si>
  <si>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</si>
  <si>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</si>
  <si>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</si>
  <si>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</si>
  <si>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</si>
  <si>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</si>
  <si>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</si>
  <si>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</si>
  <si>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</si>
  <si>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</si>
  <si>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</si>
  <si>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</si>
  <si>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</si>
  <si>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</si>
  <si>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</si>
  <si>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</si>
  <si>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</si>
  <si>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</si>
  <si>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</si>
  <si>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</si>
  <si>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</si>
  <si>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</si>
  <si>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</si>
  <si>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</si>
  <si>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</si>
  <si>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</si>
  <si>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</si>
  <si>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</si>
  <si>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</si>
  <si>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</si>
  <si>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</si>
  <si>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</si>
  <si>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</si>
  <si>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</si>
  <si>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</si>
  <si>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</si>
  <si>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</si>
  <si>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</si>
  <si>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</si>
  <si>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</si>
  <si>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</si>
  <si>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</si>
  <si>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</si>
  <si>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</si>
  <si>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</si>
  <si>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</si>
  <si>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</si>
  <si>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</si>
  <si>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</si>
  <si>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</si>
  <si>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</si>
  <si>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</si>
  <si>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</si>
  <si>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</si>
  <si>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</si>
  <si>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</si>
  <si>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</si>
  <si>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</si>
  <si>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</si>
  <si>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</si>
  <si>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</si>
  <si>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</si>
  <si>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</si>
  <si>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</si>
  <si>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</si>
  <si>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</si>
  <si>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</si>
  <si>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</si>
  <si>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</si>
  <si>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</si>
  <si>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</si>
  <si>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</si>
  <si>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</si>
  <si>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</si>
  <si>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</si>
  <si>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</si>
  <si>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</si>
  <si>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</si>
  <si>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</si>
  <si>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</si>
  <si>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</si>
  <si>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</si>
  <si>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</si>
  <si>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</si>
  <si>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</si>
  <si>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</si>
  <si>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</si>
  <si>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</si>
  <si>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</si>
  <si>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</si>
  <si>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</si>
  <si>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</si>
  <si>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</si>
  <si>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</si>
  <si>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</si>
  <si>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</si>
  <si>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</si>
  <si>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</si>
  <si>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</si>
  <si>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</si>
  <si>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</si>
  <si>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</si>
  <si>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</si>
  <si>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</si>
  <si>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</si>
  <si>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</si>
  <si>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</si>
  <si>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</si>
  <si>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</si>
  <si>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</si>
  <si>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</si>
  <si>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</si>
  <si>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</si>
  <si>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</si>
  <si>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</si>
  <si>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</si>
  <si>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</si>
  <si>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</si>
  <si>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</si>
  <si>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</si>
  <si>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</si>
  <si>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</si>
  <si>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</si>
  <si>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</si>
  <si>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</si>
  <si>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</si>
  <si>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</si>
  <si>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</si>
  <si>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</si>
  <si>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</si>
  <si>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</si>
  <si>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</si>
  <si>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</si>
  <si>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</si>
  <si>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</si>
  <si>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</si>
  <si>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</si>
  <si>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</si>
  <si>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</si>
  <si>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</si>
  <si>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</si>
  <si>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</si>
  <si>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</si>
  <si>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</si>
  <si>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</si>
  <si>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</si>
  <si>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</si>
  <si>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</si>
  <si>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</si>
  <si>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</si>
  <si>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</si>
  <si>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</si>
  <si>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</si>
  <si>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</si>
  <si>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</si>
  <si>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</si>
  <si>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</si>
  <si>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</si>
  <si>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</si>
  <si>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</si>
  <si>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</si>
  <si>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</si>
  <si>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</si>
  <si>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</si>
  <si>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</si>
  <si>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</si>
  <si>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</si>
  <si>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</si>
  <si>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</si>
  <si>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</si>
  <si>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</si>
  <si>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</si>
  <si>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</si>
  <si>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</si>
  <si>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</si>
  <si>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</si>
  <si>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</si>
  <si>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</si>
  <si>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</si>
  <si>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</si>
  <si>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</si>
  <si>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</si>
  <si>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</si>
  <si>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</si>
  <si>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</si>
  <si>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</si>
  <si>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</si>
  <si>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</si>
  <si>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</si>
  <si>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</si>
  <si>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</si>
  <si>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</si>
  <si>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</si>
  <si>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</si>
  <si>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</si>
  <si>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</si>
  <si>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</si>
  <si>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</si>
  <si>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</si>
  <si>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</si>
  <si>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</si>
  <si>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</si>
  <si>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</si>
  <si>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</si>
  <si>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</si>
  <si>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</si>
  <si>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</si>
  <si>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</si>
  <si>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</si>
  <si>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</si>
  <si>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</si>
  <si>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</si>
  <si>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</si>
  <si>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</si>
  <si>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</si>
  <si>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</si>
  <si>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</si>
  <si>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</si>
  <si>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</si>
  <si>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</si>
  <si>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</si>
  <si>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</si>
  <si>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</si>
  <si>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</si>
  <si>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</si>
  <si>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</si>
  <si>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</si>
  <si>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</si>
  <si>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</si>
  <si>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</si>
  <si>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</si>
  <si>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</si>
  <si>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</si>
  <si>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</si>
  <si>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</si>
  <si>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</si>
  <si>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</si>
  <si>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</si>
  <si>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</si>
  <si>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</si>
  <si>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</si>
  <si>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</si>
  <si>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</si>
  <si>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</si>
  <si>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</si>
  <si>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</si>
  <si>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</si>
  <si>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</si>
  <si>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</si>
  <si>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</si>
  <si>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</si>
  <si>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</si>
  <si>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</si>
  <si>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</si>
  <si>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</si>
  <si>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</si>
  <si>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</si>
  <si>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</si>
  <si>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</si>
  <si>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</si>
  <si>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</si>
  <si>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</si>
  <si>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</si>
  <si>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</si>
  <si>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</si>
  <si>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</si>
  <si>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</si>
  <si>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</si>
  <si>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</si>
  <si>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</si>
  <si>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</si>
  <si>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</si>
  <si>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</si>
  <si>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</si>
  <si>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</si>
  <si>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</si>
  <si>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</si>
  <si>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</si>
  <si>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</si>
  <si>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</si>
  <si>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</si>
  <si>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</si>
  <si>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</si>
  <si>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</si>
  <si>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</si>
  <si>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</si>
  <si>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</si>
  <si>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</si>
  <si>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</si>
  <si>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</si>
  <si>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</si>
  <si>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</si>
  <si>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</si>
  <si>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</si>
  <si>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</si>
  <si>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</si>
  <si>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</si>
  <si>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</si>
  <si>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</si>
  <si>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</si>
  <si>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</si>
  <si>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</si>
  <si>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</si>
  <si>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</si>
  <si>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</si>
  <si>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</si>
  <si>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</si>
  <si>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</si>
  <si>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</si>
  <si>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</si>
  <si>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</si>
  <si>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</si>
  <si>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</si>
  <si>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</si>
  <si>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</si>
  <si>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</si>
  <si>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</si>
  <si>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</si>
  <si>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</si>
  <si>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</si>
  <si>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</si>
  <si>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</si>
  <si>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</si>
  <si>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</si>
  <si>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</si>
  <si>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</si>
  <si>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</si>
  <si>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</si>
  <si>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</si>
  <si>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</si>
  <si>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</si>
  <si>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</si>
  <si>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</si>
  <si>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</si>
  <si>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</si>
  <si>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</si>
  <si>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</si>
  <si>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</si>
  <si>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</si>
  <si>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</si>
  <si>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</si>
  <si>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</si>
  <si>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</si>
  <si>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</si>
  <si>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</si>
  <si>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</si>
  <si>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</si>
  <si>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</si>
  <si>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</si>
  <si>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</si>
  <si>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</si>
  <si>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</si>
  <si>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</si>
  <si>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</si>
  <si>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</si>
  <si>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</si>
  <si>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</si>
  <si>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</si>
  <si>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</si>
  <si>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</si>
  <si>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</si>
  <si>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</si>
  <si>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</si>
  <si>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</si>
  <si>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</si>
  <si>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</si>
  <si>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</si>
  <si>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</si>
  <si>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</si>
  <si>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</si>
  <si>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</si>
  <si>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</si>
  <si>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</si>
  <si>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</si>
  <si>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</si>
  <si>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</si>
  <si>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</si>
  <si>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</si>
  <si>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</si>
  <si>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</si>
  <si>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</si>
  <si>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</si>
  <si>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</si>
  <si>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</si>
  <si>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</si>
  <si>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</si>
  <si>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</si>
  <si>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</si>
  <si>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</si>
  <si>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</si>
  <si>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</si>
  <si>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</si>
  <si>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</si>
  <si>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</si>
  <si>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</si>
  <si>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</si>
  <si>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</si>
  <si>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</si>
  <si>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</si>
  <si>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</si>
  <si>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</si>
  <si>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</si>
  <si>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</si>
  <si>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</si>
  <si>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</si>
  <si>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</si>
  <si>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</si>
  <si>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</si>
  <si>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</si>
  <si>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</si>
  <si>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</si>
  <si>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</si>
  <si>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</si>
  <si>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</si>
  <si>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</si>
  <si>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</si>
  <si>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</si>
  <si>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</si>
  <si>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</si>
  <si>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</si>
  <si>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</si>
  <si>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</si>
  <si>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</si>
  <si>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</si>
  <si>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</si>
  <si>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</si>
  <si>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</si>
  <si>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</si>
  <si>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</si>
  <si>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</si>
  <si>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</si>
  <si>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</si>
  <si>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</si>
  <si>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</si>
  <si>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</si>
  <si>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</si>
  <si>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</si>
  <si>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</si>
  <si>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</si>
  <si>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</si>
  <si>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</si>
  <si>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</si>
  <si>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</si>
  <si>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</si>
  <si>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</si>
  <si>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</si>
  <si>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</si>
  <si>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</si>
  <si>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</si>
  <si>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</si>
  <si>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</si>
  <si>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</si>
  <si>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</si>
  <si>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</si>
  <si>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</si>
  <si>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</si>
  <si>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</si>
  <si>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</si>
  <si>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</si>
  <si>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</si>
  <si>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</si>
  <si>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</si>
  <si>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</si>
  <si>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</si>
  <si>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</si>
  <si>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</si>
  <si>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</si>
  <si>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</si>
  <si>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</si>
  <si>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</si>
  <si>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</si>
  <si>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</si>
  <si>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</si>
  <si>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</si>
  <si>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</si>
  <si>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</si>
  <si>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</si>
  <si>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</si>
  <si>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</si>
  <si>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</si>
  <si>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</si>
  <si>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</si>
  <si>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</si>
  <si>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</si>
  <si>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</si>
  <si>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</si>
  <si>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</si>
  <si>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</si>
  <si>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</si>
  <si>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</si>
  <si>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</si>
  <si>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</si>
  <si>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</si>
  <si>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</si>
  <si>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</si>
  <si>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</si>
  <si>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</si>
  <si>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</si>
  <si>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</si>
  <si>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</si>
  <si>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</si>
  <si>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</si>
  <si>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</si>
  <si>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</si>
  <si>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</si>
  <si>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</si>
  <si>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</si>
  <si>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</si>
  <si>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</si>
  <si>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</si>
  <si>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</si>
  <si>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</si>
  <si>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</si>
  <si>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</si>
  <si>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</si>
  <si>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</si>
  <si>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</si>
  <si>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</si>
  <si>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</si>
  <si>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</si>
  <si>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</si>
  <si>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</si>
  <si>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</si>
  <si>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</si>
  <si>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</si>
  <si>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</si>
  <si>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</si>
  <si>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</si>
  <si>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</si>
  <si>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</si>
  <si>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</si>
  <si>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</si>
  <si>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</si>
  <si>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</si>
  <si>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</si>
  <si>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</si>
  <si>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</si>
  <si>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</si>
  <si>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</si>
  <si>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</si>
  <si>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</si>
  <si>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</si>
  <si>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</si>
  <si>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</si>
  <si>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</si>
  <si>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</si>
  <si>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</si>
  <si>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</si>
  <si>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</si>
  <si>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</si>
  <si>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</si>
  <si>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</si>
  <si>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</si>
  <si>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</si>
  <si>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</si>
  <si>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</si>
  <si>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</si>
  <si>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</si>
  <si>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</si>
  <si>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</si>
  <si>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</si>
  <si>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</si>
  <si>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</si>
  <si>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</si>
  <si>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</si>
  <si>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</si>
  <si>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</si>
  <si>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</si>
  <si>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</si>
  <si>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</si>
  <si>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</si>
  <si>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</si>
  <si>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</si>
  <si>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</si>
  <si>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</si>
  <si>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</si>
  <si>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</si>
  <si>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</si>
  <si>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</si>
  <si>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</si>
  <si>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</si>
  <si>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</si>
  <si>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</si>
  <si>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</si>
  <si>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</si>
  <si>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</si>
  <si>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</si>
  <si>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</si>
  <si>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</si>
  <si>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</si>
  <si>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</si>
  <si>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</si>
  <si>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</si>
  <si>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</si>
  <si>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</si>
  <si>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</si>
  <si>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</si>
  <si>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</si>
  <si>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</si>
  <si>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</si>
  <si>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</si>
  <si>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</si>
  <si>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</si>
  <si>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</si>
  <si>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</si>
  <si>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</si>
  <si>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</si>
  <si>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</si>
  <si>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</si>
  <si>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</si>
  <si>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</si>
  <si>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</si>
  <si>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</si>
  <si>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</si>
  <si>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</si>
  <si>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</si>
  <si>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</si>
  <si>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</si>
  <si>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</si>
  <si>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</si>
  <si>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</si>
  <si>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</si>
  <si>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</si>
  <si>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</si>
  <si>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</si>
  <si>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</si>
  <si>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</si>
  <si>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</si>
  <si>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</si>
  <si>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</si>
  <si>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</si>
  <si>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</si>
  <si>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</si>
  <si>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</si>
  <si>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</si>
  <si>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</si>
  <si>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</si>
  <si>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</si>
  <si>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</si>
  <si>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</si>
  <si>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</si>
  <si>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</si>
  <si>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</si>
  <si>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</si>
  <si>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</si>
  <si>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</si>
  <si>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</si>
  <si>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</si>
  <si>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</si>
  <si>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</si>
  <si>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</si>
  <si>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</si>
  <si>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</si>
  <si>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</si>
  <si>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</si>
  <si>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</si>
  <si>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</si>
  <si>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</si>
  <si>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</si>
  <si>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</si>
  <si>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</si>
  <si>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</si>
  <si>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</si>
  <si>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</si>
  <si>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</si>
  <si>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</si>
  <si>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</si>
  <si>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</si>
  <si>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</si>
  <si>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</si>
  <si>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</si>
  <si>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</si>
  <si>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</si>
  <si>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</si>
  <si>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</si>
  <si>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</si>
  <si>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</si>
  <si>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</si>
  <si>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</si>
  <si>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</si>
  <si>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</si>
  <si>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</si>
  <si>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</si>
  <si>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</si>
  <si>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</si>
  <si>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</si>
  <si>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</si>
  <si>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</si>
  <si>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</si>
  <si>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</si>
  <si>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</si>
  <si>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</si>
  <si>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</si>
  <si>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</si>
  <si>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</si>
  <si>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</si>
  <si>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</si>
  <si>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</si>
  <si>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</si>
  <si>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</si>
  <si>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</si>
  <si>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</si>
  <si>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</si>
  <si>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</si>
  <si>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</si>
  <si>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</si>
  <si>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</si>
  <si>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</si>
  <si>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</si>
  <si>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</si>
  <si>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</si>
  <si>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</si>
  <si>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</si>
  <si>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</si>
  <si>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</si>
  <si>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</si>
  <si>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</si>
  <si>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</si>
  <si>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</si>
  <si>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</si>
  <si>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</si>
  <si>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</si>
  <si>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</si>
  <si>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</si>
  <si>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</si>
  <si>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</si>
  <si>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</si>
  <si>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</si>
  <si>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</si>
  <si>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</si>
  <si>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</si>
  <si>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</si>
  <si>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</si>
  <si>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</si>
  <si>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</si>
  <si>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</si>
  <si>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</si>
  <si>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</si>
  <si>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</si>
  <si>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</si>
  <si>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</si>
  <si>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</si>
  <si>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</si>
  <si>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</si>
  <si>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</si>
  <si>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</si>
  <si>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</si>
  <si>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</si>
  <si>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</si>
  <si>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</si>
  <si>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</si>
  <si>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</si>
  <si>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</si>
  <si>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</si>
  <si>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</si>
  <si>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</si>
  <si>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</si>
  <si>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</si>
  <si>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</si>
  <si>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</si>
  <si>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</si>
  <si>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</si>
  <si>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</si>
  <si>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</si>
  <si>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</si>
  <si>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</si>
  <si>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</si>
  <si>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</si>
  <si>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</si>
  <si>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</si>
  <si>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</si>
  <si>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</si>
  <si>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</si>
  <si>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</si>
  <si>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</si>
  <si>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</si>
  <si>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</si>
  <si>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</si>
  <si>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</si>
  <si>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</si>
  <si>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</si>
  <si>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</si>
  <si>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</si>
  <si>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</si>
  <si>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</si>
  <si>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</si>
  <si>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</si>
  <si>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</si>
  <si>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</si>
  <si>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</si>
  <si>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</si>
  <si>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</si>
  <si>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</si>
  <si>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</si>
  <si>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</si>
  <si>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</si>
  <si>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</si>
  <si>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</si>
  <si>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</si>
  <si>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</si>
  <si>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</si>
  <si>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</si>
  <si>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</si>
  <si>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</si>
  <si>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</si>
  <si>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</si>
  <si>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</si>
  <si>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</si>
  <si>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</si>
  <si>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</si>
  <si>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</si>
  <si>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</si>
  <si>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</si>
  <si>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</si>
  <si>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</si>
  <si>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</si>
  <si>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</si>
  <si>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</si>
  <si>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</si>
  <si>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</si>
  <si>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</si>
  <si>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</si>
  <si>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</si>
  <si>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</si>
  <si>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</si>
  <si>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</si>
  <si>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</si>
  <si>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</si>
  <si>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</si>
  <si>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</si>
  <si>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</si>
  <si>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</si>
  <si>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</si>
  <si>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</si>
  <si>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</si>
  <si>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</si>
  <si>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</si>
  <si>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</si>
  <si>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</si>
  <si>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</si>
  <si>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</si>
  <si>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</si>
  <si>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</si>
  <si>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</si>
  <si>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</si>
  <si>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</si>
  <si>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</si>
  <si>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</si>
  <si>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</si>
  <si>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</si>
  <si>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</si>
  <si>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</si>
  <si>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</si>
  <si>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</si>
  <si>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</si>
  <si>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</si>
  <si>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</si>
  <si>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</si>
  <si>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</si>
  <si>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</si>
  <si>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</si>
  <si>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</si>
  <si>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</si>
  <si>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</si>
  <si>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</si>
  <si>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</si>
  <si>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</si>
  <si>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</si>
  <si>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</si>
  <si>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</si>
  <si>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</si>
  <si>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</si>
  <si>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</si>
  <si>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</si>
  <si>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</si>
  <si>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</si>
  <si>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</si>
  <si>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</si>
  <si>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</si>
  <si>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</si>
  <si>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</si>
  <si>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</si>
  <si>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</si>
  <si>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</si>
  <si>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</si>
  <si>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</si>
  <si>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</si>
  <si>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</si>
  <si>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</si>
  <si>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</si>
  <si>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</si>
  <si>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</si>
  <si>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</si>
  <si>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</si>
  <si>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</si>
  <si>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</si>
  <si>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</si>
  <si>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</si>
  <si>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</si>
  <si>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</si>
  <si>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</si>
  <si>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</si>
  <si>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</si>
  <si>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</si>
  <si>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</si>
  <si>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</si>
  <si>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</si>
  <si>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</si>
  <si>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</si>
  <si>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</si>
  <si>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</si>
  <si>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</si>
  <si>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</si>
  <si>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</si>
  <si>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</si>
  <si>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</si>
  <si>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</si>
  <si>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</si>
  <si>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</si>
  <si>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</si>
  <si>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</si>
  <si>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</si>
  <si>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</si>
  <si>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</si>
  <si>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</si>
  <si>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</si>
  <si>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</si>
  <si>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</si>
  <si>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</si>
  <si>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</si>
  <si>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</si>
  <si>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</si>
  <si>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</si>
  <si>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</si>
  <si>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</si>
  <si>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</si>
  <si>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</si>
  <si>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</si>
  <si>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</si>
  <si>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</si>
  <si>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</si>
  <si>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</si>
  <si>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</si>
  <si>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</si>
  <si>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</si>
  <si>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</si>
  <si>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</si>
  <si>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</si>
  <si>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</si>
  <si>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</si>
  <si>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</si>
  <si>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</si>
  <si>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</si>
  <si>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</si>
  <si>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</si>
  <si>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</si>
  <si>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</si>
  <si>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</si>
  <si>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</si>
  <si>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</si>
  <si>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</si>
  <si>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</si>
  <si>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</si>
  <si>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</si>
  <si>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</si>
  <si>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</si>
  <si>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</si>
  <si>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</si>
  <si>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</si>
  <si>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</si>
  <si>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</si>
  <si>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</si>
  <si>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</si>
  <si>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</si>
  <si>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</si>
  <si>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</si>
  <si>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</si>
  <si>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</si>
  <si>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</si>
  <si>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</si>
  <si>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</si>
  <si>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</si>
  <si>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</si>
  <si>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</si>
  <si>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</si>
  <si>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</si>
  <si>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</si>
  <si>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</si>
  <si>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</si>
  <si>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</si>
  <si>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</si>
  <si>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</si>
  <si>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</si>
  <si>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</si>
  <si>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</si>
  <si>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</si>
  <si>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</si>
  <si>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</si>
  <si>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</si>
  <si>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</si>
  <si>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</si>
  <si>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</si>
  <si>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</si>
  <si>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</si>
  <si>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</si>
  <si>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</si>
  <si>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</si>
  <si>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</si>
  <si>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</si>
  <si>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</si>
  <si>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</si>
  <si>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</si>
  <si>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</si>
  <si>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</si>
  <si>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</si>
  <si>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</si>
  <si>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</si>
  <si>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</si>
  <si>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</si>
  <si>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</si>
  <si>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</si>
  <si>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</si>
  <si>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</si>
  <si>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</si>
  <si>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</si>
  <si>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</si>
  <si>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</si>
  <si>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</si>
  <si>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</si>
  <si>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</si>
  <si>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</si>
  <si>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</si>
  <si>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</si>
  <si>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</si>
  <si>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</si>
  <si>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</si>
  <si>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</si>
  <si>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</si>
  <si>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</si>
  <si>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</si>
  <si>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</si>
  <si>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</si>
  <si>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</si>
  <si>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</si>
  <si>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</si>
  <si>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</si>
  <si>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</si>
  <si>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</si>
  <si>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</si>
  <si>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</si>
  <si>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</si>
  <si>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</si>
  <si>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</si>
  <si>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</si>
  <si>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</si>
  <si>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</si>
  <si>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</si>
  <si>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</si>
  <si>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</si>
  <si>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</si>
  <si>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</si>
  <si>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</si>
  <si>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</si>
  <si>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</si>
  <si>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</si>
  <si>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</si>
  <si>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</si>
  <si>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</si>
  <si>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</si>
  <si>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</si>
  <si>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</si>
  <si>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</si>
  <si>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</si>
  <si>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</si>
  <si>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</si>
  <si>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</si>
  <si>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</si>
  <si>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</si>
  <si>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</si>
  <si>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</si>
  <si>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</si>
  <si>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</si>
  <si>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</si>
  <si>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</si>
  <si>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</si>
  <si>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</si>
  <si>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</si>
  <si>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</si>
  <si>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</si>
  <si>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</si>
  <si>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</si>
  <si>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</si>
  <si>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</si>
  <si>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</si>
  <si>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</si>
  <si>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</si>
  <si>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</si>
  <si>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</si>
  <si>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</si>
  <si>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</si>
  <si>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</si>
  <si>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</si>
  <si>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</si>
  <si>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</si>
  <si>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</si>
  <si>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</si>
  <si>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</si>
  <si>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</si>
  <si>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</si>
  <si>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</si>
  <si>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</si>
  <si>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</si>
  <si>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</si>
  <si>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</si>
  <si>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</si>
  <si>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</si>
  <si>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</si>
  <si>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</si>
  <si>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</si>
  <si>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</si>
  <si>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</si>
  <si>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</si>
  <si>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</si>
  <si>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</si>
  <si>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</si>
  <si>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</si>
  <si>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</si>
  <si>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</si>
  <si>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</si>
  <si>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</si>
  <si>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</si>
  <si>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</si>
  <si>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</si>
  <si>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</si>
  <si>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</si>
  <si>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</si>
  <si>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</si>
  <si>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</si>
  <si>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</si>
  <si>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</si>
  <si>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</si>
  <si>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</si>
  <si>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</si>
  <si>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</si>
  <si>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</si>
  <si>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</si>
  <si>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</si>
  <si>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</si>
  <si>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</si>
  <si>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</si>
  <si>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</si>
  <si>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</si>
  <si>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</si>
  <si>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</si>
  <si>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</si>
  <si>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</si>
  <si>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</si>
  <si>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</si>
  <si>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</si>
  <si>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</si>
  <si>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</si>
  <si>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</si>
  <si>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</si>
  <si>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</si>
  <si>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</si>
  <si>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</si>
  <si>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</si>
  <si>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</si>
  <si>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</si>
  <si>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</si>
  <si>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</si>
  <si>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</si>
  <si>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</si>
  <si>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</si>
  <si>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</si>
  <si>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</si>
  <si>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</si>
  <si>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</si>
  <si>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</si>
  <si>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</si>
  <si>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</si>
  <si>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</si>
  <si>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</si>
  <si>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</si>
  <si>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</si>
  <si>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</si>
  <si>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</si>
  <si>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</si>
  <si>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</si>
  <si>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</si>
  <si>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</si>
  <si>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</si>
  <si>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</si>
  <si>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</si>
  <si>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</si>
  <si>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</si>
  <si>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</si>
  <si>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</si>
  <si>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</si>
  <si>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</si>
  <si>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</si>
  <si>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</si>
  <si>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</si>
  <si>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</si>
  <si>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</si>
  <si>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</si>
  <si>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</si>
  <si>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</si>
  <si>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</si>
  <si>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</si>
  <si>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</si>
  <si>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</si>
  <si>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</si>
  <si>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</si>
  <si>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</si>
  <si>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</si>
  <si>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</si>
  <si>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</si>
  <si>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</si>
  <si>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</si>
  <si>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</si>
  <si>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</si>
  <si>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</si>
  <si>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</si>
  <si>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</si>
  <si>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</si>
  <si>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</si>
  <si>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</si>
  <si>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</si>
  <si>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</si>
  <si>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</si>
  <si>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</si>
  <si>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</si>
  <si>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</si>
  <si>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</si>
  <si>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</si>
  <si>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</si>
  <si>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</si>
  <si>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</si>
  <si>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</si>
  <si>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</si>
  <si>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</si>
  <si>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</si>
  <si>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</si>
  <si>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</si>
  <si>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</si>
  <si>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</si>
  <si>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</si>
  <si>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</si>
  <si>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</si>
  <si>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</si>
  <si>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</si>
  <si>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</si>
  <si>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</si>
  <si>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</si>
  <si>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</si>
  <si>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</si>
  <si>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</si>
  <si>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</si>
  <si>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</si>
  <si>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</si>
  <si>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</si>
  <si>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</si>
  <si>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</si>
  <si>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</si>
  <si>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</si>
  <si>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</si>
  <si>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</si>
  <si>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</si>
  <si>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</si>
  <si>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</si>
  <si>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</si>
  <si>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</si>
  <si>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</si>
  <si>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</si>
  <si>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</si>
  <si>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</si>
  <si>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</si>
  <si>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</si>
  <si>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</si>
  <si>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</si>
  <si>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</si>
  <si>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</si>
  <si>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</si>
  <si>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</si>
  <si>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</si>
  <si>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</si>
  <si>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</si>
  <si>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</si>
  <si>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</si>
  <si>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</si>
  <si>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</si>
  <si>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</si>
  <si>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</si>
  <si>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</si>
  <si>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</si>
  <si>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</si>
  <si>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</si>
  <si>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</si>
  <si>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</si>
  <si>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</si>
  <si>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</si>
  <si>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</si>
  <si>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</si>
  <si>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</si>
  <si>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</si>
  <si>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</si>
  <si>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</si>
  <si>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</si>
  <si>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</si>
  <si>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</si>
  <si>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</si>
  <si>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</si>
  <si>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</si>
  <si>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</si>
  <si>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</si>
  <si>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</si>
  <si>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</si>
  <si>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</si>
  <si>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</si>
  <si>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</si>
  <si>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</si>
  <si>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</si>
  <si>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</si>
  <si>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</si>
  <si>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</si>
  <si>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</si>
  <si>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</si>
  <si>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</si>
  <si>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</si>
  <si>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</si>
  <si>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</si>
  <si>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</si>
  <si>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</si>
  <si>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</si>
  <si>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</si>
  <si>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</si>
  <si>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</si>
  <si>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</si>
  <si>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</si>
  <si>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</si>
  <si>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</si>
  <si>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</si>
  <si>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</si>
  <si>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</si>
  <si>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</si>
  <si>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</si>
  <si>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</si>
  <si>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</si>
  <si>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</si>
  <si>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</si>
  <si>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</si>
  <si>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</si>
  <si>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</si>
  <si>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</si>
  <si>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</si>
  <si>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</si>
  <si>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</si>
  <si>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</si>
  <si>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</si>
  <si>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</si>
  <si>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</si>
  <si>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</si>
  <si>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</si>
  <si>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</si>
  <si>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</si>
  <si>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</si>
  <si>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</si>
  <si>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</si>
  <si>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</si>
  <si>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</si>
  <si>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</si>
  <si>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</si>
  <si>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</si>
  <si>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</si>
  <si>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</si>
  <si>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</si>
  <si>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</si>
  <si>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</si>
  <si>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</si>
  <si>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</si>
  <si>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</si>
  <si>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</si>
  <si>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</si>
  <si>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</si>
  <si>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</si>
  <si>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</si>
  <si>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</si>
  <si>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</si>
  <si>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</si>
  <si>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</si>
  <si>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</si>
  <si>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</si>
  <si>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</si>
  <si>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</si>
  <si>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</si>
  <si>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</si>
  <si>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</si>
  <si>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</si>
  <si>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</si>
  <si>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</si>
  <si>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</si>
  <si>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</si>
  <si>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</si>
  <si>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</si>
  <si>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</si>
  <si>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</si>
  <si>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</si>
  <si>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</si>
  <si>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</si>
  <si>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</si>
  <si>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</si>
  <si>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</si>
  <si>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</si>
  <si>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</si>
  <si>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</si>
  <si>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</si>
  <si>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</si>
  <si>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</si>
  <si>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</si>
  <si>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</si>
  <si>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</si>
  <si>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</si>
  <si>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</si>
  <si>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</si>
  <si>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</si>
  <si>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</si>
  <si>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</si>
  <si>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</si>
  <si>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</si>
  <si>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</si>
  <si>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</si>
  <si>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</si>
  <si>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</si>
  <si>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</si>
  <si>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</si>
  <si>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</si>
  <si>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</si>
  <si>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</si>
  <si>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</si>
  <si>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</si>
  <si>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</si>
  <si>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</si>
  <si>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</si>
  <si>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</si>
  <si>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</si>
  <si>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</si>
  <si>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</si>
  <si>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</si>
  <si>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</si>
  <si>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</si>
  <si>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</si>
  <si>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</si>
  <si>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</si>
  <si>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</si>
  <si>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</si>
  <si>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</si>
  <si>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</si>
  <si>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</si>
  <si>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</si>
  <si>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</si>
  <si>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</si>
  <si>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</si>
  <si>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</si>
  <si>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</si>
  <si>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</si>
  <si>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</si>
  <si>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</si>
  <si>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</si>
  <si>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</si>
  <si>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</si>
  <si>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</si>
  <si>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</si>
  <si>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</si>
  <si>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</si>
  <si>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</si>
  <si>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</si>
  <si>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</si>
  <si>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</si>
  <si>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</si>
  <si>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</si>
  <si>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</si>
  <si>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</si>
  <si>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</si>
  <si>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</si>
  <si>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</si>
  <si>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</si>
  <si>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</si>
  <si>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</si>
  <si>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</si>
  <si>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</si>
  <si>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</si>
  <si>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</si>
  <si>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</si>
  <si>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</si>
  <si>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</si>
  <si>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</si>
  <si>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</si>
  <si>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</si>
  <si>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</si>
  <si>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</si>
  <si>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</si>
  <si>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</si>
  <si>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</si>
  <si>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</si>
  <si>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</si>
  <si>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</si>
  <si>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</si>
  <si>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</si>
  <si>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</si>
  <si>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</si>
  <si>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</si>
  <si>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</si>
  <si>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</si>
  <si>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</si>
  <si>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</si>
  <si>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</si>
  <si>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</si>
  <si>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</si>
  <si>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</si>
  <si>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</si>
  <si>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</si>
  <si>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</si>
  <si>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</si>
  <si>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</si>
  <si>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</si>
  <si>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</si>
  <si>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</si>
  <si>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</si>
  <si>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</si>
  <si>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</si>
  <si>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</si>
  <si>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</si>
  <si>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</si>
  <si>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</si>
  <si>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</si>
  <si>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</si>
  <si>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</si>
  <si>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</si>
  <si>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</si>
  <si>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</si>
  <si>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</si>
  <si>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</si>
  <si>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</si>
  <si>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</si>
  <si>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</si>
  <si>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</si>
  <si>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</si>
  <si>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</si>
  <si>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</si>
  <si>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</si>
  <si>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</si>
  <si>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</si>
  <si>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</si>
  <si>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</si>
  <si>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</si>
  <si>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</si>
  <si>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</si>
  <si>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</si>
  <si>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</si>
  <si>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</si>
  <si>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</si>
  <si>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</si>
  <si>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</si>
  <si>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</si>
  <si>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</si>
  <si>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</si>
  <si>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</si>
  <si>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</si>
  <si>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</si>
  <si>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</si>
  <si>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</si>
  <si>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</si>
  <si>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</si>
  <si>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</si>
  <si>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</si>
  <si>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</si>
  <si>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</si>
  <si>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</si>
  <si>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</si>
  <si>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</si>
  <si>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</si>
  <si>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</si>
  <si>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</si>
  <si>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</si>
  <si>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</si>
  <si>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</si>
  <si>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</si>
  <si>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</si>
  <si>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</si>
  <si>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</si>
  <si>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</si>
  <si>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</si>
  <si>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</si>
  <si>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</si>
  <si>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</si>
  <si>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</si>
  <si>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</si>
  <si>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</si>
  <si>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</si>
  <si>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</si>
  <si>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</si>
  <si>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</si>
  <si>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</si>
  <si>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</si>
  <si>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</si>
  <si>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</si>
  <si>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</si>
  <si>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</si>
  <si>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</si>
  <si>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</si>
  <si>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</si>
  <si>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</si>
  <si>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</si>
  <si>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</si>
  <si>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</si>
  <si>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</si>
  <si>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</si>
  <si>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</si>
  <si>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</si>
  <si>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</si>
  <si>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</si>
  <si>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</si>
  <si>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</si>
  <si>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</si>
  <si>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</si>
  <si>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</si>
  <si>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</si>
  <si>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</si>
  <si>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</si>
  <si>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</si>
  <si>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</si>
  <si>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</si>
  <si>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</si>
  <si>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</si>
  <si>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</si>
  <si>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</si>
  <si>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</si>
  <si>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</si>
  <si>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</si>
  <si>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</si>
  <si>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</si>
  <si>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</si>
  <si>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</si>
  <si>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</si>
  <si>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</si>
  <si>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</si>
  <si>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</si>
  <si>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</si>
  <si>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</si>
  <si>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</si>
  <si>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</si>
  <si>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</si>
  <si>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</si>
  <si>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</si>
  <si>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</si>
  <si>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</si>
  <si>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</si>
  <si>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</si>
  <si>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</si>
  <si>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</si>
  <si>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</si>
  <si>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</si>
  <si>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</si>
  <si>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</si>
  <si>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</si>
  <si>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</si>
  <si>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</si>
  <si>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</si>
  <si>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</si>
  <si>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</si>
  <si>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</si>
  <si>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</si>
  <si>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</si>
  <si>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</si>
  <si>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</si>
  <si>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</si>
  <si>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</si>
  <si>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</si>
  <si>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</si>
  <si>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</si>
  <si>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</si>
  <si>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</si>
  <si>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</si>
  <si>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</si>
  <si>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</si>
  <si>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</si>
  <si>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</si>
  <si>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</si>
  <si>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</si>
  <si>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</si>
  <si>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</si>
  <si>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</si>
  <si>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</si>
  <si>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</si>
  <si>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</si>
  <si>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</si>
  <si>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</si>
  <si>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</si>
  <si>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</si>
  <si>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</si>
  <si>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</si>
  <si>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</si>
  <si>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</si>
  <si>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</si>
  <si>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</si>
  <si>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</si>
  <si>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</si>
  <si>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</si>
  <si>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</si>
  <si>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</si>
  <si>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</si>
  <si>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</si>
  <si>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</si>
  <si>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</si>
  <si>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</si>
  <si>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</si>
  <si>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</si>
  <si>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</si>
  <si>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</si>
  <si>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</si>
  <si>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</si>
  <si>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</si>
  <si>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</si>
  <si>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</si>
  <si>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</si>
  <si>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</si>
  <si>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</si>
  <si>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</si>
  <si>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</si>
  <si>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</si>
  <si>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</si>
  <si>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</si>
  <si>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</si>
  <si>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</si>
  <si>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</si>
  <si>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</si>
  <si>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</si>
  <si>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</si>
  <si>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</si>
  <si>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</si>
  <si>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</si>
  <si>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</si>
  <si>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</si>
  <si>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</si>
  <si>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</si>
  <si>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</si>
  <si>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</si>
  <si>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</si>
  <si>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</si>
  <si>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</si>
  <si>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</si>
  <si>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</si>
  <si>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</si>
  <si>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</si>
  <si>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</si>
  <si>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</si>
  <si>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</si>
  <si>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</si>
  <si>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</si>
  <si>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</si>
  <si>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</si>
  <si>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</si>
  <si>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</si>
  <si>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</si>
  <si>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</si>
  <si>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</si>
  <si>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</si>
  <si>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</si>
  <si>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</si>
  <si>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</si>
  <si>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</si>
  <si>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</si>
  <si>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</si>
  <si>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</si>
  <si>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</si>
  <si>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</si>
  <si>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</si>
  <si>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</si>
  <si>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</si>
  <si>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</si>
  <si>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</si>
  <si>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</si>
  <si>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</si>
  <si>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</si>
  <si>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</si>
  <si>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</si>
  <si>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</si>
  <si>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</si>
  <si>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</si>
  <si>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</si>
  <si>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</si>
  <si>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</si>
  <si>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</si>
  <si>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</si>
  <si>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</si>
  <si>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</si>
  <si>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</si>
  <si>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</si>
  <si>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</si>
  <si>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</si>
  <si>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</si>
  <si>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</si>
  <si>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</si>
  <si>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</si>
  <si>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</si>
  <si>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</si>
  <si>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</si>
  <si>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</si>
  <si>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</si>
  <si>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</si>
  <si>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</si>
  <si>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</si>
  <si>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</si>
  <si>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</si>
  <si>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</si>
  <si>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</si>
  <si>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</si>
  <si>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</si>
  <si>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</si>
  <si>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</si>
  <si>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</si>
  <si>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</si>
  <si>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</si>
  <si>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</si>
  <si>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</si>
  <si>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</si>
  <si>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</si>
  <si>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</si>
  <si>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</si>
  <si>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</si>
  <si>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</si>
  <si>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</si>
  <si>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</si>
  <si>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</si>
  <si>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</si>
  <si>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</si>
  <si>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</si>
  <si>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</si>
  <si>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</si>
  <si>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</si>
  <si>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</si>
  <si>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</si>
  <si>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</si>
  <si>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</si>
  <si>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</si>
  <si>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</si>
  <si>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</si>
  <si>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</si>
  <si>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</si>
  <si>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</si>
  <si>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</si>
  <si>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</si>
  <si>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</si>
  <si>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</si>
  <si>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</si>
  <si>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</si>
  <si>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</si>
  <si>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</si>
  <si>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</si>
  <si>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</si>
  <si>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</si>
  <si>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</si>
  <si>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</si>
  <si>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</si>
  <si>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</si>
  <si>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</si>
  <si>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</si>
  <si>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</si>
  <si>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</si>
  <si>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</si>
  <si>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</si>
  <si>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</si>
  <si>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</si>
  <si>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</si>
  <si>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</si>
  <si>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</si>
  <si>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</si>
  <si>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</si>
  <si>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</si>
  <si>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</si>
  <si>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</si>
  <si>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</si>
  <si>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</si>
  <si>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</si>
  <si>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</si>
  <si>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</si>
  <si>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</si>
  <si>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</si>
  <si>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</si>
  <si>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</si>
  <si>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</si>
  <si>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</si>
  <si>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</si>
  <si>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</si>
  <si>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</si>
  <si>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</si>
  <si>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</si>
  <si>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</si>
  <si>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</si>
  <si>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</si>
  <si>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</si>
  <si>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</si>
  <si>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</si>
  <si>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</si>
  <si>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</si>
  <si>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</si>
  <si>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</si>
  <si>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</si>
  <si>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</si>
  <si>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</si>
  <si>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</si>
  <si>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</si>
  <si>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</si>
  <si>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</si>
  <si>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</si>
  <si>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</si>
  <si>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</si>
  <si>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</si>
  <si>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</si>
  <si>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</si>
  <si>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</si>
  <si>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</si>
  <si>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</si>
  <si>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</si>
  <si>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</si>
  <si>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</si>
  <si>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</si>
  <si>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</si>
  <si>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</si>
  <si>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</si>
  <si>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</si>
  <si>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</si>
  <si>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</si>
  <si>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</si>
  <si>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</si>
  <si>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</si>
  <si>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</si>
  <si>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</si>
  <si>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</si>
  <si>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</si>
  <si>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</si>
  <si>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</si>
  <si>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</si>
  <si>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</si>
  <si>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</si>
  <si>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</si>
  <si>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</si>
  <si>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</si>
  <si>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</si>
  <si>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</si>
  <si>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</si>
  <si>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</si>
  <si>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</si>
  <si>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</si>
  <si>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</si>
  <si>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</si>
  <si>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</si>
  <si>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</si>
  <si>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</si>
  <si>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</si>
  <si>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</si>
  <si>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</si>
  <si>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</si>
  <si>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</si>
  <si>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</si>
  <si>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</si>
  <si>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</si>
  <si>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</si>
  <si>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</si>
  <si>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</si>
  <si>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</si>
  <si>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</si>
  <si>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</si>
  <si>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</si>
  <si>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</si>
  <si>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</si>
  <si>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</si>
  <si>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</si>
  <si>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</si>
  <si>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</si>
  <si>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</si>
  <si>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</si>
  <si>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</si>
  <si>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</si>
  <si>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</si>
  <si>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</si>
  <si>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</si>
  <si>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</si>
  <si>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</si>
  <si>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</si>
  <si>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</si>
  <si>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</si>
  <si>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</si>
  <si>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</si>
  <si>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</si>
  <si>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</si>
  <si>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</si>
  <si>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</si>
  <si>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</si>
  <si>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</si>
  <si>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</si>
  <si>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</si>
  <si>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</si>
  <si>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</si>
  <si>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</si>
  <si>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</si>
  <si>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</si>
  <si>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</si>
  <si>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</si>
  <si>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</si>
  <si>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</si>
  <si>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</si>
  <si>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</si>
  <si>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</si>
  <si>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</si>
  <si>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</si>
  <si>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</si>
  <si>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</si>
  <si>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</si>
  <si>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</si>
  <si>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</si>
  <si>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</si>
  <si>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</si>
  <si>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</si>
  <si>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</si>
  <si>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</si>
  <si>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</si>
  <si>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</si>
  <si>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</si>
  <si>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</si>
  <si>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</si>
  <si>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</si>
  <si>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</si>
  <si>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</si>
  <si>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</si>
  <si>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</si>
  <si>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</si>
  <si>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</si>
  <si>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</si>
  <si>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</si>
  <si>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</si>
  <si>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</si>
  <si>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</si>
  <si>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</si>
  <si>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</si>
  <si>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</si>
  <si>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</si>
  <si>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</si>
  <si>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</si>
  <si>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</si>
  <si>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</si>
  <si>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</si>
  <si>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</si>
  <si>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</si>
  <si>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</si>
  <si>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</si>
  <si>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</si>
  <si>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</si>
  <si>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</si>
  <si>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</si>
  <si>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</si>
  <si>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</si>
  <si>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</si>
  <si>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</si>
  <si>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</si>
  <si>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</si>
  <si>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</si>
  <si>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</si>
  <si>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</si>
  <si>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</si>
  <si>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</si>
  <si>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</si>
  <si>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</si>
  <si>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</si>
  <si>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</si>
  <si>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</si>
  <si>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</si>
  <si>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</si>
  <si>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</si>
  <si>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</si>
  <si>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</si>
  <si>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</si>
  <si>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</si>
  <si>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</si>
  <si>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</si>
  <si>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</si>
  <si>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</si>
  <si>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</si>
  <si>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</si>
  <si>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</si>
  <si>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</si>
  <si>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</si>
  <si>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</si>
  <si>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</si>
  <si>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</si>
  <si>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</si>
  <si>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</si>
  <si>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</si>
  <si>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</si>
  <si>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</si>
  <si>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</si>
  <si>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</si>
  <si>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</si>
  <si>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</si>
  <si>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</si>
  <si>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</si>
  <si>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</si>
  <si>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</si>
  <si>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</si>
  <si>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</si>
  <si>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</si>
  <si>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</si>
  <si>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</si>
  <si>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</si>
  <si>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</si>
  <si>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</si>
  <si>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</si>
  <si>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</si>
  <si>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</si>
  <si>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</si>
  <si>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</si>
  <si>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</si>
  <si>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</si>
  <si>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</si>
  <si>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</si>
  <si>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</si>
  <si>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</si>
  <si>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</si>
  <si>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</si>
  <si>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</si>
  <si>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</si>
  <si>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</si>
  <si>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</si>
  <si>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</si>
  <si>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</si>
  <si>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</si>
  <si>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</si>
  <si>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</si>
  <si>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</si>
  <si>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</si>
  <si>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</si>
  <si>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</si>
  <si>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</si>
  <si>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</si>
  <si>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</si>
  <si>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</si>
  <si>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</si>
  <si>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</si>
  <si>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</si>
  <si>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</si>
  <si>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</si>
  <si>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</si>
  <si>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</si>
  <si>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</si>
  <si>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</si>
  <si>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</si>
  <si>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</si>
  <si>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</si>
  <si>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</si>
  <si>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</si>
  <si>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</si>
  <si>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</si>
  <si>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</si>
  <si>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</si>
  <si>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</si>
  <si>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</si>
  <si>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</si>
  <si>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</si>
  <si>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</si>
  <si>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</si>
  <si>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</si>
  <si>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</si>
  <si>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</si>
  <si>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</si>
  <si>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</si>
  <si>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</si>
  <si>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</si>
  <si>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</si>
  <si>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</si>
  <si>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</si>
  <si>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</si>
  <si>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</si>
  <si>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</si>
  <si>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</si>
  <si>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</si>
  <si>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</si>
  <si>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</si>
  <si>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</si>
  <si>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</si>
  <si>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</si>
  <si>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</si>
  <si>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</si>
  <si>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</si>
  <si>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</si>
  <si>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</si>
  <si>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</si>
  <si>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</si>
  <si>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</si>
  <si>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</si>
  <si>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</si>
  <si>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</si>
  <si>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</si>
  <si>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</si>
  <si>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</si>
  <si>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</si>
  <si>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</si>
  <si>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</si>
  <si>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</si>
  <si>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</si>
  <si>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</si>
  <si>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</si>
  <si>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</si>
  <si>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</si>
  <si>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</si>
  <si>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</si>
  <si>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</si>
  <si>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</si>
  <si>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</si>
  <si>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</si>
  <si>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</si>
  <si>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</si>
  <si>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</si>
  <si>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</si>
  <si>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</si>
  <si>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</si>
  <si>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</si>
  <si>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</si>
  <si>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</si>
  <si>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</si>
  <si>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</si>
  <si>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</si>
  <si>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</si>
  <si>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</si>
  <si>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</si>
  <si>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</si>
  <si>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</si>
  <si>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</si>
  <si>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</si>
  <si>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</si>
  <si>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</si>
  <si>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</si>
  <si>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</si>
  <si>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</si>
  <si>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</si>
  <si>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</si>
  <si>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</si>
  <si>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</si>
  <si>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</si>
  <si>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</si>
  <si>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</si>
  <si>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</si>
  <si>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</si>
  <si>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</si>
  <si>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</si>
  <si>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</si>
  <si>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</si>
  <si>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</si>
  <si>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</si>
  <si>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</si>
  <si>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</si>
  <si>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</si>
  <si>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</si>
  <si>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</si>
  <si>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</si>
  <si>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</si>
  <si>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</si>
  <si>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</si>
  <si>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</si>
  <si>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</si>
  <si>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</si>
  <si>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</si>
  <si>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</si>
  <si>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</si>
  <si>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</si>
  <si>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</si>
  <si>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</si>
  <si>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</si>
  <si>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</si>
  <si>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</si>
  <si>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</si>
  <si>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</si>
  <si>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</si>
  <si>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</si>
  <si>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</si>
  <si>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</si>
  <si>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</si>
  <si>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</si>
  <si>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</si>
  <si>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</si>
  <si>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</si>
  <si>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</si>
  <si>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</si>
  <si>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</si>
  <si>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</si>
  <si>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</si>
  <si>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</si>
  <si>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</si>
  <si>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</si>
  <si>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</si>
  <si>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</si>
  <si>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</si>
  <si>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</si>
  <si>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</si>
  <si>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</si>
  <si>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</si>
  <si>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</si>
  <si>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</si>
  <si>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</si>
  <si>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</si>
  <si>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</si>
  <si>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</si>
  <si>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</si>
  <si>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</si>
  <si>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</si>
  <si>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</si>
  <si>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</si>
  <si>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</si>
  <si>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</si>
  <si>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</si>
  <si>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</si>
  <si>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</si>
  <si>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</si>
  <si>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</si>
  <si>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</si>
  <si>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</si>
  <si>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</si>
  <si>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</si>
  <si>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</si>
  <si>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</si>
  <si>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</si>
  <si>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</si>
  <si>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</si>
  <si>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</si>
  <si>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</si>
  <si>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</si>
  <si>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</si>
  <si>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</si>
  <si>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</si>
  <si>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</si>
  <si>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</si>
  <si>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</si>
  <si>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</si>
  <si>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</si>
  <si>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</si>
  <si>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</si>
  <si>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</si>
  <si>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</si>
  <si>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</si>
  <si>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</si>
  <si>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</si>
  <si>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</si>
  <si>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</si>
  <si>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</si>
  <si>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</si>
  <si>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</si>
  <si>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</si>
  <si>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</si>
  <si>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</si>
  <si>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</si>
  <si>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</si>
  <si>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</si>
  <si>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</si>
  <si>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</si>
  <si>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</si>
  <si>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</si>
  <si>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</si>
  <si>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</si>
  <si>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</si>
  <si>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</si>
  <si>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</si>
  <si>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</si>
  <si>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</si>
  <si>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</si>
  <si>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</si>
  <si>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</si>
  <si>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</si>
  <si>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</si>
  <si>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</si>
  <si>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</si>
  <si>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</si>
  <si>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</si>
  <si>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</si>
  <si>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</si>
  <si>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</si>
  <si>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</si>
  <si>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</si>
  <si>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</si>
  <si>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</si>
  <si>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</si>
  <si>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</si>
  <si>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</si>
  <si>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</si>
  <si>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</si>
  <si>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</si>
  <si>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</si>
  <si>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</si>
  <si>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</si>
  <si>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</si>
  <si>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</si>
  <si>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</si>
  <si>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</si>
  <si>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</si>
  <si>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</si>
  <si>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</si>
  <si>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</si>
  <si>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</si>
  <si>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</si>
  <si>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</si>
  <si>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</si>
  <si>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</si>
  <si>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</si>
  <si>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</si>
  <si>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</si>
  <si>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</si>
  <si>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</si>
  <si>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</si>
  <si>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</si>
  <si>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</si>
  <si>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</si>
  <si>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</si>
  <si>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</si>
  <si>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</si>
  <si>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</si>
  <si>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</si>
  <si>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</si>
  <si>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</si>
  <si>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</si>
  <si>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</si>
  <si>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</si>
  <si>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</si>
  <si>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</si>
  <si>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</si>
  <si>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</si>
  <si>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</si>
  <si>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</si>
  <si>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</si>
  <si>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</si>
  <si>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</si>
  <si>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</si>
  <si>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</si>
  <si>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</si>
  <si>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</si>
  <si>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</si>
  <si>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</si>
  <si>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</si>
  <si>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</si>
  <si>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</si>
  <si>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</si>
  <si>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</si>
  <si>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</si>
  <si>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</si>
  <si>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</si>
  <si>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</si>
  <si>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</si>
  <si>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</si>
  <si>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</si>
  <si>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</si>
  <si>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</si>
  <si>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</si>
  <si>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</si>
  <si>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</si>
  <si>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</si>
  <si>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</si>
  <si>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</si>
  <si>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</si>
  <si>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</si>
  <si>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</si>
  <si>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</si>
  <si>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</si>
  <si>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</si>
  <si>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</si>
  <si>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</si>
  <si>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</si>
  <si>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</si>
  <si>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</si>
  <si>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</si>
  <si>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</si>
  <si>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</si>
  <si>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</si>
  <si>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</si>
  <si>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</si>
  <si>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</si>
  <si>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</si>
  <si>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</si>
  <si>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</si>
  <si>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</si>
  <si>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</si>
  <si>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</si>
  <si>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</si>
  <si>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</si>
  <si>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</si>
  <si>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</si>
  <si>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</si>
  <si>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</si>
  <si>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</si>
  <si>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</si>
  <si>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</si>
  <si>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</si>
  <si>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</si>
  <si>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</si>
  <si>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</si>
  <si>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</si>
  <si>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</si>
  <si>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</si>
  <si>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</si>
  <si>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</si>
  <si>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</si>
  <si>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</si>
  <si>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</si>
  <si>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</si>
  <si>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</si>
  <si>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</si>
  <si>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</si>
  <si>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</si>
  <si>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</si>
  <si>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</si>
  <si>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</si>
  <si>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</si>
  <si>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</si>
  <si>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</si>
  <si>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</si>
  <si>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</si>
  <si>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</si>
  <si>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</si>
  <si>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</si>
  <si>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</si>
  <si>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</si>
  <si>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</si>
  <si>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</si>
  <si>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</si>
  <si>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</si>
  <si>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</si>
  <si>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</si>
  <si>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</si>
  <si>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</si>
  <si>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</si>
  <si>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</si>
  <si>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</si>
  <si>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</si>
  <si>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</si>
  <si>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</si>
  <si>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</si>
  <si>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</si>
  <si>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</si>
  <si>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</si>
  <si>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</si>
  <si>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</si>
  <si>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</si>
  <si>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</si>
  <si>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</si>
  <si>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</si>
  <si>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</si>
  <si>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</si>
  <si>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</si>
  <si>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</si>
  <si>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</si>
  <si>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</si>
  <si>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</si>
  <si>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</si>
  <si>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</si>
  <si>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</si>
  <si>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</si>
  <si>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</si>
  <si>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</si>
  <si>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</si>
  <si>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</si>
  <si>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</si>
  <si>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</si>
  <si>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risk_of_rain_2-cult_of_the_lamb---pax_autocratica</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</si>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</sst>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333</c:v>
                </c:pt>
                <c:pt idx="2">
                  <c:v>210</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91</c:v>
                </c:pt>
                <c:pt idx="4">
                  <c:v>36</c:v>
                </c:pt>
                <c:pt idx="5">
                  <c:v>21</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6" totalsRowShown="0">
  <autoFilter ref="A1:G1526"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6" totalsRowShown="0">
  <autoFilter ref="A1:N66" xr:uid="{00000000-0009-0000-0100-000005000000}"/>
  <sortState xmlns:xlrd2="http://schemas.microsoft.com/office/spreadsheetml/2017/richdata2" ref="A2:N66">
    <sortCondition ref="B2:B66"/>
    <sortCondition ref="C2:C66"/>
    <sortCondition ref="A2:A66"/>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9" totalsRowShown="0">
  <autoFilter ref="A1:O49" xr:uid="{00000000-0009-0000-0100-000006000000}"/>
  <sortState xmlns:xlrd2="http://schemas.microsoft.com/office/spreadsheetml/2017/richdata2" ref="A2:O49">
    <sortCondition ref="B2:B49"/>
    <sortCondition ref="C2:C49"/>
    <sortCondition ref="A2:A49"/>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A1:O40" totalsRowShown="0">
  <autoFilter ref="A1:O40" xr:uid="{00000000-0009-0000-0100-00000B000000}"/>
  <sortState xmlns:xlrd2="http://schemas.microsoft.com/office/spreadsheetml/2017/richdata2" ref="N2:O40">
    <sortCondition ref="N11:N40"/>
  </sortState>
  <tableColumns count="15">
    <tableColumn id="1" name="Scrolls"/>
    <tableColumn id="2" name="Game"/>
    <tableColumn id="3" name="Preference"/>
    <tableColumn id="4" name="Rarity"/>
    <tableColumn id="5" name="Description"/>
    <tableColumn id="6" name="Effect"/>
    <tableColumn id="7" name="Tags"/>
    <tableColumn id="8" name="File"/>
    <tableColumn id="9" name="Notes"/>
    <tableColumn id="10" name=""/>
    <tableColumn id="11" name="Random Scroll Name"/>
    <tableColumn id="12" name="Game"/>
    <tableColumn id="13" name=""/>
    <tableColumn id="14" name="Random Scroll Part"/>
    <tableColumn id="15"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hyperlink" Target="https://store.steampowered.com/app/1337520/Risk_of_Rain_Return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table" Target="../tables/table2.xm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979" Type="http://schemas.openxmlformats.org/officeDocument/2006/relationships/hyperlink" Target="https://www.youtube.com/watch?v=hALQHBpwysY&amp;t=690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hlNHCK_WBaE"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322" Type="http://schemas.openxmlformats.org/officeDocument/2006/relationships/hyperlink" Target="https://steamcommunity.com/app/2821800/discussions/0/4346617656894336061/"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199" Type="http://schemas.openxmlformats.org/officeDocument/2006/relationships/hyperlink" Target="https://store.steampowered.com/app/3601130/Touhou_Crawl/" TargetMode="External"/><Relationship Id="rId627" Type="http://schemas.openxmlformats.org/officeDocument/2006/relationships/hyperlink" Target="https://www.emuglx.org/reportaze/interview/exclusive-switchcars-interview/" TargetMode="External"/><Relationship Id="rId834" Type="http://schemas.openxmlformats.org/officeDocument/2006/relationships/hyperlink" Target="https://www.gamedeveloper.com/design/road-to-the-igf-spry-fox-s-and-wild-shadow-studios-i-realm-of-the-mad-god-i-"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978" Type="http://schemas.openxmlformats.org/officeDocument/2006/relationships/hyperlink" Target="https://www.dualshockers.com/godbreakers-hands-on-preview-reveal/"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980" Type="http://schemas.openxmlformats.org/officeDocument/2006/relationships/hyperlink" Target="https://www.youtube.com/watch?v=hALQHBpwysY&amp;t=690s"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977" Type="http://schemas.openxmlformats.org/officeDocument/2006/relationships/hyperlink" Target="https://www.dualshockers.com/godbreakers-hands-on-preview-reveal/"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64" Type="http://schemas.openxmlformats.org/officeDocument/2006/relationships/hyperlink" Target="https://www.roguebasin.com/index.php/Dragonslay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youtu.be/zKQl9Xp3dxo" TargetMode="External"/><Relationship Id="rId669" Type="http://schemas.openxmlformats.org/officeDocument/2006/relationships/hyperlink" Target="https://tonemadison.com/articles/whisker-squadron-survivor-takes-aim-at-its-pain-points/"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topLeftCell="A880" zoomScaleNormal="100" workbookViewId="0">
      <selection activeCell="A916" sqref="A91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c r="H416" t="s">
        <v>187</v>
      </c>
      <c r="I416" t="s">
        <v>12706</v>
      </c>
      <c r="J416" s="10" t="s">
        <v>12707</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12712</v>
      </c>
      <c r="B570">
        <v>2026</v>
      </c>
      <c r="C570" t="s">
        <v>176</v>
      </c>
      <c r="D570" t="b">
        <v>1</v>
      </c>
      <c r="E570" t="b">
        <f>COUNTIF(connections!A:A, A570) &gt; 0</f>
        <v>0</v>
      </c>
      <c r="G570" t="s">
        <v>12713</v>
      </c>
      <c r="J570" s="10" t="s">
        <v>12714</v>
      </c>
    </row>
    <row r="571" spans="1:10" ht="15" customHeight="1" x14ac:dyDescent="0.25">
      <c r="A571" t="s">
        <v>8113</v>
      </c>
      <c r="B571">
        <v>2026</v>
      </c>
      <c r="C571" t="s">
        <v>176</v>
      </c>
      <c r="D571" t="b">
        <f>TRUE()</f>
        <v>1</v>
      </c>
      <c r="E571" t="b">
        <f>COUNTIF(connections!A:A, A571) &gt; 0</f>
        <v>0</v>
      </c>
      <c r="F571" t="s">
        <v>1030</v>
      </c>
      <c r="G571" t="s">
        <v>8114</v>
      </c>
      <c r="J571" s="10" t="s">
        <v>8115</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7645</v>
      </c>
      <c r="B574">
        <v>2026</v>
      </c>
      <c r="C574" t="s">
        <v>176</v>
      </c>
      <c r="D574" t="b">
        <f>TRUE()</f>
        <v>1</v>
      </c>
      <c r="E574" t="b">
        <f>COUNTIF(connections!A:A, A574) &gt; 0</f>
        <v>0</v>
      </c>
      <c r="G574" t="s">
        <v>7646</v>
      </c>
      <c r="J574" s="10" t="s">
        <v>7647</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9942</v>
      </c>
      <c r="B577">
        <v>2025</v>
      </c>
      <c r="C577" t="s">
        <v>176</v>
      </c>
      <c r="D577" t="b">
        <v>1</v>
      </c>
      <c r="E577" t="b">
        <f>COUNTIF(connections!A:A, A577) &gt; 0</f>
        <v>0</v>
      </c>
      <c r="G577" t="s">
        <v>9944</v>
      </c>
      <c r="H577" t="s">
        <v>187</v>
      </c>
      <c r="I577" t="s">
        <v>9946</v>
      </c>
      <c r="J577" s="10" t="s">
        <v>9943</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8322</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8323</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7934</v>
      </c>
      <c r="B595">
        <v>2026</v>
      </c>
      <c r="C595" t="s">
        <v>176</v>
      </c>
      <c r="D595" t="b">
        <f>TRUE()</f>
        <v>1</v>
      </c>
      <c r="E595" t="b">
        <f>COUNTIF(connections!A:A, A595) &gt; 0</f>
        <v>0</v>
      </c>
      <c r="F595" t="s">
        <v>1985</v>
      </c>
      <c r="G595" t="s">
        <v>7935</v>
      </c>
      <c r="H595" t="s">
        <v>187</v>
      </c>
      <c r="I595" t="s">
        <v>7936</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9970</v>
      </c>
      <c r="B600">
        <v>2026</v>
      </c>
      <c r="C600" t="s">
        <v>182</v>
      </c>
      <c r="D600" t="b">
        <v>0</v>
      </c>
      <c r="E600" t="b">
        <f>COUNTIF(connections!A:A, A600) &gt; 0</f>
        <v>0</v>
      </c>
      <c r="G600" t="s">
        <v>9971</v>
      </c>
      <c r="J600" s="10" t="s">
        <v>9972</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9973</v>
      </c>
      <c r="B602">
        <v>2026</v>
      </c>
      <c r="C602" t="s">
        <v>176</v>
      </c>
      <c r="D602" t="b">
        <v>0</v>
      </c>
      <c r="E602" t="b">
        <f>COUNTIF(connections!A:A, A602) &gt; 0</f>
        <v>0</v>
      </c>
      <c r="G602" t="s">
        <v>9975</v>
      </c>
      <c r="J602" s="10" t="s">
        <v>9974</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8101</v>
      </c>
      <c r="B605">
        <v>2024</v>
      </c>
      <c r="C605" t="s">
        <v>182</v>
      </c>
      <c r="D605" t="b">
        <f>TRUE()</f>
        <v>1</v>
      </c>
      <c r="E605" t="b">
        <f>COUNTIF(connections!A:A, A605) &gt; 0</f>
        <v>0</v>
      </c>
      <c r="G605" t="s">
        <v>8102</v>
      </c>
      <c r="J605" s="10" t="s">
        <v>8103</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7867</v>
      </c>
      <c r="J608" s="10" t="s">
        <v>7868</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7919</v>
      </c>
      <c r="B614">
        <v>2026</v>
      </c>
      <c r="C614" t="s">
        <v>179</v>
      </c>
      <c r="D614" t="b">
        <f>TRUE()</f>
        <v>1</v>
      </c>
      <c r="E614" t="b">
        <f>COUNTIF(connections!A:A, A614) &gt; 0</f>
        <v>0</v>
      </c>
      <c r="G614" t="s">
        <v>7921</v>
      </c>
      <c r="J614" s="10" t="s">
        <v>7922</v>
      </c>
    </row>
    <row r="615" spans="1:10" ht="15" customHeight="1" x14ac:dyDescent="0.25">
      <c r="A615" t="s">
        <v>9967</v>
      </c>
      <c r="B615">
        <v>2025</v>
      </c>
      <c r="C615" t="s">
        <v>176</v>
      </c>
      <c r="D615" t="b">
        <v>0</v>
      </c>
      <c r="E615" t="b">
        <f>COUNTIF(connections!A:A, A615) &gt; 0</f>
        <v>0</v>
      </c>
      <c r="G615" t="s">
        <v>9968</v>
      </c>
      <c r="J615" s="10" t="s">
        <v>9969</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7909</v>
      </c>
      <c r="B622">
        <v>2025</v>
      </c>
      <c r="C622" t="s">
        <v>176</v>
      </c>
      <c r="D622" t="b">
        <f>TRUE()</f>
        <v>1</v>
      </c>
      <c r="E622" t="b">
        <f>COUNTIF(connections!A:A, A622) &gt; 0</f>
        <v>0</v>
      </c>
      <c r="G622" t="s">
        <v>7910</v>
      </c>
      <c r="H622" t="s">
        <v>187</v>
      </c>
      <c r="I622" t="s">
        <v>7913</v>
      </c>
      <c r="J622" s="10" t="s">
        <v>7911</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7924</v>
      </c>
      <c r="B633">
        <v>2026</v>
      </c>
      <c r="C633" t="s">
        <v>176</v>
      </c>
      <c r="D633" t="b">
        <f>TRUE()</f>
        <v>1</v>
      </c>
      <c r="E633" t="b">
        <f>COUNTIF(connections!A:A, A633) &gt; 0</f>
        <v>0</v>
      </c>
      <c r="G633" t="s">
        <v>7925</v>
      </c>
      <c r="J633" s="10" t="s">
        <v>7926</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9849</v>
      </c>
      <c r="B645">
        <v>2026</v>
      </c>
      <c r="C645" t="s">
        <v>176</v>
      </c>
      <c r="D645" t="b">
        <v>1</v>
      </c>
      <c r="E645" t="b">
        <f>COUNTIF(connections!A:A, A645) &gt; 0</f>
        <v>0</v>
      </c>
      <c r="G645" t="s">
        <v>9850</v>
      </c>
      <c r="J645" s="10" t="s">
        <v>9851</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8370</v>
      </c>
      <c r="B673">
        <v>2022</v>
      </c>
      <c r="C673" t="s">
        <v>176</v>
      </c>
      <c r="D673" t="b">
        <f>TRUE()</f>
        <v>1</v>
      </c>
      <c r="E673" t="b">
        <f>COUNTIF(connections!A:A, A673) &gt; 0</f>
        <v>1</v>
      </c>
      <c r="G673" t="s">
        <v>8371</v>
      </c>
      <c r="H673" t="s">
        <v>187</v>
      </c>
      <c r="I673" t="s">
        <v>8413</v>
      </c>
      <c r="J673" s="10" t="s">
        <v>8372</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8131</v>
      </c>
      <c r="J675" s="10" t="s">
        <v>2246</v>
      </c>
    </row>
    <row r="676" spans="1:10" ht="15" customHeight="1" x14ac:dyDescent="0.25">
      <c r="A676" t="s">
        <v>9921</v>
      </c>
      <c r="B676">
        <v>2026</v>
      </c>
      <c r="C676" t="s">
        <v>176</v>
      </c>
      <c r="D676" t="b">
        <v>0</v>
      </c>
      <c r="E676" t="b">
        <f>COUNTIF(connections!A:A, A676) &gt; 0</f>
        <v>0</v>
      </c>
      <c r="G676" t="s">
        <v>9922</v>
      </c>
      <c r="J676" s="10" t="s">
        <v>9923</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8341</v>
      </c>
      <c r="J688" s="10" t="s">
        <v>8342</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7932</v>
      </c>
      <c r="B690">
        <v>2025</v>
      </c>
      <c r="C690" t="s">
        <v>176</v>
      </c>
      <c r="D690" t="b">
        <f>TRUE()</f>
        <v>1</v>
      </c>
      <c r="E690" t="b">
        <f>COUNTIF(connections!A:A, A690) &gt; 0</f>
        <v>0</v>
      </c>
      <c r="G690" t="s">
        <v>7933</v>
      </c>
      <c r="J690" s="10" t="s">
        <v>7931</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7939</v>
      </c>
      <c r="B705">
        <v>2026</v>
      </c>
      <c r="C705" t="s">
        <v>182</v>
      </c>
      <c r="D705" t="b">
        <f>TRUE()</f>
        <v>1</v>
      </c>
      <c r="E705" t="b">
        <f>COUNTIF(connections!A:A, A705) &gt; 0</f>
        <v>0</v>
      </c>
      <c r="G705" t="s">
        <v>7940</v>
      </c>
      <c r="J705" s="10" t="s">
        <v>7941</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8338</v>
      </c>
      <c r="J709" s="10" t="s">
        <v>8339</v>
      </c>
    </row>
    <row r="710" spans="1:10" ht="15" customHeight="1" x14ac:dyDescent="0.25">
      <c r="A710" t="s">
        <v>2341</v>
      </c>
      <c r="B710">
        <v>2014</v>
      </c>
      <c r="C710" t="s">
        <v>176</v>
      </c>
      <c r="D710" t="b">
        <f>TRUE()</f>
        <v>1</v>
      </c>
      <c r="E710" t="b">
        <f>COUNTIF(connections!A:A, A710) &gt; 0</f>
        <v>0</v>
      </c>
      <c r="G710" t="s">
        <v>2342</v>
      </c>
      <c r="H710" t="s">
        <v>187</v>
      </c>
      <c r="I710" t="s">
        <v>8324</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9883</v>
      </c>
      <c r="B716">
        <v>2026</v>
      </c>
      <c r="C716" t="s">
        <v>176</v>
      </c>
      <c r="D716" t="b">
        <v>0</v>
      </c>
      <c r="E716" t="b">
        <f>COUNTIF(connections!A:A, A716) &gt; 0</f>
        <v>0</v>
      </c>
      <c r="G716" t="s">
        <v>9884</v>
      </c>
      <c r="H716" t="s">
        <v>187</v>
      </c>
      <c r="I716" t="s">
        <v>9885</v>
      </c>
      <c r="J716" s="10" t="s">
        <v>9886</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8375</v>
      </c>
      <c r="B718">
        <v>2024</v>
      </c>
      <c r="C718" t="s">
        <v>176</v>
      </c>
      <c r="D718" t="b">
        <f>TRUE()</f>
        <v>1</v>
      </c>
      <c r="E718" t="b">
        <f>COUNTIF(connections!A:A, A718) &gt; 0</f>
        <v>0</v>
      </c>
      <c r="G718" t="s">
        <v>8376</v>
      </c>
      <c r="H718" t="s">
        <v>187</v>
      </c>
      <c r="I718" t="s">
        <v>8377</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9916</v>
      </c>
      <c r="B730">
        <v>2021</v>
      </c>
      <c r="C730" t="s">
        <v>176</v>
      </c>
      <c r="D730" t="b">
        <v>1</v>
      </c>
      <c r="E730" t="b">
        <f>COUNTIF(connections!A:A, A730) &gt; 0</f>
        <v>0</v>
      </c>
      <c r="G730" t="s">
        <v>9917</v>
      </c>
      <c r="H730" t="s">
        <v>187</v>
      </c>
      <c r="I730" t="s">
        <v>9920</v>
      </c>
      <c r="J730" s="10" t="s">
        <v>9918</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8104</v>
      </c>
      <c r="B734">
        <v>2024</v>
      </c>
      <c r="C734" t="s">
        <v>222</v>
      </c>
      <c r="D734" t="b">
        <f>TRUE()</f>
        <v>1</v>
      </c>
      <c r="E734" t="b">
        <f>COUNTIF(connections!A:A, A734) &gt; 0</f>
        <v>0</v>
      </c>
      <c r="F734" t="s">
        <v>274</v>
      </c>
      <c r="G734" t="s">
        <v>8105</v>
      </c>
      <c r="H734" t="s">
        <v>187</v>
      </c>
      <c r="I734" t="s">
        <v>8325</v>
      </c>
      <c r="J734" s="10" t="s">
        <v>8106</v>
      </c>
    </row>
    <row r="735" spans="1:10" x14ac:dyDescent="0.25">
      <c r="A735" t="s">
        <v>7847</v>
      </c>
      <c r="B735">
        <v>2019</v>
      </c>
      <c r="C735" t="s">
        <v>176</v>
      </c>
      <c r="D735" t="b">
        <f>TRUE()</f>
        <v>1</v>
      </c>
      <c r="E735" t="b">
        <f>COUNTIF(connections!A:A, A735) &gt; 0</f>
        <v>0</v>
      </c>
      <c r="G735" t="s">
        <v>7848</v>
      </c>
      <c r="H735" t="s">
        <v>187</v>
      </c>
      <c r="I735" t="s">
        <v>8326</v>
      </c>
      <c r="J735" s="10" t="s">
        <v>7849</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7861</v>
      </c>
      <c r="J737" s="10" t="s">
        <v>7862</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8327</v>
      </c>
      <c r="B750">
        <v>2020</v>
      </c>
      <c r="C750" t="s">
        <v>222</v>
      </c>
      <c r="D750" t="b">
        <f>TRUE()</f>
        <v>1</v>
      </c>
      <c r="E750" t="b">
        <f>COUNTIF(connections!A:A, A750) &gt; 0</f>
        <v>0</v>
      </c>
      <c r="G750" t="s">
        <v>8328</v>
      </c>
      <c r="H750" t="s">
        <v>187</v>
      </c>
      <c r="I750" t="s">
        <v>8329</v>
      </c>
      <c r="J750" s="10" t="s">
        <v>8330</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9996</v>
      </c>
      <c r="B752">
        <v>2026</v>
      </c>
      <c r="C752" t="s">
        <v>176</v>
      </c>
      <c r="D752" t="b">
        <v>1</v>
      </c>
      <c r="E752" t="b">
        <f>COUNTIF(connections!A:A, A752) &gt; 0</f>
        <v>0</v>
      </c>
      <c r="F752" t="s">
        <v>787</v>
      </c>
      <c r="G752" t="s">
        <v>9997</v>
      </c>
      <c r="J752" s="10" t="s">
        <v>9998</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8098</v>
      </c>
      <c r="B757">
        <v>2026</v>
      </c>
      <c r="C757" t="s">
        <v>176</v>
      </c>
      <c r="D757" t="b">
        <f>TRUE()</f>
        <v>1</v>
      </c>
      <c r="E757" t="b">
        <f>COUNTIF(connections!A:A, A757) &gt; 0</f>
        <v>0</v>
      </c>
      <c r="G757" t="s">
        <v>8099</v>
      </c>
      <c r="J757" s="10" t="s">
        <v>8100</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8331</v>
      </c>
      <c r="J759" s="10" t="s">
        <v>8332</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9932</v>
      </c>
      <c r="B762">
        <v>2025</v>
      </c>
      <c r="C762" t="s">
        <v>222</v>
      </c>
      <c r="D762" t="b">
        <v>1</v>
      </c>
      <c r="E762" t="b">
        <f>COUNTIF(connections!A:A, A762) &gt; 0</f>
        <v>0</v>
      </c>
      <c r="G762" t="s">
        <v>9933</v>
      </c>
      <c r="H762" t="s">
        <v>187</v>
      </c>
      <c r="I762" t="s">
        <v>9935</v>
      </c>
      <c r="J762" s="10" t="s">
        <v>9934</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8125</v>
      </c>
      <c r="J771" s="10" t="s">
        <v>8126</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8333</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8334</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7927</v>
      </c>
      <c r="B813">
        <v>2026</v>
      </c>
      <c r="C813" t="s">
        <v>182</v>
      </c>
      <c r="D813" t="b">
        <f>TRUE()</f>
        <v>1</v>
      </c>
      <c r="E813" t="b">
        <f>COUNTIF(connections!A:A, A813) &gt; 0</f>
        <v>0</v>
      </c>
      <c r="G813" t="s">
        <v>7928</v>
      </c>
      <c r="J813" s="10" t="s">
        <v>7929</v>
      </c>
    </row>
    <row r="814" spans="1:10" x14ac:dyDescent="0.25">
      <c r="A814" t="s">
        <v>8135</v>
      </c>
      <c r="B814">
        <v>2026</v>
      </c>
      <c r="C814" t="s">
        <v>176</v>
      </c>
      <c r="D814" t="b">
        <f>TRUE()</f>
        <v>1</v>
      </c>
      <c r="E814" t="b">
        <f>COUNTIF(connections!A:A, A814) &gt; 0</f>
        <v>0</v>
      </c>
      <c r="G814" t="s">
        <v>8137</v>
      </c>
      <c r="J814" s="10" t="s">
        <v>8136</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8127</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9878</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7956</v>
      </c>
      <c r="B828">
        <v>2026</v>
      </c>
      <c r="C828" t="s">
        <v>182</v>
      </c>
      <c r="D828" t="b">
        <f>TRUE()</f>
        <v>1</v>
      </c>
      <c r="E828" t="b">
        <f>COUNTIF(connections!A:A, A828) &gt; 0</f>
        <v>0</v>
      </c>
      <c r="G828" t="s">
        <v>7957</v>
      </c>
      <c r="J828" s="10" t="s">
        <v>7958</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10002</v>
      </c>
      <c r="B842">
        <v>2024</v>
      </c>
      <c r="C842" t="s">
        <v>176</v>
      </c>
      <c r="D842" t="b">
        <v>0</v>
      </c>
      <c r="E842" t="b">
        <f>COUNTIF(connections!A:A, A842) &gt; 0</f>
        <v>0</v>
      </c>
      <c r="F842" t="s">
        <v>328</v>
      </c>
      <c r="G842" t="s">
        <v>10003</v>
      </c>
      <c r="J842" s="10" t="s">
        <v>10004</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8335</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8110</v>
      </c>
      <c r="B850">
        <v>2024</v>
      </c>
      <c r="C850" t="s">
        <v>222</v>
      </c>
      <c r="D850" t="b">
        <f>TRUE()</f>
        <v>1</v>
      </c>
      <c r="E850" t="b">
        <f>COUNTIF(connections!A:A, A850) &gt; 0</f>
        <v>0</v>
      </c>
      <c r="G850" t="s">
        <v>8111</v>
      </c>
      <c r="J850" s="10" t="s">
        <v>8112</v>
      </c>
    </row>
    <row r="851" spans="1:10" x14ac:dyDescent="0.25">
      <c r="A851" t="s">
        <v>2757</v>
      </c>
      <c r="B851">
        <v>2019</v>
      </c>
      <c r="C851" t="s">
        <v>182</v>
      </c>
      <c r="D851" t="b">
        <f>TRUE()</f>
        <v>1</v>
      </c>
      <c r="E851" t="b">
        <f>COUNTIF(connections!A:A, A851) &gt; 0</f>
        <v>0</v>
      </c>
      <c r="G851" t="s">
        <v>2758</v>
      </c>
      <c r="H851" t="s">
        <v>187</v>
      </c>
      <c r="I851" t="s">
        <v>8336</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8128</v>
      </c>
      <c r="J853" s="1" t="s">
        <v>2765</v>
      </c>
    </row>
    <row r="854" spans="1:10" x14ac:dyDescent="0.25">
      <c r="A854" t="s">
        <v>2766</v>
      </c>
      <c r="B854">
        <v>2025</v>
      </c>
      <c r="C854" t="s">
        <v>176</v>
      </c>
      <c r="D854" t="b">
        <f>TRUE()</f>
        <v>1</v>
      </c>
      <c r="E854" t="b">
        <f>COUNTIF(connections!A:A, A854) &gt; 0</f>
        <v>0</v>
      </c>
      <c r="G854" t="s">
        <v>2767</v>
      </c>
      <c r="H854" t="s">
        <v>187</v>
      </c>
      <c r="I854" t="s">
        <v>8122</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12716</v>
      </c>
      <c r="B857">
        <v>2025</v>
      </c>
      <c r="C857" t="s">
        <v>176</v>
      </c>
      <c r="D857" t="b">
        <v>1</v>
      </c>
      <c r="E857" t="b">
        <f>COUNTIF(connections!A:A, A857) &gt; 0</f>
        <v>0</v>
      </c>
      <c r="F857" t="s">
        <v>529</v>
      </c>
      <c r="G857" t="s">
        <v>12717</v>
      </c>
      <c r="J857" s="10" t="s">
        <v>12718</v>
      </c>
    </row>
    <row r="858" spans="1:10" x14ac:dyDescent="0.25">
      <c r="A858" t="s">
        <v>7696</v>
      </c>
      <c r="B858">
        <v>2026</v>
      </c>
      <c r="C858" t="s">
        <v>182</v>
      </c>
      <c r="D858" t="b">
        <f>TRUE()</f>
        <v>1</v>
      </c>
      <c r="E858" t="b">
        <f>COUNTIF(connections!A:A, A858) &gt; 0</f>
        <v>0</v>
      </c>
      <c r="G858" t="s">
        <v>7697</v>
      </c>
      <c r="J858" s="10" t="s">
        <v>7695</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12708</v>
      </c>
      <c r="J863" s="10" t="s">
        <v>12709</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7842</v>
      </c>
      <c r="B885">
        <v>2026</v>
      </c>
      <c r="C885" t="s">
        <v>176</v>
      </c>
      <c r="D885" t="b">
        <f>TRUE()</f>
        <v>1</v>
      </c>
      <c r="E885" t="b">
        <f>COUNTIF(connections!A:A, A885) &gt; 0</f>
        <v>0</v>
      </c>
      <c r="G885" t="s">
        <v>7843</v>
      </c>
      <c r="J885" s="10" t="s">
        <v>7844</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12704</v>
      </c>
      <c r="J887" s="10" t="s">
        <v>12705</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9881</v>
      </c>
      <c r="J908" s="10" t="s">
        <v>9882</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6"/>
  <sheetViews>
    <sheetView topLeftCell="A1493" zoomScaleNormal="100" workbookViewId="0">
      <selection activeCell="A1528" sqref="A152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row r="1521" spans="1:7" x14ac:dyDescent="0.25">
      <c r="A1521" t="s">
        <v>2136</v>
      </c>
      <c r="B1521" t="s">
        <v>2140</v>
      </c>
      <c r="C1521">
        <v>2020</v>
      </c>
      <c r="D1521" t="s">
        <v>187</v>
      </c>
      <c r="E1521" s="10" t="s">
        <v>2143</v>
      </c>
      <c r="F1521" t="s">
        <v>12703</v>
      </c>
      <c r="G1521" t="s">
        <v>3993</v>
      </c>
    </row>
    <row r="1522" spans="1:7" x14ac:dyDescent="0.25">
      <c r="A1522" t="s">
        <v>1294</v>
      </c>
      <c r="B1522" t="s">
        <v>1215</v>
      </c>
      <c r="C1522">
        <v>2019</v>
      </c>
      <c r="E1522" s="10" t="s">
        <v>12710</v>
      </c>
      <c r="F1522" t="s">
        <v>12711</v>
      </c>
      <c r="G1522" t="s">
        <v>3993</v>
      </c>
    </row>
    <row r="1523" spans="1:7" x14ac:dyDescent="0.25">
      <c r="A1523" t="s">
        <v>2136</v>
      </c>
      <c r="B1523" t="s">
        <v>1215</v>
      </c>
      <c r="C1523">
        <v>2020</v>
      </c>
      <c r="E1523" s="10" t="s">
        <v>12710</v>
      </c>
      <c r="F1523" t="s">
        <v>12711</v>
      </c>
      <c r="G1523" t="s">
        <v>3993</v>
      </c>
    </row>
    <row r="1524" spans="1:7" x14ac:dyDescent="0.25">
      <c r="A1524" t="s">
        <v>2136</v>
      </c>
      <c r="B1524" t="s">
        <v>12712</v>
      </c>
      <c r="C1524">
        <v>2020</v>
      </c>
      <c r="E1524" s="10" t="s">
        <v>12715</v>
      </c>
      <c r="F1524" t="s">
        <v>12720</v>
      </c>
      <c r="G1524" t="s">
        <v>3993</v>
      </c>
    </row>
    <row r="1525" spans="1:7" x14ac:dyDescent="0.25">
      <c r="A1525" t="s">
        <v>709</v>
      </c>
      <c r="B1525" t="s">
        <v>12712</v>
      </c>
      <c r="C1525">
        <v>2022</v>
      </c>
      <c r="E1525" s="10" t="s">
        <v>12715</v>
      </c>
      <c r="F1525" t="s">
        <v>12720</v>
      </c>
      <c r="G1525" t="s">
        <v>3993</v>
      </c>
    </row>
    <row r="1526" spans="1:7" x14ac:dyDescent="0.25">
      <c r="A1526" t="s">
        <v>2136</v>
      </c>
      <c r="B1526" t="s">
        <v>12716</v>
      </c>
      <c r="C1526">
        <v>2020</v>
      </c>
      <c r="E1526" s="10" t="s">
        <v>12719</v>
      </c>
      <c r="F1526" t="s">
        <v>12721</v>
      </c>
      <c r="G1526"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 ref="E1521" r:id="rId976" xr:uid="{33AE2D76-447C-46EB-AD90-71DC3B143217}"/>
    <hyperlink ref="E1522" r:id="rId977" xr:uid="{9B4CFEFC-B5A8-4405-BB7F-C6A86AC715BC}"/>
    <hyperlink ref="E1523" r:id="rId978" xr:uid="{0ABCA731-94D5-4932-AB43-CD0E2DDECEB0}"/>
    <hyperlink ref="E1524" r:id="rId979" xr:uid="{C9FDB476-0397-4584-94A8-7F5104499F74}"/>
    <hyperlink ref="E1525" r:id="rId980" xr:uid="{31761495-207C-43C7-86A8-C6F133484FB8}"/>
    <hyperlink ref="E1526" r:id="rId981" xr:uid="{1EFDAA4F-9794-46F7-9A99-F173B5627E93}"/>
  </hyperlinks>
  <pageMargins left="0.7" right="0.7" top="0.75" bottom="0.75" header="0.511811023622047" footer="0.511811023622047"/>
  <pageSetup orientation="portrait" horizontalDpi="300" verticalDpi="300"/>
  <tableParts count="1">
    <tablePart r:id="rId98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abSelected="1" topLeftCell="A34"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Echo Chamber</t>
        </is>
      </c>
      <c r="B24" t="inlineStr">
        <is>
          <t xml:space="preserve">Rare</t>
        </is>
      </c>
      <c r="C24" t="inlineStr">
        <is>
          <t xml:space="preserve">Passive</t>
        </is>
      </c>
      <c r="D24" t="inlineStr">
        <is>
          <t xml:space="preserve">Whenever you use Loot, you also use a copy of the last 3 Loot you used after picking up Echo Chamber</t>
        </is>
      </c>
      <c r="E24" t="inlineStr">
        <is>
          <t xml:space="preserve">echo_loot 3</t>
        </is>
      </c>
      <c r="F24" t="inlineStr">
        <is>
          <t xml:space="preserve">The Binding of Isaac: Rebirth</t>
        </is>
      </c>
      <c r="I24" t="inlineStr">
        <is>
          <t xml:space="preserve">EchoChamber</t>
        </is>
      </c>
      <c r="J24" t="inlineStr">
        <is>
          <t xml:space="preserve">Loot</t>
        </is>
      </c>
    </row>
    <row r="25" spans="1:10">
      <c r="A25" t="inlineStr">
        <is>
          <t xml:space="preserve">Fanny Pack</t>
        </is>
      </c>
      <c r="B25" t="inlineStr">
        <is>
          <t xml:space="preserve">Uncommon</t>
        </is>
      </c>
      <c r="C25" t="inlineStr">
        <is>
          <t xml:space="preserve">Passive</t>
        </is>
      </c>
      <c r="D25" t="inlineStr">
        <is>
          <t xml:space="preserve">50% chance to spawn 1 random loot on the grid when losing health</t>
        </is>
      </c>
      <c r="E25" t="inlineStr">
        <is>
          <t xml:space="preserve">health_lost: 50% chance drop_loot 1</t>
        </is>
      </c>
      <c r="F25" t="inlineStr">
        <is>
          <t xml:space="preserve">The Binding of Isaac: Rebirth</t>
        </is>
      </c>
      <c r="G25" t="inlineStr">
        <is>
          <t xml:space="preserve">wearable, bag</t>
        </is>
      </c>
      <c r="I25" t="inlineStr">
        <is>
          <t xml:space="preserve">FannyPack</t>
        </is>
      </c>
      <c r="J25" t="inlineStr">
        <is>
          <t xml:space="preserve">Economy</t>
        </is>
      </c>
    </row>
    <row r="26" spans="1:10">
      <c r="A26" t="inlineStr">
        <is>
          <t xml:space="preserve">Fortune Necklace</t>
        </is>
      </c>
      <c r="B26" t="inlineStr">
        <is>
          <t xml:space="preserve">Common</t>
        </is>
      </c>
      <c r="C26" t="inlineStr">
        <is>
          <t xml:space="preserve">Triggered</t>
        </is>
      </c>
      <c r="D26" t="inlineStr">
        <is>
          <t xml:space="preserve">When selecting a game, Gain +1 Gold, but this is destroyed when taking damage</t>
        </is>
      </c>
      <c r="E26" t="inlineStr">
        <is>
          <t xml:space="preserve">game_selected: gain_gold 1; destroy_on_damage</t>
        </is>
      </c>
      <c r="F26" t="inlineStr">
        <is>
          <t xml:space="preserve">Mewgenics</t>
        </is>
      </c>
      <c r="G26" t="inlineStr">
        <is>
          <t xml:space="preserve">wearable, necklace</t>
        </is>
      </c>
      <c r="I26" t="inlineStr">
        <is>
          <t xml:space="preserve">FortuneNecklace</t>
        </is>
      </c>
      <c r="J26" t="inlineStr">
        <is>
          <t xml:space="preserve">Economy</t>
        </is>
      </c>
    </row>
    <row r="27" spans="1:10">
      <c r="A27" t="inlineStr">
        <is>
          <t xml:space="preserve">Gasoline</t>
        </is>
      </c>
      <c r="B27" t="inlineStr">
        <is>
          <t xml:space="preserve">Common</t>
        </is>
      </c>
      <c r="C27" t="inlineStr">
        <is>
          <t xml:space="preserve">Passive</t>
        </is>
      </c>
      <c r="D27" t="inlineStr">
        <is>
          <t xml:space="preserve">Whenever an Enemy is defeated, Add the Fire Tile Effect to the Tile it died on</t>
        </is>
      </c>
      <c r="E27" t="inlineStr">
        <is>
          <t xml:space="preserve">death_tile fire</t>
        </is>
      </c>
      <c r="F27" t="inlineStr">
        <is>
          <t xml:space="preserve">Risk of Rain 2</t>
        </is>
      </c>
      <c r="G27" t="inlineStr">
        <is>
          <t xml:space="preserve">fire</t>
        </is>
      </c>
      <c r="I27" t="inlineStr">
        <is>
          <t xml:space="preserve">Gasoline</t>
        </is>
      </c>
      <c r="J27" t="inlineStr">
        <is>
          <t xml:space="preserve">Grid</t>
        </is>
      </c>
    </row>
    <row r="28" spans="1:10">
      <c r="A28" t="inlineStr">
        <is>
          <t xml:space="preserve">Golden Idol</t>
        </is>
      </c>
      <c r="B28" t="inlineStr">
        <is>
          <t xml:space="preserve">Event</t>
        </is>
      </c>
      <c r="C28" t="inlineStr">
        <is>
          <t xml:space="preserve">Passive</t>
        </is>
      </c>
      <c r="D28" t="inlineStr">
        <is>
          <t xml:space="preserve">All enemies drop +1 Gold</t>
        </is>
      </c>
      <c r="E28" t="inlineStr">
        <is>
          <t xml:space="preserve">gold_per_enemy: 1</t>
        </is>
      </c>
      <c r="F28" t="inlineStr">
        <is>
          <t xml:space="preserve">Slay the Spire</t>
        </is>
      </c>
      <c r="G28" t="inlineStr">
        <is>
          <t xml:space="preserve">gold</t>
        </is>
      </c>
      <c r="I28" t="inlineStr">
        <is>
          <t xml:space="preserve">GoldenIdol</t>
        </is>
      </c>
      <c r="J28" t="inlineStr">
        <is>
          <t xml:space="preserve">Economy</t>
        </is>
      </c>
    </row>
    <row r="29" spans="1:10">
      <c r="A29" t="inlineStr">
        <is>
          <t xml:space="preserve">Hollow Heart</t>
        </is>
      </c>
      <c r="B29" t="inlineStr">
        <is>
          <t xml:space="preserve">Common</t>
        </is>
      </c>
      <c r="C29" t="inlineStr">
        <is>
          <t xml:space="preserve">Pickup</t>
        </is>
      </c>
      <c r="D29" t="inlineStr">
        <is>
          <t xml:space="preserve">Gain +4 Empty Max Health</t>
        </is>
      </c>
      <c r="E29" t="inlineStr">
        <is>
          <t xml:space="preserve">item_acquired: gain_empty_max_hp 4</t>
        </is>
      </c>
      <c r="F29" t="inlineStr">
        <is>
          <t xml:space="preserve">Vampire Survivors</t>
        </is>
      </c>
      <c r="G29" t="inlineStr">
        <is>
          <t xml:space="preserve">heart</t>
        </is>
      </c>
      <c r="I29" t="inlineStr">
        <is>
          <t xml:space="preserve">HollowHeart</t>
        </is>
      </c>
      <c r="J29" t="inlineStr">
        <is>
          <t xml:space="preserve">Health</t>
        </is>
      </c>
    </row>
    <row r="30" spans="1:10">
      <c r="A30" t="inlineStr">
        <is>
          <t xml:space="preserve">Hot Bombs</t>
        </is>
      </c>
      <c r="B30" t="inlineStr">
        <is>
          <t xml:space="preserve">Uncommon</t>
        </is>
      </c>
      <c r="C30" t="inlineStr">
        <is>
          <t xml:space="preserve">Passive</t>
        </is>
      </c>
      <c r="D30" t="inlineStr">
        <is>
          <t xml:space="preserve">Gain +1 Bomb and Bombs Apply the Fire Tile</t>
        </is>
      </c>
      <c r="E30" t="inlineStr">
        <is>
          <t xml:space="preserve">item_acquired: gain_stat bombs 1; bomb_tile fire</t>
        </is>
      </c>
      <c r="F30" t="inlineStr">
        <is>
          <t xml:space="preserve">The Binding of Isaac: Rebirth</t>
        </is>
      </c>
      <c r="G30" t="inlineStr">
        <is>
          <t xml:space="preserve">bomb, fire</t>
        </is>
      </c>
      <c r="I30" t="inlineStr">
        <is>
          <t xml:space="preserve">HotBombs</t>
        </is>
      </c>
      <c r="J30" t="inlineStr">
        <is>
          <t xml:space="preserve">Bomb, Grid</t>
        </is>
      </c>
    </row>
    <row r="31" spans="1:10">
      <c r="A31" t="inlineStr">
        <is>
          <t xml:space="preserve">Infusion</t>
        </is>
      </c>
      <c r="B31" t="inlineStr">
        <is>
          <t xml:space="preserve">Uncommon</t>
        </is>
      </c>
      <c r="C31" t="inlineStr">
        <is>
          <t xml:space="preserve">Triggered</t>
        </is>
      </c>
      <c r="D31" t="inlineStr">
        <is>
          <t xml:space="preserve">Every time you defeat an Enemy, Gain +1 Empty Max Health</t>
        </is>
      </c>
      <c r="E31" t="inlineStr">
        <is>
          <t xml:space="preserve">enemy_killed: gain_empty_max_hp 1</t>
        </is>
      </c>
      <c r="F31" t="inlineStr">
        <is>
          <t xml:space="preserve">Risk of Rain 2</t>
        </is>
      </c>
      <c r="G31" t="inlineStr">
        <is>
          <t xml:space="preserve">blood</t>
        </is>
      </c>
      <c r="I31" t="inlineStr">
        <is>
          <t xml:space="preserve">Infusion</t>
        </is>
      </c>
      <c r="J31" t="inlineStr">
        <is>
          <t xml:space="preserve">Health</t>
        </is>
      </c>
    </row>
    <row r="32" spans="1:10">
      <c r="A32" t="inlineStr">
        <is>
          <t xml:space="preserve">IV Bag</t>
        </is>
      </c>
      <c r="B32" t="inlineStr">
        <is>
          <t xml:space="preserve">Event</t>
        </is>
      </c>
      <c r="C32" t="inlineStr">
        <is>
          <t xml:space="preserve">Usable, 0</t>
        </is>
      </c>
      <c r="D32" t="inlineStr">
        <is>
          <t xml:space="preserve">Lose 1 Health and Gain +1 Gold</t>
        </is>
      </c>
      <c r="E32" t="inlineStr">
        <is>
          <t xml:space="preserve">item_used: lose_hp 1; gain_gold 1</t>
        </is>
      </c>
      <c r="F32" t="inlineStr">
        <is>
          <t xml:space="preserve">The Binding of Isaac</t>
        </is>
      </c>
      <c r="G32" t="inlineStr">
        <is>
          <t xml:space="preserve">blood</t>
        </is>
      </c>
      <c r="I32" t="inlineStr">
        <is>
          <t xml:space="preserve">IvBag</t>
        </is>
      </c>
      <c r="J32" t="inlineStr">
        <is>
          <t xml:space="preserve">Economy</t>
        </is>
      </c>
    </row>
    <row r="33" spans="1:10">
      <c r="A33" t="inlineStr">
        <is>
          <t xml:space="preserve">Landmines</t>
        </is>
      </c>
      <c r="B33" t="inlineStr">
        <is>
          <t xml:space="preserve">Uncommon</t>
        </is>
      </c>
      <c r="C33" t="inlineStr">
        <is>
          <t xml:space="preserve">Passive</t>
        </is>
      </c>
      <c r="D33" t="inlineStr">
        <is>
          <t xml:space="preserve">After Combat ends, Apply the Landmine Unit to a random empty Tile</t>
        </is>
      </c>
      <c r="E33" t="inlineStr">
        <is>
          <t xml:space="preserve">game_beaten: apply_unit landmine target=random_empty</t>
        </is>
      </c>
      <c r="F33" t="inlineStr">
        <is>
          <t xml:space="preserve">Brotato</t>
        </is>
      </c>
      <c r="G33" t="inlineStr">
        <is>
          <t xml:space="preserve">bomb</t>
        </is>
      </c>
      <c r="I33" t="inlineStr">
        <is>
          <t xml:space="preserve">Landmines</t>
        </is>
      </c>
      <c r="J33" t="inlineStr">
        <is>
          <t xml:space="preserve">Grid</t>
        </is>
      </c>
    </row>
    <row r="34" spans="1:10">
      <c r="A34" t="inlineStr">
        <is>
          <t xml:space="preserve">Latch Key</t>
        </is>
      </c>
      <c r="B34" t="inlineStr">
        <is>
          <t xml:space="preserve">Common</t>
        </is>
      </c>
      <c r="C34" t="inlineStr">
        <is>
          <t xml:space="preserve">Pickup, Passive</t>
        </is>
      </c>
      <c r="D34" t="inlineStr">
        <is>
          <t xml:space="preserve">Gain +1 Key, +1 Shield, and +1 Luck</t>
        </is>
      </c>
      <c r="E34" t="inlineStr">
        <is>
          <t xml:space="preserve">passive: +1 luck; item_acquired: gain_stat keys 1; gain_stat bonus_shields 1</t>
        </is>
      </c>
      <c r="F34" t="inlineStr">
        <is>
          <t xml:space="preserve">The Binding of Isaac: Rebirth</t>
        </is>
      </c>
      <c r="G34" t="inlineStr">
        <is>
          <t xml:space="preserve">key</t>
        </is>
      </c>
      <c r="I34" t="inlineStr">
        <is>
          <t xml:space="preserve">LatchKey</t>
        </is>
      </c>
      <c r="J34" t="inlineStr">
        <is>
          <t xml:space="preserve">Economy</t>
        </is>
      </c>
    </row>
    <row r="35" spans="1:10">
      <c r="A35" t="inlineStr">
        <is>
          <t xml:space="preserve">Link Cable</t>
        </is>
      </c>
      <c r="B35" t="inlineStr">
        <is>
          <t xml:space="preserve">Rare</t>
        </is>
      </c>
      <c r="C35" t="inlineStr">
        <is>
          <t xml:space="preserve">Passive</t>
        </is>
      </c>
      <c r="D35" t="inlineStr">
        <is>
          <t xml:space="preserve">All Loot count as adjacent to each other</t>
        </is>
      </c>
      <c r="E35" t="inlineStr">
        <is>
          <t xml:space="preserve">link_loot</t>
        </is>
      </c>
      <c r="F35" t="inlineStr">
        <is>
          <t xml:space="preserve">Batomon Showdown</t>
        </is>
      </c>
      <c r="G35" t="inlineStr">
        <is>
          <t xml:space="preserve">wire</t>
        </is>
      </c>
      <c r="I35" t="inlineStr">
        <is>
          <t xml:space="preserve">LinkCable</t>
        </is>
      </c>
      <c r="J35" t="inlineStr">
        <is>
          <t xml:space="preserve">Loot</t>
        </is>
      </c>
    </row>
    <row r="36" spans="1:10">
      <c r="A36" t="inlineStr">
        <is>
          <t xml:space="preserve">Lord's Parasol</t>
        </is>
      </c>
      <c r="B36" t="inlineStr">
        <is>
          <t xml:space="preserve">Boss</t>
        </is>
      </c>
      <c r="C36" t="inlineStr">
        <is>
          <t xml:space="preserve">Passive</t>
        </is>
      </c>
      <c r="D36" t="inlineStr">
        <is>
          <t xml:space="preserve">When encountering a shop, purchase everything in it</t>
        </is>
      </c>
      <c r="E36" t="inlineStr">
        <is>
          <t xml:space="preserve">shop_sweep</t>
        </is>
      </c>
      <c r="F36" t="inlineStr">
        <is>
          <t xml:space="preserve">Slay the Spire 2</t>
        </is>
      </c>
      <c r="G36" t="inlineStr">
        <is>
          <t xml:space="preserve">umbrella</t>
        </is>
      </c>
      <c r="I36" t="inlineStr">
        <is>
          <t xml:space="preserve">LordsParasol</t>
        </is>
      </c>
      <c r="J36" t="inlineStr">
        <is>
          <t xml:space="preserve">Special</t>
        </is>
      </c>
    </row>
    <row r="37" spans="1:10">
      <c r="A37" t="inlineStr">
        <is>
          <t xml:space="preserve">Lucky Foot</t>
        </is>
      </c>
      <c r="B37" t="inlineStr">
        <is>
          <t xml:space="preserve">Uncommon</t>
        </is>
      </c>
      <c r="C37" t="inlineStr">
        <is>
          <t xml:space="preserve">Passive, Pickup</t>
        </is>
      </c>
      <c r="D37" t="inlineStr">
        <is>
          <t xml:space="preserve">Gain +1 Luck, +1 Pill, and all negative pills become positive</t>
        </is>
      </c>
      <c r="E37" t="inlineStr">
        <is>
          <t xml:space="preserve">passive: +1 luck; item_acquired: gain_pill 1; pills_positive</t>
        </is>
      </c>
      <c r="F37" t="inlineStr">
        <is>
          <t xml:space="preserve">The Binding of Isaac</t>
        </is>
      </c>
      <c r="G37" t="inlineStr">
        <is>
          <t xml:space="preserve">foot</t>
        </is>
      </c>
      <c r="I37" t="inlineStr">
        <is>
          <t xml:space="preserve">LuckyFoot</t>
        </is>
      </c>
      <c r="J37" t="inlineStr">
        <is>
          <t xml:space="preserve">Loot, Stats</t>
        </is>
      </c>
    </row>
    <row r="38" spans="1:10">
      <c r="A38" t="inlineStr">
        <is>
          <t xml:space="preserve">Lucky Fysh</t>
        </is>
      </c>
      <c r="B38" t="inlineStr">
        <is>
          <t xml:space="preserve">Uncommon</t>
        </is>
      </c>
      <c r="C38" t="inlineStr">
        <is>
          <t xml:space="preserve">Triggered</t>
        </is>
      </c>
      <c r="D38" t="inlineStr">
        <is>
          <t xml:space="preserve">Whenever you obtain a Card, Gain +1 Gold</t>
        </is>
      </c>
      <c r="E38" t="inlineStr">
        <is>
          <t xml:space="preserve">card_obtained: gain_gold 1</t>
        </is>
      </c>
      <c r="F38" t="inlineStr">
        <is>
          <t xml:space="preserve">Slay the Spire 2</t>
        </is>
      </c>
      <c r="G38" t="inlineStr">
        <is>
          <t xml:space="preserve">fish</t>
        </is>
      </c>
      <c r="I38" t="inlineStr">
        <is>
          <t xml:space="preserve">LuckyFysh</t>
        </is>
      </c>
      <c r="J38" t="inlineStr">
        <is>
          <t xml:space="preserve">Economy</t>
        </is>
      </c>
    </row>
    <row r="39" spans="1:10">
      <c r="A39" t="inlineStr">
        <is>
          <t xml:space="preserve">Lucky Hat</t>
        </is>
      </c>
      <c r="B39" t="inlineStr">
        <is>
          <t xml:space="preserve">Common</t>
        </is>
      </c>
      <c r="C39" t="inlineStr">
        <is>
          <t xml:space="preserve">Passive</t>
        </is>
      </c>
      <c r="D39" t="inlineStr">
        <is>
          <t xml:space="preserve">Gain +1 Luck, but this is destroyed when taking damage</t>
        </is>
      </c>
      <c r="E39" t="inlineStr">
        <is>
          <t xml:space="preserve">passive: +1 luck; destroy_on_damage</t>
        </is>
      </c>
      <c r="F39" t="inlineStr">
        <is>
          <t xml:space="preserve">Mewgenics</t>
        </is>
      </c>
      <c r="G39" t="inlineStr">
        <is>
          <t xml:space="preserve">wearable, hat</t>
        </is>
      </c>
      <c r="I39" t="inlineStr">
        <is>
          <t xml:space="preserve">LuckyHat</t>
        </is>
      </c>
      <c r="J39" t="inlineStr">
        <is>
          <t xml:space="preserve">Stats</t>
        </is>
      </c>
    </row>
    <row r="40" spans="1:10">
      <c r="A40" t="inlineStr">
        <is>
          <t xml:space="preserve">Lunch</t>
        </is>
      </c>
      <c r="B40" t="inlineStr">
        <is>
          <t xml:space="preserve">Common</t>
        </is>
      </c>
      <c r="C40" t="inlineStr">
        <is>
          <t xml:space="preserve">Pickup</t>
        </is>
      </c>
      <c r="D40" t="inlineStr">
        <is>
          <t xml:space="preserve">Gain +2 Max Health</t>
        </is>
      </c>
      <c r="E40" t="inlineStr">
        <is>
          <t xml:space="preserve">item_acquired: gain_max_hp 2</t>
        </is>
      </c>
      <c r="F40" t="inlineStr">
        <is>
          <t xml:space="preserve">The Binding of Isaac</t>
        </is>
      </c>
      <c r="G40" t="inlineStr">
        <is>
          <t xml:space="preserve">food</t>
        </is>
      </c>
      <c r="I40" t="inlineStr">
        <is>
          <t xml:space="preserve">Lunch</t>
        </is>
      </c>
      <c r="J40" t="inlineStr">
        <is>
          <t xml:space="preserve">Health</t>
        </is>
      </c>
    </row>
    <row r="41" spans="1:10">
      <c r="A41" t="inlineStr">
        <is>
          <t xml:space="preserve">Mango</t>
        </is>
      </c>
      <c r="B41" t="inlineStr">
        <is>
          <t xml:space="preserve">Rare</t>
        </is>
      </c>
      <c r="C41" t="inlineStr">
        <is>
          <t xml:space="preserve">Pickup</t>
        </is>
      </c>
      <c r="D41" t="inlineStr">
        <is>
          <t xml:space="preserve">Gain +4 Max Health</t>
        </is>
      </c>
      <c r="E41" t="inlineStr">
        <is>
          <t xml:space="preserve">item_acquired: gain_max_hp 4</t>
        </is>
      </c>
      <c r="F41" t="inlineStr">
        <is>
          <t xml:space="preserve">Slay the Spire</t>
        </is>
      </c>
      <c r="G41" t="inlineStr">
        <is>
          <t xml:space="preserve">food, fruit</t>
        </is>
      </c>
      <c r="I41" t="inlineStr">
        <is>
          <t xml:space="preserve">Mango</t>
        </is>
      </c>
      <c r="J41" t="inlineStr">
        <is>
          <t xml:space="preserve">Health</t>
        </is>
      </c>
    </row>
    <row r="42" spans="1:10">
      <c r="A42" t="inlineStr">
        <is>
          <t xml:space="preserve">Meat on the Bone</t>
        </is>
      </c>
      <c r="B42" t="inlineStr">
        <is>
          <t xml:space="preserve">Uncommon</t>
        </is>
      </c>
      <c r="C42" t="inlineStr">
        <is>
          <t xml:space="preserve">Triggered</t>
        </is>
      </c>
      <c r="D42" t="inlineStr">
        <is>
          <t xml:space="preserve">When your Health is at 50% or below Max Health after beating a game, gain +2 Health</t>
        </is>
      </c>
      <c r="E42" t="inlineStr">
        <is>
          <t xml:space="preserve">game_beaten: if_hp below 0.5 -&gt; gain_hp 2</t>
        </is>
      </c>
      <c r="F42" t="inlineStr">
        <is>
          <t xml:space="preserve">Slay the Spire</t>
        </is>
      </c>
      <c r="G42" t="inlineStr">
        <is>
          <t xml:space="preserve">food, meat</t>
        </is>
      </c>
      <c r="I42" t="inlineStr">
        <is>
          <t xml:space="preserve">MeatOnTheBone</t>
        </is>
      </c>
      <c r="J42" t="inlineStr">
        <is>
          <t xml:space="preserve">Health</t>
        </is>
      </c>
    </row>
    <row r="43" spans="1:10">
      <c r="A43" t="inlineStr">
        <is>
          <t xml:space="preserve">Mine-r Construction</t>
        </is>
      </c>
      <c r="B43" t="inlineStr">
        <is>
          <t xml:space="preserve">Uncommon</t>
        </is>
      </c>
      <c r="C43" t="inlineStr">
        <is>
          <t xml:space="preserve">Passive</t>
        </is>
      </c>
      <c r="D43" t="inlineStr">
        <is>
          <t xml:space="preserve">Increase the Grid length and width by 1 </t>
        </is>
      </c>
      <c r="E43" t="inlineStr">
        <is>
          <t xml:space="preserve">grid_grow</t>
        </is>
      </c>
      <c r="F43" t="inlineStr">
        <is>
          <t xml:space="preserve">BroomSweeper</t>
        </is>
      </c>
      <c r="G43" t="inlineStr">
        <is>
          <t xml:space="preserve">tool</t>
        </is>
      </c>
      <c r="I43" t="inlineStr">
        <is>
          <t xml:space="preserve">MinerConstruction</t>
        </is>
      </c>
      <c r="J43" t="inlineStr">
        <is>
          <t xml:space="preserve">Grid</t>
        </is>
      </c>
    </row>
    <row r="44" spans="1:10">
      <c r="A44" t="inlineStr">
        <is>
          <t xml:space="preserve">Mom's Bottle of Pills</t>
        </is>
      </c>
      <c r="B44" t="inlineStr">
        <is>
          <t xml:space="preserve">Common</t>
        </is>
      </c>
      <c r="C44" t="inlineStr">
        <is>
          <t xml:space="preserve">Charged, 2</t>
        </is>
      </c>
      <c r="D44" t="inlineStr">
        <is>
          <t xml:space="preserve">Gain +1 Pill</t>
        </is>
      </c>
      <c r="E44" t="inlineStr">
        <is>
          <t xml:space="preserve">item_used: gain_pill 1</t>
        </is>
      </c>
      <c r="F44" t="inlineStr">
        <is>
          <t xml:space="preserve">The Binding of Isaac</t>
        </is>
      </c>
      <c r="G44" t="inlineStr">
        <is>
          <t xml:space="preserve">mom, drugs, pills</t>
        </is>
      </c>
      <c r="I44" t="inlineStr">
        <is>
          <t xml:space="preserve">MomsBottleOfPills</t>
        </is>
      </c>
      <c r="J44" t="inlineStr">
        <is>
          <t xml:space="preserve">Loot</t>
        </is>
      </c>
    </row>
    <row r="45" spans="1:10">
      <c r="A45" t="inlineStr">
        <is>
          <t xml:space="preserve">Mom's Coin Purse</t>
        </is>
      </c>
      <c r="B45" t="inlineStr">
        <is>
          <t xml:space="preserve">Common</t>
        </is>
      </c>
      <c r="C45" t="inlineStr">
        <is>
          <t xml:space="preserve">Pickup</t>
        </is>
      </c>
      <c r="D45" t="inlineStr">
        <is>
          <t xml:space="preserve">Gain +4 Pills</t>
        </is>
      </c>
      <c r="E45" t="inlineStr">
        <is>
          <t xml:space="preserve">item_acquired: gain_pill 4</t>
        </is>
      </c>
      <c r="F45" t="inlineStr">
        <is>
          <t xml:space="preserve">The Binding of Isaac</t>
        </is>
      </c>
      <c r="G45" t="inlineStr">
        <is>
          <t xml:space="preserve">mom, bag, drugs, pills</t>
        </is>
      </c>
      <c r="I45" t="inlineStr">
        <is>
          <t xml:space="preserve">MomsCoinPurse</t>
        </is>
      </c>
      <c r="J45" t="inlineStr">
        <is>
          <t xml:space="preserve">Loot</t>
        </is>
      </c>
    </row>
    <row r="46" spans="1:10">
      <c r="A46" t="inlineStr">
        <is>
          <t xml:space="preserve">Mom's Key</t>
        </is>
      </c>
      <c r="B46" t="inlineStr">
        <is>
          <t xml:space="preserve">Uncommon</t>
        </is>
      </c>
      <c r="C46" t="inlineStr">
        <is>
          <t xml:space="preserve">Pickup, Passive</t>
        </is>
      </c>
      <c r="D46" t="inlineStr">
        <is>
          <t xml:space="preserve">Gain +1 Key, and +1 Base Chest Value</t>
        </is>
      </c>
      <c r="E46" t="inlineStr">
        <is>
          <t xml:space="preserve">item_acquired: gain_stat keys 1; base_chest_bonus: 1</t>
        </is>
      </c>
      <c r="F46" t="inlineStr">
        <is>
          <t xml:space="preserve">The Binding of Isaac: Rebirth</t>
        </is>
      </c>
      <c r="G46" t="inlineStr">
        <is>
          <t xml:space="preserve">mom, key</t>
        </is>
      </c>
      <c r="H46" t="inlineStr">
        <is>
          <t xml:space="preserve">shop</t>
        </is>
      </c>
      <c r="I46" t="inlineStr">
        <is>
          <t xml:space="preserve">MomsKey</t>
        </is>
      </c>
      <c r="J46" t="inlineStr">
        <is>
          <t xml:space="preserve">Economy</t>
        </is>
      </c>
    </row>
    <row r="47" spans="1:10">
      <c r="A47" t="inlineStr">
        <is>
          <t xml:space="preserve">Mysterious Mask</t>
        </is>
      </c>
      <c r="B47" t="inlineStr">
        <is>
          <t xml:space="preserve">Rare</t>
        </is>
      </c>
      <c r="C47" t="inlineStr">
        <is>
          <t xml:space="preserve">Pickup</t>
        </is>
      </c>
      <c r="D47" t="inlineStr">
        <is>
          <t xml:space="preserve">Choose one of 3 Starting Characters and gain their Level Up Condition</t>
        </is>
      </c>
      <c r="E47" t="inlineStr">
        <is>
          <t xml:space="preserve">item_acquired: mask_choice</t>
        </is>
      </c>
      <c r="F47" t="inlineStr">
        <is>
          <t xml:space="preserve">Batomon Showdown</t>
        </is>
      </c>
      <c r="G47" t="inlineStr">
        <is>
          <t xml:space="preserve">wearable, mask</t>
        </is>
      </c>
      <c r="I47" t="inlineStr">
        <is>
          <t xml:space="preserve">MysteriousMask</t>
        </is>
      </c>
      <c r="J47" t="inlineStr">
        <is>
          <t xml:space="preserve">Goals</t>
        </is>
      </c>
    </row>
    <row r="48" spans="1:10">
      <c r="A48" t="inlineStr">
        <is>
          <t xml:space="preserve">Oddly Smooth Stone</t>
        </is>
      </c>
      <c r="B48" t="inlineStr">
        <is>
          <t xml:space="preserve">Common</t>
        </is>
      </c>
      <c r="C48" t="inlineStr">
        <is>
          <t xml:space="preserve">Status</t>
        </is>
      </c>
      <c r="D48" t="inlineStr">
        <is>
          <t xml:space="preserve">Gain +1 Dexterity</t>
        </is>
      </c>
      <c r="E48" t="inlineStr">
        <is>
          <t xml:space="preserve">item_acquired: apply_status dexterity 1</t>
        </is>
      </c>
      <c r="F48" t="inlineStr">
        <is>
          <t xml:space="preserve">Slay the Spire</t>
        </is>
      </c>
      <c r="G48" t="inlineStr">
        <is>
          <t xml:space="preserve">stone</t>
        </is>
      </c>
      <c r="I48" t="inlineStr">
        <is>
          <t xml:space="preserve">OddlySmoothStone</t>
        </is>
      </c>
      <c r="J48" t="inlineStr">
        <is>
          <t xml:space="preserve">Stats</t>
        </is>
      </c>
    </row>
    <row r="49" spans="1:10">
      <c r="A49" t="inlineStr">
        <is>
          <t xml:space="preserve">Old Coin</t>
        </is>
      </c>
      <c r="B49" t="inlineStr">
        <is>
          <t xml:space="preserve">Rare</t>
        </is>
      </c>
      <c r="C49" t="inlineStr">
        <is>
          <t xml:space="preserve">Pickup</t>
        </is>
      </c>
      <c r="D49" t="inlineStr">
        <is>
          <t xml:space="preserve">Gain +6 Gold</t>
        </is>
      </c>
      <c r="E49" t="inlineStr">
        <is>
          <t xml:space="preserve">item_acquired: gain_gold 6</t>
        </is>
      </c>
      <c r="F49" t="inlineStr">
        <is>
          <t xml:space="preserve">Slay the Spire</t>
        </is>
      </c>
      <c r="G49" t="inlineStr">
        <is>
          <t xml:space="preserve">coin</t>
        </is>
      </c>
      <c r="I49" t="inlineStr">
        <is>
          <t xml:space="preserve">OldCoin</t>
        </is>
      </c>
      <c r="J49" t="inlineStr">
        <is>
          <t xml:space="preserve">Economy</t>
        </is>
      </c>
    </row>
    <row r="50" spans="1:10">
      <c r="A50" t="inlineStr">
        <is>
          <t xml:space="preserve">Philosophers Stone</t>
        </is>
      </c>
      <c r="B50" t="inlineStr">
        <is>
          <t xml:space="preserve">Boss</t>
        </is>
      </c>
      <c r="C50" t="inlineStr">
        <is>
          <t xml:space="preserve">Passive</t>
        </is>
      </c>
      <c r="D50" t="inlineStr">
        <is>
          <t xml:space="preserve">Increase the Grid length by 1, but give all spawned enemies +1 Strength</t>
        </is>
      </c>
      <c r="E50" t="inlineStr">
        <is>
          <t xml:space="preserve">grid_length; spawn_status strength 1</t>
        </is>
      </c>
      <c r="F50" t="inlineStr">
        <is>
          <t xml:space="preserve">Slay the Spire</t>
        </is>
      </c>
      <c r="G50" t="inlineStr">
        <is>
          <t xml:space="preserve">stone</t>
        </is>
      </c>
      <c r="I50" t="inlineStr">
        <is>
          <t xml:space="preserve">PhilosophersStone</t>
        </is>
      </c>
      <c r="J50" t="inlineStr">
        <is>
          <t xml:space="preserve">Grid</t>
        </is>
      </c>
    </row>
    <row r="51" spans="1:10">
      <c r="A51" t="inlineStr">
        <is>
          <t xml:space="preserve">Piggy Bank</t>
        </is>
      </c>
      <c r="B51" t="inlineStr">
        <is>
          <t xml:space="preserve">Uncommon</t>
        </is>
      </c>
      <c r="C51" t="inlineStr">
        <is>
          <t xml:space="preserve">Passive</t>
        </is>
      </c>
      <c r="D51" t="inlineStr">
        <is>
          <t xml:space="preserve">Whenever you lose Health, Gain +1 Gold</t>
        </is>
      </c>
      <c r="E51" t="inlineStr">
        <is>
          <t xml:space="preserve">health_lost: gain_gold 1</t>
        </is>
      </c>
      <c r="F51" t="inlineStr">
        <is>
          <t xml:space="preserve">The Binding of Isaac: Rebirth</t>
        </is>
      </c>
      <c r="G51" t="inlineStr">
        <is>
          <t xml:space="preserve">pig, bank</t>
        </is>
      </c>
      <c r="H51" t="inlineStr">
        <is>
          <t xml:space="preserve">shop</t>
        </is>
      </c>
      <c r="I51" t="inlineStr">
        <is>
          <t xml:space="preserve">PiggyBank</t>
        </is>
      </c>
      <c r="J51" t="inlineStr">
        <is>
          <t xml:space="preserve">Economy</t>
        </is>
      </c>
    </row>
    <row r="52" spans="1:10">
      <c r="A52" t="inlineStr">
        <is>
          <t xml:space="preserve">Pummarola</t>
        </is>
      </c>
      <c r="B52" t="inlineStr">
        <is>
          <t xml:space="preserve">Uncommon</t>
        </is>
      </c>
      <c r="C52" t="inlineStr">
        <is>
          <t xml:space="preserve">Triggered</t>
        </is>
      </c>
      <c r="D52" t="inlineStr">
        <is>
          <t xml:space="preserve">After beating a game, Gain +1 Health</t>
        </is>
      </c>
      <c r="E52" t="inlineStr">
        <is>
          <t xml:space="preserve">game_beaten: gain_hp 1</t>
        </is>
      </c>
      <c r="F52" t="inlineStr">
        <is>
          <t xml:space="preserve">Vampire Survivors</t>
        </is>
      </c>
      <c r="G52" t="inlineStr">
        <is>
          <t xml:space="preserve">heart</t>
        </is>
      </c>
      <c r="I52" t="inlineStr">
        <is>
          <t xml:space="preserve">Pummarola</t>
        </is>
      </c>
      <c r="J52" t="inlineStr">
        <is>
          <t xml:space="preserve">Health</t>
        </is>
      </c>
    </row>
    <row r="53" spans="1:10">
      <c r="A53" t="inlineStr">
        <is>
          <t xml:space="preserve">Red Candle</t>
        </is>
      </c>
      <c r="B53" t="inlineStr">
        <is>
          <t xml:space="preserve">Common</t>
        </is>
      </c>
      <c r="C53" t="inlineStr">
        <is>
          <t xml:space="preserve">Charged, 1</t>
        </is>
      </c>
      <c r="D53" t="inlineStr">
        <is>
          <t xml:space="preserve">Apply the Fire Tile to any tile within the columns 2 and 3</t>
        </is>
      </c>
      <c r="E53" t="inlineStr">
        <is>
          <t xml:space="preserve">item_used: apply_tile fire target=tile cols=2-3</t>
        </is>
      </c>
      <c r="F53" t="inlineStr">
        <is>
          <t xml:space="preserve">The Binding of Isaac: Rebirth</t>
        </is>
      </c>
      <c r="G53" t="inlineStr">
        <is>
          <t xml:space="preserve">fire</t>
        </is>
      </c>
      <c r="H53" t="inlineStr">
        <is>
          <t xml:space="preserve">shop</t>
        </is>
      </c>
      <c r="I53" t="inlineStr">
        <is>
          <t xml:space="preserve">RedCandle</t>
        </is>
      </c>
      <c r="J53" t="inlineStr">
        <is>
          <t xml:space="preserve">Grid</t>
        </is>
      </c>
    </row>
    <row r="54" spans="1:10">
      <c r="A54" t="inlineStr">
        <is>
          <t xml:space="preserve">Rejuvenation Rack</t>
        </is>
      </c>
      <c r="B54" t="inlineStr">
        <is>
          <t xml:space="preserve">Rare</t>
        </is>
      </c>
      <c r="C54" t="inlineStr">
        <is>
          <t xml:space="preserve">Passive</t>
        </is>
      </c>
      <c r="D54" t="inlineStr">
        <is>
          <t xml:space="preserve">Double the effect of all Healing</t>
        </is>
      </c>
      <c r="E54" t="inlineStr">
        <is>
          <t xml:space="preserve">heal_multiplier: 2</t>
        </is>
      </c>
      <c r="F54" t="inlineStr">
        <is>
          <t xml:space="preserve">Risk of Rain 2</t>
        </is>
      </c>
      <c r="I54" t="inlineStr">
        <is>
          <t xml:space="preserve">RejuvenationRack</t>
        </is>
      </c>
      <c r="J54" t="inlineStr">
        <is>
          <t xml:space="preserve">Health</t>
        </is>
      </c>
    </row>
    <row r="55" spans="1:10">
      <c r="A55" t="inlineStr">
        <is>
          <t xml:space="preserve">Reptile Trinket</t>
        </is>
      </c>
      <c r="B55" t="inlineStr">
        <is>
          <t xml:space="preserve">Uncommon</t>
        </is>
      </c>
      <c r="C55" t="inlineStr">
        <is>
          <t xml:space="preserve">Triggered</t>
        </is>
      </c>
      <c r="D55" t="inlineStr">
        <is>
          <t xml:space="preserve">Whenever you drink or throw a potion, Gain +3 Strength until the end of the next combat</t>
        </is>
      </c>
      <c r="E55" t="inlineStr">
        <is>
          <t xml:space="preserve">potion_used: apply_status strength 3 games=1</t>
        </is>
      </c>
      <c r="F55" t="inlineStr">
        <is>
          <t xml:space="preserve">Slay the Spire 2</t>
        </is>
      </c>
      <c r="I55" t="inlineStr">
        <is>
          <t xml:space="preserve">ReptileTrinket</t>
        </is>
      </c>
      <c r="J55" t="inlineStr">
        <is>
          <t xml:space="preserve">Loot, Stats</t>
        </is>
      </c>
    </row>
    <row r="56" spans="1:10">
      <c r="A56" t="inlineStr">
        <is>
          <t xml:space="preserve">Ripple Basin</t>
        </is>
      </c>
      <c r="B56" t="inlineStr">
        <is>
          <t xml:space="preserve">Uncommon</t>
        </is>
      </c>
      <c r="C56" t="inlineStr">
        <is>
          <t xml:space="preserve">Triggered</t>
        </is>
      </c>
      <c r="D56" t="inlineStr">
        <is>
          <t xml:space="preserve">If you lose a run before completing any goals, Gain +1 Temporary Shield</t>
        </is>
      </c>
      <c r="E56" t="inlineStr">
        <is>
          <t xml:space="preserve">run_lost if_goals=0: gain_stat shields 1</t>
        </is>
      </c>
      <c r="F56" t="inlineStr">
        <is>
          <t xml:space="preserve">Slay the Spire 2</t>
        </is>
      </c>
      <c r="I56" t="inlineStr">
        <is>
          <t xml:space="preserve">RippleBasin</t>
        </is>
      </c>
      <c r="J56" t="inlineStr">
        <is>
          <t xml:space="preserve">Combat</t>
        </is>
      </c>
    </row>
    <row r="57" spans="1:10">
      <c r="A57" t="inlineStr">
        <is>
          <t xml:space="preserve">Runic Dome</t>
        </is>
      </c>
      <c r="B57" t="inlineStr">
        <is>
          <t xml:space="preserve">Boss</t>
        </is>
      </c>
      <c r="C57" t="inlineStr">
        <is>
          <t xml:space="preserve">Passive</t>
        </is>
      </c>
      <c r="D57" t="inlineStr">
        <is>
          <t xml:space="preserve">Increase the Grid length by 1, but you can no longer see enemies that will spawn</t>
        </is>
      </c>
      <c r="E57" t="inlineStr">
        <is>
          <t xml:space="preserve">grid_length; hide_spawns</t>
        </is>
      </c>
      <c r="F57" t="inlineStr">
        <is>
          <t xml:space="preserve">Slay the Spire</t>
        </is>
      </c>
      <c r="I57" t="inlineStr">
        <is>
          <t xml:space="preserve">RunicDome</t>
        </is>
      </c>
      <c r="J57" t="inlineStr">
        <is>
          <t xml:space="preserve">Grid</t>
        </is>
      </c>
    </row>
    <row r="58" spans="1:10">
      <c r="A58" t="inlineStr">
        <is>
          <t xml:space="preserve">Sacred Bark</t>
        </is>
      </c>
      <c r="B58" t="inlineStr">
        <is>
          <t xml:space="preserve">Boss</t>
        </is>
      </c>
      <c r="C58" t="inlineStr">
        <is>
          <t xml:space="preserve">Passive</t>
        </is>
      </c>
      <c r="D58" t="inlineStr">
        <is>
          <t xml:space="preserve">Double the effect of all Loot consumables (Scrolls, Potions, etc)</t>
        </is>
      </c>
      <c r="E58" t="inlineStr">
        <is>
          <t xml:space="preserve">loot_multiplier: 2</t>
        </is>
      </c>
      <c r="F58" t="inlineStr">
        <is>
          <t xml:space="preserve">Slay the Spire</t>
        </is>
      </c>
      <c r="G58" t="inlineStr">
        <is>
          <t xml:space="preserve">wood</t>
        </is>
      </c>
      <c r="I58" t="inlineStr">
        <is>
          <t xml:space="preserve">SacredBark</t>
        </is>
      </c>
      <c r="J58" t="inlineStr">
        <is>
          <t xml:space="preserve">Special</t>
        </is>
      </c>
    </row>
    <row r="59" spans="1:10">
      <c r="A59" t="inlineStr">
        <is>
          <t xml:space="preserve">Snowball</t>
        </is>
      </c>
      <c r="B59" t="inlineStr">
        <is>
          <t xml:space="preserve">Uncommon</t>
        </is>
      </c>
      <c r="C59" t="inlineStr">
        <is>
          <t xml:space="preserve">Triggered</t>
        </is>
      </c>
      <c r="D59" t="inlineStr">
        <is>
          <t xml:space="preserve">When you would Gain +1 Transmute, Gain +1 Transmute</t>
        </is>
      </c>
      <c r="E59" t="inlineStr">
        <is>
          <t xml:space="preserve">stat_gain_bonus: {transmute: 1}</t>
        </is>
      </c>
      <c r="F59" t="inlineStr">
        <is>
          <t xml:space="preserve">Brotato</t>
        </is>
      </c>
      <c r="G59" t="inlineStr">
        <is>
          <t xml:space="preserve">snow</t>
        </is>
      </c>
      <c r="I59" t="inlineStr">
        <is>
          <t xml:space="preserve">Snowball</t>
        </is>
      </c>
      <c r="J59" t="inlineStr">
        <is>
          <t xml:space="preserve">Stats</t>
        </is>
      </c>
    </row>
    <row r="60" spans="1:10">
      <c r="A60" t="inlineStr">
        <is>
          <t xml:space="preserve">Staff of Flame</t>
        </is>
      </c>
      <c r="B60" t="inlineStr">
        <is>
          <t xml:space="preserve">Rare</t>
        </is>
      </c>
      <c r="C60" t="inlineStr">
        <is>
          <t xml:space="preserve">Charged, 2</t>
        </is>
      </c>
      <c r="D60" t="inlineStr">
        <is>
          <t xml:space="preserve">Apply +3 Burn to a target enemy</t>
        </is>
      </c>
      <c r="E60" t="inlineStr">
        <is>
          <t xml:space="preserve">item_used: apply_status burn 3 target=enemy</t>
        </is>
      </c>
      <c r="F60" t="inlineStr">
        <is>
          <t xml:space="preserve">Mewgenics</t>
        </is>
      </c>
      <c r="G60" t="inlineStr">
        <is>
          <t xml:space="preserve">magic, fire</t>
        </is>
      </c>
      <c r="I60" t="inlineStr">
        <is>
          <t xml:space="preserve">StaffOfFlame</t>
        </is>
      </c>
      <c r="J60" t="inlineStr">
        <is>
          <t xml:space="preserve">Grid</t>
        </is>
      </c>
    </row>
    <row r="61" spans="1:10">
      <c r="A61" t="inlineStr">
        <is>
          <t xml:space="preserve">Sticky Bombs</t>
        </is>
      </c>
      <c r="B61" t="inlineStr">
        <is>
          <t xml:space="preserve">Uncommon</t>
        </is>
      </c>
      <c r="C61" t="inlineStr">
        <is>
          <t xml:space="preserve">Pickup, Triggered</t>
        </is>
      </c>
      <c r="D61" t="inlineStr">
        <is>
          <t xml:space="preserve">Gain +1 Bomb and Bombs Apply the Web Tile</t>
        </is>
      </c>
      <c r="E61" t="inlineStr">
        <is>
          <t xml:space="preserve">item_acquired: gain_stat bombs 1; bomb_tile web</t>
        </is>
      </c>
      <c r="F61" t="inlineStr">
        <is>
          <t xml:space="preserve">The Binding of Isaac: Rebirth</t>
        </is>
      </c>
      <c r="G61" t="inlineStr">
        <is>
          <t xml:space="preserve">bomb, spider</t>
        </is>
      </c>
      <c r="I61" t="inlineStr">
        <is>
          <t xml:space="preserve">StickyBombs</t>
        </is>
      </c>
      <c r="J61" t="inlineStr">
        <is>
          <t xml:space="preserve">Bomb</t>
        </is>
      </c>
    </row>
    <row r="62" spans="1:10">
      <c r="A62" t="inlineStr">
        <is>
          <t xml:space="preserve">Stigmata</t>
        </is>
      </c>
      <c r="B62" t="inlineStr">
        <is>
          <t xml:space="preserve">Uncommon</t>
        </is>
      </c>
      <c r="C62" t="inlineStr">
        <is>
          <t xml:space="preserve">Pickup</t>
        </is>
      </c>
      <c r="D62" t="inlineStr">
        <is>
          <t xml:space="preserve">Gain +2 Max Health, Gain +2 Health, and +1 Bash</t>
        </is>
      </c>
      <c r="E62" t="inlineStr">
        <is>
          <t xml:space="preserve">item_acquired: gain_max_hp 2; gain_hp 2; gain_stat bash 1</t>
        </is>
      </c>
      <c r="F62" t="inlineStr">
        <is>
          <t xml:space="preserve">The Binding of Isaac</t>
        </is>
      </c>
      <c r="G62" t="inlineStr">
        <is>
          <t xml:space="preserve">wood</t>
        </is>
      </c>
      <c r="H62" t="inlineStr">
        <is>
          <t xml:space="preserve">angel_room</t>
        </is>
      </c>
      <c r="I62" t="inlineStr">
        <is>
          <t xml:space="preserve">Stigmata</t>
        </is>
      </c>
      <c r="J62" t="inlineStr">
        <is>
          <t xml:space="preserve">Health, Stats</t>
        </is>
      </c>
    </row>
    <row r="63" spans="1:10">
      <c r="A63" t="inlineStr">
        <is>
          <t xml:space="preserve">The Book of Sin</t>
        </is>
      </c>
      <c r="B63" t="inlineStr">
        <is>
          <t xml:space="preserve">Uncommon</t>
        </is>
      </c>
      <c r="C63" t="inlineStr">
        <is>
          <t xml:space="preserve">Charged, 2</t>
        </is>
      </c>
      <c r="D63" t="inlineStr">
        <is>
          <t xml:space="preserve">Gain +1 Gold, +1 Health, +1 Bomb, +1 Key, or 1 random Loot</t>
        </is>
      </c>
      <c r="E63" t="inlineStr">
        <is>
          <t xml:space="preserve">item_used: one_of gain_gold 1 | gain_hp 1 | gain_stat bombs 1 | gain_stat keys 1 | gain_loot 1</t>
        </is>
      </c>
      <c r="F63" t="inlineStr">
        <is>
          <t xml:space="preserve">The Binding of Isaac</t>
        </is>
      </c>
      <c r="G63" t="inlineStr">
        <is>
          <t xml:space="preserve">book</t>
        </is>
      </c>
      <c r="I63" t="inlineStr">
        <is>
          <t xml:space="preserve">TheBookOfSin</t>
        </is>
      </c>
      <c r="J63" t="inlineStr">
        <is>
          <t xml:space="preserve">Economy</t>
        </is>
      </c>
    </row>
    <row r="64" spans="1:10">
      <c r="A64" t="inlineStr">
        <is>
          <t xml:space="preserve">The Mark</t>
        </is>
      </c>
      <c r="B64" t="inlineStr">
        <is>
          <t xml:space="preserve">Uncommon</t>
        </is>
      </c>
      <c r="C64" t="inlineStr">
        <is>
          <t xml:space="preserve">Pickup, Passive</t>
        </is>
      </c>
      <c r="D64" t="inlineStr">
        <is>
          <t xml:space="preserve">Gain +1 Bash and +1 Speed</t>
        </is>
      </c>
      <c r="E64" t="inlineStr">
        <is>
          <t xml:space="preserve">item_acquired: gain_stat bash 1; apply_status speed 1</t>
        </is>
      </c>
      <c r="F64" t="inlineStr">
        <is>
          <t xml:space="preserve">The Binding of Isaac</t>
        </is>
      </c>
      <c r="G64" t="inlineStr">
        <is>
          <t xml:space="preserve">devilish</t>
        </is>
      </c>
      <c r="H64" t="inlineStr">
        <is>
          <t xml:space="preserve">devil_room</t>
        </is>
      </c>
      <c r="I64" t="inlineStr">
        <is>
          <t xml:space="preserve">TheMark</t>
        </is>
      </c>
      <c r="J64" t="inlineStr">
        <is>
          <t xml:space="preserve">Stats</t>
        </is>
      </c>
    </row>
    <row r="65" spans="1:10">
      <c r="A65" t="inlineStr">
        <is>
          <t xml:space="preserve">There's Options</t>
        </is>
      </c>
      <c r="B65" t="inlineStr">
        <is>
          <t xml:space="preserve">Uncommon</t>
        </is>
      </c>
      <c r="C65" t="inlineStr">
        <is>
          <t xml:space="preserve">Passive</t>
        </is>
      </c>
      <c r="D65" t="inlineStr">
        <is>
          <t xml:space="preserve">Increase the chest size dropped from bosses by 1</t>
        </is>
      </c>
      <c r="E65" t="inlineStr">
        <is>
          <t xml:space="preserve">boss_chest_bonus: 1</t>
        </is>
      </c>
      <c r="F65" t="inlineStr">
        <is>
          <t xml:space="preserve">The Binding of Isaac: Rebirth</t>
        </is>
      </c>
      <c r="H65" t="inlineStr">
        <is>
          <t xml:space="preserve">shop</t>
        </is>
      </c>
      <c r="I65" t="inlineStr">
        <is>
          <t xml:space="preserve">TheresOptions</t>
        </is>
      </c>
      <c r="J65" t="inlineStr">
        <is>
          <t xml:space="preserve">Stats</t>
        </is>
      </c>
    </row>
    <row r="66" spans="1:10">
      <c r="A66" t="inlineStr">
        <is>
          <t xml:space="preserve">Ultra Duplicator</t>
        </is>
      </c>
      <c r="B66" t="inlineStr">
        <is>
          <t xml:space="preserve">Legendary</t>
        </is>
      </c>
      <c r="C66" t="inlineStr">
        <is>
          <t xml:space="preserve">Passive</t>
        </is>
      </c>
      <c r="D66" t="inlineStr">
        <is>
          <t xml:space="preserve">Whenever you obtain an item, get an extra copy of it</t>
        </is>
      </c>
      <c r="E66" t="inlineStr">
        <is>
          <t xml:space="preserve">duplicate_items</t>
        </is>
      </c>
      <c r="F66" t="inlineStr">
        <is>
          <t xml:space="preserve">Batomon Showdown</t>
        </is>
      </c>
      <c r="I66" t="inlineStr">
        <is>
          <t xml:space="preserve">UltraDuplicator</t>
        </is>
      </c>
      <c r="J66" t="inlineStr">
        <is>
          <t xml:space="preserve">Items</t>
        </is>
      </c>
    </row>
    <row r="67" spans="1:10">
      <c r="A67" t="inlineStr">
        <is>
          <t xml:space="preserve">Unstable Genome</t>
        </is>
      </c>
      <c r="B67" t="inlineStr">
        <is>
          <t xml:space="preserve">Uncommon</t>
        </is>
      </c>
      <c r="C67" t="inlineStr">
        <is>
          <t xml:space="preserve">Triggered</t>
        </is>
      </c>
      <c r="D67" t="inlineStr">
        <is>
          <t xml:space="preserve">When you beat a game, there's a 33% chance for this item to be destroyed and you may gain 1 of 3 random items</t>
        </is>
      </c>
      <c r="E67" t="inlineStr">
        <is>
          <t xml:space="preserve">game_beaten: 33% chance random_item_choice 3 destroy_self</t>
        </is>
      </c>
      <c r="F67" t="inlineStr">
        <is>
          <t xml:space="preserve">Caves of Qud</t>
        </is>
      </c>
      <c r="G67" t="inlineStr">
        <is>
          <t xml:space="preserve">mutation</t>
        </is>
      </c>
      <c r="I67" t="inlineStr">
        <is>
          <t xml:space="preserve">UnstableGenome</t>
        </is>
      </c>
      <c r="J67" t="inlineStr">
        <is>
          <t xml:space="preserve">Economy</t>
        </is>
      </c>
    </row>
    <row r="68" spans="1:10">
      <c r="A68" t="inlineStr">
        <is>
          <t xml:space="preserve">Vajra</t>
        </is>
      </c>
      <c r="B68" t="inlineStr">
        <is>
          <t xml:space="preserve">Common</t>
        </is>
      </c>
      <c r="C68" t="inlineStr">
        <is>
          <t xml:space="preserve">Status</t>
        </is>
      </c>
      <c r="D68" t="inlineStr">
        <is>
          <t xml:space="preserve">Gain +1 Strength</t>
        </is>
      </c>
      <c r="E68" t="inlineStr">
        <is>
          <t xml:space="preserve">item_acquired: apply_status strength 1</t>
        </is>
      </c>
      <c r="F68" t="inlineStr">
        <is>
          <t xml:space="preserve">Slay the Spire</t>
        </is>
      </c>
      <c r="I68" t="inlineStr">
        <is>
          <t xml:space="preserve">Vajra</t>
        </is>
      </c>
      <c r="J68" t="inlineStr">
        <is>
          <t xml:space="preserve">Stats</t>
        </is>
      </c>
    </row>
    <row r="69" spans="1:10">
      <c r="A69" t="inlineStr">
        <is>
          <t xml:space="preserve">White Beast Statue</t>
        </is>
      </c>
      <c r="B69" t="inlineStr">
        <is>
          <t xml:space="preserve">Uncommon</t>
        </is>
      </c>
      <c r="C69" t="inlineStr">
        <is>
          <t xml:space="preserve">Passive</t>
        </is>
      </c>
      <c r="D69" t="inlineStr">
        <is>
          <t xml:space="preserve">Gain +1 Potion at the end of combat</t>
        </is>
      </c>
      <c r="E69" t="inlineStr">
        <is>
          <t xml:space="preserve">game_beaten: gain_potion 1</t>
        </is>
      </c>
      <c r="F69" t="inlineStr">
        <is>
          <t xml:space="preserve">Slay the Spire</t>
        </is>
      </c>
      <c r="G69" t="inlineStr">
        <is>
          <t xml:space="preserve">statue</t>
        </is>
      </c>
      <c r="I69" t="inlineStr">
        <is>
          <t xml:space="preserve">WhiteBeastStatue</t>
        </is>
      </c>
      <c r="J69" t="inlineStr">
        <is>
          <t xml:space="preserve">Loot</t>
        </is>
      </c>
    </row>
    <row r="70" spans="1:10">
      <c r="A70" t="inlineStr">
        <is>
          <t xml:space="preserve">Wooden Nickel</t>
        </is>
      </c>
      <c r="B70" t="inlineStr">
        <is>
          <t xml:space="preserve">Common</t>
        </is>
      </c>
      <c r="C70" t="inlineStr">
        <is>
          <t xml:space="preserve">Charged, 1</t>
        </is>
      </c>
      <c r="D70" t="inlineStr">
        <is>
          <t xml:space="preserve">50% chance to Gain +1 Gold</t>
        </is>
      </c>
      <c r="E70" t="inlineStr">
        <is>
          <t xml:space="preserve">item_used: 50% chance gain_gold 1</t>
        </is>
      </c>
      <c r="F70" t="inlineStr">
        <is>
          <t xml:space="preserve">The Binding of Isaac: Rebirth</t>
        </is>
      </c>
      <c r="G70" t="inlineStr">
        <is>
          <t xml:space="preserve">wood, coin</t>
        </is>
      </c>
      <c r="I70" t="inlineStr">
        <is>
          <t xml:space="preserve">WoodenNickel</t>
        </is>
      </c>
      <c r="J7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6"/>
  <sheetViews>
    <sheetView workbookViewId="0">
      <selection activeCell="E69" sqref="E69"/>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12722</v>
      </c>
      <c r="B34" t="s">
        <v>182</v>
      </c>
      <c r="C34" t="s">
        <v>3738</v>
      </c>
      <c r="D34" t="s">
        <v>3739</v>
      </c>
      <c r="E34" t="s">
        <v>1951</v>
      </c>
      <c r="F34">
        <v>1</v>
      </c>
      <c r="G34">
        <v>1</v>
      </c>
      <c r="H34" t="s">
        <v>3747</v>
      </c>
      <c r="I34" t="s">
        <v>12723</v>
      </c>
      <c r="J34" t="s">
        <v>3455</v>
      </c>
      <c r="K34" t="s">
        <v>12724</v>
      </c>
      <c r="L34" t="s">
        <v>12725</v>
      </c>
      <c r="M34" t="s">
        <v>8052</v>
      </c>
    </row>
    <row r="35" spans="1:14" x14ac:dyDescent="0.25">
      <c r="A35" t="s">
        <v>3824</v>
      </c>
      <c r="B35" t="s">
        <v>182</v>
      </c>
      <c r="C35" t="s">
        <v>3772</v>
      </c>
      <c r="D35" t="s">
        <v>3739</v>
      </c>
      <c r="E35" t="s">
        <v>90</v>
      </c>
      <c r="F35">
        <v>1</v>
      </c>
      <c r="G35">
        <v>2</v>
      </c>
      <c r="H35" t="s">
        <v>3740</v>
      </c>
      <c r="I35" t="s">
        <v>3825</v>
      </c>
      <c r="J35" t="s">
        <v>3455</v>
      </c>
      <c r="K35" t="s">
        <v>3826</v>
      </c>
      <c r="M35" t="s">
        <v>8052</v>
      </c>
    </row>
    <row r="36" spans="1:14" x14ac:dyDescent="0.25">
      <c r="A36" t="s">
        <v>3827</v>
      </c>
      <c r="B36" t="s">
        <v>182</v>
      </c>
      <c r="C36" t="s">
        <v>3772</v>
      </c>
      <c r="D36" t="s">
        <v>3739</v>
      </c>
      <c r="E36" t="s">
        <v>90</v>
      </c>
      <c r="F36">
        <v>1</v>
      </c>
      <c r="G36">
        <v>2</v>
      </c>
      <c r="H36" t="s">
        <v>3828</v>
      </c>
      <c r="I36" t="s">
        <v>8082</v>
      </c>
      <c r="J36" t="s">
        <v>3455</v>
      </c>
      <c r="K36" t="s">
        <v>3827</v>
      </c>
      <c r="M36" t="s">
        <v>8053</v>
      </c>
    </row>
    <row r="37" spans="1:14" x14ac:dyDescent="0.25">
      <c r="A37" t="s">
        <v>3829</v>
      </c>
      <c r="B37" t="s">
        <v>182</v>
      </c>
      <c r="C37" t="s">
        <v>3772</v>
      </c>
      <c r="D37" t="s">
        <v>3739</v>
      </c>
      <c r="E37" t="s">
        <v>38</v>
      </c>
      <c r="F37">
        <v>1</v>
      </c>
      <c r="G37">
        <v>2</v>
      </c>
      <c r="H37" t="s">
        <v>3747</v>
      </c>
      <c r="I37" t="s">
        <v>3830</v>
      </c>
      <c r="J37" t="s">
        <v>7460</v>
      </c>
      <c r="K37" t="s">
        <v>3831</v>
      </c>
      <c r="M37" t="s">
        <v>8052</v>
      </c>
    </row>
    <row r="38" spans="1:14" x14ac:dyDescent="0.25">
      <c r="A38" t="s">
        <v>3832</v>
      </c>
      <c r="B38" t="s">
        <v>182</v>
      </c>
      <c r="C38" t="s">
        <v>3786</v>
      </c>
      <c r="D38" t="s">
        <v>3739</v>
      </c>
      <c r="E38" t="s">
        <v>90</v>
      </c>
      <c r="F38">
        <v>1</v>
      </c>
      <c r="G38">
        <v>3</v>
      </c>
      <c r="H38" t="s">
        <v>3828</v>
      </c>
      <c r="I38" t="s">
        <v>8071</v>
      </c>
      <c r="J38" t="s">
        <v>7406</v>
      </c>
      <c r="K38" t="s">
        <v>3832</v>
      </c>
      <c r="M38" t="s">
        <v>8053</v>
      </c>
    </row>
    <row r="39" spans="1:14" x14ac:dyDescent="0.25">
      <c r="A39" t="s">
        <v>3833</v>
      </c>
      <c r="B39" t="s">
        <v>182</v>
      </c>
      <c r="C39" t="s">
        <v>3786</v>
      </c>
      <c r="D39" t="s">
        <v>3788</v>
      </c>
      <c r="E39" t="s">
        <v>90</v>
      </c>
      <c r="F39">
        <v>1</v>
      </c>
      <c r="G39">
        <v>3</v>
      </c>
      <c r="H39" t="s">
        <v>3834</v>
      </c>
      <c r="I39" t="s">
        <v>3835</v>
      </c>
      <c r="J39" t="s">
        <v>7418</v>
      </c>
      <c r="K39" t="s">
        <v>3833</v>
      </c>
      <c r="M39" t="s">
        <v>8052</v>
      </c>
    </row>
    <row r="40" spans="1:14" x14ac:dyDescent="0.25">
      <c r="A40" t="s">
        <v>3836</v>
      </c>
      <c r="B40" t="s">
        <v>222</v>
      </c>
      <c r="C40" t="s">
        <v>3738</v>
      </c>
      <c r="D40" t="s">
        <v>3739</v>
      </c>
      <c r="E40" t="s">
        <v>1649</v>
      </c>
      <c r="F40">
        <v>1</v>
      </c>
      <c r="G40">
        <v>1</v>
      </c>
      <c r="H40" t="s">
        <v>3740</v>
      </c>
      <c r="I40" t="s">
        <v>3837</v>
      </c>
      <c r="J40" t="s">
        <v>7434</v>
      </c>
      <c r="K40" t="s">
        <v>3836</v>
      </c>
      <c r="M40" t="s">
        <v>8052</v>
      </c>
    </row>
    <row r="41" spans="1:14" x14ac:dyDescent="0.25">
      <c r="A41" t="s">
        <v>7691</v>
      </c>
      <c r="B41" t="s">
        <v>222</v>
      </c>
      <c r="C41" t="s">
        <v>3738</v>
      </c>
      <c r="D41" t="s">
        <v>3739</v>
      </c>
      <c r="E41" t="s">
        <v>1649</v>
      </c>
      <c r="F41">
        <v>1</v>
      </c>
      <c r="G41">
        <v>1</v>
      </c>
      <c r="H41" t="s">
        <v>3747</v>
      </c>
      <c r="I41" t="s">
        <v>7692</v>
      </c>
      <c r="J41" t="s">
        <v>3455</v>
      </c>
      <c r="K41" t="s">
        <v>7693</v>
      </c>
      <c r="L41" t="s">
        <v>7694</v>
      </c>
      <c r="M41" t="s">
        <v>8052</v>
      </c>
    </row>
    <row r="42" spans="1:14" x14ac:dyDescent="0.25">
      <c r="A42" t="s">
        <v>3838</v>
      </c>
      <c r="B42" t="s">
        <v>222</v>
      </c>
      <c r="C42" t="s">
        <v>3738</v>
      </c>
      <c r="D42" t="s">
        <v>3739</v>
      </c>
      <c r="E42" t="s">
        <v>1201</v>
      </c>
      <c r="F42">
        <v>1</v>
      </c>
      <c r="G42">
        <v>1</v>
      </c>
      <c r="H42" t="s">
        <v>3740</v>
      </c>
      <c r="I42" t="s">
        <v>8056</v>
      </c>
      <c r="J42" t="s">
        <v>3455</v>
      </c>
      <c r="K42" t="s">
        <v>3838</v>
      </c>
      <c r="L42" t="s">
        <v>3839</v>
      </c>
      <c r="M42" t="s">
        <v>8052</v>
      </c>
      <c r="N42" t="s">
        <v>4320</v>
      </c>
    </row>
    <row r="43" spans="1:14" x14ac:dyDescent="0.25">
      <c r="A43" t="s">
        <v>7435</v>
      </c>
      <c r="B43" t="s">
        <v>222</v>
      </c>
      <c r="C43" t="s">
        <v>3738</v>
      </c>
      <c r="D43" t="s">
        <v>3739</v>
      </c>
      <c r="E43" t="s">
        <v>1649</v>
      </c>
      <c r="F43">
        <v>1</v>
      </c>
      <c r="G43">
        <v>1</v>
      </c>
      <c r="H43" t="s">
        <v>3740</v>
      </c>
      <c r="I43" t="s">
        <v>7436</v>
      </c>
      <c r="J43" t="s">
        <v>3455</v>
      </c>
      <c r="K43" t="s">
        <v>7435</v>
      </c>
      <c r="L43" t="s">
        <v>7437</v>
      </c>
      <c r="M43" t="s">
        <v>8052</v>
      </c>
    </row>
    <row r="44" spans="1:14" x14ac:dyDescent="0.25">
      <c r="A44" t="s">
        <v>3840</v>
      </c>
      <c r="B44" t="s">
        <v>222</v>
      </c>
      <c r="C44" t="s">
        <v>3738</v>
      </c>
      <c r="D44" t="s">
        <v>3739</v>
      </c>
      <c r="E44" t="s">
        <v>501</v>
      </c>
      <c r="F44">
        <v>1</v>
      </c>
      <c r="G44">
        <v>1</v>
      </c>
      <c r="H44" t="s">
        <v>3751</v>
      </c>
      <c r="I44" t="s">
        <v>3841</v>
      </c>
      <c r="J44" t="s">
        <v>3455</v>
      </c>
      <c r="K44" t="s">
        <v>3840</v>
      </c>
      <c r="L44" t="s">
        <v>3842</v>
      </c>
      <c r="M44" t="s">
        <v>8052</v>
      </c>
    </row>
    <row r="45" spans="1:14" x14ac:dyDescent="0.25">
      <c r="A45" t="s">
        <v>7680</v>
      </c>
      <c r="B45" t="s">
        <v>222</v>
      </c>
      <c r="C45" t="s">
        <v>3772</v>
      </c>
      <c r="D45" t="s">
        <v>3739</v>
      </c>
      <c r="E45" t="s">
        <v>1649</v>
      </c>
      <c r="F45">
        <v>1</v>
      </c>
      <c r="G45">
        <v>2</v>
      </c>
      <c r="H45" t="s">
        <v>3740</v>
      </c>
      <c r="I45" t="s">
        <v>7681</v>
      </c>
      <c r="J45" t="s">
        <v>3455</v>
      </c>
      <c r="K45" t="s">
        <v>7682</v>
      </c>
      <c r="L45" t="s">
        <v>7683</v>
      </c>
      <c r="M45" t="s">
        <v>8052</v>
      </c>
    </row>
    <row r="46" spans="1:14" x14ac:dyDescent="0.25">
      <c r="A46" t="s">
        <v>7970</v>
      </c>
      <c r="B46" t="s">
        <v>222</v>
      </c>
      <c r="C46" t="s">
        <v>3772</v>
      </c>
      <c r="D46" t="s">
        <v>3739</v>
      </c>
      <c r="E46" t="s">
        <v>1649</v>
      </c>
      <c r="F46">
        <v>1</v>
      </c>
      <c r="G46">
        <v>2</v>
      </c>
      <c r="H46" t="s">
        <v>3834</v>
      </c>
      <c r="I46" t="s">
        <v>7971</v>
      </c>
      <c r="J46" t="s">
        <v>7974</v>
      </c>
      <c r="K46" t="s">
        <v>7973</v>
      </c>
      <c r="M46" t="s">
        <v>8052</v>
      </c>
    </row>
    <row r="47" spans="1:14" x14ac:dyDescent="0.25">
      <c r="A47" t="s">
        <v>7959</v>
      </c>
      <c r="B47" t="s">
        <v>222</v>
      </c>
      <c r="C47" t="s">
        <v>3772</v>
      </c>
      <c r="D47" t="s">
        <v>3739</v>
      </c>
      <c r="E47" t="s">
        <v>1649</v>
      </c>
      <c r="F47">
        <v>1</v>
      </c>
      <c r="G47">
        <v>2</v>
      </c>
      <c r="H47" t="s">
        <v>3751</v>
      </c>
      <c r="I47" t="s">
        <v>7960</v>
      </c>
      <c r="J47" t="s">
        <v>3455</v>
      </c>
      <c r="K47" t="s">
        <v>7959</v>
      </c>
      <c r="L47" t="s">
        <v>7972</v>
      </c>
      <c r="M47" t="s">
        <v>8052</v>
      </c>
    </row>
    <row r="48" spans="1:14" x14ac:dyDescent="0.25">
      <c r="A48" t="s">
        <v>3843</v>
      </c>
      <c r="B48" t="s">
        <v>222</v>
      </c>
      <c r="C48" t="s">
        <v>3772</v>
      </c>
      <c r="D48" t="s">
        <v>3739</v>
      </c>
      <c r="E48" t="s">
        <v>1649</v>
      </c>
      <c r="F48">
        <v>1</v>
      </c>
      <c r="G48">
        <v>2</v>
      </c>
      <c r="H48" t="s">
        <v>3747</v>
      </c>
      <c r="I48" t="s">
        <v>3844</v>
      </c>
      <c r="J48" t="s">
        <v>7405</v>
      </c>
      <c r="K48" t="s">
        <v>3843</v>
      </c>
      <c r="M48" t="s">
        <v>8052</v>
      </c>
    </row>
    <row r="49" spans="1:13" x14ac:dyDescent="0.25">
      <c r="A49" t="s">
        <v>3845</v>
      </c>
      <c r="B49" t="s">
        <v>222</v>
      </c>
      <c r="C49" t="s">
        <v>3772</v>
      </c>
      <c r="D49" t="s">
        <v>3739</v>
      </c>
      <c r="E49" t="s">
        <v>1649</v>
      </c>
      <c r="F49">
        <v>1</v>
      </c>
      <c r="G49">
        <v>2</v>
      </c>
      <c r="H49" t="s">
        <v>3747</v>
      </c>
      <c r="I49" t="s">
        <v>3846</v>
      </c>
      <c r="J49" t="s">
        <v>7401</v>
      </c>
      <c r="K49" t="s">
        <v>3847</v>
      </c>
      <c r="L49" t="s">
        <v>3815</v>
      </c>
      <c r="M49" t="s">
        <v>8052</v>
      </c>
    </row>
    <row r="50" spans="1:13" x14ac:dyDescent="0.25">
      <c r="A50" t="s">
        <v>3848</v>
      </c>
      <c r="B50" t="s">
        <v>222</v>
      </c>
      <c r="C50" t="s">
        <v>3772</v>
      </c>
      <c r="D50" t="s">
        <v>3783</v>
      </c>
      <c r="E50" t="s">
        <v>501</v>
      </c>
      <c r="F50">
        <v>1</v>
      </c>
      <c r="G50">
        <v>2</v>
      </c>
      <c r="H50" t="s">
        <v>3747</v>
      </c>
      <c r="I50" t="s">
        <v>3849</v>
      </c>
      <c r="J50" t="s">
        <v>7398</v>
      </c>
      <c r="K50" t="s">
        <v>3848</v>
      </c>
      <c r="M50" t="s">
        <v>8052</v>
      </c>
    </row>
    <row r="51" spans="1:13" x14ac:dyDescent="0.25">
      <c r="A51" t="s">
        <v>3850</v>
      </c>
      <c r="B51" t="s">
        <v>222</v>
      </c>
      <c r="C51" t="s">
        <v>3772</v>
      </c>
      <c r="D51" t="s">
        <v>3739</v>
      </c>
      <c r="E51" t="s">
        <v>1649</v>
      </c>
      <c r="F51">
        <v>1</v>
      </c>
      <c r="G51">
        <v>2</v>
      </c>
      <c r="H51" t="s">
        <v>3740</v>
      </c>
      <c r="I51" t="s">
        <v>3851</v>
      </c>
      <c r="J51" t="s">
        <v>3455</v>
      </c>
      <c r="K51" t="s">
        <v>3850</v>
      </c>
      <c r="L51" t="s">
        <v>3852</v>
      </c>
      <c r="M51" t="s">
        <v>8052</v>
      </c>
    </row>
    <row r="52" spans="1:13" x14ac:dyDescent="0.25">
      <c r="A52" t="s">
        <v>3853</v>
      </c>
      <c r="B52" t="s">
        <v>222</v>
      </c>
      <c r="C52" t="s">
        <v>3772</v>
      </c>
      <c r="D52" t="s">
        <v>3739</v>
      </c>
      <c r="E52" t="s">
        <v>1649</v>
      </c>
      <c r="F52">
        <v>1</v>
      </c>
      <c r="G52">
        <v>2</v>
      </c>
      <c r="H52" t="s">
        <v>3747</v>
      </c>
      <c r="I52" t="s">
        <v>3854</v>
      </c>
      <c r="J52" t="s">
        <v>7676</v>
      </c>
      <c r="K52" t="s">
        <v>3853</v>
      </c>
      <c r="L52" t="s">
        <v>3855</v>
      </c>
      <c r="M52" t="s">
        <v>8052</v>
      </c>
    </row>
    <row r="53" spans="1:13" x14ac:dyDescent="0.25">
      <c r="A53" t="s">
        <v>3856</v>
      </c>
      <c r="B53" t="s">
        <v>222</v>
      </c>
      <c r="C53" t="s">
        <v>3772</v>
      </c>
      <c r="D53" t="s">
        <v>3739</v>
      </c>
      <c r="E53" t="s">
        <v>1649</v>
      </c>
      <c r="F53">
        <v>1</v>
      </c>
      <c r="G53">
        <v>2</v>
      </c>
      <c r="H53" t="s">
        <v>3747</v>
      </c>
      <c r="I53" t="s">
        <v>3857</v>
      </c>
      <c r="J53" t="s">
        <v>3455</v>
      </c>
      <c r="K53" t="s">
        <v>3858</v>
      </c>
      <c r="L53" t="s">
        <v>3859</v>
      </c>
      <c r="M53" t="s">
        <v>8052</v>
      </c>
    </row>
    <row r="54" spans="1:13" x14ac:dyDescent="0.25">
      <c r="A54" t="s">
        <v>3860</v>
      </c>
      <c r="B54" t="s">
        <v>222</v>
      </c>
      <c r="C54" t="s">
        <v>3772</v>
      </c>
      <c r="D54" t="s">
        <v>3739</v>
      </c>
      <c r="E54" t="s">
        <v>1129</v>
      </c>
      <c r="F54">
        <v>1</v>
      </c>
      <c r="G54">
        <v>2</v>
      </c>
      <c r="H54" t="s">
        <v>3834</v>
      </c>
      <c r="I54" t="s">
        <v>3861</v>
      </c>
      <c r="J54" t="s">
        <v>3455</v>
      </c>
      <c r="K54" t="s">
        <v>3860</v>
      </c>
      <c r="M54" t="s">
        <v>8052</v>
      </c>
    </row>
    <row r="55" spans="1:13" x14ac:dyDescent="0.25">
      <c r="A55" t="s">
        <v>3862</v>
      </c>
      <c r="B55" t="s">
        <v>222</v>
      </c>
      <c r="C55" t="s">
        <v>3786</v>
      </c>
      <c r="D55" t="s">
        <v>3739</v>
      </c>
      <c r="E55" t="s">
        <v>501</v>
      </c>
      <c r="F55">
        <v>1</v>
      </c>
      <c r="G55">
        <v>3</v>
      </c>
      <c r="H55" t="s">
        <v>3834</v>
      </c>
      <c r="I55" t="s">
        <v>3863</v>
      </c>
      <c r="J55" t="s">
        <v>7461</v>
      </c>
      <c r="K55" t="s">
        <v>3864</v>
      </c>
      <c r="M55" t="s">
        <v>8052</v>
      </c>
    </row>
    <row r="56" spans="1:13" x14ac:dyDescent="0.25">
      <c r="A56" t="s">
        <v>7964</v>
      </c>
      <c r="B56" t="s">
        <v>222</v>
      </c>
      <c r="C56" t="s">
        <v>3786</v>
      </c>
      <c r="D56" t="s">
        <v>3739</v>
      </c>
      <c r="E56" t="s">
        <v>1649</v>
      </c>
      <c r="F56">
        <v>1</v>
      </c>
      <c r="G56">
        <v>3</v>
      </c>
      <c r="H56" t="s">
        <v>3740</v>
      </c>
      <c r="I56" t="s">
        <v>7967</v>
      </c>
      <c r="J56" t="s">
        <v>7965</v>
      </c>
      <c r="K56" t="s">
        <v>7969</v>
      </c>
      <c r="L56" t="s">
        <v>7968</v>
      </c>
      <c r="M56" t="s">
        <v>8052</v>
      </c>
    </row>
    <row r="57" spans="1:13" x14ac:dyDescent="0.25">
      <c r="A57" t="s">
        <v>3865</v>
      </c>
      <c r="B57" t="s">
        <v>222</v>
      </c>
      <c r="C57" t="s">
        <v>3786</v>
      </c>
      <c r="D57" t="s">
        <v>3739</v>
      </c>
      <c r="E57" t="s">
        <v>1649</v>
      </c>
      <c r="F57">
        <v>1</v>
      </c>
      <c r="G57">
        <v>3</v>
      </c>
      <c r="H57" t="s">
        <v>3747</v>
      </c>
      <c r="I57" t="s">
        <v>3866</v>
      </c>
      <c r="K57" t="s">
        <v>3867</v>
      </c>
      <c r="L57" t="s">
        <v>3868</v>
      </c>
      <c r="M57" t="s">
        <v>8052</v>
      </c>
    </row>
    <row r="58" spans="1:13" x14ac:dyDescent="0.25">
      <c r="A58" t="s">
        <v>1168</v>
      </c>
      <c r="B58" t="s">
        <v>222</v>
      </c>
      <c r="C58" t="s">
        <v>3906</v>
      </c>
      <c r="D58" t="s">
        <v>3739</v>
      </c>
      <c r="E58" t="s">
        <v>1649</v>
      </c>
      <c r="F58">
        <v>1</v>
      </c>
      <c r="G58">
        <v>4</v>
      </c>
      <c r="H58" t="s">
        <v>3747</v>
      </c>
      <c r="I58" t="s">
        <v>7684</v>
      </c>
      <c r="J58" t="s">
        <v>7690</v>
      </c>
      <c r="K58" t="s">
        <v>1168</v>
      </c>
      <c r="L58" t="s">
        <v>458</v>
      </c>
      <c r="M58" t="s">
        <v>8052</v>
      </c>
    </row>
    <row r="59" spans="1:13" x14ac:dyDescent="0.25">
      <c r="A59" t="s">
        <v>7961</v>
      </c>
      <c r="B59" t="s">
        <v>222</v>
      </c>
      <c r="C59" t="s">
        <v>3906</v>
      </c>
      <c r="D59" t="s">
        <v>3739</v>
      </c>
      <c r="E59" t="s">
        <v>1649</v>
      </c>
      <c r="F59">
        <v>1</v>
      </c>
      <c r="G59">
        <v>4</v>
      </c>
      <c r="H59" t="s">
        <v>3740</v>
      </c>
      <c r="I59" t="s">
        <v>7962</v>
      </c>
      <c r="J59" t="s">
        <v>3455</v>
      </c>
      <c r="K59" t="s">
        <v>7963</v>
      </c>
      <c r="L59" t="s">
        <v>3859</v>
      </c>
      <c r="M59" t="s">
        <v>8052</v>
      </c>
    </row>
    <row r="60" spans="1:13" x14ac:dyDescent="0.25">
      <c r="A60" t="s">
        <v>7884</v>
      </c>
      <c r="B60" t="s">
        <v>179</v>
      </c>
      <c r="C60" t="s">
        <v>3738</v>
      </c>
      <c r="D60" t="s">
        <v>3739</v>
      </c>
      <c r="E60" t="s">
        <v>1795</v>
      </c>
      <c r="F60">
        <v>1</v>
      </c>
      <c r="G60">
        <v>1</v>
      </c>
      <c r="H60" t="s">
        <v>3828</v>
      </c>
      <c r="I60" t="s">
        <v>8072</v>
      </c>
      <c r="J60" t="s">
        <v>3455</v>
      </c>
      <c r="K60" t="s">
        <v>7885</v>
      </c>
      <c r="M60" t="s">
        <v>8053</v>
      </c>
    </row>
    <row r="61" spans="1:13" x14ac:dyDescent="0.25">
      <c r="A61" t="s">
        <v>3869</v>
      </c>
      <c r="B61" t="s">
        <v>179</v>
      </c>
      <c r="C61" t="s">
        <v>3738</v>
      </c>
      <c r="D61" t="s">
        <v>3739</v>
      </c>
      <c r="E61" t="s">
        <v>1795</v>
      </c>
      <c r="F61">
        <v>1</v>
      </c>
      <c r="G61">
        <v>1</v>
      </c>
      <c r="H61" t="s">
        <v>3834</v>
      </c>
      <c r="I61" t="s">
        <v>3870</v>
      </c>
      <c r="J61" t="s">
        <v>7462</v>
      </c>
      <c r="K61" t="s">
        <v>3869</v>
      </c>
      <c r="M61" t="s">
        <v>8052</v>
      </c>
    </row>
    <row r="62" spans="1:13" x14ac:dyDescent="0.25">
      <c r="A62" t="s">
        <v>7677</v>
      </c>
      <c r="B62" t="s">
        <v>179</v>
      </c>
      <c r="C62" t="s">
        <v>3738</v>
      </c>
      <c r="D62" t="s">
        <v>3739</v>
      </c>
      <c r="E62" t="s">
        <v>689</v>
      </c>
      <c r="F62">
        <v>1</v>
      </c>
      <c r="G62">
        <v>1</v>
      </c>
      <c r="H62" t="s">
        <v>3740</v>
      </c>
      <c r="I62" t="s">
        <v>7678</v>
      </c>
      <c r="J62" t="s">
        <v>3455</v>
      </c>
      <c r="K62" t="s">
        <v>7677</v>
      </c>
      <c r="L62" t="s">
        <v>7679</v>
      </c>
      <c r="M62" t="s">
        <v>8052</v>
      </c>
    </row>
    <row r="63" spans="1:13" x14ac:dyDescent="0.25">
      <c r="A63" t="s">
        <v>3871</v>
      </c>
      <c r="B63" t="s">
        <v>179</v>
      </c>
      <c r="C63" t="s">
        <v>3772</v>
      </c>
      <c r="D63" t="s">
        <v>3739</v>
      </c>
      <c r="E63" t="s">
        <v>1795</v>
      </c>
      <c r="F63">
        <v>1</v>
      </c>
      <c r="G63">
        <v>2</v>
      </c>
      <c r="H63" t="s">
        <v>3828</v>
      </c>
      <c r="I63" t="s">
        <v>8073</v>
      </c>
      <c r="J63" t="s">
        <v>7393</v>
      </c>
      <c r="K63" t="s">
        <v>3872</v>
      </c>
      <c r="M63" t="s">
        <v>8053</v>
      </c>
    </row>
    <row r="64" spans="1:13" x14ac:dyDescent="0.25">
      <c r="A64" t="s">
        <v>3873</v>
      </c>
      <c r="B64" t="s">
        <v>179</v>
      </c>
      <c r="C64" t="s">
        <v>3772</v>
      </c>
      <c r="D64" t="s">
        <v>3739</v>
      </c>
      <c r="E64" t="s">
        <v>1795</v>
      </c>
      <c r="F64">
        <v>1</v>
      </c>
      <c r="G64">
        <v>2</v>
      </c>
      <c r="H64" t="s">
        <v>3747</v>
      </c>
      <c r="I64" t="s">
        <v>3874</v>
      </c>
      <c r="J64" t="s">
        <v>7394</v>
      </c>
      <c r="K64" t="s">
        <v>3873</v>
      </c>
      <c r="M64" t="s">
        <v>8052</v>
      </c>
    </row>
    <row r="65" spans="1:13" x14ac:dyDescent="0.25">
      <c r="A65" t="s">
        <v>7881</v>
      </c>
      <c r="B65" t="s">
        <v>179</v>
      </c>
      <c r="C65" t="s">
        <v>3786</v>
      </c>
      <c r="D65" t="s">
        <v>3739</v>
      </c>
      <c r="E65" t="s">
        <v>553</v>
      </c>
      <c r="F65">
        <v>1</v>
      </c>
      <c r="G65">
        <v>3</v>
      </c>
      <c r="H65" t="s">
        <v>3747</v>
      </c>
      <c r="I65" t="s">
        <v>7882</v>
      </c>
      <c r="J65" t="s">
        <v>3455</v>
      </c>
      <c r="K65" t="s">
        <v>7883</v>
      </c>
      <c r="L65" t="s">
        <v>3815</v>
      </c>
      <c r="M65" t="s">
        <v>8052</v>
      </c>
    </row>
    <row r="66" spans="1:13" x14ac:dyDescent="0.25">
      <c r="A66" t="s">
        <v>3875</v>
      </c>
      <c r="B66" t="s">
        <v>179</v>
      </c>
      <c r="C66" t="s">
        <v>3786</v>
      </c>
      <c r="D66" t="s">
        <v>3739</v>
      </c>
      <c r="E66" t="s">
        <v>1795</v>
      </c>
      <c r="F66">
        <v>1</v>
      </c>
      <c r="G66">
        <v>3</v>
      </c>
      <c r="H66" t="s">
        <v>3747</v>
      </c>
      <c r="I66" t="s">
        <v>3876</v>
      </c>
      <c r="J66" t="s">
        <v>3455</v>
      </c>
      <c r="K66" t="s">
        <v>3875</v>
      </c>
      <c r="M66"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9"/>
  <sheetViews>
    <sheetView workbookViewId="0">
      <selection activeCell="Q14" sqref="Q1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12726</v>
      </c>
      <c r="B2" t="s">
        <v>176</v>
      </c>
      <c r="C2" t="s">
        <v>3738</v>
      </c>
      <c r="D2" t="s">
        <v>3788</v>
      </c>
      <c r="E2" t="s">
        <v>2619</v>
      </c>
      <c r="F2">
        <v>1</v>
      </c>
      <c r="G2">
        <v>3</v>
      </c>
      <c r="H2" t="s">
        <v>3740</v>
      </c>
      <c r="I2" t="s">
        <v>12727</v>
      </c>
      <c r="J2" t="s">
        <v>3455</v>
      </c>
      <c r="K2" t="s">
        <v>12728</v>
      </c>
      <c r="N2" t="s">
        <v>8052</v>
      </c>
    </row>
    <row r="3" spans="1:15" x14ac:dyDescent="0.25">
      <c r="A3" t="s">
        <v>3877</v>
      </c>
      <c r="B3" t="s">
        <v>176</v>
      </c>
      <c r="C3" t="s">
        <v>3738</v>
      </c>
      <c r="D3" t="s">
        <v>3788</v>
      </c>
      <c r="E3" t="s">
        <v>1046</v>
      </c>
      <c r="F3">
        <v>1</v>
      </c>
      <c r="G3">
        <v>3</v>
      </c>
      <c r="H3" t="s">
        <v>3751</v>
      </c>
      <c r="I3" t="s">
        <v>8077</v>
      </c>
      <c r="J3" t="s">
        <v>7445</v>
      </c>
      <c r="K3" t="s">
        <v>3877</v>
      </c>
      <c r="L3" t="s">
        <v>3878</v>
      </c>
      <c r="N3" t="s">
        <v>8052</v>
      </c>
    </row>
    <row r="4" spans="1:15" x14ac:dyDescent="0.25">
      <c r="A4" t="s">
        <v>3879</v>
      </c>
      <c r="B4" t="s">
        <v>176</v>
      </c>
      <c r="C4" t="s">
        <v>3738</v>
      </c>
      <c r="D4" t="s">
        <v>3788</v>
      </c>
      <c r="E4" t="s">
        <v>1752</v>
      </c>
      <c r="F4">
        <v>1</v>
      </c>
      <c r="G4">
        <v>3</v>
      </c>
      <c r="H4" t="s">
        <v>3740</v>
      </c>
      <c r="I4" t="s">
        <v>3880</v>
      </c>
      <c r="J4" t="s">
        <v>3455</v>
      </c>
      <c r="K4" t="s">
        <v>3881</v>
      </c>
      <c r="L4" t="s">
        <v>3882</v>
      </c>
      <c r="N4" t="s">
        <v>8052</v>
      </c>
    </row>
    <row r="5" spans="1:15" x14ac:dyDescent="0.25">
      <c r="A5" t="s">
        <v>3883</v>
      </c>
      <c r="B5" t="s">
        <v>176</v>
      </c>
      <c r="C5" t="s">
        <v>3738</v>
      </c>
      <c r="D5" t="s">
        <v>3788</v>
      </c>
      <c r="E5" t="s">
        <v>2132</v>
      </c>
      <c r="F5">
        <v>1</v>
      </c>
      <c r="G5">
        <v>3</v>
      </c>
      <c r="H5" t="s">
        <v>3834</v>
      </c>
      <c r="I5" t="s">
        <v>3884</v>
      </c>
      <c r="J5" t="s">
        <v>7376</v>
      </c>
      <c r="K5" t="s">
        <v>3883</v>
      </c>
      <c r="N5" t="s">
        <v>8052</v>
      </c>
    </row>
    <row r="6" spans="1:15" x14ac:dyDescent="0.25">
      <c r="A6" t="s">
        <v>3885</v>
      </c>
      <c r="B6" t="s">
        <v>176</v>
      </c>
      <c r="C6" t="s">
        <v>3738</v>
      </c>
      <c r="D6" t="s">
        <v>3739</v>
      </c>
      <c r="E6" t="s">
        <v>160</v>
      </c>
      <c r="F6">
        <v>1</v>
      </c>
      <c r="G6">
        <v>3</v>
      </c>
      <c r="H6" t="s">
        <v>3828</v>
      </c>
      <c r="I6" t="s">
        <v>8074</v>
      </c>
      <c r="J6" t="s">
        <v>7453</v>
      </c>
      <c r="K6" t="s">
        <v>3885</v>
      </c>
      <c r="N6" t="s">
        <v>8053</v>
      </c>
    </row>
    <row r="7" spans="1:15" x14ac:dyDescent="0.25">
      <c r="A7" t="s">
        <v>7355</v>
      </c>
      <c r="B7" t="s">
        <v>176</v>
      </c>
      <c r="C7" t="s">
        <v>3738</v>
      </c>
      <c r="D7" t="s">
        <v>3788</v>
      </c>
      <c r="E7" t="s">
        <v>2173</v>
      </c>
      <c r="F7">
        <v>1</v>
      </c>
      <c r="G7">
        <v>3</v>
      </c>
      <c r="H7" t="s">
        <v>3747</v>
      </c>
      <c r="I7" t="s">
        <v>7356</v>
      </c>
      <c r="J7" t="s">
        <v>3455</v>
      </c>
      <c r="K7" t="s">
        <v>7355</v>
      </c>
      <c r="L7" t="s">
        <v>4566</v>
      </c>
      <c r="N7" t="s">
        <v>8052</v>
      </c>
    </row>
    <row r="8" spans="1:15" x14ac:dyDescent="0.25">
      <c r="A8" t="s">
        <v>3886</v>
      </c>
      <c r="B8" t="s">
        <v>176</v>
      </c>
      <c r="C8" t="s">
        <v>3738</v>
      </c>
      <c r="D8" t="s">
        <v>3788</v>
      </c>
      <c r="E8" t="s">
        <v>2619</v>
      </c>
      <c r="F8">
        <v>1</v>
      </c>
      <c r="G8">
        <v>3</v>
      </c>
      <c r="H8" t="s">
        <v>3740</v>
      </c>
      <c r="I8" t="s">
        <v>3887</v>
      </c>
      <c r="J8" t="s">
        <v>7455</v>
      </c>
      <c r="K8" t="s">
        <v>3888</v>
      </c>
      <c r="N8" t="s">
        <v>8052</v>
      </c>
    </row>
    <row r="9" spans="1:15" x14ac:dyDescent="0.25">
      <c r="A9" t="s">
        <v>3889</v>
      </c>
      <c r="B9" t="s">
        <v>176</v>
      </c>
      <c r="C9" t="s">
        <v>3738</v>
      </c>
      <c r="D9" t="s">
        <v>3739</v>
      </c>
      <c r="E9" t="s">
        <v>1294</v>
      </c>
      <c r="F9">
        <v>1</v>
      </c>
      <c r="G9">
        <v>3</v>
      </c>
      <c r="H9" t="s">
        <v>3751</v>
      </c>
      <c r="I9" t="s">
        <v>3890</v>
      </c>
      <c r="J9" t="s">
        <v>3455</v>
      </c>
      <c r="K9" t="s">
        <v>3889</v>
      </c>
      <c r="N9" t="s">
        <v>8052</v>
      </c>
    </row>
    <row r="10" spans="1:15" x14ac:dyDescent="0.25">
      <c r="A10" t="s">
        <v>3891</v>
      </c>
      <c r="B10" t="s">
        <v>176</v>
      </c>
      <c r="C10" t="s">
        <v>3738</v>
      </c>
      <c r="D10" t="s">
        <v>3739</v>
      </c>
      <c r="E10" t="s">
        <v>160</v>
      </c>
      <c r="F10">
        <v>1</v>
      </c>
      <c r="G10">
        <v>3</v>
      </c>
      <c r="H10" t="s">
        <v>3834</v>
      </c>
      <c r="I10" t="s">
        <v>3892</v>
      </c>
      <c r="J10" t="s">
        <v>3455</v>
      </c>
      <c r="K10" t="s">
        <v>3891</v>
      </c>
      <c r="N10" t="s">
        <v>8052</v>
      </c>
    </row>
    <row r="11" spans="1:15" x14ac:dyDescent="0.25">
      <c r="A11" t="s">
        <v>7894</v>
      </c>
      <c r="B11" t="s">
        <v>176</v>
      </c>
      <c r="C11" t="s">
        <v>3738</v>
      </c>
      <c r="D11" t="s">
        <v>3739</v>
      </c>
      <c r="E11" t="s">
        <v>2619</v>
      </c>
      <c r="F11">
        <v>1</v>
      </c>
      <c r="G11">
        <v>3</v>
      </c>
      <c r="H11" t="s">
        <v>3747</v>
      </c>
      <c r="I11" t="s">
        <v>7895</v>
      </c>
      <c r="J11" t="s">
        <v>3455</v>
      </c>
      <c r="K11" t="s">
        <v>7896</v>
      </c>
      <c r="N11" t="s">
        <v>8052</v>
      </c>
    </row>
    <row r="12" spans="1:15" x14ac:dyDescent="0.25">
      <c r="A12" t="s">
        <v>3893</v>
      </c>
      <c r="B12" t="s">
        <v>176</v>
      </c>
      <c r="C12" t="s">
        <v>3772</v>
      </c>
      <c r="D12" t="s">
        <v>3894</v>
      </c>
      <c r="E12" t="s">
        <v>1294</v>
      </c>
      <c r="F12">
        <v>1</v>
      </c>
      <c r="G12">
        <v>5</v>
      </c>
      <c r="H12" t="s">
        <v>3751</v>
      </c>
      <c r="I12" t="s">
        <v>3895</v>
      </c>
      <c r="J12" t="s">
        <v>3455</v>
      </c>
      <c r="K12" t="s">
        <v>3893</v>
      </c>
      <c r="N12" t="s">
        <v>8052</v>
      </c>
    </row>
    <row r="13" spans="1:15" x14ac:dyDescent="0.25">
      <c r="A13" t="s">
        <v>3896</v>
      </c>
      <c r="B13" t="s">
        <v>176</v>
      </c>
      <c r="C13" t="s">
        <v>3772</v>
      </c>
      <c r="D13" t="s">
        <v>3739</v>
      </c>
      <c r="E13" t="s">
        <v>160</v>
      </c>
      <c r="F13">
        <v>1</v>
      </c>
      <c r="G13">
        <v>5</v>
      </c>
      <c r="H13" t="s">
        <v>3747</v>
      </c>
      <c r="I13" t="s">
        <v>3897</v>
      </c>
      <c r="J13" t="s">
        <v>3455</v>
      </c>
      <c r="K13" t="s">
        <v>3898</v>
      </c>
      <c r="N13" t="s">
        <v>8052</v>
      </c>
    </row>
    <row r="14" spans="1:15" x14ac:dyDescent="0.25">
      <c r="A14" t="s">
        <v>7877</v>
      </c>
      <c r="B14" t="s">
        <v>176</v>
      </c>
      <c r="C14" t="s">
        <v>3772</v>
      </c>
      <c r="D14" t="s">
        <v>3739</v>
      </c>
      <c r="E14" t="s">
        <v>1046</v>
      </c>
      <c r="F14">
        <v>1</v>
      </c>
      <c r="G14">
        <v>5</v>
      </c>
      <c r="H14" t="s">
        <v>3747</v>
      </c>
      <c r="I14" t="s">
        <v>7878</v>
      </c>
      <c r="J14" t="s">
        <v>3455</v>
      </c>
      <c r="K14" t="s">
        <v>7879</v>
      </c>
      <c r="L14" t="s">
        <v>7880</v>
      </c>
      <c r="N14" t="s">
        <v>8052</v>
      </c>
    </row>
    <row r="15" spans="1:15" x14ac:dyDescent="0.25">
      <c r="A15" t="s">
        <v>3899</v>
      </c>
      <c r="B15" t="s">
        <v>176</v>
      </c>
      <c r="C15" t="s">
        <v>3772</v>
      </c>
      <c r="D15" t="s">
        <v>3739</v>
      </c>
      <c r="E15" t="s">
        <v>1029</v>
      </c>
      <c r="F15">
        <v>1</v>
      </c>
      <c r="G15">
        <v>5</v>
      </c>
      <c r="H15" t="s">
        <v>3747</v>
      </c>
      <c r="I15" t="s">
        <v>3900</v>
      </c>
      <c r="J15" t="s">
        <v>7443</v>
      </c>
      <c r="K15" t="s">
        <v>3901</v>
      </c>
      <c r="N15" t="s">
        <v>8052</v>
      </c>
    </row>
    <row r="16" spans="1:15" x14ac:dyDescent="0.25">
      <c r="A16" t="s">
        <v>3902</v>
      </c>
      <c r="B16" t="s">
        <v>176</v>
      </c>
      <c r="C16" t="s">
        <v>3772</v>
      </c>
      <c r="D16" t="s">
        <v>3739</v>
      </c>
      <c r="E16" t="s">
        <v>1298</v>
      </c>
      <c r="F16">
        <v>1</v>
      </c>
      <c r="G16">
        <v>5</v>
      </c>
      <c r="H16" t="s">
        <v>3747</v>
      </c>
      <c r="I16" t="s">
        <v>3903</v>
      </c>
      <c r="J16" t="s">
        <v>3455</v>
      </c>
      <c r="K16" t="s">
        <v>3902</v>
      </c>
      <c r="N16" t="s">
        <v>8052</v>
      </c>
    </row>
    <row r="17" spans="1:14" x14ac:dyDescent="0.25">
      <c r="A17" t="s">
        <v>7892</v>
      </c>
      <c r="B17" t="s">
        <v>176</v>
      </c>
      <c r="C17" t="s">
        <v>3772</v>
      </c>
      <c r="D17" t="s">
        <v>7893</v>
      </c>
      <c r="E17" t="s">
        <v>1046</v>
      </c>
      <c r="F17">
        <v>1</v>
      </c>
      <c r="G17">
        <v>5</v>
      </c>
      <c r="H17" t="s">
        <v>3747</v>
      </c>
      <c r="I17" t="s">
        <v>7891</v>
      </c>
      <c r="J17" t="s">
        <v>3455</v>
      </c>
      <c r="K17" t="s">
        <v>7892</v>
      </c>
      <c r="N17" t="s">
        <v>8052</v>
      </c>
    </row>
    <row r="18" spans="1:14" x14ac:dyDescent="0.25">
      <c r="A18" t="s">
        <v>3465</v>
      </c>
      <c r="B18" t="s">
        <v>176</v>
      </c>
      <c r="C18" t="s">
        <v>3786</v>
      </c>
      <c r="D18" t="s">
        <v>3739</v>
      </c>
      <c r="E18" t="s">
        <v>160</v>
      </c>
      <c r="F18">
        <v>1</v>
      </c>
      <c r="G18">
        <v>7</v>
      </c>
      <c r="H18" t="s">
        <v>3740</v>
      </c>
      <c r="I18" t="s">
        <v>3904</v>
      </c>
      <c r="J18" t="s">
        <v>3455</v>
      </c>
      <c r="K18" t="s">
        <v>3465</v>
      </c>
      <c r="N18" t="s">
        <v>8052</v>
      </c>
    </row>
    <row r="19" spans="1:14" x14ac:dyDescent="0.25">
      <c r="A19" t="s">
        <v>3905</v>
      </c>
      <c r="B19" t="s">
        <v>176</v>
      </c>
      <c r="C19" t="s">
        <v>3906</v>
      </c>
      <c r="D19" t="s">
        <v>3783</v>
      </c>
      <c r="E19" t="s">
        <v>1046</v>
      </c>
      <c r="F19">
        <v>1</v>
      </c>
      <c r="G19">
        <v>9</v>
      </c>
      <c r="H19" t="s">
        <v>3740</v>
      </c>
      <c r="I19" t="s">
        <v>3907</v>
      </c>
      <c r="J19" t="s">
        <v>3455</v>
      </c>
      <c r="K19" t="s">
        <v>3905</v>
      </c>
      <c r="L19" t="s">
        <v>3758</v>
      </c>
      <c r="N19" t="s">
        <v>8052</v>
      </c>
    </row>
    <row r="20" spans="1:14" x14ac:dyDescent="0.25">
      <c r="A20" t="s">
        <v>7897</v>
      </c>
      <c r="B20" t="s">
        <v>176</v>
      </c>
      <c r="C20" t="s">
        <v>3906</v>
      </c>
      <c r="D20" t="s">
        <v>3788</v>
      </c>
      <c r="E20" t="s">
        <v>709</v>
      </c>
      <c r="F20">
        <v>1</v>
      </c>
      <c r="G20">
        <v>9</v>
      </c>
      <c r="H20" t="s">
        <v>3747</v>
      </c>
      <c r="I20" t="s">
        <v>7898</v>
      </c>
      <c r="J20" t="s">
        <v>3455</v>
      </c>
      <c r="K20" t="s">
        <v>7899</v>
      </c>
      <c r="N20" t="s">
        <v>8052</v>
      </c>
    </row>
    <row r="21" spans="1:14" x14ac:dyDescent="0.25">
      <c r="A21" t="s">
        <v>7887</v>
      </c>
      <c r="B21" t="s">
        <v>182</v>
      </c>
      <c r="C21" t="s">
        <v>3738</v>
      </c>
      <c r="D21" t="s">
        <v>3739</v>
      </c>
      <c r="E21" t="s">
        <v>90</v>
      </c>
      <c r="F21">
        <v>1</v>
      </c>
      <c r="G21">
        <v>3</v>
      </c>
      <c r="H21" t="s">
        <v>3747</v>
      </c>
      <c r="I21" t="s">
        <v>7886</v>
      </c>
      <c r="J21" t="s">
        <v>3455</v>
      </c>
      <c r="K21" t="s">
        <v>7888</v>
      </c>
      <c r="N21" t="s">
        <v>8052</v>
      </c>
    </row>
    <row r="22" spans="1:14" x14ac:dyDescent="0.25">
      <c r="A22" t="s">
        <v>3908</v>
      </c>
      <c r="B22" t="s">
        <v>182</v>
      </c>
      <c r="C22" t="s">
        <v>3738</v>
      </c>
      <c r="D22" t="s">
        <v>3788</v>
      </c>
      <c r="E22" t="s">
        <v>90</v>
      </c>
      <c r="F22">
        <v>1</v>
      </c>
      <c r="G22">
        <v>3</v>
      </c>
      <c r="H22" t="s">
        <v>3747</v>
      </c>
      <c r="I22" t="s">
        <v>3909</v>
      </c>
      <c r="J22" t="s">
        <v>3455</v>
      </c>
      <c r="K22" t="s">
        <v>3910</v>
      </c>
      <c r="N22" t="s">
        <v>8052</v>
      </c>
    </row>
    <row r="23" spans="1:14" x14ac:dyDescent="0.25">
      <c r="A23" t="s">
        <v>3911</v>
      </c>
      <c r="B23" t="s">
        <v>182</v>
      </c>
      <c r="C23" t="s">
        <v>3738</v>
      </c>
      <c r="D23" t="s">
        <v>3739</v>
      </c>
      <c r="E23" t="s">
        <v>38</v>
      </c>
      <c r="F23">
        <v>1</v>
      </c>
      <c r="G23">
        <v>3</v>
      </c>
      <c r="H23" t="s">
        <v>3747</v>
      </c>
      <c r="I23" t="s">
        <v>3912</v>
      </c>
      <c r="J23" t="s">
        <v>7408</v>
      </c>
      <c r="K23" t="s">
        <v>3911</v>
      </c>
      <c r="N23" t="s">
        <v>8052</v>
      </c>
    </row>
    <row r="24" spans="1:14" x14ac:dyDescent="0.25">
      <c r="A24" t="s">
        <v>3913</v>
      </c>
      <c r="B24" t="s">
        <v>182</v>
      </c>
      <c r="C24" t="s">
        <v>3772</v>
      </c>
      <c r="D24" t="s">
        <v>3739</v>
      </c>
      <c r="E24" t="s">
        <v>353</v>
      </c>
      <c r="F24">
        <v>1</v>
      </c>
      <c r="G24">
        <v>5</v>
      </c>
      <c r="H24" t="s">
        <v>3828</v>
      </c>
      <c r="I24" t="s">
        <v>8067</v>
      </c>
      <c r="J24" t="s">
        <v>3455</v>
      </c>
      <c r="K24" t="s">
        <v>3914</v>
      </c>
      <c r="N24" t="s">
        <v>8053</v>
      </c>
    </row>
    <row r="25" spans="1:14" x14ac:dyDescent="0.25">
      <c r="A25" t="s">
        <v>3915</v>
      </c>
      <c r="B25" t="s">
        <v>182</v>
      </c>
      <c r="C25" t="s">
        <v>3772</v>
      </c>
      <c r="D25" t="s">
        <v>3739</v>
      </c>
      <c r="E25" t="s">
        <v>353</v>
      </c>
      <c r="F25">
        <v>1</v>
      </c>
      <c r="G25">
        <v>5</v>
      </c>
      <c r="H25" t="s">
        <v>3828</v>
      </c>
      <c r="I25" t="s">
        <v>8070</v>
      </c>
      <c r="J25" t="s">
        <v>3455</v>
      </c>
      <c r="K25" t="s">
        <v>3916</v>
      </c>
      <c r="N25" t="s">
        <v>8053</v>
      </c>
    </row>
    <row r="26" spans="1:14" x14ac:dyDescent="0.25">
      <c r="A26" t="s">
        <v>3917</v>
      </c>
      <c r="B26" t="s">
        <v>182</v>
      </c>
      <c r="C26" t="s">
        <v>3772</v>
      </c>
      <c r="D26" t="s">
        <v>3739</v>
      </c>
      <c r="E26" t="s">
        <v>353</v>
      </c>
      <c r="F26">
        <v>1</v>
      </c>
      <c r="G26">
        <v>5</v>
      </c>
      <c r="H26" t="s">
        <v>3828</v>
      </c>
      <c r="I26" t="s">
        <v>8068</v>
      </c>
      <c r="J26" t="s">
        <v>3455</v>
      </c>
      <c r="K26" t="s">
        <v>3918</v>
      </c>
      <c r="N26" t="s">
        <v>8053</v>
      </c>
    </row>
    <row r="27" spans="1:14" x14ac:dyDescent="0.25">
      <c r="A27" t="s">
        <v>3919</v>
      </c>
      <c r="B27" t="s">
        <v>182</v>
      </c>
      <c r="C27" t="s">
        <v>3772</v>
      </c>
      <c r="D27" t="s">
        <v>3788</v>
      </c>
      <c r="E27" t="s">
        <v>38</v>
      </c>
      <c r="F27">
        <v>1</v>
      </c>
      <c r="G27">
        <v>5</v>
      </c>
      <c r="H27" t="s">
        <v>3740</v>
      </c>
      <c r="I27" t="s">
        <v>3920</v>
      </c>
      <c r="J27" t="s">
        <v>7459</v>
      </c>
      <c r="K27" t="s">
        <v>3921</v>
      </c>
      <c r="N27" t="s">
        <v>8052</v>
      </c>
    </row>
    <row r="28" spans="1:14" x14ac:dyDescent="0.25">
      <c r="A28" t="s">
        <v>3922</v>
      </c>
      <c r="B28" t="s">
        <v>182</v>
      </c>
      <c r="C28" t="s">
        <v>3772</v>
      </c>
      <c r="D28" t="s">
        <v>3739</v>
      </c>
      <c r="E28" t="s">
        <v>353</v>
      </c>
      <c r="F28">
        <v>1</v>
      </c>
      <c r="G28">
        <v>5</v>
      </c>
      <c r="H28" t="s">
        <v>3828</v>
      </c>
      <c r="I28" t="s">
        <v>8069</v>
      </c>
      <c r="J28" t="s">
        <v>3455</v>
      </c>
      <c r="K28" t="s">
        <v>3923</v>
      </c>
      <c r="N28" t="s">
        <v>8053</v>
      </c>
    </row>
    <row r="29" spans="1:14" x14ac:dyDescent="0.25">
      <c r="A29" t="s">
        <v>3924</v>
      </c>
      <c r="B29" t="s">
        <v>182</v>
      </c>
      <c r="C29" t="s">
        <v>3786</v>
      </c>
      <c r="D29" t="s">
        <v>3739</v>
      </c>
      <c r="E29" t="s">
        <v>353</v>
      </c>
      <c r="F29">
        <v>1</v>
      </c>
      <c r="G29">
        <v>7</v>
      </c>
      <c r="H29" t="s">
        <v>3828</v>
      </c>
      <c r="I29" t="s">
        <v>8083</v>
      </c>
      <c r="J29" t="s">
        <v>3455</v>
      </c>
      <c r="K29" t="s">
        <v>3926</v>
      </c>
      <c r="N29" t="s">
        <v>8053</v>
      </c>
    </row>
    <row r="30" spans="1:14" x14ac:dyDescent="0.25">
      <c r="A30" t="s">
        <v>7889</v>
      </c>
      <c r="B30" t="s">
        <v>182</v>
      </c>
      <c r="C30" t="s">
        <v>3786</v>
      </c>
      <c r="D30" t="s">
        <v>3739</v>
      </c>
      <c r="E30" t="s">
        <v>353</v>
      </c>
      <c r="F30">
        <v>1</v>
      </c>
      <c r="G30">
        <v>7</v>
      </c>
      <c r="H30" t="s">
        <v>3828</v>
      </c>
      <c r="I30" t="s">
        <v>8075</v>
      </c>
      <c r="J30" t="s">
        <v>3455</v>
      </c>
      <c r="K30" t="s">
        <v>7890</v>
      </c>
      <c r="N30" t="s">
        <v>8053</v>
      </c>
    </row>
    <row r="31" spans="1:14" x14ac:dyDescent="0.25">
      <c r="A31" t="s">
        <v>3927</v>
      </c>
      <c r="B31" t="s">
        <v>182</v>
      </c>
      <c r="C31" t="s">
        <v>3786</v>
      </c>
      <c r="D31" t="s">
        <v>3739</v>
      </c>
      <c r="E31" t="s">
        <v>90</v>
      </c>
      <c r="F31">
        <v>1</v>
      </c>
      <c r="G31">
        <v>7</v>
      </c>
      <c r="H31" t="s">
        <v>3828</v>
      </c>
      <c r="I31" t="s">
        <v>3928</v>
      </c>
      <c r="J31" t="s">
        <v>7429</v>
      </c>
      <c r="K31" t="s">
        <v>3929</v>
      </c>
      <c r="N31" t="s">
        <v>8053</v>
      </c>
    </row>
    <row r="32" spans="1:14" x14ac:dyDescent="0.25">
      <c r="A32" t="s">
        <v>3930</v>
      </c>
      <c r="B32" t="s">
        <v>182</v>
      </c>
      <c r="C32" t="s">
        <v>3906</v>
      </c>
      <c r="D32" t="s">
        <v>3788</v>
      </c>
      <c r="E32" t="s">
        <v>90</v>
      </c>
      <c r="F32">
        <v>1</v>
      </c>
      <c r="G32">
        <v>9</v>
      </c>
      <c r="H32" t="s">
        <v>3747</v>
      </c>
      <c r="I32" t="s">
        <v>3931</v>
      </c>
      <c r="J32" t="s">
        <v>7456</v>
      </c>
      <c r="K32" t="s">
        <v>3932</v>
      </c>
      <c r="N32" t="s">
        <v>8052</v>
      </c>
    </row>
    <row r="33" spans="1:14" x14ac:dyDescent="0.25">
      <c r="A33" t="s">
        <v>3933</v>
      </c>
      <c r="B33" t="s">
        <v>222</v>
      </c>
      <c r="C33" t="s">
        <v>3738</v>
      </c>
      <c r="D33" t="s">
        <v>3788</v>
      </c>
      <c r="E33" t="s">
        <v>1129</v>
      </c>
      <c r="F33">
        <v>1</v>
      </c>
      <c r="G33">
        <v>3</v>
      </c>
      <c r="H33" t="s">
        <v>3740</v>
      </c>
      <c r="I33" t="s">
        <v>3934</v>
      </c>
      <c r="J33" t="s">
        <v>3455</v>
      </c>
      <c r="K33" t="s">
        <v>3935</v>
      </c>
      <c r="L33" t="s">
        <v>3766</v>
      </c>
      <c r="N33" t="s">
        <v>8052</v>
      </c>
    </row>
    <row r="34" spans="1:14" x14ac:dyDescent="0.25">
      <c r="A34" t="s">
        <v>3936</v>
      </c>
      <c r="B34" t="s">
        <v>222</v>
      </c>
      <c r="C34" t="s">
        <v>3738</v>
      </c>
      <c r="D34" t="s">
        <v>3739</v>
      </c>
      <c r="E34" t="s">
        <v>501</v>
      </c>
      <c r="F34">
        <v>1</v>
      </c>
      <c r="G34">
        <v>3</v>
      </c>
      <c r="H34" t="s">
        <v>3747</v>
      </c>
      <c r="I34" t="s">
        <v>3937</v>
      </c>
      <c r="J34" t="s">
        <v>7450</v>
      </c>
      <c r="K34" t="s">
        <v>3936</v>
      </c>
      <c r="L34" t="s">
        <v>3671</v>
      </c>
      <c r="N34" t="s">
        <v>8052</v>
      </c>
    </row>
    <row r="35" spans="1:14" x14ac:dyDescent="0.25">
      <c r="A35" t="s">
        <v>3938</v>
      </c>
      <c r="B35" t="s">
        <v>222</v>
      </c>
      <c r="C35" t="s">
        <v>3738</v>
      </c>
      <c r="D35" t="s">
        <v>3739</v>
      </c>
      <c r="E35" t="s">
        <v>1649</v>
      </c>
      <c r="F35">
        <v>1</v>
      </c>
      <c r="G35">
        <v>3</v>
      </c>
      <c r="H35" t="s">
        <v>3747</v>
      </c>
      <c r="I35" t="s">
        <v>3939</v>
      </c>
      <c r="J35" t="s">
        <v>3455</v>
      </c>
      <c r="K35" t="s">
        <v>3938</v>
      </c>
      <c r="L35" t="s">
        <v>3859</v>
      </c>
      <c r="N35" t="s">
        <v>8052</v>
      </c>
    </row>
    <row r="36" spans="1:14" x14ac:dyDescent="0.25">
      <c r="A36" t="s">
        <v>3940</v>
      </c>
      <c r="B36" t="s">
        <v>222</v>
      </c>
      <c r="C36" t="s">
        <v>3738</v>
      </c>
      <c r="D36" t="s">
        <v>3788</v>
      </c>
      <c r="E36" t="s">
        <v>501</v>
      </c>
      <c r="F36">
        <v>1</v>
      </c>
      <c r="G36">
        <v>3</v>
      </c>
      <c r="H36" t="s">
        <v>3751</v>
      </c>
      <c r="I36" t="s">
        <v>3941</v>
      </c>
      <c r="J36" t="s">
        <v>3455</v>
      </c>
      <c r="K36" t="s">
        <v>3940</v>
      </c>
      <c r="L36" t="s">
        <v>3842</v>
      </c>
      <c r="N36" t="s">
        <v>8052</v>
      </c>
    </row>
    <row r="37" spans="1:14" x14ac:dyDescent="0.25">
      <c r="A37" t="s">
        <v>3942</v>
      </c>
      <c r="B37" t="s">
        <v>222</v>
      </c>
      <c r="C37" t="s">
        <v>3738</v>
      </c>
      <c r="D37" t="s">
        <v>3739</v>
      </c>
      <c r="E37" t="s">
        <v>1649</v>
      </c>
      <c r="F37">
        <v>1</v>
      </c>
      <c r="G37">
        <v>3</v>
      </c>
      <c r="H37" t="s">
        <v>3747</v>
      </c>
      <c r="I37" t="s">
        <v>3943</v>
      </c>
      <c r="J37" t="s">
        <v>7442</v>
      </c>
      <c r="K37" t="s">
        <v>3942</v>
      </c>
      <c r="L37" t="s">
        <v>3859</v>
      </c>
      <c r="N37" t="s">
        <v>8052</v>
      </c>
    </row>
    <row r="38" spans="1:14" x14ac:dyDescent="0.25">
      <c r="A38" t="s">
        <v>3944</v>
      </c>
      <c r="B38" t="s">
        <v>222</v>
      </c>
      <c r="C38" t="s">
        <v>3738</v>
      </c>
      <c r="D38" t="s">
        <v>3739</v>
      </c>
      <c r="E38" t="s">
        <v>501</v>
      </c>
      <c r="F38">
        <v>1</v>
      </c>
      <c r="G38">
        <v>3</v>
      </c>
      <c r="H38" t="s">
        <v>3740</v>
      </c>
      <c r="I38" t="s">
        <v>3945</v>
      </c>
      <c r="J38" t="s">
        <v>3455</v>
      </c>
      <c r="K38" t="s">
        <v>3946</v>
      </c>
      <c r="N38" t="s">
        <v>8052</v>
      </c>
    </row>
    <row r="39" spans="1:14" x14ac:dyDescent="0.25">
      <c r="A39" t="s">
        <v>7901</v>
      </c>
      <c r="B39" t="s">
        <v>222</v>
      </c>
      <c r="C39" t="s">
        <v>3772</v>
      </c>
      <c r="D39" t="s">
        <v>3783</v>
      </c>
      <c r="E39" t="s">
        <v>1649</v>
      </c>
      <c r="F39">
        <v>1</v>
      </c>
      <c r="G39">
        <v>5</v>
      </c>
      <c r="H39" t="s">
        <v>3747</v>
      </c>
      <c r="I39" t="s">
        <v>7902</v>
      </c>
      <c r="J39" t="s">
        <v>3455</v>
      </c>
      <c r="K39" t="s">
        <v>7900</v>
      </c>
      <c r="L39" t="s">
        <v>7903</v>
      </c>
      <c r="N39" t="s">
        <v>8052</v>
      </c>
    </row>
    <row r="40" spans="1:14" x14ac:dyDescent="0.25">
      <c r="A40" t="s">
        <v>3947</v>
      </c>
      <c r="B40" t="s">
        <v>222</v>
      </c>
      <c r="C40" t="s">
        <v>3772</v>
      </c>
      <c r="D40" t="s">
        <v>3739</v>
      </c>
      <c r="E40" t="s">
        <v>1649</v>
      </c>
      <c r="F40">
        <v>1</v>
      </c>
      <c r="G40">
        <v>5</v>
      </c>
      <c r="H40" t="s">
        <v>3747</v>
      </c>
      <c r="I40" t="s">
        <v>3948</v>
      </c>
      <c r="J40" t="s">
        <v>3455</v>
      </c>
      <c r="K40" t="s">
        <v>3947</v>
      </c>
      <c r="N40" t="s">
        <v>8052</v>
      </c>
    </row>
    <row r="41" spans="1:14" x14ac:dyDescent="0.25">
      <c r="A41" t="s">
        <v>7425</v>
      </c>
      <c r="B41" t="s">
        <v>222</v>
      </c>
      <c r="C41" t="s">
        <v>3772</v>
      </c>
      <c r="D41" t="s">
        <v>3788</v>
      </c>
      <c r="E41" t="s">
        <v>1649</v>
      </c>
      <c r="F41">
        <v>1</v>
      </c>
      <c r="G41">
        <v>5</v>
      </c>
      <c r="H41" t="s">
        <v>7465</v>
      </c>
      <c r="I41" t="s">
        <v>8084</v>
      </c>
      <c r="J41" t="s">
        <v>7454</v>
      </c>
      <c r="K41" t="s">
        <v>7466</v>
      </c>
      <c r="L41" t="s">
        <v>3859</v>
      </c>
      <c r="M41">
        <v>3</v>
      </c>
      <c r="N41" t="s">
        <v>8052</v>
      </c>
    </row>
    <row r="42" spans="1:14" x14ac:dyDescent="0.25">
      <c r="A42" t="s">
        <v>3949</v>
      </c>
      <c r="B42" t="s">
        <v>222</v>
      </c>
      <c r="C42" t="s">
        <v>3772</v>
      </c>
      <c r="D42" t="s">
        <v>3894</v>
      </c>
      <c r="E42" t="s">
        <v>1649</v>
      </c>
      <c r="F42">
        <v>1</v>
      </c>
      <c r="G42">
        <v>5</v>
      </c>
      <c r="H42" t="s">
        <v>3751</v>
      </c>
      <c r="I42" t="s">
        <v>3950</v>
      </c>
      <c r="J42" t="s">
        <v>7459</v>
      </c>
      <c r="K42" t="s">
        <v>3951</v>
      </c>
      <c r="N42" t="s">
        <v>8052</v>
      </c>
    </row>
    <row r="43" spans="1:14" x14ac:dyDescent="0.25">
      <c r="A43" t="s">
        <v>3952</v>
      </c>
      <c r="B43" t="s">
        <v>222</v>
      </c>
      <c r="C43" t="s">
        <v>3772</v>
      </c>
      <c r="D43" t="s">
        <v>3739</v>
      </c>
      <c r="E43" t="s">
        <v>1649</v>
      </c>
      <c r="F43">
        <v>1</v>
      </c>
      <c r="G43">
        <v>5</v>
      </c>
      <c r="H43" t="s">
        <v>3747</v>
      </c>
      <c r="I43" t="s">
        <v>3953</v>
      </c>
      <c r="J43" t="s">
        <v>3455</v>
      </c>
      <c r="K43" t="s">
        <v>3952</v>
      </c>
      <c r="L43" t="s">
        <v>3859</v>
      </c>
      <c r="N43" t="s">
        <v>8052</v>
      </c>
    </row>
    <row r="44" spans="1:14" x14ac:dyDescent="0.25">
      <c r="A44" t="s">
        <v>3954</v>
      </c>
      <c r="B44" t="s">
        <v>222</v>
      </c>
      <c r="C44" t="s">
        <v>3786</v>
      </c>
      <c r="D44" t="s">
        <v>3955</v>
      </c>
      <c r="E44" t="s">
        <v>1649</v>
      </c>
      <c r="F44">
        <v>1</v>
      </c>
      <c r="G44">
        <v>7</v>
      </c>
      <c r="H44" t="s">
        <v>3834</v>
      </c>
      <c r="I44" t="s">
        <v>3956</v>
      </c>
      <c r="J44" t="s">
        <v>7376</v>
      </c>
      <c r="K44" t="s">
        <v>3957</v>
      </c>
      <c r="N44" t="s">
        <v>8052</v>
      </c>
    </row>
    <row r="45" spans="1:14" x14ac:dyDescent="0.25">
      <c r="A45" t="s">
        <v>3958</v>
      </c>
      <c r="B45" t="s">
        <v>222</v>
      </c>
      <c r="C45" t="s">
        <v>3786</v>
      </c>
      <c r="D45" t="s">
        <v>3788</v>
      </c>
      <c r="E45" t="s">
        <v>1649</v>
      </c>
      <c r="F45">
        <v>1</v>
      </c>
      <c r="G45">
        <v>7</v>
      </c>
      <c r="H45" t="s">
        <v>3751</v>
      </c>
      <c r="I45" t="s">
        <v>3959</v>
      </c>
      <c r="J45" t="s">
        <v>7446</v>
      </c>
      <c r="K45" t="s">
        <v>3960</v>
      </c>
      <c r="N45" t="s">
        <v>8052</v>
      </c>
    </row>
    <row r="46" spans="1:14" x14ac:dyDescent="0.25">
      <c r="A46" t="s">
        <v>3961</v>
      </c>
      <c r="B46" t="s">
        <v>222</v>
      </c>
      <c r="C46" t="s">
        <v>3906</v>
      </c>
      <c r="D46" t="s">
        <v>3788</v>
      </c>
      <c r="E46" t="s">
        <v>1649</v>
      </c>
      <c r="F46">
        <v>1</v>
      </c>
      <c r="G46">
        <v>9</v>
      </c>
      <c r="H46" t="s">
        <v>3740</v>
      </c>
      <c r="I46" t="s">
        <v>8058</v>
      </c>
      <c r="J46" t="s">
        <v>3455</v>
      </c>
      <c r="K46" t="s">
        <v>3962</v>
      </c>
      <c r="L46" t="s">
        <v>3963</v>
      </c>
      <c r="N46" t="s">
        <v>8052</v>
      </c>
    </row>
    <row r="47" spans="1:14" x14ac:dyDescent="0.25">
      <c r="A47" t="s">
        <v>3964</v>
      </c>
      <c r="B47" t="s">
        <v>179</v>
      </c>
      <c r="C47" t="s">
        <v>3738</v>
      </c>
      <c r="D47" t="s">
        <v>3739</v>
      </c>
      <c r="E47" t="s">
        <v>689</v>
      </c>
      <c r="F47">
        <v>1</v>
      </c>
      <c r="G47">
        <v>3</v>
      </c>
      <c r="H47" t="s">
        <v>3828</v>
      </c>
      <c r="I47" t="s">
        <v>8063</v>
      </c>
      <c r="J47" t="s">
        <v>3455</v>
      </c>
      <c r="K47" t="s">
        <v>3964</v>
      </c>
      <c r="N47" t="s">
        <v>8053</v>
      </c>
    </row>
    <row r="48" spans="1:14" x14ac:dyDescent="0.25">
      <c r="A48" t="s">
        <v>3965</v>
      </c>
      <c r="B48" t="s">
        <v>179</v>
      </c>
      <c r="C48" t="s">
        <v>3772</v>
      </c>
      <c r="D48" t="s">
        <v>3739</v>
      </c>
      <c r="E48" t="s">
        <v>689</v>
      </c>
      <c r="F48">
        <v>1</v>
      </c>
      <c r="G48">
        <v>5</v>
      </c>
      <c r="H48" t="s">
        <v>3828</v>
      </c>
      <c r="I48" t="s">
        <v>8063</v>
      </c>
      <c r="J48" t="s">
        <v>3455</v>
      </c>
      <c r="K48" t="s">
        <v>3966</v>
      </c>
      <c r="N48" t="s">
        <v>8053</v>
      </c>
    </row>
    <row r="49" spans="1:14" x14ac:dyDescent="0.25">
      <c r="A49" t="s">
        <v>3967</v>
      </c>
      <c r="B49" t="s">
        <v>179</v>
      </c>
      <c r="C49" t="s">
        <v>3786</v>
      </c>
      <c r="D49" t="s">
        <v>3783</v>
      </c>
      <c r="E49" t="s">
        <v>2154</v>
      </c>
      <c r="F49">
        <v>1</v>
      </c>
      <c r="G49">
        <v>7</v>
      </c>
      <c r="H49" t="s">
        <v>3740</v>
      </c>
      <c r="I49" t="s">
        <v>3968</v>
      </c>
      <c r="J49" t="s">
        <v>7452</v>
      </c>
      <c r="K49" t="s">
        <v>3967</v>
      </c>
      <c r="N49"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boss without using violence</t>
        </is>
      </c>
      <c r="B27" t="inlineStr">
        <is>
          <t xml:space="preserve">Bounty</t>
        </is>
      </c>
      <c r="C27" t="inlineStr">
        <is>
          <t xml:space="preserve">1-Low</t>
        </is>
      </c>
      <c r="D27" t="inlineStr">
        <is>
          <t xml:space="preserve">boss</t>
        </is>
      </c>
      <c r="E27" t="inlineStr">
        <is>
          <t xml:space="preserve">Baby Plum</t>
        </is>
      </c>
      <c r="G27" t="inlineStr">
        <is>
          <t xml:space="preserve">has</t>
        </is>
      </c>
      <c r="H27" t="inlineStr">
        <is>
          <t xml:space="preserve">any time</t>
        </is>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defeated a vampire</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an enemy as a shield</t>
        </is>
      </c>
      <c r="B127" t="inlineStr">
        <is>
          <t xml:space="preserve">Feat</t>
        </is>
      </c>
      <c r="C127" t="inlineStr">
        <is>
          <t xml:space="preserve">1-Low</t>
        </is>
      </c>
      <c r="D127" t="inlineStr">
        <is>
          <t xml:space="preserve">enemy</t>
        </is>
      </c>
      <c r="E127" t="inlineStr">
        <is>
          <t xml:space="preserve">Stumpy Stump</t>
        </is>
      </c>
      <c r="G127" t="inlineStr">
        <is>
          <t xml:space="preserve">has</t>
        </is>
      </c>
      <c r="H127" t="inlineStr">
        <is>
          <t xml:space="preserve">any time</t>
        </is>
      </c>
    </row>
    <row r="128" spans="1:10">
      <c r="A128" t="inlineStr">
        <is>
          <t xml:space="preserve">Use technology to heal yourself</t>
        </is>
      </c>
      <c r="B128" t="inlineStr">
        <is>
          <t xml:space="preserve">Feat</t>
        </is>
      </c>
      <c r="C128" t="inlineStr">
        <is>
          <t xml:space="preserve">2-Medium</t>
        </is>
      </c>
      <c r="D128" t="inlineStr">
        <is>
          <t xml:space="preserve">enemy</t>
        </is>
      </c>
      <c r="E128" t="inlineStr">
        <is>
          <t xml:space="preserve">Love Bot</t>
        </is>
      </c>
      <c r="G128" t="inlineStr">
        <is>
          <t xml:space="preserve">has</t>
        </is>
      </c>
      <c r="H128" t="inlineStr">
        <is>
          <t xml:space="preserve">any time</t>
        </is>
      </c>
    </row>
    <row r="129" spans="1:10">
      <c r="A129" t="inlineStr">
        <is>
          <t xml:space="preserve">Beat a game while only taking the first option offered when taking reward options </t>
        </is>
      </c>
      <c r="B129" t="inlineStr">
        <is>
          <t xml:space="preserve">Restriction</t>
        </is>
      </c>
      <c r="C129" t="inlineStr">
        <is>
          <t xml:space="preserve">3-High</t>
        </is>
      </c>
      <c r="D129" t="inlineStr">
        <is>
          <t xml:space="preserve">boss</t>
        </is>
      </c>
      <c r="E129" t="inlineStr">
        <is>
          <t xml:space="preserve">Cerulean Bell</t>
        </is>
      </c>
      <c r="G129" t="inlineStr">
        <is>
          <t xml:space="preserve">has</t>
        </is>
      </c>
      <c r="H129" t="inlineStr">
        <is>
          <t xml:space="preserve">game beaten</t>
        </is>
      </c>
    </row>
    <row r="130" spans="1:10">
      <c r="A130" t="inlineStr">
        <is>
          <t xml:space="preserve">Witness a birth</t>
        </is>
      </c>
      <c r="B130" t="inlineStr">
        <is>
          <t xml:space="preserve">Discovery</t>
        </is>
      </c>
      <c r="C130" t="inlineStr">
        <is>
          <t xml:space="preserve">2-Medium</t>
        </is>
      </c>
      <c r="D130" t="inlineStr">
        <is>
          <t xml:space="preserve">enemy</t>
        </is>
      </c>
      <c r="E130" t="inlineStr">
        <is>
          <t xml:space="preserve">Caveman Woman</t>
        </is>
      </c>
      <c r="G130" t="inlineStr">
        <is>
          <t xml:space="preserve">has</t>
        </is>
      </c>
      <c r="H130" t="inlineStr">
        <is>
          <t xml:space="preserve">any time</t>
        </is>
      </c>
    </row>
    <row r="131" spans="1:10">
      <c r="A131" t="inlineStr">
        <is>
          <t xml:space="preserve">Witness a living structure</t>
        </is>
      </c>
      <c r="B131" t="inlineStr">
        <is>
          <t xml:space="preserve">Discovery</t>
        </is>
      </c>
      <c r="C131" t="inlineStr">
        <is>
          <t xml:space="preserve">1-Low</t>
        </is>
      </c>
      <c r="D131" t="inlineStr">
        <is>
          <t xml:space="preserve">boss</t>
        </is>
      </c>
      <c r="E131" t="inlineStr">
        <is>
          <t xml:space="preserve">Colossus</t>
        </is>
      </c>
      <c r="G131" t="inlineStr">
        <is>
          <t xml:space="preserve">has</t>
        </is>
      </c>
      <c r="H131" t="inlineStr">
        <is>
          <t xml:space="preserve">any time</t>
        </is>
      </c>
    </row>
    <row r="132" spans="1:10">
      <c r="A132" t="inlineStr">
        <is>
          <t xml:space="preserve">Witness an enemy kill itself</t>
        </is>
      </c>
      <c r="B132" t="inlineStr">
        <is>
          <t xml:space="preserve">Discovery</t>
        </is>
      </c>
      <c r="C132" t="inlineStr">
        <is>
          <t xml:space="preserve">3-High</t>
        </is>
      </c>
      <c r="D132" t="inlineStr">
        <is>
          <t xml:space="preserve">enemy</t>
        </is>
      </c>
      <c r="E132" t="inlineStr">
        <is>
          <t xml:space="preserve">Transient</t>
        </is>
      </c>
      <c r="G132" t="inlineStr">
        <is>
          <t xml:space="preserve">has</t>
        </is>
      </c>
      <c r="H132" t="inlineStr">
        <is>
          <t xml:space="preserve">any time</t>
        </is>
      </c>
    </row>
    <row r="133" spans="1:10">
      <c r="A133" t="inlineStr">
        <is>
          <t xml:space="preserve">you don't ring a bell</t>
        </is>
      </c>
      <c r="D133" t="inlineStr">
        <is>
          <t xml:space="preserve">curse</t>
        </is>
      </c>
      <c r="E133" t="inlineStr">
        <is>
          <t xml:space="preserve">Curse of the Bell</t>
        </is>
      </c>
      <c r="G133" t="inlineStr">
        <is>
          <t xml:space="preserve">has</t>
        </is>
      </c>
      <c r="H133" t="inlineStr">
        <is>
          <t xml:space="preserve">game beaten</t>
        </is>
      </c>
    </row>
    <row r="134" spans="1:10">
      <c r="A134" t="inlineStr">
        <is>
          <t xml:space="preserve">you go below half health</t>
        </is>
      </c>
      <c r="D134" t="inlineStr">
        <is>
          <t xml:space="preserve">curse</t>
        </is>
      </c>
      <c r="E134" t="inlineStr">
        <is>
          <t xml:space="preserve">Injury</t>
        </is>
      </c>
      <c r="G134" t="inlineStr">
        <is>
          <t xml:space="preserve">has</t>
        </is>
      </c>
      <c r="H134" t="inlineStr">
        <is>
          <t xml:space="preserve">game beaten</t>
        </is>
      </c>
    </row>
    <row r="135" spans="1:10">
      <c r="A135" t="inlineStr">
        <is>
          <t xml:space="preserve">Beat a game while having selected a random starting build</t>
        </is>
      </c>
      <c r="B135" t="inlineStr">
        <is>
          <t xml:space="preserve">Restriction</t>
        </is>
      </c>
      <c r="C135" t="inlineStr">
        <is>
          <t xml:space="preserve">2-Medium</t>
        </is>
      </c>
      <c r="D135" t="inlineStr">
        <is>
          <t xml:space="preserve">enemy</t>
        </is>
      </c>
      <c r="E135" t="inlineStr">
        <is>
          <t xml:space="preserve">Snecko</t>
        </is>
      </c>
      <c r="G135" t="inlineStr">
        <is>
          <t xml:space="preserve">has</t>
        </is>
      </c>
      <c r="H135" t="inlineStr">
        <is>
          <t xml:space="preserve">game beaten</t>
        </is>
      </c>
    </row>
    <row r="136" spans="1:10">
      <c r="A136" t="inlineStr">
        <is>
          <t xml:space="preserve">you use a rest site to replenish health</t>
        </is>
      </c>
      <c r="D136" t="inlineStr">
        <is>
          <t xml:space="preserve">curse</t>
        </is>
      </c>
      <c r="E136" t="inlineStr">
        <is>
          <t xml:space="preserve">Poor Sleep</t>
        </is>
      </c>
      <c r="G136" t="inlineStr">
        <is>
          <t xml:space="preserve">has</t>
        </is>
      </c>
      <c r="H136" t="inlineStr">
        <is>
          <t xml:space="preserve">game beaten</t>
        </is>
      </c>
    </row>
    <row r="137" spans="1:10">
      <c r="A137" t="inlineStr">
        <is>
          <t xml:space="preserve">Be a hero</t>
        </is>
      </c>
      <c r="B137" t="inlineStr">
        <is>
          <t xml:space="preserve">Feat</t>
        </is>
      </c>
      <c r="D137" t="inlineStr">
        <is>
          <t xml:space="preserve">weapon</t>
        </is>
      </c>
      <c r="E137" t="inlineStr">
        <is>
          <t xml:space="preserve">Hero Sword</t>
        </is>
      </c>
      <c r="G137" t="inlineStr">
        <is>
          <t xml:space="preserve">has</t>
        </is>
      </c>
      <c r="H137" t="inlineStr">
        <is>
          <t xml:space="preserve">any time</t>
        </is>
      </c>
    </row>
    <row r="138" spans="1:10">
      <c r="A138" t="inlineStr">
        <is>
          <t xml:space="preserve">Attack an enemy with food</t>
        </is>
      </c>
      <c r="B138" t="inlineStr">
        <is>
          <t xml:space="preserve">Feat</t>
        </is>
      </c>
      <c r="D138" t="inlineStr">
        <is>
          <t xml:space="preserve">weapon</t>
        </is>
      </c>
      <c r="E138" t="inlineStr">
        <is>
          <t xml:space="preserve">Stankus' Toothpick</t>
        </is>
      </c>
      <c r="G138" t="inlineStr">
        <is>
          <t xml:space="preserve">has</t>
        </is>
      </c>
      <c r="H138" t="inlineStr">
        <is>
          <t xml:space="preserve">any time</t>
        </is>
      </c>
    </row>
    <row r="139" spans="1:10">
      <c r="A139" t="inlineStr">
        <is>
          <t xml:space="preserve">Defeat an enemy with wooden gear on</t>
        </is>
      </c>
      <c r="B139" t="inlineStr">
        <is>
          <t xml:space="preserve">Bounty</t>
        </is>
      </c>
      <c r="D139" t="inlineStr">
        <is>
          <t xml:space="preserve">weapon</t>
        </is>
      </c>
      <c r="E139" t="inlineStr">
        <is>
          <t xml:space="preserve">Wooden Sword</t>
        </is>
      </c>
      <c r="G139" t="inlineStr">
        <is>
          <t xml:space="preserve">has</t>
        </is>
      </c>
      <c r="H139" t="inlineStr">
        <is>
          <t xml:space="preserve">any time</t>
        </is>
      </c>
    </row>
    <row r="140" spans="1:10">
      <c r="A140" t="inlineStr">
        <is>
          <t xml:space="preserve">Be a hero</t>
        </is>
      </c>
      <c r="B140" t="inlineStr">
        <is>
          <t xml:space="preserve">Feat</t>
        </is>
      </c>
      <c r="D140" t="inlineStr">
        <is>
          <t xml:space="preserve">weapon</t>
        </is>
      </c>
      <c r="E140" t="inlineStr">
        <is>
          <t xml:space="preserve">Hero Longsword</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Lil' Bomber</t>
        </is>
      </c>
      <c r="G141" t="inlineStr">
        <is>
          <t xml:space="preserve">has</t>
        </is>
      </c>
      <c r="H141" t="inlineStr">
        <is>
          <t xml:space="preserve">any time</t>
        </is>
      </c>
    </row>
    <row r="142" spans="1:10">
      <c r="A142" t="inlineStr">
        <is>
          <t xml:space="preserve">Explode an enemy with a cannon ball</t>
        </is>
      </c>
      <c r="B142" t="inlineStr">
        <is>
          <t xml:space="preserve">Feat</t>
        </is>
      </c>
      <c r="D142" t="inlineStr">
        <is>
          <t xml:space="preserve">weapon</t>
        </is>
      </c>
      <c r="E142" t="inlineStr">
        <is>
          <t xml:space="preserve">King Bomber</t>
        </is>
      </c>
      <c r="G142" t="inlineStr">
        <is>
          <t xml:space="preserve">has</t>
        </is>
      </c>
      <c r="H142" t="inlineStr">
        <is>
          <t xml:space="preserve">any time</t>
        </is>
      </c>
    </row>
    <row r="143" spans="1:10">
      <c r="A143" t="inlineStr">
        <is>
          <t xml:space="preserve">Defeat an enemy with a lightning bolt</t>
        </is>
      </c>
      <c r="B143" t="inlineStr">
        <is>
          <t xml:space="preserve">Bounty</t>
        </is>
      </c>
      <c r="D143" t="inlineStr">
        <is>
          <t xml:space="preserve">weapon</t>
        </is>
      </c>
      <c r="E143" t="inlineStr">
        <is>
          <t xml:space="preserve">Lightning Ring</t>
        </is>
      </c>
      <c r="G143" t="inlineStr">
        <is>
          <t xml:space="preserve">has</t>
        </is>
      </c>
      <c r="H143" t="inlineStr">
        <is>
          <t xml:space="preserve">any time</t>
        </is>
      </c>
    </row>
    <row r="144" spans="1:10">
      <c r="A144" t="inlineStr">
        <is>
          <t xml:space="preserve">Defeat an enemy with a lightning bolt</t>
        </is>
      </c>
      <c r="B144" t="inlineStr">
        <is>
          <t xml:space="preserve">Bounty</t>
        </is>
      </c>
      <c r="D144" t="inlineStr">
        <is>
          <t xml:space="preserve">weapon</t>
        </is>
      </c>
      <c r="E144" t="inlineStr">
        <is>
          <t xml:space="preserve">Thunder Loop</t>
        </is>
      </c>
      <c r="G144" t="inlineStr">
        <is>
          <t xml:space="preserve">has</t>
        </is>
      </c>
      <c r="H144" t="inlineStr">
        <is>
          <t xml:space="preserve">any time</t>
        </is>
      </c>
    </row>
    <row r="145" spans="1:10">
      <c r="A145" t="inlineStr">
        <is>
          <t xml:space="preserve">Defeat a vampire</t>
        </is>
      </c>
      <c r="B145" t="inlineStr">
        <is>
          <t xml:space="preserve">Bounty</t>
        </is>
      </c>
      <c r="D145" t="inlineStr">
        <is>
          <t xml:space="preserve">weapon</t>
        </is>
      </c>
      <c r="E145" t="inlineStr">
        <is>
          <t xml:space="preserve">Whip</t>
        </is>
      </c>
      <c r="G145" t="inlineStr">
        <is>
          <t xml:space="preserve">has</t>
        </is>
      </c>
      <c r="H145" t="inlineStr">
        <is>
          <t xml:space="preserve">any time</t>
        </is>
      </c>
    </row>
    <row r="146" spans="1:10">
      <c r="A146" t="inlineStr">
        <is>
          <t xml:space="preserve">Defeat a vampire</t>
        </is>
      </c>
      <c r="B146" t="inlineStr">
        <is>
          <t xml:space="preserve">Bounty</t>
        </is>
      </c>
      <c r="D146" t="inlineStr">
        <is>
          <t xml:space="preserve">weapon</t>
        </is>
      </c>
      <c r="E146" t="inlineStr">
        <is>
          <t xml:space="preserve">Bloody Tear</t>
        </is>
      </c>
      <c r="G146" t="inlineStr">
        <is>
          <t xml:space="preserve">has</t>
        </is>
      </c>
      <c r="H146"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923</v>
      </c>
      <c r="C5" s="17" t="s">
        <v>4311</v>
      </c>
      <c r="E5" t="s">
        <v>4312</v>
      </c>
      <c r="F5">
        <f>COUNTIF('Map Calc'!$D$2:$D$950,0)</f>
        <v>70</v>
      </c>
      <c r="G5">
        <f>COUNTIFS('Map Calc'!$D$2:$D$950,0,'Map Calc'!$P$2:$P$950,"Yes")</f>
        <v>36</v>
      </c>
      <c r="I5" t="s">
        <v>176</v>
      </c>
      <c r="J5">
        <f>COUNTIF(games!$C$2:$C$950,$I5)</f>
        <v>405</v>
      </c>
      <c r="K5">
        <f>COUNTIFS(games!$C$2:$C$950,$I5,games!$H$2:$H$950,"Yes")</f>
        <v>270</v>
      </c>
      <c r="L5" s="18">
        <f>IF($J5=0,0,$K5/$J5)</f>
        <v>0.66666666666666663</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583</v>
      </c>
      <c r="C6" s="17" t="s">
        <v>4314</v>
      </c>
      <c r="E6" t="s">
        <v>4315</v>
      </c>
      <c r="F6">
        <f>COUNTIF('Map Calc'!$D$2:$D$950,1)</f>
        <v>333</v>
      </c>
      <c r="G6">
        <f>COUNTIFS('Map Calc'!$D$2:$D$950,1,'Map Calc'!$P$2:$P$950,"Yes")</f>
        <v>204</v>
      </c>
      <c r="I6" t="s">
        <v>222</v>
      </c>
      <c r="J6">
        <f>COUNTIF(games!$C$2:$C$950,$I6)</f>
        <v>163</v>
      </c>
      <c r="K6">
        <f>COUNTIFS(games!$C$2:$C$950,$I6,games!$H$2:$H$950,"Yes")</f>
        <v>105</v>
      </c>
      <c r="L6" s="18">
        <f>IF($J6=0,0,$K6/$J6)</f>
        <v>0.64417177914110424</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0.63163596966413871</v>
      </c>
      <c r="C7" s="17" t="s">
        <v>4317</v>
      </c>
      <c r="E7" t="s">
        <v>4318</v>
      </c>
      <c r="F7">
        <f>COUNTIF('Map Calc'!$D$2:$D$950,2)</f>
        <v>210</v>
      </c>
      <c r="G7">
        <f>COUNTIFS('Map Calc'!$D$2:$D$950,2,'Map Calc'!$P$2:$P$950,"Yes")</f>
        <v>124</v>
      </c>
      <c r="I7" t="s">
        <v>182</v>
      </c>
      <c r="J7">
        <f>COUNTIF(games!$C$2:$C$950,$I7)</f>
        <v>188</v>
      </c>
      <c r="K7">
        <f>COUNTIFS(games!$C$2:$C$950,$I7,games!$H$2:$H$950,"Yes")</f>
        <v>100</v>
      </c>
      <c r="L7" s="18">
        <f>IF($J7=0,0,$K7/$J7)</f>
        <v>0.53191489361702127</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COUNTA(connections!$A$2:$A$1526)</f>
        <v>1525</v>
      </c>
      <c r="C8" s="17" t="s">
        <v>4319</v>
      </c>
      <c r="E8" t="s">
        <v>4320</v>
      </c>
      <c r="F8">
        <f>COUNTIF('Map Calc'!$D$2:$D$950,3)</f>
        <v>135</v>
      </c>
      <c r="G8">
        <f>COUNTIFS('Map Calc'!$D$2:$D$950,3,'Map Calc'!$P$2:$P$950,"Yes")</f>
        <v>91</v>
      </c>
      <c r="I8" t="s">
        <v>179</v>
      </c>
      <c r="J8">
        <f>COUNTIF(games!$C$2:$C$950,$I8)</f>
        <v>167</v>
      </c>
      <c r="K8">
        <f>COUNTIFS(games!$C$2:$C$950,$I8,games!$H$2:$H$950,"Yes")</f>
        <v>108</v>
      </c>
      <c r="L8" s="18">
        <f>IF($J8=0,0,$K8/$J8)</f>
        <v>0.6467065868263473</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3.3044420368364031</v>
      </c>
      <c r="C9" s="17" t="s">
        <v>4322</v>
      </c>
      <c r="E9" t="s">
        <v>4323</v>
      </c>
      <c r="F9">
        <f>COUNTIF('Map Calc'!$D$2:$D$950,4)</f>
        <v>59</v>
      </c>
      <c r="G9">
        <f>COUNTIFS('Map Calc'!$D$2:$D$950,4,'Map Calc'!$P$2:$P$950,"Yes")</f>
        <v>36</v>
      </c>
      <c r="I9" s="21" t="s">
        <v>39</v>
      </c>
      <c r="J9" s="21">
        <f>SUM(J5:J8)</f>
        <v>923</v>
      </c>
      <c r="K9" s="21">
        <f>SUM(K5:K8)</f>
        <v>583</v>
      </c>
      <c r="L9" s="22">
        <f>IF($J9=0,0,$K9/$J9)</f>
        <v>0.63163596966413871</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4.0943396226415096</v>
      </c>
      <c r="C10" s="17" t="s">
        <v>4325</v>
      </c>
      <c r="E10" t="s">
        <v>4326</v>
      </c>
      <c r="F10">
        <f>COUNTIF('Map Calc'!$D$2:$D$950,5)</f>
        <v>35</v>
      </c>
      <c r="G10">
        <f>COUNTIFS('Map Calc'!$D$2:$D$950,5,'Map Calc'!$P$2:$P$950,"Yes")</f>
        <v>21</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t="e">
        <f>MEDIAN('Map Calc'!$D$2:$D$950)</f>
        <v>#REF!</v>
      </c>
      <c r="C11" s="17" t="s">
        <v>4328</v>
      </c>
      <c r="E11" t="s">
        <v>4329</v>
      </c>
      <c r="F11">
        <f>COUNTIFS('Map Calc'!$D$2:$D$950,"&gt;=6",'Map Calc'!$D$2:$D$950,"&lt;=9")</f>
        <v>42</v>
      </c>
      <c r="G11">
        <f>COUNTIFS('Map Calc'!$D$2:$D$950,"&gt;=6",'Map Calc'!$D$2:$D$950,"&lt;=9",'Map Calc'!$P$2:$P$950,"Yes")</f>
        <v>32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t="e">
        <f>MAX('Map Calc'!$D$2:$D$950)</f>
        <v>#REF!</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70</v>
      </c>
      <c r="C14" s="17" t="s">
        <v>4337</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403</v>
      </c>
      <c r="C15" s="17" t="s">
        <v>4339</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343</v>
      </c>
      <c r="C16" s="17" t="s">
        <v>4341</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240</v>
      </c>
      <c r="C17" s="17" t="s">
        <v>4344</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
      </c>
      <c r="P20" t="str">
        <f>IFERROR(INDEX('Map Calc'!$D$2:$D$950,MATCH(LARGE('Map Calc'!$O$2:$O$950,16),'Map Calc'!$O$2:$O$950,0)),"")</f>
        <v/>
      </c>
      <c r="V20">
        <v>1993</v>
      </c>
      <c r="W20">
        <f>COUNTIF(games!$B$2:$B$950,$V20)</f>
        <v>2</v>
      </c>
      <c r="X20">
        <f>COUNTIFS(games!$B$2:$B$950,$V20,games!$H$2:$H$950,"Yes")</f>
        <v>1</v>
      </c>
      <c r="Y20">
        <f>COUNTIF('Map Calc'!$T$2:$T$1400,$V20)</f>
        <v>24</v>
      </c>
    </row>
    <row r="21" spans="1:28" x14ac:dyDescent="0.25">
      <c r="A21" s="15" t="s">
        <v>4352</v>
      </c>
      <c r="B21" s="25">
        <f>COUNTIF(connections!$D$2:$D$1526,"Yes")</f>
        <v>154</v>
      </c>
      <c r="C21" s="17" t="s">
        <v>4353</v>
      </c>
      <c r="N21">
        <v>17</v>
      </c>
      <c r="O21" t="str">
        <f>IFERROR(INDEX('Map Calc'!$A$2:$A$950,MATCH(LARGE('Map Calc'!$O$2:$O$950,17),'Map Calc'!$O$2:$O$950,0)),"")</f>
        <v/>
      </c>
      <c r="P21" t="str">
        <f>IFERROR(INDEX('Map Calc'!$D$2:$D$950,MATCH(LARGE('Map Calc'!$O$2:$O$950,17),'Map Calc'!$O$2:$O$950,0)),"")</f>
        <v/>
      </c>
      <c r="V21">
        <v>1994</v>
      </c>
      <c r="W21">
        <f>COUNTIF(games!$B$2:$B$950,$V21)</f>
        <v>3</v>
      </c>
      <c r="X21">
        <f>COUNTIFS(games!$B$2:$B$950,$V21,games!$H$2:$H$950,"Yes")</f>
        <v>3</v>
      </c>
      <c r="Y21">
        <f>COUNTIF('Map Calc'!$T$2:$T$1400,$V21)</f>
        <v>21</v>
      </c>
    </row>
    <row r="22" spans="1:28" x14ac:dyDescent="0.25">
      <c r="A22" s="15" t="s">
        <v>4354</v>
      </c>
      <c r="B22" s="25">
        <f>COUNTA(connections!$E$2:$E$1526)</f>
        <v>1374</v>
      </c>
      <c r="C22" s="17" t="s">
        <v>4355</v>
      </c>
      <c r="N22">
        <v>18</v>
      </c>
      <c r="O22" t="str">
        <f>IFERROR(INDEX('Map Calc'!$A$2:$A$950,MATCH(LARGE('Map Calc'!$O$2:$O$950,18),'Map Calc'!$O$2:$O$950,0)),"")</f>
        <v/>
      </c>
      <c r="P22" t="str">
        <f>IFERROR(INDEX('Map Calc'!$D$2:$D$950,MATCH(LARGE('Map Calc'!$O$2:$O$950,18),'Map Calc'!$O$2:$O$950,0)),"")</f>
        <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
      </c>
      <c r="P23" t="str">
        <f>IFERROR(INDEX('Map Calc'!$D$2:$D$950,MATCH(LARGE('Map Calc'!$O$2:$O$950,19),'Map Calc'!$O$2:$O$950,0)),"")</f>
        <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
      </c>
      <c r="P24" t="str">
        <f>IFERROR(INDEX('Map Calc'!$D$2:$D$950,MATCH(LARGE('Map Calc'!$O$2:$O$950,20),'Map Calc'!$O$2:$O$950,0)),"")</f>
        <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23</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79</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161</v>
      </c>
      <c r="X52">
        <f>COUNTIFS(games!$B$2:$B$950,$V52,games!$H$2:$H$950,"Yes")</f>
        <v>84</v>
      </c>
      <c r="Y52">
        <f>COUNTIF('Map Calc'!$T$2:$T$1400,$V52)</f>
        <v>13</v>
      </c>
    </row>
    <row r="53" spans="22:25" x14ac:dyDescent="0.25">
      <c r="V53">
        <v>2026</v>
      </c>
      <c r="W53">
        <f>COUNTIF(games!$B$2:$B$950,$V53)</f>
        <v>119</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289"/>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10065</v>
      </c>
      <c r="C1" t="s">
        <v>10066</v>
      </c>
      <c r="D1" t="s">
        <v>166</v>
      </c>
      <c r="E1" t="s">
        <v>1</v>
      </c>
      <c r="F1" t="s">
        <v>171</v>
      </c>
      <c r="G1" t="s">
        <v>170</v>
      </c>
    </row>
    <row r="2" spans="1:7" x14ac:dyDescent="0.25">
      <c r="A2" t="s">
        <v>10067</v>
      </c>
      <c r="B2" t="s">
        <v>10068</v>
      </c>
      <c r="C2" t="s">
        <v>10069</v>
      </c>
      <c r="D2">
        <v>2020</v>
      </c>
      <c r="E2" t="s">
        <v>1294</v>
      </c>
      <c r="F2" t="s">
        <v>10070</v>
      </c>
      <c r="G2" t="s">
        <v>10071</v>
      </c>
    </row>
    <row r="3" spans="1:7" x14ac:dyDescent="0.25">
      <c r="A3" t="s">
        <v>10072</v>
      </c>
      <c r="B3" t="s">
        <v>10073</v>
      </c>
      <c r="C3" t="s">
        <v>10074</v>
      </c>
      <c r="D3">
        <v>2017</v>
      </c>
      <c r="E3" t="s">
        <v>190</v>
      </c>
      <c r="F3" t="s">
        <v>10075</v>
      </c>
    </row>
    <row r="4" spans="1:7" x14ac:dyDescent="0.25">
      <c r="A4" t="s">
        <v>190</v>
      </c>
      <c r="B4" t="s">
        <v>10073</v>
      </c>
      <c r="C4" t="s">
        <v>10074</v>
      </c>
      <c r="D4">
        <v>2017</v>
      </c>
      <c r="E4" t="s">
        <v>190</v>
      </c>
      <c r="F4" t="s">
        <v>10076</v>
      </c>
      <c r="G4" t="s">
        <v>10071</v>
      </c>
    </row>
    <row r="5" spans="1:7" x14ac:dyDescent="0.25">
      <c r="A5" t="s">
        <v>10077</v>
      </c>
      <c r="B5" t="s">
        <v>10073</v>
      </c>
      <c r="C5" t="s">
        <v>10074</v>
      </c>
      <c r="D5">
        <v>2017</v>
      </c>
      <c r="E5" t="s">
        <v>190</v>
      </c>
      <c r="F5" t="s">
        <v>10078</v>
      </c>
    </row>
    <row r="6" spans="1:7" x14ac:dyDescent="0.25">
      <c r="A6" t="s">
        <v>10079</v>
      </c>
      <c r="B6" t="s">
        <v>10073</v>
      </c>
      <c r="C6" t="s">
        <v>10074</v>
      </c>
      <c r="D6">
        <v>2017</v>
      </c>
      <c r="E6" t="s">
        <v>190</v>
      </c>
      <c r="F6" t="s">
        <v>10080</v>
      </c>
    </row>
    <row r="7" spans="1:7" x14ac:dyDescent="0.25">
      <c r="A7" t="s">
        <v>10081</v>
      </c>
      <c r="B7" t="s">
        <v>10073</v>
      </c>
      <c r="C7" t="s">
        <v>10074</v>
      </c>
      <c r="D7">
        <v>2017</v>
      </c>
      <c r="E7" t="s">
        <v>190</v>
      </c>
      <c r="F7" t="s">
        <v>10082</v>
      </c>
    </row>
    <row r="8" spans="1:7" x14ac:dyDescent="0.25">
      <c r="A8" t="s">
        <v>10083</v>
      </c>
      <c r="B8" t="s">
        <v>10073</v>
      </c>
      <c r="C8" t="s">
        <v>10074</v>
      </c>
      <c r="D8">
        <v>2017</v>
      </c>
      <c r="E8" t="s">
        <v>190</v>
      </c>
      <c r="F8" t="s">
        <v>10084</v>
      </c>
    </row>
    <row r="9" spans="1:7" x14ac:dyDescent="0.25">
      <c r="A9" t="s">
        <v>10085</v>
      </c>
      <c r="B9" t="s">
        <v>10073</v>
      </c>
      <c r="C9" t="s">
        <v>10074</v>
      </c>
      <c r="D9">
        <v>2017</v>
      </c>
      <c r="E9" t="s">
        <v>190</v>
      </c>
      <c r="F9" t="s">
        <v>10086</v>
      </c>
    </row>
    <row r="10" spans="1:7" x14ac:dyDescent="0.25">
      <c r="A10" t="s">
        <v>10087</v>
      </c>
      <c r="B10" t="s">
        <v>10073</v>
      </c>
      <c r="C10" t="s">
        <v>10074</v>
      </c>
      <c r="D10">
        <v>2017</v>
      </c>
      <c r="E10" t="s">
        <v>190</v>
      </c>
      <c r="F10" t="s">
        <v>10088</v>
      </c>
    </row>
    <row r="11" spans="1:7" x14ac:dyDescent="0.25">
      <c r="A11" t="s">
        <v>10089</v>
      </c>
      <c r="B11" t="s">
        <v>10073</v>
      </c>
      <c r="C11" t="s">
        <v>10074</v>
      </c>
      <c r="D11">
        <v>2017</v>
      </c>
      <c r="E11" t="s">
        <v>190</v>
      </c>
      <c r="F11" t="s">
        <v>10090</v>
      </c>
    </row>
    <row r="12" spans="1:7" x14ac:dyDescent="0.25">
      <c r="A12" t="s">
        <v>10091</v>
      </c>
      <c r="B12" t="s">
        <v>10073</v>
      </c>
      <c r="C12" t="s">
        <v>10074</v>
      </c>
      <c r="D12">
        <v>2017</v>
      </c>
      <c r="E12" t="s">
        <v>190</v>
      </c>
      <c r="F12" t="s">
        <v>10092</v>
      </c>
    </row>
    <row r="13" spans="1:7" x14ac:dyDescent="0.25">
      <c r="A13" t="s">
        <v>10093</v>
      </c>
      <c r="B13" t="s">
        <v>10073</v>
      </c>
      <c r="C13" t="s">
        <v>10074</v>
      </c>
      <c r="D13">
        <v>2017</v>
      </c>
      <c r="E13" t="s">
        <v>190</v>
      </c>
      <c r="F13" t="s">
        <v>10094</v>
      </c>
    </row>
    <row r="14" spans="1:7" x14ac:dyDescent="0.25">
      <c r="A14" t="s">
        <v>10095</v>
      </c>
      <c r="B14" t="s">
        <v>10073</v>
      </c>
      <c r="C14" t="s">
        <v>10074</v>
      </c>
      <c r="D14">
        <v>2017</v>
      </c>
      <c r="E14" t="s">
        <v>190</v>
      </c>
      <c r="F14" t="s">
        <v>10096</v>
      </c>
    </row>
    <row r="15" spans="1:7" x14ac:dyDescent="0.25">
      <c r="A15" t="s">
        <v>10097</v>
      </c>
      <c r="B15" t="s">
        <v>10073</v>
      </c>
      <c r="C15" t="s">
        <v>10074</v>
      </c>
      <c r="D15">
        <v>2017</v>
      </c>
      <c r="E15" t="s">
        <v>190</v>
      </c>
      <c r="F15" t="s">
        <v>10098</v>
      </c>
    </row>
    <row r="16" spans="1:7" x14ac:dyDescent="0.25">
      <c r="A16" t="s">
        <v>10099</v>
      </c>
      <c r="B16" t="s">
        <v>10073</v>
      </c>
      <c r="C16" t="s">
        <v>10074</v>
      </c>
      <c r="D16">
        <v>2017</v>
      </c>
      <c r="E16" t="s">
        <v>190</v>
      </c>
      <c r="F16" t="s">
        <v>10100</v>
      </c>
    </row>
    <row r="17" spans="1:7" x14ac:dyDescent="0.25">
      <c r="A17" t="s">
        <v>10101</v>
      </c>
      <c r="B17" t="s">
        <v>10073</v>
      </c>
      <c r="C17" t="s">
        <v>10074</v>
      </c>
      <c r="D17">
        <v>2017</v>
      </c>
      <c r="E17" t="s">
        <v>190</v>
      </c>
      <c r="F17" t="s">
        <v>10102</v>
      </c>
    </row>
    <row r="18" spans="1:7" x14ac:dyDescent="0.25">
      <c r="A18" t="s">
        <v>10103</v>
      </c>
      <c r="B18" t="s">
        <v>10073</v>
      </c>
      <c r="C18" t="s">
        <v>10074</v>
      </c>
      <c r="D18">
        <v>2017</v>
      </c>
      <c r="E18" t="s">
        <v>190</v>
      </c>
      <c r="F18" t="s">
        <v>10104</v>
      </c>
    </row>
    <row r="19" spans="1:7" x14ac:dyDescent="0.25">
      <c r="A19" t="s">
        <v>10105</v>
      </c>
      <c r="B19" t="s">
        <v>10073</v>
      </c>
      <c r="C19" t="s">
        <v>10074</v>
      </c>
      <c r="D19">
        <v>2017</v>
      </c>
      <c r="E19" t="s">
        <v>190</v>
      </c>
      <c r="F19" t="s">
        <v>10106</v>
      </c>
    </row>
    <row r="20" spans="1:7" x14ac:dyDescent="0.25">
      <c r="A20" t="s">
        <v>10107</v>
      </c>
      <c r="B20" t="s">
        <v>10108</v>
      </c>
      <c r="C20" t="s">
        <v>10109</v>
      </c>
      <c r="D20">
        <v>2023</v>
      </c>
      <c r="E20" t="s">
        <v>353</v>
      </c>
      <c r="F20" t="s">
        <v>10110</v>
      </c>
      <c r="G20" t="s">
        <v>10071</v>
      </c>
    </row>
    <row r="21" spans="1:7" x14ac:dyDescent="0.25">
      <c r="A21" t="s">
        <v>10111</v>
      </c>
      <c r="B21" t="s">
        <v>10108</v>
      </c>
      <c r="C21" t="s">
        <v>10109</v>
      </c>
      <c r="D21">
        <v>2023</v>
      </c>
      <c r="E21" t="s">
        <v>353</v>
      </c>
      <c r="F21" t="s">
        <v>10112</v>
      </c>
    </row>
    <row r="22" spans="1:7" x14ac:dyDescent="0.25">
      <c r="A22" t="s">
        <v>10113</v>
      </c>
      <c r="B22" t="s">
        <v>10108</v>
      </c>
      <c r="C22" t="s">
        <v>10109</v>
      </c>
      <c r="D22">
        <v>2023</v>
      </c>
      <c r="E22" t="s">
        <v>353</v>
      </c>
      <c r="F22" t="s">
        <v>10114</v>
      </c>
    </row>
    <row r="23" spans="1:7" x14ac:dyDescent="0.25">
      <c r="A23" t="s">
        <v>10115</v>
      </c>
      <c r="B23" t="s">
        <v>10108</v>
      </c>
      <c r="C23" t="s">
        <v>10109</v>
      </c>
      <c r="D23">
        <v>2023</v>
      </c>
      <c r="E23" t="s">
        <v>353</v>
      </c>
      <c r="F23" t="s">
        <v>10116</v>
      </c>
    </row>
    <row r="24" spans="1:7" x14ac:dyDescent="0.25">
      <c r="A24" t="s">
        <v>10117</v>
      </c>
      <c r="B24" t="s">
        <v>10108</v>
      </c>
      <c r="C24" t="s">
        <v>10109</v>
      </c>
      <c r="D24">
        <v>2023</v>
      </c>
      <c r="E24" t="s">
        <v>353</v>
      </c>
      <c r="F24" t="s">
        <v>10118</v>
      </c>
    </row>
    <row r="25" spans="1:7" x14ac:dyDescent="0.25">
      <c r="A25" t="s">
        <v>10119</v>
      </c>
      <c r="B25" t="s">
        <v>10120</v>
      </c>
      <c r="C25" t="s">
        <v>10121</v>
      </c>
      <c r="D25">
        <v>2025</v>
      </c>
      <c r="E25" t="s">
        <v>360</v>
      </c>
      <c r="F25" t="s">
        <v>10122</v>
      </c>
      <c r="G25" t="s">
        <v>10071</v>
      </c>
    </row>
    <row r="26" spans="1:7" x14ac:dyDescent="0.25">
      <c r="A26" t="s">
        <v>10123</v>
      </c>
      <c r="B26" t="s">
        <v>10120</v>
      </c>
      <c r="C26" t="s">
        <v>10121</v>
      </c>
      <c r="D26">
        <v>2025</v>
      </c>
      <c r="E26" t="s">
        <v>360</v>
      </c>
      <c r="F26" t="s">
        <v>10124</v>
      </c>
    </row>
    <row r="27" spans="1:7" x14ac:dyDescent="0.25">
      <c r="A27" t="s">
        <v>10125</v>
      </c>
      <c r="B27" t="s">
        <v>10120</v>
      </c>
      <c r="C27" t="s">
        <v>10121</v>
      </c>
      <c r="D27">
        <v>2025</v>
      </c>
      <c r="E27" t="s">
        <v>360</v>
      </c>
      <c r="F27" t="s">
        <v>10126</v>
      </c>
    </row>
    <row r="28" spans="1:7" x14ac:dyDescent="0.25">
      <c r="A28" t="s">
        <v>10127</v>
      </c>
      <c r="B28" t="s">
        <v>10120</v>
      </c>
      <c r="C28" t="s">
        <v>10121</v>
      </c>
      <c r="D28">
        <v>2025</v>
      </c>
      <c r="E28" t="s">
        <v>360</v>
      </c>
      <c r="F28" t="s">
        <v>10128</v>
      </c>
    </row>
    <row r="29" spans="1:7" x14ac:dyDescent="0.25">
      <c r="A29" t="s">
        <v>10129</v>
      </c>
      <c r="B29" t="s">
        <v>10120</v>
      </c>
      <c r="C29" t="s">
        <v>10121</v>
      </c>
      <c r="D29">
        <v>2025</v>
      </c>
      <c r="E29" t="s">
        <v>360</v>
      </c>
      <c r="F29" t="s">
        <v>10130</v>
      </c>
    </row>
    <row r="30" spans="1:7" x14ac:dyDescent="0.25">
      <c r="A30" t="s">
        <v>10131</v>
      </c>
      <c r="B30" t="s">
        <v>10120</v>
      </c>
      <c r="C30" t="s">
        <v>10121</v>
      </c>
      <c r="D30">
        <v>2025</v>
      </c>
      <c r="E30" t="s">
        <v>360</v>
      </c>
      <c r="F30" t="s">
        <v>10132</v>
      </c>
    </row>
    <row r="31" spans="1:7" x14ac:dyDescent="0.25">
      <c r="A31" t="s">
        <v>10133</v>
      </c>
      <c r="B31" t="s">
        <v>10120</v>
      </c>
      <c r="C31" t="s">
        <v>10121</v>
      </c>
      <c r="D31">
        <v>2025</v>
      </c>
      <c r="E31" t="s">
        <v>360</v>
      </c>
      <c r="F31" t="s">
        <v>10134</v>
      </c>
    </row>
    <row r="32" spans="1:7" x14ac:dyDescent="0.25">
      <c r="A32" t="s">
        <v>10135</v>
      </c>
      <c r="B32" t="s">
        <v>10120</v>
      </c>
      <c r="C32" t="s">
        <v>10121</v>
      </c>
      <c r="D32">
        <v>2025</v>
      </c>
      <c r="E32" t="s">
        <v>360</v>
      </c>
      <c r="F32" t="s">
        <v>10136</v>
      </c>
    </row>
    <row r="33" spans="1:7" x14ac:dyDescent="0.25">
      <c r="A33" t="s">
        <v>10137</v>
      </c>
      <c r="B33" t="s">
        <v>10120</v>
      </c>
      <c r="C33" t="s">
        <v>10121</v>
      </c>
      <c r="D33">
        <v>2025</v>
      </c>
      <c r="E33" t="s">
        <v>360</v>
      </c>
      <c r="F33" t="s">
        <v>10138</v>
      </c>
    </row>
    <row r="34" spans="1:7" x14ac:dyDescent="0.25">
      <c r="A34" t="s">
        <v>10139</v>
      </c>
      <c r="B34" t="s">
        <v>10120</v>
      </c>
      <c r="C34" t="s">
        <v>10121</v>
      </c>
      <c r="D34">
        <v>2025</v>
      </c>
      <c r="E34" t="s">
        <v>360</v>
      </c>
      <c r="F34" t="s">
        <v>10140</v>
      </c>
    </row>
    <row r="35" spans="1:7" x14ac:dyDescent="0.25">
      <c r="A35" t="s">
        <v>10141</v>
      </c>
      <c r="B35" t="s">
        <v>10120</v>
      </c>
      <c r="C35" t="s">
        <v>10121</v>
      </c>
      <c r="D35">
        <v>2025</v>
      </c>
      <c r="E35" t="s">
        <v>360</v>
      </c>
      <c r="F35" t="s">
        <v>10142</v>
      </c>
    </row>
    <row r="36" spans="1:7" x14ac:dyDescent="0.25">
      <c r="A36" t="s">
        <v>10143</v>
      </c>
      <c r="B36" t="s">
        <v>10120</v>
      </c>
      <c r="C36" t="s">
        <v>10121</v>
      </c>
      <c r="D36">
        <v>2025</v>
      </c>
      <c r="E36" t="s">
        <v>360</v>
      </c>
      <c r="F36" t="s">
        <v>10144</v>
      </c>
    </row>
    <row r="37" spans="1:7" x14ac:dyDescent="0.25">
      <c r="A37" t="s">
        <v>10145</v>
      </c>
      <c r="B37" t="s">
        <v>10120</v>
      </c>
      <c r="C37" t="s">
        <v>10121</v>
      </c>
      <c r="D37">
        <v>2025</v>
      </c>
      <c r="E37" t="s">
        <v>360</v>
      </c>
      <c r="F37" t="s">
        <v>10146</v>
      </c>
    </row>
    <row r="38" spans="1:7" x14ac:dyDescent="0.25">
      <c r="A38" t="s">
        <v>7438</v>
      </c>
      <c r="B38" t="s">
        <v>10120</v>
      </c>
      <c r="C38" t="s">
        <v>10121</v>
      </c>
      <c r="D38">
        <v>2025</v>
      </c>
      <c r="E38" t="s">
        <v>360</v>
      </c>
      <c r="F38" t="s">
        <v>10147</v>
      </c>
    </row>
    <row r="39" spans="1:7" x14ac:dyDescent="0.25">
      <c r="A39" t="s">
        <v>10148</v>
      </c>
      <c r="B39" t="s">
        <v>10120</v>
      </c>
      <c r="C39" t="s">
        <v>10121</v>
      </c>
      <c r="D39">
        <v>2025</v>
      </c>
      <c r="E39" t="s">
        <v>360</v>
      </c>
      <c r="F39" t="s">
        <v>10149</v>
      </c>
    </row>
    <row r="40" spans="1:7" x14ac:dyDescent="0.25">
      <c r="A40" t="s">
        <v>10150</v>
      </c>
      <c r="B40" t="s">
        <v>10120</v>
      </c>
      <c r="C40" t="s">
        <v>10121</v>
      </c>
      <c r="D40">
        <v>2025</v>
      </c>
      <c r="E40" t="s">
        <v>360</v>
      </c>
      <c r="F40" t="s">
        <v>10151</v>
      </c>
    </row>
    <row r="41" spans="1:7" x14ac:dyDescent="0.25">
      <c r="A41" t="s">
        <v>10152</v>
      </c>
      <c r="B41" t="s">
        <v>10120</v>
      </c>
      <c r="C41" t="s">
        <v>10121</v>
      </c>
      <c r="D41">
        <v>2025</v>
      </c>
      <c r="E41" t="s">
        <v>360</v>
      </c>
      <c r="F41" t="s">
        <v>10153</v>
      </c>
    </row>
    <row r="42" spans="1:7" x14ac:dyDescent="0.25">
      <c r="A42" t="s">
        <v>10154</v>
      </c>
      <c r="B42" t="s">
        <v>10120</v>
      </c>
      <c r="C42" t="s">
        <v>10121</v>
      </c>
      <c r="D42">
        <v>2025</v>
      </c>
      <c r="E42" t="s">
        <v>360</v>
      </c>
      <c r="F42" t="s">
        <v>10155</v>
      </c>
    </row>
    <row r="43" spans="1:7" x14ac:dyDescent="0.25">
      <c r="A43" t="s">
        <v>10156</v>
      </c>
      <c r="B43" t="s">
        <v>10120</v>
      </c>
      <c r="C43" t="s">
        <v>10121</v>
      </c>
      <c r="D43">
        <v>2025</v>
      </c>
      <c r="E43" t="s">
        <v>360</v>
      </c>
      <c r="F43" t="s">
        <v>10157</v>
      </c>
    </row>
    <row r="44" spans="1:7" x14ac:dyDescent="0.25">
      <c r="A44" t="s">
        <v>10158</v>
      </c>
      <c r="B44" t="s">
        <v>10120</v>
      </c>
      <c r="C44" t="s">
        <v>10121</v>
      </c>
      <c r="D44">
        <v>2025</v>
      </c>
      <c r="E44" t="s">
        <v>360</v>
      </c>
      <c r="F44" t="s">
        <v>10159</v>
      </c>
    </row>
    <row r="45" spans="1:7" x14ac:dyDescent="0.25">
      <c r="A45" t="s">
        <v>10160</v>
      </c>
      <c r="B45" t="s">
        <v>10120</v>
      </c>
      <c r="C45" t="s">
        <v>10121</v>
      </c>
      <c r="D45">
        <v>2025</v>
      </c>
      <c r="E45" t="s">
        <v>360</v>
      </c>
      <c r="F45" t="s">
        <v>10161</v>
      </c>
    </row>
    <row r="46" spans="1:7" x14ac:dyDescent="0.25">
      <c r="A46" t="s">
        <v>10162</v>
      </c>
      <c r="B46" t="s">
        <v>10120</v>
      </c>
      <c r="C46" t="s">
        <v>10121</v>
      </c>
      <c r="D46">
        <v>2025</v>
      </c>
      <c r="E46" t="s">
        <v>360</v>
      </c>
      <c r="F46" t="s">
        <v>10163</v>
      </c>
    </row>
    <row r="47" spans="1:7" x14ac:dyDescent="0.25">
      <c r="A47" t="s">
        <v>10164</v>
      </c>
      <c r="B47" t="s">
        <v>10165</v>
      </c>
      <c r="C47" t="s">
        <v>10166</v>
      </c>
      <c r="D47">
        <v>2024</v>
      </c>
      <c r="E47" t="s">
        <v>497</v>
      </c>
      <c r="F47" t="s">
        <v>10167</v>
      </c>
      <c r="G47" t="s">
        <v>10071</v>
      </c>
    </row>
    <row r="48" spans="1:7" x14ac:dyDescent="0.25">
      <c r="A48" t="s">
        <v>10168</v>
      </c>
      <c r="B48" t="s">
        <v>10165</v>
      </c>
      <c r="C48" t="s">
        <v>10166</v>
      </c>
      <c r="D48">
        <v>2024</v>
      </c>
      <c r="E48" t="s">
        <v>497</v>
      </c>
      <c r="F48" t="s">
        <v>10169</v>
      </c>
    </row>
    <row r="49" spans="1:7" x14ac:dyDescent="0.25">
      <c r="A49" t="s">
        <v>10170</v>
      </c>
      <c r="B49" t="s">
        <v>10171</v>
      </c>
      <c r="C49" t="s">
        <v>10166</v>
      </c>
      <c r="D49">
        <v>2024</v>
      </c>
      <c r="E49" t="s">
        <v>497</v>
      </c>
      <c r="F49" t="s">
        <v>10172</v>
      </c>
    </row>
    <row r="50" spans="1:7" x14ac:dyDescent="0.25">
      <c r="A50" t="s">
        <v>10173</v>
      </c>
      <c r="B50" t="s">
        <v>10171</v>
      </c>
      <c r="C50" t="s">
        <v>10166</v>
      </c>
      <c r="D50">
        <v>2024</v>
      </c>
      <c r="E50" t="s">
        <v>497</v>
      </c>
      <c r="F50" t="s">
        <v>10174</v>
      </c>
    </row>
    <row r="51" spans="1:7" x14ac:dyDescent="0.25">
      <c r="A51" t="s">
        <v>10175</v>
      </c>
      <c r="B51" t="s">
        <v>10176</v>
      </c>
      <c r="C51" t="s">
        <v>10166</v>
      </c>
      <c r="D51">
        <v>2024</v>
      </c>
      <c r="E51" t="s">
        <v>497</v>
      </c>
      <c r="F51" t="s">
        <v>10177</v>
      </c>
    </row>
    <row r="52" spans="1:7" x14ac:dyDescent="0.25">
      <c r="A52" t="s">
        <v>10178</v>
      </c>
      <c r="B52" t="s">
        <v>10165</v>
      </c>
      <c r="C52" t="s">
        <v>10166</v>
      </c>
      <c r="D52">
        <v>2024</v>
      </c>
      <c r="E52" t="s">
        <v>497</v>
      </c>
      <c r="F52" t="s">
        <v>10179</v>
      </c>
    </row>
    <row r="53" spans="1:7" x14ac:dyDescent="0.25">
      <c r="A53" t="s">
        <v>10180</v>
      </c>
      <c r="B53" t="s">
        <v>10165</v>
      </c>
      <c r="C53" t="s">
        <v>10166</v>
      </c>
      <c r="D53">
        <v>2024</v>
      </c>
      <c r="E53" t="s">
        <v>497</v>
      </c>
      <c r="F53" t="s">
        <v>10181</v>
      </c>
    </row>
    <row r="54" spans="1:7" x14ac:dyDescent="0.25">
      <c r="A54" t="s">
        <v>10182</v>
      </c>
      <c r="B54" t="s">
        <v>10165</v>
      </c>
      <c r="C54" t="s">
        <v>10166</v>
      </c>
      <c r="D54">
        <v>2024</v>
      </c>
      <c r="E54" t="s">
        <v>497</v>
      </c>
      <c r="F54" t="s">
        <v>10183</v>
      </c>
    </row>
    <row r="55" spans="1:7" x14ac:dyDescent="0.25">
      <c r="A55" t="s">
        <v>10184</v>
      </c>
      <c r="B55" t="s">
        <v>10171</v>
      </c>
      <c r="C55" t="s">
        <v>10166</v>
      </c>
      <c r="D55">
        <v>2024</v>
      </c>
      <c r="E55" t="s">
        <v>497</v>
      </c>
      <c r="F55" t="s">
        <v>10185</v>
      </c>
    </row>
    <row r="56" spans="1:7" x14ac:dyDescent="0.25">
      <c r="A56" t="s">
        <v>10186</v>
      </c>
      <c r="B56" t="s">
        <v>10171</v>
      </c>
      <c r="C56" t="s">
        <v>10166</v>
      </c>
      <c r="D56">
        <v>2024</v>
      </c>
      <c r="E56" t="s">
        <v>497</v>
      </c>
      <c r="F56" t="s">
        <v>10187</v>
      </c>
    </row>
    <row r="57" spans="1:7" x14ac:dyDescent="0.25">
      <c r="A57" t="s">
        <v>10188</v>
      </c>
      <c r="B57" t="s">
        <v>10176</v>
      </c>
      <c r="C57" t="s">
        <v>10166</v>
      </c>
      <c r="D57">
        <v>2024</v>
      </c>
      <c r="E57" t="s">
        <v>497</v>
      </c>
      <c r="F57" t="s">
        <v>10189</v>
      </c>
    </row>
    <row r="58" spans="1:7" x14ac:dyDescent="0.25">
      <c r="A58" t="s">
        <v>10190</v>
      </c>
      <c r="B58" t="s">
        <v>10191</v>
      </c>
      <c r="C58" t="s">
        <v>10192</v>
      </c>
      <c r="D58">
        <v>2022</v>
      </c>
      <c r="E58" t="s">
        <v>501</v>
      </c>
      <c r="F58" t="s">
        <v>10193</v>
      </c>
      <c r="G58" t="s">
        <v>10071</v>
      </c>
    </row>
    <row r="59" spans="1:7" x14ac:dyDescent="0.25">
      <c r="A59" t="s">
        <v>10194</v>
      </c>
      <c r="B59" t="s">
        <v>10191</v>
      </c>
      <c r="C59" t="s">
        <v>10192</v>
      </c>
      <c r="D59">
        <v>2022</v>
      </c>
      <c r="E59" t="s">
        <v>501</v>
      </c>
      <c r="F59" t="s">
        <v>10195</v>
      </c>
    </row>
    <row r="60" spans="1:7" x14ac:dyDescent="0.25">
      <c r="A60" t="s">
        <v>10196</v>
      </c>
      <c r="B60" t="s">
        <v>10191</v>
      </c>
      <c r="C60" t="s">
        <v>10192</v>
      </c>
      <c r="D60">
        <v>2022</v>
      </c>
      <c r="E60" t="s">
        <v>501</v>
      </c>
      <c r="F60" t="s">
        <v>10197</v>
      </c>
    </row>
    <row r="61" spans="1:7" x14ac:dyDescent="0.25">
      <c r="A61" t="s">
        <v>10198</v>
      </c>
      <c r="B61" t="s">
        <v>10191</v>
      </c>
      <c r="C61" t="s">
        <v>10192</v>
      </c>
      <c r="D61">
        <v>2022</v>
      </c>
      <c r="E61" t="s">
        <v>501</v>
      </c>
      <c r="F61" t="s">
        <v>10199</v>
      </c>
    </row>
    <row r="62" spans="1:7" x14ac:dyDescent="0.25">
      <c r="A62" t="s">
        <v>10200</v>
      </c>
      <c r="B62" t="s">
        <v>10191</v>
      </c>
      <c r="C62" t="s">
        <v>10192</v>
      </c>
      <c r="D62">
        <v>2022</v>
      </c>
      <c r="E62" t="s">
        <v>501</v>
      </c>
      <c r="F62" t="s">
        <v>10201</v>
      </c>
    </row>
    <row r="63" spans="1:7" x14ac:dyDescent="0.25">
      <c r="A63" t="s">
        <v>10202</v>
      </c>
      <c r="B63" t="s">
        <v>10191</v>
      </c>
      <c r="C63" t="s">
        <v>10192</v>
      </c>
      <c r="D63">
        <v>2022</v>
      </c>
      <c r="E63" t="s">
        <v>501</v>
      </c>
      <c r="F63" t="s">
        <v>10203</v>
      </c>
    </row>
    <row r="64" spans="1:7" x14ac:dyDescent="0.25">
      <c r="A64" t="s">
        <v>10204</v>
      </c>
      <c r="B64" t="s">
        <v>10191</v>
      </c>
      <c r="C64" t="s">
        <v>10192</v>
      </c>
      <c r="D64">
        <v>2022</v>
      </c>
      <c r="E64" t="s">
        <v>501</v>
      </c>
      <c r="F64" t="s">
        <v>10205</v>
      </c>
    </row>
    <row r="65" spans="1:6" x14ac:dyDescent="0.25">
      <c r="A65" t="s">
        <v>4415</v>
      </c>
      <c r="B65" t="s">
        <v>10191</v>
      </c>
      <c r="C65" t="s">
        <v>10192</v>
      </c>
      <c r="D65">
        <v>2022</v>
      </c>
      <c r="E65" t="s">
        <v>501</v>
      </c>
      <c r="F65" t="s">
        <v>10206</v>
      </c>
    </row>
    <row r="66" spans="1:6" x14ac:dyDescent="0.25">
      <c r="A66" t="s">
        <v>10207</v>
      </c>
      <c r="B66" t="s">
        <v>10191</v>
      </c>
      <c r="C66" t="s">
        <v>10192</v>
      </c>
      <c r="D66">
        <v>2022</v>
      </c>
      <c r="E66" t="s">
        <v>501</v>
      </c>
      <c r="F66" t="s">
        <v>10208</v>
      </c>
    </row>
    <row r="67" spans="1:6" x14ac:dyDescent="0.25">
      <c r="A67" t="s">
        <v>10209</v>
      </c>
      <c r="B67" t="s">
        <v>10191</v>
      </c>
      <c r="C67" t="s">
        <v>10192</v>
      </c>
      <c r="D67">
        <v>2022</v>
      </c>
      <c r="E67" t="s">
        <v>501</v>
      </c>
      <c r="F67" t="s">
        <v>10210</v>
      </c>
    </row>
    <row r="68" spans="1:6" x14ac:dyDescent="0.25">
      <c r="A68" t="s">
        <v>10211</v>
      </c>
      <c r="B68" t="s">
        <v>10191</v>
      </c>
      <c r="C68" t="s">
        <v>10192</v>
      </c>
      <c r="D68">
        <v>2022</v>
      </c>
      <c r="E68" t="s">
        <v>501</v>
      </c>
      <c r="F68" t="s">
        <v>10212</v>
      </c>
    </row>
    <row r="69" spans="1:6" x14ac:dyDescent="0.25">
      <c r="A69" t="s">
        <v>10213</v>
      </c>
      <c r="B69" t="s">
        <v>10191</v>
      </c>
      <c r="C69" t="s">
        <v>10192</v>
      </c>
      <c r="D69">
        <v>2022</v>
      </c>
      <c r="E69" t="s">
        <v>501</v>
      </c>
      <c r="F69" t="s">
        <v>10214</v>
      </c>
    </row>
    <row r="70" spans="1:6" x14ac:dyDescent="0.25">
      <c r="A70" t="s">
        <v>10215</v>
      </c>
      <c r="B70" t="s">
        <v>10191</v>
      </c>
      <c r="C70" t="s">
        <v>10192</v>
      </c>
      <c r="D70">
        <v>2022</v>
      </c>
      <c r="E70" t="s">
        <v>501</v>
      </c>
      <c r="F70" t="s">
        <v>10216</v>
      </c>
    </row>
    <row r="71" spans="1:6" x14ac:dyDescent="0.25">
      <c r="A71" t="s">
        <v>10217</v>
      </c>
      <c r="B71" t="s">
        <v>10191</v>
      </c>
      <c r="C71" t="s">
        <v>10192</v>
      </c>
      <c r="D71">
        <v>2022</v>
      </c>
      <c r="E71" t="s">
        <v>501</v>
      </c>
      <c r="F71" t="s">
        <v>10218</v>
      </c>
    </row>
    <row r="72" spans="1:6" x14ac:dyDescent="0.25">
      <c r="A72" t="s">
        <v>10219</v>
      </c>
      <c r="B72" t="s">
        <v>10191</v>
      </c>
      <c r="C72" t="s">
        <v>10192</v>
      </c>
      <c r="D72">
        <v>2022</v>
      </c>
      <c r="E72" t="s">
        <v>501</v>
      </c>
      <c r="F72" t="s">
        <v>10220</v>
      </c>
    </row>
    <row r="73" spans="1:6" x14ac:dyDescent="0.25">
      <c r="A73" t="s">
        <v>10221</v>
      </c>
      <c r="B73" t="s">
        <v>10191</v>
      </c>
      <c r="C73" t="s">
        <v>10192</v>
      </c>
      <c r="D73">
        <v>2022</v>
      </c>
      <c r="E73" t="s">
        <v>501</v>
      </c>
      <c r="F73" t="s">
        <v>10222</v>
      </c>
    </row>
    <row r="74" spans="1:6" x14ac:dyDescent="0.25">
      <c r="A74" t="s">
        <v>10223</v>
      </c>
      <c r="B74" t="s">
        <v>10191</v>
      </c>
      <c r="C74" t="s">
        <v>10192</v>
      </c>
      <c r="D74">
        <v>2022</v>
      </c>
      <c r="E74" t="s">
        <v>501</v>
      </c>
      <c r="F74" t="s">
        <v>10224</v>
      </c>
    </row>
    <row r="75" spans="1:6" x14ac:dyDescent="0.25">
      <c r="A75" t="s">
        <v>10225</v>
      </c>
      <c r="B75" t="s">
        <v>10191</v>
      </c>
      <c r="C75" t="s">
        <v>10192</v>
      </c>
      <c r="D75">
        <v>2022</v>
      </c>
      <c r="E75" t="s">
        <v>501</v>
      </c>
      <c r="F75" t="s">
        <v>10226</v>
      </c>
    </row>
    <row r="76" spans="1:6" x14ac:dyDescent="0.25">
      <c r="A76" t="s">
        <v>4417</v>
      </c>
      <c r="B76" t="s">
        <v>10191</v>
      </c>
      <c r="C76" t="s">
        <v>10192</v>
      </c>
      <c r="D76">
        <v>2022</v>
      </c>
      <c r="E76" t="s">
        <v>501</v>
      </c>
      <c r="F76" t="s">
        <v>10227</v>
      </c>
    </row>
    <row r="77" spans="1:6" x14ac:dyDescent="0.25">
      <c r="A77" t="s">
        <v>10228</v>
      </c>
      <c r="B77" t="s">
        <v>10191</v>
      </c>
      <c r="C77" t="s">
        <v>10192</v>
      </c>
      <c r="D77">
        <v>2022</v>
      </c>
      <c r="E77" t="s">
        <v>501</v>
      </c>
      <c r="F77" t="s">
        <v>10229</v>
      </c>
    </row>
    <row r="78" spans="1:6" x14ac:dyDescent="0.25">
      <c r="A78" t="s">
        <v>10230</v>
      </c>
      <c r="B78" t="s">
        <v>10191</v>
      </c>
      <c r="C78" t="s">
        <v>10192</v>
      </c>
      <c r="D78">
        <v>2022</v>
      </c>
      <c r="E78" t="s">
        <v>501</v>
      </c>
      <c r="F78" t="s">
        <v>10231</v>
      </c>
    </row>
    <row r="79" spans="1:6" x14ac:dyDescent="0.25">
      <c r="A79" t="s">
        <v>10232</v>
      </c>
      <c r="B79" t="s">
        <v>10191</v>
      </c>
      <c r="C79" t="s">
        <v>10192</v>
      </c>
      <c r="D79">
        <v>2022</v>
      </c>
      <c r="E79" t="s">
        <v>501</v>
      </c>
      <c r="F79" t="s">
        <v>10233</v>
      </c>
    </row>
    <row r="80" spans="1:6" x14ac:dyDescent="0.25">
      <c r="A80" t="s">
        <v>10234</v>
      </c>
      <c r="B80" t="s">
        <v>10191</v>
      </c>
      <c r="C80" t="s">
        <v>10192</v>
      </c>
      <c r="D80">
        <v>2022</v>
      </c>
      <c r="E80" t="s">
        <v>501</v>
      </c>
      <c r="F80" t="s">
        <v>10235</v>
      </c>
    </row>
    <row r="81" spans="1:6" x14ac:dyDescent="0.25">
      <c r="A81" t="s">
        <v>10236</v>
      </c>
      <c r="B81" t="s">
        <v>10191</v>
      </c>
      <c r="C81" t="s">
        <v>10192</v>
      </c>
      <c r="D81">
        <v>2022</v>
      </c>
      <c r="E81" t="s">
        <v>501</v>
      </c>
      <c r="F81" t="s">
        <v>10237</v>
      </c>
    </row>
    <row r="82" spans="1:6" x14ac:dyDescent="0.25">
      <c r="A82" t="s">
        <v>10238</v>
      </c>
      <c r="B82" t="s">
        <v>10191</v>
      </c>
      <c r="C82" t="s">
        <v>10192</v>
      </c>
      <c r="D82">
        <v>2022</v>
      </c>
      <c r="E82" t="s">
        <v>501</v>
      </c>
      <c r="F82" t="s">
        <v>10239</v>
      </c>
    </row>
    <row r="83" spans="1:6" x14ac:dyDescent="0.25">
      <c r="A83" t="s">
        <v>10240</v>
      </c>
      <c r="B83" t="s">
        <v>10191</v>
      </c>
      <c r="C83" t="s">
        <v>10192</v>
      </c>
      <c r="D83">
        <v>2022</v>
      </c>
      <c r="E83" t="s">
        <v>501</v>
      </c>
      <c r="F83" t="s">
        <v>10241</v>
      </c>
    </row>
    <row r="84" spans="1:6" x14ac:dyDescent="0.25">
      <c r="A84" t="s">
        <v>10242</v>
      </c>
      <c r="B84" t="s">
        <v>10191</v>
      </c>
      <c r="C84" t="s">
        <v>10192</v>
      </c>
      <c r="D84">
        <v>2022</v>
      </c>
      <c r="E84" t="s">
        <v>501</v>
      </c>
      <c r="F84" t="s">
        <v>10243</v>
      </c>
    </row>
    <row r="85" spans="1:6" x14ac:dyDescent="0.25">
      <c r="A85" t="s">
        <v>10244</v>
      </c>
      <c r="B85" t="s">
        <v>10191</v>
      </c>
      <c r="C85" t="s">
        <v>10192</v>
      </c>
      <c r="D85">
        <v>2022</v>
      </c>
      <c r="E85" t="s">
        <v>501</v>
      </c>
      <c r="F85" t="s">
        <v>10245</v>
      </c>
    </row>
    <row r="86" spans="1:6" x14ac:dyDescent="0.25">
      <c r="A86" t="s">
        <v>4418</v>
      </c>
      <c r="B86" t="s">
        <v>10191</v>
      </c>
      <c r="C86" t="s">
        <v>10192</v>
      </c>
      <c r="D86">
        <v>2022</v>
      </c>
      <c r="E86" t="s">
        <v>501</v>
      </c>
      <c r="F86" t="s">
        <v>10246</v>
      </c>
    </row>
    <row r="87" spans="1:6" x14ac:dyDescent="0.25">
      <c r="A87" t="s">
        <v>10247</v>
      </c>
      <c r="B87" t="s">
        <v>10191</v>
      </c>
      <c r="C87" t="s">
        <v>10192</v>
      </c>
      <c r="D87">
        <v>2022</v>
      </c>
      <c r="E87" t="s">
        <v>501</v>
      </c>
      <c r="F87" t="s">
        <v>10248</v>
      </c>
    </row>
    <row r="88" spans="1:6" x14ac:dyDescent="0.25">
      <c r="A88" t="s">
        <v>10249</v>
      </c>
      <c r="B88" t="s">
        <v>10191</v>
      </c>
      <c r="C88" t="s">
        <v>10192</v>
      </c>
      <c r="D88">
        <v>2022</v>
      </c>
      <c r="E88" t="s">
        <v>501</v>
      </c>
      <c r="F88" t="s">
        <v>10250</v>
      </c>
    </row>
    <row r="89" spans="1:6" x14ac:dyDescent="0.25">
      <c r="A89" t="s">
        <v>10251</v>
      </c>
      <c r="B89" t="s">
        <v>10191</v>
      </c>
      <c r="C89" t="s">
        <v>10192</v>
      </c>
      <c r="D89">
        <v>2022</v>
      </c>
      <c r="E89" t="s">
        <v>501</v>
      </c>
      <c r="F89" t="s">
        <v>10252</v>
      </c>
    </row>
    <row r="90" spans="1:6" x14ac:dyDescent="0.25">
      <c r="A90" t="s">
        <v>10253</v>
      </c>
      <c r="B90" t="s">
        <v>10191</v>
      </c>
      <c r="C90" t="s">
        <v>10192</v>
      </c>
      <c r="D90">
        <v>2022</v>
      </c>
      <c r="E90" t="s">
        <v>501</v>
      </c>
      <c r="F90" t="s">
        <v>10254</v>
      </c>
    </row>
    <row r="91" spans="1:6" x14ac:dyDescent="0.25">
      <c r="A91" t="s">
        <v>10255</v>
      </c>
      <c r="B91" t="s">
        <v>10191</v>
      </c>
      <c r="C91" t="s">
        <v>10192</v>
      </c>
      <c r="D91">
        <v>2022</v>
      </c>
      <c r="E91" t="s">
        <v>501</v>
      </c>
      <c r="F91" t="s">
        <v>10256</v>
      </c>
    </row>
    <row r="92" spans="1:6" x14ac:dyDescent="0.25">
      <c r="A92" t="s">
        <v>10257</v>
      </c>
      <c r="B92" t="s">
        <v>10191</v>
      </c>
      <c r="C92" t="s">
        <v>10192</v>
      </c>
      <c r="D92">
        <v>2022</v>
      </c>
      <c r="E92" t="s">
        <v>501</v>
      </c>
      <c r="F92" t="s">
        <v>10258</v>
      </c>
    </row>
    <row r="93" spans="1:6" x14ac:dyDescent="0.25">
      <c r="A93" t="s">
        <v>10259</v>
      </c>
      <c r="B93" t="s">
        <v>10191</v>
      </c>
      <c r="C93" t="s">
        <v>10192</v>
      </c>
      <c r="D93">
        <v>2022</v>
      </c>
      <c r="E93" t="s">
        <v>501</v>
      </c>
      <c r="F93" t="s">
        <v>10260</v>
      </c>
    </row>
    <row r="94" spans="1:6" x14ac:dyDescent="0.25">
      <c r="A94" t="s">
        <v>10261</v>
      </c>
      <c r="B94" t="s">
        <v>10191</v>
      </c>
      <c r="C94" t="s">
        <v>10192</v>
      </c>
      <c r="D94">
        <v>2022</v>
      </c>
      <c r="E94" t="s">
        <v>501</v>
      </c>
      <c r="F94" t="s">
        <v>10262</v>
      </c>
    </row>
    <row r="95" spans="1:6" x14ac:dyDescent="0.25">
      <c r="A95" t="s">
        <v>10263</v>
      </c>
      <c r="B95" t="s">
        <v>10191</v>
      </c>
      <c r="C95" t="s">
        <v>10192</v>
      </c>
      <c r="D95">
        <v>2022</v>
      </c>
      <c r="E95" t="s">
        <v>501</v>
      </c>
      <c r="F95" t="s">
        <v>10264</v>
      </c>
    </row>
    <row r="96" spans="1:6" x14ac:dyDescent="0.25">
      <c r="A96" t="s">
        <v>10265</v>
      </c>
      <c r="B96" t="s">
        <v>10191</v>
      </c>
      <c r="C96" t="s">
        <v>10192</v>
      </c>
      <c r="D96">
        <v>2022</v>
      </c>
      <c r="E96" t="s">
        <v>501</v>
      </c>
      <c r="F96" t="s">
        <v>10266</v>
      </c>
    </row>
    <row r="97" spans="1:7" x14ac:dyDescent="0.25">
      <c r="A97" t="s">
        <v>10267</v>
      </c>
      <c r="B97" t="s">
        <v>10191</v>
      </c>
      <c r="C97" t="s">
        <v>10192</v>
      </c>
      <c r="D97">
        <v>2022</v>
      </c>
      <c r="E97" t="s">
        <v>501</v>
      </c>
      <c r="F97" t="s">
        <v>10268</v>
      </c>
    </row>
    <row r="98" spans="1:7" x14ac:dyDescent="0.25">
      <c r="A98" t="s">
        <v>10269</v>
      </c>
      <c r="B98" t="s">
        <v>10191</v>
      </c>
      <c r="C98" t="s">
        <v>10192</v>
      </c>
      <c r="D98">
        <v>2022</v>
      </c>
      <c r="E98" t="s">
        <v>501</v>
      </c>
      <c r="F98" t="s">
        <v>10270</v>
      </c>
    </row>
    <row r="99" spans="1:7" x14ac:dyDescent="0.25">
      <c r="A99" t="s">
        <v>1918</v>
      </c>
      <c r="B99" t="s">
        <v>10271</v>
      </c>
      <c r="C99" t="s">
        <v>10272</v>
      </c>
      <c r="D99">
        <v>2024</v>
      </c>
      <c r="E99" t="s">
        <v>553</v>
      </c>
      <c r="F99" t="s">
        <v>10273</v>
      </c>
      <c r="G99" t="s">
        <v>10071</v>
      </c>
    </row>
    <row r="100" spans="1:7" x14ac:dyDescent="0.25">
      <c r="A100" t="s">
        <v>10274</v>
      </c>
      <c r="B100" t="s">
        <v>10271</v>
      </c>
      <c r="C100" t="s">
        <v>10272</v>
      </c>
      <c r="D100">
        <v>2024</v>
      </c>
      <c r="E100" t="s">
        <v>553</v>
      </c>
      <c r="F100" t="s">
        <v>10275</v>
      </c>
    </row>
    <row r="101" spans="1:7" x14ac:dyDescent="0.25">
      <c r="A101" t="s">
        <v>10276</v>
      </c>
      <c r="B101" t="s">
        <v>10271</v>
      </c>
      <c r="C101" t="s">
        <v>10272</v>
      </c>
      <c r="D101">
        <v>2024</v>
      </c>
      <c r="E101" t="s">
        <v>553</v>
      </c>
      <c r="F101" t="s">
        <v>10277</v>
      </c>
    </row>
    <row r="102" spans="1:7" x14ac:dyDescent="0.25">
      <c r="A102" t="s">
        <v>10278</v>
      </c>
      <c r="B102" t="s">
        <v>10271</v>
      </c>
      <c r="C102" t="s">
        <v>10272</v>
      </c>
      <c r="D102">
        <v>2024</v>
      </c>
      <c r="E102" t="s">
        <v>553</v>
      </c>
      <c r="F102" t="s">
        <v>10279</v>
      </c>
    </row>
    <row r="103" spans="1:7" x14ac:dyDescent="0.25">
      <c r="A103" t="s">
        <v>10280</v>
      </c>
      <c r="B103" t="s">
        <v>10271</v>
      </c>
      <c r="C103" t="s">
        <v>10272</v>
      </c>
      <c r="D103">
        <v>2024</v>
      </c>
      <c r="E103" t="s">
        <v>553</v>
      </c>
      <c r="F103" t="s">
        <v>10281</v>
      </c>
    </row>
    <row r="104" spans="1:7" x14ac:dyDescent="0.25">
      <c r="A104" t="s">
        <v>10282</v>
      </c>
      <c r="B104" t="s">
        <v>10271</v>
      </c>
      <c r="C104" t="s">
        <v>10272</v>
      </c>
      <c r="D104">
        <v>2024</v>
      </c>
      <c r="E104" t="s">
        <v>553</v>
      </c>
      <c r="F104" t="s">
        <v>10283</v>
      </c>
    </row>
    <row r="105" spans="1:7" x14ac:dyDescent="0.25">
      <c r="A105" t="s">
        <v>10284</v>
      </c>
      <c r="B105" t="s">
        <v>10271</v>
      </c>
      <c r="C105" t="s">
        <v>10272</v>
      </c>
      <c r="D105">
        <v>2024</v>
      </c>
      <c r="E105" t="s">
        <v>553</v>
      </c>
      <c r="F105" t="s">
        <v>10285</v>
      </c>
    </row>
    <row r="106" spans="1:7" x14ac:dyDescent="0.25">
      <c r="A106" t="s">
        <v>10286</v>
      </c>
      <c r="B106" t="s">
        <v>10271</v>
      </c>
      <c r="C106" t="s">
        <v>10272</v>
      </c>
      <c r="D106">
        <v>2024</v>
      </c>
      <c r="E106" t="s">
        <v>553</v>
      </c>
      <c r="F106" t="s">
        <v>10287</v>
      </c>
    </row>
    <row r="107" spans="1:7" x14ac:dyDescent="0.25">
      <c r="A107" t="s">
        <v>10288</v>
      </c>
      <c r="B107" t="s">
        <v>10271</v>
      </c>
      <c r="C107" t="s">
        <v>10272</v>
      </c>
      <c r="D107">
        <v>2024</v>
      </c>
      <c r="E107" t="s">
        <v>553</v>
      </c>
      <c r="F107" t="s">
        <v>10289</v>
      </c>
    </row>
    <row r="108" spans="1:7" x14ac:dyDescent="0.25">
      <c r="A108" t="s">
        <v>10290</v>
      </c>
      <c r="B108" t="s">
        <v>10271</v>
      </c>
      <c r="C108" t="s">
        <v>10272</v>
      </c>
      <c r="D108">
        <v>2024</v>
      </c>
      <c r="E108" t="s">
        <v>553</v>
      </c>
      <c r="F108" t="s">
        <v>10291</v>
      </c>
    </row>
    <row r="109" spans="1:7" x14ac:dyDescent="0.25">
      <c r="A109" t="s">
        <v>10292</v>
      </c>
      <c r="B109" t="s">
        <v>10271</v>
      </c>
      <c r="C109" t="s">
        <v>10272</v>
      </c>
      <c r="D109">
        <v>2024</v>
      </c>
      <c r="E109" t="s">
        <v>553</v>
      </c>
      <c r="F109" t="s">
        <v>10293</v>
      </c>
    </row>
    <row r="110" spans="1:7" x14ac:dyDescent="0.25">
      <c r="A110" t="s">
        <v>10294</v>
      </c>
      <c r="B110" t="s">
        <v>10271</v>
      </c>
      <c r="C110" t="s">
        <v>10272</v>
      </c>
      <c r="D110">
        <v>2024</v>
      </c>
      <c r="E110" t="s">
        <v>553</v>
      </c>
      <c r="F110" t="s">
        <v>10295</v>
      </c>
    </row>
    <row r="111" spans="1:7" x14ac:dyDescent="0.25">
      <c r="A111" t="s">
        <v>10296</v>
      </c>
      <c r="B111" t="s">
        <v>10271</v>
      </c>
      <c r="C111" t="s">
        <v>10272</v>
      </c>
      <c r="D111">
        <v>2024</v>
      </c>
      <c r="E111" t="s">
        <v>553</v>
      </c>
      <c r="F111" t="s">
        <v>10297</v>
      </c>
    </row>
    <row r="112" spans="1:7" x14ac:dyDescent="0.25">
      <c r="A112" t="s">
        <v>10298</v>
      </c>
      <c r="B112" t="s">
        <v>10271</v>
      </c>
      <c r="C112" t="s">
        <v>10272</v>
      </c>
      <c r="D112">
        <v>2024</v>
      </c>
      <c r="E112" t="s">
        <v>553</v>
      </c>
      <c r="F112" t="s">
        <v>10299</v>
      </c>
    </row>
    <row r="113" spans="1:6" x14ac:dyDescent="0.25">
      <c r="A113" t="s">
        <v>10300</v>
      </c>
      <c r="B113" t="s">
        <v>10271</v>
      </c>
      <c r="C113" t="s">
        <v>10272</v>
      </c>
      <c r="D113">
        <v>2024</v>
      </c>
      <c r="E113" t="s">
        <v>553</v>
      </c>
      <c r="F113" t="s">
        <v>10301</v>
      </c>
    </row>
    <row r="114" spans="1:6" x14ac:dyDescent="0.25">
      <c r="A114" t="s">
        <v>10302</v>
      </c>
      <c r="B114" t="s">
        <v>10271</v>
      </c>
      <c r="C114" t="s">
        <v>10272</v>
      </c>
      <c r="D114">
        <v>2024</v>
      </c>
      <c r="E114" t="s">
        <v>553</v>
      </c>
      <c r="F114" t="s">
        <v>10303</v>
      </c>
    </row>
    <row r="115" spans="1:6" x14ac:dyDescent="0.25">
      <c r="A115" t="s">
        <v>10304</v>
      </c>
      <c r="B115" t="s">
        <v>10271</v>
      </c>
      <c r="C115" t="s">
        <v>10272</v>
      </c>
      <c r="D115">
        <v>2024</v>
      </c>
      <c r="E115" t="s">
        <v>553</v>
      </c>
      <c r="F115" t="s">
        <v>10305</v>
      </c>
    </row>
    <row r="116" spans="1:6" x14ac:dyDescent="0.25">
      <c r="A116" t="s">
        <v>10306</v>
      </c>
      <c r="B116" t="s">
        <v>10271</v>
      </c>
      <c r="C116" t="s">
        <v>10272</v>
      </c>
      <c r="D116">
        <v>2024</v>
      </c>
      <c r="E116" t="s">
        <v>553</v>
      </c>
      <c r="F116" t="s">
        <v>10307</v>
      </c>
    </row>
    <row r="117" spans="1:6" x14ac:dyDescent="0.25">
      <c r="A117" t="s">
        <v>10308</v>
      </c>
      <c r="B117" t="s">
        <v>10271</v>
      </c>
      <c r="C117" t="s">
        <v>10272</v>
      </c>
      <c r="D117">
        <v>2024</v>
      </c>
      <c r="E117" t="s">
        <v>553</v>
      </c>
      <c r="F117" t="s">
        <v>10309</v>
      </c>
    </row>
    <row r="118" spans="1:6" x14ac:dyDescent="0.25">
      <c r="A118" t="s">
        <v>10310</v>
      </c>
      <c r="B118" t="s">
        <v>10271</v>
      </c>
      <c r="C118" t="s">
        <v>10272</v>
      </c>
      <c r="D118">
        <v>2024</v>
      </c>
      <c r="E118" t="s">
        <v>553</v>
      </c>
      <c r="F118" t="s">
        <v>10311</v>
      </c>
    </row>
    <row r="119" spans="1:6" x14ac:dyDescent="0.25">
      <c r="A119" t="s">
        <v>10312</v>
      </c>
      <c r="B119" t="s">
        <v>10271</v>
      </c>
      <c r="C119" t="s">
        <v>10272</v>
      </c>
      <c r="D119">
        <v>2024</v>
      </c>
      <c r="E119" t="s">
        <v>553</v>
      </c>
      <c r="F119" t="s">
        <v>10313</v>
      </c>
    </row>
    <row r="120" spans="1:6" x14ac:dyDescent="0.25">
      <c r="A120" t="s">
        <v>10314</v>
      </c>
      <c r="B120" t="s">
        <v>10271</v>
      </c>
      <c r="C120" t="s">
        <v>10272</v>
      </c>
      <c r="D120">
        <v>2024</v>
      </c>
      <c r="E120" t="s">
        <v>553</v>
      </c>
      <c r="F120" t="s">
        <v>10315</v>
      </c>
    </row>
    <row r="121" spans="1:6" x14ac:dyDescent="0.25">
      <c r="A121" t="s">
        <v>10316</v>
      </c>
      <c r="B121" t="s">
        <v>10271</v>
      </c>
      <c r="C121" t="s">
        <v>10272</v>
      </c>
      <c r="D121">
        <v>2024</v>
      </c>
      <c r="E121" t="s">
        <v>553</v>
      </c>
      <c r="F121" t="s">
        <v>10317</v>
      </c>
    </row>
    <row r="122" spans="1:6" x14ac:dyDescent="0.25">
      <c r="A122" t="s">
        <v>10318</v>
      </c>
      <c r="B122" t="s">
        <v>10271</v>
      </c>
      <c r="C122" t="s">
        <v>10272</v>
      </c>
      <c r="D122">
        <v>2024</v>
      </c>
      <c r="E122" t="s">
        <v>553</v>
      </c>
      <c r="F122" t="s">
        <v>10319</v>
      </c>
    </row>
    <row r="123" spans="1:6" x14ac:dyDescent="0.25">
      <c r="A123" t="s">
        <v>10320</v>
      </c>
      <c r="B123" t="s">
        <v>10271</v>
      </c>
      <c r="C123" t="s">
        <v>10272</v>
      </c>
      <c r="D123">
        <v>2024</v>
      </c>
      <c r="E123" t="s">
        <v>553</v>
      </c>
      <c r="F123" t="s">
        <v>10321</v>
      </c>
    </row>
    <row r="124" spans="1:6" x14ac:dyDescent="0.25">
      <c r="A124" t="s">
        <v>10322</v>
      </c>
      <c r="B124" t="s">
        <v>10271</v>
      </c>
      <c r="C124" t="s">
        <v>10272</v>
      </c>
      <c r="D124">
        <v>2024</v>
      </c>
      <c r="E124" t="s">
        <v>553</v>
      </c>
      <c r="F124" t="s">
        <v>10323</v>
      </c>
    </row>
    <row r="125" spans="1:6" x14ac:dyDescent="0.25">
      <c r="A125" t="s">
        <v>10324</v>
      </c>
      <c r="B125" t="s">
        <v>10271</v>
      </c>
      <c r="C125" t="s">
        <v>10272</v>
      </c>
      <c r="D125">
        <v>2024</v>
      </c>
      <c r="E125" t="s">
        <v>553</v>
      </c>
      <c r="F125" t="s">
        <v>10325</v>
      </c>
    </row>
    <row r="126" spans="1:6" x14ac:dyDescent="0.25">
      <c r="A126" t="s">
        <v>10326</v>
      </c>
      <c r="B126" t="s">
        <v>10271</v>
      </c>
      <c r="C126" t="s">
        <v>10272</v>
      </c>
      <c r="D126">
        <v>2024</v>
      </c>
      <c r="E126" t="s">
        <v>553</v>
      </c>
      <c r="F126" t="s">
        <v>10327</v>
      </c>
    </row>
    <row r="127" spans="1:6" x14ac:dyDescent="0.25">
      <c r="A127" t="s">
        <v>10328</v>
      </c>
      <c r="B127" t="s">
        <v>10271</v>
      </c>
      <c r="C127" t="s">
        <v>10272</v>
      </c>
      <c r="D127">
        <v>2024</v>
      </c>
      <c r="E127" t="s">
        <v>553</v>
      </c>
      <c r="F127" t="s">
        <v>10329</v>
      </c>
    </row>
    <row r="128" spans="1:6" x14ac:dyDescent="0.25">
      <c r="A128" t="s">
        <v>10330</v>
      </c>
      <c r="B128" t="s">
        <v>10271</v>
      </c>
      <c r="C128" t="s">
        <v>10272</v>
      </c>
      <c r="D128">
        <v>2024</v>
      </c>
      <c r="E128" t="s">
        <v>553</v>
      </c>
      <c r="F128" t="s">
        <v>10331</v>
      </c>
    </row>
    <row r="129" spans="1:7" x14ac:dyDescent="0.25">
      <c r="A129" t="s">
        <v>10332</v>
      </c>
      <c r="B129" t="s">
        <v>10271</v>
      </c>
      <c r="C129" t="s">
        <v>10272</v>
      </c>
      <c r="D129">
        <v>2024</v>
      </c>
      <c r="E129" t="s">
        <v>553</v>
      </c>
      <c r="F129" t="s">
        <v>10333</v>
      </c>
    </row>
    <row r="130" spans="1:7" x14ac:dyDescent="0.25">
      <c r="A130" t="s">
        <v>10334</v>
      </c>
      <c r="B130" t="s">
        <v>10271</v>
      </c>
      <c r="C130" t="s">
        <v>10272</v>
      </c>
      <c r="D130">
        <v>2024</v>
      </c>
      <c r="E130" t="s">
        <v>553</v>
      </c>
      <c r="F130" t="s">
        <v>10335</v>
      </c>
    </row>
    <row r="131" spans="1:7" x14ac:dyDescent="0.25">
      <c r="A131" t="s">
        <v>10336</v>
      </c>
      <c r="B131" t="s">
        <v>10337</v>
      </c>
      <c r="C131" t="s">
        <v>10338</v>
      </c>
      <c r="D131">
        <v>2014</v>
      </c>
      <c r="E131" t="s">
        <v>689</v>
      </c>
      <c r="F131" t="s">
        <v>10339</v>
      </c>
      <c r="G131" t="s">
        <v>10071</v>
      </c>
    </row>
    <row r="132" spans="1:7" x14ac:dyDescent="0.25">
      <c r="A132" t="s">
        <v>10340</v>
      </c>
      <c r="B132" t="s">
        <v>10337</v>
      </c>
      <c r="C132" t="s">
        <v>10338</v>
      </c>
      <c r="D132">
        <v>2014</v>
      </c>
      <c r="E132" t="s">
        <v>689</v>
      </c>
      <c r="F132" t="s">
        <v>10341</v>
      </c>
    </row>
    <row r="133" spans="1:7" x14ac:dyDescent="0.25">
      <c r="A133" t="s">
        <v>10342</v>
      </c>
      <c r="B133" t="s">
        <v>10337</v>
      </c>
      <c r="C133" t="s">
        <v>10338</v>
      </c>
      <c r="D133">
        <v>2014</v>
      </c>
      <c r="E133" t="s">
        <v>689</v>
      </c>
      <c r="F133" t="s">
        <v>10343</v>
      </c>
    </row>
    <row r="134" spans="1:7" x14ac:dyDescent="0.25">
      <c r="A134" t="s">
        <v>10344</v>
      </c>
      <c r="B134" t="s">
        <v>10337</v>
      </c>
      <c r="C134" t="s">
        <v>10338</v>
      </c>
      <c r="D134">
        <v>2014</v>
      </c>
      <c r="E134" t="s">
        <v>689</v>
      </c>
      <c r="F134" t="s">
        <v>10345</v>
      </c>
    </row>
    <row r="135" spans="1:7" x14ac:dyDescent="0.25">
      <c r="A135" t="s">
        <v>10346</v>
      </c>
      <c r="B135" t="s">
        <v>10337</v>
      </c>
      <c r="C135" t="s">
        <v>10338</v>
      </c>
      <c r="D135">
        <v>2014</v>
      </c>
      <c r="E135" t="s">
        <v>689</v>
      </c>
      <c r="F135" t="s">
        <v>10347</v>
      </c>
    </row>
    <row r="136" spans="1:7" x14ac:dyDescent="0.25">
      <c r="A136" t="s">
        <v>10348</v>
      </c>
      <c r="B136" t="s">
        <v>10337</v>
      </c>
      <c r="C136" t="s">
        <v>10338</v>
      </c>
      <c r="D136">
        <v>2014</v>
      </c>
      <c r="E136" t="s">
        <v>689</v>
      </c>
      <c r="F136" t="s">
        <v>10349</v>
      </c>
    </row>
    <row r="137" spans="1:7" x14ac:dyDescent="0.25">
      <c r="A137" t="s">
        <v>10350</v>
      </c>
      <c r="B137" t="s">
        <v>10337</v>
      </c>
      <c r="C137" t="s">
        <v>10338</v>
      </c>
      <c r="D137">
        <v>2014</v>
      </c>
      <c r="E137" t="s">
        <v>689</v>
      </c>
      <c r="F137" t="s">
        <v>10351</v>
      </c>
    </row>
    <row r="138" spans="1:7" x14ac:dyDescent="0.25">
      <c r="A138" t="s">
        <v>10352</v>
      </c>
      <c r="B138" t="s">
        <v>10337</v>
      </c>
      <c r="C138" t="s">
        <v>10338</v>
      </c>
      <c r="D138">
        <v>2014</v>
      </c>
      <c r="E138" t="s">
        <v>689</v>
      </c>
      <c r="F138" t="s">
        <v>10353</v>
      </c>
    </row>
    <row r="139" spans="1:7" x14ac:dyDescent="0.25">
      <c r="A139" t="s">
        <v>10354</v>
      </c>
      <c r="B139" t="s">
        <v>10337</v>
      </c>
      <c r="C139" t="s">
        <v>10338</v>
      </c>
      <c r="D139">
        <v>2014</v>
      </c>
      <c r="E139" t="s">
        <v>689</v>
      </c>
      <c r="F139" t="s">
        <v>10355</v>
      </c>
    </row>
    <row r="140" spans="1:7" x14ac:dyDescent="0.25">
      <c r="A140" t="s">
        <v>10356</v>
      </c>
      <c r="B140" t="s">
        <v>10337</v>
      </c>
      <c r="C140" t="s">
        <v>10338</v>
      </c>
      <c r="D140">
        <v>2014</v>
      </c>
      <c r="E140" t="s">
        <v>689</v>
      </c>
      <c r="F140" t="s">
        <v>10357</v>
      </c>
    </row>
    <row r="141" spans="1:7" x14ac:dyDescent="0.25">
      <c r="A141" t="s">
        <v>10358</v>
      </c>
      <c r="B141" t="s">
        <v>10337</v>
      </c>
      <c r="C141" t="s">
        <v>10338</v>
      </c>
      <c r="D141">
        <v>2014</v>
      </c>
      <c r="E141" t="s">
        <v>689</v>
      </c>
      <c r="F141" t="s">
        <v>10359</v>
      </c>
    </row>
    <row r="142" spans="1:7" x14ac:dyDescent="0.25">
      <c r="A142" t="s">
        <v>10360</v>
      </c>
      <c r="B142" t="s">
        <v>10337</v>
      </c>
      <c r="C142" t="s">
        <v>10338</v>
      </c>
      <c r="D142">
        <v>2014</v>
      </c>
      <c r="E142" t="s">
        <v>689</v>
      </c>
      <c r="F142" t="s">
        <v>10361</v>
      </c>
    </row>
    <row r="143" spans="1:7" x14ac:dyDescent="0.25">
      <c r="A143" t="s">
        <v>10362</v>
      </c>
      <c r="B143" t="s">
        <v>10337</v>
      </c>
      <c r="C143" t="s">
        <v>10338</v>
      </c>
      <c r="D143">
        <v>2014</v>
      </c>
      <c r="E143" t="s">
        <v>689</v>
      </c>
      <c r="F143" t="s">
        <v>10363</v>
      </c>
    </row>
    <row r="144" spans="1:7" x14ac:dyDescent="0.25">
      <c r="A144" t="s">
        <v>10364</v>
      </c>
      <c r="B144" t="s">
        <v>10337</v>
      </c>
      <c r="C144" t="s">
        <v>10338</v>
      </c>
      <c r="D144">
        <v>2014</v>
      </c>
      <c r="E144" t="s">
        <v>689</v>
      </c>
      <c r="F144" t="s">
        <v>10365</v>
      </c>
    </row>
    <row r="145" spans="1:7" x14ac:dyDescent="0.25">
      <c r="A145" t="s">
        <v>10366</v>
      </c>
      <c r="B145" t="s">
        <v>10337</v>
      </c>
      <c r="C145" t="s">
        <v>10338</v>
      </c>
      <c r="D145">
        <v>2014</v>
      </c>
      <c r="E145" t="s">
        <v>689</v>
      </c>
      <c r="F145" t="s">
        <v>10367</v>
      </c>
    </row>
    <row r="146" spans="1:7" x14ac:dyDescent="0.25">
      <c r="A146" t="s">
        <v>10368</v>
      </c>
      <c r="B146" t="s">
        <v>10337</v>
      </c>
      <c r="C146" t="s">
        <v>10338</v>
      </c>
      <c r="D146">
        <v>2014</v>
      </c>
      <c r="E146" t="s">
        <v>689</v>
      </c>
      <c r="F146" t="s">
        <v>10369</v>
      </c>
    </row>
    <row r="147" spans="1:7" x14ac:dyDescent="0.25">
      <c r="A147" t="s">
        <v>10370</v>
      </c>
      <c r="B147" t="s">
        <v>10337</v>
      </c>
      <c r="C147" t="s">
        <v>10338</v>
      </c>
      <c r="D147">
        <v>2014</v>
      </c>
      <c r="E147" t="s">
        <v>689</v>
      </c>
      <c r="F147" t="s">
        <v>10371</v>
      </c>
    </row>
    <row r="148" spans="1:7" x14ac:dyDescent="0.25">
      <c r="A148" t="s">
        <v>10372</v>
      </c>
      <c r="B148" t="s">
        <v>10337</v>
      </c>
      <c r="C148" t="s">
        <v>10338</v>
      </c>
      <c r="D148">
        <v>2014</v>
      </c>
      <c r="E148" t="s">
        <v>689</v>
      </c>
      <c r="F148" t="s">
        <v>10373</v>
      </c>
    </row>
    <row r="149" spans="1:7" x14ac:dyDescent="0.25">
      <c r="A149" t="s">
        <v>10374</v>
      </c>
      <c r="B149" t="s">
        <v>10337</v>
      </c>
      <c r="C149" t="s">
        <v>10338</v>
      </c>
      <c r="D149">
        <v>2014</v>
      </c>
      <c r="E149" t="s">
        <v>689</v>
      </c>
      <c r="F149" t="s">
        <v>10375</v>
      </c>
    </row>
    <row r="150" spans="1:7" x14ac:dyDescent="0.25">
      <c r="A150" t="s">
        <v>10376</v>
      </c>
      <c r="B150" t="s">
        <v>10337</v>
      </c>
      <c r="C150" t="s">
        <v>10338</v>
      </c>
      <c r="D150">
        <v>2014</v>
      </c>
      <c r="E150" t="s">
        <v>689</v>
      </c>
      <c r="F150" t="s">
        <v>10377</v>
      </c>
    </row>
    <row r="151" spans="1:7" x14ac:dyDescent="0.25">
      <c r="A151" t="s">
        <v>10378</v>
      </c>
      <c r="B151" t="s">
        <v>10337</v>
      </c>
      <c r="C151" t="s">
        <v>10338</v>
      </c>
      <c r="D151">
        <v>2014</v>
      </c>
      <c r="E151" t="s">
        <v>689</v>
      </c>
      <c r="F151" t="s">
        <v>10379</v>
      </c>
    </row>
    <row r="152" spans="1:7" x14ac:dyDescent="0.25">
      <c r="A152" t="s">
        <v>10380</v>
      </c>
      <c r="B152" t="s">
        <v>10337</v>
      </c>
      <c r="C152" t="s">
        <v>10338</v>
      </c>
      <c r="D152">
        <v>2014</v>
      </c>
      <c r="E152" t="s">
        <v>689</v>
      </c>
      <c r="F152" t="s">
        <v>10381</v>
      </c>
    </row>
    <row r="153" spans="1:7" x14ac:dyDescent="0.25">
      <c r="A153" t="s">
        <v>10382</v>
      </c>
      <c r="B153" t="s">
        <v>10337</v>
      </c>
      <c r="C153" t="s">
        <v>10338</v>
      </c>
      <c r="D153">
        <v>2014</v>
      </c>
      <c r="E153" t="s">
        <v>689</v>
      </c>
      <c r="F153" t="s">
        <v>10383</v>
      </c>
    </row>
    <row r="154" spans="1:7" x14ac:dyDescent="0.25">
      <c r="A154" t="s">
        <v>10384</v>
      </c>
      <c r="B154" t="s">
        <v>10337</v>
      </c>
      <c r="C154" t="s">
        <v>10338</v>
      </c>
      <c r="D154">
        <v>2014</v>
      </c>
      <c r="E154" t="s">
        <v>689</v>
      </c>
      <c r="F154" t="s">
        <v>10385</v>
      </c>
    </row>
    <row r="155" spans="1:7" x14ac:dyDescent="0.25">
      <c r="A155" t="s">
        <v>10386</v>
      </c>
      <c r="B155" t="s">
        <v>10337</v>
      </c>
      <c r="C155" t="s">
        <v>10338</v>
      </c>
      <c r="D155">
        <v>2014</v>
      </c>
      <c r="E155" t="s">
        <v>689</v>
      </c>
      <c r="F155" t="s">
        <v>10387</v>
      </c>
    </row>
    <row r="156" spans="1:7" x14ac:dyDescent="0.25">
      <c r="A156" t="s">
        <v>10388</v>
      </c>
      <c r="B156" t="s">
        <v>10337</v>
      </c>
      <c r="C156" t="s">
        <v>10338</v>
      </c>
      <c r="D156">
        <v>2014</v>
      </c>
      <c r="E156" t="s">
        <v>689</v>
      </c>
      <c r="F156" t="s">
        <v>10389</v>
      </c>
    </row>
    <row r="157" spans="1:7" x14ac:dyDescent="0.25">
      <c r="A157" t="s">
        <v>10390</v>
      </c>
      <c r="B157" t="s">
        <v>10337</v>
      </c>
      <c r="C157" t="s">
        <v>10338</v>
      </c>
      <c r="D157">
        <v>2014</v>
      </c>
      <c r="E157" t="s">
        <v>689</v>
      </c>
      <c r="F157" t="s">
        <v>10391</v>
      </c>
    </row>
    <row r="158" spans="1:7" x14ac:dyDescent="0.25">
      <c r="A158" t="s">
        <v>10392</v>
      </c>
      <c r="B158" t="s">
        <v>10393</v>
      </c>
      <c r="C158" t="s">
        <v>10394</v>
      </c>
      <c r="D158">
        <v>2022</v>
      </c>
      <c r="E158" t="s">
        <v>709</v>
      </c>
      <c r="F158" t="s">
        <v>10395</v>
      </c>
      <c r="G158" t="s">
        <v>10071</v>
      </c>
    </row>
    <row r="159" spans="1:7" x14ac:dyDescent="0.25">
      <c r="A159" t="s">
        <v>10396</v>
      </c>
      <c r="B159" t="s">
        <v>10393</v>
      </c>
      <c r="C159" t="s">
        <v>10394</v>
      </c>
      <c r="D159">
        <v>2022</v>
      </c>
      <c r="E159" t="s">
        <v>709</v>
      </c>
      <c r="F159" t="s">
        <v>10397</v>
      </c>
    </row>
    <row r="160" spans="1:7" x14ac:dyDescent="0.25">
      <c r="A160" t="s">
        <v>10398</v>
      </c>
      <c r="B160" t="s">
        <v>10393</v>
      </c>
      <c r="C160" t="s">
        <v>10394</v>
      </c>
      <c r="D160">
        <v>2022</v>
      </c>
      <c r="E160" t="s">
        <v>709</v>
      </c>
      <c r="F160" t="s">
        <v>10399</v>
      </c>
    </row>
    <row r="161" spans="1:6" x14ac:dyDescent="0.25">
      <c r="A161" t="s">
        <v>10400</v>
      </c>
      <c r="B161" t="s">
        <v>10393</v>
      </c>
      <c r="C161" t="s">
        <v>10394</v>
      </c>
      <c r="D161">
        <v>2022</v>
      </c>
      <c r="E161" t="s">
        <v>709</v>
      </c>
      <c r="F161" t="s">
        <v>10401</v>
      </c>
    </row>
    <row r="162" spans="1:6" x14ac:dyDescent="0.25">
      <c r="A162" t="s">
        <v>10402</v>
      </c>
      <c r="B162" t="s">
        <v>10393</v>
      </c>
      <c r="C162" t="s">
        <v>10394</v>
      </c>
      <c r="D162">
        <v>2022</v>
      </c>
      <c r="E162" t="s">
        <v>709</v>
      </c>
      <c r="F162" t="s">
        <v>10403</v>
      </c>
    </row>
    <row r="163" spans="1:6" x14ac:dyDescent="0.25">
      <c r="A163" t="s">
        <v>10404</v>
      </c>
      <c r="B163" t="s">
        <v>10393</v>
      </c>
      <c r="C163" t="s">
        <v>10394</v>
      </c>
      <c r="D163">
        <v>2022</v>
      </c>
      <c r="E163" t="s">
        <v>709</v>
      </c>
      <c r="F163" t="s">
        <v>10405</v>
      </c>
    </row>
    <row r="164" spans="1:6" x14ac:dyDescent="0.25">
      <c r="A164" t="s">
        <v>10406</v>
      </c>
      <c r="B164" t="s">
        <v>10393</v>
      </c>
      <c r="C164" t="s">
        <v>10394</v>
      </c>
      <c r="D164">
        <v>2022</v>
      </c>
      <c r="E164" t="s">
        <v>709</v>
      </c>
      <c r="F164" t="s">
        <v>10407</v>
      </c>
    </row>
    <row r="165" spans="1:6" x14ac:dyDescent="0.25">
      <c r="A165" t="s">
        <v>10408</v>
      </c>
      <c r="B165" t="s">
        <v>10393</v>
      </c>
      <c r="C165" t="s">
        <v>10394</v>
      </c>
      <c r="D165">
        <v>2022</v>
      </c>
      <c r="E165" t="s">
        <v>709</v>
      </c>
      <c r="F165" t="s">
        <v>10409</v>
      </c>
    </row>
    <row r="166" spans="1:6" x14ac:dyDescent="0.25">
      <c r="A166" t="s">
        <v>10410</v>
      </c>
      <c r="B166" t="s">
        <v>10393</v>
      </c>
      <c r="C166" t="s">
        <v>10394</v>
      </c>
      <c r="D166">
        <v>2022</v>
      </c>
      <c r="E166" t="s">
        <v>709</v>
      </c>
      <c r="F166" t="s">
        <v>10411</v>
      </c>
    </row>
    <row r="167" spans="1:6" x14ac:dyDescent="0.25">
      <c r="A167" t="s">
        <v>10412</v>
      </c>
      <c r="B167" t="s">
        <v>10393</v>
      </c>
      <c r="C167" t="s">
        <v>10394</v>
      </c>
      <c r="D167">
        <v>2022</v>
      </c>
      <c r="E167" t="s">
        <v>709</v>
      </c>
      <c r="F167" t="s">
        <v>10413</v>
      </c>
    </row>
    <row r="168" spans="1:6" x14ac:dyDescent="0.25">
      <c r="A168" t="s">
        <v>10414</v>
      </c>
      <c r="B168" t="s">
        <v>10393</v>
      </c>
      <c r="C168" t="s">
        <v>10394</v>
      </c>
      <c r="D168">
        <v>2022</v>
      </c>
      <c r="E168" t="s">
        <v>709</v>
      </c>
      <c r="F168" t="s">
        <v>10415</v>
      </c>
    </row>
    <row r="169" spans="1:6" x14ac:dyDescent="0.25">
      <c r="A169" t="s">
        <v>10416</v>
      </c>
      <c r="B169" t="s">
        <v>10393</v>
      </c>
      <c r="C169" t="s">
        <v>10394</v>
      </c>
      <c r="D169">
        <v>2022</v>
      </c>
      <c r="E169" t="s">
        <v>709</v>
      </c>
      <c r="F169" t="s">
        <v>10417</v>
      </c>
    </row>
    <row r="170" spans="1:6" x14ac:dyDescent="0.25">
      <c r="A170" t="s">
        <v>10418</v>
      </c>
      <c r="B170" t="s">
        <v>10393</v>
      </c>
      <c r="C170" t="s">
        <v>10394</v>
      </c>
      <c r="D170">
        <v>2022</v>
      </c>
      <c r="E170" t="s">
        <v>709</v>
      </c>
      <c r="F170" t="s">
        <v>10419</v>
      </c>
    </row>
    <row r="171" spans="1:6" x14ac:dyDescent="0.25">
      <c r="A171" t="s">
        <v>10420</v>
      </c>
      <c r="B171" t="s">
        <v>10393</v>
      </c>
      <c r="C171" t="s">
        <v>10394</v>
      </c>
      <c r="D171">
        <v>2022</v>
      </c>
      <c r="E171" t="s">
        <v>709</v>
      </c>
      <c r="F171" t="s">
        <v>10421</v>
      </c>
    </row>
    <row r="172" spans="1:6" x14ac:dyDescent="0.25">
      <c r="A172" t="s">
        <v>10422</v>
      </c>
      <c r="B172" t="s">
        <v>10393</v>
      </c>
      <c r="C172" t="s">
        <v>10394</v>
      </c>
      <c r="D172">
        <v>2022</v>
      </c>
      <c r="E172" t="s">
        <v>709</v>
      </c>
      <c r="F172" t="s">
        <v>10423</v>
      </c>
    </row>
    <row r="173" spans="1:6" x14ac:dyDescent="0.25">
      <c r="A173" t="s">
        <v>10424</v>
      </c>
      <c r="B173" t="s">
        <v>10393</v>
      </c>
      <c r="C173" t="s">
        <v>10394</v>
      </c>
      <c r="D173">
        <v>2022</v>
      </c>
      <c r="E173" t="s">
        <v>709</v>
      </c>
      <c r="F173" t="s">
        <v>10425</v>
      </c>
    </row>
    <row r="174" spans="1:6" x14ac:dyDescent="0.25">
      <c r="A174" t="s">
        <v>4984</v>
      </c>
      <c r="B174" t="s">
        <v>10393</v>
      </c>
      <c r="C174" t="s">
        <v>10394</v>
      </c>
      <c r="D174">
        <v>2022</v>
      </c>
      <c r="E174" t="s">
        <v>709</v>
      </c>
      <c r="F174" t="s">
        <v>10426</v>
      </c>
    </row>
    <row r="175" spans="1:6" x14ac:dyDescent="0.25">
      <c r="A175" t="s">
        <v>10427</v>
      </c>
      <c r="B175" t="s">
        <v>10393</v>
      </c>
      <c r="C175" t="s">
        <v>10394</v>
      </c>
      <c r="D175">
        <v>2022</v>
      </c>
      <c r="E175" t="s">
        <v>709</v>
      </c>
      <c r="F175" t="s">
        <v>10428</v>
      </c>
    </row>
    <row r="176" spans="1:6" x14ac:dyDescent="0.25">
      <c r="A176" t="s">
        <v>10429</v>
      </c>
      <c r="B176" t="s">
        <v>10393</v>
      </c>
      <c r="C176" t="s">
        <v>10394</v>
      </c>
      <c r="D176">
        <v>2022</v>
      </c>
      <c r="E176" t="s">
        <v>709</v>
      </c>
      <c r="F176" t="s">
        <v>10430</v>
      </c>
    </row>
    <row r="177" spans="1:6" x14ac:dyDescent="0.25">
      <c r="A177" t="s">
        <v>10431</v>
      </c>
      <c r="B177" t="s">
        <v>10393</v>
      </c>
      <c r="C177" t="s">
        <v>10394</v>
      </c>
      <c r="D177">
        <v>2022</v>
      </c>
      <c r="E177" t="s">
        <v>709</v>
      </c>
      <c r="F177" t="s">
        <v>10432</v>
      </c>
    </row>
    <row r="178" spans="1:6" x14ac:dyDescent="0.25">
      <c r="A178" t="s">
        <v>10433</v>
      </c>
      <c r="B178" t="s">
        <v>10393</v>
      </c>
      <c r="C178" t="s">
        <v>10394</v>
      </c>
      <c r="D178">
        <v>2022</v>
      </c>
      <c r="E178" t="s">
        <v>709</v>
      </c>
      <c r="F178" t="s">
        <v>10434</v>
      </c>
    </row>
    <row r="179" spans="1:6" x14ac:dyDescent="0.25">
      <c r="A179" t="s">
        <v>10435</v>
      </c>
      <c r="B179" t="s">
        <v>10393</v>
      </c>
      <c r="C179" t="s">
        <v>10394</v>
      </c>
      <c r="D179">
        <v>2022</v>
      </c>
      <c r="E179" t="s">
        <v>709</v>
      </c>
      <c r="F179" t="s">
        <v>10436</v>
      </c>
    </row>
    <row r="180" spans="1:6" x14ac:dyDescent="0.25">
      <c r="A180" t="s">
        <v>10437</v>
      </c>
      <c r="B180" t="s">
        <v>10393</v>
      </c>
      <c r="C180" t="s">
        <v>10394</v>
      </c>
      <c r="D180">
        <v>2022</v>
      </c>
      <c r="E180" t="s">
        <v>709</v>
      </c>
      <c r="F180" t="s">
        <v>10438</v>
      </c>
    </row>
    <row r="181" spans="1:6" x14ac:dyDescent="0.25">
      <c r="A181" t="s">
        <v>10439</v>
      </c>
      <c r="B181" t="s">
        <v>10393</v>
      </c>
      <c r="C181" t="s">
        <v>10394</v>
      </c>
      <c r="D181">
        <v>2022</v>
      </c>
      <c r="E181" t="s">
        <v>709</v>
      </c>
      <c r="F181" t="s">
        <v>10440</v>
      </c>
    </row>
    <row r="182" spans="1:6" x14ac:dyDescent="0.25">
      <c r="A182" t="s">
        <v>10441</v>
      </c>
      <c r="B182" t="s">
        <v>10393</v>
      </c>
      <c r="C182" t="s">
        <v>10394</v>
      </c>
      <c r="D182">
        <v>2022</v>
      </c>
      <c r="E182" t="s">
        <v>709</v>
      </c>
      <c r="F182" t="s">
        <v>10442</v>
      </c>
    </row>
    <row r="183" spans="1:6" x14ac:dyDescent="0.25">
      <c r="A183" t="s">
        <v>10443</v>
      </c>
      <c r="B183" t="s">
        <v>10393</v>
      </c>
      <c r="C183" t="s">
        <v>10394</v>
      </c>
      <c r="D183">
        <v>2022</v>
      </c>
      <c r="E183" t="s">
        <v>709</v>
      </c>
      <c r="F183" t="s">
        <v>10444</v>
      </c>
    </row>
    <row r="184" spans="1:6" x14ac:dyDescent="0.25">
      <c r="A184" t="s">
        <v>10445</v>
      </c>
      <c r="B184" t="s">
        <v>10393</v>
      </c>
      <c r="C184" t="s">
        <v>10394</v>
      </c>
      <c r="D184">
        <v>2022</v>
      </c>
      <c r="E184" t="s">
        <v>709</v>
      </c>
      <c r="F184" t="s">
        <v>10446</v>
      </c>
    </row>
    <row r="185" spans="1:6" x14ac:dyDescent="0.25">
      <c r="A185" t="s">
        <v>10447</v>
      </c>
      <c r="B185" t="s">
        <v>10393</v>
      </c>
      <c r="C185" t="s">
        <v>10394</v>
      </c>
      <c r="D185">
        <v>2022</v>
      </c>
      <c r="E185" t="s">
        <v>709</v>
      </c>
      <c r="F185" t="s">
        <v>10448</v>
      </c>
    </row>
    <row r="186" spans="1:6" x14ac:dyDescent="0.25">
      <c r="A186" t="s">
        <v>10449</v>
      </c>
      <c r="B186" t="s">
        <v>10393</v>
      </c>
      <c r="C186" t="s">
        <v>10394</v>
      </c>
      <c r="D186">
        <v>2022</v>
      </c>
      <c r="E186" t="s">
        <v>709</v>
      </c>
      <c r="F186" t="s">
        <v>10450</v>
      </c>
    </row>
    <row r="187" spans="1:6" x14ac:dyDescent="0.25">
      <c r="A187" t="s">
        <v>10451</v>
      </c>
      <c r="B187" t="s">
        <v>10393</v>
      </c>
      <c r="C187" t="s">
        <v>10394</v>
      </c>
      <c r="D187">
        <v>2022</v>
      </c>
      <c r="E187" t="s">
        <v>709</v>
      </c>
      <c r="F187" t="s">
        <v>10452</v>
      </c>
    </row>
    <row r="188" spans="1:6" x14ac:dyDescent="0.25">
      <c r="A188" t="s">
        <v>10453</v>
      </c>
      <c r="B188" t="s">
        <v>10393</v>
      </c>
      <c r="C188" t="s">
        <v>10394</v>
      </c>
      <c r="D188">
        <v>2022</v>
      </c>
      <c r="E188" t="s">
        <v>709</v>
      </c>
      <c r="F188" t="s">
        <v>10454</v>
      </c>
    </row>
    <row r="189" spans="1:6" x14ac:dyDescent="0.25">
      <c r="A189" t="s">
        <v>10455</v>
      </c>
      <c r="B189" t="s">
        <v>10393</v>
      </c>
      <c r="C189" t="s">
        <v>10394</v>
      </c>
      <c r="D189">
        <v>2022</v>
      </c>
      <c r="E189" t="s">
        <v>709</v>
      </c>
      <c r="F189" t="s">
        <v>10456</v>
      </c>
    </row>
    <row r="190" spans="1:6" x14ac:dyDescent="0.25">
      <c r="A190" t="s">
        <v>10457</v>
      </c>
      <c r="B190" t="s">
        <v>10393</v>
      </c>
      <c r="C190" t="s">
        <v>10394</v>
      </c>
      <c r="D190">
        <v>2022</v>
      </c>
      <c r="E190" t="s">
        <v>709</v>
      </c>
      <c r="F190" t="s">
        <v>10458</v>
      </c>
    </row>
    <row r="191" spans="1:6" x14ac:dyDescent="0.25">
      <c r="A191" t="s">
        <v>10459</v>
      </c>
      <c r="B191" t="s">
        <v>10393</v>
      </c>
      <c r="C191" t="s">
        <v>10394</v>
      </c>
      <c r="D191">
        <v>2022</v>
      </c>
      <c r="E191" t="s">
        <v>709</v>
      </c>
      <c r="F191" t="s">
        <v>10460</v>
      </c>
    </row>
    <row r="192" spans="1:6" x14ac:dyDescent="0.25">
      <c r="A192" t="s">
        <v>7897</v>
      </c>
      <c r="B192" t="s">
        <v>10393</v>
      </c>
      <c r="C192" t="s">
        <v>10394</v>
      </c>
      <c r="D192">
        <v>2022</v>
      </c>
      <c r="E192" t="s">
        <v>709</v>
      </c>
      <c r="F192" t="s">
        <v>10461</v>
      </c>
    </row>
    <row r="193" spans="1:6" x14ac:dyDescent="0.25">
      <c r="A193" t="s">
        <v>10462</v>
      </c>
      <c r="B193" t="s">
        <v>10393</v>
      </c>
      <c r="C193" t="s">
        <v>10394</v>
      </c>
      <c r="D193">
        <v>2022</v>
      </c>
      <c r="E193" t="s">
        <v>709</v>
      </c>
      <c r="F193" t="s">
        <v>10463</v>
      </c>
    </row>
    <row r="194" spans="1:6" x14ac:dyDescent="0.25">
      <c r="A194" t="s">
        <v>10464</v>
      </c>
      <c r="B194" t="s">
        <v>10393</v>
      </c>
      <c r="C194" t="s">
        <v>10394</v>
      </c>
      <c r="D194">
        <v>2022</v>
      </c>
      <c r="E194" t="s">
        <v>709</v>
      </c>
      <c r="F194" t="s">
        <v>10465</v>
      </c>
    </row>
    <row r="195" spans="1:6" x14ac:dyDescent="0.25">
      <c r="A195" t="s">
        <v>10466</v>
      </c>
      <c r="B195" t="s">
        <v>10393</v>
      </c>
      <c r="C195" t="s">
        <v>10394</v>
      </c>
      <c r="D195">
        <v>2022</v>
      </c>
      <c r="E195" t="s">
        <v>709</v>
      </c>
      <c r="F195" t="s">
        <v>10467</v>
      </c>
    </row>
    <row r="196" spans="1:6" x14ac:dyDescent="0.25">
      <c r="A196" t="s">
        <v>10468</v>
      </c>
      <c r="B196" t="s">
        <v>10393</v>
      </c>
      <c r="C196" t="s">
        <v>10394</v>
      </c>
      <c r="D196">
        <v>2022</v>
      </c>
      <c r="E196" t="s">
        <v>709</v>
      </c>
      <c r="F196" t="s">
        <v>10469</v>
      </c>
    </row>
    <row r="197" spans="1:6" x14ac:dyDescent="0.25">
      <c r="A197" t="s">
        <v>10470</v>
      </c>
      <c r="B197" t="s">
        <v>10393</v>
      </c>
      <c r="C197" t="s">
        <v>10394</v>
      </c>
      <c r="D197">
        <v>2022</v>
      </c>
      <c r="E197" t="s">
        <v>709</v>
      </c>
      <c r="F197" t="s">
        <v>10471</v>
      </c>
    </row>
    <row r="198" spans="1:6" x14ac:dyDescent="0.25">
      <c r="A198" t="s">
        <v>10472</v>
      </c>
      <c r="B198" t="s">
        <v>10393</v>
      </c>
      <c r="C198" t="s">
        <v>10394</v>
      </c>
      <c r="D198">
        <v>2022</v>
      </c>
      <c r="E198" t="s">
        <v>709</v>
      </c>
      <c r="F198" t="s">
        <v>10473</v>
      </c>
    </row>
    <row r="199" spans="1:6" x14ac:dyDescent="0.25">
      <c r="A199" t="s">
        <v>10474</v>
      </c>
      <c r="B199" t="s">
        <v>10393</v>
      </c>
      <c r="C199" t="s">
        <v>10394</v>
      </c>
      <c r="D199">
        <v>2022</v>
      </c>
      <c r="E199" t="s">
        <v>709</v>
      </c>
      <c r="F199" t="s">
        <v>10475</v>
      </c>
    </row>
    <row r="200" spans="1:6" x14ac:dyDescent="0.25">
      <c r="A200" t="s">
        <v>10476</v>
      </c>
      <c r="B200" t="s">
        <v>10393</v>
      </c>
      <c r="C200" t="s">
        <v>10394</v>
      </c>
      <c r="D200">
        <v>2022</v>
      </c>
      <c r="E200" t="s">
        <v>709</v>
      </c>
      <c r="F200" t="s">
        <v>10477</v>
      </c>
    </row>
    <row r="201" spans="1:6" x14ac:dyDescent="0.25">
      <c r="A201" t="s">
        <v>10478</v>
      </c>
      <c r="B201" t="s">
        <v>10393</v>
      </c>
      <c r="C201" t="s">
        <v>10394</v>
      </c>
      <c r="D201">
        <v>2022</v>
      </c>
      <c r="E201" t="s">
        <v>709</v>
      </c>
      <c r="F201" t="s">
        <v>10479</v>
      </c>
    </row>
    <row r="202" spans="1:6" x14ac:dyDescent="0.25">
      <c r="A202" t="s">
        <v>10480</v>
      </c>
      <c r="B202" t="s">
        <v>10393</v>
      </c>
      <c r="C202" t="s">
        <v>10394</v>
      </c>
      <c r="D202">
        <v>2022</v>
      </c>
      <c r="E202" t="s">
        <v>709</v>
      </c>
      <c r="F202" t="s">
        <v>10481</v>
      </c>
    </row>
    <row r="203" spans="1:6" x14ac:dyDescent="0.25">
      <c r="A203" t="s">
        <v>10482</v>
      </c>
      <c r="B203" t="s">
        <v>10393</v>
      </c>
      <c r="C203" t="s">
        <v>10394</v>
      </c>
      <c r="D203">
        <v>2022</v>
      </c>
      <c r="E203" t="s">
        <v>709</v>
      </c>
      <c r="F203" t="s">
        <v>10483</v>
      </c>
    </row>
    <row r="204" spans="1:6" x14ac:dyDescent="0.25">
      <c r="A204" t="s">
        <v>10484</v>
      </c>
      <c r="B204" t="s">
        <v>10393</v>
      </c>
      <c r="C204" t="s">
        <v>10394</v>
      </c>
      <c r="D204">
        <v>2022</v>
      </c>
      <c r="E204" t="s">
        <v>709</v>
      </c>
      <c r="F204" t="s">
        <v>10485</v>
      </c>
    </row>
    <row r="205" spans="1:6" x14ac:dyDescent="0.25">
      <c r="A205" t="s">
        <v>10486</v>
      </c>
      <c r="B205" t="s">
        <v>10393</v>
      </c>
      <c r="C205" t="s">
        <v>10394</v>
      </c>
      <c r="D205">
        <v>2023</v>
      </c>
      <c r="E205" t="s">
        <v>709</v>
      </c>
      <c r="F205" t="s">
        <v>10487</v>
      </c>
    </row>
    <row r="206" spans="1:6" x14ac:dyDescent="0.25">
      <c r="A206" t="s">
        <v>10488</v>
      </c>
      <c r="B206" t="s">
        <v>10393</v>
      </c>
      <c r="C206" t="s">
        <v>10394</v>
      </c>
      <c r="D206">
        <v>2023</v>
      </c>
      <c r="E206" t="s">
        <v>709</v>
      </c>
      <c r="F206" t="s">
        <v>10489</v>
      </c>
    </row>
    <row r="207" spans="1:6" x14ac:dyDescent="0.25">
      <c r="A207" t="s">
        <v>10490</v>
      </c>
      <c r="B207" t="s">
        <v>10393</v>
      </c>
      <c r="C207" t="s">
        <v>10394</v>
      </c>
      <c r="D207">
        <v>2023</v>
      </c>
      <c r="E207" t="s">
        <v>709</v>
      </c>
      <c r="F207" t="s">
        <v>10491</v>
      </c>
    </row>
    <row r="208" spans="1:6" x14ac:dyDescent="0.25">
      <c r="A208" t="s">
        <v>10492</v>
      </c>
      <c r="B208" t="s">
        <v>10393</v>
      </c>
      <c r="C208" t="s">
        <v>10394</v>
      </c>
      <c r="D208">
        <v>2023</v>
      </c>
      <c r="E208" t="s">
        <v>709</v>
      </c>
      <c r="F208" t="s">
        <v>10493</v>
      </c>
    </row>
    <row r="209" spans="1:7" x14ac:dyDescent="0.25">
      <c r="A209" t="s">
        <v>10494</v>
      </c>
      <c r="B209" t="s">
        <v>10393</v>
      </c>
      <c r="C209" t="s">
        <v>10394</v>
      </c>
      <c r="D209">
        <v>2024</v>
      </c>
      <c r="E209" t="s">
        <v>709</v>
      </c>
      <c r="F209" t="s">
        <v>10495</v>
      </c>
    </row>
    <row r="210" spans="1:7" x14ac:dyDescent="0.25">
      <c r="A210" t="s">
        <v>10496</v>
      </c>
      <c r="B210" t="s">
        <v>10393</v>
      </c>
      <c r="C210" t="s">
        <v>10394</v>
      </c>
      <c r="D210">
        <v>2024</v>
      </c>
      <c r="E210" t="s">
        <v>709</v>
      </c>
      <c r="F210" t="s">
        <v>10497</v>
      </c>
    </row>
    <row r="211" spans="1:7" x14ac:dyDescent="0.25">
      <c r="A211" t="s">
        <v>10498</v>
      </c>
      <c r="B211" t="s">
        <v>10393</v>
      </c>
      <c r="C211" t="s">
        <v>10394</v>
      </c>
      <c r="D211">
        <v>2024</v>
      </c>
      <c r="E211" t="s">
        <v>709</v>
      </c>
      <c r="F211" t="s">
        <v>10499</v>
      </c>
    </row>
    <row r="212" spans="1:7" x14ac:dyDescent="0.25">
      <c r="A212" t="s">
        <v>10500</v>
      </c>
      <c r="B212" t="s">
        <v>10393</v>
      </c>
      <c r="C212" t="s">
        <v>10394</v>
      </c>
      <c r="D212">
        <v>2024</v>
      </c>
      <c r="E212" t="s">
        <v>709</v>
      </c>
      <c r="F212" t="s">
        <v>10501</v>
      </c>
    </row>
    <row r="213" spans="1:7" x14ac:dyDescent="0.25">
      <c r="A213" t="s">
        <v>10502</v>
      </c>
      <c r="B213" t="s">
        <v>10393</v>
      </c>
      <c r="C213" t="s">
        <v>10394</v>
      </c>
      <c r="D213">
        <v>2024</v>
      </c>
      <c r="E213" t="s">
        <v>709</v>
      </c>
      <c r="F213" t="s">
        <v>10503</v>
      </c>
    </row>
    <row r="214" spans="1:7" x14ac:dyDescent="0.25">
      <c r="A214" t="s">
        <v>10504</v>
      </c>
      <c r="B214" t="s">
        <v>10393</v>
      </c>
      <c r="C214" t="s">
        <v>10394</v>
      </c>
      <c r="D214">
        <v>2024</v>
      </c>
      <c r="E214" t="s">
        <v>709</v>
      </c>
      <c r="F214" t="s">
        <v>10505</v>
      </c>
    </row>
    <row r="215" spans="1:7" x14ac:dyDescent="0.25">
      <c r="A215" t="s">
        <v>10506</v>
      </c>
      <c r="B215" t="s">
        <v>10393</v>
      </c>
      <c r="C215" t="s">
        <v>10394</v>
      </c>
      <c r="D215">
        <v>2024</v>
      </c>
      <c r="E215" t="s">
        <v>709</v>
      </c>
      <c r="F215" t="s">
        <v>10507</v>
      </c>
    </row>
    <row r="216" spans="1:7" x14ac:dyDescent="0.25">
      <c r="A216" t="s">
        <v>10508</v>
      </c>
      <c r="B216" t="s">
        <v>10393</v>
      </c>
      <c r="C216" t="s">
        <v>10394</v>
      </c>
      <c r="D216">
        <v>2024</v>
      </c>
      <c r="E216" t="s">
        <v>709</v>
      </c>
      <c r="F216" t="s">
        <v>10509</v>
      </c>
    </row>
    <row r="217" spans="1:7" x14ac:dyDescent="0.25">
      <c r="A217" t="s">
        <v>10510</v>
      </c>
      <c r="B217" t="s">
        <v>10393</v>
      </c>
      <c r="C217" t="s">
        <v>10394</v>
      </c>
      <c r="D217">
        <v>2024</v>
      </c>
      <c r="E217" t="s">
        <v>709</v>
      </c>
      <c r="F217" t="s">
        <v>10511</v>
      </c>
    </row>
    <row r="218" spans="1:7" x14ac:dyDescent="0.25">
      <c r="A218" t="s">
        <v>10512</v>
      </c>
      <c r="B218" t="s">
        <v>10393</v>
      </c>
      <c r="C218" t="s">
        <v>10394</v>
      </c>
      <c r="D218">
        <v>2024</v>
      </c>
      <c r="E218" t="s">
        <v>709</v>
      </c>
      <c r="F218" t="s">
        <v>10513</v>
      </c>
    </row>
    <row r="219" spans="1:7" x14ac:dyDescent="0.25">
      <c r="A219" t="s">
        <v>759</v>
      </c>
      <c r="B219" t="s">
        <v>10514</v>
      </c>
      <c r="C219" t="s">
        <v>10515</v>
      </c>
      <c r="D219">
        <v>2017</v>
      </c>
      <c r="E219" t="s">
        <v>759</v>
      </c>
      <c r="F219" t="s">
        <v>10516</v>
      </c>
      <c r="G219" t="s">
        <v>10071</v>
      </c>
    </row>
    <row r="220" spans="1:7" x14ac:dyDescent="0.25">
      <c r="A220" t="s">
        <v>10517</v>
      </c>
      <c r="B220" t="s">
        <v>10514</v>
      </c>
      <c r="C220" t="s">
        <v>10518</v>
      </c>
      <c r="D220">
        <v>2023</v>
      </c>
      <c r="E220" t="s">
        <v>759</v>
      </c>
      <c r="F220" t="s">
        <v>10519</v>
      </c>
    </row>
    <row r="221" spans="1:7" x14ac:dyDescent="0.25">
      <c r="A221" t="s">
        <v>10520</v>
      </c>
      <c r="B221" t="s">
        <v>10514</v>
      </c>
      <c r="C221" t="s">
        <v>10518</v>
      </c>
      <c r="D221">
        <v>2023</v>
      </c>
      <c r="E221" t="s">
        <v>759</v>
      </c>
      <c r="F221" t="s">
        <v>10521</v>
      </c>
    </row>
    <row r="222" spans="1:7" x14ac:dyDescent="0.25">
      <c r="A222" t="s">
        <v>10522</v>
      </c>
      <c r="B222" t="s">
        <v>10514</v>
      </c>
      <c r="C222" t="s">
        <v>10515</v>
      </c>
      <c r="D222">
        <v>2017</v>
      </c>
      <c r="E222" t="s">
        <v>759</v>
      </c>
      <c r="F222" t="s">
        <v>10523</v>
      </c>
    </row>
    <row r="223" spans="1:7" x14ac:dyDescent="0.25">
      <c r="A223" t="s">
        <v>10524</v>
      </c>
      <c r="B223" t="s">
        <v>10514</v>
      </c>
      <c r="C223" t="s">
        <v>10515</v>
      </c>
      <c r="D223">
        <v>2017</v>
      </c>
      <c r="E223" t="s">
        <v>759</v>
      </c>
      <c r="F223" t="s">
        <v>10525</v>
      </c>
    </row>
    <row r="224" spans="1:7" x14ac:dyDescent="0.25">
      <c r="A224" t="s">
        <v>10526</v>
      </c>
      <c r="B224" t="s">
        <v>10514</v>
      </c>
      <c r="C224" t="s">
        <v>10518</v>
      </c>
      <c r="D224">
        <v>2023</v>
      </c>
      <c r="E224" t="s">
        <v>759</v>
      </c>
      <c r="F224" t="s">
        <v>10527</v>
      </c>
    </row>
    <row r="225" spans="1:6" x14ac:dyDescent="0.25">
      <c r="A225" t="s">
        <v>10528</v>
      </c>
      <c r="B225" t="s">
        <v>10514</v>
      </c>
      <c r="C225" t="s">
        <v>10518</v>
      </c>
      <c r="D225">
        <v>2023</v>
      </c>
      <c r="E225" t="s">
        <v>759</v>
      </c>
      <c r="F225" t="s">
        <v>10529</v>
      </c>
    </row>
    <row r="226" spans="1:6" x14ac:dyDescent="0.25">
      <c r="A226" t="s">
        <v>10530</v>
      </c>
      <c r="B226" t="s">
        <v>10514</v>
      </c>
      <c r="C226" t="s">
        <v>10515</v>
      </c>
      <c r="D226">
        <v>2017</v>
      </c>
      <c r="E226" t="s">
        <v>759</v>
      </c>
      <c r="F226" t="s">
        <v>10531</v>
      </c>
    </row>
    <row r="227" spans="1:6" x14ac:dyDescent="0.25">
      <c r="A227" t="s">
        <v>10532</v>
      </c>
      <c r="B227" t="s">
        <v>10514</v>
      </c>
      <c r="C227" t="s">
        <v>10515</v>
      </c>
      <c r="D227">
        <v>2017</v>
      </c>
      <c r="E227" t="s">
        <v>759</v>
      </c>
      <c r="F227" t="s">
        <v>10533</v>
      </c>
    </row>
    <row r="228" spans="1:6" x14ac:dyDescent="0.25">
      <c r="A228" t="s">
        <v>10534</v>
      </c>
      <c r="B228" t="s">
        <v>10514</v>
      </c>
      <c r="C228" t="s">
        <v>10535</v>
      </c>
      <c r="D228">
        <v>2020</v>
      </c>
      <c r="E228" t="s">
        <v>759</v>
      </c>
      <c r="F228" t="s">
        <v>10536</v>
      </c>
    </row>
    <row r="229" spans="1:6" x14ac:dyDescent="0.25">
      <c r="A229" t="s">
        <v>10537</v>
      </c>
      <c r="B229" t="s">
        <v>10514</v>
      </c>
      <c r="C229" t="s">
        <v>10518</v>
      </c>
      <c r="D229">
        <v>2023</v>
      </c>
      <c r="E229" t="s">
        <v>759</v>
      </c>
      <c r="F229" t="s">
        <v>10538</v>
      </c>
    </row>
    <row r="230" spans="1:6" x14ac:dyDescent="0.25">
      <c r="A230" t="s">
        <v>10539</v>
      </c>
      <c r="B230" t="s">
        <v>10514</v>
      </c>
      <c r="C230" t="s">
        <v>10515</v>
      </c>
      <c r="D230">
        <v>2017</v>
      </c>
      <c r="E230" t="s">
        <v>759</v>
      </c>
      <c r="F230" t="s">
        <v>10540</v>
      </c>
    </row>
    <row r="231" spans="1:6" x14ac:dyDescent="0.25">
      <c r="A231" t="s">
        <v>10541</v>
      </c>
      <c r="B231" t="s">
        <v>10514</v>
      </c>
      <c r="C231" t="s">
        <v>10535</v>
      </c>
      <c r="D231">
        <v>2020</v>
      </c>
      <c r="E231" t="s">
        <v>759</v>
      </c>
      <c r="F231" t="s">
        <v>10542</v>
      </c>
    </row>
    <row r="232" spans="1:6" x14ac:dyDescent="0.25">
      <c r="A232" t="s">
        <v>10543</v>
      </c>
      <c r="B232" t="s">
        <v>10514</v>
      </c>
      <c r="C232" t="s">
        <v>10518</v>
      </c>
      <c r="D232">
        <v>2023</v>
      </c>
      <c r="E232" t="s">
        <v>759</v>
      </c>
      <c r="F232" t="s">
        <v>10544</v>
      </c>
    </row>
    <row r="233" spans="1:6" x14ac:dyDescent="0.25">
      <c r="A233" t="s">
        <v>10545</v>
      </c>
      <c r="B233" t="s">
        <v>10514</v>
      </c>
      <c r="C233" t="s">
        <v>10518</v>
      </c>
      <c r="D233">
        <v>2023</v>
      </c>
      <c r="E233" t="s">
        <v>759</v>
      </c>
      <c r="F233" t="s">
        <v>10546</v>
      </c>
    </row>
    <row r="234" spans="1:6" x14ac:dyDescent="0.25">
      <c r="A234" t="s">
        <v>10547</v>
      </c>
      <c r="B234" t="s">
        <v>10514</v>
      </c>
      <c r="C234" t="s">
        <v>10515</v>
      </c>
      <c r="D234">
        <v>2017</v>
      </c>
      <c r="E234" t="s">
        <v>759</v>
      </c>
      <c r="F234" t="s">
        <v>10548</v>
      </c>
    </row>
    <row r="235" spans="1:6" x14ac:dyDescent="0.25">
      <c r="A235" t="s">
        <v>10549</v>
      </c>
      <c r="B235" t="s">
        <v>10514</v>
      </c>
      <c r="C235" t="s">
        <v>10518</v>
      </c>
      <c r="D235">
        <v>2023</v>
      </c>
      <c r="E235" t="s">
        <v>759</v>
      </c>
      <c r="F235" t="s">
        <v>10550</v>
      </c>
    </row>
    <row r="236" spans="1:6" x14ac:dyDescent="0.25">
      <c r="A236" t="s">
        <v>10551</v>
      </c>
      <c r="B236" t="s">
        <v>10514</v>
      </c>
      <c r="C236" t="s">
        <v>10515</v>
      </c>
      <c r="D236">
        <v>2017</v>
      </c>
      <c r="E236" t="s">
        <v>759</v>
      </c>
      <c r="F236" t="s">
        <v>10552</v>
      </c>
    </row>
    <row r="237" spans="1:6" x14ac:dyDescent="0.25">
      <c r="A237" t="s">
        <v>10553</v>
      </c>
      <c r="B237" t="s">
        <v>10514</v>
      </c>
      <c r="C237" t="s">
        <v>10515</v>
      </c>
      <c r="D237">
        <v>2017</v>
      </c>
      <c r="E237" t="s">
        <v>759</v>
      </c>
      <c r="F237" t="s">
        <v>10554</v>
      </c>
    </row>
    <row r="238" spans="1:6" x14ac:dyDescent="0.25">
      <c r="A238" t="s">
        <v>10555</v>
      </c>
      <c r="B238" t="s">
        <v>10514</v>
      </c>
      <c r="C238" t="s">
        <v>10518</v>
      </c>
      <c r="D238">
        <v>2023</v>
      </c>
      <c r="E238" t="s">
        <v>759</v>
      </c>
      <c r="F238" t="s">
        <v>10556</v>
      </c>
    </row>
    <row r="239" spans="1:6" x14ac:dyDescent="0.25">
      <c r="A239" t="s">
        <v>10557</v>
      </c>
      <c r="B239" t="s">
        <v>10514</v>
      </c>
      <c r="C239" t="s">
        <v>10518</v>
      </c>
      <c r="D239">
        <v>2023</v>
      </c>
      <c r="E239" t="s">
        <v>759</v>
      </c>
      <c r="F239" t="s">
        <v>10558</v>
      </c>
    </row>
    <row r="240" spans="1:6" x14ac:dyDescent="0.25">
      <c r="A240" t="s">
        <v>10559</v>
      </c>
      <c r="B240" t="s">
        <v>10514</v>
      </c>
      <c r="C240" t="s">
        <v>10515</v>
      </c>
      <c r="D240">
        <v>2017</v>
      </c>
      <c r="E240" t="s">
        <v>759</v>
      </c>
      <c r="F240" t="s">
        <v>10560</v>
      </c>
    </row>
    <row r="241" spans="1:6" x14ac:dyDescent="0.25">
      <c r="A241" t="s">
        <v>10561</v>
      </c>
      <c r="B241" t="s">
        <v>10514</v>
      </c>
      <c r="C241" t="s">
        <v>10518</v>
      </c>
      <c r="D241">
        <v>2023</v>
      </c>
      <c r="E241" t="s">
        <v>759</v>
      </c>
      <c r="F241" t="s">
        <v>10562</v>
      </c>
    </row>
    <row r="242" spans="1:6" x14ac:dyDescent="0.25">
      <c r="A242" t="s">
        <v>10563</v>
      </c>
      <c r="B242" t="s">
        <v>10514</v>
      </c>
      <c r="C242" t="s">
        <v>10515</v>
      </c>
      <c r="D242">
        <v>2017</v>
      </c>
      <c r="E242" t="s">
        <v>759</v>
      </c>
      <c r="F242" t="s">
        <v>10564</v>
      </c>
    </row>
    <row r="243" spans="1:6" x14ac:dyDescent="0.25">
      <c r="A243" t="s">
        <v>10565</v>
      </c>
      <c r="B243" t="s">
        <v>10514</v>
      </c>
      <c r="C243" t="s">
        <v>10518</v>
      </c>
      <c r="D243">
        <v>2023</v>
      </c>
      <c r="E243" t="s">
        <v>759</v>
      </c>
      <c r="F243" t="s">
        <v>10566</v>
      </c>
    </row>
    <row r="244" spans="1:6" x14ac:dyDescent="0.25">
      <c r="A244" t="s">
        <v>10567</v>
      </c>
      <c r="B244" t="s">
        <v>10514</v>
      </c>
      <c r="C244" t="s">
        <v>10515</v>
      </c>
      <c r="D244">
        <v>2017</v>
      </c>
      <c r="E244" t="s">
        <v>759</v>
      </c>
      <c r="F244" t="s">
        <v>10568</v>
      </c>
    </row>
    <row r="245" spans="1:6" x14ac:dyDescent="0.25">
      <c r="A245" t="s">
        <v>10569</v>
      </c>
      <c r="B245" t="s">
        <v>10514</v>
      </c>
      <c r="C245" t="s">
        <v>10515</v>
      </c>
      <c r="D245">
        <v>2017</v>
      </c>
      <c r="E245" t="s">
        <v>759</v>
      </c>
      <c r="F245" t="s">
        <v>10570</v>
      </c>
    </row>
    <row r="246" spans="1:6" x14ac:dyDescent="0.25">
      <c r="A246" t="s">
        <v>10571</v>
      </c>
      <c r="B246" t="s">
        <v>10514</v>
      </c>
      <c r="C246" t="s">
        <v>10518</v>
      </c>
      <c r="D246">
        <v>2023</v>
      </c>
      <c r="E246" t="s">
        <v>759</v>
      </c>
      <c r="F246" t="s">
        <v>10572</v>
      </c>
    </row>
    <row r="247" spans="1:6" x14ac:dyDescent="0.25">
      <c r="A247" t="s">
        <v>10573</v>
      </c>
      <c r="B247" t="s">
        <v>10514</v>
      </c>
      <c r="C247" t="s">
        <v>10518</v>
      </c>
      <c r="D247">
        <v>2023</v>
      </c>
      <c r="E247" t="s">
        <v>759</v>
      </c>
      <c r="F247" t="s">
        <v>10574</v>
      </c>
    </row>
    <row r="248" spans="1:6" x14ac:dyDescent="0.25">
      <c r="A248" t="s">
        <v>10575</v>
      </c>
      <c r="B248" t="s">
        <v>10514</v>
      </c>
      <c r="C248" t="s">
        <v>10515</v>
      </c>
      <c r="D248">
        <v>2017</v>
      </c>
      <c r="E248" t="s">
        <v>759</v>
      </c>
      <c r="F248" t="s">
        <v>10576</v>
      </c>
    </row>
    <row r="249" spans="1:6" x14ac:dyDescent="0.25">
      <c r="A249" t="s">
        <v>10577</v>
      </c>
      <c r="B249" t="s">
        <v>10514</v>
      </c>
      <c r="C249" t="s">
        <v>10515</v>
      </c>
      <c r="D249">
        <v>2017</v>
      </c>
      <c r="E249" t="s">
        <v>759</v>
      </c>
      <c r="F249" t="s">
        <v>10578</v>
      </c>
    </row>
    <row r="250" spans="1:6" x14ac:dyDescent="0.25">
      <c r="A250" t="s">
        <v>10579</v>
      </c>
      <c r="B250" t="s">
        <v>10514</v>
      </c>
      <c r="C250" t="s">
        <v>10518</v>
      </c>
      <c r="D250">
        <v>2023</v>
      </c>
      <c r="E250" t="s">
        <v>759</v>
      </c>
      <c r="F250" t="s">
        <v>10580</v>
      </c>
    </row>
    <row r="251" spans="1:6" x14ac:dyDescent="0.25">
      <c r="A251" t="s">
        <v>10581</v>
      </c>
      <c r="B251" t="s">
        <v>10514</v>
      </c>
      <c r="C251" t="s">
        <v>10518</v>
      </c>
      <c r="D251">
        <v>2023</v>
      </c>
      <c r="E251" t="s">
        <v>759</v>
      </c>
      <c r="F251" t="s">
        <v>10582</v>
      </c>
    </row>
    <row r="252" spans="1:6" x14ac:dyDescent="0.25">
      <c r="A252" t="s">
        <v>10583</v>
      </c>
      <c r="B252" t="s">
        <v>10514</v>
      </c>
      <c r="C252" t="s">
        <v>10515</v>
      </c>
      <c r="D252">
        <v>2017</v>
      </c>
      <c r="E252" t="s">
        <v>759</v>
      </c>
      <c r="F252" t="s">
        <v>10584</v>
      </c>
    </row>
    <row r="253" spans="1:6" x14ac:dyDescent="0.25">
      <c r="A253" t="s">
        <v>10585</v>
      </c>
      <c r="B253" t="s">
        <v>10514</v>
      </c>
      <c r="C253" t="s">
        <v>10518</v>
      </c>
      <c r="D253">
        <v>2023</v>
      </c>
      <c r="E253" t="s">
        <v>759</v>
      </c>
      <c r="F253" t="s">
        <v>10586</v>
      </c>
    </row>
    <row r="254" spans="1:6" x14ac:dyDescent="0.25">
      <c r="A254" t="s">
        <v>10587</v>
      </c>
      <c r="B254" t="s">
        <v>10514</v>
      </c>
      <c r="C254" t="s">
        <v>10515</v>
      </c>
      <c r="D254">
        <v>2017</v>
      </c>
      <c r="E254" t="s">
        <v>759</v>
      </c>
      <c r="F254" t="s">
        <v>10588</v>
      </c>
    </row>
    <row r="255" spans="1:6" x14ac:dyDescent="0.25">
      <c r="A255" t="s">
        <v>10589</v>
      </c>
      <c r="B255" t="s">
        <v>10514</v>
      </c>
      <c r="C255" t="s">
        <v>10518</v>
      </c>
      <c r="D255">
        <v>2023</v>
      </c>
      <c r="E255" t="s">
        <v>759</v>
      </c>
      <c r="F255" t="s">
        <v>10590</v>
      </c>
    </row>
    <row r="256" spans="1:6" x14ac:dyDescent="0.25">
      <c r="A256" t="s">
        <v>10591</v>
      </c>
      <c r="B256" t="s">
        <v>10514</v>
      </c>
      <c r="C256" t="s">
        <v>10515</v>
      </c>
      <c r="D256">
        <v>2017</v>
      </c>
      <c r="E256" t="s">
        <v>759</v>
      </c>
      <c r="F256" t="s">
        <v>10592</v>
      </c>
    </row>
    <row r="257" spans="1:6" x14ac:dyDescent="0.25">
      <c r="A257" t="s">
        <v>10593</v>
      </c>
      <c r="B257" t="s">
        <v>10514</v>
      </c>
      <c r="C257" t="s">
        <v>10518</v>
      </c>
      <c r="D257">
        <v>2023</v>
      </c>
      <c r="E257" t="s">
        <v>759</v>
      </c>
      <c r="F257" t="s">
        <v>10594</v>
      </c>
    </row>
    <row r="258" spans="1:6" x14ac:dyDescent="0.25">
      <c r="A258" t="s">
        <v>10595</v>
      </c>
      <c r="B258" t="s">
        <v>10514</v>
      </c>
      <c r="C258" t="s">
        <v>10515</v>
      </c>
      <c r="D258">
        <v>2017</v>
      </c>
      <c r="E258" t="s">
        <v>759</v>
      </c>
      <c r="F258" t="s">
        <v>10596</v>
      </c>
    </row>
    <row r="259" spans="1:6" x14ac:dyDescent="0.25">
      <c r="A259" t="s">
        <v>10597</v>
      </c>
      <c r="B259" t="s">
        <v>10514</v>
      </c>
      <c r="C259" t="s">
        <v>10515</v>
      </c>
      <c r="D259">
        <v>2017</v>
      </c>
      <c r="E259" t="s">
        <v>759</v>
      </c>
      <c r="F259" t="s">
        <v>10598</v>
      </c>
    </row>
    <row r="260" spans="1:6" x14ac:dyDescent="0.25">
      <c r="A260" t="s">
        <v>10599</v>
      </c>
      <c r="B260" t="s">
        <v>10514</v>
      </c>
      <c r="C260" t="s">
        <v>10518</v>
      </c>
      <c r="D260">
        <v>2023</v>
      </c>
      <c r="E260" t="s">
        <v>759</v>
      </c>
      <c r="F260" t="s">
        <v>10600</v>
      </c>
    </row>
    <row r="261" spans="1:6" x14ac:dyDescent="0.25">
      <c r="A261" t="s">
        <v>10601</v>
      </c>
      <c r="B261" t="s">
        <v>10514</v>
      </c>
      <c r="C261" t="s">
        <v>10518</v>
      </c>
      <c r="D261">
        <v>2023</v>
      </c>
      <c r="E261" t="s">
        <v>759</v>
      </c>
      <c r="F261" t="s">
        <v>10602</v>
      </c>
    </row>
    <row r="262" spans="1:6" x14ac:dyDescent="0.25">
      <c r="A262" t="s">
        <v>10603</v>
      </c>
      <c r="B262" t="s">
        <v>10514</v>
      </c>
      <c r="C262" t="s">
        <v>10515</v>
      </c>
      <c r="D262">
        <v>2017</v>
      </c>
      <c r="E262" t="s">
        <v>759</v>
      </c>
      <c r="F262" t="s">
        <v>10604</v>
      </c>
    </row>
    <row r="263" spans="1:6" x14ac:dyDescent="0.25">
      <c r="A263" t="s">
        <v>10605</v>
      </c>
      <c r="B263" t="s">
        <v>10514</v>
      </c>
      <c r="C263" t="s">
        <v>10515</v>
      </c>
      <c r="D263">
        <v>2017</v>
      </c>
      <c r="E263" t="s">
        <v>759</v>
      </c>
      <c r="F263" t="s">
        <v>10606</v>
      </c>
    </row>
    <row r="264" spans="1:6" x14ac:dyDescent="0.25">
      <c r="A264" t="s">
        <v>10607</v>
      </c>
      <c r="B264" t="s">
        <v>10514</v>
      </c>
      <c r="C264" t="s">
        <v>10518</v>
      </c>
      <c r="D264">
        <v>2023</v>
      </c>
      <c r="E264" t="s">
        <v>759</v>
      </c>
      <c r="F264" t="s">
        <v>10608</v>
      </c>
    </row>
    <row r="265" spans="1:6" x14ac:dyDescent="0.25">
      <c r="A265" t="s">
        <v>10609</v>
      </c>
      <c r="B265" t="s">
        <v>10514</v>
      </c>
      <c r="C265" t="s">
        <v>10518</v>
      </c>
      <c r="D265">
        <v>2023</v>
      </c>
      <c r="E265" t="s">
        <v>759</v>
      </c>
      <c r="F265" t="s">
        <v>10610</v>
      </c>
    </row>
    <row r="266" spans="1:6" x14ac:dyDescent="0.25">
      <c r="A266" t="s">
        <v>10611</v>
      </c>
      <c r="B266" t="s">
        <v>10514</v>
      </c>
      <c r="C266" t="s">
        <v>10515</v>
      </c>
      <c r="D266">
        <v>2017</v>
      </c>
      <c r="E266" t="s">
        <v>759</v>
      </c>
      <c r="F266" t="s">
        <v>10612</v>
      </c>
    </row>
    <row r="267" spans="1:6" x14ac:dyDescent="0.25">
      <c r="A267" t="s">
        <v>10613</v>
      </c>
      <c r="B267" t="s">
        <v>10514</v>
      </c>
      <c r="C267" t="s">
        <v>10515</v>
      </c>
      <c r="D267">
        <v>2017</v>
      </c>
      <c r="E267" t="s">
        <v>759</v>
      </c>
      <c r="F267" t="s">
        <v>10614</v>
      </c>
    </row>
    <row r="268" spans="1:6" x14ac:dyDescent="0.25">
      <c r="A268" t="s">
        <v>10615</v>
      </c>
      <c r="B268" t="s">
        <v>10514</v>
      </c>
      <c r="C268" t="s">
        <v>10518</v>
      </c>
      <c r="D268">
        <v>2023</v>
      </c>
      <c r="E268" t="s">
        <v>759</v>
      </c>
      <c r="F268" t="s">
        <v>10616</v>
      </c>
    </row>
    <row r="269" spans="1:6" x14ac:dyDescent="0.25">
      <c r="A269" t="s">
        <v>10617</v>
      </c>
      <c r="B269" t="s">
        <v>10514</v>
      </c>
      <c r="C269" t="s">
        <v>10515</v>
      </c>
      <c r="D269">
        <v>2017</v>
      </c>
      <c r="E269" t="s">
        <v>759</v>
      </c>
      <c r="F269" t="s">
        <v>10618</v>
      </c>
    </row>
    <row r="270" spans="1:6" x14ac:dyDescent="0.25">
      <c r="A270" t="s">
        <v>10619</v>
      </c>
      <c r="B270" t="s">
        <v>10514</v>
      </c>
      <c r="C270" t="s">
        <v>10518</v>
      </c>
      <c r="D270">
        <v>2023</v>
      </c>
      <c r="E270" t="s">
        <v>759</v>
      </c>
      <c r="F270" t="s">
        <v>10620</v>
      </c>
    </row>
    <row r="271" spans="1:6" x14ac:dyDescent="0.25">
      <c r="A271" t="s">
        <v>10621</v>
      </c>
      <c r="B271" t="s">
        <v>10514</v>
      </c>
      <c r="C271" t="s">
        <v>10515</v>
      </c>
      <c r="D271">
        <v>2017</v>
      </c>
      <c r="E271" t="s">
        <v>759</v>
      </c>
      <c r="F271" t="s">
        <v>10622</v>
      </c>
    </row>
    <row r="272" spans="1:6" x14ac:dyDescent="0.25">
      <c r="A272" t="s">
        <v>10623</v>
      </c>
      <c r="B272" t="s">
        <v>10514</v>
      </c>
      <c r="C272" t="s">
        <v>10518</v>
      </c>
      <c r="D272">
        <v>2023</v>
      </c>
      <c r="E272" t="s">
        <v>759</v>
      </c>
      <c r="F272" t="s">
        <v>10624</v>
      </c>
    </row>
    <row r="273" spans="1:6" x14ac:dyDescent="0.25">
      <c r="A273" t="s">
        <v>10625</v>
      </c>
      <c r="B273" t="s">
        <v>10514</v>
      </c>
      <c r="C273" t="s">
        <v>10515</v>
      </c>
      <c r="D273">
        <v>2017</v>
      </c>
      <c r="E273" t="s">
        <v>759</v>
      </c>
      <c r="F273" t="s">
        <v>10626</v>
      </c>
    </row>
    <row r="274" spans="1:6" x14ac:dyDescent="0.25">
      <c r="A274" t="s">
        <v>10627</v>
      </c>
      <c r="B274" t="s">
        <v>10514</v>
      </c>
      <c r="C274" t="s">
        <v>10518</v>
      </c>
      <c r="D274">
        <v>2023</v>
      </c>
      <c r="E274" t="s">
        <v>759</v>
      </c>
      <c r="F274" t="s">
        <v>10628</v>
      </c>
    </row>
    <row r="275" spans="1:6" x14ac:dyDescent="0.25">
      <c r="A275" t="s">
        <v>10629</v>
      </c>
      <c r="B275" t="s">
        <v>10514</v>
      </c>
      <c r="C275" t="s">
        <v>10515</v>
      </c>
      <c r="D275">
        <v>2017</v>
      </c>
      <c r="E275" t="s">
        <v>759</v>
      </c>
      <c r="F275" t="s">
        <v>10630</v>
      </c>
    </row>
    <row r="276" spans="1:6" x14ac:dyDescent="0.25">
      <c r="A276" t="s">
        <v>10631</v>
      </c>
      <c r="B276" t="s">
        <v>10514</v>
      </c>
      <c r="C276" t="s">
        <v>10518</v>
      </c>
      <c r="D276">
        <v>2023</v>
      </c>
      <c r="E276" t="s">
        <v>759</v>
      </c>
      <c r="F276" t="s">
        <v>10632</v>
      </c>
    </row>
    <row r="277" spans="1:6" x14ac:dyDescent="0.25">
      <c r="A277" t="s">
        <v>10633</v>
      </c>
      <c r="B277" t="s">
        <v>10514</v>
      </c>
      <c r="C277" t="s">
        <v>10518</v>
      </c>
      <c r="D277">
        <v>2023</v>
      </c>
      <c r="E277" t="s">
        <v>759</v>
      </c>
      <c r="F277" t="s">
        <v>10634</v>
      </c>
    </row>
    <row r="278" spans="1:6" x14ac:dyDescent="0.25">
      <c r="A278" t="s">
        <v>10635</v>
      </c>
      <c r="B278" t="s">
        <v>10514</v>
      </c>
      <c r="C278" t="s">
        <v>10515</v>
      </c>
      <c r="D278">
        <v>2017</v>
      </c>
      <c r="E278" t="s">
        <v>759</v>
      </c>
      <c r="F278" t="s">
        <v>10636</v>
      </c>
    </row>
    <row r="279" spans="1:6" x14ac:dyDescent="0.25">
      <c r="A279" t="s">
        <v>10637</v>
      </c>
      <c r="B279" t="s">
        <v>10514</v>
      </c>
      <c r="C279" t="s">
        <v>10518</v>
      </c>
      <c r="D279">
        <v>2023</v>
      </c>
      <c r="E279" t="s">
        <v>759</v>
      </c>
      <c r="F279" t="s">
        <v>10638</v>
      </c>
    </row>
    <row r="280" spans="1:6" x14ac:dyDescent="0.25">
      <c r="A280" t="s">
        <v>10639</v>
      </c>
      <c r="B280" t="s">
        <v>10514</v>
      </c>
      <c r="C280" t="s">
        <v>10515</v>
      </c>
      <c r="D280">
        <v>2017</v>
      </c>
      <c r="E280" t="s">
        <v>759</v>
      </c>
      <c r="F280" t="s">
        <v>10640</v>
      </c>
    </row>
    <row r="281" spans="1:6" x14ac:dyDescent="0.25">
      <c r="A281" t="s">
        <v>10641</v>
      </c>
      <c r="B281" t="s">
        <v>10514</v>
      </c>
      <c r="C281" t="s">
        <v>10515</v>
      </c>
      <c r="D281">
        <v>2017</v>
      </c>
      <c r="E281" t="s">
        <v>759</v>
      </c>
      <c r="F281" t="s">
        <v>10642</v>
      </c>
    </row>
    <row r="282" spans="1:6" x14ac:dyDescent="0.25">
      <c r="A282" t="s">
        <v>10643</v>
      </c>
      <c r="B282" t="s">
        <v>10514</v>
      </c>
      <c r="C282" t="s">
        <v>10518</v>
      </c>
      <c r="D282">
        <v>2023</v>
      </c>
      <c r="E282" t="s">
        <v>759</v>
      </c>
      <c r="F282" t="s">
        <v>10644</v>
      </c>
    </row>
    <row r="283" spans="1:6" x14ac:dyDescent="0.25">
      <c r="A283" t="s">
        <v>10645</v>
      </c>
      <c r="B283" t="s">
        <v>10514</v>
      </c>
      <c r="C283" t="s">
        <v>10515</v>
      </c>
      <c r="D283">
        <v>2017</v>
      </c>
      <c r="E283" t="s">
        <v>759</v>
      </c>
      <c r="F283" t="s">
        <v>10646</v>
      </c>
    </row>
    <row r="284" spans="1:6" x14ac:dyDescent="0.25">
      <c r="A284" t="s">
        <v>10647</v>
      </c>
      <c r="B284" t="s">
        <v>10514</v>
      </c>
      <c r="C284" t="s">
        <v>10515</v>
      </c>
      <c r="D284">
        <v>2017</v>
      </c>
      <c r="E284" t="s">
        <v>759</v>
      </c>
      <c r="F284" t="s">
        <v>10648</v>
      </c>
    </row>
    <row r="285" spans="1:6" x14ac:dyDescent="0.25">
      <c r="A285" t="s">
        <v>10649</v>
      </c>
      <c r="B285" t="s">
        <v>10514</v>
      </c>
      <c r="C285" t="s">
        <v>10515</v>
      </c>
      <c r="D285">
        <v>2017</v>
      </c>
      <c r="E285" t="s">
        <v>759</v>
      </c>
      <c r="F285" t="s">
        <v>10650</v>
      </c>
    </row>
    <row r="286" spans="1:6" x14ac:dyDescent="0.25">
      <c r="A286" t="s">
        <v>10651</v>
      </c>
      <c r="B286" t="s">
        <v>10514</v>
      </c>
      <c r="C286" t="s">
        <v>10515</v>
      </c>
      <c r="D286">
        <v>2017</v>
      </c>
      <c r="E286" t="s">
        <v>759</v>
      </c>
      <c r="F286" t="s">
        <v>10652</v>
      </c>
    </row>
    <row r="287" spans="1:6" x14ac:dyDescent="0.25">
      <c r="A287" t="s">
        <v>10653</v>
      </c>
      <c r="B287" t="s">
        <v>10514</v>
      </c>
      <c r="C287" t="s">
        <v>10515</v>
      </c>
      <c r="D287">
        <v>2017</v>
      </c>
      <c r="E287" t="s">
        <v>759</v>
      </c>
      <c r="F287" t="s">
        <v>10654</v>
      </c>
    </row>
    <row r="288" spans="1:6" x14ac:dyDescent="0.25">
      <c r="A288" t="s">
        <v>10655</v>
      </c>
      <c r="B288" t="s">
        <v>10514</v>
      </c>
      <c r="C288" t="s">
        <v>10515</v>
      </c>
      <c r="D288">
        <v>2017</v>
      </c>
      <c r="E288" t="s">
        <v>759</v>
      </c>
      <c r="F288" t="s">
        <v>10656</v>
      </c>
    </row>
    <row r="289" spans="1:7" x14ac:dyDescent="0.25">
      <c r="A289" t="s">
        <v>10657</v>
      </c>
      <c r="B289" t="s">
        <v>10514</v>
      </c>
      <c r="C289" t="s">
        <v>10515</v>
      </c>
      <c r="D289">
        <v>2017</v>
      </c>
      <c r="E289" t="s">
        <v>759</v>
      </c>
      <c r="F289" t="s">
        <v>10658</v>
      </c>
    </row>
    <row r="290" spans="1:7" x14ac:dyDescent="0.25">
      <c r="A290" t="s">
        <v>10659</v>
      </c>
      <c r="B290" t="s">
        <v>10514</v>
      </c>
      <c r="C290" t="s">
        <v>10515</v>
      </c>
      <c r="D290">
        <v>2017</v>
      </c>
      <c r="E290" t="s">
        <v>759</v>
      </c>
      <c r="F290" t="s">
        <v>10660</v>
      </c>
    </row>
    <row r="291" spans="1:7" x14ac:dyDescent="0.25">
      <c r="A291" t="s">
        <v>10661</v>
      </c>
      <c r="B291" t="s">
        <v>10514</v>
      </c>
      <c r="C291" t="s">
        <v>10515</v>
      </c>
      <c r="D291">
        <v>2017</v>
      </c>
      <c r="E291" t="s">
        <v>759</v>
      </c>
      <c r="F291" t="s">
        <v>10662</v>
      </c>
    </row>
    <row r="292" spans="1:7" x14ac:dyDescent="0.25">
      <c r="A292" t="s">
        <v>10663</v>
      </c>
      <c r="B292" t="s">
        <v>10514</v>
      </c>
      <c r="C292" t="s">
        <v>10515</v>
      </c>
      <c r="D292">
        <v>2017</v>
      </c>
      <c r="E292" t="s">
        <v>759</v>
      </c>
      <c r="F292" t="s">
        <v>10664</v>
      </c>
    </row>
    <row r="293" spans="1:7" x14ac:dyDescent="0.25">
      <c r="A293" t="s">
        <v>10665</v>
      </c>
      <c r="B293" t="s">
        <v>10514</v>
      </c>
      <c r="C293" t="s">
        <v>10515</v>
      </c>
      <c r="D293">
        <v>2017</v>
      </c>
      <c r="E293" t="s">
        <v>759</v>
      </c>
      <c r="F293" t="s">
        <v>10666</v>
      </c>
    </row>
    <row r="294" spans="1:7" x14ac:dyDescent="0.25">
      <c r="A294" t="s">
        <v>10667</v>
      </c>
      <c r="B294" t="s">
        <v>10514</v>
      </c>
      <c r="C294" t="s">
        <v>10515</v>
      </c>
      <c r="D294">
        <v>2017</v>
      </c>
      <c r="E294" t="s">
        <v>759</v>
      </c>
      <c r="F294" t="s">
        <v>10668</v>
      </c>
    </row>
    <row r="295" spans="1:7" x14ac:dyDescent="0.25">
      <c r="A295" t="s">
        <v>10669</v>
      </c>
      <c r="B295" t="s">
        <v>10670</v>
      </c>
      <c r="C295" t="s">
        <v>10671</v>
      </c>
      <c r="D295">
        <v>2019</v>
      </c>
      <c r="E295" t="s">
        <v>873</v>
      </c>
      <c r="F295" t="s">
        <v>10672</v>
      </c>
      <c r="G295" t="s">
        <v>10071</v>
      </c>
    </row>
    <row r="296" spans="1:7" x14ac:dyDescent="0.25">
      <c r="A296" t="s">
        <v>10673</v>
      </c>
      <c r="B296" t="s">
        <v>10670</v>
      </c>
      <c r="C296" t="s">
        <v>10671</v>
      </c>
      <c r="D296">
        <v>2019</v>
      </c>
      <c r="E296" t="s">
        <v>873</v>
      </c>
      <c r="F296" t="s">
        <v>10674</v>
      </c>
    </row>
    <row r="297" spans="1:7" x14ac:dyDescent="0.25">
      <c r="A297" t="s">
        <v>10675</v>
      </c>
      <c r="B297" t="s">
        <v>10670</v>
      </c>
      <c r="C297" t="s">
        <v>10671</v>
      </c>
      <c r="D297">
        <v>2019</v>
      </c>
      <c r="E297" t="s">
        <v>873</v>
      </c>
      <c r="F297" t="s">
        <v>10676</v>
      </c>
    </row>
    <row r="298" spans="1:7" x14ac:dyDescent="0.25">
      <c r="A298" t="s">
        <v>10677</v>
      </c>
      <c r="B298" t="s">
        <v>10670</v>
      </c>
      <c r="C298" t="s">
        <v>10671</v>
      </c>
      <c r="D298">
        <v>2019</v>
      </c>
      <c r="E298" t="s">
        <v>873</v>
      </c>
      <c r="F298" t="s">
        <v>10678</v>
      </c>
    </row>
    <row r="299" spans="1:7" x14ac:dyDescent="0.25">
      <c r="A299" t="s">
        <v>10679</v>
      </c>
      <c r="B299" t="s">
        <v>10670</v>
      </c>
      <c r="C299" t="s">
        <v>10671</v>
      </c>
      <c r="D299">
        <v>2019</v>
      </c>
      <c r="E299" t="s">
        <v>873</v>
      </c>
      <c r="F299" t="s">
        <v>10680</v>
      </c>
    </row>
    <row r="300" spans="1:7" x14ac:dyDescent="0.25">
      <c r="A300" t="s">
        <v>10681</v>
      </c>
      <c r="B300" t="s">
        <v>10670</v>
      </c>
      <c r="C300" t="s">
        <v>10671</v>
      </c>
      <c r="D300">
        <v>2019</v>
      </c>
      <c r="E300" t="s">
        <v>873</v>
      </c>
      <c r="F300" t="s">
        <v>10682</v>
      </c>
    </row>
    <row r="301" spans="1:7" x14ac:dyDescent="0.25">
      <c r="A301" t="s">
        <v>10683</v>
      </c>
      <c r="B301" t="s">
        <v>10670</v>
      </c>
      <c r="C301" t="s">
        <v>10671</v>
      </c>
      <c r="D301">
        <v>2019</v>
      </c>
      <c r="E301" t="s">
        <v>873</v>
      </c>
      <c r="F301" t="s">
        <v>10684</v>
      </c>
    </row>
    <row r="302" spans="1:7" x14ac:dyDescent="0.25">
      <c r="A302" t="s">
        <v>10685</v>
      </c>
      <c r="B302" t="s">
        <v>10670</v>
      </c>
      <c r="C302" t="s">
        <v>10671</v>
      </c>
      <c r="D302">
        <v>2019</v>
      </c>
      <c r="E302" t="s">
        <v>873</v>
      </c>
      <c r="F302" t="s">
        <v>10686</v>
      </c>
    </row>
    <row r="303" spans="1:7" x14ac:dyDescent="0.25">
      <c r="A303" t="s">
        <v>10687</v>
      </c>
      <c r="B303" t="s">
        <v>10670</v>
      </c>
      <c r="C303" t="s">
        <v>10671</v>
      </c>
      <c r="D303">
        <v>2019</v>
      </c>
      <c r="E303" t="s">
        <v>873</v>
      </c>
      <c r="F303" t="s">
        <v>10688</v>
      </c>
    </row>
    <row r="304" spans="1:7" x14ac:dyDescent="0.25">
      <c r="A304" t="s">
        <v>10689</v>
      </c>
      <c r="B304" t="s">
        <v>10670</v>
      </c>
      <c r="C304" t="s">
        <v>10671</v>
      </c>
      <c r="D304">
        <v>2019</v>
      </c>
      <c r="E304" t="s">
        <v>873</v>
      </c>
      <c r="F304" t="s">
        <v>10690</v>
      </c>
    </row>
    <row r="305" spans="1:6" x14ac:dyDescent="0.25">
      <c r="A305" t="s">
        <v>10691</v>
      </c>
      <c r="B305" t="s">
        <v>10670</v>
      </c>
      <c r="C305" t="s">
        <v>10671</v>
      </c>
      <c r="D305">
        <v>2019</v>
      </c>
      <c r="E305" t="s">
        <v>873</v>
      </c>
      <c r="F305" t="s">
        <v>10692</v>
      </c>
    </row>
    <row r="306" spans="1:6" x14ac:dyDescent="0.25">
      <c r="A306" t="s">
        <v>10693</v>
      </c>
      <c r="B306" t="s">
        <v>10670</v>
      </c>
      <c r="C306" t="s">
        <v>10671</v>
      </c>
      <c r="D306">
        <v>2019</v>
      </c>
      <c r="E306" t="s">
        <v>873</v>
      </c>
      <c r="F306" t="s">
        <v>10694</v>
      </c>
    </row>
    <row r="307" spans="1:6" x14ac:dyDescent="0.25">
      <c r="A307" t="s">
        <v>10695</v>
      </c>
      <c r="B307" t="s">
        <v>10670</v>
      </c>
      <c r="C307" t="s">
        <v>10671</v>
      </c>
      <c r="D307">
        <v>2019</v>
      </c>
      <c r="E307" t="s">
        <v>873</v>
      </c>
      <c r="F307" t="s">
        <v>10696</v>
      </c>
    </row>
    <row r="308" spans="1:6" x14ac:dyDescent="0.25">
      <c r="A308" t="s">
        <v>10697</v>
      </c>
      <c r="B308" t="s">
        <v>10670</v>
      </c>
      <c r="C308" t="s">
        <v>10671</v>
      </c>
      <c r="D308">
        <v>2019</v>
      </c>
      <c r="E308" t="s">
        <v>873</v>
      </c>
      <c r="F308" t="s">
        <v>10698</v>
      </c>
    </row>
    <row r="309" spans="1:6" x14ac:dyDescent="0.25">
      <c r="A309" t="s">
        <v>10699</v>
      </c>
      <c r="B309" t="s">
        <v>10670</v>
      </c>
      <c r="C309" t="s">
        <v>10671</v>
      </c>
      <c r="D309">
        <v>2019</v>
      </c>
      <c r="E309" t="s">
        <v>873</v>
      </c>
      <c r="F309" t="s">
        <v>10700</v>
      </c>
    </row>
    <row r="310" spans="1:6" x14ac:dyDescent="0.25">
      <c r="A310" t="s">
        <v>10701</v>
      </c>
      <c r="B310" t="s">
        <v>10670</v>
      </c>
      <c r="C310" t="s">
        <v>10671</v>
      </c>
      <c r="D310">
        <v>2019</v>
      </c>
      <c r="E310" t="s">
        <v>873</v>
      </c>
      <c r="F310" t="s">
        <v>10702</v>
      </c>
    </row>
    <row r="311" spans="1:6" x14ac:dyDescent="0.25">
      <c r="A311" t="s">
        <v>10703</v>
      </c>
      <c r="B311" t="s">
        <v>10670</v>
      </c>
      <c r="C311" t="s">
        <v>10671</v>
      </c>
      <c r="D311">
        <v>2019</v>
      </c>
      <c r="E311" t="s">
        <v>873</v>
      </c>
      <c r="F311" t="s">
        <v>10704</v>
      </c>
    </row>
    <row r="312" spans="1:6" x14ac:dyDescent="0.25">
      <c r="A312" t="s">
        <v>10705</v>
      </c>
      <c r="B312" t="s">
        <v>10670</v>
      </c>
      <c r="C312" t="s">
        <v>10671</v>
      </c>
      <c r="D312">
        <v>2019</v>
      </c>
      <c r="E312" t="s">
        <v>873</v>
      </c>
      <c r="F312" t="s">
        <v>10706</v>
      </c>
    </row>
    <row r="313" spans="1:6" x14ac:dyDescent="0.25">
      <c r="A313" t="s">
        <v>10611</v>
      </c>
      <c r="B313" t="s">
        <v>10670</v>
      </c>
      <c r="C313" t="s">
        <v>10671</v>
      </c>
      <c r="D313">
        <v>2019</v>
      </c>
      <c r="E313" t="s">
        <v>873</v>
      </c>
      <c r="F313" t="s">
        <v>10707</v>
      </c>
    </row>
    <row r="314" spans="1:6" x14ac:dyDescent="0.25">
      <c r="A314" t="s">
        <v>10708</v>
      </c>
      <c r="B314" t="s">
        <v>10670</v>
      </c>
      <c r="C314" t="s">
        <v>10671</v>
      </c>
      <c r="D314">
        <v>2019</v>
      </c>
      <c r="E314" t="s">
        <v>873</v>
      </c>
      <c r="F314" t="s">
        <v>10709</v>
      </c>
    </row>
    <row r="315" spans="1:6" x14ac:dyDescent="0.25">
      <c r="A315" t="s">
        <v>10710</v>
      </c>
      <c r="B315" t="s">
        <v>10670</v>
      </c>
      <c r="C315" t="s">
        <v>10671</v>
      </c>
      <c r="D315">
        <v>2019</v>
      </c>
      <c r="E315" t="s">
        <v>873</v>
      </c>
      <c r="F315" t="s">
        <v>10711</v>
      </c>
    </row>
    <row r="316" spans="1:6" x14ac:dyDescent="0.25">
      <c r="A316" t="s">
        <v>10712</v>
      </c>
      <c r="B316" t="s">
        <v>10670</v>
      </c>
      <c r="C316" t="s">
        <v>10671</v>
      </c>
      <c r="D316">
        <v>2019</v>
      </c>
      <c r="E316" t="s">
        <v>873</v>
      </c>
      <c r="F316" t="s">
        <v>10713</v>
      </c>
    </row>
    <row r="317" spans="1:6" x14ac:dyDescent="0.25">
      <c r="A317" t="s">
        <v>10714</v>
      </c>
      <c r="B317" t="s">
        <v>10670</v>
      </c>
      <c r="C317" t="s">
        <v>10671</v>
      </c>
      <c r="D317">
        <v>2019</v>
      </c>
      <c r="E317" t="s">
        <v>873</v>
      </c>
      <c r="F317" t="s">
        <v>10715</v>
      </c>
    </row>
    <row r="318" spans="1:6" x14ac:dyDescent="0.25">
      <c r="A318" t="s">
        <v>10716</v>
      </c>
      <c r="B318" t="s">
        <v>10670</v>
      </c>
      <c r="C318" t="s">
        <v>10671</v>
      </c>
      <c r="D318">
        <v>2019</v>
      </c>
      <c r="E318" t="s">
        <v>873</v>
      </c>
      <c r="F318" t="s">
        <v>10717</v>
      </c>
    </row>
    <row r="319" spans="1:6" x14ac:dyDescent="0.25">
      <c r="A319" t="s">
        <v>10718</v>
      </c>
      <c r="B319" t="s">
        <v>10670</v>
      </c>
      <c r="C319" t="s">
        <v>10671</v>
      </c>
      <c r="D319">
        <v>2019</v>
      </c>
      <c r="E319" t="s">
        <v>873</v>
      </c>
      <c r="F319" t="s">
        <v>10719</v>
      </c>
    </row>
    <row r="320" spans="1:6" x14ac:dyDescent="0.25">
      <c r="A320" t="s">
        <v>10720</v>
      </c>
      <c r="B320" t="s">
        <v>10670</v>
      </c>
      <c r="C320" t="s">
        <v>10671</v>
      </c>
      <c r="D320">
        <v>2019</v>
      </c>
      <c r="E320" t="s">
        <v>873</v>
      </c>
      <c r="F320" t="s">
        <v>10721</v>
      </c>
    </row>
    <row r="321" spans="1:6" x14ac:dyDescent="0.25">
      <c r="A321" t="s">
        <v>10722</v>
      </c>
      <c r="B321" t="s">
        <v>10670</v>
      </c>
      <c r="C321" t="s">
        <v>10671</v>
      </c>
      <c r="D321">
        <v>2019</v>
      </c>
      <c r="E321" t="s">
        <v>873</v>
      </c>
      <c r="F321" t="s">
        <v>10723</v>
      </c>
    </row>
    <row r="322" spans="1:6" x14ac:dyDescent="0.25">
      <c r="A322" t="s">
        <v>10724</v>
      </c>
      <c r="B322" t="s">
        <v>10670</v>
      </c>
      <c r="C322" t="s">
        <v>10671</v>
      </c>
      <c r="D322">
        <v>2019</v>
      </c>
      <c r="E322" t="s">
        <v>873</v>
      </c>
      <c r="F322" t="s">
        <v>10725</v>
      </c>
    </row>
    <row r="323" spans="1:6" x14ac:dyDescent="0.25">
      <c r="A323" t="s">
        <v>10726</v>
      </c>
      <c r="B323" t="s">
        <v>10670</v>
      </c>
      <c r="C323" t="s">
        <v>10671</v>
      </c>
      <c r="D323">
        <v>2019</v>
      </c>
      <c r="E323" t="s">
        <v>873</v>
      </c>
      <c r="F323" t="s">
        <v>10727</v>
      </c>
    </row>
    <row r="324" spans="1:6" x14ac:dyDescent="0.25">
      <c r="A324" t="s">
        <v>10728</v>
      </c>
      <c r="B324" t="s">
        <v>10670</v>
      </c>
      <c r="C324" t="s">
        <v>10671</v>
      </c>
      <c r="D324">
        <v>2019</v>
      </c>
      <c r="E324" t="s">
        <v>873</v>
      </c>
      <c r="F324" t="s">
        <v>10729</v>
      </c>
    </row>
    <row r="325" spans="1:6" x14ac:dyDescent="0.25">
      <c r="A325" t="s">
        <v>10730</v>
      </c>
      <c r="B325" t="s">
        <v>10670</v>
      </c>
      <c r="C325" t="s">
        <v>10671</v>
      </c>
      <c r="D325">
        <v>2019</v>
      </c>
      <c r="E325" t="s">
        <v>873</v>
      </c>
      <c r="F325" t="s">
        <v>10731</v>
      </c>
    </row>
    <row r="326" spans="1:6" x14ac:dyDescent="0.25">
      <c r="A326" t="s">
        <v>10732</v>
      </c>
      <c r="B326" t="s">
        <v>10670</v>
      </c>
      <c r="C326" t="s">
        <v>10671</v>
      </c>
      <c r="D326">
        <v>2019</v>
      </c>
      <c r="E326" t="s">
        <v>873</v>
      </c>
      <c r="F326" t="s">
        <v>10733</v>
      </c>
    </row>
    <row r="327" spans="1:6" x14ac:dyDescent="0.25">
      <c r="A327" t="s">
        <v>10734</v>
      </c>
      <c r="B327" t="s">
        <v>10670</v>
      </c>
      <c r="C327" t="s">
        <v>10735</v>
      </c>
      <c r="D327">
        <v>2022</v>
      </c>
      <c r="E327" t="s">
        <v>873</v>
      </c>
      <c r="F327" t="s">
        <v>10736</v>
      </c>
    </row>
    <row r="328" spans="1:6" x14ac:dyDescent="0.25">
      <c r="A328" t="s">
        <v>10737</v>
      </c>
      <c r="B328" t="s">
        <v>10670</v>
      </c>
      <c r="C328" t="s">
        <v>10735</v>
      </c>
      <c r="D328">
        <v>2022</v>
      </c>
      <c r="E328" t="s">
        <v>873</v>
      </c>
      <c r="F328" t="s">
        <v>10738</v>
      </c>
    </row>
    <row r="329" spans="1:6" x14ac:dyDescent="0.25">
      <c r="A329" t="s">
        <v>10739</v>
      </c>
      <c r="B329" t="s">
        <v>10670</v>
      </c>
      <c r="C329" t="s">
        <v>10735</v>
      </c>
      <c r="D329">
        <v>2022</v>
      </c>
      <c r="E329" t="s">
        <v>873</v>
      </c>
      <c r="F329" t="s">
        <v>10740</v>
      </c>
    </row>
    <row r="330" spans="1:6" x14ac:dyDescent="0.25">
      <c r="A330" t="s">
        <v>10741</v>
      </c>
      <c r="B330" t="s">
        <v>10670</v>
      </c>
      <c r="C330" t="s">
        <v>10735</v>
      </c>
      <c r="D330">
        <v>2022</v>
      </c>
      <c r="E330" t="s">
        <v>873</v>
      </c>
      <c r="F330" t="s">
        <v>10742</v>
      </c>
    </row>
    <row r="331" spans="1:6" x14ac:dyDescent="0.25">
      <c r="A331" t="s">
        <v>10743</v>
      </c>
      <c r="B331" t="s">
        <v>10670</v>
      </c>
      <c r="C331" t="s">
        <v>10735</v>
      </c>
      <c r="D331">
        <v>2022</v>
      </c>
      <c r="E331" t="s">
        <v>873</v>
      </c>
      <c r="F331" t="s">
        <v>10744</v>
      </c>
    </row>
    <row r="332" spans="1:6" x14ac:dyDescent="0.25">
      <c r="A332" t="s">
        <v>10745</v>
      </c>
      <c r="B332" t="s">
        <v>10670</v>
      </c>
      <c r="C332" t="s">
        <v>10735</v>
      </c>
      <c r="D332">
        <v>2022</v>
      </c>
      <c r="E332" t="s">
        <v>873</v>
      </c>
      <c r="F332" t="s">
        <v>10746</v>
      </c>
    </row>
    <row r="333" spans="1:6" x14ac:dyDescent="0.25">
      <c r="A333" t="s">
        <v>10747</v>
      </c>
      <c r="B333" t="s">
        <v>10670</v>
      </c>
      <c r="C333" t="s">
        <v>10735</v>
      </c>
      <c r="D333">
        <v>2022</v>
      </c>
      <c r="E333" t="s">
        <v>873</v>
      </c>
      <c r="F333" t="s">
        <v>10748</v>
      </c>
    </row>
    <row r="334" spans="1:6" x14ac:dyDescent="0.25">
      <c r="A334" t="s">
        <v>10749</v>
      </c>
      <c r="B334" t="s">
        <v>10670</v>
      </c>
      <c r="C334" t="s">
        <v>10735</v>
      </c>
      <c r="D334">
        <v>2022</v>
      </c>
      <c r="E334" t="s">
        <v>873</v>
      </c>
      <c r="F334" t="s">
        <v>10750</v>
      </c>
    </row>
    <row r="335" spans="1:6" x14ac:dyDescent="0.25">
      <c r="A335" t="s">
        <v>10751</v>
      </c>
      <c r="B335" t="s">
        <v>10670</v>
      </c>
      <c r="C335" t="s">
        <v>10735</v>
      </c>
      <c r="D335">
        <v>2022</v>
      </c>
      <c r="E335" t="s">
        <v>873</v>
      </c>
      <c r="F335" t="s">
        <v>10752</v>
      </c>
    </row>
    <row r="336" spans="1:6" x14ac:dyDescent="0.25">
      <c r="A336" t="s">
        <v>10753</v>
      </c>
      <c r="B336" t="s">
        <v>10670</v>
      </c>
      <c r="C336" t="s">
        <v>10735</v>
      </c>
      <c r="D336">
        <v>2022</v>
      </c>
      <c r="E336" t="s">
        <v>873</v>
      </c>
      <c r="F336" t="s">
        <v>10754</v>
      </c>
    </row>
    <row r="337" spans="1:7" x14ac:dyDescent="0.25">
      <c r="A337" t="s">
        <v>10755</v>
      </c>
      <c r="B337" t="s">
        <v>10670</v>
      </c>
      <c r="C337" t="s">
        <v>10735</v>
      </c>
      <c r="D337">
        <v>2022</v>
      </c>
      <c r="E337" t="s">
        <v>873</v>
      </c>
      <c r="F337" t="s">
        <v>10756</v>
      </c>
    </row>
    <row r="338" spans="1:7" x14ac:dyDescent="0.25">
      <c r="A338" t="s">
        <v>10757</v>
      </c>
      <c r="B338" t="s">
        <v>10758</v>
      </c>
      <c r="C338" t="s">
        <v>930</v>
      </c>
      <c r="D338">
        <v>2015</v>
      </c>
      <c r="E338" t="s">
        <v>930</v>
      </c>
      <c r="F338" t="s">
        <v>10759</v>
      </c>
      <c r="G338" t="s">
        <v>10071</v>
      </c>
    </row>
    <row r="339" spans="1:7" x14ac:dyDescent="0.25">
      <c r="A339" t="s">
        <v>10760</v>
      </c>
      <c r="B339" t="s">
        <v>10758</v>
      </c>
      <c r="C339" t="s">
        <v>930</v>
      </c>
      <c r="D339">
        <v>2015</v>
      </c>
      <c r="E339" t="s">
        <v>930</v>
      </c>
      <c r="F339" t="s">
        <v>10761</v>
      </c>
    </row>
    <row r="340" spans="1:7" x14ac:dyDescent="0.25">
      <c r="A340" t="s">
        <v>10762</v>
      </c>
      <c r="B340" t="s">
        <v>10758</v>
      </c>
      <c r="C340" t="s">
        <v>930</v>
      </c>
      <c r="D340">
        <v>2015</v>
      </c>
      <c r="E340" t="s">
        <v>930</v>
      </c>
      <c r="F340" t="s">
        <v>10763</v>
      </c>
    </row>
    <row r="341" spans="1:7" x14ac:dyDescent="0.25">
      <c r="A341" t="s">
        <v>10764</v>
      </c>
      <c r="B341" t="s">
        <v>10758</v>
      </c>
      <c r="C341" t="s">
        <v>930</v>
      </c>
      <c r="D341">
        <v>2015</v>
      </c>
      <c r="E341" t="s">
        <v>930</v>
      </c>
      <c r="F341" t="s">
        <v>10765</v>
      </c>
    </row>
    <row r="342" spans="1:7" x14ac:dyDescent="0.25">
      <c r="A342" t="s">
        <v>10766</v>
      </c>
      <c r="B342" t="s">
        <v>10758</v>
      </c>
      <c r="C342" t="s">
        <v>930</v>
      </c>
      <c r="D342">
        <v>2015</v>
      </c>
      <c r="E342" t="s">
        <v>930</v>
      </c>
      <c r="F342" t="s">
        <v>10767</v>
      </c>
    </row>
    <row r="343" spans="1:7" x14ac:dyDescent="0.25">
      <c r="A343" t="s">
        <v>10617</v>
      </c>
      <c r="B343" t="s">
        <v>10758</v>
      </c>
      <c r="C343" t="s">
        <v>930</v>
      </c>
      <c r="D343">
        <v>2015</v>
      </c>
      <c r="E343" t="s">
        <v>930</v>
      </c>
      <c r="F343" t="s">
        <v>10768</v>
      </c>
    </row>
    <row r="344" spans="1:7" x14ac:dyDescent="0.25">
      <c r="A344" t="s">
        <v>10769</v>
      </c>
      <c r="B344" t="s">
        <v>10758</v>
      </c>
      <c r="C344" t="s">
        <v>930</v>
      </c>
      <c r="D344">
        <v>2015</v>
      </c>
      <c r="E344" t="s">
        <v>930</v>
      </c>
      <c r="F344" t="s">
        <v>10770</v>
      </c>
    </row>
    <row r="345" spans="1:7" x14ac:dyDescent="0.25">
      <c r="A345" t="s">
        <v>10771</v>
      </c>
      <c r="B345" t="s">
        <v>10758</v>
      </c>
      <c r="C345" t="s">
        <v>930</v>
      </c>
      <c r="D345">
        <v>2015</v>
      </c>
      <c r="E345" t="s">
        <v>930</v>
      </c>
      <c r="F345" t="s">
        <v>10772</v>
      </c>
    </row>
    <row r="346" spans="1:7" x14ac:dyDescent="0.25">
      <c r="A346" t="s">
        <v>10773</v>
      </c>
      <c r="B346" t="s">
        <v>10758</v>
      </c>
      <c r="C346" t="s">
        <v>930</v>
      </c>
      <c r="D346">
        <v>2015</v>
      </c>
      <c r="E346" t="s">
        <v>930</v>
      </c>
      <c r="F346" t="s">
        <v>10774</v>
      </c>
    </row>
    <row r="347" spans="1:7" x14ac:dyDescent="0.25">
      <c r="A347" t="s">
        <v>10775</v>
      </c>
      <c r="B347" t="s">
        <v>10776</v>
      </c>
      <c r="C347" t="s">
        <v>930</v>
      </c>
      <c r="D347">
        <v>2015</v>
      </c>
      <c r="E347" t="s">
        <v>930</v>
      </c>
      <c r="F347" t="s">
        <v>10777</v>
      </c>
    </row>
    <row r="348" spans="1:7" x14ac:dyDescent="0.25">
      <c r="A348" t="s">
        <v>10778</v>
      </c>
      <c r="B348" t="s">
        <v>10758</v>
      </c>
      <c r="C348" t="s">
        <v>930</v>
      </c>
      <c r="D348">
        <v>2015</v>
      </c>
      <c r="E348" t="s">
        <v>930</v>
      </c>
      <c r="F348" t="s">
        <v>10779</v>
      </c>
    </row>
    <row r="349" spans="1:7" x14ac:dyDescent="0.25">
      <c r="A349" t="s">
        <v>10780</v>
      </c>
      <c r="B349" t="s">
        <v>10758</v>
      </c>
      <c r="C349" t="s">
        <v>930</v>
      </c>
      <c r="D349">
        <v>2015</v>
      </c>
      <c r="E349" t="s">
        <v>930</v>
      </c>
      <c r="F349" t="s">
        <v>10781</v>
      </c>
    </row>
    <row r="350" spans="1:7" x14ac:dyDescent="0.25">
      <c r="A350" t="s">
        <v>10782</v>
      </c>
      <c r="B350" t="s">
        <v>10776</v>
      </c>
      <c r="C350" t="s">
        <v>930</v>
      </c>
      <c r="D350">
        <v>2015</v>
      </c>
      <c r="E350" t="s">
        <v>930</v>
      </c>
      <c r="F350" t="s">
        <v>10783</v>
      </c>
    </row>
    <row r="351" spans="1:7" x14ac:dyDescent="0.25">
      <c r="A351" t="s">
        <v>10784</v>
      </c>
      <c r="B351" t="s">
        <v>10758</v>
      </c>
      <c r="C351" t="s">
        <v>930</v>
      </c>
      <c r="D351">
        <v>2015</v>
      </c>
      <c r="E351" t="s">
        <v>930</v>
      </c>
      <c r="F351" t="s">
        <v>10785</v>
      </c>
    </row>
    <row r="352" spans="1:7" x14ac:dyDescent="0.25">
      <c r="A352" t="s">
        <v>10786</v>
      </c>
      <c r="B352" t="s">
        <v>10787</v>
      </c>
      <c r="C352" t="s">
        <v>10788</v>
      </c>
      <c r="D352">
        <v>2016</v>
      </c>
      <c r="E352" t="s">
        <v>1046</v>
      </c>
      <c r="F352" t="s">
        <v>10789</v>
      </c>
      <c r="G352" t="s">
        <v>10071</v>
      </c>
    </row>
    <row r="353" spans="1:6" x14ac:dyDescent="0.25">
      <c r="A353" t="s">
        <v>10790</v>
      </c>
      <c r="B353" t="s">
        <v>10787</v>
      </c>
      <c r="C353" t="s">
        <v>10788</v>
      </c>
      <c r="D353">
        <v>2016</v>
      </c>
      <c r="E353" t="s">
        <v>1046</v>
      </c>
      <c r="F353" t="s">
        <v>10791</v>
      </c>
    </row>
    <row r="354" spans="1:6" x14ac:dyDescent="0.25">
      <c r="A354" t="s">
        <v>10792</v>
      </c>
      <c r="B354" t="s">
        <v>10787</v>
      </c>
      <c r="C354" t="s">
        <v>10788</v>
      </c>
      <c r="D354">
        <v>2016</v>
      </c>
      <c r="E354" t="s">
        <v>1046</v>
      </c>
      <c r="F354" t="s">
        <v>10793</v>
      </c>
    </row>
    <row r="355" spans="1:6" x14ac:dyDescent="0.25">
      <c r="A355" t="s">
        <v>10794</v>
      </c>
      <c r="B355" t="s">
        <v>10787</v>
      </c>
      <c r="C355" t="s">
        <v>10788</v>
      </c>
      <c r="D355">
        <v>2016</v>
      </c>
      <c r="E355" t="s">
        <v>1046</v>
      </c>
      <c r="F355" t="s">
        <v>10795</v>
      </c>
    </row>
    <row r="356" spans="1:6" x14ac:dyDescent="0.25">
      <c r="A356" t="s">
        <v>10796</v>
      </c>
      <c r="B356" t="s">
        <v>10787</v>
      </c>
      <c r="C356" t="s">
        <v>10788</v>
      </c>
      <c r="D356">
        <v>2016</v>
      </c>
      <c r="E356" t="s">
        <v>1046</v>
      </c>
      <c r="F356" t="s">
        <v>10797</v>
      </c>
    </row>
    <row r="357" spans="1:6" x14ac:dyDescent="0.25">
      <c r="A357" t="s">
        <v>10798</v>
      </c>
      <c r="B357" t="s">
        <v>10787</v>
      </c>
      <c r="C357" t="s">
        <v>10788</v>
      </c>
      <c r="D357">
        <v>2016</v>
      </c>
      <c r="E357" t="s">
        <v>1046</v>
      </c>
      <c r="F357" t="s">
        <v>10799</v>
      </c>
    </row>
    <row r="358" spans="1:6" x14ac:dyDescent="0.25">
      <c r="A358" t="s">
        <v>10800</v>
      </c>
      <c r="B358" t="s">
        <v>10787</v>
      </c>
      <c r="C358" t="s">
        <v>10788</v>
      </c>
      <c r="D358">
        <v>2016</v>
      </c>
      <c r="E358" t="s">
        <v>1046</v>
      </c>
      <c r="F358" t="s">
        <v>10801</v>
      </c>
    </row>
    <row r="359" spans="1:6" x14ac:dyDescent="0.25">
      <c r="A359" t="s">
        <v>10802</v>
      </c>
      <c r="B359" t="s">
        <v>10787</v>
      </c>
      <c r="C359" t="s">
        <v>10788</v>
      </c>
      <c r="D359">
        <v>2016</v>
      </c>
      <c r="E359" t="s">
        <v>1046</v>
      </c>
      <c r="F359" t="s">
        <v>10803</v>
      </c>
    </row>
    <row r="360" spans="1:6" x14ac:dyDescent="0.25">
      <c r="A360" t="s">
        <v>10804</v>
      </c>
      <c r="B360" t="s">
        <v>10787</v>
      </c>
      <c r="C360" t="s">
        <v>10788</v>
      </c>
      <c r="D360">
        <v>2016</v>
      </c>
      <c r="E360" t="s">
        <v>1046</v>
      </c>
      <c r="F360" t="s">
        <v>10805</v>
      </c>
    </row>
    <row r="361" spans="1:6" x14ac:dyDescent="0.25">
      <c r="A361" t="s">
        <v>10806</v>
      </c>
      <c r="B361" t="s">
        <v>10787</v>
      </c>
      <c r="C361" t="s">
        <v>10788</v>
      </c>
      <c r="D361">
        <v>2016</v>
      </c>
      <c r="E361" t="s">
        <v>1046</v>
      </c>
      <c r="F361" t="s">
        <v>10807</v>
      </c>
    </row>
    <row r="362" spans="1:6" x14ac:dyDescent="0.25">
      <c r="A362" t="s">
        <v>10808</v>
      </c>
      <c r="B362" t="s">
        <v>10787</v>
      </c>
      <c r="C362" t="s">
        <v>10788</v>
      </c>
      <c r="D362">
        <v>2016</v>
      </c>
      <c r="E362" t="s">
        <v>1046</v>
      </c>
      <c r="F362" t="s">
        <v>10809</v>
      </c>
    </row>
    <row r="363" spans="1:6" x14ac:dyDescent="0.25">
      <c r="A363" t="s">
        <v>10810</v>
      </c>
      <c r="B363" t="s">
        <v>10787</v>
      </c>
      <c r="C363" t="s">
        <v>10788</v>
      </c>
      <c r="D363">
        <v>2016</v>
      </c>
      <c r="E363" t="s">
        <v>1046</v>
      </c>
      <c r="F363" t="s">
        <v>10811</v>
      </c>
    </row>
    <row r="364" spans="1:6" x14ac:dyDescent="0.25">
      <c r="A364" t="s">
        <v>10812</v>
      </c>
      <c r="B364" t="s">
        <v>10787</v>
      </c>
      <c r="C364" t="s">
        <v>10788</v>
      </c>
      <c r="D364">
        <v>2016</v>
      </c>
      <c r="E364" t="s">
        <v>1046</v>
      </c>
      <c r="F364" t="s">
        <v>10813</v>
      </c>
    </row>
    <row r="365" spans="1:6" x14ac:dyDescent="0.25">
      <c r="A365" t="s">
        <v>10814</v>
      </c>
      <c r="B365" t="s">
        <v>10787</v>
      </c>
      <c r="C365" t="s">
        <v>10788</v>
      </c>
      <c r="D365">
        <v>2016</v>
      </c>
      <c r="E365" t="s">
        <v>1046</v>
      </c>
      <c r="F365" t="s">
        <v>10815</v>
      </c>
    </row>
    <row r="366" spans="1:6" x14ac:dyDescent="0.25">
      <c r="A366" t="s">
        <v>10816</v>
      </c>
      <c r="B366" t="s">
        <v>10787</v>
      </c>
      <c r="C366" t="s">
        <v>10788</v>
      </c>
      <c r="D366">
        <v>2016</v>
      </c>
      <c r="E366" t="s">
        <v>1046</v>
      </c>
      <c r="F366" t="s">
        <v>10817</v>
      </c>
    </row>
    <row r="367" spans="1:6" x14ac:dyDescent="0.25">
      <c r="A367" t="s">
        <v>10818</v>
      </c>
      <c r="B367" t="s">
        <v>10787</v>
      </c>
      <c r="C367" t="s">
        <v>10788</v>
      </c>
      <c r="D367">
        <v>2016</v>
      </c>
      <c r="E367" t="s">
        <v>1046</v>
      </c>
      <c r="F367" t="s">
        <v>10819</v>
      </c>
    </row>
    <row r="368" spans="1:6" x14ac:dyDescent="0.25">
      <c r="A368" t="s">
        <v>10820</v>
      </c>
      <c r="B368" t="s">
        <v>10787</v>
      </c>
      <c r="C368" t="s">
        <v>10788</v>
      </c>
      <c r="D368">
        <v>2016</v>
      </c>
      <c r="E368" t="s">
        <v>1046</v>
      </c>
      <c r="F368" t="s">
        <v>10821</v>
      </c>
    </row>
    <row r="369" spans="1:6" x14ac:dyDescent="0.25">
      <c r="A369" t="s">
        <v>10822</v>
      </c>
      <c r="B369" t="s">
        <v>10787</v>
      </c>
      <c r="C369" t="s">
        <v>10788</v>
      </c>
      <c r="D369">
        <v>2016</v>
      </c>
      <c r="E369" t="s">
        <v>1046</v>
      </c>
      <c r="F369" t="s">
        <v>10823</v>
      </c>
    </row>
    <row r="370" spans="1:6" x14ac:dyDescent="0.25">
      <c r="A370" t="s">
        <v>10824</v>
      </c>
      <c r="B370" t="s">
        <v>10787</v>
      </c>
      <c r="C370" t="s">
        <v>10788</v>
      </c>
      <c r="D370">
        <v>2016</v>
      </c>
      <c r="E370" t="s">
        <v>1046</v>
      </c>
      <c r="F370" t="s">
        <v>10825</v>
      </c>
    </row>
    <row r="371" spans="1:6" x14ac:dyDescent="0.25">
      <c r="A371" t="s">
        <v>10826</v>
      </c>
      <c r="B371" t="s">
        <v>10787</v>
      </c>
      <c r="C371" t="s">
        <v>10788</v>
      </c>
      <c r="D371">
        <v>2016</v>
      </c>
      <c r="E371" t="s">
        <v>1046</v>
      </c>
      <c r="F371" t="s">
        <v>10827</v>
      </c>
    </row>
    <row r="372" spans="1:6" x14ac:dyDescent="0.25">
      <c r="A372" t="s">
        <v>10828</v>
      </c>
      <c r="B372" t="s">
        <v>10787</v>
      </c>
      <c r="C372" t="s">
        <v>10788</v>
      </c>
      <c r="D372">
        <v>2016</v>
      </c>
      <c r="E372" t="s">
        <v>1046</v>
      </c>
      <c r="F372" t="s">
        <v>10829</v>
      </c>
    </row>
    <row r="373" spans="1:6" x14ac:dyDescent="0.25">
      <c r="A373" t="s">
        <v>10830</v>
      </c>
      <c r="B373" t="s">
        <v>10787</v>
      </c>
      <c r="C373" t="s">
        <v>10788</v>
      </c>
      <c r="D373">
        <v>2016</v>
      </c>
      <c r="E373" t="s">
        <v>1046</v>
      </c>
      <c r="F373" t="s">
        <v>10831</v>
      </c>
    </row>
    <row r="374" spans="1:6" x14ac:dyDescent="0.25">
      <c r="A374" t="s">
        <v>10832</v>
      </c>
      <c r="B374" t="s">
        <v>10787</v>
      </c>
      <c r="C374" t="s">
        <v>10788</v>
      </c>
      <c r="D374">
        <v>2016</v>
      </c>
      <c r="E374" t="s">
        <v>1046</v>
      </c>
      <c r="F374" t="s">
        <v>10833</v>
      </c>
    </row>
    <row r="375" spans="1:6" x14ac:dyDescent="0.25">
      <c r="A375" t="s">
        <v>10834</v>
      </c>
      <c r="B375" t="s">
        <v>10787</v>
      </c>
      <c r="C375" t="s">
        <v>10788</v>
      </c>
      <c r="D375">
        <v>2016</v>
      </c>
      <c r="E375" t="s">
        <v>1046</v>
      </c>
      <c r="F375" t="s">
        <v>10835</v>
      </c>
    </row>
    <row r="376" spans="1:6" x14ac:dyDescent="0.25">
      <c r="A376" t="s">
        <v>10836</v>
      </c>
      <c r="B376" t="s">
        <v>10787</v>
      </c>
      <c r="C376" t="s">
        <v>10788</v>
      </c>
      <c r="D376">
        <v>2016</v>
      </c>
      <c r="E376" t="s">
        <v>1046</v>
      </c>
      <c r="F376" t="s">
        <v>10837</v>
      </c>
    </row>
    <row r="377" spans="1:6" x14ac:dyDescent="0.25">
      <c r="A377" t="s">
        <v>10838</v>
      </c>
      <c r="B377" t="s">
        <v>10787</v>
      </c>
      <c r="C377" t="s">
        <v>10788</v>
      </c>
      <c r="D377">
        <v>2016</v>
      </c>
      <c r="E377" t="s">
        <v>1046</v>
      </c>
      <c r="F377" t="s">
        <v>10839</v>
      </c>
    </row>
    <row r="378" spans="1:6" x14ac:dyDescent="0.25">
      <c r="A378" t="s">
        <v>10840</v>
      </c>
      <c r="B378" t="s">
        <v>10787</v>
      </c>
      <c r="C378" t="s">
        <v>10788</v>
      </c>
      <c r="D378">
        <v>2016</v>
      </c>
      <c r="E378" t="s">
        <v>1046</v>
      </c>
      <c r="F378" t="s">
        <v>10841</v>
      </c>
    </row>
    <row r="379" spans="1:6" x14ac:dyDescent="0.25">
      <c r="A379" t="s">
        <v>10842</v>
      </c>
      <c r="B379" t="s">
        <v>10787</v>
      </c>
      <c r="C379" t="s">
        <v>10788</v>
      </c>
      <c r="D379">
        <v>2016</v>
      </c>
      <c r="E379" t="s">
        <v>1046</v>
      </c>
      <c r="F379" t="s">
        <v>10843</v>
      </c>
    </row>
    <row r="380" spans="1:6" x14ac:dyDescent="0.25">
      <c r="A380" t="s">
        <v>10844</v>
      </c>
      <c r="B380" t="s">
        <v>10787</v>
      </c>
      <c r="C380" t="s">
        <v>10788</v>
      </c>
      <c r="D380">
        <v>2016</v>
      </c>
      <c r="E380" t="s">
        <v>1046</v>
      </c>
      <c r="F380" t="s">
        <v>10845</v>
      </c>
    </row>
    <row r="381" spans="1:6" x14ac:dyDescent="0.25">
      <c r="A381" t="s">
        <v>10846</v>
      </c>
      <c r="B381" t="s">
        <v>10787</v>
      </c>
      <c r="C381" t="s">
        <v>10788</v>
      </c>
      <c r="D381">
        <v>2016</v>
      </c>
      <c r="E381" t="s">
        <v>1046</v>
      </c>
      <c r="F381" t="s">
        <v>10847</v>
      </c>
    </row>
    <row r="382" spans="1:6" x14ac:dyDescent="0.25">
      <c r="A382" t="s">
        <v>10848</v>
      </c>
      <c r="B382" t="s">
        <v>10787</v>
      </c>
      <c r="C382" t="s">
        <v>10788</v>
      </c>
      <c r="D382">
        <v>2016</v>
      </c>
      <c r="E382" t="s">
        <v>1046</v>
      </c>
      <c r="F382" t="s">
        <v>10849</v>
      </c>
    </row>
    <row r="383" spans="1:6" x14ac:dyDescent="0.25">
      <c r="A383" t="s">
        <v>10850</v>
      </c>
      <c r="B383" t="s">
        <v>10787</v>
      </c>
      <c r="C383" t="s">
        <v>10788</v>
      </c>
      <c r="D383">
        <v>2016</v>
      </c>
      <c r="E383" t="s">
        <v>1046</v>
      </c>
      <c r="F383" t="s">
        <v>10851</v>
      </c>
    </row>
    <row r="384" spans="1:6" x14ac:dyDescent="0.25">
      <c r="A384" t="s">
        <v>10852</v>
      </c>
      <c r="B384" t="s">
        <v>10787</v>
      </c>
      <c r="C384" t="s">
        <v>10788</v>
      </c>
      <c r="D384">
        <v>2016</v>
      </c>
      <c r="E384" t="s">
        <v>1046</v>
      </c>
      <c r="F384" t="s">
        <v>10853</v>
      </c>
    </row>
    <row r="385" spans="1:7" x14ac:dyDescent="0.25">
      <c r="A385" t="s">
        <v>10854</v>
      </c>
      <c r="B385" t="s">
        <v>10787</v>
      </c>
      <c r="C385" t="s">
        <v>10788</v>
      </c>
      <c r="D385">
        <v>2016</v>
      </c>
      <c r="E385" t="s">
        <v>1046</v>
      </c>
      <c r="F385" t="s">
        <v>10855</v>
      </c>
    </row>
    <row r="386" spans="1:7" x14ac:dyDescent="0.25">
      <c r="A386" t="s">
        <v>10856</v>
      </c>
      <c r="B386" t="s">
        <v>10787</v>
      </c>
      <c r="C386" t="s">
        <v>10788</v>
      </c>
      <c r="D386">
        <v>2016</v>
      </c>
      <c r="E386" t="s">
        <v>1046</v>
      </c>
      <c r="F386" t="s">
        <v>10857</v>
      </c>
    </row>
    <row r="387" spans="1:7" x14ac:dyDescent="0.25">
      <c r="A387" t="s">
        <v>10858</v>
      </c>
      <c r="B387" t="s">
        <v>10787</v>
      </c>
      <c r="C387" t="s">
        <v>10788</v>
      </c>
      <c r="D387">
        <v>2016</v>
      </c>
      <c r="E387" t="s">
        <v>1046</v>
      </c>
      <c r="F387" t="s">
        <v>10859</v>
      </c>
    </row>
    <row r="388" spans="1:7" x14ac:dyDescent="0.25">
      <c r="A388" t="s">
        <v>10860</v>
      </c>
      <c r="B388" t="s">
        <v>10787</v>
      </c>
      <c r="C388" t="s">
        <v>10788</v>
      </c>
      <c r="D388">
        <v>2016</v>
      </c>
      <c r="E388" t="s">
        <v>1046</v>
      </c>
      <c r="F388" t="s">
        <v>10861</v>
      </c>
    </row>
    <row r="389" spans="1:7" x14ac:dyDescent="0.25">
      <c r="A389" t="s">
        <v>10862</v>
      </c>
      <c r="B389" t="s">
        <v>10787</v>
      </c>
      <c r="C389" t="s">
        <v>10788</v>
      </c>
      <c r="D389">
        <v>2016</v>
      </c>
      <c r="E389" t="s">
        <v>1046</v>
      </c>
      <c r="F389" t="s">
        <v>10863</v>
      </c>
    </row>
    <row r="390" spans="1:7" x14ac:dyDescent="0.25">
      <c r="A390" t="s">
        <v>10864</v>
      </c>
      <c r="B390" t="s">
        <v>10787</v>
      </c>
      <c r="C390" t="s">
        <v>10788</v>
      </c>
      <c r="D390">
        <v>2016</v>
      </c>
      <c r="E390" t="s">
        <v>1046</v>
      </c>
      <c r="F390" t="s">
        <v>10865</v>
      </c>
    </row>
    <row r="391" spans="1:7" x14ac:dyDescent="0.25">
      <c r="A391" t="s">
        <v>10866</v>
      </c>
      <c r="B391" t="s">
        <v>10787</v>
      </c>
      <c r="C391" t="s">
        <v>10788</v>
      </c>
      <c r="D391">
        <v>2016</v>
      </c>
      <c r="E391" t="s">
        <v>1046</v>
      </c>
      <c r="F391" t="s">
        <v>10867</v>
      </c>
    </row>
    <row r="392" spans="1:7" x14ac:dyDescent="0.25">
      <c r="A392" t="s">
        <v>10868</v>
      </c>
      <c r="B392" t="s">
        <v>10787</v>
      </c>
      <c r="C392" t="s">
        <v>10788</v>
      </c>
      <c r="D392">
        <v>2016</v>
      </c>
      <c r="E392" t="s">
        <v>1046</v>
      </c>
      <c r="F392" t="s">
        <v>10869</v>
      </c>
    </row>
    <row r="393" spans="1:7" x14ac:dyDescent="0.25">
      <c r="A393" t="s">
        <v>10870</v>
      </c>
      <c r="B393" t="s">
        <v>10787</v>
      </c>
      <c r="C393" t="s">
        <v>10788</v>
      </c>
      <c r="D393">
        <v>2016</v>
      </c>
      <c r="E393" t="s">
        <v>1046</v>
      </c>
      <c r="F393" t="s">
        <v>10871</v>
      </c>
    </row>
    <row r="394" spans="1:7" x14ac:dyDescent="0.25">
      <c r="A394" t="s">
        <v>10872</v>
      </c>
      <c r="B394" t="s">
        <v>10787</v>
      </c>
      <c r="C394" t="s">
        <v>10788</v>
      </c>
      <c r="D394">
        <v>2016</v>
      </c>
      <c r="E394" t="s">
        <v>1046</v>
      </c>
      <c r="F394" t="s">
        <v>10873</v>
      </c>
    </row>
    <row r="395" spans="1:7" x14ac:dyDescent="0.25">
      <c r="A395" t="s">
        <v>10874</v>
      </c>
      <c r="B395" t="s">
        <v>10787</v>
      </c>
      <c r="C395" t="s">
        <v>10788</v>
      </c>
      <c r="D395">
        <v>2016</v>
      </c>
      <c r="E395" t="s">
        <v>1046</v>
      </c>
      <c r="F395" t="s">
        <v>10875</v>
      </c>
    </row>
    <row r="396" spans="1:7" x14ac:dyDescent="0.25">
      <c r="A396" t="s">
        <v>10876</v>
      </c>
      <c r="B396" t="s">
        <v>10787</v>
      </c>
      <c r="C396" t="s">
        <v>10788</v>
      </c>
      <c r="D396">
        <v>2016</v>
      </c>
      <c r="E396" t="s">
        <v>1046</v>
      </c>
      <c r="F396" t="s">
        <v>10877</v>
      </c>
    </row>
    <row r="397" spans="1:7" x14ac:dyDescent="0.25">
      <c r="A397" t="s">
        <v>10878</v>
      </c>
      <c r="B397" t="s">
        <v>10787</v>
      </c>
      <c r="C397" t="s">
        <v>10788</v>
      </c>
      <c r="D397">
        <v>2016</v>
      </c>
      <c r="E397" t="s">
        <v>1046</v>
      </c>
      <c r="F397" t="s">
        <v>10879</v>
      </c>
    </row>
    <row r="398" spans="1:7" x14ac:dyDescent="0.25">
      <c r="A398" t="s">
        <v>10880</v>
      </c>
      <c r="B398" t="s">
        <v>10881</v>
      </c>
      <c r="C398" t="s">
        <v>10882</v>
      </c>
      <c r="D398">
        <v>2013</v>
      </c>
      <c r="E398" t="s">
        <v>1144</v>
      </c>
      <c r="F398" t="s">
        <v>10883</v>
      </c>
      <c r="G398" t="s">
        <v>10071</v>
      </c>
    </row>
    <row r="399" spans="1:7" x14ac:dyDescent="0.25">
      <c r="A399" t="s">
        <v>10884</v>
      </c>
      <c r="B399" t="s">
        <v>10881</v>
      </c>
      <c r="C399" t="s">
        <v>10882</v>
      </c>
      <c r="D399">
        <v>2013</v>
      </c>
      <c r="E399" t="s">
        <v>1144</v>
      </c>
      <c r="F399" t="s">
        <v>10885</v>
      </c>
    </row>
    <row r="400" spans="1:7" x14ac:dyDescent="0.25">
      <c r="A400" t="s">
        <v>10886</v>
      </c>
      <c r="B400" t="s">
        <v>10881</v>
      </c>
      <c r="C400" t="s">
        <v>10882</v>
      </c>
      <c r="D400">
        <v>2013</v>
      </c>
      <c r="E400" t="s">
        <v>1144</v>
      </c>
      <c r="F400" t="s">
        <v>10887</v>
      </c>
    </row>
    <row r="401" spans="1:6" x14ac:dyDescent="0.25">
      <c r="A401" t="s">
        <v>10888</v>
      </c>
      <c r="B401" t="s">
        <v>10881</v>
      </c>
      <c r="C401" t="s">
        <v>10882</v>
      </c>
      <c r="D401">
        <v>2013</v>
      </c>
      <c r="E401" t="s">
        <v>1144</v>
      </c>
      <c r="F401" t="s">
        <v>10889</v>
      </c>
    </row>
    <row r="402" spans="1:6" x14ac:dyDescent="0.25">
      <c r="A402" t="s">
        <v>10890</v>
      </c>
      <c r="B402" t="s">
        <v>10881</v>
      </c>
      <c r="C402" t="s">
        <v>10882</v>
      </c>
      <c r="D402">
        <v>2013</v>
      </c>
      <c r="E402" t="s">
        <v>1144</v>
      </c>
      <c r="F402" t="s">
        <v>10891</v>
      </c>
    </row>
    <row r="403" spans="1:6" x14ac:dyDescent="0.25">
      <c r="A403" t="s">
        <v>10892</v>
      </c>
      <c r="B403" t="s">
        <v>10881</v>
      </c>
      <c r="C403" t="s">
        <v>10882</v>
      </c>
      <c r="D403">
        <v>2013</v>
      </c>
      <c r="E403" t="s">
        <v>1144</v>
      </c>
      <c r="F403" t="s">
        <v>10893</v>
      </c>
    </row>
    <row r="404" spans="1:6" x14ac:dyDescent="0.25">
      <c r="A404" t="s">
        <v>10894</v>
      </c>
      <c r="B404" t="s">
        <v>10881</v>
      </c>
      <c r="C404" t="s">
        <v>10882</v>
      </c>
      <c r="D404">
        <v>2013</v>
      </c>
      <c r="E404" t="s">
        <v>1144</v>
      </c>
      <c r="F404" t="s">
        <v>10895</v>
      </c>
    </row>
    <row r="405" spans="1:6" x14ac:dyDescent="0.25">
      <c r="A405" t="s">
        <v>10896</v>
      </c>
      <c r="B405" t="s">
        <v>10881</v>
      </c>
      <c r="C405" t="s">
        <v>10882</v>
      </c>
      <c r="D405">
        <v>2013</v>
      </c>
      <c r="E405" t="s">
        <v>1144</v>
      </c>
      <c r="F405" t="s">
        <v>10897</v>
      </c>
    </row>
    <row r="406" spans="1:6" x14ac:dyDescent="0.25">
      <c r="A406" t="s">
        <v>10898</v>
      </c>
      <c r="B406" t="s">
        <v>10881</v>
      </c>
      <c r="C406" t="s">
        <v>10882</v>
      </c>
      <c r="D406">
        <v>2013</v>
      </c>
      <c r="E406" t="s">
        <v>1144</v>
      </c>
      <c r="F406" t="s">
        <v>10899</v>
      </c>
    </row>
    <row r="407" spans="1:6" x14ac:dyDescent="0.25">
      <c r="A407" t="s">
        <v>10900</v>
      </c>
      <c r="B407" t="s">
        <v>10881</v>
      </c>
      <c r="C407" t="s">
        <v>10882</v>
      </c>
      <c r="D407">
        <v>2013</v>
      </c>
      <c r="E407" t="s">
        <v>1144</v>
      </c>
      <c r="F407" t="s">
        <v>10901</v>
      </c>
    </row>
    <row r="408" spans="1:6" x14ac:dyDescent="0.25">
      <c r="A408" t="s">
        <v>10902</v>
      </c>
      <c r="B408" t="s">
        <v>10881</v>
      </c>
      <c r="C408" t="s">
        <v>10882</v>
      </c>
      <c r="D408">
        <v>2013</v>
      </c>
      <c r="E408" t="s">
        <v>1144</v>
      </c>
      <c r="F408" t="s">
        <v>10903</v>
      </c>
    </row>
    <row r="409" spans="1:6" x14ac:dyDescent="0.25">
      <c r="A409" t="s">
        <v>10904</v>
      </c>
      <c r="B409" t="s">
        <v>10881</v>
      </c>
      <c r="C409" t="s">
        <v>10882</v>
      </c>
      <c r="D409">
        <v>2013</v>
      </c>
      <c r="E409" t="s">
        <v>1144</v>
      </c>
      <c r="F409" t="s">
        <v>10905</v>
      </c>
    </row>
    <row r="410" spans="1:6" x14ac:dyDescent="0.25">
      <c r="A410" t="s">
        <v>10906</v>
      </c>
      <c r="B410" t="s">
        <v>10881</v>
      </c>
      <c r="C410" t="s">
        <v>10882</v>
      </c>
      <c r="D410">
        <v>2013</v>
      </c>
      <c r="E410" t="s">
        <v>1144</v>
      </c>
      <c r="F410" t="s">
        <v>10907</v>
      </c>
    </row>
    <row r="411" spans="1:6" x14ac:dyDescent="0.25">
      <c r="A411" t="s">
        <v>10908</v>
      </c>
      <c r="B411" t="s">
        <v>10881</v>
      </c>
      <c r="C411" t="s">
        <v>10882</v>
      </c>
      <c r="D411">
        <v>2013</v>
      </c>
      <c r="E411" t="s">
        <v>1144</v>
      </c>
      <c r="F411" t="s">
        <v>10909</v>
      </c>
    </row>
    <row r="412" spans="1:6" x14ac:dyDescent="0.25">
      <c r="A412" t="s">
        <v>10910</v>
      </c>
      <c r="B412" t="s">
        <v>10881</v>
      </c>
      <c r="C412" t="s">
        <v>10882</v>
      </c>
      <c r="D412">
        <v>2013</v>
      </c>
      <c r="E412" t="s">
        <v>1144</v>
      </c>
      <c r="F412" t="s">
        <v>10911</v>
      </c>
    </row>
    <row r="413" spans="1:6" x14ac:dyDescent="0.25">
      <c r="A413" t="s">
        <v>10912</v>
      </c>
      <c r="B413" t="s">
        <v>10881</v>
      </c>
      <c r="C413" t="s">
        <v>10882</v>
      </c>
      <c r="D413">
        <v>2013</v>
      </c>
      <c r="E413" t="s">
        <v>1144</v>
      </c>
      <c r="F413" t="s">
        <v>10913</v>
      </c>
    </row>
    <row r="414" spans="1:6" x14ac:dyDescent="0.25">
      <c r="A414" t="s">
        <v>10914</v>
      </c>
      <c r="B414" t="s">
        <v>10881</v>
      </c>
      <c r="C414" t="s">
        <v>10882</v>
      </c>
      <c r="D414">
        <v>2013</v>
      </c>
      <c r="E414" t="s">
        <v>1144</v>
      </c>
      <c r="F414" t="s">
        <v>10915</v>
      </c>
    </row>
    <row r="415" spans="1:6" x14ac:dyDescent="0.25">
      <c r="A415" t="s">
        <v>10916</v>
      </c>
      <c r="B415" t="s">
        <v>10881</v>
      </c>
      <c r="C415" t="s">
        <v>10882</v>
      </c>
      <c r="D415">
        <v>2013</v>
      </c>
      <c r="E415" t="s">
        <v>1144</v>
      </c>
      <c r="F415" t="s">
        <v>10917</v>
      </c>
    </row>
    <row r="416" spans="1:6" x14ac:dyDescent="0.25">
      <c r="A416" t="s">
        <v>10918</v>
      </c>
      <c r="B416" t="s">
        <v>10881</v>
      </c>
      <c r="C416" t="s">
        <v>10882</v>
      </c>
      <c r="D416">
        <v>2013</v>
      </c>
      <c r="E416" t="s">
        <v>1144</v>
      </c>
      <c r="F416" t="s">
        <v>10919</v>
      </c>
    </row>
    <row r="417" spans="1:7" x14ac:dyDescent="0.25">
      <c r="A417" t="s">
        <v>10920</v>
      </c>
      <c r="B417" t="s">
        <v>10881</v>
      </c>
      <c r="C417" t="s">
        <v>10882</v>
      </c>
      <c r="D417">
        <v>2013</v>
      </c>
      <c r="E417" t="s">
        <v>1144</v>
      </c>
      <c r="F417" t="s">
        <v>10921</v>
      </c>
    </row>
    <row r="418" spans="1:7" x14ac:dyDescent="0.25">
      <c r="A418" t="s">
        <v>10922</v>
      </c>
      <c r="B418" t="s">
        <v>10881</v>
      </c>
      <c r="C418" t="s">
        <v>10882</v>
      </c>
      <c r="D418">
        <v>2013</v>
      </c>
      <c r="E418" t="s">
        <v>1144</v>
      </c>
      <c r="F418" t="s">
        <v>10923</v>
      </c>
    </row>
    <row r="419" spans="1:7" x14ac:dyDescent="0.25">
      <c r="A419" t="s">
        <v>10924</v>
      </c>
      <c r="B419" t="s">
        <v>10881</v>
      </c>
      <c r="C419" t="s">
        <v>10882</v>
      </c>
      <c r="D419">
        <v>2013</v>
      </c>
      <c r="E419" t="s">
        <v>1144</v>
      </c>
      <c r="F419" t="s">
        <v>10925</v>
      </c>
    </row>
    <row r="420" spans="1:7" x14ac:dyDescent="0.25">
      <c r="A420" t="s">
        <v>10926</v>
      </c>
      <c r="B420" t="s">
        <v>10881</v>
      </c>
      <c r="C420" t="s">
        <v>10882</v>
      </c>
      <c r="D420">
        <v>2013</v>
      </c>
      <c r="E420" t="s">
        <v>1144</v>
      </c>
      <c r="F420" t="s">
        <v>10927</v>
      </c>
    </row>
    <row r="421" spans="1:7" x14ac:dyDescent="0.25">
      <c r="A421" t="s">
        <v>10928</v>
      </c>
      <c r="B421" t="s">
        <v>10881</v>
      </c>
      <c r="C421" t="s">
        <v>10882</v>
      </c>
      <c r="D421">
        <v>2013</v>
      </c>
      <c r="E421" t="s">
        <v>1144</v>
      </c>
      <c r="F421" t="s">
        <v>10929</v>
      </c>
    </row>
    <row r="422" spans="1:7" x14ac:dyDescent="0.25">
      <c r="A422" t="s">
        <v>10930</v>
      </c>
      <c r="B422" t="s">
        <v>10881</v>
      </c>
      <c r="C422" t="s">
        <v>10882</v>
      </c>
      <c r="D422">
        <v>2013</v>
      </c>
      <c r="E422" t="s">
        <v>1144</v>
      </c>
      <c r="F422" t="s">
        <v>10931</v>
      </c>
    </row>
    <row r="423" spans="1:7" x14ac:dyDescent="0.25">
      <c r="A423" t="s">
        <v>10932</v>
      </c>
      <c r="B423" t="s">
        <v>10881</v>
      </c>
      <c r="C423" t="s">
        <v>10882</v>
      </c>
      <c r="D423">
        <v>2013</v>
      </c>
      <c r="E423" t="s">
        <v>1144</v>
      </c>
      <c r="F423" t="s">
        <v>10933</v>
      </c>
    </row>
    <row r="424" spans="1:7" x14ac:dyDescent="0.25">
      <c r="A424" t="s">
        <v>10934</v>
      </c>
      <c r="B424" t="s">
        <v>10881</v>
      </c>
      <c r="C424" t="s">
        <v>10882</v>
      </c>
      <c r="D424">
        <v>2013</v>
      </c>
      <c r="E424" t="s">
        <v>1144</v>
      </c>
      <c r="F424" t="s">
        <v>10935</v>
      </c>
    </row>
    <row r="425" spans="1:7" x14ac:dyDescent="0.25">
      <c r="A425" t="s">
        <v>10936</v>
      </c>
      <c r="B425" t="s">
        <v>10881</v>
      </c>
      <c r="C425" t="s">
        <v>10882</v>
      </c>
      <c r="D425">
        <v>2013</v>
      </c>
      <c r="E425" t="s">
        <v>1144</v>
      </c>
      <c r="F425" t="s">
        <v>10937</v>
      </c>
    </row>
    <row r="426" spans="1:7" x14ac:dyDescent="0.25">
      <c r="A426" t="s">
        <v>10938</v>
      </c>
      <c r="B426" t="s">
        <v>10881</v>
      </c>
      <c r="C426" t="s">
        <v>10882</v>
      </c>
      <c r="D426">
        <v>2013</v>
      </c>
      <c r="E426" t="s">
        <v>1144</v>
      </c>
      <c r="F426" t="s">
        <v>10939</v>
      </c>
    </row>
    <row r="427" spans="1:7" x14ac:dyDescent="0.25">
      <c r="A427" t="s">
        <v>10940</v>
      </c>
      <c r="B427" t="s">
        <v>10941</v>
      </c>
      <c r="C427" t="s">
        <v>10942</v>
      </c>
      <c r="D427">
        <v>2017</v>
      </c>
      <c r="E427" t="s">
        <v>1104</v>
      </c>
      <c r="F427" t="s">
        <v>10943</v>
      </c>
    </row>
    <row r="428" spans="1:7" x14ac:dyDescent="0.25">
      <c r="A428" t="s">
        <v>10944</v>
      </c>
      <c r="B428" t="s">
        <v>10941</v>
      </c>
      <c r="C428" t="s">
        <v>10942</v>
      </c>
      <c r="D428">
        <v>2017</v>
      </c>
      <c r="E428" t="s">
        <v>1104</v>
      </c>
      <c r="F428" t="s">
        <v>10945</v>
      </c>
      <c r="G428" t="s">
        <v>10071</v>
      </c>
    </row>
    <row r="429" spans="1:7" x14ac:dyDescent="0.25">
      <c r="A429" t="s">
        <v>10946</v>
      </c>
      <c r="B429" t="s">
        <v>10941</v>
      </c>
      <c r="C429" t="s">
        <v>10942</v>
      </c>
      <c r="D429">
        <v>2017</v>
      </c>
      <c r="E429" t="s">
        <v>1104</v>
      </c>
      <c r="F429" t="s">
        <v>10947</v>
      </c>
    </row>
    <row r="430" spans="1:7" x14ac:dyDescent="0.25">
      <c r="A430" t="s">
        <v>10948</v>
      </c>
      <c r="B430" t="s">
        <v>10941</v>
      </c>
      <c r="C430" t="s">
        <v>10942</v>
      </c>
      <c r="D430">
        <v>2017</v>
      </c>
      <c r="E430" t="s">
        <v>1104</v>
      </c>
      <c r="F430" t="s">
        <v>10949</v>
      </c>
    </row>
    <row r="431" spans="1:7" x14ac:dyDescent="0.25">
      <c r="A431" t="s">
        <v>10950</v>
      </c>
      <c r="B431" t="s">
        <v>10941</v>
      </c>
      <c r="C431" t="s">
        <v>10942</v>
      </c>
      <c r="D431">
        <v>2017</v>
      </c>
      <c r="E431" t="s">
        <v>1104</v>
      </c>
      <c r="F431" t="s">
        <v>10951</v>
      </c>
    </row>
    <row r="432" spans="1:7" x14ac:dyDescent="0.25">
      <c r="A432" t="s">
        <v>10952</v>
      </c>
      <c r="B432" t="s">
        <v>10941</v>
      </c>
      <c r="C432" t="s">
        <v>10942</v>
      </c>
      <c r="D432">
        <v>2017</v>
      </c>
      <c r="E432" t="s">
        <v>1104</v>
      </c>
      <c r="F432" t="s">
        <v>10953</v>
      </c>
    </row>
    <row r="433" spans="1:6" x14ac:dyDescent="0.25">
      <c r="A433" t="s">
        <v>10954</v>
      </c>
      <c r="B433" t="s">
        <v>10941</v>
      </c>
      <c r="C433" t="s">
        <v>10942</v>
      </c>
      <c r="D433">
        <v>2017</v>
      </c>
      <c r="E433" t="s">
        <v>1104</v>
      </c>
      <c r="F433" t="s">
        <v>10955</v>
      </c>
    </row>
    <row r="434" spans="1:6" x14ac:dyDescent="0.25">
      <c r="A434" t="s">
        <v>10956</v>
      </c>
      <c r="B434" t="s">
        <v>10941</v>
      </c>
      <c r="C434" t="s">
        <v>10942</v>
      </c>
      <c r="D434">
        <v>2017</v>
      </c>
      <c r="E434" t="s">
        <v>1104</v>
      </c>
      <c r="F434" t="s">
        <v>10957</v>
      </c>
    </row>
    <row r="435" spans="1:6" x14ac:dyDescent="0.25">
      <c r="A435" t="s">
        <v>10958</v>
      </c>
      <c r="B435" t="s">
        <v>10941</v>
      </c>
      <c r="C435" t="s">
        <v>10942</v>
      </c>
      <c r="D435">
        <v>2017</v>
      </c>
      <c r="E435" t="s">
        <v>1104</v>
      </c>
      <c r="F435" t="s">
        <v>10959</v>
      </c>
    </row>
    <row r="436" spans="1:6" x14ac:dyDescent="0.25">
      <c r="A436" t="s">
        <v>10960</v>
      </c>
      <c r="B436" t="s">
        <v>10941</v>
      </c>
      <c r="C436" t="s">
        <v>10942</v>
      </c>
      <c r="D436">
        <v>2017</v>
      </c>
      <c r="E436" t="s">
        <v>1104</v>
      </c>
      <c r="F436" t="s">
        <v>10961</v>
      </c>
    </row>
    <row r="437" spans="1:6" x14ac:dyDescent="0.25">
      <c r="A437" t="s">
        <v>10962</v>
      </c>
      <c r="B437" t="s">
        <v>10941</v>
      </c>
      <c r="C437" t="s">
        <v>10942</v>
      </c>
      <c r="D437">
        <v>2017</v>
      </c>
      <c r="E437" t="s">
        <v>1104</v>
      </c>
      <c r="F437" t="s">
        <v>10963</v>
      </c>
    </row>
    <row r="438" spans="1:6" x14ac:dyDescent="0.25">
      <c r="A438" t="s">
        <v>10964</v>
      </c>
      <c r="B438" t="s">
        <v>10941</v>
      </c>
      <c r="C438" t="s">
        <v>10942</v>
      </c>
      <c r="D438">
        <v>2017</v>
      </c>
      <c r="E438" t="s">
        <v>1104</v>
      </c>
      <c r="F438" t="s">
        <v>10965</v>
      </c>
    </row>
    <row r="439" spans="1:6" x14ac:dyDescent="0.25">
      <c r="A439" t="s">
        <v>10966</v>
      </c>
      <c r="B439" t="s">
        <v>10941</v>
      </c>
      <c r="C439" t="s">
        <v>10942</v>
      </c>
      <c r="D439">
        <v>2017</v>
      </c>
      <c r="E439" t="s">
        <v>1104</v>
      </c>
      <c r="F439" t="s">
        <v>10967</v>
      </c>
    </row>
    <row r="440" spans="1:6" x14ac:dyDescent="0.25">
      <c r="A440" t="s">
        <v>10968</v>
      </c>
      <c r="B440" t="s">
        <v>10941</v>
      </c>
      <c r="C440" t="s">
        <v>10942</v>
      </c>
      <c r="D440">
        <v>2017</v>
      </c>
      <c r="E440" t="s">
        <v>1104</v>
      </c>
      <c r="F440" t="s">
        <v>10969</v>
      </c>
    </row>
    <row r="441" spans="1:6" x14ac:dyDescent="0.25">
      <c r="A441" t="s">
        <v>10970</v>
      </c>
      <c r="B441" t="s">
        <v>10941</v>
      </c>
      <c r="C441" t="s">
        <v>10942</v>
      </c>
      <c r="D441">
        <v>2017</v>
      </c>
      <c r="E441" t="s">
        <v>1104</v>
      </c>
      <c r="F441" t="s">
        <v>10971</v>
      </c>
    </row>
    <row r="442" spans="1:6" x14ac:dyDescent="0.25">
      <c r="A442" t="s">
        <v>10972</v>
      </c>
      <c r="B442" t="s">
        <v>10941</v>
      </c>
      <c r="C442" t="s">
        <v>10942</v>
      </c>
      <c r="D442">
        <v>2017</v>
      </c>
      <c r="E442" t="s">
        <v>1104</v>
      </c>
      <c r="F442" t="s">
        <v>10973</v>
      </c>
    </row>
    <row r="443" spans="1:6" x14ac:dyDescent="0.25">
      <c r="A443" t="s">
        <v>10974</v>
      </c>
      <c r="B443" t="s">
        <v>10941</v>
      </c>
      <c r="C443" t="s">
        <v>10942</v>
      </c>
      <c r="D443">
        <v>2017</v>
      </c>
      <c r="E443" t="s">
        <v>1104</v>
      </c>
      <c r="F443" t="s">
        <v>10975</v>
      </c>
    </row>
    <row r="444" spans="1:6" x14ac:dyDescent="0.25">
      <c r="A444" t="s">
        <v>10976</v>
      </c>
      <c r="B444" t="s">
        <v>10941</v>
      </c>
      <c r="C444" t="s">
        <v>10942</v>
      </c>
      <c r="D444">
        <v>2017</v>
      </c>
      <c r="E444" t="s">
        <v>1104</v>
      </c>
      <c r="F444" t="s">
        <v>10977</v>
      </c>
    </row>
    <row r="445" spans="1:6" x14ac:dyDescent="0.25">
      <c r="A445" t="s">
        <v>10978</v>
      </c>
      <c r="B445" t="s">
        <v>10941</v>
      </c>
      <c r="C445" t="s">
        <v>10942</v>
      </c>
      <c r="D445">
        <v>2017</v>
      </c>
      <c r="E445" t="s">
        <v>1104</v>
      </c>
      <c r="F445" t="s">
        <v>10979</v>
      </c>
    </row>
    <row r="446" spans="1:6" x14ac:dyDescent="0.25">
      <c r="A446" t="s">
        <v>10980</v>
      </c>
      <c r="B446" t="s">
        <v>10941</v>
      </c>
      <c r="C446" t="s">
        <v>10942</v>
      </c>
      <c r="D446">
        <v>2017</v>
      </c>
      <c r="E446" t="s">
        <v>1104</v>
      </c>
      <c r="F446" t="s">
        <v>10981</v>
      </c>
    </row>
    <row r="447" spans="1:6" x14ac:dyDescent="0.25">
      <c r="A447" t="s">
        <v>10982</v>
      </c>
      <c r="B447" t="s">
        <v>10941</v>
      </c>
      <c r="C447" t="s">
        <v>10942</v>
      </c>
      <c r="D447">
        <v>2017</v>
      </c>
      <c r="E447" t="s">
        <v>1104</v>
      </c>
      <c r="F447" t="s">
        <v>10983</v>
      </c>
    </row>
    <row r="448" spans="1:6" x14ac:dyDescent="0.25">
      <c r="A448" t="s">
        <v>10984</v>
      </c>
      <c r="B448" t="s">
        <v>10941</v>
      </c>
      <c r="C448" t="s">
        <v>10942</v>
      </c>
      <c r="D448">
        <v>2017</v>
      </c>
      <c r="E448" t="s">
        <v>1104</v>
      </c>
      <c r="F448" t="s">
        <v>10985</v>
      </c>
    </row>
    <row r="449" spans="1:6" x14ac:dyDescent="0.25">
      <c r="A449" t="s">
        <v>10986</v>
      </c>
      <c r="B449" t="s">
        <v>10941</v>
      </c>
      <c r="C449" t="s">
        <v>10942</v>
      </c>
      <c r="D449">
        <v>2017</v>
      </c>
      <c r="E449" t="s">
        <v>1104</v>
      </c>
      <c r="F449" t="s">
        <v>10987</v>
      </c>
    </row>
    <row r="450" spans="1:6" x14ac:dyDescent="0.25">
      <c r="A450" t="s">
        <v>10988</v>
      </c>
      <c r="B450" t="s">
        <v>10068</v>
      </c>
      <c r="C450" t="s">
        <v>10069</v>
      </c>
      <c r="D450">
        <v>2020</v>
      </c>
      <c r="E450" t="s">
        <v>1294</v>
      </c>
      <c r="F450" t="s">
        <v>10989</v>
      </c>
    </row>
    <row r="451" spans="1:6" x14ac:dyDescent="0.25">
      <c r="A451" t="s">
        <v>10990</v>
      </c>
      <c r="B451" t="s">
        <v>10068</v>
      </c>
      <c r="C451" t="s">
        <v>10069</v>
      </c>
      <c r="D451">
        <v>2020</v>
      </c>
      <c r="E451" t="s">
        <v>1294</v>
      </c>
      <c r="F451" t="s">
        <v>10991</v>
      </c>
    </row>
    <row r="452" spans="1:6" x14ac:dyDescent="0.25">
      <c r="A452" t="s">
        <v>10992</v>
      </c>
      <c r="B452" t="s">
        <v>10068</v>
      </c>
      <c r="C452" t="s">
        <v>10069</v>
      </c>
      <c r="D452">
        <v>2020</v>
      </c>
      <c r="E452" t="s">
        <v>1294</v>
      </c>
      <c r="F452" t="s">
        <v>10993</v>
      </c>
    </row>
    <row r="453" spans="1:6" x14ac:dyDescent="0.25">
      <c r="A453" t="s">
        <v>10994</v>
      </c>
      <c r="B453" t="s">
        <v>10068</v>
      </c>
      <c r="C453" t="s">
        <v>10069</v>
      </c>
      <c r="D453">
        <v>2020</v>
      </c>
      <c r="E453" t="s">
        <v>1294</v>
      </c>
      <c r="F453" t="s">
        <v>10995</v>
      </c>
    </row>
    <row r="454" spans="1:6" x14ac:dyDescent="0.25">
      <c r="A454" t="s">
        <v>10996</v>
      </c>
      <c r="B454" t="s">
        <v>10068</v>
      </c>
      <c r="C454" t="s">
        <v>10069</v>
      </c>
      <c r="D454">
        <v>2020</v>
      </c>
      <c r="E454" t="s">
        <v>1294</v>
      </c>
      <c r="F454" t="s">
        <v>10997</v>
      </c>
    </row>
    <row r="455" spans="1:6" x14ac:dyDescent="0.25">
      <c r="A455" t="s">
        <v>10998</v>
      </c>
      <c r="B455" t="s">
        <v>10068</v>
      </c>
      <c r="C455" t="s">
        <v>10069</v>
      </c>
      <c r="D455">
        <v>2020</v>
      </c>
      <c r="E455" t="s">
        <v>1294</v>
      </c>
      <c r="F455" t="s">
        <v>10999</v>
      </c>
    </row>
    <row r="456" spans="1:6" x14ac:dyDescent="0.25">
      <c r="A456" t="s">
        <v>11000</v>
      </c>
      <c r="B456" t="s">
        <v>10068</v>
      </c>
      <c r="C456" t="s">
        <v>10069</v>
      </c>
      <c r="D456">
        <v>2020</v>
      </c>
      <c r="E456" t="s">
        <v>1294</v>
      </c>
      <c r="F456" t="s">
        <v>11001</v>
      </c>
    </row>
    <row r="457" spans="1:6" x14ac:dyDescent="0.25">
      <c r="A457" t="s">
        <v>11002</v>
      </c>
      <c r="B457" t="s">
        <v>10068</v>
      </c>
      <c r="C457" t="s">
        <v>10069</v>
      </c>
      <c r="D457">
        <v>2020</v>
      </c>
      <c r="E457" t="s">
        <v>1294</v>
      </c>
      <c r="F457" t="s">
        <v>11003</v>
      </c>
    </row>
    <row r="458" spans="1:6" x14ac:dyDescent="0.25">
      <c r="A458" t="s">
        <v>11004</v>
      </c>
      <c r="B458" t="s">
        <v>10068</v>
      </c>
      <c r="C458" t="s">
        <v>10069</v>
      </c>
      <c r="D458">
        <v>2020</v>
      </c>
      <c r="E458" t="s">
        <v>1294</v>
      </c>
      <c r="F458" t="s">
        <v>11005</v>
      </c>
    </row>
    <row r="459" spans="1:6" x14ac:dyDescent="0.25">
      <c r="A459" t="s">
        <v>11006</v>
      </c>
      <c r="B459" t="s">
        <v>10068</v>
      </c>
      <c r="C459" t="s">
        <v>10069</v>
      </c>
      <c r="D459">
        <v>2020</v>
      </c>
      <c r="E459" t="s">
        <v>1294</v>
      </c>
      <c r="F459" t="s">
        <v>11007</v>
      </c>
    </row>
    <row r="460" spans="1:6" x14ac:dyDescent="0.25">
      <c r="A460" t="s">
        <v>11008</v>
      </c>
      <c r="B460" t="s">
        <v>10068</v>
      </c>
      <c r="C460" t="s">
        <v>10069</v>
      </c>
      <c r="D460">
        <v>2020</v>
      </c>
      <c r="E460" t="s">
        <v>1294</v>
      </c>
      <c r="F460" t="s">
        <v>11009</v>
      </c>
    </row>
    <row r="461" spans="1:6" x14ac:dyDescent="0.25">
      <c r="A461" t="s">
        <v>11010</v>
      </c>
      <c r="B461" t="s">
        <v>10068</v>
      </c>
      <c r="C461" t="s">
        <v>10069</v>
      </c>
      <c r="D461">
        <v>2020</v>
      </c>
      <c r="E461" t="s">
        <v>1294</v>
      </c>
      <c r="F461" t="s">
        <v>11011</v>
      </c>
    </row>
    <row r="462" spans="1:6" x14ac:dyDescent="0.25">
      <c r="A462" t="s">
        <v>11012</v>
      </c>
      <c r="B462" t="s">
        <v>10068</v>
      </c>
      <c r="C462" t="s">
        <v>10069</v>
      </c>
      <c r="D462">
        <v>2020</v>
      </c>
      <c r="E462" t="s">
        <v>1294</v>
      </c>
      <c r="F462" t="s">
        <v>11013</v>
      </c>
    </row>
    <row r="463" spans="1:6" x14ac:dyDescent="0.25">
      <c r="A463" t="s">
        <v>11014</v>
      </c>
      <c r="B463" t="s">
        <v>10068</v>
      </c>
      <c r="C463" t="s">
        <v>10069</v>
      </c>
      <c r="D463">
        <v>2020</v>
      </c>
      <c r="E463" t="s">
        <v>1294</v>
      </c>
      <c r="F463" t="s">
        <v>11015</v>
      </c>
    </row>
    <row r="464" spans="1:6" x14ac:dyDescent="0.25">
      <c r="A464" t="s">
        <v>11016</v>
      </c>
      <c r="B464" t="s">
        <v>10068</v>
      </c>
      <c r="C464" t="s">
        <v>10069</v>
      </c>
      <c r="D464">
        <v>2020</v>
      </c>
      <c r="E464" t="s">
        <v>1294</v>
      </c>
      <c r="F464" t="s">
        <v>11017</v>
      </c>
    </row>
    <row r="465" spans="1:7" x14ac:dyDescent="0.25">
      <c r="A465" t="s">
        <v>11018</v>
      </c>
      <c r="B465" t="s">
        <v>10068</v>
      </c>
      <c r="C465" t="s">
        <v>10069</v>
      </c>
      <c r="D465">
        <v>2020</v>
      </c>
      <c r="E465" t="s">
        <v>1294</v>
      </c>
      <c r="F465" t="s">
        <v>11019</v>
      </c>
    </row>
    <row r="466" spans="1:7" x14ac:dyDescent="0.25">
      <c r="A466" t="s">
        <v>11020</v>
      </c>
      <c r="B466" t="s">
        <v>10068</v>
      </c>
      <c r="C466" t="s">
        <v>10069</v>
      </c>
      <c r="D466">
        <v>2020</v>
      </c>
      <c r="E466" t="s">
        <v>1294</v>
      </c>
      <c r="F466" t="s">
        <v>11021</v>
      </c>
    </row>
    <row r="467" spans="1:7" x14ac:dyDescent="0.25">
      <c r="A467" t="s">
        <v>11022</v>
      </c>
      <c r="B467" t="s">
        <v>10068</v>
      </c>
      <c r="C467" t="s">
        <v>10069</v>
      </c>
      <c r="D467">
        <v>2020</v>
      </c>
      <c r="E467" t="s">
        <v>1294</v>
      </c>
      <c r="F467" t="s">
        <v>11023</v>
      </c>
    </row>
    <row r="468" spans="1:7" x14ac:dyDescent="0.25">
      <c r="A468" t="s">
        <v>11024</v>
      </c>
      <c r="B468" t="s">
        <v>10068</v>
      </c>
      <c r="C468" t="s">
        <v>10069</v>
      </c>
      <c r="D468">
        <v>2020</v>
      </c>
      <c r="E468" t="s">
        <v>1294</v>
      </c>
      <c r="F468" t="s">
        <v>11025</v>
      </c>
    </row>
    <row r="469" spans="1:7" x14ac:dyDescent="0.25">
      <c r="A469" t="s">
        <v>11026</v>
      </c>
      <c r="B469" t="s">
        <v>10068</v>
      </c>
      <c r="C469" t="s">
        <v>10069</v>
      </c>
      <c r="D469">
        <v>2020</v>
      </c>
      <c r="E469" t="s">
        <v>1294</v>
      </c>
      <c r="F469" t="s">
        <v>11027</v>
      </c>
    </row>
    <row r="470" spans="1:7" x14ac:dyDescent="0.25">
      <c r="A470" t="s">
        <v>11028</v>
      </c>
      <c r="B470" t="s">
        <v>10068</v>
      </c>
      <c r="C470" t="s">
        <v>10069</v>
      </c>
      <c r="D470">
        <v>2020</v>
      </c>
      <c r="E470" t="s">
        <v>1294</v>
      </c>
      <c r="F470" t="s">
        <v>11029</v>
      </c>
    </row>
    <row r="471" spans="1:7" x14ac:dyDescent="0.25">
      <c r="A471" t="s">
        <v>11030</v>
      </c>
      <c r="B471" t="s">
        <v>10068</v>
      </c>
      <c r="C471" t="s">
        <v>10069</v>
      </c>
      <c r="D471">
        <v>2020</v>
      </c>
      <c r="E471" t="s">
        <v>1294</v>
      </c>
      <c r="F471" t="s">
        <v>11031</v>
      </c>
    </row>
    <row r="472" spans="1:7" x14ac:dyDescent="0.25">
      <c r="A472" t="s">
        <v>11032</v>
      </c>
      <c r="B472" t="s">
        <v>10068</v>
      </c>
      <c r="C472" t="s">
        <v>10069</v>
      </c>
      <c r="D472">
        <v>2020</v>
      </c>
      <c r="E472" t="s">
        <v>1294</v>
      </c>
      <c r="F472" t="s">
        <v>11033</v>
      </c>
    </row>
    <row r="473" spans="1:7" x14ac:dyDescent="0.25">
      <c r="A473" t="s">
        <v>11034</v>
      </c>
      <c r="B473" t="s">
        <v>10068</v>
      </c>
      <c r="C473" t="s">
        <v>10069</v>
      </c>
      <c r="D473">
        <v>2020</v>
      </c>
      <c r="E473" t="s">
        <v>1294</v>
      </c>
      <c r="F473" t="s">
        <v>11035</v>
      </c>
    </row>
    <row r="474" spans="1:7" x14ac:dyDescent="0.25">
      <c r="A474" t="s">
        <v>11036</v>
      </c>
      <c r="B474" t="s">
        <v>10068</v>
      </c>
      <c r="C474" t="s">
        <v>10069</v>
      </c>
      <c r="D474">
        <v>2020</v>
      </c>
      <c r="E474" t="s">
        <v>1294</v>
      </c>
      <c r="F474" t="s">
        <v>11037</v>
      </c>
    </row>
    <row r="475" spans="1:7" x14ac:dyDescent="0.25">
      <c r="A475" t="s">
        <v>11038</v>
      </c>
      <c r="B475" t="s">
        <v>10068</v>
      </c>
      <c r="C475" t="s">
        <v>10069</v>
      </c>
      <c r="D475">
        <v>2020</v>
      </c>
      <c r="E475" t="s">
        <v>1294</v>
      </c>
      <c r="F475" t="s">
        <v>11039</v>
      </c>
    </row>
    <row r="476" spans="1:7" x14ac:dyDescent="0.25">
      <c r="A476" t="s">
        <v>11040</v>
      </c>
      <c r="B476" t="s">
        <v>10068</v>
      </c>
      <c r="C476" t="s">
        <v>10069</v>
      </c>
      <c r="D476">
        <v>2020</v>
      </c>
      <c r="E476" t="s">
        <v>1294</v>
      </c>
      <c r="F476" t="s">
        <v>11041</v>
      </c>
    </row>
    <row r="477" spans="1:7" x14ac:dyDescent="0.25">
      <c r="A477" t="s">
        <v>11042</v>
      </c>
      <c r="B477" t="s">
        <v>10068</v>
      </c>
      <c r="C477" t="s">
        <v>10069</v>
      </c>
      <c r="D477">
        <v>2020</v>
      </c>
      <c r="E477" t="s">
        <v>1294</v>
      </c>
      <c r="F477" t="s">
        <v>11043</v>
      </c>
    </row>
    <row r="478" spans="1:7" x14ac:dyDescent="0.25">
      <c r="A478" t="s">
        <v>11044</v>
      </c>
      <c r="B478" t="s">
        <v>10068</v>
      </c>
      <c r="C478" t="s">
        <v>10069</v>
      </c>
      <c r="D478">
        <v>2020</v>
      </c>
      <c r="E478" t="s">
        <v>1294</v>
      </c>
      <c r="F478" t="s">
        <v>11045</v>
      </c>
    </row>
    <row r="479" spans="1:7" x14ac:dyDescent="0.25">
      <c r="A479" t="s">
        <v>11046</v>
      </c>
      <c r="B479" t="s">
        <v>11047</v>
      </c>
      <c r="C479" t="s">
        <v>11048</v>
      </c>
      <c r="D479">
        <v>2025</v>
      </c>
      <c r="E479" t="s">
        <v>1322</v>
      </c>
      <c r="F479" t="s">
        <v>11049</v>
      </c>
      <c r="G479" t="s">
        <v>10071</v>
      </c>
    </row>
    <row r="480" spans="1:7" x14ac:dyDescent="0.25">
      <c r="A480" t="s">
        <v>11050</v>
      </c>
      <c r="B480" t="s">
        <v>11047</v>
      </c>
      <c r="C480" t="s">
        <v>11048</v>
      </c>
      <c r="D480">
        <v>2025</v>
      </c>
      <c r="E480" t="s">
        <v>1322</v>
      </c>
      <c r="F480" t="s">
        <v>11051</v>
      </c>
    </row>
    <row r="481" spans="1:6" x14ac:dyDescent="0.25">
      <c r="A481" t="s">
        <v>11052</v>
      </c>
      <c r="B481" t="s">
        <v>11047</v>
      </c>
      <c r="C481" t="s">
        <v>11048</v>
      </c>
      <c r="D481">
        <v>2025</v>
      </c>
      <c r="E481" t="s">
        <v>1322</v>
      </c>
      <c r="F481" t="s">
        <v>11053</v>
      </c>
    </row>
    <row r="482" spans="1:6" x14ac:dyDescent="0.25">
      <c r="A482" t="s">
        <v>11054</v>
      </c>
      <c r="B482" t="s">
        <v>11047</v>
      </c>
      <c r="C482" t="s">
        <v>11048</v>
      </c>
      <c r="D482">
        <v>2025</v>
      </c>
      <c r="E482" t="s">
        <v>1322</v>
      </c>
      <c r="F482" t="s">
        <v>11055</v>
      </c>
    </row>
    <row r="483" spans="1:6" x14ac:dyDescent="0.25">
      <c r="A483" t="s">
        <v>11056</v>
      </c>
      <c r="B483" t="s">
        <v>11047</v>
      </c>
      <c r="C483" t="s">
        <v>11048</v>
      </c>
      <c r="D483">
        <v>2025</v>
      </c>
      <c r="E483" t="s">
        <v>1322</v>
      </c>
      <c r="F483" t="s">
        <v>11057</v>
      </c>
    </row>
    <row r="484" spans="1:6" x14ac:dyDescent="0.25">
      <c r="A484" t="s">
        <v>11058</v>
      </c>
      <c r="B484" t="s">
        <v>11047</v>
      </c>
      <c r="C484" t="s">
        <v>11048</v>
      </c>
      <c r="D484">
        <v>2025</v>
      </c>
      <c r="E484" t="s">
        <v>1322</v>
      </c>
      <c r="F484" t="s">
        <v>11059</v>
      </c>
    </row>
    <row r="485" spans="1:6" x14ac:dyDescent="0.25">
      <c r="A485" t="s">
        <v>11060</v>
      </c>
      <c r="B485" t="s">
        <v>11047</v>
      </c>
      <c r="C485" t="s">
        <v>11048</v>
      </c>
      <c r="D485">
        <v>2025</v>
      </c>
      <c r="E485" t="s">
        <v>1322</v>
      </c>
      <c r="F485" t="s">
        <v>11061</v>
      </c>
    </row>
    <row r="486" spans="1:6" x14ac:dyDescent="0.25">
      <c r="A486" t="s">
        <v>11062</v>
      </c>
      <c r="B486" t="s">
        <v>11047</v>
      </c>
      <c r="C486" t="s">
        <v>11048</v>
      </c>
      <c r="D486">
        <v>2025</v>
      </c>
      <c r="E486" t="s">
        <v>1322</v>
      </c>
      <c r="F486" t="s">
        <v>11063</v>
      </c>
    </row>
    <row r="487" spans="1:6" x14ac:dyDescent="0.25">
      <c r="A487" t="s">
        <v>11064</v>
      </c>
      <c r="B487" t="s">
        <v>11047</v>
      </c>
      <c r="C487" t="s">
        <v>11048</v>
      </c>
      <c r="D487">
        <v>2025</v>
      </c>
      <c r="E487" t="s">
        <v>1322</v>
      </c>
      <c r="F487" t="s">
        <v>11065</v>
      </c>
    </row>
    <row r="488" spans="1:6" x14ac:dyDescent="0.25">
      <c r="A488" t="s">
        <v>11066</v>
      </c>
      <c r="B488" t="s">
        <v>11047</v>
      </c>
      <c r="C488" t="s">
        <v>11048</v>
      </c>
      <c r="D488">
        <v>2025</v>
      </c>
      <c r="E488" t="s">
        <v>1322</v>
      </c>
      <c r="F488" t="s">
        <v>11067</v>
      </c>
    </row>
    <row r="489" spans="1:6" x14ac:dyDescent="0.25">
      <c r="A489" t="s">
        <v>11068</v>
      </c>
      <c r="B489" t="s">
        <v>11047</v>
      </c>
      <c r="C489" t="s">
        <v>11048</v>
      </c>
      <c r="D489">
        <v>2025</v>
      </c>
      <c r="E489" t="s">
        <v>1322</v>
      </c>
      <c r="F489" t="s">
        <v>11069</v>
      </c>
    </row>
    <row r="490" spans="1:6" x14ac:dyDescent="0.25">
      <c r="A490" t="s">
        <v>11070</v>
      </c>
      <c r="B490" t="s">
        <v>11047</v>
      </c>
      <c r="C490" t="s">
        <v>11048</v>
      </c>
      <c r="D490">
        <v>2025</v>
      </c>
      <c r="E490" t="s">
        <v>1322</v>
      </c>
      <c r="F490" t="s">
        <v>11071</v>
      </c>
    </row>
    <row r="491" spans="1:6" x14ac:dyDescent="0.25">
      <c r="A491" t="s">
        <v>11072</v>
      </c>
      <c r="B491" t="s">
        <v>11047</v>
      </c>
      <c r="C491" t="s">
        <v>11048</v>
      </c>
      <c r="D491">
        <v>2025</v>
      </c>
      <c r="E491" t="s">
        <v>1322</v>
      </c>
      <c r="F491" t="s">
        <v>11073</v>
      </c>
    </row>
    <row r="492" spans="1:6" x14ac:dyDescent="0.25">
      <c r="A492" t="s">
        <v>11074</v>
      </c>
      <c r="B492" t="s">
        <v>11047</v>
      </c>
      <c r="C492" t="s">
        <v>11048</v>
      </c>
      <c r="D492">
        <v>2025</v>
      </c>
      <c r="E492" t="s">
        <v>1322</v>
      </c>
      <c r="F492" t="s">
        <v>11075</v>
      </c>
    </row>
    <row r="493" spans="1:6" x14ac:dyDescent="0.25">
      <c r="A493" t="s">
        <v>11076</v>
      </c>
      <c r="B493" t="s">
        <v>11047</v>
      </c>
      <c r="C493" t="s">
        <v>11048</v>
      </c>
      <c r="D493">
        <v>2025</v>
      </c>
      <c r="E493" t="s">
        <v>1322</v>
      </c>
      <c r="F493" t="s">
        <v>11077</v>
      </c>
    </row>
    <row r="494" spans="1:6" x14ac:dyDescent="0.25">
      <c r="A494" t="s">
        <v>11078</v>
      </c>
      <c r="B494" t="s">
        <v>11047</v>
      </c>
      <c r="C494" t="s">
        <v>11048</v>
      </c>
      <c r="D494">
        <v>2025</v>
      </c>
      <c r="E494" t="s">
        <v>1322</v>
      </c>
      <c r="F494" t="s">
        <v>11079</v>
      </c>
    </row>
    <row r="495" spans="1:6" x14ac:dyDescent="0.25">
      <c r="A495" t="s">
        <v>11080</v>
      </c>
      <c r="B495" t="s">
        <v>11047</v>
      </c>
      <c r="C495" t="s">
        <v>11048</v>
      </c>
      <c r="D495">
        <v>2025</v>
      </c>
      <c r="E495" t="s">
        <v>1322</v>
      </c>
      <c r="F495" t="s">
        <v>11081</v>
      </c>
    </row>
    <row r="496" spans="1:6" x14ac:dyDescent="0.25">
      <c r="A496" t="s">
        <v>11082</v>
      </c>
      <c r="B496" t="s">
        <v>11047</v>
      </c>
      <c r="C496" t="s">
        <v>11048</v>
      </c>
      <c r="D496">
        <v>2025</v>
      </c>
      <c r="E496" t="s">
        <v>1322</v>
      </c>
      <c r="F496" t="s">
        <v>11083</v>
      </c>
    </row>
    <row r="497" spans="1:6" x14ac:dyDescent="0.25">
      <c r="A497" t="s">
        <v>11084</v>
      </c>
      <c r="B497" t="s">
        <v>11047</v>
      </c>
      <c r="C497" t="s">
        <v>11048</v>
      </c>
      <c r="D497">
        <v>2025</v>
      </c>
      <c r="E497" t="s">
        <v>1322</v>
      </c>
      <c r="F497" t="s">
        <v>11085</v>
      </c>
    </row>
    <row r="498" spans="1:6" x14ac:dyDescent="0.25">
      <c r="A498" t="s">
        <v>11086</v>
      </c>
      <c r="B498" t="s">
        <v>11047</v>
      </c>
      <c r="C498" t="s">
        <v>11048</v>
      </c>
      <c r="D498">
        <v>2025</v>
      </c>
      <c r="E498" t="s">
        <v>1322</v>
      </c>
      <c r="F498" t="s">
        <v>11087</v>
      </c>
    </row>
    <row r="499" spans="1:6" x14ac:dyDescent="0.25">
      <c r="A499" t="s">
        <v>11088</v>
      </c>
      <c r="B499" t="s">
        <v>11047</v>
      </c>
      <c r="C499" t="s">
        <v>11048</v>
      </c>
      <c r="D499">
        <v>2025</v>
      </c>
      <c r="E499" t="s">
        <v>1322</v>
      </c>
      <c r="F499" t="s">
        <v>11089</v>
      </c>
    </row>
    <row r="500" spans="1:6" x14ac:dyDescent="0.25">
      <c r="A500" t="s">
        <v>11090</v>
      </c>
      <c r="B500" t="s">
        <v>11047</v>
      </c>
      <c r="C500" t="s">
        <v>11048</v>
      </c>
      <c r="D500">
        <v>2025</v>
      </c>
      <c r="E500" t="s">
        <v>1322</v>
      </c>
      <c r="F500" t="s">
        <v>11091</v>
      </c>
    </row>
    <row r="501" spans="1:6" x14ac:dyDescent="0.25">
      <c r="A501" t="s">
        <v>11092</v>
      </c>
      <c r="B501" t="s">
        <v>11047</v>
      </c>
      <c r="C501" t="s">
        <v>11048</v>
      </c>
      <c r="D501">
        <v>2025</v>
      </c>
      <c r="E501" t="s">
        <v>1322</v>
      </c>
      <c r="F501" t="s">
        <v>11093</v>
      </c>
    </row>
    <row r="502" spans="1:6" x14ac:dyDescent="0.25">
      <c r="A502" t="s">
        <v>11094</v>
      </c>
      <c r="B502" t="s">
        <v>11047</v>
      </c>
      <c r="C502" t="s">
        <v>11048</v>
      </c>
      <c r="D502">
        <v>2025</v>
      </c>
      <c r="E502" t="s">
        <v>1322</v>
      </c>
      <c r="F502" t="s">
        <v>11095</v>
      </c>
    </row>
    <row r="503" spans="1:6" x14ac:dyDescent="0.25">
      <c r="A503" t="s">
        <v>11096</v>
      </c>
      <c r="B503" t="s">
        <v>11047</v>
      </c>
      <c r="C503" t="s">
        <v>11048</v>
      </c>
      <c r="D503">
        <v>2025</v>
      </c>
      <c r="E503" t="s">
        <v>1322</v>
      </c>
      <c r="F503" t="s">
        <v>11097</v>
      </c>
    </row>
    <row r="504" spans="1:6" x14ac:dyDescent="0.25">
      <c r="A504" t="s">
        <v>11098</v>
      </c>
      <c r="B504" t="s">
        <v>11047</v>
      </c>
      <c r="C504" t="s">
        <v>11048</v>
      </c>
      <c r="D504">
        <v>2025</v>
      </c>
      <c r="E504" t="s">
        <v>1322</v>
      </c>
      <c r="F504" t="s">
        <v>11099</v>
      </c>
    </row>
    <row r="505" spans="1:6" x14ac:dyDescent="0.25">
      <c r="A505" t="s">
        <v>11100</v>
      </c>
      <c r="B505" t="s">
        <v>11047</v>
      </c>
      <c r="C505" t="s">
        <v>11048</v>
      </c>
      <c r="D505">
        <v>2025</v>
      </c>
      <c r="E505" t="s">
        <v>1322</v>
      </c>
      <c r="F505" t="s">
        <v>11101</v>
      </c>
    </row>
    <row r="506" spans="1:6" x14ac:dyDescent="0.25">
      <c r="A506" t="s">
        <v>11102</v>
      </c>
      <c r="B506" t="s">
        <v>11047</v>
      </c>
      <c r="C506" t="s">
        <v>11048</v>
      </c>
      <c r="D506">
        <v>2025</v>
      </c>
      <c r="E506" t="s">
        <v>1322</v>
      </c>
      <c r="F506" t="s">
        <v>11103</v>
      </c>
    </row>
    <row r="507" spans="1:6" x14ac:dyDescent="0.25">
      <c r="A507" t="s">
        <v>11104</v>
      </c>
      <c r="B507" t="s">
        <v>11047</v>
      </c>
      <c r="C507" t="s">
        <v>11048</v>
      </c>
      <c r="D507">
        <v>2025</v>
      </c>
      <c r="E507" t="s">
        <v>1322</v>
      </c>
      <c r="F507" t="s">
        <v>11105</v>
      </c>
    </row>
    <row r="508" spans="1:6" x14ac:dyDescent="0.25">
      <c r="A508" t="s">
        <v>11106</v>
      </c>
      <c r="B508" t="s">
        <v>11047</v>
      </c>
      <c r="C508" t="s">
        <v>11048</v>
      </c>
      <c r="D508">
        <v>2025</v>
      </c>
      <c r="E508" t="s">
        <v>1322</v>
      </c>
      <c r="F508" t="s">
        <v>11107</v>
      </c>
    </row>
    <row r="509" spans="1:6" x14ac:dyDescent="0.25">
      <c r="A509" t="s">
        <v>11108</v>
      </c>
      <c r="B509" t="s">
        <v>11047</v>
      </c>
      <c r="C509" t="s">
        <v>11048</v>
      </c>
      <c r="D509">
        <v>2025</v>
      </c>
      <c r="E509" t="s">
        <v>1322</v>
      </c>
      <c r="F509" t="s">
        <v>11109</v>
      </c>
    </row>
    <row r="510" spans="1:6" x14ac:dyDescent="0.25">
      <c r="A510" t="s">
        <v>11110</v>
      </c>
      <c r="B510" t="s">
        <v>11047</v>
      </c>
      <c r="C510" t="s">
        <v>11048</v>
      </c>
      <c r="D510">
        <v>2025</v>
      </c>
      <c r="E510" t="s">
        <v>1322</v>
      </c>
      <c r="F510" t="s">
        <v>11111</v>
      </c>
    </row>
    <row r="511" spans="1:6" x14ac:dyDescent="0.25">
      <c r="A511" t="s">
        <v>11112</v>
      </c>
      <c r="B511" t="s">
        <v>11047</v>
      </c>
      <c r="C511" t="s">
        <v>11048</v>
      </c>
      <c r="D511">
        <v>2025</v>
      </c>
      <c r="E511" t="s">
        <v>1322</v>
      </c>
      <c r="F511" t="s">
        <v>11113</v>
      </c>
    </row>
    <row r="512" spans="1:6" x14ac:dyDescent="0.25">
      <c r="A512" t="s">
        <v>11114</v>
      </c>
      <c r="B512" t="s">
        <v>11047</v>
      </c>
      <c r="C512" t="s">
        <v>11048</v>
      </c>
      <c r="D512">
        <v>2025</v>
      </c>
      <c r="E512" t="s">
        <v>1322</v>
      </c>
      <c r="F512" t="s">
        <v>11115</v>
      </c>
    </row>
    <row r="513" spans="1:6" x14ac:dyDescent="0.25">
      <c r="A513" t="s">
        <v>11116</v>
      </c>
      <c r="B513" t="s">
        <v>11047</v>
      </c>
      <c r="C513" t="s">
        <v>11048</v>
      </c>
      <c r="D513">
        <v>2025</v>
      </c>
      <c r="E513" t="s">
        <v>1322</v>
      </c>
      <c r="F513" t="s">
        <v>11117</v>
      </c>
    </row>
    <row r="514" spans="1:6" x14ac:dyDescent="0.25">
      <c r="A514" t="s">
        <v>11118</v>
      </c>
      <c r="B514" t="s">
        <v>11047</v>
      </c>
      <c r="C514" t="s">
        <v>11048</v>
      </c>
      <c r="D514">
        <v>2025</v>
      </c>
      <c r="E514" t="s">
        <v>1322</v>
      </c>
      <c r="F514" t="s">
        <v>11119</v>
      </c>
    </row>
    <row r="515" spans="1:6" x14ac:dyDescent="0.25">
      <c r="A515" t="s">
        <v>11120</v>
      </c>
      <c r="B515" t="s">
        <v>11047</v>
      </c>
      <c r="C515" t="s">
        <v>11048</v>
      </c>
      <c r="D515">
        <v>2025</v>
      </c>
      <c r="E515" t="s">
        <v>1322</v>
      </c>
      <c r="F515" t="s">
        <v>11121</v>
      </c>
    </row>
    <row r="516" spans="1:6" x14ac:dyDescent="0.25">
      <c r="A516" t="s">
        <v>11122</v>
      </c>
      <c r="B516" t="s">
        <v>11047</v>
      </c>
      <c r="C516" t="s">
        <v>11048</v>
      </c>
      <c r="D516">
        <v>2025</v>
      </c>
      <c r="E516" t="s">
        <v>1322</v>
      </c>
      <c r="F516" t="s">
        <v>11123</v>
      </c>
    </row>
    <row r="517" spans="1:6" x14ac:dyDescent="0.25">
      <c r="A517" t="s">
        <v>11124</v>
      </c>
      <c r="B517" t="s">
        <v>11047</v>
      </c>
      <c r="C517" t="s">
        <v>11048</v>
      </c>
      <c r="D517">
        <v>2025</v>
      </c>
      <c r="E517" t="s">
        <v>1322</v>
      </c>
      <c r="F517" t="s">
        <v>11125</v>
      </c>
    </row>
    <row r="518" spans="1:6" x14ac:dyDescent="0.25">
      <c r="A518" t="s">
        <v>11126</v>
      </c>
      <c r="B518" t="s">
        <v>11047</v>
      </c>
      <c r="C518" t="s">
        <v>11048</v>
      </c>
      <c r="D518">
        <v>2025</v>
      </c>
      <c r="E518" t="s">
        <v>1322</v>
      </c>
      <c r="F518" t="s">
        <v>11127</v>
      </c>
    </row>
    <row r="519" spans="1:6" x14ac:dyDescent="0.25">
      <c r="A519" t="s">
        <v>11128</v>
      </c>
      <c r="B519" t="s">
        <v>11047</v>
      </c>
      <c r="C519" t="s">
        <v>11048</v>
      </c>
      <c r="D519">
        <v>2025</v>
      </c>
      <c r="E519" t="s">
        <v>1322</v>
      </c>
      <c r="F519" t="s">
        <v>11129</v>
      </c>
    </row>
    <row r="520" spans="1:6" x14ac:dyDescent="0.25">
      <c r="A520" t="s">
        <v>11130</v>
      </c>
      <c r="B520" t="s">
        <v>11047</v>
      </c>
      <c r="C520" t="s">
        <v>11048</v>
      </c>
      <c r="D520">
        <v>2025</v>
      </c>
      <c r="E520" t="s">
        <v>1322</v>
      </c>
      <c r="F520" t="s">
        <v>11131</v>
      </c>
    </row>
    <row r="521" spans="1:6" x14ac:dyDescent="0.25">
      <c r="A521" t="s">
        <v>11132</v>
      </c>
      <c r="B521" t="s">
        <v>11047</v>
      </c>
      <c r="C521" t="s">
        <v>11048</v>
      </c>
      <c r="D521">
        <v>2025</v>
      </c>
      <c r="E521" t="s">
        <v>1322</v>
      </c>
      <c r="F521" t="s">
        <v>11133</v>
      </c>
    </row>
    <row r="522" spans="1:6" x14ac:dyDescent="0.25">
      <c r="A522" t="s">
        <v>11134</v>
      </c>
      <c r="B522" t="s">
        <v>11047</v>
      </c>
      <c r="C522" t="s">
        <v>11048</v>
      </c>
      <c r="D522">
        <v>2025</v>
      </c>
      <c r="E522" t="s">
        <v>1322</v>
      </c>
      <c r="F522" t="s">
        <v>11135</v>
      </c>
    </row>
    <row r="523" spans="1:6" x14ac:dyDescent="0.25">
      <c r="A523" t="s">
        <v>11136</v>
      </c>
      <c r="B523" t="s">
        <v>11047</v>
      </c>
      <c r="C523" t="s">
        <v>11048</v>
      </c>
      <c r="D523">
        <v>2025</v>
      </c>
      <c r="E523" t="s">
        <v>1322</v>
      </c>
      <c r="F523" t="s">
        <v>11137</v>
      </c>
    </row>
    <row r="524" spans="1:6" x14ac:dyDescent="0.25">
      <c r="A524" t="s">
        <v>11138</v>
      </c>
      <c r="B524" t="s">
        <v>11047</v>
      </c>
      <c r="C524" t="s">
        <v>11048</v>
      </c>
      <c r="D524">
        <v>2025</v>
      </c>
      <c r="E524" t="s">
        <v>1322</v>
      </c>
      <c r="F524" t="s">
        <v>11139</v>
      </c>
    </row>
    <row r="525" spans="1:6" x14ac:dyDescent="0.25">
      <c r="A525" t="s">
        <v>11140</v>
      </c>
      <c r="B525" t="s">
        <v>11047</v>
      </c>
      <c r="C525" t="s">
        <v>11048</v>
      </c>
      <c r="D525">
        <v>2025</v>
      </c>
      <c r="E525" t="s">
        <v>1322</v>
      </c>
      <c r="F525" t="s">
        <v>11141</v>
      </c>
    </row>
    <row r="526" spans="1:6" x14ac:dyDescent="0.25">
      <c r="A526" t="s">
        <v>11142</v>
      </c>
      <c r="B526" t="s">
        <v>11047</v>
      </c>
      <c r="C526" t="s">
        <v>11048</v>
      </c>
      <c r="D526">
        <v>2025</v>
      </c>
      <c r="E526" t="s">
        <v>1322</v>
      </c>
      <c r="F526" t="s">
        <v>11143</v>
      </c>
    </row>
    <row r="527" spans="1:6" x14ac:dyDescent="0.25">
      <c r="A527" t="s">
        <v>11144</v>
      </c>
      <c r="B527" t="s">
        <v>11047</v>
      </c>
      <c r="C527" t="s">
        <v>11048</v>
      </c>
      <c r="D527">
        <v>2025</v>
      </c>
      <c r="E527" t="s">
        <v>1322</v>
      </c>
      <c r="F527" t="s">
        <v>11145</v>
      </c>
    </row>
    <row r="528" spans="1:6" x14ac:dyDescent="0.25">
      <c r="A528" t="s">
        <v>11146</v>
      </c>
      <c r="B528" t="s">
        <v>11047</v>
      </c>
      <c r="C528" t="s">
        <v>11048</v>
      </c>
      <c r="D528">
        <v>2025</v>
      </c>
      <c r="E528" t="s">
        <v>1322</v>
      </c>
      <c r="F528" t="s">
        <v>11147</v>
      </c>
    </row>
    <row r="529" spans="1:6" x14ac:dyDescent="0.25">
      <c r="A529" t="s">
        <v>11148</v>
      </c>
      <c r="B529" t="s">
        <v>11047</v>
      </c>
      <c r="C529" t="s">
        <v>11048</v>
      </c>
      <c r="D529">
        <v>2025</v>
      </c>
      <c r="E529" t="s">
        <v>1322</v>
      </c>
      <c r="F529" t="s">
        <v>11149</v>
      </c>
    </row>
    <row r="530" spans="1:6" x14ac:dyDescent="0.25">
      <c r="A530" t="s">
        <v>11150</v>
      </c>
      <c r="B530" t="s">
        <v>11047</v>
      </c>
      <c r="C530" t="s">
        <v>11048</v>
      </c>
      <c r="D530">
        <v>2025</v>
      </c>
      <c r="E530" t="s">
        <v>1322</v>
      </c>
      <c r="F530" t="s">
        <v>11151</v>
      </c>
    </row>
    <row r="531" spans="1:6" x14ac:dyDescent="0.25">
      <c r="A531" t="s">
        <v>11152</v>
      </c>
      <c r="B531" t="s">
        <v>11047</v>
      </c>
      <c r="C531" t="s">
        <v>11048</v>
      </c>
      <c r="D531">
        <v>2025</v>
      </c>
      <c r="E531" t="s">
        <v>1322</v>
      </c>
      <c r="F531" t="s">
        <v>11153</v>
      </c>
    </row>
    <row r="532" spans="1:6" x14ac:dyDescent="0.25">
      <c r="A532" t="s">
        <v>11154</v>
      </c>
      <c r="B532" t="s">
        <v>11047</v>
      </c>
      <c r="C532" t="s">
        <v>11048</v>
      </c>
      <c r="D532">
        <v>2025</v>
      </c>
      <c r="E532" t="s">
        <v>1322</v>
      </c>
      <c r="F532" t="s">
        <v>11155</v>
      </c>
    </row>
    <row r="533" spans="1:6" x14ac:dyDescent="0.25">
      <c r="A533" t="s">
        <v>11156</v>
      </c>
      <c r="B533" t="s">
        <v>11047</v>
      </c>
      <c r="C533" t="s">
        <v>11048</v>
      </c>
      <c r="D533">
        <v>2025</v>
      </c>
      <c r="E533" t="s">
        <v>1322</v>
      </c>
      <c r="F533" t="s">
        <v>11157</v>
      </c>
    </row>
    <row r="534" spans="1:6" x14ac:dyDescent="0.25">
      <c r="A534" t="s">
        <v>11158</v>
      </c>
      <c r="B534" t="s">
        <v>11047</v>
      </c>
      <c r="C534" t="s">
        <v>11048</v>
      </c>
      <c r="D534">
        <v>2025</v>
      </c>
      <c r="E534" t="s">
        <v>1322</v>
      </c>
      <c r="F534" t="s">
        <v>11159</v>
      </c>
    </row>
    <row r="535" spans="1:6" x14ac:dyDescent="0.25">
      <c r="A535" t="s">
        <v>11160</v>
      </c>
      <c r="B535" t="s">
        <v>11047</v>
      </c>
      <c r="C535" t="s">
        <v>11048</v>
      </c>
      <c r="D535">
        <v>2025</v>
      </c>
      <c r="E535" t="s">
        <v>1322</v>
      </c>
      <c r="F535" t="s">
        <v>11161</v>
      </c>
    </row>
    <row r="536" spans="1:6" x14ac:dyDescent="0.25">
      <c r="A536" t="s">
        <v>11162</v>
      </c>
      <c r="B536" t="s">
        <v>11047</v>
      </c>
      <c r="C536" t="s">
        <v>11048</v>
      </c>
      <c r="D536">
        <v>2025</v>
      </c>
      <c r="E536" t="s">
        <v>1322</v>
      </c>
      <c r="F536" t="s">
        <v>11163</v>
      </c>
    </row>
    <row r="537" spans="1:6" x14ac:dyDescent="0.25">
      <c r="A537" t="s">
        <v>11164</v>
      </c>
      <c r="B537" t="s">
        <v>11047</v>
      </c>
      <c r="C537" t="s">
        <v>11048</v>
      </c>
      <c r="D537">
        <v>2025</v>
      </c>
      <c r="E537" t="s">
        <v>1322</v>
      </c>
      <c r="F537" t="s">
        <v>11165</v>
      </c>
    </row>
    <row r="538" spans="1:6" x14ac:dyDescent="0.25">
      <c r="A538" t="s">
        <v>11166</v>
      </c>
      <c r="B538" t="s">
        <v>11047</v>
      </c>
      <c r="C538" t="s">
        <v>11048</v>
      </c>
      <c r="D538">
        <v>2025</v>
      </c>
      <c r="E538" t="s">
        <v>1322</v>
      </c>
      <c r="F538" t="s">
        <v>11167</v>
      </c>
    </row>
    <row r="539" spans="1:6" x14ac:dyDescent="0.25">
      <c r="A539" t="s">
        <v>11168</v>
      </c>
      <c r="B539" t="s">
        <v>11047</v>
      </c>
      <c r="C539" t="s">
        <v>11048</v>
      </c>
      <c r="D539">
        <v>2025</v>
      </c>
      <c r="E539" t="s">
        <v>1322</v>
      </c>
      <c r="F539" t="s">
        <v>11169</v>
      </c>
    </row>
    <row r="540" spans="1:6" x14ac:dyDescent="0.25">
      <c r="A540" t="s">
        <v>11170</v>
      </c>
      <c r="B540" t="s">
        <v>11047</v>
      </c>
      <c r="C540" t="s">
        <v>11048</v>
      </c>
      <c r="D540">
        <v>2025</v>
      </c>
      <c r="E540" t="s">
        <v>1322</v>
      </c>
      <c r="F540" t="s">
        <v>11171</v>
      </c>
    </row>
    <row r="541" spans="1:6" x14ac:dyDescent="0.25">
      <c r="A541" t="s">
        <v>11172</v>
      </c>
      <c r="B541" t="s">
        <v>11047</v>
      </c>
      <c r="C541" t="s">
        <v>11048</v>
      </c>
      <c r="D541">
        <v>2025</v>
      </c>
      <c r="E541" t="s">
        <v>1322</v>
      </c>
      <c r="F541" t="s">
        <v>11173</v>
      </c>
    </row>
    <row r="542" spans="1:6" x14ac:dyDescent="0.25">
      <c r="A542" t="s">
        <v>11174</v>
      </c>
      <c r="B542" t="s">
        <v>11047</v>
      </c>
      <c r="C542" t="s">
        <v>11048</v>
      </c>
      <c r="D542">
        <v>2025</v>
      </c>
      <c r="E542" t="s">
        <v>1322</v>
      </c>
      <c r="F542" t="s">
        <v>11175</v>
      </c>
    </row>
    <row r="543" spans="1:6" x14ac:dyDescent="0.25">
      <c r="A543" t="s">
        <v>11176</v>
      </c>
      <c r="B543" t="s">
        <v>11047</v>
      </c>
      <c r="C543" t="s">
        <v>11048</v>
      </c>
      <c r="D543">
        <v>2025</v>
      </c>
      <c r="E543" t="s">
        <v>1322</v>
      </c>
      <c r="F543" t="s">
        <v>11177</v>
      </c>
    </row>
    <row r="544" spans="1:6" x14ac:dyDescent="0.25">
      <c r="A544" t="s">
        <v>11178</v>
      </c>
      <c r="B544" t="s">
        <v>11047</v>
      </c>
      <c r="C544" t="s">
        <v>11048</v>
      </c>
      <c r="D544">
        <v>2025</v>
      </c>
      <c r="E544" t="s">
        <v>1322</v>
      </c>
      <c r="F544" t="s">
        <v>11179</v>
      </c>
    </row>
    <row r="545" spans="1:7" x14ac:dyDescent="0.25">
      <c r="A545" t="s">
        <v>11180</v>
      </c>
      <c r="B545" t="s">
        <v>11047</v>
      </c>
      <c r="C545" t="s">
        <v>11048</v>
      </c>
      <c r="D545">
        <v>2025</v>
      </c>
      <c r="E545" t="s">
        <v>1322</v>
      </c>
      <c r="F545" t="s">
        <v>11181</v>
      </c>
    </row>
    <row r="546" spans="1:7" x14ac:dyDescent="0.25">
      <c r="A546" t="s">
        <v>11182</v>
      </c>
      <c r="B546" t="s">
        <v>11047</v>
      </c>
      <c r="C546" t="s">
        <v>11048</v>
      </c>
      <c r="D546">
        <v>2025</v>
      </c>
      <c r="E546" t="s">
        <v>1322</v>
      </c>
      <c r="F546" t="s">
        <v>11183</v>
      </c>
    </row>
    <row r="547" spans="1:7" x14ac:dyDescent="0.25">
      <c r="A547" t="s">
        <v>11184</v>
      </c>
      <c r="B547" t="s">
        <v>11047</v>
      </c>
      <c r="C547" t="s">
        <v>11048</v>
      </c>
      <c r="D547">
        <v>2025</v>
      </c>
      <c r="E547" t="s">
        <v>1322</v>
      </c>
      <c r="F547" t="s">
        <v>11185</v>
      </c>
    </row>
    <row r="548" spans="1:7" x14ac:dyDescent="0.25">
      <c r="A548" t="s">
        <v>11186</v>
      </c>
      <c r="B548" t="s">
        <v>10881</v>
      </c>
      <c r="C548" t="s">
        <v>11187</v>
      </c>
      <c r="D548">
        <v>2018</v>
      </c>
      <c r="E548" t="s">
        <v>1443</v>
      </c>
      <c r="F548" t="s">
        <v>11188</v>
      </c>
      <c r="G548" t="s">
        <v>10071</v>
      </c>
    </row>
    <row r="549" spans="1:7" x14ac:dyDescent="0.25">
      <c r="A549" t="s">
        <v>11189</v>
      </c>
      <c r="B549" t="s">
        <v>10881</v>
      </c>
      <c r="C549" t="s">
        <v>11187</v>
      </c>
      <c r="D549">
        <v>2018</v>
      </c>
      <c r="E549" t="s">
        <v>1443</v>
      </c>
      <c r="F549" t="s">
        <v>11190</v>
      </c>
    </row>
    <row r="550" spans="1:7" x14ac:dyDescent="0.25">
      <c r="A550" t="s">
        <v>11191</v>
      </c>
      <c r="B550" t="s">
        <v>10881</v>
      </c>
      <c r="C550" t="s">
        <v>11187</v>
      </c>
      <c r="D550">
        <v>2018</v>
      </c>
      <c r="E550" t="s">
        <v>1443</v>
      </c>
      <c r="F550" t="s">
        <v>11192</v>
      </c>
    </row>
    <row r="551" spans="1:7" x14ac:dyDescent="0.25">
      <c r="A551" t="s">
        <v>11193</v>
      </c>
      <c r="B551" t="s">
        <v>10881</v>
      </c>
      <c r="C551" t="s">
        <v>11187</v>
      </c>
      <c r="D551">
        <v>2018</v>
      </c>
      <c r="E551" t="s">
        <v>1443</v>
      </c>
      <c r="F551" t="s">
        <v>11194</v>
      </c>
    </row>
    <row r="552" spans="1:7" x14ac:dyDescent="0.25">
      <c r="A552" t="s">
        <v>11195</v>
      </c>
      <c r="B552" t="s">
        <v>10881</v>
      </c>
      <c r="C552" t="s">
        <v>11187</v>
      </c>
      <c r="D552">
        <v>2018</v>
      </c>
      <c r="E552" t="s">
        <v>1443</v>
      </c>
      <c r="F552" t="s">
        <v>11196</v>
      </c>
    </row>
    <row r="553" spans="1:7" x14ac:dyDescent="0.25">
      <c r="A553" t="s">
        <v>11197</v>
      </c>
      <c r="B553" t="s">
        <v>10881</v>
      </c>
      <c r="C553" t="s">
        <v>11187</v>
      </c>
      <c r="D553">
        <v>2018</v>
      </c>
      <c r="E553" t="s">
        <v>1443</v>
      </c>
      <c r="F553" t="s">
        <v>11198</v>
      </c>
    </row>
    <row r="554" spans="1:7" x14ac:dyDescent="0.25">
      <c r="A554" t="s">
        <v>11199</v>
      </c>
      <c r="B554" t="s">
        <v>10881</v>
      </c>
      <c r="C554" t="s">
        <v>11187</v>
      </c>
      <c r="D554">
        <v>2018</v>
      </c>
      <c r="E554" t="s">
        <v>1443</v>
      </c>
      <c r="F554" t="s">
        <v>11200</v>
      </c>
    </row>
    <row r="555" spans="1:7" x14ac:dyDescent="0.25">
      <c r="A555" t="s">
        <v>11201</v>
      </c>
      <c r="B555" t="s">
        <v>10881</v>
      </c>
      <c r="C555" t="s">
        <v>11187</v>
      </c>
      <c r="D555">
        <v>2018</v>
      </c>
      <c r="E555" t="s">
        <v>1443</v>
      </c>
      <c r="F555" t="s">
        <v>11202</v>
      </c>
    </row>
    <row r="556" spans="1:7" x14ac:dyDescent="0.25">
      <c r="A556" t="s">
        <v>11203</v>
      </c>
      <c r="B556" t="s">
        <v>10881</v>
      </c>
      <c r="C556" t="s">
        <v>11187</v>
      </c>
      <c r="D556">
        <v>2018</v>
      </c>
      <c r="E556" t="s">
        <v>1443</v>
      </c>
      <c r="F556" t="s">
        <v>11204</v>
      </c>
    </row>
    <row r="557" spans="1:7" x14ac:dyDescent="0.25">
      <c r="A557" t="s">
        <v>11205</v>
      </c>
      <c r="B557" t="s">
        <v>10881</v>
      </c>
      <c r="C557" t="s">
        <v>11187</v>
      </c>
      <c r="D557">
        <v>2018</v>
      </c>
      <c r="E557" t="s">
        <v>1443</v>
      </c>
      <c r="F557" t="s">
        <v>11206</v>
      </c>
    </row>
    <row r="558" spans="1:7" x14ac:dyDescent="0.25">
      <c r="A558" t="s">
        <v>531</v>
      </c>
      <c r="B558" t="s">
        <v>10881</v>
      </c>
      <c r="C558" t="s">
        <v>11187</v>
      </c>
      <c r="D558">
        <v>2018</v>
      </c>
      <c r="E558" t="s">
        <v>1443</v>
      </c>
      <c r="F558" t="s">
        <v>11207</v>
      </c>
    </row>
    <row r="559" spans="1:7" x14ac:dyDescent="0.25">
      <c r="A559" t="s">
        <v>11208</v>
      </c>
      <c r="B559" t="s">
        <v>10881</v>
      </c>
      <c r="C559" t="s">
        <v>11187</v>
      </c>
      <c r="D559">
        <v>2018</v>
      </c>
      <c r="E559" t="s">
        <v>1443</v>
      </c>
      <c r="F559" t="s">
        <v>11209</v>
      </c>
    </row>
    <row r="560" spans="1:7" x14ac:dyDescent="0.25">
      <c r="A560" t="s">
        <v>11210</v>
      </c>
      <c r="B560" t="s">
        <v>10881</v>
      </c>
      <c r="C560" t="s">
        <v>11187</v>
      </c>
      <c r="D560">
        <v>2018</v>
      </c>
      <c r="E560" t="s">
        <v>1443</v>
      </c>
      <c r="F560" t="s">
        <v>11211</v>
      </c>
    </row>
    <row r="561" spans="1:6" x14ac:dyDescent="0.25">
      <c r="A561" t="s">
        <v>11212</v>
      </c>
      <c r="B561" t="s">
        <v>10881</v>
      </c>
      <c r="C561" t="s">
        <v>11187</v>
      </c>
      <c r="D561">
        <v>2018</v>
      </c>
      <c r="E561" t="s">
        <v>1443</v>
      </c>
      <c r="F561" t="s">
        <v>11213</v>
      </c>
    </row>
    <row r="562" spans="1:6" x14ac:dyDescent="0.25">
      <c r="A562" t="s">
        <v>11214</v>
      </c>
      <c r="B562" t="s">
        <v>10881</v>
      </c>
      <c r="C562" t="s">
        <v>11187</v>
      </c>
      <c r="D562">
        <v>2018</v>
      </c>
      <c r="E562" t="s">
        <v>1443</v>
      </c>
      <c r="F562" t="s">
        <v>11215</v>
      </c>
    </row>
    <row r="563" spans="1:6" x14ac:dyDescent="0.25">
      <c r="A563" t="s">
        <v>11216</v>
      </c>
      <c r="B563" t="s">
        <v>10881</v>
      </c>
      <c r="C563" t="s">
        <v>11187</v>
      </c>
      <c r="D563">
        <v>2018</v>
      </c>
      <c r="E563" t="s">
        <v>1443</v>
      </c>
      <c r="F563" t="s">
        <v>11217</v>
      </c>
    </row>
    <row r="564" spans="1:6" x14ac:dyDescent="0.25">
      <c r="A564" t="s">
        <v>11218</v>
      </c>
      <c r="B564" t="s">
        <v>10881</v>
      </c>
      <c r="C564" t="s">
        <v>11187</v>
      </c>
      <c r="D564">
        <v>2018</v>
      </c>
      <c r="E564" t="s">
        <v>1443</v>
      </c>
      <c r="F564" t="s">
        <v>11219</v>
      </c>
    </row>
    <row r="565" spans="1:6" x14ac:dyDescent="0.25">
      <c r="A565" t="s">
        <v>11220</v>
      </c>
      <c r="B565" t="s">
        <v>10881</v>
      </c>
      <c r="C565" t="s">
        <v>11187</v>
      </c>
      <c r="D565">
        <v>2018</v>
      </c>
      <c r="E565" t="s">
        <v>1443</v>
      </c>
      <c r="F565" t="s">
        <v>11221</v>
      </c>
    </row>
    <row r="566" spans="1:6" x14ac:dyDescent="0.25">
      <c r="A566" t="s">
        <v>11222</v>
      </c>
      <c r="B566" t="s">
        <v>10881</v>
      </c>
      <c r="C566" t="s">
        <v>11187</v>
      </c>
      <c r="D566">
        <v>2018</v>
      </c>
      <c r="E566" t="s">
        <v>1443</v>
      </c>
      <c r="F566" t="s">
        <v>11223</v>
      </c>
    </row>
    <row r="567" spans="1:6" x14ac:dyDescent="0.25">
      <c r="A567" t="s">
        <v>11224</v>
      </c>
      <c r="B567" t="s">
        <v>10881</v>
      </c>
      <c r="C567" t="s">
        <v>11187</v>
      </c>
      <c r="D567">
        <v>2018</v>
      </c>
      <c r="E567" t="s">
        <v>1443</v>
      </c>
      <c r="F567" t="s">
        <v>11225</v>
      </c>
    </row>
    <row r="568" spans="1:6" x14ac:dyDescent="0.25">
      <c r="A568" t="s">
        <v>11226</v>
      </c>
      <c r="B568" t="s">
        <v>10881</v>
      </c>
      <c r="C568" t="s">
        <v>11187</v>
      </c>
      <c r="D568">
        <v>2018</v>
      </c>
      <c r="E568" t="s">
        <v>1443</v>
      </c>
      <c r="F568" t="s">
        <v>11227</v>
      </c>
    </row>
    <row r="569" spans="1:6" x14ac:dyDescent="0.25">
      <c r="A569" t="s">
        <v>11228</v>
      </c>
      <c r="B569" t="s">
        <v>10881</v>
      </c>
      <c r="C569" t="s">
        <v>11187</v>
      </c>
      <c r="D569">
        <v>2018</v>
      </c>
      <c r="E569" t="s">
        <v>1443</v>
      </c>
      <c r="F569" t="s">
        <v>11229</v>
      </c>
    </row>
    <row r="570" spans="1:6" x14ac:dyDescent="0.25">
      <c r="A570" t="s">
        <v>11230</v>
      </c>
      <c r="B570" t="s">
        <v>10881</v>
      </c>
      <c r="C570" t="s">
        <v>11187</v>
      </c>
      <c r="D570">
        <v>2018</v>
      </c>
      <c r="E570" t="s">
        <v>1443</v>
      </c>
      <c r="F570" t="s">
        <v>11231</v>
      </c>
    </row>
    <row r="571" spans="1:6" x14ac:dyDescent="0.25">
      <c r="A571" t="s">
        <v>1443</v>
      </c>
      <c r="B571" t="s">
        <v>10881</v>
      </c>
      <c r="C571" t="s">
        <v>11187</v>
      </c>
      <c r="D571">
        <v>2018</v>
      </c>
      <c r="E571" t="s">
        <v>1443</v>
      </c>
      <c r="F571" t="s">
        <v>11232</v>
      </c>
    </row>
    <row r="572" spans="1:6" x14ac:dyDescent="0.25">
      <c r="A572" t="s">
        <v>11233</v>
      </c>
      <c r="B572" t="s">
        <v>10881</v>
      </c>
      <c r="C572" t="s">
        <v>11187</v>
      </c>
      <c r="D572">
        <v>2018</v>
      </c>
      <c r="E572" t="s">
        <v>1443</v>
      </c>
      <c r="F572" t="s">
        <v>11234</v>
      </c>
    </row>
    <row r="573" spans="1:6" x14ac:dyDescent="0.25">
      <c r="A573" t="s">
        <v>11235</v>
      </c>
      <c r="B573" t="s">
        <v>10881</v>
      </c>
      <c r="C573" t="s">
        <v>11187</v>
      </c>
      <c r="D573">
        <v>2018</v>
      </c>
      <c r="E573" t="s">
        <v>1443</v>
      </c>
      <c r="F573" t="s">
        <v>11236</v>
      </c>
    </row>
    <row r="574" spans="1:6" x14ac:dyDescent="0.25">
      <c r="A574" t="s">
        <v>11237</v>
      </c>
      <c r="B574" t="s">
        <v>11238</v>
      </c>
      <c r="C574" t="s">
        <v>11239</v>
      </c>
      <c r="D574">
        <v>2023</v>
      </c>
      <c r="E574" t="s">
        <v>1549</v>
      </c>
      <c r="F574" t="s">
        <v>11240</v>
      </c>
    </row>
    <row r="575" spans="1:6" x14ac:dyDescent="0.25">
      <c r="A575" t="s">
        <v>11241</v>
      </c>
      <c r="B575" t="s">
        <v>11238</v>
      </c>
      <c r="C575" t="s">
        <v>11239</v>
      </c>
      <c r="D575">
        <v>2023</v>
      </c>
      <c r="E575" t="s">
        <v>1549</v>
      </c>
      <c r="F575" t="s">
        <v>11242</v>
      </c>
    </row>
    <row r="576" spans="1:6" x14ac:dyDescent="0.25">
      <c r="A576" t="s">
        <v>11243</v>
      </c>
      <c r="B576" t="s">
        <v>11238</v>
      </c>
      <c r="C576" t="s">
        <v>11239</v>
      </c>
      <c r="D576">
        <v>2023</v>
      </c>
      <c r="E576" t="s">
        <v>1549</v>
      </c>
      <c r="F576" t="s">
        <v>11244</v>
      </c>
    </row>
    <row r="577" spans="1:7" x14ac:dyDescent="0.25">
      <c r="A577" t="s">
        <v>11245</v>
      </c>
      <c r="B577" t="s">
        <v>11238</v>
      </c>
      <c r="C577" t="s">
        <v>11239</v>
      </c>
      <c r="D577">
        <v>2023</v>
      </c>
      <c r="E577" t="s">
        <v>1549</v>
      </c>
      <c r="F577" t="s">
        <v>11246</v>
      </c>
    </row>
    <row r="578" spans="1:7" x14ac:dyDescent="0.25">
      <c r="A578" t="s">
        <v>11247</v>
      </c>
      <c r="B578" t="s">
        <v>11238</v>
      </c>
      <c r="C578" t="s">
        <v>11239</v>
      </c>
      <c r="D578">
        <v>2023</v>
      </c>
      <c r="E578" t="s">
        <v>1549</v>
      </c>
      <c r="F578" t="s">
        <v>11248</v>
      </c>
    </row>
    <row r="579" spans="1:7" x14ac:dyDescent="0.25">
      <c r="A579" t="s">
        <v>11249</v>
      </c>
      <c r="B579" t="s">
        <v>11238</v>
      </c>
      <c r="C579" t="s">
        <v>11239</v>
      </c>
      <c r="D579">
        <v>2023</v>
      </c>
      <c r="E579" t="s">
        <v>1549</v>
      </c>
      <c r="F579" t="s">
        <v>11250</v>
      </c>
      <c r="G579" t="s">
        <v>10071</v>
      </c>
    </row>
    <row r="580" spans="1:7" x14ac:dyDescent="0.25">
      <c r="A580" t="s">
        <v>11251</v>
      </c>
      <c r="B580" t="s">
        <v>11238</v>
      </c>
      <c r="C580" t="s">
        <v>11239</v>
      </c>
      <c r="D580">
        <v>2023</v>
      </c>
      <c r="E580" t="s">
        <v>1549</v>
      </c>
      <c r="F580" t="s">
        <v>11252</v>
      </c>
    </row>
    <row r="581" spans="1:7" x14ac:dyDescent="0.25">
      <c r="A581" t="s">
        <v>11253</v>
      </c>
      <c r="B581" t="s">
        <v>11238</v>
      </c>
      <c r="C581" t="s">
        <v>11239</v>
      </c>
      <c r="D581">
        <v>2023</v>
      </c>
      <c r="E581" t="s">
        <v>1549</v>
      </c>
      <c r="F581" t="s">
        <v>11254</v>
      </c>
    </row>
    <row r="582" spans="1:7" x14ac:dyDescent="0.25">
      <c r="A582" t="s">
        <v>11255</v>
      </c>
      <c r="B582" t="s">
        <v>11238</v>
      </c>
      <c r="C582" t="s">
        <v>11239</v>
      </c>
      <c r="D582">
        <v>2023</v>
      </c>
      <c r="E582" t="s">
        <v>1549</v>
      </c>
      <c r="F582" t="s">
        <v>11256</v>
      </c>
    </row>
    <row r="583" spans="1:7" x14ac:dyDescent="0.25">
      <c r="A583" t="s">
        <v>11257</v>
      </c>
      <c r="B583" t="s">
        <v>11238</v>
      </c>
      <c r="C583" t="s">
        <v>11239</v>
      </c>
      <c r="D583">
        <v>2023</v>
      </c>
      <c r="E583" t="s">
        <v>1549</v>
      </c>
      <c r="F583" t="s">
        <v>11258</v>
      </c>
    </row>
    <row r="584" spans="1:7" x14ac:dyDescent="0.25">
      <c r="A584" t="s">
        <v>11259</v>
      </c>
      <c r="B584" t="s">
        <v>11238</v>
      </c>
      <c r="C584" t="s">
        <v>11239</v>
      </c>
      <c r="D584">
        <v>2023</v>
      </c>
      <c r="E584" t="s">
        <v>1549</v>
      </c>
      <c r="F584" t="s">
        <v>11260</v>
      </c>
    </row>
    <row r="585" spans="1:7" x14ac:dyDescent="0.25">
      <c r="A585" t="s">
        <v>11261</v>
      </c>
      <c r="B585" t="s">
        <v>11238</v>
      </c>
      <c r="C585" t="s">
        <v>11239</v>
      </c>
      <c r="D585">
        <v>2023</v>
      </c>
      <c r="E585" t="s">
        <v>1549</v>
      </c>
      <c r="F585" t="s">
        <v>11262</v>
      </c>
    </row>
    <row r="586" spans="1:7" x14ac:dyDescent="0.25">
      <c r="A586" t="s">
        <v>11263</v>
      </c>
      <c r="B586" t="s">
        <v>11238</v>
      </c>
      <c r="C586" t="s">
        <v>11239</v>
      </c>
      <c r="D586">
        <v>2023</v>
      </c>
      <c r="E586" t="s">
        <v>1549</v>
      </c>
      <c r="F586" t="s">
        <v>11264</v>
      </c>
    </row>
    <row r="587" spans="1:7" x14ac:dyDescent="0.25">
      <c r="A587" t="s">
        <v>11265</v>
      </c>
      <c r="B587" t="s">
        <v>11238</v>
      </c>
      <c r="C587" t="s">
        <v>11239</v>
      </c>
      <c r="D587">
        <v>2023</v>
      </c>
      <c r="E587" t="s">
        <v>1549</v>
      </c>
      <c r="F587" t="s">
        <v>11266</v>
      </c>
    </row>
    <row r="588" spans="1:7" x14ac:dyDescent="0.25">
      <c r="A588" t="s">
        <v>11267</v>
      </c>
      <c r="B588" t="s">
        <v>11238</v>
      </c>
      <c r="C588" t="s">
        <v>11239</v>
      </c>
      <c r="D588">
        <v>2023</v>
      </c>
      <c r="E588" t="s">
        <v>1549</v>
      </c>
      <c r="F588" t="s">
        <v>11268</v>
      </c>
    </row>
    <row r="589" spans="1:7" x14ac:dyDescent="0.25">
      <c r="A589" t="s">
        <v>11269</v>
      </c>
      <c r="B589" t="s">
        <v>11238</v>
      </c>
      <c r="C589" t="s">
        <v>11239</v>
      </c>
      <c r="D589">
        <v>2023</v>
      </c>
      <c r="E589" t="s">
        <v>1549</v>
      </c>
      <c r="F589" t="s">
        <v>11270</v>
      </c>
    </row>
    <row r="590" spans="1:7" x14ac:dyDescent="0.25">
      <c r="A590" t="s">
        <v>11271</v>
      </c>
      <c r="B590" t="s">
        <v>11238</v>
      </c>
      <c r="C590" t="s">
        <v>11239</v>
      </c>
      <c r="D590">
        <v>2023</v>
      </c>
      <c r="E590" t="s">
        <v>1549</v>
      </c>
      <c r="F590" t="s">
        <v>11272</v>
      </c>
    </row>
    <row r="591" spans="1:7" x14ac:dyDescent="0.25">
      <c r="A591" t="s">
        <v>11273</v>
      </c>
      <c r="B591" t="s">
        <v>11238</v>
      </c>
      <c r="C591" t="s">
        <v>11239</v>
      </c>
      <c r="D591">
        <v>2023</v>
      </c>
      <c r="E591" t="s">
        <v>1549</v>
      </c>
      <c r="F591" t="s">
        <v>11274</v>
      </c>
    </row>
    <row r="592" spans="1:7" x14ac:dyDescent="0.25">
      <c r="A592" t="s">
        <v>11275</v>
      </c>
      <c r="B592" t="s">
        <v>11238</v>
      </c>
      <c r="C592" t="s">
        <v>11239</v>
      </c>
      <c r="D592">
        <v>2023</v>
      </c>
      <c r="E592" t="s">
        <v>1549</v>
      </c>
      <c r="F592" t="s">
        <v>11276</v>
      </c>
    </row>
    <row r="593" spans="1:7" x14ac:dyDescent="0.25">
      <c r="A593" t="s">
        <v>11277</v>
      </c>
      <c r="B593" t="s">
        <v>11238</v>
      </c>
      <c r="C593" t="s">
        <v>11239</v>
      </c>
      <c r="D593">
        <v>2023</v>
      </c>
      <c r="E593" t="s">
        <v>1549</v>
      </c>
      <c r="F593" t="s">
        <v>11278</v>
      </c>
    </row>
    <row r="594" spans="1:7" x14ac:dyDescent="0.25">
      <c r="A594" t="s">
        <v>11279</v>
      </c>
      <c r="B594" t="s">
        <v>11238</v>
      </c>
      <c r="C594" t="s">
        <v>11239</v>
      </c>
      <c r="D594">
        <v>2023</v>
      </c>
      <c r="E594" t="s">
        <v>1549</v>
      </c>
      <c r="F594" t="s">
        <v>11280</v>
      </c>
    </row>
    <row r="595" spans="1:7" x14ac:dyDescent="0.25">
      <c r="A595" t="s">
        <v>11281</v>
      </c>
      <c r="B595" t="s">
        <v>11238</v>
      </c>
      <c r="C595" t="s">
        <v>11239</v>
      </c>
      <c r="D595">
        <v>2023</v>
      </c>
      <c r="E595" t="s">
        <v>1549</v>
      </c>
      <c r="F595" t="s">
        <v>11282</v>
      </c>
    </row>
    <row r="596" spans="1:7" x14ac:dyDescent="0.25">
      <c r="A596" t="s">
        <v>11283</v>
      </c>
      <c r="B596" t="s">
        <v>11238</v>
      </c>
      <c r="C596" t="s">
        <v>11239</v>
      </c>
      <c r="D596">
        <v>2023</v>
      </c>
      <c r="E596" t="s">
        <v>1549</v>
      </c>
      <c r="F596" t="s">
        <v>11284</v>
      </c>
    </row>
    <row r="597" spans="1:7" x14ac:dyDescent="0.25">
      <c r="A597" t="s">
        <v>11285</v>
      </c>
      <c r="B597" t="s">
        <v>11238</v>
      </c>
      <c r="C597" t="s">
        <v>11239</v>
      </c>
      <c r="D597">
        <v>2023</v>
      </c>
      <c r="E597" t="s">
        <v>1549</v>
      </c>
      <c r="F597" t="s">
        <v>11286</v>
      </c>
    </row>
    <row r="598" spans="1:7" x14ac:dyDescent="0.25">
      <c r="A598" t="s">
        <v>11287</v>
      </c>
      <c r="B598" t="s">
        <v>11238</v>
      </c>
      <c r="C598" t="s">
        <v>11239</v>
      </c>
      <c r="D598">
        <v>2023</v>
      </c>
      <c r="E598" t="s">
        <v>1549</v>
      </c>
      <c r="F598" t="s">
        <v>11288</v>
      </c>
    </row>
    <row r="599" spans="1:7" x14ac:dyDescent="0.25">
      <c r="A599" t="s">
        <v>11289</v>
      </c>
      <c r="B599" t="s">
        <v>11238</v>
      </c>
      <c r="C599" t="s">
        <v>11239</v>
      </c>
      <c r="D599">
        <v>2023</v>
      </c>
      <c r="E599" t="s">
        <v>1549</v>
      </c>
      <c r="F599" t="s">
        <v>11290</v>
      </c>
    </row>
    <row r="600" spans="1:7" x14ac:dyDescent="0.25">
      <c r="A600" t="s">
        <v>11291</v>
      </c>
      <c r="B600" t="s">
        <v>11238</v>
      </c>
      <c r="C600" t="s">
        <v>11239</v>
      </c>
      <c r="D600">
        <v>2023</v>
      </c>
      <c r="E600" t="s">
        <v>1549</v>
      </c>
      <c r="F600" t="s">
        <v>11292</v>
      </c>
    </row>
    <row r="601" spans="1:7" x14ac:dyDescent="0.25">
      <c r="A601" t="s">
        <v>11293</v>
      </c>
      <c r="B601" t="s">
        <v>11238</v>
      </c>
      <c r="C601" t="s">
        <v>11239</v>
      </c>
      <c r="D601">
        <v>2023</v>
      </c>
      <c r="E601" t="s">
        <v>1549</v>
      </c>
      <c r="F601" t="s">
        <v>11294</v>
      </c>
    </row>
    <row r="602" spans="1:7" x14ac:dyDescent="0.25">
      <c r="A602" t="s">
        <v>11295</v>
      </c>
      <c r="B602" t="s">
        <v>11238</v>
      </c>
      <c r="C602" t="s">
        <v>11239</v>
      </c>
      <c r="D602">
        <v>2023</v>
      </c>
      <c r="E602" t="s">
        <v>1549</v>
      </c>
      <c r="F602" t="s">
        <v>11296</v>
      </c>
    </row>
    <row r="603" spans="1:7" x14ac:dyDescent="0.25">
      <c r="A603" t="s">
        <v>11297</v>
      </c>
      <c r="B603" t="s">
        <v>11238</v>
      </c>
      <c r="C603" t="s">
        <v>11239</v>
      </c>
      <c r="D603">
        <v>2023</v>
      </c>
      <c r="E603" t="s">
        <v>1549</v>
      </c>
      <c r="F603" t="s">
        <v>11298</v>
      </c>
    </row>
    <row r="604" spans="1:7" x14ac:dyDescent="0.25">
      <c r="A604" t="s">
        <v>11299</v>
      </c>
      <c r="B604" t="s">
        <v>11300</v>
      </c>
      <c r="C604" t="s">
        <v>11301</v>
      </c>
      <c r="D604">
        <v>2021</v>
      </c>
      <c r="E604" t="s">
        <v>1576</v>
      </c>
      <c r="F604" t="s">
        <v>11302</v>
      </c>
      <c r="G604" t="s">
        <v>10071</v>
      </c>
    </row>
    <row r="605" spans="1:7" x14ac:dyDescent="0.25">
      <c r="A605" t="s">
        <v>11303</v>
      </c>
      <c r="B605" t="s">
        <v>11300</v>
      </c>
      <c r="C605" t="s">
        <v>11301</v>
      </c>
      <c r="D605">
        <v>2021</v>
      </c>
      <c r="E605" t="s">
        <v>1576</v>
      </c>
      <c r="F605" t="s">
        <v>11304</v>
      </c>
    </row>
    <row r="606" spans="1:7" x14ac:dyDescent="0.25">
      <c r="A606" t="s">
        <v>11305</v>
      </c>
      <c r="B606" t="s">
        <v>11300</v>
      </c>
      <c r="C606" t="s">
        <v>11301</v>
      </c>
      <c r="D606">
        <v>2021</v>
      </c>
      <c r="E606" t="s">
        <v>1576</v>
      </c>
      <c r="F606" t="s">
        <v>11306</v>
      </c>
    </row>
    <row r="607" spans="1:7" x14ac:dyDescent="0.25">
      <c r="A607" t="s">
        <v>11307</v>
      </c>
      <c r="B607" t="s">
        <v>11300</v>
      </c>
      <c r="C607" t="s">
        <v>11301</v>
      </c>
      <c r="D607">
        <v>2021</v>
      </c>
      <c r="E607" t="s">
        <v>1576</v>
      </c>
      <c r="F607" t="s">
        <v>11308</v>
      </c>
    </row>
    <row r="608" spans="1:7" x14ac:dyDescent="0.25">
      <c r="A608" t="s">
        <v>11309</v>
      </c>
      <c r="B608" t="s">
        <v>11300</v>
      </c>
      <c r="C608" t="s">
        <v>11301</v>
      </c>
      <c r="D608">
        <v>2021</v>
      </c>
      <c r="E608" t="s">
        <v>1576</v>
      </c>
      <c r="F608" t="s">
        <v>11310</v>
      </c>
    </row>
    <row r="609" spans="1:6" x14ac:dyDescent="0.25">
      <c r="A609" t="s">
        <v>11311</v>
      </c>
      <c r="B609" t="s">
        <v>11300</v>
      </c>
      <c r="C609" t="s">
        <v>11301</v>
      </c>
      <c r="D609">
        <v>2021</v>
      </c>
      <c r="E609" t="s">
        <v>1576</v>
      </c>
      <c r="F609" t="s">
        <v>11312</v>
      </c>
    </row>
    <row r="610" spans="1:6" x14ac:dyDescent="0.25">
      <c r="A610" t="s">
        <v>11313</v>
      </c>
      <c r="B610" t="s">
        <v>11300</v>
      </c>
      <c r="C610" t="s">
        <v>11301</v>
      </c>
      <c r="D610">
        <v>2021</v>
      </c>
      <c r="E610" t="s">
        <v>1576</v>
      </c>
      <c r="F610" t="s">
        <v>11314</v>
      </c>
    </row>
    <row r="611" spans="1:6" x14ac:dyDescent="0.25">
      <c r="A611" t="s">
        <v>11315</v>
      </c>
      <c r="B611" t="s">
        <v>11300</v>
      </c>
      <c r="C611" t="s">
        <v>11301</v>
      </c>
      <c r="D611">
        <v>2021</v>
      </c>
      <c r="E611" t="s">
        <v>1576</v>
      </c>
      <c r="F611" t="s">
        <v>11316</v>
      </c>
    </row>
    <row r="612" spans="1:6" x14ac:dyDescent="0.25">
      <c r="A612" t="s">
        <v>11317</v>
      </c>
      <c r="B612" t="s">
        <v>11300</v>
      </c>
      <c r="C612" t="s">
        <v>11301</v>
      </c>
      <c r="D612">
        <v>2021</v>
      </c>
      <c r="E612" t="s">
        <v>1576</v>
      </c>
      <c r="F612" t="s">
        <v>11318</v>
      </c>
    </row>
    <row r="613" spans="1:6" x14ac:dyDescent="0.25">
      <c r="A613" t="s">
        <v>11319</v>
      </c>
      <c r="B613" t="s">
        <v>11300</v>
      </c>
      <c r="C613" t="s">
        <v>11301</v>
      </c>
      <c r="D613">
        <v>2021</v>
      </c>
      <c r="E613" t="s">
        <v>1576</v>
      </c>
      <c r="F613" t="s">
        <v>11320</v>
      </c>
    </row>
    <row r="614" spans="1:6" x14ac:dyDescent="0.25">
      <c r="A614" t="s">
        <v>11321</v>
      </c>
      <c r="B614" t="s">
        <v>11300</v>
      </c>
      <c r="C614" t="s">
        <v>11301</v>
      </c>
      <c r="D614">
        <v>2021</v>
      </c>
      <c r="E614" t="s">
        <v>1576</v>
      </c>
      <c r="F614" t="s">
        <v>11322</v>
      </c>
    </row>
    <row r="615" spans="1:6" x14ac:dyDescent="0.25">
      <c r="A615" t="s">
        <v>11323</v>
      </c>
      <c r="B615" t="s">
        <v>11300</v>
      </c>
      <c r="C615" t="s">
        <v>11301</v>
      </c>
      <c r="D615">
        <v>2021</v>
      </c>
      <c r="E615" t="s">
        <v>1576</v>
      </c>
      <c r="F615" t="s">
        <v>11324</v>
      </c>
    </row>
    <row r="616" spans="1:6" x14ac:dyDescent="0.25">
      <c r="A616" t="s">
        <v>11325</v>
      </c>
      <c r="B616" t="s">
        <v>11300</v>
      </c>
      <c r="C616" t="s">
        <v>11301</v>
      </c>
      <c r="D616">
        <v>2021</v>
      </c>
      <c r="E616" t="s">
        <v>1576</v>
      </c>
      <c r="F616" t="s">
        <v>11326</v>
      </c>
    </row>
    <row r="617" spans="1:6" x14ac:dyDescent="0.25">
      <c r="A617" t="s">
        <v>11327</v>
      </c>
      <c r="B617" t="s">
        <v>11300</v>
      </c>
      <c r="C617" t="s">
        <v>11301</v>
      </c>
      <c r="D617">
        <v>2021</v>
      </c>
      <c r="E617" t="s">
        <v>1576</v>
      </c>
      <c r="F617" t="s">
        <v>11328</v>
      </c>
    </row>
    <row r="618" spans="1:6" x14ac:dyDescent="0.25">
      <c r="A618" t="s">
        <v>11329</v>
      </c>
      <c r="B618" t="s">
        <v>11300</v>
      </c>
      <c r="C618" t="s">
        <v>11301</v>
      </c>
      <c r="D618">
        <v>2021</v>
      </c>
      <c r="E618" t="s">
        <v>1576</v>
      </c>
      <c r="F618" t="s">
        <v>11330</v>
      </c>
    </row>
    <row r="619" spans="1:6" x14ac:dyDescent="0.25">
      <c r="A619" t="s">
        <v>11331</v>
      </c>
      <c r="B619" t="s">
        <v>11300</v>
      </c>
      <c r="C619" t="s">
        <v>11301</v>
      </c>
      <c r="D619">
        <v>2021</v>
      </c>
      <c r="E619" t="s">
        <v>1576</v>
      </c>
      <c r="F619" t="s">
        <v>11332</v>
      </c>
    </row>
    <row r="620" spans="1:6" x14ac:dyDescent="0.25">
      <c r="A620" t="s">
        <v>11333</v>
      </c>
      <c r="B620" t="s">
        <v>11300</v>
      </c>
      <c r="C620" t="s">
        <v>11301</v>
      </c>
      <c r="D620">
        <v>2021</v>
      </c>
      <c r="E620" t="s">
        <v>1576</v>
      </c>
      <c r="F620" t="s">
        <v>11334</v>
      </c>
    </row>
    <row r="621" spans="1:6" x14ac:dyDescent="0.25">
      <c r="A621" t="s">
        <v>11335</v>
      </c>
      <c r="B621" t="s">
        <v>11300</v>
      </c>
      <c r="C621" t="s">
        <v>11301</v>
      </c>
      <c r="D621">
        <v>2021</v>
      </c>
      <c r="E621" t="s">
        <v>1576</v>
      </c>
      <c r="F621" t="s">
        <v>11336</v>
      </c>
    </row>
    <row r="622" spans="1:6" x14ac:dyDescent="0.25">
      <c r="A622" t="s">
        <v>11337</v>
      </c>
      <c r="B622" t="s">
        <v>11300</v>
      </c>
      <c r="C622" t="s">
        <v>11301</v>
      </c>
      <c r="D622">
        <v>2021</v>
      </c>
      <c r="E622" t="s">
        <v>1576</v>
      </c>
      <c r="F622" t="s">
        <v>11338</v>
      </c>
    </row>
    <row r="623" spans="1:6" x14ac:dyDescent="0.25">
      <c r="A623" t="s">
        <v>11339</v>
      </c>
      <c r="B623" t="s">
        <v>11300</v>
      </c>
      <c r="C623" t="s">
        <v>11301</v>
      </c>
      <c r="D623">
        <v>2021</v>
      </c>
      <c r="E623" t="s">
        <v>1576</v>
      </c>
      <c r="F623" t="s">
        <v>11340</v>
      </c>
    </row>
    <row r="624" spans="1:6" x14ac:dyDescent="0.25">
      <c r="A624" t="s">
        <v>11341</v>
      </c>
      <c r="B624" t="s">
        <v>11300</v>
      </c>
      <c r="C624" t="s">
        <v>11301</v>
      </c>
      <c r="D624">
        <v>2021</v>
      </c>
      <c r="E624" t="s">
        <v>1576</v>
      </c>
      <c r="F624" t="s">
        <v>11342</v>
      </c>
    </row>
    <row r="625" spans="1:7" x14ac:dyDescent="0.25">
      <c r="A625" t="s">
        <v>11343</v>
      </c>
      <c r="B625" t="s">
        <v>11300</v>
      </c>
      <c r="C625" t="s">
        <v>11301</v>
      </c>
      <c r="D625">
        <v>2021</v>
      </c>
      <c r="E625" t="s">
        <v>1576</v>
      </c>
      <c r="F625" t="s">
        <v>11344</v>
      </c>
    </row>
    <row r="626" spans="1:7" x14ac:dyDescent="0.25">
      <c r="A626" t="s">
        <v>11345</v>
      </c>
      <c r="B626" t="s">
        <v>11346</v>
      </c>
      <c r="C626" t="s">
        <v>11347</v>
      </c>
      <c r="D626">
        <v>2025</v>
      </c>
      <c r="E626" t="s">
        <v>1621</v>
      </c>
      <c r="F626" t="s">
        <v>11348</v>
      </c>
      <c r="G626" t="s">
        <v>10071</v>
      </c>
    </row>
    <row r="627" spans="1:7" x14ac:dyDescent="0.25">
      <c r="A627" t="s">
        <v>11349</v>
      </c>
      <c r="B627" t="s">
        <v>11346</v>
      </c>
      <c r="C627" t="s">
        <v>11347</v>
      </c>
      <c r="D627">
        <v>2025</v>
      </c>
      <c r="E627" t="s">
        <v>1621</v>
      </c>
      <c r="F627" t="s">
        <v>11350</v>
      </c>
    </row>
    <row r="628" spans="1:7" x14ac:dyDescent="0.25">
      <c r="A628" t="s">
        <v>11351</v>
      </c>
      <c r="B628" t="s">
        <v>11346</v>
      </c>
      <c r="C628" t="s">
        <v>11347</v>
      </c>
      <c r="D628">
        <v>2025</v>
      </c>
      <c r="E628" t="s">
        <v>1621</v>
      </c>
      <c r="F628" t="s">
        <v>11352</v>
      </c>
    </row>
    <row r="629" spans="1:7" x14ac:dyDescent="0.25">
      <c r="A629" t="s">
        <v>11353</v>
      </c>
      <c r="B629" t="s">
        <v>11346</v>
      </c>
      <c r="C629" t="s">
        <v>11347</v>
      </c>
      <c r="D629">
        <v>2025</v>
      </c>
      <c r="E629" t="s">
        <v>1621</v>
      </c>
      <c r="F629" t="s">
        <v>11354</v>
      </c>
    </row>
    <row r="630" spans="1:7" x14ac:dyDescent="0.25">
      <c r="A630" t="s">
        <v>11355</v>
      </c>
      <c r="B630" t="s">
        <v>11346</v>
      </c>
      <c r="C630" t="s">
        <v>11347</v>
      </c>
      <c r="D630">
        <v>2025</v>
      </c>
      <c r="E630" t="s">
        <v>1621</v>
      </c>
      <c r="F630" t="s">
        <v>11356</v>
      </c>
    </row>
    <row r="631" spans="1:7" x14ac:dyDescent="0.25">
      <c r="A631" t="s">
        <v>11357</v>
      </c>
      <c r="B631" t="s">
        <v>11346</v>
      </c>
      <c r="C631" t="s">
        <v>11347</v>
      </c>
      <c r="D631">
        <v>2025</v>
      </c>
      <c r="E631" t="s">
        <v>1621</v>
      </c>
      <c r="F631" t="s">
        <v>11358</v>
      </c>
    </row>
    <row r="632" spans="1:7" x14ac:dyDescent="0.25">
      <c r="A632" t="s">
        <v>11359</v>
      </c>
      <c r="B632" t="s">
        <v>11346</v>
      </c>
      <c r="C632" t="s">
        <v>11347</v>
      </c>
      <c r="D632">
        <v>2025</v>
      </c>
      <c r="E632" t="s">
        <v>1621</v>
      </c>
      <c r="F632" t="s">
        <v>11360</v>
      </c>
    </row>
    <row r="633" spans="1:7" x14ac:dyDescent="0.25">
      <c r="A633" t="s">
        <v>11361</v>
      </c>
      <c r="B633" t="s">
        <v>11346</v>
      </c>
      <c r="C633" t="s">
        <v>11347</v>
      </c>
      <c r="D633">
        <v>2025</v>
      </c>
      <c r="E633" t="s">
        <v>1621</v>
      </c>
      <c r="F633" t="s">
        <v>11362</v>
      </c>
    </row>
    <row r="634" spans="1:7" x14ac:dyDescent="0.25">
      <c r="A634" t="s">
        <v>11363</v>
      </c>
      <c r="B634" t="s">
        <v>11346</v>
      </c>
      <c r="C634" t="s">
        <v>11347</v>
      </c>
      <c r="D634">
        <v>2025</v>
      </c>
      <c r="E634" t="s">
        <v>1621</v>
      </c>
      <c r="F634" t="s">
        <v>11364</v>
      </c>
    </row>
    <row r="635" spans="1:7" x14ac:dyDescent="0.25">
      <c r="A635" t="s">
        <v>11365</v>
      </c>
      <c r="B635" t="s">
        <v>11346</v>
      </c>
      <c r="C635" t="s">
        <v>11347</v>
      </c>
      <c r="D635">
        <v>2025</v>
      </c>
      <c r="E635" t="s">
        <v>1621</v>
      </c>
      <c r="F635" t="s">
        <v>11366</v>
      </c>
    </row>
    <row r="636" spans="1:7" x14ac:dyDescent="0.25">
      <c r="A636" t="s">
        <v>11367</v>
      </c>
      <c r="B636" t="s">
        <v>11346</v>
      </c>
      <c r="C636" t="s">
        <v>11347</v>
      </c>
      <c r="D636">
        <v>2025</v>
      </c>
      <c r="E636" t="s">
        <v>1621</v>
      </c>
      <c r="F636" t="s">
        <v>11368</v>
      </c>
    </row>
    <row r="637" spans="1:7" x14ac:dyDescent="0.25">
      <c r="A637" t="s">
        <v>11369</v>
      </c>
      <c r="B637" t="s">
        <v>11346</v>
      </c>
      <c r="C637" t="s">
        <v>11347</v>
      </c>
      <c r="D637">
        <v>2025</v>
      </c>
      <c r="E637" t="s">
        <v>1621</v>
      </c>
      <c r="F637" t="s">
        <v>11370</v>
      </c>
    </row>
    <row r="638" spans="1:7" x14ac:dyDescent="0.25">
      <c r="A638" t="s">
        <v>11371</v>
      </c>
      <c r="B638" t="s">
        <v>11346</v>
      </c>
      <c r="C638" t="s">
        <v>11347</v>
      </c>
      <c r="D638">
        <v>2025</v>
      </c>
      <c r="E638" t="s">
        <v>1621</v>
      </c>
      <c r="F638" t="s">
        <v>11372</v>
      </c>
    </row>
    <row r="639" spans="1:7" x14ac:dyDescent="0.25">
      <c r="A639" t="s">
        <v>11373</v>
      </c>
      <c r="B639" t="s">
        <v>11346</v>
      </c>
      <c r="C639" t="s">
        <v>11347</v>
      </c>
      <c r="D639">
        <v>2025</v>
      </c>
      <c r="E639" t="s">
        <v>1621</v>
      </c>
      <c r="F639" t="s">
        <v>11374</v>
      </c>
    </row>
    <row r="640" spans="1:7" x14ac:dyDescent="0.25">
      <c r="A640" t="s">
        <v>11375</v>
      </c>
      <c r="B640" t="s">
        <v>11346</v>
      </c>
      <c r="C640" t="s">
        <v>11347</v>
      </c>
      <c r="D640">
        <v>2025</v>
      </c>
      <c r="E640" t="s">
        <v>1621</v>
      </c>
      <c r="F640" t="s">
        <v>11376</v>
      </c>
    </row>
    <row r="641" spans="1:6" x14ac:dyDescent="0.25">
      <c r="A641" t="s">
        <v>11377</v>
      </c>
      <c r="B641" t="s">
        <v>11346</v>
      </c>
      <c r="C641" t="s">
        <v>11347</v>
      </c>
      <c r="D641">
        <v>2025</v>
      </c>
      <c r="E641" t="s">
        <v>1621</v>
      </c>
      <c r="F641" t="s">
        <v>11378</v>
      </c>
    </row>
    <row r="642" spans="1:6" x14ac:dyDescent="0.25">
      <c r="A642" t="s">
        <v>11379</v>
      </c>
      <c r="B642" t="s">
        <v>11346</v>
      </c>
      <c r="C642" t="s">
        <v>11347</v>
      </c>
      <c r="D642">
        <v>2025</v>
      </c>
      <c r="E642" t="s">
        <v>1621</v>
      </c>
      <c r="F642" t="s">
        <v>11380</v>
      </c>
    </row>
    <row r="643" spans="1:6" x14ac:dyDescent="0.25">
      <c r="A643" t="s">
        <v>11381</v>
      </c>
      <c r="B643" t="s">
        <v>11346</v>
      </c>
      <c r="C643" t="s">
        <v>11347</v>
      </c>
      <c r="D643">
        <v>2025</v>
      </c>
      <c r="E643" t="s">
        <v>1621</v>
      </c>
      <c r="F643" t="s">
        <v>11382</v>
      </c>
    </row>
    <row r="644" spans="1:6" x14ac:dyDescent="0.25">
      <c r="A644" t="s">
        <v>11383</v>
      </c>
      <c r="B644" t="s">
        <v>11346</v>
      </c>
      <c r="C644" t="s">
        <v>11347</v>
      </c>
      <c r="D644">
        <v>2025</v>
      </c>
      <c r="E644" t="s">
        <v>1621</v>
      </c>
      <c r="F644" t="s">
        <v>11384</v>
      </c>
    </row>
    <row r="645" spans="1:6" x14ac:dyDescent="0.25">
      <c r="A645" t="s">
        <v>11385</v>
      </c>
      <c r="B645" t="s">
        <v>11346</v>
      </c>
      <c r="C645" t="s">
        <v>11347</v>
      </c>
      <c r="D645">
        <v>2025</v>
      </c>
      <c r="E645" t="s">
        <v>1621</v>
      </c>
      <c r="F645" t="s">
        <v>11386</v>
      </c>
    </row>
    <row r="646" spans="1:6" x14ac:dyDescent="0.25">
      <c r="A646" t="s">
        <v>11387</v>
      </c>
      <c r="B646" t="s">
        <v>11346</v>
      </c>
      <c r="C646" t="s">
        <v>11347</v>
      </c>
      <c r="D646">
        <v>2025</v>
      </c>
      <c r="E646" t="s">
        <v>1621</v>
      </c>
      <c r="F646" t="s">
        <v>11388</v>
      </c>
    </row>
    <row r="647" spans="1:6" x14ac:dyDescent="0.25">
      <c r="A647" t="s">
        <v>11389</v>
      </c>
      <c r="B647" t="s">
        <v>11346</v>
      </c>
      <c r="C647" t="s">
        <v>11347</v>
      </c>
      <c r="D647">
        <v>2025</v>
      </c>
      <c r="E647" t="s">
        <v>1621</v>
      </c>
      <c r="F647" t="s">
        <v>11390</v>
      </c>
    </row>
    <row r="648" spans="1:6" x14ac:dyDescent="0.25">
      <c r="A648" t="s">
        <v>11391</v>
      </c>
      <c r="B648" t="s">
        <v>11346</v>
      </c>
      <c r="C648" t="s">
        <v>11347</v>
      </c>
      <c r="D648">
        <v>2025</v>
      </c>
      <c r="E648" t="s">
        <v>1621</v>
      </c>
      <c r="F648" t="s">
        <v>11392</v>
      </c>
    </row>
    <row r="649" spans="1:6" x14ac:dyDescent="0.25">
      <c r="A649" t="s">
        <v>11393</v>
      </c>
      <c r="B649" t="s">
        <v>11346</v>
      </c>
      <c r="C649" t="s">
        <v>11347</v>
      </c>
      <c r="D649">
        <v>2025</v>
      </c>
      <c r="E649" t="s">
        <v>1621</v>
      </c>
      <c r="F649" t="s">
        <v>11394</v>
      </c>
    </row>
    <row r="650" spans="1:6" x14ac:dyDescent="0.25">
      <c r="A650" t="s">
        <v>11395</v>
      </c>
      <c r="B650" t="s">
        <v>11346</v>
      </c>
      <c r="C650" t="s">
        <v>11347</v>
      </c>
      <c r="D650">
        <v>2025</v>
      </c>
      <c r="E650" t="s">
        <v>1621</v>
      </c>
      <c r="F650" t="s">
        <v>11396</v>
      </c>
    </row>
    <row r="651" spans="1:6" x14ac:dyDescent="0.25">
      <c r="A651" t="s">
        <v>11397</v>
      </c>
      <c r="B651" t="s">
        <v>11346</v>
      </c>
      <c r="C651" t="s">
        <v>11347</v>
      </c>
      <c r="D651">
        <v>2025</v>
      </c>
      <c r="E651" t="s">
        <v>1621</v>
      </c>
      <c r="F651" t="s">
        <v>11398</v>
      </c>
    </row>
    <row r="652" spans="1:6" x14ac:dyDescent="0.25">
      <c r="A652" t="s">
        <v>11399</v>
      </c>
      <c r="B652" t="s">
        <v>11400</v>
      </c>
      <c r="C652" t="s">
        <v>11401</v>
      </c>
      <c r="D652">
        <v>2026</v>
      </c>
      <c r="E652" t="s">
        <v>1649</v>
      </c>
      <c r="F652" t="s">
        <v>11402</v>
      </c>
    </row>
    <row r="653" spans="1:6" x14ac:dyDescent="0.25">
      <c r="A653" t="s">
        <v>11403</v>
      </c>
      <c r="B653" t="s">
        <v>11400</v>
      </c>
      <c r="C653" t="s">
        <v>11401</v>
      </c>
      <c r="D653">
        <v>2026</v>
      </c>
      <c r="E653" t="s">
        <v>1649</v>
      </c>
      <c r="F653" t="s">
        <v>11404</v>
      </c>
    </row>
    <row r="654" spans="1:6" x14ac:dyDescent="0.25">
      <c r="A654" t="s">
        <v>11405</v>
      </c>
      <c r="B654" t="s">
        <v>11400</v>
      </c>
      <c r="C654" t="s">
        <v>11401</v>
      </c>
      <c r="D654">
        <v>2026</v>
      </c>
      <c r="E654" t="s">
        <v>1649</v>
      </c>
      <c r="F654" t="s">
        <v>11406</v>
      </c>
    </row>
    <row r="655" spans="1:6" x14ac:dyDescent="0.25">
      <c r="A655" t="s">
        <v>11407</v>
      </c>
      <c r="B655" t="s">
        <v>11400</v>
      </c>
      <c r="C655" t="s">
        <v>11401</v>
      </c>
      <c r="D655">
        <v>2026</v>
      </c>
      <c r="E655" t="s">
        <v>1649</v>
      </c>
      <c r="F655" t="s">
        <v>11408</v>
      </c>
    </row>
    <row r="656" spans="1:6" x14ac:dyDescent="0.25">
      <c r="A656" t="s">
        <v>11409</v>
      </c>
      <c r="B656" t="s">
        <v>11400</v>
      </c>
      <c r="C656" t="s">
        <v>11401</v>
      </c>
      <c r="D656">
        <v>2026</v>
      </c>
      <c r="E656" t="s">
        <v>1649</v>
      </c>
      <c r="F656" t="s">
        <v>11410</v>
      </c>
    </row>
    <row r="657" spans="1:6" x14ac:dyDescent="0.25">
      <c r="A657" t="s">
        <v>11411</v>
      </c>
      <c r="B657" t="s">
        <v>11400</v>
      </c>
      <c r="C657" t="s">
        <v>11401</v>
      </c>
      <c r="D657">
        <v>2026</v>
      </c>
      <c r="E657" t="s">
        <v>1649</v>
      </c>
      <c r="F657" t="s">
        <v>11412</v>
      </c>
    </row>
    <row r="658" spans="1:6" x14ac:dyDescent="0.25">
      <c r="A658" t="s">
        <v>11413</v>
      </c>
      <c r="B658" t="s">
        <v>11400</v>
      </c>
      <c r="C658" t="s">
        <v>11401</v>
      </c>
      <c r="D658">
        <v>2026</v>
      </c>
      <c r="E658" t="s">
        <v>1649</v>
      </c>
      <c r="F658" t="s">
        <v>11414</v>
      </c>
    </row>
    <row r="659" spans="1:6" x14ac:dyDescent="0.25">
      <c r="A659" t="s">
        <v>11415</v>
      </c>
      <c r="B659" t="s">
        <v>11400</v>
      </c>
      <c r="C659" t="s">
        <v>11401</v>
      </c>
      <c r="D659">
        <v>2026</v>
      </c>
      <c r="E659" t="s">
        <v>1649</v>
      </c>
      <c r="F659" t="s">
        <v>11416</v>
      </c>
    </row>
    <row r="660" spans="1:6" x14ac:dyDescent="0.25">
      <c r="A660" t="s">
        <v>11417</v>
      </c>
      <c r="B660" t="s">
        <v>11400</v>
      </c>
      <c r="C660" t="s">
        <v>11401</v>
      </c>
      <c r="D660">
        <v>2026</v>
      </c>
      <c r="E660" t="s">
        <v>1649</v>
      </c>
      <c r="F660" t="s">
        <v>11418</v>
      </c>
    </row>
    <row r="661" spans="1:6" x14ac:dyDescent="0.25">
      <c r="A661" t="s">
        <v>11419</v>
      </c>
      <c r="B661" t="s">
        <v>11400</v>
      </c>
      <c r="C661" t="s">
        <v>11401</v>
      </c>
      <c r="D661">
        <v>2026</v>
      </c>
      <c r="E661" t="s">
        <v>1649</v>
      </c>
      <c r="F661" t="s">
        <v>11420</v>
      </c>
    </row>
    <row r="662" spans="1:6" x14ac:dyDescent="0.25">
      <c r="A662" t="s">
        <v>11421</v>
      </c>
      <c r="B662" t="s">
        <v>11400</v>
      </c>
      <c r="C662" t="s">
        <v>11401</v>
      </c>
      <c r="D662">
        <v>2026</v>
      </c>
      <c r="E662" t="s">
        <v>1649</v>
      </c>
      <c r="F662" t="s">
        <v>11422</v>
      </c>
    </row>
    <row r="663" spans="1:6" x14ac:dyDescent="0.25">
      <c r="A663" t="s">
        <v>11423</v>
      </c>
      <c r="B663" t="s">
        <v>11400</v>
      </c>
      <c r="C663" t="s">
        <v>11401</v>
      </c>
      <c r="D663">
        <v>2026</v>
      </c>
      <c r="E663" t="s">
        <v>1649</v>
      </c>
      <c r="F663" t="s">
        <v>11424</v>
      </c>
    </row>
    <row r="664" spans="1:6" x14ac:dyDescent="0.25">
      <c r="A664" t="s">
        <v>11425</v>
      </c>
      <c r="B664" t="s">
        <v>11400</v>
      </c>
      <c r="C664" t="s">
        <v>11401</v>
      </c>
      <c r="D664">
        <v>2026</v>
      </c>
      <c r="E664" t="s">
        <v>1649</v>
      </c>
      <c r="F664" t="s">
        <v>11426</v>
      </c>
    </row>
    <row r="665" spans="1:6" x14ac:dyDescent="0.25">
      <c r="A665" t="s">
        <v>11427</v>
      </c>
      <c r="B665" t="s">
        <v>11400</v>
      </c>
      <c r="C665" t="s">
        <v>11401</v>
      </c>
      <c r="D665">
        <v>2026</v>
      </c>
      <c r="E665" t="s">
        <v>1649</v>
      </c>
      <c r="F665" t="s">
        <v>11428</v>
      </c>
    </row>
    <row r="666" spans="1:6" x14ac:dyDescent="0.25">
      <c r="A666" t="s">
        <v>3958</v>
      </c>
      <c r="B666" t="s">
        <v>11400</v>
      </c>
      <c r="C666" t="s">
        <v>11401</v>
      </c>
      <c r="D666">
        <v>2026</v>
      </c>
      <c r="E666" t="s">
        <v>1649</v>
      </c>
      <c r="F666" t="s">
        <v>11429</v>
      </c>
    </row>
    <row r="667" spans="1:6" x14ac:dyDescent="0.25">
      <c r="A667" t="s">
        <v>11430</v>
      </c>
      <c r="B667" t="s">
        <v>11400</v>
      </c>
      <c r="C667" t="s">
        <v>11401</v>
      </c>
      <c r="D667">
        <v>2026</v>
      </c>
      <c r="E667" t="s">
        <v>1649</v>
      </c>
      <c r="F667" t="s">
        <v>11431</v>
      </c>
    </row>
    <row r="668" spans="1:6" x14ac:dyDescent="0.25">
      <c r="A668" t="s">
        <v>11432</v>
      </c>
      <c r="B668" t="s">
        <v>11400</v>
      </c>
      <c r="C668" t="s">
        <v>11401</v>
      </c>
      <c r="D668">
        <v>2026</v>
      </c>
      <c r="E668" t="s">
        <v>1649</v>
      </c>
      <c r="F668" t="s">
        <v>11433</v>
      </c>
    </row>
    <row r="669" spans="1:6" x14ac:dyDescent="0.25">
      <c r="A669" t="s">
        <v>11434</v>
      </c>
      <c r="B669" t="s">
        <v>11400</v>
      </c>
      <c r="C669" t="s">
        <v>11401</v>
      </c>
      <c r="D669">
        <v>2026</v>
      </c>
      <c r="E669" t="s">
        <v>1649</v>
      </c>
      <c r="F669" t="s">
        <v>11435</v>
      </c>
    </row>
    <row r="670" spans="1:6" x14ac:dyDescent="0.25">
      <c r="A670" t="s">
        <v>11436</v>
      </c>
      <c r="B670" t="s">
        <v>11400</v>
      </c>
      <c r="C670" t="s">
        <v>11401</v>
      </c>
      <c r="D670">
        <v>2026</v>
      </c>
      <c r="E670" t="s">
        <v>1649</v>
      </c>
      <c r="F670" t="s">
        <v>11437</v>
      </c>
    </row>
    <row r="671" spans="1:6" x14ac:dyDescent="0.25">
      <c r="A671" t="s">
        <v>11438</v>
      </c>
      <c r="B671" t="s">
        <v>11400</v>
      </c>
      <c r="C671" t="s">
        <v>11401</v>
      </c>
      <c r="D671">
        <v>2026</v>
      </c>
      <c r="E671" t="s">
        <v>1649</v>
      </c>
      <c r="F671" t="s">
        <v>11439</v>
      </c>
    </row>
    <row r="672" spans="1:6" x14ac:dyDescent="0.25">
      <c r="A672" t="s">
        <v>11440</v>
      </c>
      <c r="B672" t="s">
        <v>11400</v>
      </c>
      <c r="C672" t="s">
        <v>11401</v>
      </c>
      <c r="D672">
        <v>2026</v>
      </c>
      <c r="E672" t="s">
        <v>1649</v>
      </c>
      <c r="F672" t="s">
        <v>11441</v>
      </c>
    </row>
    <row r="673" spans="1:6" x14ac:dyDescent="0.25">
      <c r="A673" t="s">
        <v>4385</v>
      </c>
      <c r="B673" t="s">
        <v>11400</v>
      </c>
      <c r="C673" t="s">
        <v>11401</v>
      </c>
      <c r="D673">
        <v>2026</v>
      </c>
      <c r="E673" t="s">
        <v>1649</v>
      </c>
      <c r="F673" t="s">
        <v>11442</v>
      </c>
    </row>
    <row r="674" spans="1:6" x14ac:dyDescent="0.25">
      <c r="A674" t="s">
        <v>11443</v>
      </c>
      <c r="B674" t="s">
        <v>11400</v>
      </c>
      <c r="C674" t="s">
        <v>11401</v>
      </c>
      <c r="D674">
        <v>2026</v>
      </c>
      <c r="E674" t="s">
        <v>1649</v>
      </c>
      <c r="F674" t="s">
        <v>11444</v>
      </c>
    </row>
    <row r="675" spans="1:6" x14ac:dyDescent="0.25">
      <c r="A675" t="s">
        <v>11445</v>
      </c>
      <c r="B675" t="s">
        <v>11400</v>
      </c>
      <c r="C675" t="s">
        <v>11401</v>
      </c>
      <c r="D675">
        <v>2026</v>
      </c>
      <c r="E675" t="s">
        <v>1649</v>
      </c>
      <c r="F675" t="s">
        <v>11446</v>
      </c>
    </row>
    <row r="676" spans="1:6" x14ac:dyDescent="0.25">
      <c r="A676" t="s">
        <v>11447</v>
      </c>
      <c r="B676" t="s">
        <v>11400</v>
      </c>
      <c r="C676" t="s">
        <v>11401</v>
      </c>
      <c r="D676">
        <v>2026</v>
      </c>
      <c r="E676" t="s">
        <v>1649</v>
      </c>
      <c r="F676" t="s">
        <v>11448</v>
      </c>
    </row>
    <row r="677" spans="1:6" x14ac:dyDescent="0.25">
      <c r="A677" t="s">
        <v>11449</v>
      </c>
      <c r="B677" t="s">
        <v>11400</v>
      </c>
      <c r="C677" t="s">
        <v>11401</v>
      </c>
      <c r="D677">
        <v>2026</v>
      </c>
      <c r="E677" t="s">
        <v>1649</v>
      </c>
      <c r="F677" t="s">
        <v>11450</v>
      </c>
    </row>
    <row r="678" spans="1:6" x14ac:dyDescent="0.25">
      <c r="A678" t="s">
        <v>11451</v>
      </c>
      <c r="B678" t="s">
        <v>11400</v>
      </c>
      <c r="C678" t="s">
        <v>11401</v>
      </c>
      <c r="D678">
        <v>2026</v>
      </c>
      <c r="E678" t="s">
        <v>1649</v>
      </c>
      <c r="F678" t="s">
        <v>11452</v>
      </c>
    </row>
    <row r="679" spans="1:6" x14ac:dyDescent="0.25">
      <c r="A679" t="s">
        <v>11453</v>
      </c>
      <c r="B679" t="s">
        <v>11400</v>
      </c>
      <c r="C679" t="s">
        <v>11401</v>
      </c>
      <c r="D679">
        <v>2026</v>
      </c>
      <c r="E679" t="s">
        <v>1649</v>
      </c>
      <c r="F679" t="s">
        <v>11454</v>
      </c>
    </row>
    <row r="680" spans="1:6" x14ac:dyDescent="0.25">
      <c r="A680" t="s">
        <v>11455</v>
      </c>
      <c r="B680" t="s">
        <v>11400</v>
      </c>
      <c r="C680" t="s">
        <v>11401</v>
      </c>
      <c r="D680">
        <v>2026</v>
      </c>
      <c r="E680" t="s">
        <v>1649</v>
      </c>
      <c r="F680" t="s">
        <v>11456</v>
      </c>
    </row>
    <row r="681" spans="1:6" x14ac:dyDescent="0.25">
      <c r="A681" t="s">
        <v>11457</v>
      </c>
      <c r="B681" t="s">
        <v>11400</v>
      </c>
      <c r="C681" t="s">
        <v>11401</v>
      </c>
      <c r="D681">
        <v>2026</v>
      </c>
      <c r="E681" t="s">
        <v>1649</v>
      </c>
      <c r="F681" t="s">
        <v>11458</v>
      </c>
    </row>
    <row r="682" spans="1:6" x14ac:dyDescent="0.25">
      <c r="A682" t="s">
        <v>11459</v>
      </c>
      <c r="B682" t="s">
        <v>11400</v>
      </c>
      <c r="C682" t="s">
        <v>11401</v>
      </c>
      <c r="D682">
        <v>2026</v>
      </c>
      <c r="E682" t="s">
        <v>1649</v>
      </c>
      <c r="F682" t="s">
        <v>11460</v>
      </c>
    </row>
    <row r="683" spans="1:6" x14ac:dyDescent="0.25">
      <c r="A683" t="s">
        <v>11461</v>
      </c>
      <c r="B683" t="s">
        <v>11400</v>
      </c>
      <c r="C683" t="s">
        <v>11401</v>
      </c>
      <c r="D683">
        <v>2026</v>
      </c>
      <c r="E683" t="s">
        <v>1649</v>
      </c>
      <c r="F683" t="s">
        <v>11462</v>
      </c>
    </row>
    <row r="684" spans="1:6" x14ac:dyDescent="0.25">
      <c r="A684" t="s">
        <v>11463</v>
      </c>
      <c r="B684" t="s">
        <v>11400</v>
      </c>
      <c r="C684" t="s">
        <v>11401</v>
      </c>
      <c r="D684">
        <v>2026</v>
      </c>
      <c r="E684" t="s">
        <v>1649</v>
      </c>
      <c r="F684" t="s">
        <v>11464</v>
      </c>
    </row>
    <row r="685" spans="1:6" x14ac:dyDescent="0.25">
      <c r="A685" t="s">
        <v>11465</v>
      </c>
      <c r="B685" t="s">
        <v>11400</v>
      </c>
      <c r="C685" t="s">
        <v>11401</v>
      </c>
      <c r="D685">
        <v>2026</v>
      </c>
      <c r="E685" t="s">
        <v>1649</v>
      </c>
      <c r="F685" t="s">
        <v>11466</v>
      </c>
    </row>
    <row r="686" spans="1:6" x14ac:dyDescent="0.25">
      <c r="A686" t="s">
        <v>11467</v>
      </c>
      <c r="B686" t="s">
        <v>11400</v>
      </c>
      <c r="C686" t="s">
        <v>11401</v>
      </c>
      <c r="D686">
        <v>2026</v>
      </c>
      <c r="E686" t="s">
        <v>1649</v>
      </c>
      <c r="F686" t="s">
        <v>11468</v>
      </c>
    </row>
    <row r="687" spans="1:6" x14ac:dyDescent="0.25">
      <c r="A687" t="s">
        <v>11469</v>
      </c>
      <c r="B687" t="s">
        <v>11400</v>
      </c>
      <c r="C687" t="s">
        <v>11401</v>
      </c>
      <c r="D687">
        <v>2026</v>
      </c>
      <c r="E687" t="s">
        <v>1649</v>
      </c>
      <c r="F687" t="s">
        <v>11470</v>
      </c>
    </row>
    <row r="688" spans="1:6" x14ac:dyDescent="0.25">
      <c r="A688" t="s">
        <v>11471</v>
      </c>
      <c r="B688" t="s">
        <v>11400</v>
      </c>
      <c r="C688" t="s">
        <v>11401</v>
      </c>
      <c r="D688">
        <v>2026</v>
      </c>
      <c r="E688" t="s">
        <v>1649</v>
      </c>
      <c r="F688" t="s">
        <v>11472</v>
      </c>
    </row>
    <row r="689" spans="1:7" x14ac:dyDescent="0.25">
      <c r="A689" t="s">
        <v>11473</v>
      </c>
      <c r="B689" t="s">
        <v>11400</v>
      </c>
      <c r="C689" t="s">
        <v>11401</v>
      </c>
      <c r="D689">
        <v>2026</v>
      </c>
      <c r="E689" t="s">
        <v>1649</v>
      </c>
      <c r="F689" t="s">
        <v>11474</v>
      </c>
    </row>
    <row r="690" spans="1:7" x14ac:dyDescent="0.25">
      <c r="A690" t="s">
        <v>11475</v>
      </c>
      <c r="B690" t="s">
        <v>11400</v>
      </c>
      <c r="C690" t="s">
        <v>11401</v>
      </c>
      <c r="D690">
        <v>2026</v>
      </c>
      <c r="E690" t="s">
        <v>1649</v>
      </c>
      <c r="F690" t="s">
        <v>11476</v>
      </c>
    </row>
    <row r="691" spans="1:7" x14ac:dyDescent="0.25">
      <c r="A691" t="s">
        <v>11477</v>
      </c>
      <c r="B691" t="s">
        <v>11400</v>
      </c>
      <c r="C691" t="s">
        <v>11401</v>
      </c>
      <c r="D691">
        <v>2026</v>
      </c>
      <c r="E691" t="s">
        <v>1649</v>
      </c>
      <c r="F691" t="s">
        <v>11478</v>
      </c>
    </row>
    <row r="692" spans="1:7" x14ac:dyDescent="0.25">
      <c r="A692" t="s">
        <v>11479</v>
      </c>
      <c r="B692" t="s">
        <v>11400</v>
      </c>
      <c r="C692" t="s">
        <v>11401</v>
      </c>
      <c r="D692">
        <v>2026</v>
      </c>
      <c r="E692" t="s">
        <v>1649</v>
      </c>
      <c r="F692" t="s">
        <v>11480</v>
      </c>
    </row>
    <row r="693" spans="1:7" x14ac:dyDescent="0.25">
      <c r="A693" t="s">
        <v>11481</v>
      </c>
      <c r="B693" t="s">
        <v>11400</v>
      </c>
      <c r="C693" t="s">
        <v>11401</v>
      </c>
      <c r="D693">
        <v>2026</v>
      </c>
      <c r="E693" t="s">
        <v>1649</v>
      </c>
      <c r="F693" t="s">
        <v>11482</v>
      </c>
    </row>
    <row r="694" spans="1:7" x14ac:dyDescent="0.25">
      <c r="A694" t="s">
        <v>11483</v>
      </c>
      <c r="B694" t="s">
        <v>11400</v>
      </c>
      <c r="C694" t="s">
        <v>11401</v>
      </c>
      <c r="D694">
        <v>2026</v>
      </c>
      <c r="E694" t="s">
        <v>1649</v>
      </c>
      <c r="F694" t="s">
        <v>11484</v>
      </c>
    </row>
    <row r="695" spans="1:7" x14ac:dyDescent="0.25">
      <c r="A695" t="s">
        <v>11485</v>
      </c>
      <c r="B695" t="s">
        <v>11400</v>
      </c>
      <c r="C695" t="s">
        <v>11401</v>
      </c>
      <c r="D695">
        <v>2026</v>
      </c>
      <c r="E695" t="s">
        <v>1649</v>
      </c>
      <c r="F695" t="s">
        <v>11486</v>
      </c>
    </row>
    <row r="696" spans="1:7" x14ac:dyDescent="0.25">
      <c r="A696" t="s">
        <v>11487</v>
      </c>
      <c r="B696" t="s">
        <v>11400</v>
      </c>
      <c r="C696" t="s">
        <v>11401</v>
      </c>
      <c r="D696">
        <v>2026</v>
      </c>
      <c r="E696" t="s">
        <v>1649</v>
      </c>
      <c r="F696" t="s">
        <v>11488</v>
      </c>
    </row>
    <row r="697" spans="1:7" x14ac:dyDescent="0.25">
      <c r="A697" t="s">
        <v>11489</v>
      </c>
      <c r="B697" t="s">
        <v>11400</v>
      </c>
      <c r="C697" t="s">
        <v>11401</v>
      </c>
      <c r="D697">
        <v>2026</v>
      </c>
      <c r="E697" t="s">
        <v>1649</v>
      </c>
      <c r="F697" t="s">
        <v>11490</v>
      </c>
    </row>
    <row r="698" spans="1:7" x14ac:dyDescent="0.25">
      <c r="A698" t="s">
        <v>11491</v>
      </c>
      <c r="B698" t="s">
        <v>11400</v>
      </c>
      <c r="C698" t="s">
        <v>11401</v>
      </c>
      <c r="D698">
        <v>2026</v>
      </c>
      <c r="E698" t="s">
        <v>1649</v>
      </c>
      <c r="F698" t="s">
        <v>11492</v>
      </c>
    </row>
    <row r="699" spans="1:7" x14ac:dyDescent="0.25">
      <c r="A699" t="s">
        <v>11493</v>
      </c>
      <c r="B699" t="s">
        <v>11400</v>
      </c>
      <c r="C699" t="s">
        <v>11401</v>
      </c>
      <c r="D699">
        <v>2026</v>
      </c>
      <c r="E699" t="s">
        <v>1649</v>
      </c>
      <c r="F699" t="s">
        <v>11494</v>
      </c>
      <c r="G699" t="s">
        <v>10071</v>
      </c>
    </row>
    <row r="700" spans="1:7" x14ac:dyDescent="0.25">
      <c r="A700" t="s">
        <v>11495</v>
      </c>
      <c r="B700" t="s">
        <v>11400</v>
      </c>
      <c r="C700" t="s">
        <v>11401</v>
      </c>
      <c r="D700">
        <v>2026</v>
      </c>
      <c r="E700" t="s">
        <v>1649</v>
      </c>
      <c r="F700" t="s">
        <v>11496</v>
      </c>
    </row>
    <row r="701" spans="1:7" x14ac:dyDescent="0.25">
      <c r="A701" t="s">
        <v>11497</v>
      </c>
      <c r="B701" t="s">
        <v>11400</v>
      </c>
      <c r="C701" t="s">
        <v>11401</v>
      </c>
      <c r="D701">
        <v>2026</v>
      </c>
      <c r="E701" t="s">
        <v>1649</v>
      </c>
      <c r="F701" t="s">
        <v>11498</v>
      </c>
    </row>
    <row r="702" spans="1:7" x14ac:dyDescent="0.25">
      <c r="A702" t="s">
        <v>11499</v>
      </c>
      <c r="B702" t="s">
        <v>11400</v>
      </c>
      <c r="C702" t="s">
        <v>11401</v>
      </c>
      <c r="D702">
        <v>2026</v>
      </c>
      <c r="E702" t="s">
        <v>1649</v>
      </c>
      <c r="F702" t="s">
        <v>11500</v>
      </c>
    </row>
    <row r="703" spans="1:7" x14ac:dyDescent="0.25">
      <c r="A703" t="s">
        <v>11501</v>
      </c>
      <c r="B703" t="s">
        <v>11400</v>
      </c>
      <c r="C703" t="s">
        <v>11401</v>
      </c>
      <c r="D703">
        <v>2026</v>
      </c>
      <c r="E703" t="s">
        <v>1649</v>
      </c>
      <c r="F703" t="s">
        <v>11502</v>
      </c>
    </row>
    <row r="704" spans="1:7" x14ac:dyDescent="0.25">
      <c r="A704" t="s">
        <v>11503</v>
      </c>
      <c r="B704" t="s">
        <v>11400</v>
      </c>
      <c r="C704" t="s">
        <v>11401</v>
      </c>
      <c r="D704">
        <v>2026</v>
      </c>
      <c r="E704" t="s">
        <v>1649</v>
      </c>
      <c r="F704" t="s">
        <v>11504</v>
      </c>
    </row>
    <row r="705" spans="1:6" x14ac:dyDescent="0.25">
      <c r="A705" t="s">
        <v>11505</v>
      </c>
      <c r="B705" t="s">
        <v>11400</v>
      </c>
      <c r="C705" t="s">
        <v>11401</v>
      </c>
      <c r="D705">
        <v>2026</v>
      </c>
      <c r="E705" t="s">
        <v>1649</v>
      </c>
      <c r="F705" t="s">
        <v>11506</v>
      </c>
    </row>
    <row r="706" spans="1:6" x14ac:dyDescent="0.25">
      <c r="A706" t="s">
        <v>11507</v>
      </c>
      <c r="B706" t="s">
        <v>11400</v>
      </c>
      <c r="C706" t="s">
        <v>11401</v>
      </c>
      <c r="D706">
        <v>2026</v>
      </c>
      <c r="E706" t="s">
        <v>1649</v>
      </c>
      <c r="F706" t="s">
        <v>11508</v>
      </c>
    </row>
    <row r="707" spans="1:6" x14ac:dyDescent="0.25">
      <c r="A707" t="s">
        <v>11509</v>
      </c>
      <c r="B707" t="s">
        <v>11400</v>
      </c>
      <c r="C707" t="s">
        <v>11401</v>
      </c>
      <c r="D707">
        <v>2026</v>
      </c>
      <c r="E707" t="s">
        <v>1649</v>
      </c>
      <c r="F707" t="s">
        <v>11510</v>
      </c>
    </row>
    <row r="708" spans="1:6" x14ac:dyDescent="0.25">
      <c r="A708" t="s">
        <v>11511</v>
      </c>
      <c r="B708" t="s">
        <v>11400</v>
      </c>
      <c r="C708" t="s">
        <v>11401</v>
      </c>
      <c r="D708">
        <v>2026</v>
      </c>
      <c r="E708" t="s">
        <v>1649</v>
      </c>
      <c r="F708" t="s">
        <v>11512</v>
      </c>
    </row>
    <row r="709" spans="1:6" x14ac:dyDescent="0.25">
      <c r="A709" t="s">
        <v>11513</v>
      </c>
      <c r="B709" t="s">
        <v>11400</v>
      </c>
      <c r="C709" t="s">
        <v>11401</v>
      </c>
      <c r="D709">
        <v>2026</v>
      </c>
      <c r="E709" t="s">
        <v>1649</v>
      </c>
      <c r="F709" t="s">
        <v>11514</v>
      </c>
    </row>
    <row r="710" spans="1:6" x14ac:dyDescent="0.25">
      <c r="A710" t="s">
        <v>11515</v>
      </c>
      <c r="B710" t="s">
        <v>11400</v>
      </c>
      <c r="C710" t="s">
        <v>11401</v>
      </c>
      <c r="D710">
        <v>2026</v>
      </c>
      <c r="E710" t="s">
        <v>1649</v>
      </c>
      <c r="F710" t="s">
        <v>11516</v>
      </c>
    </row>
    <row r="711" spans="1:6" x14ac:dyDescent="0.25">
      <c r="A711" t="s">
        <v>11517</v>
      </c>
      <c r="B711" t="s">
        <v>11400</v>
      </c>
      <c r="C711" t="s">
        <v>11401</v>
      </c>
      <c r="D711">
        <v>2026</v>
      </c>
      <c r="E711" t="s">
        <v>1649</v>
      </c>
      <c r="F711" t="s">
        <v>11518</v>
      </c>
    </row>
    <row r="712" spans="1:6" x14ac:dyDescent="0.25">
      <c r="A712" t="s">
        <v>11519</v>
      </c>
      <c r="B712" t="s">
        <v>11400</v>
      </c>
      <c r="C712" t="s">
        <v>11401</v>
      </c>
      <c r="D712">
        <v>2026</v>
      </c>
      <c r="E712" t="s">
        <v>1649</v>
      </c>
      <c r="F712" t="s">
        <v>11520</v>
      </c>
    </row>
    <row r="713" spans="1:6" x14ac:dyDescent="0.25">
      <c r="A713" t="s">
        <v>11521</v>
      </c>
      <c r="B713" t="s">
        <v>11400</v>
      </c>
      <c r="C713" t="s">
        <v>11401</v>
      </c>
      <c r="D713">
        <v>2026</v>
      </c>
      <c r="E713" t="s">
        <v>1649</v>
      </c>
      <c r="F713" t="s">
        <v>11522</v>
      </c>
    </row>
    <row r="714" spans="1:6" x14ac:dyDescent="0.25">
      <c r="A714" t="s">
        <v>11523</v>
      </c>
      <c r="B714" t="s">
        <v>11400</v>
      </c>
      <c r="C714" t="s">
        <v>11401</v>
      </c>
      <c r="D714">
        <v>2026</v>
      </c>
      <c r="E714" t="s">
        <v>1649</v>
      </c>
      <c r="F714" t="s">
        <v>11524</v>
      </c>
    </row>
    <row r="715" spans="1:6" x14ac:dyDescent="0.25">
      <c r="A715" t="s">
        <v>11525</v>
      </c>
      <c r="B715" t="s">
        <v>11400</v>
      </c>
      <c r="C715" t="s">
        <v>11401</v>
      </c>
      <c r="D715">
        <v>2026</v>
      </c>
      <c r="E715" t="s">
        <v>1649</v>
      </c>
      <c r="F715" t="s">
        <v>11526</v>
      </c>
    </row>
    <row r="716" spans="1:6" x14ac:dyDescent="0.25">
      <c r="A716" t="s">
        <v>11527</v>
      </c>
      <c r="B716" t="s">
        <v>11400</v>
      </c>
      <c r="C716" t="s">
        <v>11401</v>
      </c>
      <c r="D716">
        <v>2026</v>
      </c>
      <c r="E716" t="s">
        <v>1649</v>
      </c>
      <c r="F716" t="s">
        <v>11528</v>
      </c>
    </row>
    <row r="717" spans="1:6" x14ac:dyDescent="0.25">
      <c r="A717" t="s">
        <v>11529</v>
      </c>
      <c r="B717" t="s">
        <v>11400</v>
      </c>
      <c r="C717" t="s">
        <v>11401</v>
      </c>
      <c r="D717">
        <v>2026</v>
      </c>
      <c r="E717" t="s">
        <v>1649</v>
      </c>
      <c r="F717" t="s">
        <v>11530</v>
      </c>
    </row>
    <row r="718" spans="1:6" x14ac:dyDescent="0.25">
      <c r="A718" t="s">
        <v>11531</v>
      </c>
      <c r="B718" t="s">
        <v>11400</v>
      </c>
      <c r="C718" t="s">
        <v>11401</v>
      </c>
      <c r="D718">
        <v>2026</v>
      </c>
      <c r="E718" t="s">
        <v>1649</v>
      </c>
      <c r="F718" t="s">
        <v>11532</v>
      </c>
    </row>
    <row r="719" spans="1:6" x14ac:dyDescent="0.25">
      <c r="A719" t="s">
        <v>11533</v>
      </c>
      <c r="B719" t="s">
        <v>11400</v>
      </c>
      <c r="C719" t="s">
        <v>11401</v>
      </c>
      <c r="D719">
        <v>2026</v>
      </c>
      <c r="E719" t="s">
        <v>1649</v>
      </c>
      <c r="F719" t="s">
        <v>11534</v>
      </c>
    </row>
    <row r="720" spans="1:6" x14ac:dyDescent="0.25">
      <c r="A720" t="s">
        <v>11535</v>
      </c>
      <c r="B720" t="s">
        <v>11400</v>
      </c>
      <c r="C720" t="s">
        <v>11401</v>
      </c>
      <c r="D720">
        <v>2026</v>
      </c>
      <c r="E720" t="s">
        <v>1649</v>
      </c>
      <c r="F720" t="s">
        <v>11536</v>
      </c>
    </row>
    <row r="721" spans="1:7" x14ac:dyDescent="0.25">
      <c r="A721" t="s">
        <v>11537</v>
      </c>
      <c r="B721" t="s">
        <v>11400</v>
      </c>
      <c r="C721" t="s">
        <v>11401</v>
      </c>
      <c r="D721">
        <v>2026</v>
      </c>
      <c r="E721" t="s">
        <v>1649</v>
      </c>
      <c r="F721" t="s">
        <v>11538</v>
      </c>
    </row>
    <row r="722" spans="1:7" x14ac:dyDescent="0.25">
      <c r="A722" t="s">
        <v>11539</v>
      </c>
      <c r="B722" t="s">
        <v>11400</v>
      </c>
      <c r="C722" t="s">
        <v>11401</v>
      </c>
      <c r="D722">
        <v>2026</v>
      </c>
      <c r="E722" t="s">
        <v>1649</v>
      </c>
      <c r="F722" t="s">
        <v>11540</v>
      </c>
    </row>
    <row r="723" spans="1:7" x14ac:dyDescent="0.25">
      <c r="A723" t="s">
        <v>11541</v>
      </c>
      <c r="B723" t="s">
        <v>11400</v>
      </c>
      <c r="C723" t="s">
        <v>11401</v>
      </c>
      <c r="D723">
        <v>2026</v>
      </c>
      <c r="E723" t="s">
        <v>1649</v>
      </c>
      <c r="F723" t="s">
        <v>11542</v>
      </c>
    </row>
    <row r="724" spans="1:7" x14ac:dyDescent="0.25">
      <c r="A724" t="s">
        <v>11543</v>
      </c>
      <c r="B724" t="s">
        <v>11400</v>
      </c>
      <c r="C724" t="s">
        <v>11401</v>
      </c>
      <c r="D724">
        <v>2026</v>
      </c>
      <c r="E724" t="s">
        <v>1649</v>
      </c>
      <c r="F724" t="s">
        <v>11544</v>
      </c>
    </row>
    <row r="725" spans="1:7" x14ac:dyDescent="0.25">
      <c r="A725" t="s">
        <v>11545</v>
      </c>
      <c r="B725" t="s">
        <v>11400</v>
      </c>
      <c r="C725" t="s">
        <v>11401</v>
      </c>
      <c r="D725">
        <v>2026</v>
      </c>
      <c r="E725" t="s">
        <v>1649</v>
      </c>
      <c r="F725" t="s">
        <v>11546</v>
      </c>
    </row>
    <row r="726" spans="1:7" x14ac:dyDescent="0.25">
      <c r="A726" t="s">
        <v>11547</v>
      </c>
      <c r="B726" t="s">
        <v>11400</v>
      </c>
      <c r="C726" t="s">
        <v>11401</v>
      </c>
      <c r="D726">
        <v>2026</v>
      </c>
      <c r="E726" t="s">
        <v>1649</v>
      </c>
      <c r="F726" t="s">
        <v>11548</v>
      </c>
    </row>
    <row r="727" spans="1:7" x14ac:dyDescent="0.25">
      <c r="A727" t="s">
        <v>11549</v>
      </c>
      <c r="B727" t="s">
        <v>11400</v>
      </c>
      <c r="C727" t="s">
        <v>11401</v>
      </c>
      <c r="D727">
        <v>2026</v>
      </c>
      <c r="E727" t="s">
        <v>1649</v>
      </c>
      <c r="F727" t="s">
        <v>11550</v>
      </c>
    </row>
    <row r="728" spans="1:7" x14ac:dyDescent="0.25">
      <c r="A728" t="s">
        <v>11551</v>
      </c>
      <c r="B728" t="s">
        <v>11400</v>
      </c>
      <c r="C728" t="s">
        <v>11401</v>
      </c>
      <c r="D728">
        <v>2026</v>
      </c>
      <c r="E728" t="s">
        <v>1649</v>
      </c>
      <c r="F728" t="s">
        <v>11552</v>
      </c>
    </row>
    <row r="729" spans="1:7" x14ac:dyDescent="0.25">
      <c r="A729" t="s">
        <v>11553</v>
      </c>
      <c r="B729" t="s">
        <v>11400</v>
      </c>
      <c r="C729" t="s">
        <v>11401</v>
      </c>
      <c r="D729">
        <v>2026</v>
      </c>
      <c r="E729" t="s">
        <v>1649</v>
      </c>
      <c r="F729" t="s">
        <v>11554</v>
      </c>
    </row>
    <row r="730" spans="1:7" x14ac:dyDescent="0.25">
      <c r="A730" t="s">
        <v>11555</v>
      </c>
      <c r="B730" t="s">
        <v>11400</v>
      </c>
      <c r="C730" t="s">
        <v>11401</v>
      </c>
      <c r="D730">
        <v>2026</v>
      </c>
      <c r="E730" t="s">
        <v>1649</v>
      </c>
      <c r="F730" t="s">
        <v>11556</v>
      </c>
    </row>
    <row r="731" spans="1:7" x14ac:dyDescent="0.25">
      <c r="A731" t="s">
        <v>11557</v>
      </c>
      <c r="B731" t="s">
        <v>11400</v>
      </c>
      <c r="C731" t="s">
        <v>11401</v>
      </c>
      <c r="D731">
        <v>2026</v>
      </c>
      <c r="E731" t="s">
        <v>1649</v>
      </c>
      <c r="F731" t="s">
        <v>11558</v>
      </c>
    </row>
    <row r="732" spans="1:7" x14ac:dyDescent="0.25">
      <c r="A732" t="s">
        <v>11559</v>
      </c>
      <c r="B732" t="s">
        <v>11400</v>
      </c>
      <c r="C732" t="s">
        <v>11401</v>
      </c>
      <c r="D732">
        <v>2026</v>
      </c>
      <c r="E732" t="s">
        <v>1649</v>
      </c>
      <c r="F732" t="s">
        <v>11560</v>
      </c>
    </row>
    <row r="733" spans="1:7" x14ac:dyDescent="0.25">
      <c r="A733" t="s">
        <v>11561</v>
      </c>
      <c r="B733" t="s">
        <v>11400</v>
      </c>
      <c r="C733" t="s">
        <v>11401</v>
      </c>
      <c r="D733">
        <v>2026</v>
      </c>
      <c r="E733" t="s">
        <v>1649</v>
      </c>
      <c r="F733" t="s">
        <v>11562</v>
      </c>
    </row>
    <row r="734" spans="1:7" x14ac:dyDescent="0.25">
      <c r="A734" t="s">
        <v>11563</v>
      </c>
      <c r="B734" t="s">
        <v>11564</v>
      </c>
      <c r="C734" t="s">
        <v>11565</v>
      </c>
      <c r="D734">
        <v>2025</v>
      </c>
      <c r="E734" t="s">
        <v>1851</v>
      </c>
      <c r="F734" t="s">
        <v>11566</v>
      </c>
      <c r="G734" t="s">
        <v>10071</v>
      </c>
    </row>
    <row r="735" spans="1:7" x14ac:dyDescent="0.25">
      <c r="A735" t="s">
        <v>11567</v>
      </c>
      <c r="B735" t="s">
        <v>11564</v>
      </c>
      <c r="C735" t="s">
        <v>11565</v>
      </c>
      <c r="D735">
        <v>2025</v>
      </c>
      <c r="E735" t="s">
        <v>1851</v>
      </c>
      <c r="F735" t="s">
        <v>11568</v>
      </c>
    </row>
    <row r="736" spans="1:7" x14ac:dyDescent="0.25">
      <c r="A736" t="s">
        <v>11569</v>
      </c>
      <c r="B736" t="s">
        <v>11564</v>
      </c>
      <c r="C736" t="s">
        <v>11565</v>
      </c>
      <c r="D736">
        <v>2025</v>
      </c>
      <c r="E736" t="s">
        <v>1851</v>
      </c>
      <c r="F736" t="s">
        <v>11570</v>
      </c>
    </row>
    <row r="737" spans="1:7" x14ac:dyDescent="0.25">
      <c r="A737" t="s">
        <v>11571</v>
      </c>
      <c r="B737" t="s">
        <v>11564</v>
      </c>
      <c r="C737" t="s">
        <v>11565</v>
      </c>
      <c r="D737">
        <v>2025</v>
      </c>
      <c r="E737" t="s">
        <v>1851</v>
      </c>
      <c r="F737" t="s">
        <v>11572</v>
      </c>
    </row>
    <row r="738" spans="1:7" x14ac:dyDescent="0.25">
      <c r="A738" t="s">
        <v>11573</v>
      </c>
      <c r="B738" t="s">
        <v>11564</v>
      </c>
      <c r="C738" t="s">
        <v>11565</v>
      </c>
      <c r="D738">
        <v>2025</v>
      </c>
      <c r="E738" t="s">
        <v>1851</v>
      </c>
      <c r="F738" t="s">
        <v>11574</v>
      </c>
    </row>
    <row r="739" spans="1:7" x14ac:dyDescent="0.25">
      <c r="A739" t="s">
        <v>11575</v>
      </c>
      <c r="B739" t="s">
        <v>11564</v>
      </c>
      <c r="C739" t="s">
        <v>11565</v>
      </c>
      <c r="D739">
        <v>2025</v>
      </c>
      <c r="E739" t="s">
        <v>1851</v>
      </c>
      <c r="F739" t="s">
        <v>11576</v>
      </c>
    </row>
    <row r="740" spans="1:7" x14ac:dyDescent="0.25">
      <c r="A740" t="s">
        <v>11577</v>
      </c>
      <c r="B740" t="s">
        <v>11564</v>
      </c>
      <c r="C740" t="s">
        <v>11565</v>
      </c>
      <c r="D740">
        <v>2025</v>
      </c>
      <c r="E740" t="s">
        <v>1851</v>
      </c>
      <c r="F740" t="s">
        <v>11578</v>
      </c>
    </row>
    <row r="741" spans="1:7" x14ac:dyDescent="0.25">
      <c r="A741" t="s">
        <v>11579</v>
      </c>
      <c r="B741" t="s">
        <v>11564</v>
      </c>
      <c r="C741" t="s">
        <v>11565</v>
      </c>
      <c r="D741">
        <v>2025</v>
      </c>
      <c r="E741" t="s">
        <v>1851</v>
      </c>
      <c r="F741" t="s">
        <v>11580</v>
      </c>
    </row>
    <row r="742" spans="1:7" x14ac:dyDescent="0.25">
      <c r="A742" t="s">
        <v>11581</v>
      </c>
      <c r="B742" t="s">
        <v>11564</v>
      </c>
      <c r="C742" t="s">
        <v>11565</v>
      </c>
      <c r="D742">
        <v>2025</v>
      </c>
      <c r="E742" t="s">
        <v>1851</v>
      </c>
      <c r="F742" t="s">
        <v>11582</v>
      </c>
    </row>
    <row r="743" spans="1:7" x14ac:dyDescent="0.25">
      <c r="A743" t="s">
        <v>11583</v>
      </c>
      <c r="B743" t="s">
        <v>11564</v>
      </c>
      <c r="C743" t="s">
        <v>11565</v>
      </c>
      <c r="D743">
        <v>2025</v>
      </c>
      <c r="E743" t="s">
        <v>1851</v>
      </c>
      <c r="F743" t="s">
        <v>11584</v>
      </c>
    </row>
    <row r="744" spans="1:7" x14ac:dyDescent="0.25">
      <c r="A744" t="s">
        <v>11585</v>
      </c>
      <c r="B744" t="s">
        <v>11564</v>
      </c>
      <c r="C744" t="s">
        <v>11565</v>
      </c>
      <c r="D744">
        <v>2025</v>
      </c>
      <c r="E744" t="s">
        <v>1851</v>
      </c>
      <c r="F744" t="s">
        <v>11586</v>
      </c>
    </row>
    <row r="745" spans="1:7" x14ac:dyDescent="0.25">
      <c r="A745" t="s">
        <v>11587</v>
      </c>
      <c r="B745" t="s">
        <v>11564</v>
      </c>
      <c r="C745" t="s">
        <v>11565</v>
      </c>
      <c r="D745">
        <v>2025</v>
      </c>
      <c r="E745" t="s">
        <v>1851</v>
      </c>
      <c r="F745" t="s">
        <v>11588</v>
      </c>
    </row>
    <row r="746" spans="1:7" x14ac:dyDescent="0.25">
      <c r="A746" t="s">
        <v>11589</v>
      </c>
      <c r="B746" t="s">
        <v>11564</v>
      </c>
      <c r="C746" t="s">
        <v>11565</v>
      </c>
      <c r="D746">
        <v>2025</v>
      </c>
      <c r="E746" t="s">
        <v>1851</v>
      </c>
      <c r="F746" t="s">
        <v>11590</v>
      </c>
    </row>
    <row r="747" spans="1:7" x14ac:dyDescent="0.25">
      <c r="A747" t="s">
        <v>11591</v>
      </c>
      <c r="B747" t="s">
        <v>11564</v>
      </c>
      <c r="C747" t="s">
        <v>11565</v>
      </c>
      <c r="D747">
        <v>2025</v>
      </c>
      <c r="E747" t="s">
        <v>1851</v>
      </c>
      <c r="F747" t="s">
        <v>11592</v>
      </c>
    </row>
    <row r="748" spans="1:7" x14ac:dyDescent="0.25">
      <c r="A748" t="s">
        <v>11593</v>
      </c>
      <c r="B748" t="s">
        <v>11564</v>
      </c>
      <c r="C748" t="s">
        <v>11565</v>
      </c>
      <c r="D748">
        <v>2025</v>
      </c>
      <c r="E748" t="s">
        <v>1851</v>
      </c>
      <c r="F748" t="s">
        <v>11594</v>
      </c>
    </row>
    <row r="749" spans="1:7" x14ac:dyDescent="0.25">
      <c r="A749" t="s">
        <v>11595</v>
      </c>
      <c r="B749" t="s">
        <v>11564</v>
      </c>
      <c r="C749" t="s">
        <v>11565</v>
      </c>
      <c r="D749">
        <v>2025</v>
      </c>
      <c r="E749" t="s">
        <v>1851</v>
      </c>
      <c r="F749" t="s">
        <v>11596</v>
      </c>
    </row>
    <row r="750" spans="1:7" x14ac:dyDescent="0.25">
      <c r="A750" t="s">
        <v>6875</v>
      </c>
      <c r="B750" t="s">
        <v>11564</v>
      </c>
      <c r="C750" t="s">
        <v>11565</v>
      </c>
      <c r="D750">
        <v>2025</v>
      </c>
      <c r="E750" t="s">
        <v>1851</v>
      </c>
      <c r="F750" t="s">
        <v>11597</v>
      </c>
    </row>
    <row r="751" spans="1:7" x14ac:dyDescent="0.25">
      <c r="A751" t="s">
        <v>11598</v>
      </c>
      <c r="B751" t="s">
        <v>11599</v>
      </c>
      <c r="C751" t="s">
        <v>11600</v>
      </c>
      <c r="D751">
        <v>2015</v>
      </c>
      <c r="E751" t="s">
        <v>1855</v>
      </c>
      <c r="F751" t="s">
        <v>11601</v>
      </c>
      <c r="G751" t="s">
        <v>10071</v>
      </c>
    </row>
    <row r="752" spans="1:7" x14ac:dyDescent="0.25">
      <c r="A752" t="s">
        <v>11602</v>
      </c>
      <c r="B752" t="s">
        <v>11599</v>
      </c>
      <c r="C752" t="s">
        <v>11600</v>
      </c>
      <c r="D752">
        <v>2015</v>
      </c>
      <c r="E752" t="s">
        <v>1855</v>
      </c>
      <c r="F752" t="s">
        <v>11603</v>
      </c>
    </row>
    <row r="753" spans="1:6" x14ac:dyDescent="0.25">
      <c r="A753" t="s">
        <v>11604</v>
      </c>
      <c r="B753" t="s">
        <v>11599</v>
      </c>
      <c r="C753" t="s">
        <v>11600</v>
      </c>
      <c r="D753">
        <v>2015</v>
      </c>
      <c r="E753" t="s">
        <v>1855</v>
      </c>
      <c r="F753" t="s">
        <v>11605</v>
      </c>
    </row>
    <row r="754" spans="1:6" x14ac:dyDescent="0.25">
      <c r="A754" t="s">
        <v>11606</v>
      </c>
      <c r="B754" t="s">
        <v>11599</v>
      </c>
      <c r="C754" t="s">
        <v>11600</v>
      </c>
      <c r="D754">
        <v>2015</v>
      </c>
      <c r="E754" t="s">
        <v>1855</v>
      </c>
      <c r="F754" t="s">
        <v>11607</v>
      </c>
    </row>
    <row r="755" spans="1:6" x14ac:dyDescent="0.25">
      <c r="A755" t="s">
        <v>11608</v>
      </c>
      <c r="B755" t="s">
        <v>11599</v>
      </c>
      <c r="C755" t="s">
        <v>11600</v>
      </c>
      <c r="D755">
        <v>2015</v>
      </c>
      <c r="E755" t="s">
        <v>1855</v>
      </c>
      <c r="F755" t="s">
        <v>11609</v>
      </c>
    </row>
    <row r="756" spans="1:6" x14ac:dyDescent="0.25">
      <c r="A756" t="s">
        <v>11610</v>
      </c>
      <c r="B756" t="s">
        <v>11599</v>
      </c>
      <c r="C756" t="s">
        <v>11600</v>
      </c>
      <c r="D756">
        <v>2015</v>
      </c>
      <c r="E756" t="s">
        <v>1855</v>
      </c>
      <c r="F756" t="s">
        <v>11611</v>
      </c>
    </row>
    <row r="757" spans="1:6" x14ac:dyDescent="0.25">
      <c r="A757" t="s">
        <v>11612</v>
      </c>
      <c r="B757" t="s">
        <v>11599</v>
      </c>
      <c r="C757" t="s">
        <v>11600</v>
      </c>
      <c r="D757">
        <v>2015</v>
      </c>
      <c r="E757" t="s">
        <v>1855</v>
      </c>
      <c r="F757" t="s">
        <v>11613</v>
      </c>
    </row>
    <row r="758" spans="1:6" x14ac:dyDescent="0.25">
      <c r="A758" t="s">
        <v>11614</v>
      </c>
      <c r="B758" t="s">
        <v>11599</v>
      </c>
      <c r="C758" t="s">
        <v>11600</v>
      </c>
      <c r="D758">
        <v>2015</v>
      </c>
      <c r="E758" t="s">
        <v>1855</v>
      </c>
      <c r="F758" t="s">
        <v>11615</v>
      </c>
    </row>
    <row r="759" spans="1:6" x14ac:dyDescent="0.25">
      <c r="A759" t="s">
        <v>11616</v>
      </c>
      <c r="B759" t="s">
        <v>11599</v>
      </c>
      <c r="C759" t="s">
        <v>11600</v>
      </c>
      <c r="D759">
        <v>2015</v>
      </c>
      <c r="E759" t="s">
        <v>1855</v>
      </c>
      <c r="F759" t="s">
        <v>11617</v>
      </c>
    </row>
    <row r="760" spans="1:6" x14ac:dyDescent="0.25">
      <c r="A760" t="s">
        <v>11618</v>
      </c>
      <c r="B760" t="s">
        <v>11599</v>
      </c>
      <c r="C760" t="s">
        <v>11600</v>
      </c>
      <c r="D760">
        <v>2015</v>
      </c>
      <c r="E760" t="s">
        <v>1855</v>
      </c>
      <c r="F760" t="s">
        <v>11619</v>
      </c>
    </row>
    <row r="761" spans="1:6" x14ac:dyDescent="0.25">
      <c r="A761" t="s">
        <v>11620</v>
      </c>
      <c r="B761" t="s">
        <v>11599</v>
      </c>
      <c r="C761" t="s">
        <v>11600</v>
      </c>
      <c r="D761">
        <v>2015</v>
      </c>
      <c r="E761" t="s">
        <v>1855</v>
      </c>
      <c r="F761" t="s">
        <v>11621</v>
      </c>
    </row>
    <row r="762" spans="1:6" x14ac:dyDescent="0.25">
      <c r="A762" t="s">
        <v>11622</v>
      </c>
      <c r="B762" t="s">
        <v>11599</v>
      </c>
      <c r="C762" t="s">
        <v>11600</v>
      </c>
      <c r="D762">
        <v>2015</v>
      </c>
      <c r="E762" t="s">
        <v>1855</v>
      </c>
      <c r="F762" t="s">
        <v>11623</v>
      </c>
    </row>
    <row r="763" spans="1:6" x14ac:dyDescent="0.25">
      <c r="A763" t="s">
        <v>1855</v>
      </c>
      <c r="B763" t="s">
        <v>11599</v>
      </c>
      <c r="C763" t="s">
        <v>11600</v>
      </c>
      <c r="D763">
        <v>2015</v>
      </c>
      <c r="E763" t="s">
        <v>1855</v>
      </c>
      <c r="F763" t="s">
        <v>11624</v>
      </c>
    </row>
    <row r="764" spans="1:6" x14ac:dyDescent="0.25">
      <c r="A764" t="s">
        <v>11625</v>
      </c>
      <c r="B764" t="s">
        <v>11599</v>
      </c>
      <c r="C764" t="s">
        <v>11600</v>
      </c>
      <c r="D764">
        <v>2015</v>
      </c>
      <c r="E764" t="s">
        <v>1855</v>
      </c>
      <c r="F764" t="s">
        <v>11626</v>
      </c>
    </row>
    <row r="765" spans="1:6" x14ac:dyDescent="0.25">
      <c r="A765" t="s">
        <v>11627</v>
      </c>
      <c r="B765" t="s">
        <v>11599</v>
      </c>
      <c r="C765" t="s">
        <v>11600</v>
      </c>
      <c r="D765">
        <v>2015</v>
      </c>
      <c r="E765" t="s">
        <v>1855</v>
      </c>
      <c r="F765" t="s">
        <v>11628</v>
      </c>
    </row>
    <row r="766" spans="1:6" x14ac:dyDescent="0.25">
      <c r="A766" t="s">
        <v>11629</v>
      </c>
      <c r="B766" t="s">
        <v>11599</v>
      </c>
      <c r="C766" t="s">
        <v>11600</v>
      </c>
      <c r="D766">
        <v>2015</v>
      </c>
      <c r="E766" t="s">
        <v>1855</v>
      </c>
      <c r="F766" t="s">
        <v>11630</v>
      </c>
    </row>
    <row r="767" spans="1:6" x14ac:dyDescent="0.25">
      <c r="A767" t="s">
        <v>11631</v>
      </c>
      <c r="B767" t="s">
        <v>11599</v>
      </c>
      <c r="C767" t="s">
        <v>11600</v>
      </c>
      <c r="D767">
        <v>2015</v>
      </c>
      <c r="E767" t="s">
        <v>1855</v>
      </c>
      <c r="F767" t="s">
        <v>11632</v>
      </c>
    </row>
    <row r="768" spans="1:6" x14ac:dyDescent="0.25">
      <c r="A768" t="s">
        <v>4530</v>
      </c>
      <c r="B768" t="s">
        <v>11599</v>
      </c>
      <c r="C768" t="s">
        <v>11600</v>
      </c>
      <c r="D768">
        <v>2015</v>
      </c>
      <c r="E768" t="s">
        <v>1855</v>
      </c>
      <c r="F768" t="s">
        <v>11633</v>
      </c>
    </row>
    <row r="769" spans="1:6" x14ac:dyDescent="0.25">
      <c r="A769" t="s">
        <v>11634</v>
      </c>
      <c r="B769" t="s">
        <v>11599</v>
      </c>
      <c r="C769" t="s">
        <v>11600</v>
      </c>
      <c r="D769">
        <v>2015</v>
      </c>
      <c r="E769" t="s">
        <v>1855</v>
      </c>
      <c r="F769" t="s">
        <v>11635</v>
      </c>
    </row>
    <row r="770" spans="1:6" x14ac:dyDescent="0.25">
      <c r="A770" t="s">
        <v>11636</v>
      </c>
      <c r="B770" t="s">
        <v>11599</v>
      </c>
      <c r="C770" t="s">
        <v>11600</v>
      </c>
      <c r="D770">
        <v>2015</v>
      </c>
      <c r="E770" t="s">
        <v>1855</v>
      </c>
      <c r="F770" t="s">
        <v>11637</v>
      </c>
    </row>
    <row r="771" spans="1:6" x14ac:dyDescent="0.25">
      <c r="A771" t="s">
        <v>11638</v>
      </c>
      <c r="B771" t="s">
        <v>11599</v>
      </c>
      <c r="C771" t="s">
        <v>11600</v>
      </c>
      <c r="D771">
        <v>2015</v>
      </c>
      <c r="E771" t="s">
        <v>1855</v>
      </c>
      <c r="F771" t="s">
        <v>11639</v>
      </c>
    </row>
    <row r="772" spans="1:6" x14ac:dyDescent="0.25">
      <c r="A772" t="s">
        <v>11640</v>
      </c>
      <c r="B772" t="s">
        <v>11599</v>
      </c>
      <c r="C772" t="s">
        <v>11600</v>
      </c>
      <c r="D772">
        <v>2015</v>
      </c>
      <c r="E772" t="s">
        <v>1855</v>
      </c>
      <c r="F772" t="s">
        <v>11641</v>
      </c>
    </row>
    <row r="773" spans="1:6" x14ac:dyDescent="0.25">
      <c r="A773" t="s">
        <v>11642</v>
      </c>
      <c r="B773" t="s">
        <v>11599</v>
      </c>
      <c r="C773" t="s">
        <v>11600</v>
      </c>
      <c r="D773">
        <v>2015</v>
      </c>
      <c r="E773" t="s">
        <v>1855</v>
      </c>
      <c r="F773" t="s">
        <v>11643</v>
      </c>
    </row>
    <row r="774" spans="1:6" x14ac:dyDescent="0.25">
      <c r="A774" t="s">
        <v>11644</v>
      </c>
      <c r="B774" t="s">
        <v>11599</v>
      </c>
      <c r="C774" t="s">
        <v>11600</v>
      </c>
      <c r="D774">
        <v>2015</v>
      </c>
      <c r="E774" t="s">
        <v>1855</v>
      </c>
      <c r="F774" t="s">
        <v>11645</v>
      </c>
    </row>
    <row r="775" spans="1:6" x14ac:dyDescent="0.25">
      <c r="A775" t="s">
        <v>11646</v>
      </c>
      <c r="B775" t="s">
        <v>11599</v>
      </c>
      <c r="C775" t="s">
        <v>11600</v>
      </c>
      <c r="D775">
        <v>2015</v>
      </c>
      <c r="E775" t="s">
        <v>1855</v>
      </c>
      <c r="F775" t="s">
        <v>11647</v>
      </c>
    </row>
    <row r="776" spans="1:6" x14ac:dyDescent="0.25">
      <c r="A776" t="s">
        <v>11648</v>
      </c>
      <c r="B776" t="s">
        <v>11599</v>
      </c>
      <c r="C776" t="s">
        <v>11600</v>
      </c>
      <c r="D776">
        <v>2015</v>
      </c>
      <c r="E776" t="s">
        <v>1855</v>
      </c>
      <c r="F776" t="s">
        <v>11649</v>
      </c>
    </row>
    <row r="777" spans="1:6" x14ac:dyDescent="0.25">
      <c r="A777" t="s">
        <v>11650</v>
      </c>
      <c r="B777" t="s">
        <v>11599</v>
      </c>
      <c r="C777" t="s">
        <v>11600</v>
      </c>
      <c r="D777">
        <v>2015</v>
      </c>
      <c r="E777" t="s">
        <v>1855</v>
      </c>
      <c r="F777" t="s">
        <v>11651</v>
      </c>
    </row>
    <row r="778" spans="1:6" x14ac:dyDescent="0.25">
      <c r="A778" t="s">
        <v>11652</v>
      </c>
      <c r="B778" t="s">
        <v>11599</v>
      </c>
      <c r="C778" t="s">
        <v>11600</v>
      </c>
      <c r="D778">
        <v>2015</v>
      </c>
      <c r="E778" t="s">
        <v>1855</v>
      </c>
      <c r="F778" t="s">
        <v>11653</v>
      </c>
    </row>
    <row r="779" spans="1:6" x14ac:dyDescent="0.25">
      <c r="A779" t="s">
        <v>11654</v>
      </c>
      <c r="B779" t="s">
        <v>11599</v>
      </c>
      <c r="C779" t="s">
        <v>11600</v>
      </c>
      <c r="D779">
        <v>2015</v>
      </c>
      <c r="E779" t="s">
        <v>1855</v>
      </c>
      <c r="F779" t="s">
        <v>11655</v>
      </c>
    </row>
    <row r="780" spans="1:6" x14ac:dyDescent="0.25">
      <c r="A780" t="s">
        <v>11656</v>
      </c>
      <c r="B780" t="s">
        <v>11599</v>
      </c>
      <c r="C780" t="s">
        <v>11600</v>
      </c>
      <c r="D780">
        <v>2015</v>
      </c>
      <c r="E780" t="s">
        <v>1855</v>
      </c>
      <c r="F780" t="s">
        <v>11657</v>
      </c>
    </row>
    <row r="781" spans="1:6" x14ac:dyDescent="0.25">
      <c r="A781" t="s">
        <v>11658</v>
      </c>
      <c r="B781" t="s">
        <v>11599</v>
      </c>
      <c r="C781" t="s">
        <v>11600</v>
      </c>
      <c r="D781">
        <v>2015</v>
      </c>
      <c r="E781" t="s">
        <v>1855</v>
      </c>
      <c r="F781" t="s">
        <v>11659</v>
      </c>
    </row>
    <row r="782" spans="1:6" x14ac:dyDescent="0.25">
      <c r="A782" t="s">
        <v>11660</v>
      </c>
      <c r="B782" t="s">
        <v>11599</v>
      </c>
      <c r="C782" t="s">
        <v>11600</v>
      </c>
      <c r="D782">
        <v>2015</v>
      </c>
      <c r="E782" t="s">
        <v>1855</v>
      </c>
      <c r="F782" t="s">
        <v>11661</v>
      </c>
    </row>
    <row r="783" spans="1:6" x14ac:dyDescent="0.25">
      <c r="A783" t="s">
        <v>11662</v>
      </c>
      <c r="B783" t="s">
        <v>11599</v>
      </c>
      <c r="C783" t="s">
        <v>11600</v>
      </c>
      <c r="D783">
        <v>2015</v>
      </c>
      <c r="E783" t="s">
        <v>1855</v>
      </c>
      <c r="F783" t="s">
        <v>11663</v>
      </c>
    </row>
    <row r="784" spans="1:6" x14ac:dyDescent="0.25">
      <c r="A784" t="s">
        <v>11664</v>
      </c>
      <c r="B784" t="s">
        <v>11599</v>
      </c>
      <c r="C784" t="s">
        <v>11600</v>
      </c>
      <c r="D784">
        <v>2015</v>
      </c>
      <c r="E784" t="s">
        <v>1855</v>
      </c>
      <c r="F784" t="s">
        <v>11665</v>
      </c>
    </row>
    <row r="785" spans="1:7" x14ac:dyDescent="0.25">
      <c r="A785" t="s">
        <v>11666</v>
      </c>
      <c r="B785" t="s">
        <v>11599</v>
      </c>
      <c r="C785" t="s">
        <v>11600</v>
      </c>
      <c r="D785">
        <v>2015</v>
      </c>
      <c r="E785" t="s">
        <v>1855</v>
      </c>
      <c r="F785" t="s">
        <v>11667</v>
      </c>
    </row>
    <row r="786" spans="1:7" x14ac:dyDescent="0.25">
      <c r="A786" t="s">
        <v>11668</v>
      </c>
      <c r="B786" t="s">
        <v>11599</v>
      </c>
      <c r="C786" t="s">
        <v>11600</v>
      </c>
      <c r="D786">
        <v>2025</v>
      </c>
      <c r="E786" t="s">
        <v>1855</v>
      </c>
      <c r="F786" t="s">
        <v>11669</v>
      </c>
    </row>
    <row r="787" spans="1:7" x14ac:dyDescent="0.25">
      <c r="A787" t="s">
        <v>11670</v>
      </c>
      <c r="B787" t="s">
        <v>11599</v>
      </c>
      <c r="C787" t="s">
        <v>11671</v>
      </c>
      <c r="D787">
        <v>2015</v>
      </c>
      <c r="E787" t="s">
        <v>1855</v>
      </c>
      <c r="F787" t="s">
        <v>11672</v>
      </c>
    </row>
    <row r="788" spans="1:7" x14ac:dyDescent="0.25">
      <c r="A788" t="s">
        <v>11673</v>
      </c>
      <c r="B788" t="s">
        <v>11599</v>
      </c>
      <c r="C788" t="s">
        <v>11671</v>
      </c>
      <c r="D788">
        <v>2015</v>
      </c>
      <c r="E788" t="s">
        <v>1855</v>
      </c>
      <c r="F788" t="s">
        <v>11674</v>
      </c>
    </row>
    <row r="789" spans="1:7" x14ac:dyDescent="0.25">
      <c r="A789" t="s">
        <v>11675</v>
      </c>
      <c r="B789" t="s">
        <v>11599</v>
      </c>
      <c r="C789" t="s">
        <v>11671</v>
      </c>
      <c r="D789">
        <v>2015</v>
      </c>
      <c r="E789" t="s">
        <v>1855</v>
      </c>
      <c r="F789" t="s">
        <v>11676</v>
      </c>
    </row>
    <row r="790" spans="1:7" x14ac:dyDescent="0.25">
      <c r="A790" t="s">
        <v>11677</v>
      </c>
      <c r="B790" t="s">
        <v>11599</v>
      </c>
      <c r="C790" t="s">
        <v>11671</v>
      </c>
      <c r="D790">
        <v>2015</v>
      </c>
      <c r="E790" t="s">
        <v>1855</v>
      </c>
      <c r="F790" t="s">
        <v>11678</v>
      </c>
    </row>
    <row r="791" spans="1:7" x14ac:dyDescent="0.25">
      <c r="A791" t="s">
        <v>11679</v>
      </c>
      <c r="B791" t="s">
        <v>11599</v>
      </c>
      <c r="C791" t="s">
        <v>11671</v>
      </c>
      <c r="D791">
        <v>2015</v>
      </c>
      <c r="E791" t="s">
        <v>1855</v>
      </c>
      <c r="F791" t="s">
        <v>11680</v>
      </c>
    </row>
    <row r="792" spans="1:7" x14ac:dyDescent="0.25">
      <c r="A792" t="s">
        <v>11681</v>
      </c>
      <c r="B792" t="s">
        <v>11599</v>
      </c>
      <c r="C792" t="s">
        <v>11671</v>
      </c>
      <c r="D792">
        <v>2015</v>
      </c>
      <c r="E792" t="s">
        <v>1855</v>
      </c>
      <c r="F792" t="s">
        <v>11682</v>
      </c>
    </row>
    <row r="793" spans="1:7" x14ac:dyDescent="0.25">
      <c r="A793" t="s">
        <v>11683</v>
      </c>
      <c r="B793" t="s">
        <v>11599</v>
      </c>
      <c r="C793" t="s">
        <v>11671</v>
      </c>
      <c r="D793">
        <v>2015</v>
      </c>
      <c r="E793" t="s">
        <v>1855</v>
      </c>
      <c r="F793" t="s">
        <v>11684</v>
      </c>
    </row>
    <row r="794" spans="1:7" x14ac:dyDescent="0.25">
      <c r="A794" t="s">
        <v>11685</v>
      </c>
      <c r="B794" t="s">
        <v>11599</v>
      </c>
      <c r="C794" t="s">
        <v>11671</v>
      </c>
      <c r="D794">
        <v>2015</v>
      </c>
      <c r="E794" t="s">
        <v>1855</v>
      </c>
      <c r="F794" t="s">
        <v>11686</v>
      </c>
    </row>
    <row r="795" spans="1:7" x14ac:dyDescent="0.25">
      <c r="A795" t="s">
        <v>11687</v>
      </c>
      <c r="B795" t="s">
        <v>11599</v>
      </c>
      <c r="C795" t="s">
        <v>11671</v>
      </c>
      <c r="D795">
        <v>2015</v>
      </c>
      <c r="E795" t="s">
        <v>1855</v>
      </c>
      <c r="F795" t="s">
        <v>11688</v>
      </c>
    </row>
    <row r="796" spans="1:7" x14ac:dyDescent="0.25">
      <c r="A796" t="s">
        <v>11689</v>
      </c>
      <c r="B796" t="s">
        <v>11599</v>
      </c>
      <c r="C796" t="s">
        <v>11671</v>
      </c>
      <c r="D796">
        <v>2015</v>
      </c>
      <c r="E796" t="s">
        <v>1855</v>
      </c>
      <c r="F796" t="s">
        <v>11690</v>
      </c>
    </row>
    <row r="797" spans="1:7" x14ac:dyDescent="0.25">
      <c r="A797" t="s">
        <v>11691</v>
      </c>
      <c r="B797" t="s">
        <v>11599</v>
      </c>
      <c r="C797" t="s">
        <v>11671</v>
      </c>
      <c r="D797">
        <v>2015</v>
      </c>
      <c r="E797" t="s">
        <v>1855</v>
      </c>
      <c r="F797" t="s">
        <v>11692</v>
      </c>
    </row>
    <row r="798" spans="1:7" x14ac:dyDescent="0.25">
      <c r="A798" t="s">
        <v>11693</v>
      </c>
      <c r="B798" t="s">
        <v>11599</v>
      </c>
      <c r="C798" t="s">
        <v>11671</v>
      </c>
      <c r="D798">
        <v>2015</v>
      </c>
      <c r="E798" t="s">
        <v>1855</v>
      </c>
      <c r="F798" t="s">
        <v>11694</v>
      </c>
    </row>
    <row r="799" spans="1:7" x14ac:dyDescent="0.25">
      <c r="A799" t="s">
        <v>11695</v>
      </c>
      <c r="B799" t="s">
        <v>11599</v>
      </c>
      <c r="C799" t="s">
        <v>11671</v>
      </c>
      <c r="D799">
        <v>2015</v>
      </c>
      <c r="E799" t="s">
        <v>1855</v>
      </c>
      <c r="F799" t="s">
        <v>11696</v>
      </c>
    </row>
    <row r="800" spans="1:7" x14ac:dyDescent="0.25">
      <c r="A800" t="s">
        <v>10107</v>
      </c>
      <c r="B800" t="s">
        <v>11697</v>
      </c>
      <c r="C800" t="s">
        <v>11698</v>
      </c>
      <c r="D800">
        <v>2020</v>
      </c>
      <c r="E800" t="s">
        <v>1895</v>
      </c>
      <c r="F800" t="s">
        <v>11699</v>
      </c>
      <c r="G800" t="s">
        <v>10071</v>
      </c>
    </row>
    <row r="801" spans="1:6" x14ac:dyDescent="0.25">
      <c r="A801" t="s">
        <v>11700</v>
      </c>
      <c r="B801" t="s">
        <v>11697</v>
      </c>
      <c r="C801" t="s">
        <v>11698</v>
      </c>
      <c r="D801">
        <v>2020</v>
      </c>
      <c r="E801" t="s">
        <v>1895</v>
      </c>
      <c r="F801" t="s">
        <v>11701</v>
      </c>
    </row>
    <row r="802" spans="1:6" x14ac:dyDescent="0.25">
      <c r="A802" t="s">
        <v>11702</v>
      </c>
      <c r="B802" t="s">
        <v>11697</v>
      </c>
      <c r="C802" t="s">
        <v>11698</v>
      </c>
      <c r="D802">
        <v>2020</v>
      </c>
      <c r="E802" t="s">
        <v>1895</v>
      </c>
      <c r="F802" t="s">
        <v>11703</v>
      </c>
    </row>
    <row r="803" spans="1:6" x14ac:dyDescent="0.25">
      <c r="A803" t="s">
        <v>11704</v>
      </c>
      <c r="B803" t="s">
        <v>11697</v>
      </c>
      <c r="C803" t="s">
        <v>11698</v>
      </c>
      <c r="D803">
        <v>2020</v>
      </c>
      <c r="E803" t="s">
        <v>1895</v>
      </c>
      <c r="F803" t="s">
        <v>11705</v>
      </c>
    </row>
    <row r="804" spans="1:6" x14ac:dyDescent="0.25">
      <c r="A804" t="s">
        <v>11706</v>
      </c>
      <c r="B804" t="s">
        <v>11697</v>
      </c>
      <c r="C804" t="s">
        <v>11698</v>
      </c>
      <c r="D804">
        <v>2020</v>
      </c>
      <c r="E804" t="s">
        <v>1895</v>
      </c>
      <c r="F804" t="s">
        <v>11707</v>
      </c>
    </row>
    <row r="805" spans="1:6" x14ac:dyDescent="0.25">
      <c r="A805" t="s">
        <v>11708</v>
      </c>
      <c r="B805" t="s">
        <v>11697</v>
      </c>
      <c r="C805" t="s">
        <v>11698</v>
      </c>
      <c r="D805">
        <v>2020</v>
      </c>
      <c r="E805" t="s">
        <v>1895</v>
      </c>
      <c r="F805" t="s">
        <v>11709</v>
      </c>
    </row>
    <row r="806" spans="1:6" x14ac:dyDescent="0.25">
      <c r="A806" t="s">
        <v>11710</v>
      </c>
      <c r="B806" t="s">
        <v>11697</v>
      </c>
      <c r="C806" t="s">
        <v>11698</v>
      </c>
      <c r="D806">
        <v>2020</v>
      </c>
      <c r="E806" t="s">
        <v>1895</v>
      </c>
      <c r="F806" t="s">
        <v>11711</v>
      </c>
    </row>
    <row r="807" spans="1:6" x14ac:dyDescent="0.25">
      <c r="A807" t="s">
        <v>11712</v>
      </c>
      <c r="B807" t="s">
        <v>11697</v>
      </c>
      <c r="C807" t="s">
        <v>11698</v>
      </c>
      <c r="D807">
        <v>2020</v>
      </c>
      <c r="E807" t="s">
        <v>1895</v>
      </c>
      <c r="F807" t="s">
        <v>11713</v>
      </c>
    </row>
    <row r="808" spans="1:6" x14ac:dyDescent="0.25">
      <c r="A808" t="s">
        <v>11714</v>
      </c>
      <c r="B808" t="s">
        <v>11697</v>
      </c>
      <c r="C808" t="s">
        <v>11698</v>
      </c>
      <c r="D808">
        <v>2020</v>
      </c>
      <c r="E808" t="s">
        <v>1895</v>
      </c>
      <c r="F808" t="s">
        <v>11715</v>
      </c>
    </row>
    <row r="809" spans="1:6" x14ac:dyDescent="0.25">
      <c r="A809" t="s">
        <v>11716</v>
      </c>
      <c r="B809" t="s">
        <v>11697</v>
      </c>
      <c r="C809" t="s">
        <v>11698</v>
      </c>
      <c r="D809">
        <v>2020</v>
      </c>
      <c r="E809" t="s">
        <v>1895</v>
      </c>
      <c r="F809" t="s">
        <v>11717</v>
      </c>
    </row>
    <row r="810" spans="1:6" x14ac:dyDescent="0.25">
      <c r="A810" t="s">
        <v>10936</v>
      </c>
      <c r="B810" t="s">
        <v>11697</v>
      </c>
      <c r="C810" t="s">
        <v>11698</v>
      </c>
      <c r="D810">
        <v>2020</v>
      </c>
      <c r="E810" t="s">
        <v>1895</v>
      </c>
      <c r="F810" t="s">
        <v>11718</v>
      </c>
    </row>
    <row r="811" spans="1:6" x14ac:dyDescent="0.25">
      <c r="A811" t="s">
        <v>11719</v>
      </c>
      <c r="B811" t="s">
        <v>11697</v>
      </c>
      <c r="C811" t="s">
        <v>11698</v>
      </c>
      <c r="D811">
        <v>2020</v>
      </c>
      <c r="E811" t="s">
        <v>1895</v>
      </c>
      <c r="F811" t="s">
        <v>11720</v>
      </c>
    </row>
    <row r="812" spans="1:6" x14ac:dyDescent="0.25">
      <c r="A812" t="s">
        <v>11721</v>
      </c>
      <c r="B812" t="s">
        <v>11697</v>
      </c>
      <c r="C812" t="s">
        <v>11698</v>
      </c>
      <c r="D812">
        <v>2020</v>
      </c>
      <c r="E812" t="s">
        <v>1895</v>
      </c>
      <c r="F812" t="s">
        <v>11722</v>
      </c>
    </row>
    <row r="813" spans="1:6" x14ac:dyDescent="0.25">
      <c r="A813" t="s">
        <v>11723</v>
      </c>
      <c r="B813" t="s">
        <v>11697</v>
      </c>
      <c r="C813" t="s">
        <v>11698</v>
      </c>
      <c r="D813">
        <v>2020</v>
      </c>
      <c r="E813" t="s">
        <v>1895</v>
      </c>
      <c r="F813" t="s">
        <v>11724</v>
      </c>
    </row>
    <row r="814" spans="1:6" x14ac:dyDescent="0.25">
      <c r="A814" t="s">
        <v>11725</v>
      </c>
      <c r="B814" t="s">
        <v>11697</v>
      </c>
      <c r="C814" t="s">
        <v>11698</v>
      </c>
      <c r="D814">
        <v>2020</v>
      </c>
      <c r="E814" t="s">
        <v>1895</v>
      </c>
      <c r="F814" t="s">
        <v>11726</v>
      </c>
    </row>
    <row r="815" spans="1:6" x14ac:dyDescent="0.25">
      <c r="A815" t="s">
        <v>11727</v>
      </c>
      <c r="B815" t="s">
        <v>11728</v>
      </c>
      <c r="C815" t="s">
        <v>11698</v>
      </c>
      <c r="D815">
        <v>2020</v>
      </c>
      <c r="E815" t="s">
        <v>1895</v>
      </c>
      <c r="F815" t="s">
        <v>11729</v>
      </c>
    </row>
    <row r="816" spans="1:6" x14ac:dyDescent="0.25">
      <c r="A816" t="s">
        <v>11730</v>
      </c>
      <c r="B816" t="s">
        <v>11697</v>
      </c>
      <c r="C816" t="s">
        <v>11698</v>
      </c>
      <c r="D816">
        <v>2020</v>
      </c>
      <c r="E816" t="s">
        <v>1895</v>
      </c>
      <c r="F816" t="s">
        <v>11731</v>
      </c>
    </row>
    <row r="817" spans="1:6" x14ac:dyDescent="0.25">
      <c r="A817" t="s">
        <v>11732</v>
      </c>
      <c r="B817" t="s">
        <v>11697</v>
      </c>
      <c r="C817" t="s">
        <v>11698</v>
      </c>
      <c r="D817">
        <v>2020</v>
      </c>
      <c r="E817" t="s">
        <v>1895</v>
      </c>
      <c r="F817" t="s">
        <v>11733</v>
      </c>
    </row>
    <row r="818" spans="1:6" x14ac:dyDescent="0.25">
      <c r="A818" t="s">
        <v>11734</v>
      </c>
      <c r="B818" t="s">
        <v>11697</v>
      </c>
      <c r="C818" t="s">
        <v>11698</v>
      </c>
      <c r="D818">
        <v>2020</v>
      </c>
      <c r="E818" t="s">
        <v>1895</v>
      </c>
      <c r="F818" t="s">
        <v>11735</v>
      </c>
    </row>
    <row r="819" spans="1:6" x14ac:dyDescent="0.25">
      <c r="A819" t="s">
        <v>11736</v>
      </c>
      <c r="B819" t="s">
        <v>11697</v>
      </c>
      <c r="C819" t="s">
        <v>11698</v>
      </c>
      <c r="D819">
        <v>2020</v>
      </c>
      <c r="E819" t="s">
        <v>1895</v>
      </c>
      <c r="F819" t="s">
        <v>11737</v>
      </c>
    </row>
    <row r="820" spans="1:6" x14ac:dyDescent="0.25">
      <c r="A820" t="s">
        <v>11738</v>
      </c>
      <c r="B820" t="s">
        <v>11697</v>
      </c>
      <c r="C820" t="s">
        <v>11698</v>
      </c>
      <c r="D820">
        <v>2020</v>
      </c>
      <c r="E820" t="s">
        <v>1895</v>
      </c>
      <c r="F820" t="s">
        <v>11739</v>
      </c>
    </row>
    <row r="821" spans="1:6" x14ac:dyDescent="0.25">
      <c r="A821" t="s">
        <v>11740</v>
      </c>
      <c r="B821" t="s">
        <v>11697</v>
      </c>
      <c r="C821" t="s">
        <v>11698</v>
      </c>
      <c r="D821">
        <v>2020</v>
      </c>
      <c r="E821" t="s">
        <v>1895</v>
      </c>
      <c r="F821" t="s">
        <v>11741</v>
      </c>
    </row>
    <row r="822" spans="1:6" x14ac:dyDescent="0.25">
      <c r="A822" t="s">
        <v>11742</v>
      </c>
      <c r="B822" t="s">
        <v>11697</v>
      </c>
      <c r="C822" t="s">
        <v>11698</v>
      </c>
      <c r="D822">
        <v>2020</v>
      </c>
      <c r="E822" t="s">
        <v>1895</v>
      </c>
      <c r="F822" t="s">
        <v>11743</v>
      </c>
    </row>
    <row r="823" spans="1:6" x14ac:dyDescent="0.25">
      <c r="A823" t="s">
        <v>11744</v>
      </c>
      <c r="B823" t="s">
        <v>11697</v>
      </c>
      <c r="C823" t="s">
        <v>11698</v>
      </c>
      <c r="D823">
        <v>2020</v>
      </c>
      <c r="E823" t="s">
        <v>1895</v>
      </c>
      <c r="F823" t="s">
        <v>11745</v>
      </c>
    </row>
    <row r="824" spans="1:6" x14ac:dyDescent="0.25">
      <c r="A824" t="s">
        <v>11746</v>
      </c>
      <c r="B824" t="s">
        <v>11697</v>
      </c>
      <c r="C824" t="s">
        <v>11698</v>
      </c>
      <c r="D824">
        <v>2020</v>
      </c>
      <c r="E824" t="s">
        <v>1895</v>
      </c>
      <c r="F824" t="s">
        <v>11747</v>
      </c>
    </row>
    <row r="825" spans="1:6" x14ac:dyDescent="0.25">
      <c r="A825" t="s">
        <v>11748</v>
      </c>
      <c r="B825" t="s">
        <v>11697</v>
      </c>
      <c r="C825" t="s">
        <v>11698</v>
      </c>
      <c r="D825">
        <v>2020</v>
      </c>
      <c r="E825" t="s">
        <v>1895</v>
      </c>
      <c r="F825" t="s">
        <v>11749</v>
      </c>
    </row>
    <row r="826" spans="1:6" x14ac:dyDescent="0.25">
      <c r="A826" t="s">
        <v>11750</v>
      </c>
      <c r="B826" t="s">
        <v>11697</v>
      </c>
      <c r="C826" t="s">
        <v>11698</v>
      </c>
      <c r="D826">
        <v>2020</v>
      </c>
      <c r="E826" t="s">
        <v>1895</v>
      </c>
      <c r="F826" t="s">
        <v>11751</v>
      </c>
    </row>
    <row r="827" spans="1:6" x14ac:dyDescent="0.25">
      <c r="A827" t="s">
        <v>11752</v>
      </c>
      <c r="B827" t="s">
        <v>11697</v>
      </c>
      <c r="C827" t="s">
        <v>11698</v>
      </c>
      <c r="D827">
        <v>2020</v>
      </c>
      <c r="E827" t="s">
        <v>1895</v>
      </c>
      <c r="F827" t="s">
        <v>11753</v>
      </c>
    </row>
    <row r="828" spans="1:6" x14ac:dyDescent="0.25">
      <c r="A828" t="s">
        <v>11754</v>
      </c>
      <c r="B828" t="s">
        <v>11697</v>
      </c>
      <c r="C828" t="s">
        <v>11698</v>
      </c>
      <c r="D828">
        <v>2020</v>
      </c>
      <c r="E828" t="s">
        <v>1895</v>
      </c>
      <c r="F828" t="s">
        <v>11755</v>
      </c>
    </row>
    <row r="829" spans="1:6" x14ac:dyDescent="0.25">
      <c r="A829" t="s">
        <v>11756</v>
      </c>
      <c r="B829" t="s">
        <v>11697</v>
      </c>
      <c r="C829" t="s">
        <v>11698</v>
      </c>
      <c r="D829">
        <v>2020</v>
      </c>
      <c r="E829" t="s">
        <v>1895</v>
      </c>
      <c r="F829" t="s">
        <v>11757</v>
      </c>
    </row>
    <row r="830" spans="1:6" x14ac:dyDescent="0.25">
      <c r="A830" t="s">
        <v>11758</v>
      </c>
      <c r="B830" t="s">
        <v>11697</v>
      </c>
      <c r="C830" t="s">
        <v>11698</v>
      </c>
      <c r="D830">
        <v>2020</v>
      </c>
      <c r="E830" t="s">
        <v>1895</v>
      </c>
      <c r="F830" t="s">
        <v>11759</v>
      </c>
    </row>
    <row r="831" spans="1:6" x14ac:dyDescent="0.25">
      <c r="A831" t="s">
        <v>11760</v>
      </c>
      <c r="B831" t="s">
        <v>11697</v>
      </c>
      <c r="C831" t="s">
        <v>11698</v>
      </c>
      <c r="D831">
        <v>2020</v>
      </c>
      <c r="E831" t="s">
        <v>1895</v>
      </c>
      <c r="F831" t="s">
        <v>11761</v>
      </c>
    </row>
    <row r="832" spans="1:6" x14ac:dyDescent="0.25">
      <c r="A832" t="s">
        <v>11762</v>
      </c>
      <c r="B832" t="s">
        <v>11728</v>
      </c>
      <c r="C832" t="s">
        <v>11698</v>
      </c>
      <c r="D832">
        <v>2020</v>
      </c>
      <c r="E832" t="s">
        <v>1895</v>
      </c>
      <c r="F832" t="s">
        <v>11763</v>
      </c>
    </row>
    <row r="833" spans="1:7" x14ac:dyDescent="0.25">
      <c r="A833" t="s">
        <v>11764</v>
      </c>
      <c r="B833" t="s">
        <v>11728</v>
      </c>
      <c r="C833" t="s">
        <v>11698</v>
      </c>
      <c r="D833">
        <v>2020</v>
      </c>
      <c r="E833" t="s">
        <v>1895</v>
      </c>
      <c r="F833" t="s">
        <v>11765</v>
      </c>
    </row>
    <row r="834" spans="1:7" x14ac:dyDescent="0.25">
      <c r="A834" t="s">
        <v>11766</v>
      </c>
      <c r="B834" t="s">
        <v>11697</v>
      </c>
      <c r="C834" t="s">
        <v>11698</v>
      </c>
      <c r="D834">
        <v>2020</v>
      </c>
      <c r="E834" t="s">
        <v>1895</v>
      </c>
      <c r="F834" t="s">
        <v>11767</v>
      </c>
    </row>
    <row r="835" spans="1:7" x14ac:dyDescent="0.25">
      <c r="A835" t="s">
        <v>11768</v>
      </c>
      <c r="B835" t="s">
        <v>11697</v>
      </c>
      <c r="C835" t="s">
        <v>11698</v>
      </c>
      <c r="D835">
        <v>2020</v>
      </c>
      <c r="E835" t="s">
        <v>1895</v>
      </c>
      <c r="F835" t="s">
        <v>11769</v>
      </c>
    </row>
    <row r="836" spans="1:7" x14ac:dyDescent="0.25">
      <c r="A836" t="s">
        <v>11770</v>
      </c>
      <c r="B836" t="s">
        <v>11697</v>
      </c>
      <c r="C836" t="s">
        <v>11698</v>
      </c>
      <c r="D836">
        <v>2020</v>
      </c>
      <c r="E836" t="s">
        <v>1895</v>
      </c>
      <c r="F836" t="s">
        <v>11771</v>
      </c>
    </row>
    <row r="837" spans="1:7" x14ac:dyDescent="0.25">
      <c r="A837" t="s">
        <v>11772</v>
      </c>
      <c r="B837" t="s">
        <v>11697</v>
      </c>
      <c r="C837" t="s">
        <v>11698</v>
      </c>
      <c r="D837">
        <v>2020</v>
      </c>
      <c r="E837" t="s">
        <v>1895</v>
      </c>
      <c r="F837" t="s">
        <v>11773</v>
      </c>
    </row>
    <row r="838" spans="1:7" x14ac:dyDescent="0.25">
      <c r="A838" t="s">
        <v>7438</v>
      </c>
      <c r="B838" t="s">
        <v>11697</v>
      </c>
      <c r="C838" t="s">
        <v>11698</v>
      </c>
      <c r="D838">
        <v>2020</v>
      </c>
      <c r="E838" t="s">
        <v>1895</v>
      </c>
      <c r="F838" t="s">
        <v>11774</v>
      </c>
    </row>
    <row r="839" spans="1:7" x14ac:dyDescent="0.25">
      <c r="A839" t="s">
        <v>11775</v>
      </c>
      <c r="B839" t="s">
        <v>11697</v>
      </c>
      <c r="C839" t="s">
        <v>11698</v>
      </c>
      <c r="D839">
        <v>2020</v>
      </c>
      <c r="E839" t="s">
        <v>1895</v>
      </c>
      <c r="F839" t="s">
        <v>11776</v>
      </c>
    </row>
    <row r="840" spans="1:7" x14ac:dyDescent="0.25">
      <c r="A840" t="s">
        <v>11777</v>
      </c>
      <c r="B840" t="s">
        <v>11778</v>
      </c>
      <c r="C840" t="s">
        <v>11698</v>
      </c>
      <c r="D840">
        <v>2020</v>
      </c>
      <c r="E840" t="s">
        <v>1895</v>
      </c>
      <c r="F840" t="s">
        <v>11779</v>
      </c>
    </row>
    <row r="841" spans="1:7" x14ac:dyDescent="0.25">
      <c r="A841" t="s">
        <v>11780</v>
      </c>
      <c r="B841" t="s">
        <v>11697</v>
      </c>
      <c r="C841" t="s">
        <v>11698</v>
      </c>
      <c r="D841">
        <v>2020</v>
      </c>
      <c r="E841" t="s">
        <v>1895</v>
      </c>
      <c r="F841" t="s">
        <v>11781</v>
      </c>
    </row>
    <row r="842" spans="1:7" x14ac:dyDescent="0.25">
      <c r="A842" t="s">
        <v>1951</v>
      </c>
      <c r="B842" t="s">
        <v>11782</v>
      </c>
      <c r="C842" t="s">
        <v>11783</v>
      </c>
      <c r="D842">
        <v>2023</v>
      </c>
      <c r="E842" t="s">
        <v>1951</v>
      </c>
      <c r="F842" t="s">
        <v>11784</v>
      </c>
      <c r="G842" t="s">
        <v>10071</v>
      </c>
    </row>
    <row r="843" spans="1:7" x14ac:dyDescent="0.25">
      <c r="A843" t="s">
        <v>11785</v>
      </c>
      <c r="B843" t="s">
        <v>11782</v>
      </c>
      <c r="C843" t="s">
        <v>11783</v>
      </c>
      <c r="D843">
        <v>2023</v>
      </c>
      <c r="E843" t="s">
        <v>1951</v>
      </c>
      <c r="F843" t="s">
        <v>11786</v>
      </c>
    </row>
    <row r="844" spans="1:7" x14ac:dyDescent="0.25">
      <c r="A844" t="s">
        <v>11787</v>
      </c>
      <c r="B844" t="s">
        <v>11782</v>
      </c>
      <c r="C844" t="s">
        <v>11783</v>
      </c>
      <c r="D844">
        <v>2023</v>
      </c>
      <c r="E844" t="s">
        <v>1951</v>
      </c>
      <c r="F844" t="s">
        <v>11788</v>
      </c>
    </row>
    <row r="845" spans="1:7" x14ac:dyDescent="0.25">
      <c r="A845" t="s">
        <v>11789</v>
      </c>
      <c r="B845" t="s">
        <v>11782</v>
      </c>
      <c r="C845" t="s">
        <v>11783</v>
      </c>
      <c r="D845">
        <v>2023</v>
      </c>
      <c r="E845" t="s">
        <v>1951</v>
      </c>
      <c r="F845" t="s">
        <v>11790</v>
      </c>
    </row>
    <row r="846" spans="1:7" x14ac:dyDescent="0.25">
      <c r="A846" t="s">
        <v>11791</v>
      </c>
      <c r="B846" t="s">
        <v>11782</v>
      </c>
      <c r="C846" t="s">
        <v>11783</v>
      </c>
      <c r="D846">
        <v>2023</v>
      </c>
      <c r="E846" t="s">
        <v>1951</v>
      </c>
      <c r="F846" t="s">
        <v>11792</v>
      </c>
    </row>
    <row r="847" spans="1:7" x14ac:dyDescent="0.25">
      <c r="A847" t="s">
        <v>11793</v>
      </c>
      <c r="B847" t="s">
        <v>11782</v>
      </c>
      <c r="C847" t="s">
        <v>11783</v>
      </c>
      <c r="D847">
        <v>2023</v>
      </c>
      <c r="E847" t="s">
        <v>1951</v>
      </c>
      <c r="F847" t="s">
        <v>11794</v>
      </c>
    </row>
    <row r="848" spans="1:7" x14ac:dyDescent="0.25">
      <c r="A848" t="s">
        <v>11795</v>
      </c>
      <c r="B848" t="s">
        <v>11782</v>
      </c>
      <c r="C848" t="s">
        <v>11783</v>
      </c>
      <c r="D848">
        <v>2023</v>
      </c>
      <c r="E848" t="s">
        <v>1951</v>
      </c>
      <c r="F848" t="s">
        <v>11796</v>
      </c>
    </row>
    <row r="849" spans="1:6" x14ac:dyDescent="0.25">
      <c r="A849" t="s">
        <v>11797</v>
      </c>
      <c r="B849" t="s">
        <v>11782</v>
      </c>
      <c r="C849" t="s">
        <v>11783</v>
      </c>
      <c r="D849">
        <v>2023</v>
      </c>
      <c r="E849" t="s">
        <v>1951</v>
      </c>
      <c r="F849" t="s">
        <v>11798</v>
      </c>
    </row>
    <row r="850" spans="1:6" x14ac:dyDescent="0.25">
      <c r="A850" t="s">
        <v>11799</v>
      </c>
      <c r="B850" t="s">
        <v>11782</v>
      </c>
      <c r="C850" t="s">
        <v>11783</v>
      </c>
      <c r="D850">
        <v>2023</v>
      </c>
      <c r="E850" t="s">
        <v>1951</v>
      </c>
      <c r="F850" t="s">
        <v>11800</v>
      </c>
    </row>
    <row r="851" spans="1:6" x14ac:dyDescent="0.25">
      <c r="A851" t="s">
        <v>11801</v>
      </c>
      <c r="B851" t="s">
        <v>11782</v>
      </c>
      <c r="C851" t="s">
        <v>11783</v>
      </c>
      <c r="D851">
        <v>2023</v>
      </c>
      <c r="E851" t="s">
        <v>1951</v>
      </c>
      <c r="F851" t="s">
        <v>11802</v>
      </c>
    </row>
    <row r="852" spans="1:6" x14ac:dyDescent="0.25">
      <c r="A852" t="s">
        <v>11803</v>
      </c>
      <c r="B852" t="s">
        <v>11782</v>
      </c>
      <c r="C852" t="s">
        <v>11783</v>
      </c>
      <c r="D852">
        <v>2023</v>
      </c>
      <c r="E852" t="s">
        <v>1951</v>
      </c>
      <c r="F852" t="s">
        <v>11804</v>
      </c>
    </row>
    <row r="853" spans="1:6" x14ac:dyDescent="0.25">
      <c r="A853" t="s">
        <v>11805</v>
      </c>
      <c r="B853" t="s">
        <v>11782</v>
      </c>
      <c r="C853" t="s">
        <v>11783</v>
      </c>
      <c r="D853">
        <v>2023</v>
      </c>
      <c r="E853" t="s">
        <v>1951</v>
      </c>
      <c r="F853" t="s">
        <v>11806</v>
      </c>
    </row>
    <row r="854" spans="1:6" x14ac:dyDescent="0.25">
      <c r="A854" t="s">
        <v>11807</v>
      </c>
      <c r="B854" t="s">
        <v>11782</v>
      </c>
      <c r="C854" t="s">
        <v>11783</v>
      </c>
      <c r="D854">
        <v>2026</v>
      </c>
      <c r="E854" t="s">
        <v>1951</v>
      </c>
      <c r="F854" t="s">
        <v>11808</v>
      </c>
    </row>
    <row r="855" spans="1:6" x14ac:dyDescent="0.25">
      <c r="A855" t="s">
        <v>11809</v>
      </c>
      <c r="B855" t="s">
        <v>11782</v>
      </c>
      <c r="C855" t="s">
        <v>11783</v>
      </c>
      <c r="D855">
        <v>2026</v>
      </c>
      <c r="E855" t="s">
        <v>1951</v>
      </c>
      <c r="F855" t="s">
        <v>11810</v>
      </c>
    </row>
    <row r="856" spans="1:6" x14ac:dyDescent="0.25">
      <c r="A856" t="s">
        <v>11811</v>
      </c>
      <c r="B856" t="s">
        <v>11782</v>
      </c>
      <c r="C856" t="s">
        <v>11783</v>
      </c>
      <c r="D856">
        <v>2026</v>
      </c>
      <c r="E856" t="s">
        <v>1951</v>
      </c>
      <c r="F856" t="s">
        <v>11812</v>
      </c>
    </row>
    <row r="857" spans="1:6" x14ac:dyDescent="0.25">
      <c r="A857" t="s">
        <v>11813</v>
      </c>
      <c r="B857" t="s">
        <v>11782</v>
      </c>
      <c r="C857" t="s">
        <v>11783</v>
      </c>
      <c r="D857">
        <v>2026</v>
      </c>
      <c r="E857" t="s">
        <v>1951</v>
      </c>
      <c r="F857" t="s">
        <v>11814</v>
      </c>
    </row>
    <row r="858" spans="1:6" x14ac:dyDescent="0.25">
      <c r="A858" t="s">
        <v>11815</v>
      </c>
      <c r="B858" t="s">
        <v>11782</v>
      </c>
      <c r="C858" t="s">
        <v>11783</v>
      </c>
      <c r="D858">
        <v>2026</v>
      </c>
      <c r="E858" t="s">
        <v>1951</v>
      </c>
      <c r="F858" t="s">
        <v>11816</v>
      </c>
    </row>
    <row r="859" spans="1:6" x14ac:dyDescent="0.25">
      <c r="A859" t="s">
        <v>11817</v>
      </c>
      <c r="B859" t="s">
        <v>11782</v>
      </c>
      <c r="C859" t="s">
        <v>11783</v>
      </c>
      <c r="D859">
        <v>2026</v>
      </c>
      <c r="E859" t="s">
        <v>1951</v>
      </c>
      <c r="F859" t="s">
        <v>11818</v>
      </c>
    </row>
    <row r="860" spans="1:6" x14ac:dyDescent="0.25">
      <c r="A860" t="s">
        <v>11819</v>
      </c>
      <c r="B860" t="s">
        <v>11782</v>
      </c>
      <c r="C860" t="s">
        <v>11783</v>
      </c>
      <c r="D860">
        <v>2026</v>
      </c>
      <c r="E860" t="s">
        <v>1951</v>
      </c>
      <c r="F860" t="s">
        <v>11820</v>
      </c>
    </row>
    <row r="861" spans="1:6" x14ac:dyDescent="0.25">
      <c r="A861" t="s">
        <v>11821</v>
      </c>
      <c r="B861" t="s">
        <v>11782</v>
      </c>
      <c r="C861" t="s">
        <v>11783</v>
      </c>
      <c r="D861">
        <v>2026</v>
      </c>
      <c r="E861" t="s">
        <v>1951</v>
      </c>
      <c r="F861" t="s">
        <v>11822</v>
      </c>
    </row>
    <row r="862" spans="1:6" x14ac:dyDescent="0.25">
      <c r="A862" t="s">
        <v>11823</v>
      </c>
      <c r="B862" t="s">
        <v>11782</v>
      </c>
      <c r="C862" t="s">
        <v>11783</v>
      </c>
      <c r="D862">
        <v>2026</v>
      </c>
      <c r="E862" t="s">
        <v>1951</v>
      </c>
      <c r="F862" t="s">
        <v>11824</v>
      </c>
    </row>
    <row r="863" spans="1:6" x14ac:dyDescent="0.25">
      <c r="A863" t="s">
        <v>11825</v>
      </c>
      <c r="B863" t="s">
        <v>11782</v>
      </c>
      <c r="C863" t="s">
        <v>11783</v>
      </c>
      <c r="D863">
        <v>2026</v>
      </c>
      <c r="E863" t="s">
        <v>1951</v>
      </c>
      <c r="F863" t="s">
        <v>11826</v>
      </c>
    </row>
    <row r="864" spans="1:6" x14ac:dyDescent="0.25">
      <c r="A864" t="s">
        <v>11827</v>
      </c>
      <c r="B864" t="s">
        <v>11828</v>
      </c>
      <c r="C864" t="s">
        <v>11829</v>
      </c>
      <c r="D864">
        <v>2005</v>
      </c>
      <c r="E864" t="s">
        <v>2009</v>
      </c>
      <c r="F864" t="s">
        <v>11830</v>
      </c>
    </row>
    <row r="865" spans="1:7" x14ac:dyDescent="0.25">
      <c r="A865" t="s">
        <v>11831</v>
      </c>
      <c r="B865" t="s">
        <v>11828</v>
      </c>
      <c r="C865" t="s">
        <v>11829</v>
      </c>
      <c r="D865">
        <v>2005</v>
      </c>
      <c r="E865" t="s">
        <v>2009</v>
      </c>
      <c r="F865" t="s">
        <v>11832</v>
      </c>
    </row>
    <row r="866" spans="1:7" x14ac:dyDescent="0.25">
      <c r="A866" t="s">
        <v>11833</v>
      </c>
      <c r="B866" t="s">
        <v>11828</v>
      </c>
      <c r="C866" t="s">
        <v>11829</v>
      </c>
      <c r="D866">
        <v>2005</v>
      </c>
      <c r="E866" t="s">
        <v>2009</v>
      </c>
      <c r="F866" t="s">
        <v>11834</v>
      </c>
      <c r="G866" t="s">
        <v>10071</v>
      </c>
    </row>
    <row r="867" spans="1:7" x14ac:dyDescent="0.25">
      <c r="A867" t="s">
        <v>11835</v>
      </c>
      <c r="B867" t="s">
        <v>11828</v>
      </c>
      <c r="C867" t="s">
        <v>11829</v>
      </c>
      <c r="D867">
        <v>2005</v>
      </c>
      <c r="E867" t="s">
        <v>2009</v>
      </c>
      <c r="F867" t="s">
        <v>11836</v>
      </c>
    </row>
    <row r="868" spans="1:7" x14ac:dyDescent="0.25">
      <c r="A868" t="s">
        <v>11837</v>
      </c>
      <c r="B868" t="s">
        <v>11828</v>
      </c>
      <c r="C868" t="s">
        <v>11829</v>
      </c>
      <c r="D868">
        <v>2005</v>
      </c>
      <c r="E868" t="s">
        <v>2009</v>
      </c>
      <c r="F868" t="s">
        <v>11838</v>
      </c>
    </row>
    <row r="869" spans="1:7" x14ac:dyDescent="0.25">
      <c r="A869" t="s">
        <v>11839</v>
      </c>
      <c r="B869" t="s">
        <v>11828</v>
      </c>
      <c r="C869" t="s">
        <v>11829</v>
      </c>
      <c r="D869">
        <v>2005</v>
      </c>
      <c r="E869" t="s">
        <v>2009</v>
      </c>
      <c r="F869" t="s">
        <v>11840</v>
      </c>
    </row>
    <row r="870" spans="1:7" x14ac:dyDescent="0.25">
      <c r="A870" t="s">
        <v>11841</v>
      </c>
      <c r="B870" t="s">
        <v>11828</v>
      </c>
      <c r="C870" t="s">
        <v>11829</v>
      </c>
      <c r="D870">
        <v>2005</v>
      </c>
      <c r="E870" t="s">
        <v>2009</v>
      </c>
      <c r="F870" t="s">
        <v>11842</v>
      </c>
    </row>
    <row r="871" spans="1:7" x14ac:dyDescent="0.25">
      <c r="A871" t="s">
        <v>11843</v>
      </c>
      <c r="B871" t="s">
        <v>11828</v>
      </c>
      <c r="C871" t="s">
        <v>11829</v>
      </c>
      <c r="D871">
        <v>2005</v>
      </c>
      <c r="E871" t="s">
        <v>2009</v>
      </c>
      <c r="F871" t="s">
        <v>11844</v>
      </c>
    </row>
    <row r="872" spans="1:7" x14ac:dyDescent="0.25">
      <c r="A872" t="s">
        <v>11845</v>
      </c>
      <c r="B872" t="s">
        <v>11828</v>
      </c>
      <c r="C872" t="s">
        <v>11829</v>
      </c>
      <c r="D872">
        <v>2005</v>
      </c>
      <c r="E872" t="s">
        <v>2009</v>
      </c>
      <c r="F872" t="s">
        <v>11846</v>
      </c>
    </row>
    <row r="873" spans="1:7" x14ac:dyDescent="0.25">
      <c r="A873" t="s">
        <v>11847</v>
      </c>
      <c r="B873" t="s">
        <v>11828</v>
      </c>
      <c r="C873" t="s">
        <v>11829</v>
      </c>
      <c r="D873">
        <v>2005</v>
      </c>
      <c r="E873" t="s">
        <v>2009</v>
      </c>
      <c r="F873" t="s">
        <v>11848</v>
      </c>
    </row>
    <row r="874" spans="1:7" x14ac:dyDescent="0.25">
      <c r="A874" t="s">
        <v>11849</v>
      </c>
      <c r="B874" t="s">
        <v>11828</v>
      </c>
      <c r="C874" t="s">
        <v>11829</v>
      </c>
      <c r="D874">
        <v>2005</v>
      </c>
      <c r="E874" t="s">
        <v>2009</v>
      </c>
      <c r="F874" t="s">
        <v>11850</v>
      </c>
    </row>
    <row r="875" spans="1:7" x14ac:dyDescent="0.25">
      <c r="A875" t="s">
        <v>11851</v>
      </c>
      <c r="B875" t="s">
        <v>11828</v>
      </c>
      <c r="C875" t="s">
        <v>11829</v>
      </c>
      <c r="D875">
        <v>2005</v>
      </c>
      <c r="E875" t="s">
        <v>2009</v>
      </c>
      <c r="F875" t="s">
        <v>11852</v>
      </c>
    </row>
    <row r="876" spans="1:7" x14ac:dyDescent="0.25">
      <c r="A876" t="s">
        <v>11853</v>
      </c>
      <c r="B876" t="s">
        <v>11828</v>
      </c>
      <c r="C876" t="s">
        <v>11829</v>
      </c>
      <c r="D876">
        <v>2005</v>
      </c>
      <c r="E876" t="s">
        <v>2009</v>
      </c>
      <c r="F876" t="s">
        <v>11854</v>
      </c>
    </row>
    <row r="877" spans="1:7" x14ac:dyDescent="0.25">
      <c r="A877" t="s">
        <v>11855</v>
      </c>
      <c r="B877" t="s">
        <v>11828</v>
      </c>
      <c r="C877" t="s">
        <v>11829</v>
      </c>
      <c r="D877">
        <v>2005</v>
      </c>
      <c r="E877" t="s">
        <v>2009</v>
      </c>
      <c r="F877" t="s">
        <v>11856</v>
      </c>
    </row>
    <row r="878" spans="1:7" x14ac:dyDescent="0.25">
      <c r="A878" t="s">
        <v>11857</v>
      </c>
      <c r="B878" t="s">
        <v>11828</v>
      </c>
      <c r="C878" t="s">
        <v>11829</v>
      </c>
      <c r="D878">
        <v>2005</v>
      </c>
      <c r="E878" t="s">
        <v>2009</v>
      </c>
      <c r="F878" t="s">
        <v>11858</v>
      </c>
    </row>
    <row r="879" spans="1:7" x14ac:dyDescent="0.25">
      <c r="A879" t="s">
        <v>11859</v>
      </c>
      <c r="B879" t="s">
        <v>11828</v>
      </c>
      <c r="C879" t="s">
        <v>11829</v>
      </c>
      <c r="D879">
        <v>2005</v>
      </c>
      <c r="E879" t="s">
        <v>2009</v>
      </c>
      <c r="F879" t="s">
        <v>11860</v>
      </c>
    </row>
    <row r="880" spans="1:7" x14ac:dyDescent="0.25">
      <c r="A880" t="s">
        <v>11861</v>
      </c>
      <c r="B880" t="s">
        <v>11828</v>
      </c>
      <c r="C880" t="s">
        <v>11829</v>
      </c>
      <c r="D880">
        <v>2005</v>
      </c>
      <c r="E880" t="s">
        <v>2009</v>
      </c>
      <c r="F880" t="s">
        <v>11862</v>
      </c>
    </row>
    <row r="881" spans="1:6" x14ac:dyDescent="0.25">
      <c r="A881" t="s">
        <v>11863</v>
      </c>
      <c r="B881" t="s">
        <v>11828</v>
      </c>
      <c r="C881" t="s">
        <v>11829</v>
      </c>
      <c r="D881">
        <v>2005</v>
      </c>
      <c r="E881" t="s">
        <v>2009</v>
      </c>
      <c r="F881" t="s">
        <v>11864</v>
      </c>
    </row>
    <row r="882" spans="1:6" x14ac:dyDescent="0.25">
      <c r="A882" t="s">
        <v>11865</v>
      </c>
      <c r="B882" t="s">
        <v>11828</v>
      </c>
      <c r="C882" t="s">
        <v>11829</v>
      </c>
      <c r="D882">
        <v>2005</v>
      </c>
      <c r="E882" t="s">
        <v>2009</v>
      </c>
      <c r="F882" t="s">
        <v>11866</v>
      </c>
    </row>
    <row r="883" spans="1:6" x14ac:dyDescent="0.25">
      <c r="A883" t="s">
        <v>11867</v>
      </c>
      <c r="B883" t="s">
        <v>11828</v>
      </c>
      <c r="C883" t="s">
        <v>11829</v>
      </c>
      <c r="D883">
        <v>2005</v>
      </c>
      <c r="E883" t="s">
        <v>2009</v>
      </c>
      <c r="F883" t="s">
        <v>11868</v>
      </c>
    </row>
    <row r="884" spans="1:6" x14ac:dyDescent="0.25">
      <c r="A884" t="s">
        <v>11869</v>
      </c>
      <c r="B884" t="s">
        <v>11828</v>
      </c>
      <c r="C884" t="s">
        <v>11829</v>
      </c>
      <c r="D884">
        <v>2005</v>
      </c>
      <c r="E884" t="s">
        <v>2009</v>
      </c>
      <c r="F884" t="s">
        <v>11870</v>
      </c>
    </row>
    <row r="885" spans="1:6" x14ac:dyDescent="0.25">
      <c r="A885" t="s">
        <v>11871</v>
      </c>
      <c r="B885" t="s">
        <v>11828</v>
      </c>
      <c r="C885" t="s">
        <v>11829</v>
      </c>
      <c r="D885">
        <v>2005</v>
      </c>
      <c r="E885" t="s">
        <v>2009</v>
      </c>
      <c r="F885" t="s">
        <v>11872</v>
      </c>
    </row>
    <row r="886" spans="1:6" x14ac:dyDescent="0.25">
      <c r="A886" t="s">
        <v>11873</v>
      </c>
      <c r="B886" t="s">
        <v>11828</v>
      </c>
      <c r="C886" t="s">
        <v>11829</v>
      </c>
      <c r="D886">
        <v>2005</v>
      </c>
      <c r="E886" t="s">
        <v>2009</v>
      </c>
      <c r="F886" t="s">
        <v>11874</v>
      </c>
    </row>
    <row r="887" spans="1:6" x14ac:dyDescent="0.25">
      <c r="A887" t="s">
        <v>11875</v>
      </c>
      <c r="B887" t="s">
        <v>11828</v>
      </c>
      <c r="C887" t="s">
        <v>11829</v>
      </c>
      <c r="D887">
        <v>2005</v>
      </c>
      <c r="E887" t="s">
        <v>2009</v>
      </c>
      <c r="F887" t="s">
        <v>11876</v>
      </c>
    </row>
    <row r="888" spans="1:6" x14ac:dyDescent="0.25">
      <c r="A888" t="s">
        <v>11877</v>
      </c>
      <c r="B888" t="s">
        <v>11828</v>
      </c>
      <c r="C888" t="s">
        <v>11829</v>
      </c>
      <c r="D888">
        <v>2005</v>
      </c>
      <c r="E888" t="s">
        <v>2009</v>
      </c>
      <c r="F888" t="s">
        <v>11878</v>
      </c>
    </row>
    <row r="889" spans="1:6" x14ac:dyDescent="0.25">
      <c r="A889" t="s">
        <v>11879</v>
      </c>
      <c r="B889" t="s">
        <v>11828</v>
      </c>
      <c r="C889" t="s">
        <v>11829</v>
      </c>
      <c r="D889">
        <v>2005</v>
      </c>
      <c r="E889" t="s">
        <v>2009</v>
      </c>
      <c r="F889" t="s">
        <v>11880</v>
      </c>
    </row>
    <row r="890" spans="1:6" x14ac:dyDescent="0.25">
      <c r="A890" t="s">
        <v>11881</v>
      </c>
      <c r="B890" t="s">
        <v>11828</v>
      </c>
      <c r="C890" t="s">
        <v>11829</v>
      </c>
      <c r="D890">
        <v>2005</v>
      </c>
      <c r="E890" t="s">
        <v>2009</v>
      </c>
      <c r="F890" t="s">
        <v>11882</v>
      </c>
    </row>
    <row r="891" spans="1:6" x14ac:dyDescent="0.25">
      <c r="A891" t="s">
        <v>11883</v>
      </c>
      <c r="B891" t="s">
        <v>11828</v>
      </c>
      <c r="C891" t="s">
        <v>11829</v>
      </c>
      <c r="D891">
        <v>2005</v>
      </c>
      <c r="E891" t="s">
        <v>2009</v>
      </c>
      <c r="F891" t="s">
        <v>11884</v>
      </c>
    </row>
    <row r="892" spans="1:6" x14ac:dyDescent="0.25">
      <c r="A892" t="s">
        <v>11885</v>
      </c>
      <c r="B892" t="s">
        <v>11828</v>
      </c>
      <c r="C892" t="s">
        <v>11829</v>
      </c>
      <c r="D892">
        <v>2005</v>
      </c>
      <c r="E892" t="s">
        <v>2009</v>
      </c>
      <c r="F892" t="s">
        <v>11886</v>
      </c>
    </row>
    <row r="893" spans="1:6" x14ac:dyDescent="0.25">
      <c r="A893" t="s">
        <v>11887</v>
      </c>
      <c r="B893" t="s">
        <v>11828</v>
      </c>
      <c r="C893" t="s">
        <v>11829</v>
      </c>
      <c r="D893">
        <v>2005</v>
      </c>
      <c r="E893" t="s">
        <v>2009</v>
      </c>
      <c r="F893" t="s">
        <v>11888</v>
      </c>
    </row>
    <row r="894" spans="1:6" x14ac:dyDescent="0.25">
      <c r="A894" t="s">
        <v>11889</v>
      </c>
      <c r="B894" t="s">
        <v>11828</v>
      </c>
      <c r="C894" t="s">
        <v>11829</v>
      </c>
      <c r="D894">
        <v>2005</v>
      </c>
      <c r="E894" t="s">
        <v>2009</v>
      </c>
      <c r="F894" t="s">
        <v>11890</v>
      </c>
    </row>
    <row r="895" spans="1:6" x14ac:dyDescent="0.25">
      <c r="A895" t="s">
        <v>11891</v>
      </c>
      <c r="B895" t="s">
        <v>11828</v>
      </c>
      <c r="C895" t="s">
        <v>11829</v>
      </c>
      <c r="D895">
        <v>2005</v>
      </c>
      <c r="E895" t="s">
        <v>2009</v>
      </c>
      <c r="F895" t="s">
        <v>11892</v>
      </c>
    </row>
    <row r="896" spans="1:6" x14ac:dyDescent="0.25">
      <c r="A896" t="s">
        <v>11893</v>
      </c>
      <c r="B896" t="s">
        <v>11828</v>
      </c>
      <c r="C896" t="s">
        <v>11829</v>
      </c>
      <c r="D896">
        <v>2005</v>
      </c>
      <c r="E896" t="s">
        <v>2009</v>
      </c>
      <c r="F896" t="s">
        <v>11894</v>
      </c>
    </row>
    <row r="897" spans="1:6" x14ac:dyDescent="0.25">
      <c r="A897" t="s">
        <v>11895</v>
      </c>
      <c r="B897" t="s">
        <v>11828</v>
      </c>
      <c r="C897" t="s">
        <v>11829</v>
      </c>
      <c r="D897">
        <v>2005</v>
      </c>
      <c r="E897" t="s">
        <v>2009</v>
      </c>
      <c r="F897" t="s">
        <v>11896</v>
      </c>
    </row>
    <row r="898" spans="1:6" x14ac:dyDescent="0.25">
      <c r="A898" t="s">
        <v>11897</v>
      </c>
      <c r="B898" t="s">
        <v>11828</v>
      </c>
      <c r="C898" t="s">
        <v>11829</v>
      </c>
      <c r="D898">
        <v>2005</v>
      </c>
      <c r="E898" t="s">
        <v>2009</v>
      </c>
      <c r="F898" t="s">
        <v>11898</v>
      </c>
    </row>
    <row r="899" spans="1:6" x14ac:dyDescent="0.25">
      <c r="A899" t="s">
        <v>11899</v>
      </c>
      <c r="B899" t="s">
        <v>11828</v>
      </c>
      <c r="C899" t="s">
        <v>11829</v>
      </c>
      <c r="D899">
        <v>2005</v>
      </c>
      <c r="E899" t="s">
        <v>2009</v>
      </c>
      <c r="F899" t="s">
        <v>11900</v>
      </c>
    </row>
    <row r="900" spans="1:6" x14ac:dyDescent="0.25">
      <c r="A900" t="s">
        <v>11901</v>
      </c>
      <c r="B900" t="s">
        <v>11828</v>
      </c>
      <c r="C900" t="s">
        <v>11829</v>
      </c>
      <c r="D900">
        <v>2005</v>
      </c>
      <c r="E900" t="s">
        <v>2009</v>
      </c>
      <c r="F900" t="s">
        <v>11902</v>
      </c>
    </row>
    <row r="901" spans="1:6" x14ac:dyDescent="0.25">
      <c r="A901" t="s">
        <v>11903</v>
      </c>
      <c r="B901" t="s">
        <v>11828</v>
      </c>
      <c r="C901" t="s">
        <v>11829</v>
      </c>
      <c r="D901">
        <v>2005</v>
      </c>
      <c r="E901" t="s">
        <v>2009</v>
      </c>
      <c r="F901" t="s">
        <v>11904</v>
      </c>
    </row>
    <row r="902" spans="1:6" x14ac:dyDescent="0.25">
      <c r="A902" t="s">
        <v>11905</v>
      </c>
      <c r="B902" t="s">
        <v>11828</v>
      </c>
      <c r="C902" t="s">
        <v>11829</v>
      </c>
      <c r="D902">
        <v>2005</v>
      </c>
      <c r="E902" t="s">
        <v>2009</v>
      </c>
      <c r="F902" t="s">
        <v>11906</v>
      </c>
    </row>
    <row r="903" spans="1:6" x14ac:dyDescent="0.25">
      <c r="A903" t="s">
        <v>11907</v>
      </c>
      <c r="B903" t="s">
        <v>11828</v>
      </c>
      <c r="C903" t="s">
        <v>11829</v>
      </c>
      <c r="D903">
        <v>2005</v>
      </c>
      <c r="E903" t="s">
        <v>2009</v>
      </c>
      <c r="F903" t="s">
        <v>11908</v>
      </c>
    </row>
    <row r="904" spans="1:6" x14ac:dyDescent="0.25">
      <c r="A904" t="s">
        <v>11909</v>
      </c>
      <c r="B904" t="s">
        <v>11828</v>
      </c>
      <c r="C904" t="s">
        <v>11829</v>
      </c>
      <c r="D904">
        <v>2005</v>
      </c>
      <c r="E904" t="s">
        <v>2009</v>
      </c>
      <c r="F904" t="s">
        <v>11910</v>
      </c>
    </row>
    <row r="905" spans="1:6" x14ac:dyDescent="0.25">
      <c r="A905" t="s">
        <v>11911</v>
      </c>
      <c r="B905" t="s">
        <v>11828</v>
      </c>
      <c r="C905" t="s">
        <v>11829</v>
      </c>
      <c r="D905">
        <v>2005</v>
      </c>
      <c r="E905" t="s">
        <v>2009</v>
      </c>
      <c r="F905" t="s">
        <v>11912</v>
      </c>
    </row>
    <row r="906" spans="1:6" x14ac:dyDescent="0.25">
      <c r="A906" t="s">
        <v>11913</v>
      </c>
      <c r="B906" t="s">
        <v>11828</v>
      </c>
      <c r="C906" t="s">
        <v>11829</v>
      </c>
      <c r="D906">
        <v>2005</v>
      </c>
      <c r="E906" t="s">
        <v>2009</v>
      </c>
      <c r="F906" t="s">
        <v>11914</v>
      </c>
    </row>
    <row r="907" spans="1:6" x14ac:dyDescent="0.25">
      <c r="A907" t="s">
        <v>11915</v>
      </c>
      <c r="B907" t="s">
        <v>11828</v>
      </c>
      <c r="C907" t="s">
        <v>11829</v>
      </c>
      <c r="D907">
        <v>2005</v>
      </c>
      <c r="E907" t="s">
        <v>2009</v>
      </c>
      <c r="F907" t="s">
        <v>11916</v>
      </c>
    </row>
    <row r="908" spans="1:6" x14ac:dyDescent="0.25">
      <c r="A908" t="s">
        <v>11917</v>
      </c>
      <c r="B908" t="s">
        <v>11828</v>
      </c>
      <c r="C908" t="s">
        <v>11829</v>
      </c>
      <c r="D908">
        <v>2005</v>
      </c>
      <c r="E908" t="s">
        <v>2009</v>
      </c>
      <c r="F908" t="s">
        <v>11918</v>
      </c>
    </row>
    <row r="909" spans="1:6" x14ac:dyDescent="0.25">
      <c r="A909" t="s">
        <v>11919</v>
      </c>
      <c r="B909" t="s">
        <v>11828</v>
      </c>
      <c r="C909" t="s">
        <v>11829</v>
      </c>
      <c r="D909">
        <v>2005</v>
      </c>
      <c r="E909" t="s">
        <v>2009</v>
      </c>
      <c r="F909" t="s">
        <v>11920</v>
      </c>
    </row>
    <row r="910" spans="1:6" x14ac:dyDescent="0.25">
      <c r="A910" t="s">
        <v>11921</v>
      </c>
      <c r="B910" t="s">
        <v>11828</v>
      </c>
      <c r="C910" t="s">
        <v>11829</v>
      </c>
      <c r="D910">
        <v>2005</v>
      </c>
      <c r="E910" t="s">
        <v>2009</v>
      </c>
      <c r="F910" t="s">
        <v>11922</v>
      </c>
    </row>
    <row r="911" spans="1:6" x14ac:dyDescent="0.25">
      <c r="A911" t="s">
        <v>11923</v>
      </c>
      <c r="B911" t="s">
        <v>11828</v>
      </c>
      <c r="C911" t="s">
        <v>11829</v>
      </c>
      <c r="D911">
        <v>2005</v>
      </c>
      <c r="E911" t="s">
        <v>2009</v>
      </c>
      <c r="F911" t="s">
        <v>11924</v>
      </c>
    </row>
    <row r="912" spans="1:6" x14ac:dyDescent="0.25">
      <c r="A912" t="s">
        <v>11925</v>
      </c>
      <c r="B912" t="s">
        <v>11828</v>
      </c>
      <c r="C912" t="s">
        <v>11829</v>
      </c>
      <c r="D912">
        <v>2005</v>
      </c>
      <c r="E912" t="s">
        <v>2009</v>
      </c>
      <c r="F912" t="s">
        <v>11926</v>
      </c>
    </row>
    <row r="913" spans="1:6" x14ac:dyDescent="0.25">
      <c r="A913" t="s">
        <v>11927</v>
      </c>
      <c r="B913" t="s">
        <v>11828</v>
      </c>
      <c r="C913" t="s">
        <v>11829</v>
      </c>
      <c r="D913">
        <v>2005</v>
      </c>
      <c r="E913" t="s">
        <v>2009</v>
      </c>
      <c r="F913" t="s">
        <v>11928</v>
      </c>
    </row>
    <row r="914" spans="1:6" x14ac:dyDescent="0.25">
      <c r="A914" t="s">
        <v>11929</v>
      </c>
      <c r="B914" t="s">
        <v>11828</v>
      </c>
      <c r="C914" t="s">
        <v>11829</v>
      </c>
      <c r="D914">
        <v>2005</v>
      </c>
      <c r="E914" t="s">
        <v>2009</v>
      </c>
      <c r="F914" t="s">
        <v>11930</v>
      </c>
    </row>
    <row r="915" spans="1:6" x14ac:dyDescent="0.25">
      <c r="A915" t="s">
        <v>11931</v>
      </c>
      <c r="B915" t="s">
        <v>11828</v>
      </c>
      <c r="C915" t="s">
        <v>11829</v>
      </c>
      <c r="D915">
        <v>2005</v>
      </c>
      <c r="E915" t="s">
        <v>2009</v>
      </c>
      <c r="F915" t="s">
        <v>11932</v>
      </c>
    </row>
    <row r="916" spans="1:6" x14ac:dyDescent="0.25">
      <c r="A916" t="s">
        <v>11933</v>
      </c>
      <c r="B916" t="s">
        <v>11828</v>
      </c>
      <c r="C916" t="s">
        <v>11829</v>
      </c>
      <c r="D916">
        <v>2005</v>
      </c>
      <c r="E916" t="s">
        <v>2009</v>
      </c>
      <c r="F916" t="s">
        <v>11934</v>
      </c>
    </row>
    <row r="917" spans="1:6" x14ac:dyDescent="0.25">
      <c r="A917" t="s">
        <v>11935</v>
      </c>
      <c r="B917" t="s">
        <v>11828</v>
      </c>
      <c r="C917" t="s">
        <v>11829</v>
      </c>
      <c r="D917">
        <v>2005</v>
      </c>
      <c r="E917" t="s">
        <v>2009</v>
      </c>
      <c r="F917" t="s">
        <v>11936</v>
      </c>
    </row>
    <row r="918" spans="1:6" x14ac:dyDescent="0.25">
      <c r="A918" t="s">
        <v>11937</v>
      </c>
      <c r="B918" t="s">
        <v>11828</v>
      </c>
      <c r="C918" t="s">
        <v>11829</v>
      </c>
      <c r="D918">
        <v>2005</v>
      </c>
      <c r="E918" t="s">
        <v>2009</v>
      </c>
      <c r="F918" t="s">
        <v>11938</v>
      </c>
    </row>
    <row r="919" spans="1:6" x14ac:dyDescent="0.25">
      <c r="A919" t="s">
        <v>11939</v>
      </c>
      <c r="B919" t="s">
        <v>11828</v>
      </c>
      <c r="C919" t="s">
        <v>11829</v>
      </c>
      <c r="D919">
        <v>2005</v>
      </c>
      <c r="E919" t="s">
        <v>2009</v>
      </c>
      <c r="F919" t="s">
        <v>11940</v>
      </c>
    </row>
    <row r="920" spans="1:6" x14ac:dyDescent="0.25">
      <c r="A920" t="s">
        <v>11941</v>
      </c>
      <c r="B920" t="s">
        <v>11828</v>
      </c>
      <c r="C920" t="s">
        <v>11829</v>
      </c>
      <c r="D920">
        <v>2005</v>
      </c>
      <c r="E920" t="s">
        <v>2009</v>
      </c>
      <c r="F920" t="s">
        <v>11942</v>
      </c>
    </row>
    <row r="921" spans="1:6" x14ac:dyDescent="0.25">
      <c r="A921" t="s">
        <v>11943</v>
      </c>
      <c r="B921" t="s">
        <v>11828</v>
      </c>
      <c r="C921" t="s">
        <v>11829</v>
      </c>
      <c r="D921">
        <v>2005</v>
      </c>
      <c r="E921" t="s">
        <v>2009</v>
      </c>
      <c r="F921" t="s">
        <v>11944</v>
      </c>
    </row>
    <row r="922" spans="1:6" x14ac:dyDescent="0.25">
      <c r="A922" t="s">
        <v>11945</v>
      </c>
      <c r="B922" t="s">
        <v>11828</v>
      </c>
      <c r="C922" t="s">
        <v>11829</v>
      </c>
      <c r="D922">
        <v>2005</v>
      </c>
      <c r="E922" t="s">
        <v>2009</v>
      </c>
      <c r="F922" t="s">
        <v>11946</v>
      </c>
    </row>
    <row r="923" spans="1:6" x14ac:dyDescent="0.25">
      <c r="A923" t="s">
        <v>11947</v>
      </c>
      <c r="B923" t="s">
        <v>11828</v>
      </c>
      <c r="C923" t="s">
        <v>11829</v>
      </c>
      <c r="D923">
        <v>2005</v>
      </c>
      <c r="E923" t="s">
        <v>2009</v>
      </c>
      <c r="F923" t="s">
        <v>11948</v>
      </c>
    </row>
    <row r="924" spans="1:6" x14ac:dyDescent="0.25">
      <c r="A924" t="s">
        <v>11949</v>
      </c>
      <c r="B924" t="s">
        <v>11828</v>
      </c>
      <c r="C924" t="s">
        <v>11829</v>
      </c>
      <c r="D924">
        <v>2005</v>
      </c>
      <c r="E924" t="s">
        <v>2009</v>
      </c>
      <c r="F924" t="s">
        <v>11950</v>
      </c>
    </row>
    <row r="925" spans="1:6" x14ac:dyDescent="0.25">
      <c r="A925" t="s">
        <v>11951</v>
      </c>
      <c r="B925" t="s">
        <v>11828</v>
      </c>
      <c r="C925" t="s">
        <v>11829</v>
      </c>
      <c r="D925">
        <v>2005</v>
      </c>
      <c r="E925" t="s">
        <v>2009</v>
      </c>
      <c r="F925" t="s">
        <v>11952</v>
      </c>
    </row>
    <row r="926" spans="1:6" x14ac:dyDescent="0.25">
      <c r="A926" t="s">
        <v>3448</v>
      </c>
      <c r="B926" t="s">
        <v>11828</v>
      </c>
      <c r="C926" t="s">
        <v>11829</v>
      </c>
      <c r="D926">
        <v>2005</v>
      </c>
      <c r="E926" t="s">
        <v>2009</v>
      </c>
      <c r="F926" t="s">
        <v>11953</v>
      </c>
    </row>
    <row r="927" spans="1:6" x14ac:dyDescent="0.25">
      <c r="A927" t="s">
        <v>11954</v>
      </c>
      <c r="B927" t="s">
        <v>11828</v>
      </c>
      <c r="C927" t="s">
        <v>11829</v>
      </c>
      <c r="D927">
        <v>2005</v>
      </c>
      <c r="E927" t="s">
        <v>2009</v>
      </c>
      <c r="F927" t="s">
        <v>11955</v>
      </c>
    </row>
    <row r="928" spans="1:6" x14ac:dyDescent="0.25">
      <c r="A928" t="s">
        <v>11956</v>
      </c>
      <c r="B928" t="s">
        <v>11828</v>
      </c>
      <c r="C928" t="s">
        <v>11829</v>
      </c>
      <c r="D928">
        <v>2005</v>
      </c>
      <c r="E928" t="s">
        <v>2009</v>
      </c>
      <c r="F928" t="s">
        <v>11957</v>
      </c>
    </row>
    <row r="929" spans="1:6" x14ac:dyDescent="0.25">
      <c r="A929" t="s">
        <v>3449</v>
      </c>
      <c r="B929" t="s">
        <v>11828</v>
      </c>
      <c r="C929" t="s">
        <v>11829</v>
      </c>
      <c r="D929">
        <v>2005</v>
      </c>
      <c r="E929" t="s">
        <v>2009</v>
      </c>
      <c r="F929" t="s">
        <v>11958</v>
      </c>
    </row>
    <row r="930" spans="1:6" x14ac:dyDescent="0.25">
      <c r="A930" t="s">
        <v>11959</v>
      </c>
      <c r="B930" t="s">
        <v>11828</v>
      </c>
      <c r="C930" t="s">
        <v>11829</v>
      </c>
      <c r="D930">
        <v>2005</v>
      </c>
      <c r="E930" t="s">
        <v>2009</v>
      </c>
      <c r="F930" t="s">
        <v>11960</v>
      </c>
    </row>
    <row r="931" spans="1:6" x14ac:dyDescent="0.25">
      <c r="A931" t="s">
        <v>11961</v>
      </c>
      <c r="B931" t="s">
        <v>11828</v>
      </c>
      <c r="C931" t="s">
        <v>11829</v>
      </c>
      <c r="D931">
        <v>2005</v>
      </c>
      <c r="E931" t="s">
        <v>2009</v>
      </c>
      <c r="F931" t="s">
        <v>11962</v>
      </c>
    </row>
    <row r="932" spans="1:6" x14ac:dyDescent="0.25">
      <c r="A932" t="s">
        <v>11963</v>
      </c>
      <c r="B932" t="s">
        <v>11828</v>
      </c>
      <c r="C932" t="s">
        <v>11829</v>
      </c>
      <c r="D932">
        <v>2005</v>
      </c>
      <c r="E932" t="s">
        <v>2009</v>
      </c>
      <c r="F932" t="s">
        <v>11964</v>
      </c>
    </row>
    <row r="933" spans="1:6" x14ac:dyDescent="0.25">
      <c r="A933" t="s">
        <v>11965</v>
      </c>
      <c r="B933" t="s">
        <v>11828</v>
      </c>
      <c r="C933" t="s">
        <v>11829</v>
      </c>
      <c r="D933">
        <v>2005</v>
      </c>
      <c r="E933" t="s">
        <v>2009</v>
      </c>
      <c r="F933" t="s">
        <v>11966</v>
      </c>
    </row>
    <row r="934" spans="1:6" x14ac:dyDescent="0.25">
      <c r="A934" t="s">
        <v>11967</v>
      </c>
      <c r="B934" t="s">
        <v>11828</v>
      </c>
      <c r="C934" t="s">
        <v>11829</v>
      </c>
      <c r="D934">
        <v>2005</v>
      </c>
      <c r="E934" t="s">
        <v>2009</v>
      </c>
      <c r="F934" t="s">
        <v>11968</v>
      </c>
    </row>
    <row r="935" spans="1:6" x14ac:dyDescent="0.25">
      <c r="A935" t="s">
        <v>11969</v>
      </c>
      <c r="B935" t="s">
        <v>11828</v>
      </c>
      <c r="C935" t="s">
        <v>11829</v>
      </c>
      <c r="D935">
        <v>2005</v>
      </c>
      <c r="E935" t="s">
        <v>2009</v>
      </c>
      <c r="F935" t="s">
        <v>11970</v>
      </c>
    </row>
    <row r="936" spans="1:6" x14ac:dyDescent="0.25">
      <c r="A936" t="s">
        <v>11971</v>
      </c>
      <c r="B936" t="s">
        <v>11828</v>
      </c>
      <c r="C936" t="s">
        <v>11829</v>
      </c>
      <c r="D936">
        <v>2005</v>
      </c>
      <c r="E936" t="s">
        <v>2009</v>
      </c>
      <c r="F936" t="s">
        <v>11972</v>
      </c>
    </row>
    <row r="937" spans="1:6" x14ac:dyDescent="0.25">
      <c r="A937" t="s">
        <v>11973</v>
      </c>
      <c r="B937" t="s">
        <v>11828</v>
      </c>
      <c r="C937" t="s">
        <v>11829</v>
      </c>
      <c r="D937">
        <v>2005</v>
      </c>
      <c r="E937" t="s">
        <v>2009</v>
      </c>
      <c r="F937" t="s">
        <v>11974</v>
      </c>
    </row>
    <row r="938" spans="1:6" x14ac:dyDescent="0.25">
      <c r="A938" t="s">
        <v>11975</v>
      </c>
      <c r="B938" t="s">
        <v>11828</v>
      </c>
      <c r="C938" t="s">
        <v>11829</v>
      </c>
      <c r="D938">
        <v>2005</v>
      </c>
      <c r="E938" t="s">
        <v>2009</v>
      </c>
      <c r="F938" t="s">
        <v>11976</v>
      </c>
    </row>
    <row r="939" spans="1:6" x14ac:dyDescent="0.25">
      <c r="A939" t="s">
        <v>11977</v>
      </c>
      <c r="B939" t="s">
        <v>11828</v>
      </c>
      <c r="C939" t="s">
        <v>11829</v>
      </c>
      <c r="D939">
        <v>2005</v>
      </c>
      <c r="E939" t="s">
        <v>2009</v>
      </c>
      <c r="F939" t="s">
        <v>11978</v>
      </c>
    </row>
    <row r="940" spans="1:6" x14ac:dyDescent="0.25">
      <c r="A940" t="s">
        <v>11979</v>
      </c>
      <c r="B940" t="s">
        <v>11828</v>
      </c>
      <c r="C940" t="s">
        <v>11829</v>
      </c>
      <c r="D940">
        <v>2005</v>
      </c>
      <c r="E940" t="s">
        <v>2009</v>
      </c>
      <c r="F940" t="s">
        <v>11980</v>
      </c>
    </row>
    <row r="941" spans="1:6" x14ac:dyDescent="0.25">
      <c r="A941" t="s">
        <v>11981</v>
      </c>
      <c r="B941" t="s">
        <v>11828</v>
      </c>
      <c r="C941" t="s">
        <v>11829</v>
      </c>
      <c r="D941">
        <v>2005</v>
      </c>
      <c r="E941" t="s">
        <v>2009</v>
      </c>
      <c r="F941" t="s">
        <v>11982</v>
      </c>
    </row>
    <row r="942" spans="1:6" x14ac:dyDescent="0.25">
      <c r="A942" t="s">
        <v>11983</v>
      </c>
      <c r="B942" t="s">
        <v>11828</v>
      </c>
      <c r="C942" t="s">
        <v>11829</v>
      </c>
      <c r="D942">
        <v>2005</v>
      </c>
      <c r="E942" t="s">
        <v>2009</v>
      </c>
      <c r="F942" t="s">
        <v>11984</v>
      </c>
    </row>
    <row r="943" spans="1:6" x14ac:dyDescent="0.25">
      <c r="A943" t="s">
        <v>11985</v>
      </c>
      <c r="B943" t="s">
        <v>11828</v>
      </c>
      <c r="C943" t="s">
        <v>11829</v>
      </c>
      <c r="D943">
        <v>2005</v>
      </c>
      <c r="E943" t="s">
        <v>2009</v>
      </c>
      <c r="F943" t="s">
        <v>11986</v>
      </c>
    </row>
    <row r="944" spans="1:6" x14ac:dyDescent="0.25">
      <c r="A944" t="s">
        <v>11987</v>
      </c>
      <c r="B944" t="s">
        <v>11828</v>
      </c>
      <c r="C944" t="s">
        <v>11829</v>
      </c>
      <c r="D944">
        <v>2005</v>
      </c>
      <c r="E944" t="s">
        <v>2009</v>
      </c>
      <c r="F944" t="s">
        <v>11988</v>
      </c>
    </row>
    <row r="945" spans="1:7" x14ac:dyDescent="0.25">
      <c r="A945" t="s">
        <v>11989</v>
      </c>
      <c r="B945" t="s">
        <v>11828</v>
      </c>
      <c r="C945" t="s">
        <v>11829</v>
      </c>
      <c r="D945">
        <v>2005</v>
      </c>
      <c r="E945" t="s">
        <v>2009</v>
      </c>
      <c r="F945" t="s">
        <v>11990</v>
      </c>
    </row>
    <row r="946" spans="1:7" x14ac:dyDescent="0.25">
      <c r="A946" t="s">
        <v>11991</v>
      </c>
      <c r="B946" t="s">
        <v>11828</v>
      </c>
      <c r="C946" t="s">
        <v>11829</v>
      </c>
      <c r="D946">
        <v>2005</v>
      </c>
      <c r="E946" t="s">
        <v>2009</v>
      </c>
      <c r="F946" t="s">
        <v>11992</v>
      </c>
    </row>
    <row r="947" spans="1:7" x14ac:dyDescent="0.25">
      <c r="A947" t="s">
        <v>11993</v>
      </c>
      <c r="B947" t="s">
        <v>11828</v>
      </c>
      <c r="C947" t="s">
        <v>11829</v>
      </c>
      <c r="D947">
        <v>2005</v>
      </c>
      <c r="E947" t="s">
        <v>2009</v>
      </c>
      <c r="F947" t="s">
        <v>11994</v>
      </c>
    </row>
    <row r="948" spans="1:7" x14ac:dyDescent="0.25">
      <c r="A948" t="s">
        <v>11995</v>
      </c>
      <c r="B948" t="s">
        <v>11828</v>
      </c>
      <c r="C948" t="s">
        <v>11829</v>
      </c>
      <c r="D948">
        <v>2005</v>
      </c>
      <c r="E948" t="s">
        <v>2009</v>
      </c>
      <c r="F948" t="s">
        <v>11996</v>
      </c>
    </row>
    <row r="949" spans="1:7" x14ac:dyDescent="0.25">
      <c r="A949" t="s">
        <v>11997</v>
      </c>
      <c r="B949" t="s">
        <v>11828</v>
      </c>
      <c r="C949" t="s">
        <v>11829</v>
      </c>
      <c r="D949">
        <v>2005</v>
      </c>
      <c r="E949" t="s">
        <v>2009</v>
      </c>
      <c r="F949" t="s">
        <v>11998</v>
      </c>
    </row>
    <row r="950" spans="1:7" x14ac:dyDescent="0.25">
      <c r="A950" t="s">
        <v>11999</v>
      </c>
      <c r="B950" t="s">
        <v>11828</v>
      </c>
      <c r="C950" t="s">
        <v>11829</v>
      </c>
      <c r="D950">
        <v>2005</v>
      </c>
      <c r="E950" t="s">
        <v>2009</v>
      </c>
      <c r="F950" t="s">
        <v>12000</v>
      </c>
    </row>
    <row r="951" spans="1:7" x14ac:dyDescent="0.25">
      <c r="A951" t="s">
        <v>12001</v>
      </c>
      <c r="B951" t="s">
        <v>11828</v>
      </c>
      <c r="C951" t="s">
        <v>11829</v>
      </c>
      <c r="D951">
        <v>2005</v>
      </c>
      <c r="E951" t="s">
        <v>2009</v>
      </c>
      <c r="F951" t="s">
        <v>12002</v>
      </c>
    </row>
    <row r="952" spans="1:7" x14ac:dyDescent="0.25">
      <c r="A952" t="s">
        <v>12003</v>
      </c>
      <c r="B952" t="s">
        <v>11828</v>
      </c>
      <c r="C952" t="s">
        <v>11829</v>
      </c>
      <c r="D952">
        <v>2005</v>
      </c>
      <c r="E952" t="s">
        <v>2009</v>
      </c>
      <c r="F952" t="s">
        <v>12004</v>
      </c>
    </row>
    <row r="953" spans="1:7" x14ac:dyDescent="0.25">
      <c r="A953" t="s">
        <v>12005</v>
      </c>
      <c r="B953" t="s">
        <v>11828</v>
      </c>
      <c r="C953" t="s">
        <v>11829</v>
      </c>
      <c r="D953">
        <v>2005</v>
      </c>
      <c r="E953" t="s">
        <v>2009</v>
      </c>
      <c r="F953" t="s">
        <v>12006</v>
      </c>
    </row>
    <row r="954" spans="1:7" x14ac:dyDescent="0.25">
      <c r="A954" t="s">
        <v>12007</v>
      </c>
      <c r="B954" t="s">
        <v>11828</v>
      </c>
      <c r="C954" t="s">
        <v>11829</v>
      </c>
      <c r="D954">
        <v>2005</v>
      </c>
      <c r="E954" t="s">
        <v>2009</v>
      </c>
      <c r="F954" t="s">
        <v>12008</v>
      </c>
    </row>
    <row r="955" spans="1:7" x14ac:dyDescent="0.25">
      <c r="A955" t="s">
        <v>12009</v>
      </c>
      <c r="B955" t="s">
        <v>12010</v>
      </c>
      <c r="C955" t="s">
        <v>12011</v>
      </c>
      <c r="D955">
        <v>2024</v>
      </c>
      <c r="E955" t="s">
        <v>2136</v>
      </c>
      <c r="F955" t="s">
        <v>12012</v>
      </c>
    </row>
    <row r="956" spans="1:7" x14ac:dyDescent="0.25">
      <c r="A956" t="s">
        <v>12013</v>
      </c>
      <c r="B956" t="s">
        <v>12010</v>
      </c>
      <c r="C956" t="s">
        <v>12014</v>
      </c>
      <c r="D956">
        <v>2022</v>
      </c>
      <c r="E956" t="s">
        <v>2136</v>
      </c>
      <c r="F956" t="s">
        <v>12015</v>
      </c>
    </row>
    <row r="957" spans="1:7" x14ac:dyDescent="0.25">
      <c r="A957" t="s">
        <v>12016</v>
      </c>
      <c r="B957" t="s">
        <v>12010</v>
      </c>
      <c r="C957" t="s">
        <v>2136</v>
      </c>
      <c r="D957">
        <v>2020</v>
      </c>
      <c r="E957" t="s">
        <v>2136</v>
      </c>
      <c r="F957" t="s">
        <v>12017</v>
      </c>
    </row>
    <row r="958" spans="1:7" x14ac:dyDescent="0.25">
      <c r="A958" t="s">
        <v>12018</v>
      </c>
      <c r="B958" t="s">
        <v>12010</v>
      </c>
      <c r="C958" t="s">
        <v>12014</v>
      </c>
      <c r="D958">
        <v>2022</v>
      </c>
      <c r="E958" t="s">
        <v>2136</v>
      </c>
      <c r="F958" t="s">
        <v>12019</v>
      </c>
    </row>
    <row r="959" spans="1:7" x14ac:dyDescent="0.25">
      <c r="A959" t="s">
        <v>12020</v>
      </c>
      <c r="B959" t="s">
        <v>12010</v>
      </c>
      <c r="C959" t="s">
        <v>12011</v>
      </c>
      <c r="D959">
        <v>2024</v>
      </c>
      <c r="E959" t="s">
        <v>2136</v>
      </c>
      <c r="F959" t="s">
        <v>12021</v>
      </c>
    </row>
    <row r="960" spans="1:7" x14ac:dyDescent="0.25">
      <c r="A960" t="s">
        <v>2136</v>
      </c>
      <c r="B960" t="s">
        <v>12010</v>
      </c>
      <c r="C960" t="s">
        <v>2136</v>
      </c>
      <c r="D960">
        <v>2020</v>
      </c>
      <c r="E960" t="s">
        <v>2136</v>
      </c>
      <c r="F960" t="s">
        <v>12022</v>
      </c>
      <c r="G960" t="s">
        <v>10071</v>
      </c>
    </row>
    <row r="961" spans="1:6" x14ac:dyDescent="0.25">
      <c r="A961" t="s">
        <v>12023</v>
      </c>
      <c r="B961" t="s">
        <v>12010</v>
      </c>
      <c r="C961" t="s">
        <v>2136</v>
      </c>
      <c r="D961">
        <v>2020</v>
      </c>
      <c r="E961" t="s">
        <v>2136</v>
      </c>
      <c r="F961" t="s">
        <v>12024</v>
      </c>
    </row>
    <row r="962" spans="1:6" x14ac:dyDescent="0.25">
      <c r="A962" t="s">
        <v>12025</v>
      </c>
      <c r="B962" t="s">
        <v>12010</v>
      </c>
      <c r="C962" t="s">
        <v>12014</v>
      </c>
      <c r="D962">
        <v>2022</v>
      </c>
      <c r="E962" t="s">
        <v>2136</v>
      </c>
      <c r="F962" t="s">
        <v>12026</v>
      </c>
    </row>
    <row r="963" spans="1:6" x14ac:dyDescent="0.25">
      <c r="A963" t="s">
        <v>12027</v>
      </c>
      <c r="B963" t="s">
        <v>12010</v>
      </c>
      <c r="C963" t="s">
        <v>12011</v>
      </c>
      <c r="D963">
        <v>2024</v>
      </c>
      <c r="E963" t="s">
        <v>2136</v>
      </c>
      <c r="F963" t="s">
        <v>12028</v>
      </c>
    </row>
    <row r="964" spans="1:6" x14ac:dyDescent="0.25">
      <c r="A964" t="s">
        <v>12029</v>
      </c>
      <c r="B964" t="s">
        <v>12010</v>
      </c>
      <c r="C964" t="s">
        <v>12014</v>
      </c>
      <c r="D964">
        <v>2022</v>
      </c>
      <c r="E964" t="s">
        <v>2136</v>
      </c>
      <c r="F964" t="s">
        <v>12030</v>
      </c>
    </row>
    <row r="965" spans="1:6" x14ac:dyDescent="0.25">
      <c r="A965" t="s">
        <v>12031</v>
      </c>
      <c r="B965" t="s">
        <v>12010</v>
      </c>
      <c r="C965" t="s">
        <v>2136</v>
      </c>
      <c r="D965">
        <v>2020</v>
      </c>
      <c r="E965" t="s">
        <v>2136</v>
      </c>
      <c r="F965" t="s">
        <v>12032</v>
      </c>
    </row>
    <row r="966" spans="1:6" x14ac:dyDescent="0.25">
      <c r="A966" t="s">
        <v>12033</v>
      </c>
      <c r="B966" t="s">
        <v>12010</v>
      </c>
      <c r="C966" t="s">
        <v>12011</v>
      </c>
      <c r="D966">
        <v>2024</v>
      </c>
      <c r="E966" t="s">
        <v>2136</v>
      </c>
      <c r="F966" t="s">
        <v>12034</v>
      </c>
    </row>
    <row r="967" spans="1:6" x14ac:dyDescent="0.25">
      <c r="A967" t="s">
        <v>12035</v>
      </c>
      <c r="B967" t="s">
        <v>12010</v>
      </c>
      <c r="C967" t="s">
        <v>12014</v>
      </c>
      <c r="D967">
        <v>2022</v>
      </c>
      <c r="E967" t="s">
        <v>2136</v>
      </c>
      <c r="F967" t="s">
        <v>12036</v>
      </c>
    </row>
    <row r="968" spans="1:6" x14ac:dyDescent="0.25">
      <c r="A968" t="s">
        <v>12037</v>
      </c>
      <c r="B968" t="s">
        <v>12010</v>
      </c>
      <c r="C968" t="s">
        <v>12011</v>
      </c>
      <c r="D968">
        <v>2024</v>
      </c>
      <c r="E968" t="s">
        <v>2136</v>
      </c>
      <c r="F968" t="s">
        <v>12038</v>
      </c>
    </row>
    <row r="969" spans="1:6" x14ac:dyDescent="0.25">
      <c r="A969" t="s">
        <v>12039</v>
      </c>
      <c r="B969" t="s">
        <v>12010</v>
      </c>
      <c r="C969" t="s">
        <v>2136</v>
      </c>
      <c r="D969">
        <v>2020</v>
      </c>
      <c r="E969" t="s">
        <v>2136</v>
      </c>
      <c r="F969" t="s">
        <v>12040</v>
      </c>
    </row>
    <row r="970" spans="1:6" x14ac:dyDescent="0.25">
      <c r="A970" t="s">
        <v>12041</v>
      </c>
      <c r="B970" t="s">
        <v>12010</v>
      </c>
      <c r="C970" t="s">
        <v>12014</v>
      </c>
      <c r="D970">
        <v>2022</v>
      </c>
      <c r="E970" t="s">
        <v>2136</v>
      </c>
      <c r="F970" t="s">
        <v>12042</v>
      </c>
    </row>
    <row r="971" spans="1:6" x14ac:dyDescent="0.25">
      <c r="A971" t="s">
        <v>12043</v>
      </c>
      <c r="B971" t="s">
        <v>12044</v>
      </c>
      <c r="C971" t="s">
        <v>12011</v>
      </c>
      <c r="D971">
        <v>2024</v>
      </c>
      <c r="E971" t="s">
        <v>2136</v>
      </c>
      <c r="F971" t="s">
        <v>12045</v>
      </c>
    </row>
    <row r="972" spans="1:6" x14ac:dyDescent="0.25">
      <c r="A972" t="s">
        <v>12046</v>
      </c>
      <c r="B972" t="s">
        <v>12010</v>
      </c>
      <c r="C972" t="s">
        <v>2136</v>
      </c>
      <c r="D972">
        <v>2020</v>
      </c>
      <c r="E972" t="s">
        <v>2136</v>
      </c>
      <c r="F972" t="s">
        <v>12047</v>
      </c>
    </row>
    <row r="973" spans="1:6" x14ac:dyDescent="0.25">
      <c r="A973" t="s">
        <v>12048</v>
      </c>
      <c r="B973" t="s">
        <v>12010</v>
      </c>
      <c r="C973" t="s">
        <v>2136</v>
      </c>
      <c r="D973">
        <v>2020</v>
      </c>
      <c r="E973" t="s">
        <v>2136</v>
      </c>
      <c r="F973" t="s">
        <v>12049</v>
      </c>
    </row>
    <row r="974" spans="1:6" x14ac:dyDescent="0.25">
      <c r="A974" t="s">
        <v>12050</v>
      </c>
      <c r="B974" t="s">
        <v>12010</v>
      </c>
      <c r="C974" t="s">
        <v>12011</v>
      </c>
      <c r="D974">
        <v>2024</v>
      </c>
      <c r="E974" t="s">
        <v>2136</v>
      </c>
      <c r="F974" t="s">
        <v>12051</v>
      </c>
    </row>
    <row r="975" spans="1:6" x14ac:dyDescent="0.25">
      <c r="A975" t="s">
        <v>12052</v>
      </c>
      <c r="B975" t="s">
        <v>12010</v>
      </c>
      <c r="C975" t="s">
        <v>12014</v>
      </c>
      <c r="D975">
        <v>2022</v>
      </c>
      <c r="E975" t="s">
        <v>2136</v>
      </c>
      <c r="F975" t="s">
        <v>12053</v>
      </c>
    </row>
    <row r="976" spans="1:6" x14ac:dyDescent="0.25">
      <c r="A976" t="s">
        <v>12054</v>
      </c>
      <c r="B976" t="s">
        <v>12010</v>
      </c>
      <c r="C976" t="s">
        <v>2136</v>
      </c>
      <c r="D976">
        <v>2020</v>
      </c>
      <c r="E976" t="s">
        <v>2136</v>
      </c>
      <c r="F976" t="s">
        <v>12055</v>
      </c>
    </row>
    <row r="977" spans="1:6" x14ac:dyDescent="0.25">
      <c r="A977" t="s">
        <v>12056</v>
      </c>
      <c r="B977" t="s">
        <v>12010</v>
      </c>
      <c r="C977" t="s">
        <v>12011</v>
      </c>
      <c r="D977">
        <v>2024</v>
      </c>
      <c r="E977" t="s">
        <v>2136</v>
      </c>
      <c r="F977" t="s">
        <v>12057</v>
      </c>
    </row>
    <row r="978" spans="1:6" x14ac:dyDescent="0.25">
      <c r="A978" t="s">
        <v>12058</v>
      </c>
      <c r="B978" t="s">
        <v>12010</v>
      </c>
      <c r="C978" t="s">
        <v>12014</v>
      </c>
      <c r="D978">
        <v>2022</v>
      </c>
      <c r="E978" t="s">
        <v>2136</v>
      </c>
      <c r="F978" t="s">
        <v>12059</v>
      </c>
    </row>
    <row r="979" spans="1:6" x14ac:dyDescent="0.25">
      <c r="A979" t="s">
        <v>12060</v>
      </c>
      <c r="B979" t="s">
        <v>12010</v>
      </c>
      <c r="C979" t="s">
        <v>12011</v>
      </c>
      <c r="D979">
        <v>2024</v>
      </c>
      <c r="E979" t="s">
        <v>2136</v>
      </c>
      <c r="F979" t="s">
        <v>12061</v>
      </c>
    </row>
    <row r="980" spans="1:6" x14ac:dyDescent="0.25">
      <c r="A980" t="s">
        <v>12062</v>
      </c>
      <c r="B980" t="s">
        <v>12010</v>
      </c>
      <c r="C980" t="s">
        <v>2136</v>
      </c>
      <c r="D980">
        <v>2020</v>
      </c>
      <c r="E980" t="s">
        <v>2136</v>
      </c>
      <c r="F980" t="s">
        <v>12063</v>
      </c>
    </row>
    <row r="981" spans="1:6" x14ac:dyDescent="0.25">
      <c r="A981" t="s">
        <v>12064</v>
      </c>
      <c r="B981" t="s">
        <v>12010</v>
      </c>
      <c r="C981" t="s">
        <v>12014</v>
      </c>
      <c r="D981">
        <v>2022</v>
      </c>
      <c r="E981" t="s">
        <v>2136</v>
      </c>
      <c r="F981" t="s">
        <v>12065</v>
      </c>
    </row>
    <row r="982" spans="1:6" x14ac:dyDescent="0.25">
      <c r="A982" t="s">
        <v>12066</v>
      </c>
      <c r="B982" t="s">
        <v>12010</v>
      </c>
      <c r="C982" t="s">
        <v>12011</v>
      </c>
      <c r="D982">
        <v>2024</v>
      </c>
      <c r="E982" t="s">
        <v>2136</v>
      </c>
      <c r="F982" t="s">
        <v>12067</v>
      </c>
    </row>
    <row r="983" spans="1:6" x14ac:dyDescent="0.25">
      <c r="A983" t="s">
        <v>12068</v>
      </c>
      <c r="B983" t="s">
        <v>12010</v>
      </c>
      <c r="C983" t="s">
        <v>2136</v>
      </c>
      <c r="D983">
        <v>2020</v>
      </c>
      <c r="E983" t="s">
        <v>2136</v>
      </c>
      <c r="F983" t="s">
        <v>12069</v>
      </c>
    </row>
    <row r="984" spans="1:6" x14ac:dyDescent="0.25">
      <c r="A984" t="s">
        <v>12070</v>
      </c>
      <c r="B984" t="s">
        <v>12010</v>
      </c>
      <c r="C984" t="s">
        <v>2136</v>
      </c>
      <c r="D984">
        <v>2020</v>
      </c>
      <c r="E984" t="s">
        <v>2136</v>
      </c>
      <c r="F984" t="s">
        <v>12071</v>
      </c>
    </row>
    <row r="985" spans="1:6" x14ac:dyDescent="0.25">
      <c r="A985" t="s">
        <v>12072</v>
      </c>
      <c r="B985" t="s">
        <v>12010</v>
      </c>
      <c r="C985" t="s">
        <v>2136</v>
      </c>
      <c r="D985">
        <v>2020</v>
      </c>
      <c r="E985" t="s">
        <v>2136</v>
      </c>
      <c r="F985" t="s">
        <v>12073</v>
      </c>
    </row>
    <row r="986" spans="1:6" x14ac:dyDescent="0.25">
      <c r="A986" t="s">
        <v>12074</v>
      </c>
      <c r="B986" t="s">
        <v>12010</v>
      </c>
      <c r="C986" t="s">
        <v>2136</v>
      </c>
      <c r="D986">
        <v>2020</v>
      </c>
      <c r="E986" t="s">
        <v>2136</v>
      </c>
      <c r="F986" t="s">
        <v>12075</v>
      </c>
    </row>
    <row r="987" spans="1:6" x14ac:dyDescent="0.25">
      <c r="A987" t="s">
        <v>12076</v>
      </c>
      <c r="B987" t="s">
        <v>12010</v>
      </c>
      <c r="C987" t="s">
        <v>2136</v>
      </c>
      <c r="D987">
        <v>2020</v>
      </c>
      <c r="E987" t="s">
        <v>2136</v>
      </c>
      <c r="F987" t="s">
        <v>12077</v>
      </c>
    </row>
    <row r="988" spans="1:6" x14ac:dyDescent="0.25">
      <c r="A988" t="s">
        <v>12078</v>
      </c>
      <c r="B988" t="s">
        <v>12010</v>
      </c>
      <c r="C988" t="s">
        <v>2136</v>
      </c>
      <c r="D988">
        <v>2020</v>
      </c>
      <c r="E988" t="s">
        <v>2136</v>
      </c>
      <c r="F988" t="s">
        <v>12079</v>
      </c>
    </row>
    <row r="989" spans="1:6" x14ac:dyDescent="0.25">
      <c r="A989" t="s">
        <v>12080</v>
      </c>
      <c r="B989" t="s">
        <v>12010</v>
      </c>
      <c r="C989" t="s">
        <v>2136</v>
      </c>
      <c r="D989">
        <v>2020</v>
      </c>
      <c r="E989" t="s">
        <v>2136</v>
      </c>
      <c r="F989" t="s">
        <v>12081</v>
      </c>
    </row>
    <row r="990" spans="1:6" x14ac:dyDescent="0.25">
      <c r="A990" t="s">
        <v>12082</v>
      </c>
      <c r="B990" t="s">
        <v>12010</v>
      </c>
      <c r="C990" t="s">
        <v>2136</v>
      </c>
      <c r="D990">
        <v>2020</v>
      </c>
      <c r="E990" t="s">
        <v>2136</v>
      </c>
      <c r="F990" t="s">
        <v>12083</v>
      </c>
    </row>
    <row r="991" spans="1:6" x14ac:dyDescent="0.25">
      <c r="A991" t="s">
        <v>12084</v>
      </c>
      <c r="B991" t="s">
        <v>12010</v>
      </c>
      <c r="C991" t="s">
        <v>2136</v>
      </c>
      <c r="D991">
        <v>2020</v>
      </c>
      <c r="E991" t="s">
        <v>2136</v>
      </c>
      <c r="F991" t="s">
        <v>12085</v>
      </c>
    </row>
    <row r="992" spans="1:6" x14ac:dyDescent="0.25">
      <c r="A992" t="s">
        <v>12086</v>
      </c>
      <c r="B992" t="s">
        <v>12010</v>
      </c>
      <c r="C992" t="s">
        <v>2136</v>
      </c>
      <c r="D992">
        <v>2020</v>
      </c>
      <c r="E992" t="s">
        <v>2136</v>
      </c>
      <c r="F992" t="s">
        <v>12087</v>
      </c>
    </row>
    <row r="993" spans="1:7" x14ac:dyDescent="0.25">
      <c r="A993" t="s">
        <v>12088</v>
      </c>
      <c r="B993" t="s">
        <v>12010</v>
      </c>
      <c r="C993" t="s">
        <v>2136</v>
      </c>
      <c r="D993">
        <v>2020</v>
      </c>
      <c r="E993" t="s">
        <v>2136</v>
      </c>
      <c r="F993" t="s">
        <v>12089</v>
      </c>
    </row>
    <row r="994" spans="1:7" x14ac:dyDescent="0.25">
      <c r="A994" t="s">
        <v>12090</v>
      </c>
      <c r="B994" t="s">
        <v>12010</v>
      </c>
      <c r="C994" t="s">
        <v>2136</v>
      </c>
      <c r="D994">
        <v>2020</v>
      </c>
      <c r="E994" t="s">
        <v>2136</v>
      </c>
      <c r="F994" t="s">
        <v>12091</v>
      </c>
    </row>
    <row r="995" spans="1:7" x14ac:dyDescent="0.25">
      <c r="A995" t="s">
        <v>12092</v>
      </c>
      <c r="B995" t="s">
        <v>12010</v>
      </c>
      <c r="C995" t="s">
        <v>2136</v>
      </c>
      <c r="D995">
        <v>2020</v>
      </c>
      <c r="E995" t="s">
        <v>2136</v>
      </c>
      <c r="F995" t="s">
        <v>12093</v>
      </c>
    </row>
    <row r="996" spans="1:7" x14ac:dyDescent="0.25">
      <c r="A996" t="s">
        <v>12094</v>
      </c>
      <c r="B996" t="s">
        <v>12010</v>
      </c>
      <c r="C996" t="s">
        <v>2136</v>
      </c>
      <c r="D996">
        <v>2020</v>
      </c>
      <c r="E996" t="s">
        <v>2136</v>
      </c>
      <c r="F996" t="s">
        <v>12095</v>
      </c>
    </row>
    <row r="997" spans="1:7" x14ac:dyDescent="0.25">
      <c r="A997" t="s">
        <v>12096</v>
      </c>
      <c r="B997" t="s">
        <v>12010</v>
      </c>
      <c r="C997" t="s">
        <v>2136</v>
      </c>
      <c r="D997">
        <v>2020</v>
      </c>
      <c r="E997" t="s">
        <v>2136</v>
      </c>
      <c r="F997" t="s">
        <v>12097</v>
      </c>
    </row>
    <row r="998" spans="1:7" x14ac:dyDescent="0.25">
      <c r="A998" t="s">
        <v>2132</v>
      </c>
      <c r="B998" t="s">
        <v>12010</v>
      </c>
      <c r="C998" t="s">
        <v>2132</v>
      </c>
      <c r="D998">
        <v>2013</v>
      </c>
      <c r="E998" t="s">
        <v>2132</v>
      </c>
      <c r="F998" t="s">
        <v>12098</v>
      </c>
      <c r="G998" t="s">
        <v>10071</v>
      </c>
    </row>
    <row r="999" spans="1:7" x14ac:dyDescent="0.25">
      <c r="A999" t="s">
        <v>12099</v>
      </c>
      <c r="B999" t="s">
        <v>12010</v>
      </c>
      <c r="C999" t="s">
        <v>2132</v>
      </c>
      <c r="D999">
        <v>2013</v>
      </c>
      <c r="E999" t="s">
        <v>2132</v>
      </c>
      <c r="F999" t="s">
        <v>12100</v>
      </c>
    </row>
    <row r="1000" spans="1:7" x14ac:dyDescent="0.25">
      <c r="A1000" t="s">
        <v>12101</v>
      </c>
      <c r="B1000" t="s">
        <v>12010</v>
      </c>
      <c r="C1000" t="s">
        <v>2132</v>
      </c>
      <c r="D1000">
        <v>2013</v>
      </c>
      <c r="E1000" t="s">
        <v>2132</v>
      </c>
      <c r="F1000" t="s">
        <v>12102</v>
      </c>
    </row>
    <row r="1001" spans="1:7" x14ac:dyDescent="0.25">
      <c r="A1001" t="s">
        <v>12103</v>
      </c>
      <c r="B1001" t="s">
        <v>12010</v>
      </c>
      <c r="C1001" t="s">
        <v>2132</v>
      </c>
      <c r="D1001">
        <v>2013</v>
      </c>
      <c r="E1001" t="s">
        <v>2132</v>
      </c>
      <c r="F1001" t="s">
        <v>12104</v>
      </c>
    </row>
    <row r="1002" spans="1:7" x14ac:dyDescent="0.25">
      <c r="A1002" t="s">
        <v>12105</v>
      </c>
      <c r="B1002" t="s">
        <v>12010</v>
      </c>
      <c r="C1002" t="s">
        <v>2132</v>
      </c>
      <c r="D1002">
        <v>2013</v>
      </c>
      <c r="E1002" t="s">
        <v>2132</v>
      </c>
      <c r="F1002" t="s">
        <v>12106</v>
      </c>
    </row>
    <row r="1003" spans="1:7" x14ac:dyDescent="0.25">
      <c r="A1003" t="s">
        <v>12107</v>
      </c>
      <c r="B1003" t="s">
        <v>12010</v>
      </c>
      <c r="C1003" t="s">
        <v>2132</v>
      </c>
      <c r="D1003">
        <v>2013</v>
      </c>
      <c r="E1003" t="s">
        <v>2132</v>
      </c>
      <c r="F1003" t="s">
        <v>12108</v>
      </c>
    </row>
    <row r="1004" spans="1:7" x14ac:dyDescent="0.25">
      <c r="A1004" t="s">
        <v>12109</v>
      </c>
      <c r="B1004" t="s">
        <v>12010</v>
      </c>
      <c r="C1004" t="s">
        <v>2132</v>
      </c>
      <c r="D1004">
        <v>2013</v>
      </c>
      <c r="E1004" t="s">
        <v>2132</v>
      </c>
      <c r="F1004" t="s">
        <v>12110</v>
      </c>
    </row>
    <row r="1005" spans="1:7" x14ac:dyDescent="0.25">
      <c r="A1005" t="s">
        <v>12111</v>
      </c>
      <c r="B1005" t="s">
        <v>12010</v>
      </c>
      <c r="C1005" t="s">
        <v>2132</v>
      </c>
      <c r="D1005">
        <v>2013</v>
      </c>
      <c r="E1005" t="s">
        <v>2132</v>
      </c>
      <c r="F1005" t="s">
        <v>12112</v>
      </c>
    </row>
    <row r="1006" spans="1:7" x14ac:dyDescent="0.25">
      <c r="A1006" t="s">
        <v>12113</v>
      </c>
      <c r="B1006" t="s">
        <v>12010</v>
      </c>
      <c r="C1006" t="s">
        <v>2132</v>
      </c>
      <c r="D1006">
        <v>2013</v>
      </c>
      <c r="E1006" t="s">
        <v>2132</v>
      </c>
      <c r="F1006" t="s">
        <v>12114</v>
      </c>
    </row>
    <row r="1007" spans="1:7" x14ac:dyDescent="0.25">
      <c r="A1007" t="s">
        <v>12115</v>
      </c>
      <c r="B1007" t="s">
        <v>12010</v>
      </c>
      <c r="C1007" t="s">
        <v>2132</v>
      </c>
      <c r="D1007">
        <v>2013</v>
      </c>
      <c r="E1007" t="s">
        <v>2132</v>
      </c>
      <c r="F1007" t="s">
        <v>12116</v>
      </c>
    </row>
    <row r="1008" spans="1:7" x14ac:dyDescent="0.25">
      <c r="A1008" t="s">
        <v>12117</v>
      </c>
      <c r="B1008" t="s">
        <v>12010</v>
      </c>
      <c r="C1008" t="s">
        <v>2132</v>
      </c>
      <c r="D1008">
        <v>2013</v>
      </c>
      <c r="E1008" t="s">
        <v>2132</v>
      </c>
      <c r="F1008" t="s">
        <v>12118</v>
      </c>
    </row>
    <row r="1009" spans="1:7" x14ac:dyDescent="0.25">
      <c r="A1009" t="s">
        <v>12119</v>
      </c>
      <c r="B1009" t="s">
        <v>12010</v>
      </c>
      <c r="C1009" t="s">
        <v>2132</v>
      </c>
      <c r="D1009">
        <v>2013</v>
      </c>
      <c r="E1009" t="s">
        <v>2132</v>
      </c>
      <c r="F1009" t="s">
        <v>12120</v>
      </c>
    </row>
    <row r="1010" spans="1:7" x14ac:dyDescent="0.25">
      <c r="A1010" t="s">
        <v>12121</v>
      </c>
      <c r="B1010" t="s">
        <v>12010</v>
      </c>
      <c r="C1010" t="s">
        <v>2132</v>
      </c>
      <c r="D1010">
        <v>2013</v>
      </c>
      <c r="E1010" t="s">
        <v>2132</v>
      </c>
      <c r="F1010" t="s">
        <v>12122</v>
      </c>
    </row>
    <row r="1011" spans="1:7" x14ac:dyDescent="0.25">
      <c r="A1011" t="s">
        <v>12123</v>
      </c>
      <c r="B1011" t="s">
        <v>12010</v>
      </c>
      <c r="C1011" t="s">
        <v>2132</v>
      </c>
      <c r="D1011">
        <v>2013</v>
      </c>
      <c r="E1011" t="s">
        <v>2132</v>
      </c>
      <c r="F1011" t="s">
        <v>12124</v>
      </c>
    </row>
    <row r="1012" spans="1:7" x14ac:dyDescent="0.25">
      <c r="A1012" t="s">
        <v>12125</v>
      </c>
      <c r="B1012" t="s">
        <v>12010</v>
      </c>
      <c r="C1012" t="s">
        <v>2132</v>
      </c>
      <c r="D1012">
        <v>2013</v>
      </c>
      <c r="E1012" t="s">
        <v>2132</v>
      </c>
      <c r="F1012" t="s">
        <v>12126</v>
      </c>
    </row>
    <row r="1013" spans="1:7" x14ac:dyDescent="0.25">
      <c r="A1013" t="s">
        <v>12127</v>
      </c>
      <c r="B1013" t="s">
        <v>12010</v>
      </c>
      <c r="C1013" t="s">
        <v>2132</v>
      </c>
      <c r="D1013">
        <v>2013</v>
      </c>
      <c r="E1013" t="s">
        <v>2132</v>
      </c>
      <c r="F1013" t="s">
        <v>12128</v>
      </c>
    </row>
    <row r="1014" spans="1:7" x14ac:dyDescent="0.25">
      <c r="A1014" t="s">
        <v>12129</v>
      </c>
      <c r="B1014" t="s">
        <v>12010</v>
      </c>
      <c r="C1014" t="s">
        <v>2132</v>
      </c>
      <c r="D1014">
        <v>2013</v>
      </c>
      <c r="E1014" t="s">
        <v>2132</v>
      </c>
      <c r="F1014" t="s">
        <v>12130</v>
      </c>
    </row>
    <row r="1015" spans="1:7" x14ac:dyDescent="0.25">
      <c r="A1015" t="s">
        <v>12131</v>
      </c>
      <c r="B1015" t="s">
        <v>12010</v>
      </c>
      <c r="C1015" t="s">
        <v>2132</v>
      </c>
      <c r="D1015">
        <v>2013</v>
      </c>
      <c r="E1015" t="s">
        <v>2132</v>
      </c>
      <c r="F1015" t="s">
        <v>12132</v>
      </c>
    </row>
    <row r="1016" spans="1:7" x14ac:dyDescent="0.25">
      <c r="A1016" t="s">
        <v>12133</v>
      </c>
      <c r="B1016" t="s">
        <v>12134</v>
      </c>
      <c r="C1016" t="s">
        <v>12135</v>
      </c>
      <c r="D1016">
        <v>2013</v>
      </c>
      <c r="E1016" t="s">
        <v>2173</v>
      </c>
      <c r="F1016" t="s">
        <v>12136</v>
      </c>
    </row>
    <row r="1017" spans="1:7" x14ac:dyDescent="0.25">
      <c r="A1017" t="s">
        <v>2173</v>
      </c>
      <c r="B1017" t="s">
        <v>12134</v>
      </c>
      <c r="C1017" t="s">
        <v>12135</v>
      </c>
      <c r="D1017">
        <v>2013</v>
      </c>
      <c r="E1017" t="s">
        <v>2173</v>
      </c>
      <c r="F1017" t="s">
        <v>12137</v>
      </c>
      <c r="G1017" t="s">
        <v>10071</v>
      </c>
    </row>
    <row r="1018" spans="1:7" x14ac:dyDescent="0.25">
      <c r="A1018" t="s">
        <v>12138</v>
      </c>
      <c r="B1018" t="s">
        <v>12134</v>
      </c>
      <c r="C1018" t="s">
        <v>12135</v>
      </c>
      <c r="D1018">
        <v>2013</v>
      </c>
      <c r="E1018" t="s">
        <v>2173</v>
      </c>
      <c r="F1018" t="s">
        <v>12139</v>
      </c>
    </row>
    <row r="1019" spans="1:7" x14ac:dyDescent="0.25">
      <c r="A1019" t="s">
        <v>12140</v>
      </c>
      <c r="B1019" t="s">
        <v>12134</v>
      </c>
      <c r="C1019" t="s">
        <v>12135</v>
      </c>
      <c r="D1019">
        <v>2013</v>
      </c>
      <c r="E1019" t="s">
        <v>2173</v>
      </c>
      <c r="F1019" t="s">
        <v>12141</v>
      </c>
    </row>
    <row r="1020" spans="1:7" x14ac:dyDescent="0.25">
      <c r="A1020" t="s">
        <v>12142</v>
      </c>
      <c r="B1020" t="s">
        <v>12134</v>
      </c>
      <c r="C1020" t="s">
        <v>12135</v>
      </c>
      <c r="D1020">
        <v>2013</v>
      </c>
      <c r="E1020" t="s">
        <v>2173</v>
      </c>
      <c r="F1020" t="s">
        <v>12143</v>
      </c>
    </row>
    <row r="1021" spans="1:7" x14ac:dyDescent="0.25">
      <c r="A1021" t="s">
        <v>12144</v>
      </c>
      <c r="B1021" t="s">
        <v>12134</v>
      </c>
      <c r="C1021" t="s">
        <v>12135</v>
      </c>
      <c r="D1021">
        <v>2013</v>
      </c>
      <c r="E1021" t="s">
        <v>2173</v>
      </c>
      <c r="F1021" t="s">
        <v>12145</v>
      </c>
    </row>
    <row r="1022" spans="1:7" x14ac:dyDescent="0.25">
      <c r="A1022" t="s">
        <v>12146</v>
      </c>
      <c r="B1022" t="s">
        <v>12134</v>
      </c>
      <c r="C1022" t="s">
        <v>12135</v>
      </c>
      <c r="D1022">
        <v>2013</v>
      </c>
      <c r="E1022" t="s">
        <v>2173</v>
      </c>
      <c r="F1022" t="s">
        <v>12147</v>
      </c>
    </row>
    <row r="1023" spans="1:7" x14ac:dyDescent="0.25">
      <c r="A1023" t="s">
        <v>12148</v>
      </c>
      <c r="B1023" t="s">
        <v>12134</v>
      </c>
      <c r="C1023" t="s">
        <v>12135</v>
      </c>
      <c r="D1023">
        <v>2013</v>
      </c>
      <c r="E1023" t="s">
        <v>2173</v>
      </c>
      <c r="F1023" t="s">
        <v>12149</v>
      </c>
    </row>
    <row r="1024" spans="1:7" x14ac:dyDescent="0.25">
      <c r="A1024" t="s">
        <v>12150</v>
      </c>
      <c r="B1024" t="s">
        <v>12134</v>
      </c>
      <c r="C1024" t="s">
        <v>12135</v>
      </c>
      <c r="D1024">
        <v>2013</v>
      </c>
      <c r="E1024" t="s">
        <v>2173</v>
      </c>
      <c r="F1024" t="s">
        <v>12151</v>
      </c>
    </row>
    <row r="1025" spans="1:7" x14ac:dyDescent="0.25">
      <c r="A1025" t="s">
        <v>12152</v>
      </c>
      <c r="B1025" t="s">
        <v>12134</v>
      </c>
      <c r="C1025" t="s">
        <v>12135</v>
      </c>
      <c r="D1025">
        <v>2013</v>
      </c>
      <c r="E1025" t="s">
        <v>2173</v>
      </c>
      <c r="F1025" t="s">
        <v>12153</v>
      </c>
    </row>
    <row r="1026" spans="1:7" x14ac:dyDescent="0.25">
      <c r="A1026" t="s">
        <v>12154</v>
      </c>
      <c r="B1026" t="s">
        <v>12134</v>
      </c>
      <c r="C1026" t="s">
        <v>12135</v>
      </c>
      <c r="D1026">
        <v>2013</v>
      </c>
      <c r="E1026" t="s">
        <v>2173</v>
      </c>
      <c r="F1026" t="s">
        <v>12155</v>
      </c>
    </row>
    <row r="1027" spans="1:7" x14ac:dyDescent="0.25">
      <c r="A1027" t="s">
        <v>12156</v>
      </c>
      <c r="B1027" t="s">
        <v>12134</v>
      </c>
      <c r="C1027" t="s">
        <v>12135</v>
      </c>
      <c r="D1027">
        <v>2013</v>
      </c>
      <c r="E1027" t="s">
        <v>2173</v>
      </c>
      <c r="F1027" t="s">
        <v>12157</v>
      </c>
    </row>
    <row r="1028" spans="1:7" x14ac:dyDescent="0.25">
      <c r="A1028" t="s">
        <v>12158</v>
      </c>
      <c r="B1028" t="s">
        <v>12134</v>
      </c>
      <c r="C1028" t="s">
        <v>12135</v>
      </c>
      <c r="D1028">
        <v>2013</v>
      </c>
      <c r="E1028" t="s">
        <v>2173</v>
      </c>
      <c r="F1028" t="s">
        <v>12159</v>
      </c>
    </row>
    <row r="1029" spans="1:7" x14ac:dyDescent="0.25">
      <c r="A1029" t="s">
        <v>12160</v>
      </c>
      <c r="B1029" t="s">
        <v>12134</v>
      </c>
      <c r="C1029" t="s">
        <v>12135</v>
      </c>
      <c r="D1029">
        <v>2013</v>
      </c>
      <c r="E1029" t="s">
        <v>2173</v>
      </c>
      <c r="F1029" t="s">
        <v>12161</v>
      </c>
    </row>
    <row r="1030" spans="1:7" x14ac:dyDescent="0.25">
      <c r="A1030" t="s">
        <v>12162</v>
      </c>
      <c r="B1030" t="s">
        <v>12134</v>
      </c>
      <c r="C1030" t="s">
        <v>12135</v>
      </c>
      <c r="D1030">
        <v>2013</v>
      </c>
      <c r="E1030" t="s">
        <v>2173</v>
      </c>
      <c r="F1030" t="s">
        <v>12163</v>
      </c>
    </row>
    <row r="1031" spans="1:7" x14ac:dyDescent="0.25">
      <c r="A1031" t="s">
        <v>12164</v>
      </c>
      <c r="B1031" t="s">
        <v>12134</v>
      </c>
      <c r="C1031" t="s">
        <v>12135</v>
      </c>
      <c r="D1031">
        <v>2013</v>
      </c>
      <c r="E1031" t="s">
        <v>2173</v>
      </c>
      <c r="F1031" t="s">
        <v>12165</v>
      </c>
    </row>
    <row r="1032" spans="1:7" x14ac:dyDescent="0.25">
      <c r="A1032" t="s">
        <v>12166</v>
      </c>
      <c r="B1032" t="s">
        <v>12134</v>
      </c>
      <c r="C1032" t="s">
        <v>12135</v>
      </c>
      <c r="D1032">
        <v>2013</v>
      </c>
      <c r="E1032" t="s">
        <v>2173</v>
      </c>
      <c r="F1032" t="s">
        <v>12167</v>
      </c>
    </row>
    <row r="1033" spans="1:7" x14ac:dyDescent="0.25">
      <c r="A1033" t="s">
        <v>12168</v>
      </c>
      <c r="B1033" t="s">
        <v>12134</v>
      </c>
      <c r="C1033" t="s">
        <v>12135</v>
      </c>
      <c r="D1033">
        <v>2013</v>
      </c>
      <c r="E1033" t="s">
        <v>2173</v>
      </c>
      <c r="F1033" t="s">
        <v>12169</v>
      </c>
    </row>
    <row r="1034" spans="1:7" x14ac:dyDescent="0.25">
      <c r="A1034" t="s">
        <v>12170</v>
      </c>
      <c r="B1034" t="s">
        <v>12134</v>
      </c>
      <c r="C1034" t="s">
        <v>12135</v>
      </c>
      <c r="D1034">
        <v>2013</v>
      </c>
      <c r="E1034" t="s">
        <v>2173</v>
      </c>
      <c r="F1034" t="s">
        <v>12171</v>
      </c>
    </row>
    <row r="1035" spans="1:7" x14ac:dyDescent="0.25">
      <c r="A1035" t="s">
        <v>12172</v>
      </c>
      <c r="B1035" t="s">
        <v>12173</v>
      </c>
      <c r="C1035" t="s">
        <v>12174</v>
      </c>
      <c r="D1035">
        <v>2020</v>
      </c>
      <c r="E1035" t="s">
        <v>2254</v>
      </c>
      <c r="F1035" t="s">
        <v>12175</v>
      </c>
      <c r="G1035" t="s">
        <v>10071</v>
      </c>
    </row>
    <row r="1036" spans="1:7" x14ac:dyDescent="0.25">
      <c r="A1036" t="s">
        <v>12176</v>
      </c>
      <c r="B1036" t="s">
        <v>12173</v>
      </c>
      <c r="C1036" t="s">
        <v>12174</v>
      </c>
      <c r="D1036">
        <v>2020</v>
      </c>
      <c r="E1036" t="s">
        <v>2254</v>
      </c>
      <c r="F1036" t="s">
        <v>12177</v>
      </c>
    </row>
    <row r="1037" spans="1:7" x14ac:dyDescent="0.25">
      <c r="A1037" t="s">
        <v>12178</v>
      </c>
      <c r="B1037" t="s">
        <v>12173</v>
      </c>
      <c r="C1037" t="s">
        <v>12174</v>
      </c>
      <c r="D1037">
        <v>2020</v>
      </c>
      <c r="E1037" t="s">
        <v>2254</v>
      </c>
      <c r="F1037" t="s">
        <v>12179</v>
      </c>
    </row>
    <row r="1038" spans="1:7" x14ac:dyDescent="0.25">
      <c r="A1038" t="s">
        <v>12180</v>
      </c>
      <c r="B1038" t="s">
        <v>12173</v>
      </c>
      <c r="C1038" t="s">
        <v>12174</v>
      </c>
      <c r="D1038">
        <v>2020</v>
      </c>
      <c r="E1038" t="s">
        <v>2254</v>
      </c>
      <c r="F1038" t="s">
        <v>12181</v>
      </c>
    </row>
    <row r="1039" spans="1:7" x14ac:dyDescent="0.25">
      <c r="A1039" t="s">
        <v>12182</v>
      </c>
      <c r="B1039" t="s">
        <v>12173</v>
      </c>
      <c r="C1039" t="s">
        <v>12174</v>
      </c>
      <c r="D1039">
        <v>2020</v>
      </c>
      <c r="E1039" t="s">
        <v>2254</v>
      </c>
      <c r="F1039" t="s">
        <v>12183</v>
      </c>
    </row>
    <row r="1040" spans="1:7" x14ac:dyDescent="0.25">
      <c r="A1040" t="s">
        <v>12184</v>
      </c>
      <c r="B1040" t="s">
        <v>12173</v>
      </c>
      <c r="C1040" t="s">
        <v>12174</v>
      </c>
      <c r="D1040">
        <v>2020</v>
      </c>
      <c r="E1040" t="s">
        <v>2254</v>
      </c>
      <c r="F1040" t="s">
        <v>12185</v>
      </c>
    </row>
    <row r="1041" spans="1:6" x14ac:dyDescent="0.25">
      <c r="A1041" t="s">
        <v>12186</v>
      </c>
      <c r="B1041" t="s">
        <v>12173</v>
      </c>
      <c r="C1041" t="s">
        <v>12174</v>
      </c>
      <c r="D1041">
        <v>2020</v>
      </c>
      <c r="E1041" t="s">
        <v>2254</v>
      </c>
      <c r="F1041" t="s">
        <v>12187</v>
      </c>
    </row>
    <row r="1042" spans="1:6" x14ac:dyDescent="0.25">
      <c r="A1042" t="s">
        <v>12188</v>
      </c>
      <c r="B1042" t="s">
        <v>12173</v>
      </c>
      <c r="C1042" t="s">
        <v>12174</v>
      </c>
      <c r="D1042">
        <v>2020</v>
      </c>
      <c r="E1042" t="s">
        <v>2254</v>
      </c>
      <c r="F1042" t="s">
        <v>12189</v>
      </c>
    </row>
    <row r="1043" spans="1:6" x14ac:dyDescent="0.25">
      <c r="A1043" t="s">
        <v>12190</v>
      </c>
      <c r="B1043" t="s">
        <v>12173</v>
      </c>
      <c r="C1043" t="s">
        <v>12174</v>
      </c>
      <c r="D1043">
        <v>2020</v>
      </c>
      <c r="E1043" t="s">
        <v>2254</v>
      </c>
      <c r="F1043" t="s">
        <v>12191</v>
      </c>
    </row>
    <row r="1044" spans="1:6" x14ac:dyDescent="0.25">
      <c r="A1044" t="s">
        <v>12192</v>
      </c>
      <c r="B1044" t="s">
        <v>12173</v>
      </c>
      <c r="C1044" t="s">
        <v>12174</v>
      </c>
      <c r="D1044">
        <v>2020</v>
      </c>
      <c r="E1044" t="s">
        <v>2254</v>
      </c>
      <c r="F1044" t="s">
        <v>12193</v>
      </c>
    </row>
    <row r="1045" spans="1:6" x14ac:dyDescent="0.25">
      <c r="A1045" t="s">
        <v>12194</v>
      </c>
      <c r="B1045" t="s">
        <v>12173</v>
      </c>
      <c r="C1045" t="s">
        <v>12174</v>
      </c>
      <c r="D1045">
        <v>2020</v>
      </c>
      <c r="E1045" t="s">
        <v>2254</v>
      </c>
      <c r="F1045" t="s">
        <v>12195</v>
      </c>
    </row>
    <row r="1046" spans="1:6" x14ac:dyDescent="0.25">
      <c r="A1046" t="s">
        <v>5112</v>
      </c>
      <c r="B1046" t="s">
        <v>12173</v>
      </c>
      <c r="C1046" t="s">
        <v>12174</v>
      </c>
      <c r="D1046">
        <v>2020</v>
      </c>
      <c r="E1046" t="s">
        <v>2254</v>
      </c>
      <c r="F1046" t="s">
        <v>12196</v>
      </c>
    </row>
    <row r="1047" spans="1:6" x14ac:dyDescent="0.25">
      <c r="A1047" t="s">
        <v>12197</v>
      </c>
      <c r="B1047" t="s">
        <v>12173</v>
      </c>
      <c r="C1047" t="s">
        <v>12174</v>
      </c>
      <c r="D1047">
        <v>2020</v>
      </c>
      <c r="E1047" t="s">
        <v>2254</v>
      </c>
      <c r="F1047" t="s">
        <v>12198</v>
      </c>
    </row>
    <row r="1048" spans="1:6" x14ac:dyDescent="0.25">
      <c r="A1048" t="s">
        <v>12199</v>
      </c>
      <c r="B1048" t="s">
        <v>12173</v>
      </c>
      <c r="C1048" t="s">
        <v>12174</v>
      </c>
      <c r="D1048">
        <v>2020</v>
      </c>
      <c r="E1048" t="s">
        <v>2254</v>
      </c>
      <c r="F1048" t="s">
        <v>12200</v>
      </c>
    </row>
    <row r="1049" spans="1:6" x14ac:dyDescent="0.25">
      <c r="A1049" t="s">
        <v>12201</v>
      </c>
      <c r="B1049" t="s">
        <v>12173</v>
      </c>
      <c r="C1049" t="s">
        <v>12174</v>
      </c>
      <c r="D1049">
        <v>2020</v>
      </c>
      <c r="E1049" t="s">
        <v>2254</v>
      </c>
      <c r="F1049" t="s">
        <v>12202</v>
      </c>
    </row>
    <row r="1050" spans="1:6" x14ac:dyDescent="0.25">
      <c r="A1050" t="s">
        <v>12203</v>
      </c>
      <c r="B1050" t="s">
        <v>12173</v>
      </c>
      <c r="C1050" t="s">
        <v>12174</v>
      </c>
      <c r="D1050">
        <v>2020</v>
      </c>
      <c r="E1050" t="s">
        <v>2254</v>
      </c>
      <c r="F1050" t="s">
        <v>12204</v>
      </c>
    </row>
    <row r="1051" spans="1:6" x14ac:dyDescent="0.25">
      <c r="A1051" t="s">
        <v>12205</v>
      </c>
      <c r="B1051" t="s">
        <v>12173</v>
      </c>
      <c r="C1051" t="s">
        <v>12174</v>
      </c>
      <c r="D1051">
        <v>2020</v>
      </c>
      <c r="E1051" t="s">
        <v>2254</v>
      </c>
      <c r="F1051" t="s">
        <v>12206</v>
      </c>
    </row>
    <row r="1052" spans="1:6" x14ac:dyDescent="0.25">
      <c r="A1052" t="s">
        <v>12207</v>
      </c>
      <c r="B1052" t="s">
        <v>12173</v>
      </c>
      <c r="C1052" t="s">
        <v>12174</v>
      </c>
      <c r="D1052">
        <v>2020</v>
      </c>
      <c r="E1052" t="s">
        <v>2254</v>
      </c>
      <c r="F1052" t="s">
        <v>12208</v>
      </c>
    </row>
    <row r="1053" spans="1:6" x14ac:dyDescent="0.25">
      <c r="A1053" t="s">
        <v>12209</v>
      </c>
      <c r="B1053" t="s">
        <v>12173</v>
      </c>
      <c r="C1053" t="s">
        <v>12174</v>
      </c>
      <c r="D1053">
        <v>2020</v>
      </c>
      <c r="E1053" t="s">
        <v>2254</v>
      </c>
      <c r="F1053" t="s">
        <v>12210</v>
      </c>
    </row>
    <row r="1054" spans="1:6" x14ac:dyDescent="0.25">
      <c r="A1054" t="s">
        <v>12211</v>
      </c>
      <c r="B1054" t="s">
        <v>12173</v>
      </c>
      <c r="C1054" t="s">
        <v>12174</v>
      </c>
      <c r="D1054">
        <v>2020</v>
      </c>
      <c r="E1054" t="s">
        <v>2254</v>
      </c>
      <c r="F1054" t="s">
        <v>12212</v>
      </c>
    </row>
    <row r="1055" spans="1:6" x14ac:dyDescent="0.25">
      <c r="A1055" t="s">
        <v>12213</v>
      </c>
      <c r="B1055" t="s">
        <v>12173</v>
      </c>
      <c r="C1055" t="s">
        <v>12174</v>
      </c>
      <c r="D1055">
        <v>2020</v>
      </c>
      <c r="E1055" t="s">
        <v>2254</v>
      </c>
      <c r="F1055" t="s">
        <v>12214</v>
      </c>
    </row>
    <row r="1056" spans="1:6" x14ac:dyDescent="0.25">
      <c r="A1056" t="s">
        <v>12215</v>
      </c>
      <c r="B1056" t="s">
        <v>12173</v>
      </c>
      <c r="C1056" t="s">
        <v>12174</v>
      </c>
      <c r="D1056">
        <v>2020</v>
      </c>
      <c r="E1056" t="s">
        <v>2254</v>
      </c>
      <c r="F1056" t="s">
        <v>12216</v>
      </c>
    </row>
    <row r="1057" spans="1:7" x14ac:dyDescent="0.25">
      <c r="A1057" t="s">
        <v>10404</v>
      </c>
      <c r="B1057" t="s">
        <v>12173</v>
      </c>
      <c r="C1057" t="s">
        <v>12174</v>
      </c>
      <c r="D1057">
        <v>2020</v>
      </c>
      <c r="E1057" t="s">
        <v>2254</v>
      </c>
      <c r="F1057" t="s">
        <v>12217</v>
      </c>
    </row>
    <row r="1058" spans="1:7" x14ac:dyDescent="0.25">
      <c r="A1058" t="s">
        <v>12218</v>
      </c>
      <c r="B1058" t="s">
        <v>12173</v>
      </c>
      <c r="C1058" t="s">
        <v>12174</v>
      </c>
      <c r="D1058">
        <v>2020</v>
      </c>
      <c r="E1058" t="s">
        <v>2254</v>
      </c>
      <c r="F1058" t="s">
        <v>12219</v>
      </c>
    </row>
    <row r="1059" spans="1:7" x14ac:dyDescent="0.25">
      <c r="A1059" t="s">
        <v>12220</v>
      </c>
      <c r="B1059" t="s">
        <v>12173</v>
      </c>
      <c r="C1059" t="s">
        <v>12174</v>
      </c>
      <c r="D1059">
        <v>2020</v>
      </c>
      <c r="E1059" t="s">
        <v>2254</v>
      </c>
      <c r="F1059" t="s">
        <v>12221</v>
      </c>
    </row>
    <row r="1060" spans="1:7" x14ac:dyDescent="0.25">
      <c r="A1060" t="s">
        <v>12222</v>
      </c>
      <c r="B1060" t="s">
        <v>12173</v>
      </c>
      <c r="C1060" t="s">
        <v>12174</v>
      </c>
      <c r="D1060">
        <v>2020</v>
      </c>
      <c r="E1060" t="s">
        <v>2254</v>
      </c>
      <c r="F1060" t="s">
        <v>12223</v>
      </c>
    </row>
    <row r="1061" spans="1:7" x14ac:dyDescent="0.25">
      <c r="A1061" t="s">
        <v>12224</v>
      </c>
      <c r="B1061" t="s">
        <v>12173</v>
      </c>
      <c r="C1061" t="s">
        <v>12174</v>
      </c>
      <c r="D1061">
        <v>2020</v>
      </c>
      <c r="E1061" t="s">
        <v>2254</v>
      </c>
      <c r="F1061" t="s">
        <v>12225</v>
      </c>
    </row>
    <row r="1062" spans="1:7" x14ac:dyDescent="0.25">
      <c r="A1062" t="s">
        <v>12226</v>
      </c>
      <c r="B1062" t="s">
        <v>12173</v>
      </c>
      <c r="C1062" t="s">
        <v>12174</v>
      </c>
      <c r="D1062">
        <v>2020</v>
      </c>
      <c r="E1062" t="s">
        <v>2254</v>
      </c>
      <c r="F1062" t="s">
        <v>12227</v>
      </c>
    </row>
    <row r="1063" spans="1:7" x14ac:dyDescent="0.25">
      <c r="A1063" t="s">
        <v>90</v>
      </c>
      <c r="B1063" t="s">
        <v>12228</v>
      </c>
      <c r="C1063" t="s">
        <v>12229</v>
      </c>
      <c r="D1063">
        <v>2018</v>
      </c>
      <c r="E1063" t="s">
        <v>90</v>
      </c>
      <c r="F1063" t="s">
        <v>12230</v>
      </c>
      <c r="G1063" t="s">
        <v>10071</v>
      </c>
    </row>
    <row r="1064" spans="1:7" x14ac:dyDescent="0.25">
      <c r="A1064" t="s">
        <v>12231</v>
      </c>
      <c r="B1064" t="s">
        <v>12228</v>
      </c>
      <c r="C1064" t="s">
        <v>12229</v>
      </c>
      <c r="D1064">
        <v>2018</v>
      </c>
      <c r="E1064" t="s">
        <v>90</v>
      </c>
      <c r="F1064" t="s">
        <v>12232</v>
      </c>
    </row>
    <row r="1065" spans="1:7" x14ac:dyDescent="0.25">
      <c r="A1065" t="s">
        <v>5755</v>
      </c>
      <c r="B1065" t="s">
        <v>12228</v>
      </c>
      <c r="C1065" t="s">
        <v>12229</v>
      </c>
      <c r="D1065">
        <v>2018</v>
      </c>
      <c r="E1065" t="s">
        <v>90</v>
      </c>
      <c r="F1065" t="s">
        <v>12233</v>
      </c>
    </row>
    <row r="1066" spans="1:7" x14ac:dyDescent="0.25">
      <c r="A1066" t="s">
        <v>12234</v>
      </c>
      <c r="B1066" t="s">
        <v>12228</v>
      </c>
      <c r="C1066" t="s">
        <v>12229</v>
      </c>
      <c r="D1066">
        <v>2018</v>
      </c>
      <c r="E1066" t="s">
        <v>90</v>
      </c>
      <c r="F1066" t="s">
        <v>12235</v>
      </c>
    </row>
    <row r="1067" spans="1:7" x14ac:dyDescent="0.25">
      <c r="A1067" t="s">
        <v>12236</v>
      </c>
      <c r="B1067" t="s">
        <v>12228</v>
      </c>
      <c r="C1067" t="s">
        <v>12229</v>
      </c>
      <c r="D1067">
        <v>2018</v>
      </c>
      <c r="E1067" t="s">
        <v>90</v>
      </c>
      <c r="F1067" t="s">
        <v>12237</v>
      </c>
    </row>
    <row r="1068" spans="1:7" x14ac:dyDescent="0.25">
      <c r="A1068" t="s">
        <v>12238</v>
      </c>
      <c r="B1068" t="s">
        <v>12228</v>
      </c>
      <c r="C1068" t="s">
        <v>12229</v>
      </c>
      <c r="D1068">
        <v>2018</v>
      </c>
      <c r="E1068" t="s">
        <v>90</v>
      </c>
      <c r="F1068" t="s">
        <v>12239</v>
      </c>
    </row>
    <row r="1069" spans="1:7" x14ac:dyDescent="0.25">
      <c r="A1069" t="s">
        <v>12240</v>
      </c>
      <c r="B1069" t="s">
        <v>12228</v>
      </c>
      <c r="C1069" t="s">
        <v>12229</v>
      </c>
      <c r="D1069">
        <v>2018</v>
      </c>
      <c r="E1069" t="s">
        <v>90</v>
      </c>
      <c r="F1069" t="s">
        <v>12241</v>
      </c>
    </row>
    <row r="1070" spans="1:7" x14ac:dyDescent="0.25">
      <c r="A1070" t="s">
        <v>5970</v>
      </c>
      <c r="B1070" t="s">
        <v>12228</v>
      </c>
      <c r="C1070" t="s">
        <v>12229</v>
      </c>
      <c r="D1070">
        <v>2018</v>
      </c>
      <c r="E1070" t="s">
        <v>90</v>
      </c>
      <c r="F1070" t="s">
        <v>12242</v>
      </c>
    </row>
    <row r="1071" spans="1:7" x14ac:dyDescent="0.25">
      <c r="A1071" t="s">
        <v>12243</v>
      </c>
      <c r="B1071" t="s">
        <v>12228</v>
      </c>
      <c r="C1071" t="s">
        <v>12229</v>
      </c>
      <c r="D1071">
        <v>2018</v>
      </c>
      <c r="E1071" t="s">
        <v>90</v>
      </c>
      <c r="F1071" t="s">
        <v>12244</v>
      </c>
    </row>
    <row r="1072" spans="1:7" x14ac:dyDescent="0.25">
      <c r="A1072" t="s">
        <v>12245</v>
      </c>
      <c r="B1072" t="s">
        <v>12228</v>
      </c>
      <c r="C1072" t="s">
        <v>12229</v>
      </c>
      <c r="D1072">
        <v>2018</v>
      </c>
      <c r="E1072" t="s">
        <v>90</v>
      </c>
      <c r="F1072" t="s">
        <v>12246</v>
      </c>
    </row>
    <row r="1073" spans="1:6" x14ac:dyDescent="0.25">
      <c r="A1073" t="s">
        <v>12247</v>
      </c>
      <c r="B1073" t="s">
        <v>12228</v>
      </c>
      <c r="C1073" t="s">
        <v>12229</v>
      </c>
      <c r="D1073">
        <v>2018</v>
      </c>
      <c r="E1073" t="s">
        <v>90</v>
      </c>
      <c r="F1073" t="s">
        <v>12248</v>
      </c>
    </row>
    <row r="1074" spans="1:6" x14ac:dyDescent="0.25">
      <c r="A1074" t="s">
        <v>5709</v>
      </c>
      <c r="B1074" t="s">
        <v>12228</v>
      </c>
      <c r="C1074" t="s">
        <v>12229</v>
      </c>
      <c r="D1074">
        <v>2018</v>
      </c>
      <c r="E1074" t="s">
        <v>90</v>
      </c>
      <c r="F1074" t="s">
        <v>12249</v>
      </c>
    </row>
    <row r="1075" spans="1:6" x14ac:dyDescent="0.25">
      <c r="A1075" t="s">
        <v>12250</v>
      </c>
      <c r="B1075" t="s">
        <v>12228</v>
      </c>
      <c r="C1075" t="s">
        <v>12229</v>
      </c>
      <c r="D1075">
        <v>2018</v>
      </c>
      <c r="E1075" t="s">
        <v>90</v>
      </c>
      <c r="F1075" t="s">
        <v>12251</v>
      </c>
    </row>
    <row r="1076" spans="1:6" x14ac:dyDescent="0.25">
      <c r="A1076" t="s">
        <v>12252</v>
      </c>
      <c r="B1076" t="s">
        <v>12228</v>
      </c>
      <c r="C1076" t="s">
        <v>12229</v>
      </c>
      <c r="D1076">
        <v>2018</v>
      </c>
      <c r="E1076" t="s">
        <v>90</v>
      </c>
      <c r="F1076" t="s">
        <v>12253</v>
      </c>
    </row>
    <row r="1077" spans="1:6" x14ac:dyDescent="0.25">
      <c r="A1077" t="s">
        <v>12254</v>
      </c>
      <c r="B1077" t="s">
        <v>12228</v>
      </c>
      <c r="C1077" t="s">
        <v>12229</v>
      </c>
      <c r="D1077">
        <v>2018</v>
      </c>
      <c r="E1077" t="s">
        <v>90</v>
      </c>
      <c r="F1077" t="s">
        <v>12255</v>
      </c>
    </row>
    <row r="1078" spans="1:6" x14ac:dyDescent="0.25">
      <c r="A1078" t="s">
        <v>12213</v>
      </c>
      <c r="B1078" t="s">
        <v>12228</v>
      </c>
      <c r="C1078" t="s">
        <v>12229</v>
      </c>
      <c r="D1078">
        <v>2018</v>
      </c>
      <c r="E1078" t="s">
        <v>90</v>
      </c>
      <c r="F1078" t="s">
        <v>12256</v>
      </c>
    </row>
    <row r="1079" spans="1:6" x14ac:dyDescent="0.25">
      <c r="A1079" t="s">
        <v>12257</v>
      </c>
      <c r="B1079" t="s">
        <v>12228</v>
      </c>
      <c r="C1079" t="s">
        <v>12229</v>
      </c>
      <c r="D1079">
        <v>2018</v>
      </c>
      <c r="E1079" t="s">
        <v>90</v>
      </c>
      <c r="F1079" t="s">
        <v>12258</v>
      </c>
    </row>
    <row r="1080" spans="1:6" x14ac:dyDescent="0.25">
      <c r="A1080" t="s">
        <v>12259</v>
      </c>
      <c r="B1080" t="s">
        <v>12228</v>
      </c>
      <c r="C1080" t="s">
        <v>12229</v>
      </c>
      <c r="D1080">
        <v>2018</v>
      </c>
      <c r="E1080" t="s">
        <v>90</v>
      </c>
      <c r="F1080" t="s">
        <v>12260</v>
      </c>
    </row>
    <row r="1081" spans="1:6" x14ac:dyDescent="0.25">
      <c r="A1081" t="s">
        <v>12261</v>
      </c>
      <c r="B1081" t="s">
        <v>12228</v>
      </c>
      <c r="C1081" t="s">
        <v>12229</v>
      </c>
      <c r="D1081">
        <v>2018</v>
      </c>
      <c r="E1081" t="s">
        <v>90</v>
      </c>
      <c r="F1081" t="s">
        <v>12262</v>
      </c>
    </row>
    <row r="1082" spans="1:6" x14ac:dyDescent="0.25">
      <c r="A1082" t="s">
        <v>12263</v>
      </c>
      <c r="B1082" t="s">
        <v>12228</v>
      </c>
      <c r="C1082" t="s">
        <v>12229</v>
      </c>
      <c r="D1082">
        <v>2018</v>
      </c>
      <c r="E1082" t="s">
        <v>90</v>
      </c>
      <c r="F1082" t="s">
        <v>12264</v>
      </c>
    </row>
    <row r="1083" spans="1:6" x14ac:dyDescent="0.25">
      <c r="A1083" t="s">
        <v>12265</v>
      </c>
      <c r="B1083" t="s">
        <v>12228</v>
      </c>
      <c r="C1083" t="s">
        <v>12229</v>
      </c>
      <c r="D1083">
        <v>2018</v>
      </c>
      <c r="E1083" t="s">
        <v>90</v>
      </c>
      <c r="F1083" t="s">
        <v>12266</v>
      </c>
    </row>
    <row r="1084" spans="1:6" x14ac:dyDescent="0.25">
      <c r="A1084" t="s">
        <v>12267</v>
      </c>
      <c r="B1084" t="s">
        <v>12228</v>
      </c>
      <c r="C1084" t="s">
        <v>12229</v>
      </c>
      <c r="D1084">
        <v>2018</v>
      </c>
      <c r="E1084" t="s">
        <v>90</v>
      </c>
      <c r="F1084" t="s">
        <v>12268</v>
      </c>
    </row>
    <row r="1085" spans="1:6" x14ac:dyDescent="0.25">
      <c r="A1085" t="s">
        <v>12269</v>
      </c>
      <c r="B1085" t="s">
        <v>12228</v>
      </c>
      <c r="C1085" t="s">
        <v>12229</v>
      </c>
      <c r="D1085">
        <v>2018</v>
      </c>
      <c r="E1085" t="s">
        <v>90</v>
      </c>
      <c r="F1085" t="s">
        <v>12270</v>
      </c>
    </row>
    <row r="1086" spans="1:6" x14ac:dyDescent="0.25">
      <c r="A1086" t="s">
        <v>12271</v>
      </c>
      <c r="B1086" t="s">
        <v>12228</v>
      </c>
      <c r="C1086" t="s">
        <v>12229</v>
      </c>
      <c r="D1086">
        <v>2018</v>
      </c>
      <c r="E1086" t="s">
        <v>90</v>
      </c>
      <c r="F1086" t="s">
        <v>12272</v>
      </c>
    </row>
    <row r="1087" spans="1:6" x14ac:dyDescent="0.25">
      <c r="A1087" t="s">
        <v>12273</v>
      </c>
      <c r="B1087" t="s">
        <v>12228</v>
      </c>
      <c r="C1087" t="s">
        <v>12229</v>
      </c>
      <c r="D1087">
        <v>2018</v>
      </c>
      <c r="E1087" t="s">
        <v>90</v>
      </c>
      <c r="F1087" t="s">
        <v>12274</v>
      </c>
    </row>
    <row r="1088" spans="1:6" x14ac:dyDescent="0.25">
      <c r="A1088" t="s">
        <v>12275</v>
      </c>
      <c r="B1088" t="s">
        <v>11400</v>
      </c>
      <c r="C1088" t="s">
        <v>12276</v>
      </c>
      <c r="D1088">
        <v>2015</v>
      </c>
      <c r="E1088" t="s">
        <v>2619</v>
      </c>
      <c r="F1088" t="s">
        <v>12277</v>
      </c>
    </row>
    <row r="1089" spans="1:7" x14ac:dyDescent="0.25">
      <c r="A1089" t="s">
        <v>12278</v>
      </c>
      <c r="B1089" t="s">
        <v>11400</v>
      </c>
      <c r="C1089" t="s">
        <v>12279</v>
      </c>
      <c r="D1089">
        <v>2017</v>
      </c>
      <c r="E1089" t="s">
        <v>2619</v>
      </c>
      <c r="F1089" t="s">
        <v>12280</v>
      </c>
    </row>
    <row r="1090" spans="1:7" x14ac:dyDescent="0.25">
      <c r="A1090" t="s">
        <v>12281</v>
      </c>
      <c r="B1090" t="s">
        <v>11400</v>
      </c>
      <c r="C1090" t="s">
        <v>12282</v>
      </c>
      <c r="D1090">
        <v>2014</v>
      </c>
      <c r="E1090" t="s">
        <v>2619</v>
      </c>
      <c r="F1090" t="s">
        <v>12283</v>
      </c>
      <c r="G1090" t="s">
        <v>10071</v>
      </c>
    </row>
    <row r="1091" spans="1:7" x14ac:dyDescent="0.25">
      <c r="A1091" t="s">
        <v>12284</v>
      </c>
      <c r="B1091" t="s">
        <v>11400</v>
      </c>
      <c r="C1091" t="s">
        <v>12285</v>
      </c>
      <c r="D1091">
        <v>2021</v>
      </c>
      <c r="E1091" t="s">
        <v>2619</v>
      </c>
      <c r="F1091" t="s">
        <v>12286</v>
      </c>
    </row>
    <row r="1092" spans="1:7" x14ac:dyDescent="0.25">
      <c r="A1092" t="s">
        <v>12287</v>
      </c>
      <c r="B1092" t="s">
        <v>11400</v>
      </c>
      <c r="C1092" t="s">
        <v>12276</v>
      </c>
      <c r="D1092">
        <v>2015</v>
      </c>
      <c r="E1092" t="s">
        <v>2619</v>
      </c>
      <c r="F1092" t="s">
        <v>12288</v>
      </c>
    </row>
    <row r="1093" spans="1:7" x14ac:dyDescent="0.25">
      <c r="A1093" t="s">
        <v>12289</v>
      </c>
      <c r="B1093" t="s">
        <v>11400</v>
      </c>
      <c r="C1093" t="s">
        <v>12279</v>
      </c>
      <c r="D1093">
        <v>2017</v>
      </c>
      <c r="E1093" t="s">
        <v>2619</v>
      </c>
      <c r="F1093" t="s">
        <v>12290</v>
      </c>
    </row>
    <row r="1094" spans="1:7" x14ac:dyDescent="0.25">
      <c r="A1094" t="s">
        <v>12291</v>
      </c>
      <c r="B1094" t="s">
        <v>11400</v>
      </c>
      <c r="C1094" t="s">
        <v>12282</v>
      </c>
      <c r="D1094">
        <v>2014</v>
      </c>
      <c r="E1094" t="s">
        <v>2619</v>
      </c>
      <c r="F1094" t="s">
        <v>12292</v>
      </c>
    </row>
    <row r="1095" spans="1:7" x14ac:dyDescent="0.25">
      <c r="A1095" t="s">
        <v>12293</v>
      </c>
      <c r="B1095" t="s">
        <v>11400</v>
      </c>
      <c r="C1095" t="s">
        <v>12285</v>
      </c>
      <c r="D1095">
        <v>2021</v>
      </c>
      <c r="E1095" t="s">
        <v>2619</v>
      </c>
      <c r="F1095" t="s">
        <v>12294</v>
      </c>
    </row>
    <row r="1096" spans="1:7" x14ac:dyDescent="0.25">
      <c r="A1096" t="s">
        <v>12295</v>
      </c>
      <c r="B1096" t="s">
        <v>11400</v>
      </c>
      <c r="C1096" t="s">
        <v>12276</v>
      </c>
      <c r="D1096">
        <v>2015</v>
      </c>
      <c r="E1096" t="s">
        <v>2619</v>
      </c>
      <c r="F1096" t="s">
        <v>12296</v>
      </c>
    </row>
    <row r="1097" spans="1:7" x14ac:dyDescent="0.25">
      <c r="A1097" t="s">
        <v>12297</v>
      </c>
      <c r="B1097" t="s">
        <v>11400</v>
      </c>
      <c r="C1097" t="s">
        <v>12279</v>
      </c>
      <c r="D1097">
        <v>2017</v>
      </c>
      <c r="E1097" t="s">
        <v>2619</v>
      </c>
      <c r="F1097" t="s">
        <v>12298</v>
      </c>
    </row>
    <row r="1098" spans="1:7" x14ac:dyDescent="0.25">
      <c r="A1098" t="s">
        <v>12299</v>
      </c>
      <c r="B1098" t="s">
        <v>11400</v>
      </c>
      <c r="C1098" t="s">
        <v>12282</v>
      </c>
      <c r="D1098">
        <v>2014</v>
      </c>
      <c r="E1098" t="s">
        <v>2619</v>
      </c>
      <c r="F1098" t="s">
        <v>12300</v>
      </c>
    </row>
    <row r="1099" spans="1:7" x14ac:dyDescent="0.25">
      <c r="A1099" t="s">
        <v>12301</v>
      </c>
      <c r="B1099" t="s">
        <v>11400</v>
      </c>
      <c r="C1099" t="s">
        <v>12285</v>
      </c>
      <c r="D1099">
        <v>2021</v>
      </c>
      <c r="E1099" t="s">
        <v>2619</v>
      </c>
      <c r="F1099" t="s">
        <v>12302</v>
      </c>
    </row>
    <row r="1100" spans="1:7" x14ac:dyDescent="0.25">
      <c r="A1100" t="s">
        <v>12303</v>
      </c>
      <c r="B1100" t="s">
        <v>11400</v>
      </c>
      <c r="C1100" t="s">
        <v>12279</v>
      </c>
      <c r="D1100">
        <v>2017</v>
      </c>
      <c r="E1100" t="s">
        <v>2619</v>
      </c>
      <c r="F1100" t="s">
        <v>12304</v>
      </c>
    </row>
    <row r="1101" spans="1:7" x14ac:dyDescent="0.25">
      <c r="A1101" t="s">
        <v>12305</v>
      </c>
      <c r="B1101" t="s">
        <v>11400</v>
      </c>
      <c r="C1101" t="s">
        <v>12276</v>
      </c>
      <c r="D1101">
        <v>2015</v>
      </c>
      <c r="E1101" t="s">
        <v>2619</v>
      </c>
      <c r="F1101" t="s">
        <v>12306</v>
      </c>
    </row>
    <row r="1102" spans="1:7" x14ac:dyDescent="0.25">
      <c r="A1102" t="s">
        <v>12307</v>
      </c>
      <c r="B1102" t="s">
        <v>11400</v>
      </c>
      <c r="C1102" t="s">
        <v>12285</v>
      </c>
      <c r="D1102">
        <v>2021</v>
      </c>
      <c r="E1102" t="s">
        <v>2619</v>
      </c>
      <c r="F1102" t="s">
        <v>12308</v>
      </c>
    </row>
    <row r="1103" spans="1:7" x14ac:dyDescent="0.25">
      <c r="A1103" t="s">
        <v>12309</v>
      </c>
      <c r="B1103" t="s">
        <v>11400</v>
      </c>
      <c r="C1103" t="s">
        <v>12282</v>
      </c>
      <c r="D1103">
        <v>2014</v>
      </c>
      <c r="E1103" t="s">
        <v>2619</v>
      </c>
      <c r="F1103" t="s">
        <v>12310</v>
      </c>
    </row>
    <row r="1104" spans="1:7" x14ac:dyDescent="0.25">
      <c r="A1104" t="s">
        <v>12311</v>
      </c>
      <c r="B1104" t="s">
        <v>11400</v>
      </c>
      <c r="C1104" t="s">
        <v>12276</v>
      </c>
      <c r="D1104">
        <v>2015</v>
      </c>
      <c r="E1104" t="s">
        <v>2619</v>
      </c>
      <c r="F1104" t="s">
        <v>12312</v>
      </c>
    </row>
    <row r="1105" spans="1:6" x14ac:dyDescent="0.25">
      <c r="A1105" t="s">
        <v>12313</v>
      </c>
      <c r="B1105" t="s">
        <v>11400</v>
      </c>
      <c r="C1105" t="s">
        <v>12285</v>
      </c>
      <c r="D1105">
        <v>2021</v>
      </c>
      <c r="E1105" t="s">
        <v>2619</v>
      </c>
      <c r="F1105" t="s">
        <v>12314</v>
      </c>
    </row>
    <row r="1106" spans="1:6" x14ac:dyDescent="0.25">
      <c r="A1106" t="s">
        <v>12315</v>
      </c>
      <c r="B1106" t="s">
        <v>11400</v>
      </c>
      <c r="C1106" t="s">
        <v>12282</v>
      </c>
      <c r="D1106">
        <v>2014</v>
      </c>
      <c r="E1106" t="s">
        <v>2619</v>
      </c>
      <c r="F1106" t="s">
        <v>12316</v>
      </c>
    </row>
    <row r="1107" spans="1:6" x14ac:dyDescent="0.25">
      <c r="A1107" t="s">
        <v>12317</v>
      </c>
      <c r="B1107" t="s">
        <v>11400</v>
      </c>
      <c r="C1107" t="s">
        <v>12282</v>
      </c>
      <c r="D1107">
        <v>2014</v>
      </c>
      <c r="E1107" t="s">
        <v>2619</v>
      </c>
      <c r="F1107" t="s">
        <v>12318</v>
      </c>
    </row>
    <row r="1108" spans="1:6" x14ac:dyDescent="0.25">
      <c r="A1108" t="s">
        <v>12319</v>
      </c>
      <c r="B1108" t="s">
        <v>11400</v>
      </c>
      <c r="C1108" t="s">
        <v>12276</v>
      </c>
      <c r="D1108">
        <v>2015</v>
      </c>
      <c r="E1108" t="s">
        <v>2619</v>
      </c>
      <c r="F1108" t="s">
        <v>12320</v>
      </c>
    </row>
    <row r="1109" spans="1:6" x14ac:dyDescent="0.25">
      <c r="A1109" t="s">
        <v>12321</v>
      </c>
      <c r="B1109" t="s">
        <v>11400</v>
      </c>
      <c r="C1109" t="s">
        <v>12285</v>
      </c>
      <c r="D1109">
        <v>2021</v>
      </c>
      <c r="E1109" t="s">
        <v>2619</v>
      </c>
      <c r="F1109" t="s">
        <v>12322</v>
      </c>
    </row>
    <row r="1110" spans="1:6" x14ac:dyDescent="0.25">
      <c r="A1110" t="s">
        <v>12323</v>
      </c>
      <c r="B1110" t="s">
        <v>11400</v>
      </c>
      <c r="C1110" t="s">
        <v>12276</v>
      </c>
      <c r="D1110">
        <v>2015</v>
      </c>
      <c r="E1110" t="s">
        <v>2619</v>
      </c>
      <c r="F1110" t="s">
        <v>12324</v>
      </c>
    </row>
    <row r="1111" spans="1:6" x14ac:dyDescent="0.25">
      <c r="A1111" t="s">
        <v>12325</v>
      </c>
      <c r="B1111" t="s">
        <v>11400</v>
      </c>
      <c r="C1111" t="s">
        <v>12285</v>
      </c>
      <c r="D1111">
        <v>2021</v>
      </c>
      <c r="E1111" t="s">
        <v>2619</v>
      </c>
      <c r="F1111" t="s">
        <v>12326</v>
      </c>
    </row>
    <row r="1112" spans="1:6" x14ac:dyDescent="0.25">
      <c r="A1112" t="s">
        <v>12327</v>
      </c>
      <c r="B1112" t="s">
        <v>11400</v>
      </c>
      <c r="C1112" t="s">
        <v>12282</v>
      </c>
      <c r="D1112">
        <v>2014</v>
      </c>
      <c r="E1112" t="s">
        <v>2619</v>
      </c>
      <c r="F1112" t="s">
        <v>12328</v>
      </c>
    </row>
    <row r="1113" spans="1:6" x14ac:dyDescent="0.25">
      <c r="A1113" t="s">
        <v>12329</v>
      </c>
      <c r="B1113" t="s">
        <v>11400</v>
      </c>
      <c r="C1113" t="s">
        <v>12276</v>
      </c>
      <c r="D1113">
        <v>2015</v>
      </c>
      <c r="E1113" t="s">
        <v>2619</v>
      </c>
      <c r="F1113" t="s">
        <v>12330</v>
      </c>
    </row>
    <row r="1114" spans="1:6" x14ac:dyDescent="0.25">
      <c r="A1114" t="s">
        <v>12331</v>
      </c>
      <c r="B1114" t="s">
        <v>11400</v>
      </c>
      <c r="C1114" t="s">
        <v>12285</v>
      </c>
      <c r="D1114">
        <v>2021</v>
      </c>
      <c r="E1114" t="s">
        <v>2619</v>
      </c>
      <c r="F1114" t="s">
        <v>12332</v>
      </c>
    </row>
    <row r="1115" spans="1:6" x14ac:dyDescent="0.25">
      <c r="A1115" t="s">
        <v>12333</v>
      </c>
      <c r="B1115" t="s">
        <v>11400</v>
      </c>
      <c r="C1115" t="s">
        <v>12282</v>
      </c>
      <c r="D1115">
        <v>2014</v>
      </c>
      <c r="E1115" t="s">
        <v>2619</v>
      </c>
      <c r="F1115" t="s">
        <v>12334</v>
      </c>
    </row>
    <row r="1116" spans="1:6" x14ac:dyDescent="0.25">
      <c r="A1116" t="s">
        <v>12335</v>
      </c>
      <c r="B1116" t="s">
        <v>11400</v>
      </c>
      <c r="C1116" t="s">
        <v>12276</v>
      </c>
      <c r="D1116">
        <v>2015</v>
      </c>
      <c r="E1116" t="s">
        <v>2619</v>
      </c>
      <c r="F1116" t="s">
        <v>12336</v>
      </c>
    </row>
    <row r="1117" spans="1:6" x14ac:dyDescent="0.25">
      <c r="A1117" t="s">
        <v>12337</v>
      </c>
      <c r="B1117" t="s">
        <v>11400</v>
      </c>
      <c r="C1117" t="s">
        <v>12285</v>
      </c>
      <c r="D1117">
        <v>2021</v>
      </c>
      <c r="E1117" t="s">
        <v>2619</v>
      </c>
      <c r="F1117" t="s">
        <v>12338</v>
      </c>
    </row>
    <row r="1118" spans="1:6" x14ac:dyDescent="0.25">
      <c r="A1118" t="s">
        <v>12339</v>
      </c>
      <c r="B1118" t="s">
        <v>11400</v>
      </c>
      <c r="C1118" t="s">
        <v>12282</v>
      </c>
      <c r="D1118">
        <v>2014</v>
      </c>
      <c r="E1118" t="s">
        <v>2619</v>
      </c>
      <c r="F1118" t="s">
        <v>12340</v>
      </c>
    </row>
    <row r="1119" spans="1:6" x14ac:dyDescent="0.25">
      <c r="A1119" t="s">
        <v>12341</v>
      </c>
      <c r="B1119" t="s">
        <v>11400</v>
      </c>
      <c r="C1119" t="s">
        <v>12285</v>
      </c>
      <c r="D1119">
        <v>2021</v>
      </c>
      <c r="E1119" t="s">
        <v>2619</v>
      </c>
      <c r="F1119" t="s">
        <v>12342</v>
      </c>
    </row>
    <row r="1120" spans="1:6" x14ac:dyDescent="0.25">
      <c r="A1120" t="s">
        <v>12343</v>
      </c>
      <c r="B1120" t="s">
        <v>11400</v>
      </c>
      <c r="C1120" t="s">
        <v>12282</v>
      </c>
      <c r="D1120">
        <v>2014</v>
      </c>
      <c r="E1120" t="s">
        <v>2619</v>
      </c>
      <c r="F1120" t="s">
        <v>12344</v>
      </c>
    </row>
    <row r="1121" spans="1:6" x14ac:dyDescent="0.25">
      <c r="A1121" t="s">
        <v>12345</v>
      </c>
      <c r="B1121" t="s">
        <v>11400</v>
      </c>
      <c r="C1121" t="s">
        <v>12282</v>
      </c>
      <c r="D1121">
        <v>2014</v>
      </c>
      <c r="E1121" t="s">
        <v>2619</v>
      </c>
      <c r="F1121" t="s">
        <v>12346</v>
      </c>
    </row>
    <row r="1122" spans="1:6" x14ac:dyDescent="0.25">
      <c r="A1122" t="s">
        <v>12347</v>
      </c>
      <c r="B1122" t="s">
        <v>11400</v>
      </c>
      <c r="C1122" t="s">
        <v>12285</v>
      </c>
      <c r="D1122">
        <v>2021</v>
      </c>
      <c r="E1122" t="s">
        <v>2619</v>
      </c>
      <c r="F1122" t="s">
        <v>12348</v>
      </c>
    </row>
    <row r="1123" spans="1:6" x14ac:dyDescent="0.25">
      <c r="A1123" t="s">
        <v>12349</v>
      </c>
      <c r="B1123" t="s">
        <v>11400</v>
      </c>
      <c r="C1123" t="s">
        <v>12282</v>
      </c>
      <c r="D1123">
        <v>2014</v>
      </c>
      <c r="E1123" t="s">
        <v>2619</v>
      </c>
      <c r="F1123" t="s">
        <v>12350</v>
      </c>
    </row>
    <row r="1124" spans="1:6" x14ac:dyDescent="0.25">
      <c r="A1124" t="s">
        <v>12351</v>
      </c>
      <c r="B1124" t="s">
        <v>11400</v>
      </c>
      <c r="C1124" t="s">
        <v>12285</v>
      </c>
      <c r="D1124">
        <v>2021</v>
      </c>
      <c r="E1124" t="s">
        <v>2619</v>
      </c>
      <c r="F1124" t="s">
        <v>12352</v>
      </c>
    </row>
    <row r="1125" spans="1:6" x14ac:dyDescent="0.25">
      <c r="A1125" t="s">
        <v>12353</v>
      </c>
      <c r="B1125" t="s">
        <v>11400</v>
      </c>
      <c r="C1125" t="s">
        <v>12282</v>
      </c>
      <c r="D1125">
        <v>2014</v>
      </c>
      <c r="E1125" t="s">
        <v>2619</v>
      </c>
      <c r="F1125" t="s">
        <v>12354</v>
      </c>
    </row>
    <row r="1126" spans="1:6" x14ac:dyDescent="0.25">
      <c r="A1126" t="s">
        <v>12355</v>
      </c>
      <c r="B1126" t="s">
        <v>11400</v>
      </c>
      <c r="C1126" t="s">
        <v>12285</v>
      </c>
      <c r="D1126">
        <v>2021</v>
      </c>
      <c r="E1126" t="s">
        <v>2619</v>
      </c>
      <c r="F1126" t="s">
        <v>12356</v>
      </c>
    </row>
    <row r="1127" spans="1:6" x14ac:dyDescent="0.25">
      <c r="A1127" t="s">
        <v>12357</v>
      </c>
      <c r="B1127" t="s">
        <v>11400</v>
      </c>
      <c r="C1127" t="s">
        <v>12285</v>
      </c>
      <c r="D1127">
        <v>2021</v>
      </c>
      <c r="E1127" t="s">
        <v>2619</v>
      </c>
      <c r="F1127" t="s">
        <v>12358</v>
      </c>
    </row>
    <row r="1128" spans="1:6" x14ac:dyDescent="0.25">
      <c r="A1128" t="s">
        <v>12359</v>
      </c>
      <c r="B1128" t="s">
        <v>11400</v>
      </c>
      <c r="C1128" t="s">
        <v>12282</v>
      </c>
      <c r="D1128">
        <v>2014</v>
      </c>
      <c r="E1128" t="s">
        <v>2619</v>
      </c>
      <c r="F1128" t="s">
        <v>12360</v>
      </c>
    </row>
    <row r="1129" spans="1:6" x14ac:dyDescent="0.25">
      <c r="A1129" t="s">
        <v>12361</v>
      </c>
      <c r="B1129" t="s">
        <v>11400</v>
      </c>
      <c r="C1129" t="s">
        <v>12285</v>
      </c>
      <c r="D1129">
        <v>2021</v>
      </c>
      <c r="E1129" t="s">
        <v>2619</v>
      </c>
      <c r="F1129" t="s">
        <v>12362</v>
      </c>
    </row>
    <row r="1130" spans="1:6" x14ac:dyDescent="0.25">
      <c r="A1130" t="s">
        <v>12363</v>
      </c>
      <c r="B1130" t="s">
        <v>11400</v>
      </c>
      <c r="C1130" t="s">
        <v>12282</v>
      </c>
      <c r="D1130">
        <v>2014</v>
      </c>
      <c r="E1130" t="s">
        <v>2619</v>
      </c>
      <c r="F1130" t="s">
        <v>12364</v>
      </c>
    </row>
    <row r="1131" spans="1:6" x14ac:dyDescent="0.25">
      <c r="A1131" t="s">
        <v>12365</v>
      </c>
      <c r="B1131" t="s">
        <v>11400</v>
      </c>
      <c r="C1131" t="s">
        <v>12285</v>
      </c>
      <c r="D1131">
        <v>2021</v>
      </c>
      <c r="E1131" t="s">
        <v>2619</v>
      </c>
      <c r="F1131" t="s">
        <v>12366</v>
      </c>
    </row>
    <row r="1132" spans="1:6" x14ac:dyDescent="0.25">
      <c r="A1132" t="s">
        <v>12367</v>
      </c>
      <c r="B1132" t="s">
        <v>11400</v>
      </c>
      <c r="C1132" t="s">
        <v>12282</v>
      </c>
      <c r="D1132">
        <v>2014</v>
      </c>
      <c r="E1132" t="s">
        <v>2619</v>
      </c>
      <c r="F1132" t="s">
        <v>12368</v>
      </c>
    </row>
    <row r="1133" spans="1:6" x14ac:dyDescent="0.25">
      <c r="A1133" t="s">
        <v>12369</v>
      </c>
      <c r="B1133" t="s">
        <v>11400</v>
      </c>
      <c r="C1133" t="s">
        <v>12282</v>
      </c>
      <c r="D1133">
        <v>2014</v>
      </c>
      <c r="E1133" t="s">
        <v>2619</v>
      </c>
      <c r="F1133" t="s">
        <v>12370</v>
      </c>
    </row>
    <row r="1134" spans="1:6" x14ac:dyDescent="0.25">
      <c r="A1134" t="s">
        <v>12371</v>
      </c>
      <c r="B1134" t="s">
        <v>11400</v>
      </c>
      <c r="C1134" t="s">
        <v>12285</v>
      </c>
      <c r="D1134">
        <v>2021</v>
      </c>
      <c r="E1134" t="s">
        <v>2619</v>
      </c>
      <c r="F1134" t="s">
        <v>12372</v>
      </c>
    </row>
    <row r="1135" spans="1:6" x14ac:dyDescent="0.25">
      <c r="A1135" t="s">
        <v>12373</v>
      </c>
      <c r="B1135" t="s">
        <v>11400</v>
      </c>
      <c r="C1135" t="s">
        <v>12282</v>
      </c>
      <c r="D1135">
        <v>2014</v>
      </c>
      <c r="E1135" t="s">
        <v>2619</v>
      </c>
      <c r="F1135" t="s">
        <v>12374</v>
      </c>
    </row>
    <row r="1136" spans="1:6" x14ac:dyDescent="0.25">
      <c r="A1136" t="s">
        <v>12375</v>
      </c>
      <c r="B1136" t="s">
        <v>11400</v>
      </c>
      <c r="C1136" t="s">
        <v>12285</v>
      </c>
      <c r="D1136">
        <v>2021</v>
      </c>
      <c r="E1136" t="s">
        <v>2619</v>
      </c>
      <c r="F1136" t="s">
        <v>12376</v>
      </c>
    </row>
    <row r="1137" spans="1:6" x14ac:dyDescent="0.25">
      <c r="A1137" t="s">
        <v>12377</v>
      </c>
      <c r="B1137" t="s">
        <v>11400</v>
      </c>
      <c r="C1137" t="s">
        <v>12282</v>
      </c>
      <c r="D1137">
        <v>2014</v>
      </c>
      <c r="E1137" t="s">
        <v>2619</v>
      </c>
      <c r="F1137" t="s">
        <v>12378</v>
      </c>
    </row>
    <row r="1138" spans="1:6" x14ac:dyDescent="0.25">
      <c r="A1138" t="s">
        <v>12379</v>
      </c>
      <c r="B1138" t="s">
        <v>11400</v>
      </c>
      <c r="C1138" t="s">
        <v>12285</v>
      </c>
      <c r="D1138">
        <v>2021</v>
      </c>
      <c r="E1138" t="s">
        <v>2619</v>
      </c>
      <c r="F1138" t="s">
        <v>12380</v>
      </c>
    </row>
    <row r="1139" spans="1:6" x14ac:dyDescent="0.25">
      <c r="A1139" t="s">
        <v>12381</v>
      </c>
      <c r="B1139" t="s">
        <v>11400</v>
      </c>
      <c r="C1139" t="s">
        <v>12285</v>
      </c>
      <c r="D1139">
        <v>2021</v>
      </c>
      <c r="E1139" t="s">
        <v>2619</v>
      </c>
      <c r="F1139" t="s">
        <v>12382</v>
      </c>
    </row>
    <row r="1140" spans="1:6" x14ac:dyDescent="0.25">
      <c r="A1140" t="s">
        <v>12383</v>
      </c>
      <c r="B1140" t="s">
        <v>11400</v>
      </c>
      <c r="C1140" t="s">
        <v>12282</v>
      </c>
      <c r="D1140">
        <v>2014</v>
      </c>
      <c r="E1140" t="s">
        <v>2619</v>
      </c>
      <c r="F1140" t="s">
        <v>12384</v>
      </c>
    </row>
    <row r="1141" spans="1:6" x14ac:dyDescent="0.25">
      <c r="A1141" t="s">
        <v>12385</v>
      </c>
      <c r="B1141" t="s">
        <v>11400</v>
      </c>
      <c r="C1141" t="s">
        <v>12282</v>
      </c>
      <c r="D1141">
        <v>2014</v>
      </c>
      <c r="E1141" t="s">
        <v>2619</v>
      </c>
      <c r="F1141" t="s">
        <v>12386</v>
      </c>
    </row>
    <row r="1142" spans="1:6" x14ac:dyDescent="0.25">
      <c r="A1142" t="s">
        <v>12387</v>
      </c>
      <c r="B1142" t="s">
        <v>11400</v>
      </c>
      <c r="C1142" t="s">
        <v>12282</v>
      </c>
      <c r="D1142">
        <v>2014</v>
      </c>
      <c r="E1142" t="s">
        <v>2619</v>
      </c>
      <c r="F1142" t="s">
        <v>12388</v>
      </c>
    </row>
    <row r="1143" spans="1:6" x14ac:dyDescent="0.25">
      <c r="A1143" t="s">
        <v>12389</v>
      </c>
      <c r="B1143" t="s">
        <v>11400</v>
      </c>
      <c r="C1143" t="s">
        <v>12282</v>
      </c>
      <c r="D1143">
        <v>2014</v>
      </c>
      <c r="E1143" t="s">
        <v>2619</v>
      </c>
      <c r="F1143" t="s">
        <v>12390</v>
      </c>
    </row>
    <row r="1144" spans="1:6" x14ac:dyDescent="0.25">
      <c r="A1144" t="s">
        <v>12391</v>
      </c>
      <c r="B1144" t="s">
        <v>11400</v>
      </c>
      <c r="C1144" t="s">
        <v>12282</v>
      </c>
      <c r="D1144">
        <v>2014</v>
      </c>
      <c r="E1144" t="s">
        <v>2619</v>
      </c>
      <c r="F1144" t="s">
        <v>12392</v>
      </c>
    </row>
    <row r="1145" spans="1:6" x14ac:dyDescent="0.25">
      <c r="A1145" t="s">
        <v>12393</v>
      </c>
      <c r="B1145" t="s">
        <v>11400</v>
      </c>
      <c r="C1145" t="s">
        <v>12282</v>
      </c>
      <c r="D1145">
        <v>2014</v>
      </c>
      <c r="E1145" t="s">
        <v>2619</v>
      </c>
      <c r="F1145" t="s">
        <v>12394</v>
      </c>
    </row>
    <row r="1146" spans="1:6" x14ac:dyDescent="0.25">
      <c r="A1146" t="s">
        <v>12395</v>
      </c>
      <c r="B1146" t="s">
        <v>11400</v>
      </c>
      <c r="C1146" t="s">
        <v>12282</v>
      </c>
      <c r="D1146">
        <v>2014</v>
      </c>
      <c r="E1146" t="s">
        <v>2619</v>
      </c>
      <c r="F1146" t="s">
        <v>12396</v>
      </c>
    </row>
    <row r="1147" spans="1:6" x14ac:dyDescent="0.25">
      <c r="A1147" t="s">
        <v>12397</v>
      </c>
      <c r="B1147" t="s">
        <v>11400</v>
      </c>
      <c r="C1147" t="s">
        <v>12282</v>
      </c>
      <c r="D1147">
        <v>2014</v>
      </c>
      <c r="E1147" t="s">
        <v>2619</v>
      </c>
      <c r="F1147" t="s">
        <v>12398</v>
      </c>
    </row>
    <row r="1148" spans="1:6" x14ac:dyDescent="0.25">
      <c r="A1148" t="s">
        <v>12399</v>
      </c>
      <c r="B1148" t="s">
        <v>11400</v>
      </c>
      <c r="C1148" t="s">
        <v>12282</v>
      </c>
      <c r="D1148">
        <v>2014</v>
      </c>
      <c r="E1148" t="s">
        <v>2619</v>
      </c>
      <c r="F1148" t="s">
        <v>12400</v>
      </c>
    </row>
    <row r="1149" spans="1:6" x14ac:dyDescent="0.25">
      <c r="A1149" t="s">
        <v>12401</v>
      </c>
      <c r="B1149" t="s">
        <v>11400</v>
      </c>
      <c r="C1149" t="s">
        <v>12282</v>
      </c>
      <c r="D1149">
        <v>2014</v>
      </c>
      <c r="E1149" t="s">
        <v>2619</v>
      </c>
      <c r="F1149" t="s">
        <v>12402</v>
      </c>
    </row>
    <row r="1150" spans="1:6" x14ac:dyDescent="0.25">
      <c r="A1150" t="s">
        <v>12403</v>
      </c>
      <c r="B1150" t="s">
        <v>11400</v>
      </c>
      <c r="C1150" t="s">
        <v>12282</v>
      </c>
      <c r="D1150">
        <v>2014</v>
      </c>
      <c r="E1150" t="s">
        <v>2619</v>
      </c>
      <c r="F1150" t="s">
        <v>12404</v>
      </c>
    </row>
    <row r="1151" spans="1:6" x14ac:dyDescent="0.25">
      <c r="A1151" t="s">
        <v>12405</v>
      </c>
      <c r="B1151" t="s">
        <v>11400</v>
      </c>
      <c r="C1151" t="s">
        <v>12282</v>
      </c>
      <c r="D1151">
        <v>2014</v>
      </c>
      <c r="E1151" t="s">
        <v>2619</v>
      </c>
      <c r="F1151" t="s">
        <v>12406</v>
      </c>
    </row>
    <row r="1152" spans="1:6" x14ac:dyDescent="0.25">
      <c r="A1152" t="s">
        <v>12407</v>
      </c>
      <c r="B1152" t="s">
        <v>11400</v>
      </c>
      <c r="C1152" t="s">
        <v>12282</v>
      </c>
      <c r="D1152">
        <v>2014</v>
      </c>
      <c r="E1152" t="s">
        <v>2619</v>
      </c>
      <c r="F1152" t="s">
        <v>12408</v>
      </c>
    </row>
    <row r="1153" spans="1:7" x14ac:dyDescent="0.25">
      <c r="A1153" t="s">
        <v>12409</v>
      </c>
      <c r="B1153" t="s">
        <v>10337</v>
      </c>
      <c r="C1153" t="s">
        <v>160</v>
      </c>
      <c r="D1153">
        <v>2012</v>
      </c>
      <c r="E1153" t="s">
        <v>160</v>
      </c>
      <c r="F1153" t="s">
        <v>12410</v>
      </c>
    </row>
    <row r="1154" spans="1:7" x14ac:dyDescent="0.25">
      <c r="A1154" t="s">
        <v>12411</v>
      </c>
      <c r="B1154" t="s">
        <v>10337</v>
      </c>
      <c r="C1154" t="s">
        <v>160</v>
      </c>
      <c r="D1154">
        <v>2012</v>
      </c>
      <c r="E1154" t="s">
        <v>160</v>
      </c>
      <c r="F1154" t="s">
        <v>12412</v>
      </c>
    </row>
    <row r="1155" spans="1:7" x14ac:dyDescent="0.25">
      <c r="A1155" t="s">
        <v>160</v>
      </c>
      <c r="B1155" t="s">
        <v>10337</v>
      </c>
      <c r="C1155" t="s">
        <v>160</v>
      </c>
      <c r="D1155">
        <v>2012</v>
      </c>
      <c r="E1155" t="s">
        <v>160</v>
      </c>
      <c r="F1155" t="s">
        <v>12413</v>
      </c>
      <c r="G1155" t="s">
        <v>10071</v>
      </c>
    </row>
    <row r="1156" spans="1:7" x14ac:dyDescent="0.25">
      <c r="A1156" t="s">
        <v>12414</v>
      </c>
      <c r="B1156" t="s">
        <v>10337</v>
      </c>
      <c r="C1156" t="s">
        <v>160</v>
      </c>
      <c r="D1156">
        <v>2012</v>
      </c>
      <c r="E1156" t="s">
        <v>160</v>
      </c>
      <c r="F1156" t="s">
        <v>12415</v>
      </c>
    </row>
    <row r="1157" spans="1:7" x14ac:dyDescent="0.25">
      <c r="A1157" t="s">
        <v>12416</v>
      </c>
      <c r="B1157" t="s">
        <v>10337</v>
      </c>
      <c r="C1157" t="s">
        <v>160</v>
      </c>
      <c r="D1157">
        <v>2012</v>
      </c>
      <c r="E1157" t="s">
        <v>160</v>
      </c>
      <c r="F1157" t="s">
        <v>12417</v>
      </c>
    </row>
    <row r="1158" spans="1:7" x14ac:dyDescent="0.25">
      <c r="A1158" t="s">
        <v>12418</v>
      </c>
      <c r="B1158" t="s">
        <v>10337</v>
      </c>
      <c r="C1158" t="s">
        <v>160</v>
      </c>
      <c r="D1158">
        <v>2012</v>
      </c>
      <c r="E1158" t="s">
        <v>160</v>
      </c>
      <c r="F1158" t="s">
        <v>12419</v>
      </c>
    </row>
    <row r="1159" spans="1:7" x14ac:dyDescent="0.25">
      <c r="A1159" t="s">
        <v>12420</v>
      </c>
      <c r="B1159" t="s">
        <v>10337</v>
      </c>
      <c r="C1159" t="s">
        <v>160</v>
      </c>
      <c r="D1159">
        <v>2012</v>
      </c>
      <c r="E1159" t="s">
        <v>160</v>
      </c>
      <c r="F1159" t="s">
        <v>12421</v>
      </c>
    </row>
    <row r="1160" spans="1:7" x14ac:dyDescent="0.25">
      <c r="A1160" t="s">
        <v>5115</v>
      </c>
      <c r="B1160" t="s">
        <v>10337</v>
      </c>
      <c r="C1160" t="s">
        <v>160</v>
      </c>
      <c r="D1160">
        <v>2012</v>
      </c>
      <c r="E1160" t="s">
        <v>160</v>
      </c>
      <c r="F1160" t="s">
        <v>12422</v>
      </c>
    </row>
    <row r="1161" spans="1:7" x14ac:dyDescent="0.25">
      <c r="A1161" t="s">
        <v>12423</v>
      </c>
      <c r="B1161" t="s">
        <v>10337</v>
      </c>
      <c r="C1161" t="s">
        <v>160</v>
      </c>
      <c r="D1161">
        <v>2012</v>
      </c>
      <c r="E1161" t="s">
        <v>160</v>
      </c>
      <c r="F1161" t="s">
        <v>12424</v>
      </c>
    </row>
    <row r="1162" spans="1:7" x14ac:dyDescent="0.25">
      <c r="A1162" t="s">
        <v>12425</v>
      </c>
      <c r="B1162" t="s">
        <v>10337</v>
      </c>
      <c r="C1162" t="s">
        <v>160</v>
      </c>
      <c r="D1162">
        <v>2012</v>
      </c>
      <c r="E1162" t="s">
        <v>160</v>
      </c>
      <c r="F1162" t="s">
        <v>12426</v>
      </c>
    </row>
    <row r="1163" spans="1:7" x14ac:dyDescent="0.25">
      <c r="A1163" t="s">
        <v>12427</v>
      </c>
      <c r="B1163" t="s">
        <v>10337</v>
      </c>
      <c r="C1163" t="s">
        <v>160</v>
      </c>
      <c r="D1163">
        <v>2012</v>
      </c>
      <c r="E1163" t="s">
        <v>160</v>
      </c>
      <c r="F1163" t="s">
        <v>12428</v>
      </c>
    </row>
    <row r="1164" spans="1:7" x14ac:dyDescent="0.25">
      <c r="A1164" t="s">
        <v>12429</v>
      </c>
      <c r="B1164" t="s">
        <v>10337</v>
      </c>
      <c r="C1164" t="s">
        <v>160</v>
      </c>
      <c r="D1164">
        <v>2012</v>
      </c>
      <c r="E1164" t="s">
        <v>160</v>
      </c>
      <c r="F1164" t="s">
        <v>12430</v>
      </c>
    </row>
    <row r="1165" spans="1:7" x14ac:dyDescent="0.25">
      <c r="A1165" t="s">
        <v>12431</v>
      </c>
      <c r="B1165" t="s">
        <v>10337</v>
      </c>
      <c r="C1165" t="s">
        <v>160</v>
      </c>
      <c r="D1165">
        <v>2012</v>
      </c>
      <c r="E1165" t="s">
        <v>160</v>
      </c>
      <c r="F1165" t="s">
        <v>12432</v>
      </c>
    </row>
    <row r="1166" spans="1:7" x14ac:dyDescent="0.25">
      <c r="A1166" t="s">
        <v>12433</v>
      </c>
      <c r="B1166" t="s">
        <v>10337</v>
      </c>
      <c r="C1166" t="s">
        <v>160</v>
      </c>
      <c r="D1166">
        <v>2012</v>
      </c>
      <c r="E1166" t="s">
        <v>160</v>
      </c>
      <c r="F1166" t="s">
        <v>12434</v>
      </c>
    </row>
    <row r="1167" spans="1:7" x14ac:dyDescent="0.25">
      <c r="A1167" t="s">
        <v>12435</v>
      </c>
      <c r="B1167" t="s">
        <v>10337</v>
      </c>
      <c r="C1167" t="s">
        <v>160</v>
      </c>
      <c r="D1167">
        <v>2012</v>
      </c>
      <c r="E1167" t="s">
        <v>160</v>
      </c>
      <c r="F1167" t="s">
        <v>12436</v>
      </c>
    </row>
    <row r="1168" spans="1:7" x14ac:dyDescent="0.25">
      <c r="A1168" t="s">
        <v>5112</v>
      </c>
      <c r="B1168" t="s">
        <v>10337</v>
      </c>
      <c r="C1168" t="s">
        <v>160</v>
      </c>
      <c r="D1168">
        <v>2012</v>
      </c>
      <c r="E1168" t="s">
        <v>160</v>
      </c>
      <c r="F1168" t="s">
        <v>12437</v>
      </c>
    </row>
    <row r="1169" spans="1:6" x14ac:dyDescent="0.25">
      <c r="A1169" t="s">
        <v>12438</v>
      </c>
      <c r="B1169" t="s">
        <v>10337</v>
      </c>
      <c r="C1169" t="s">
        <v>160</v>
      </c>
      <c r="D1169">
        <v>2012</v>
      </c>
      <c r="E1169" t="s">
        <v>160</v>
      </c>
      <c r="F1169" t="s">
        <v>12439</v>
      </c>
    </row>
    <row r="1170" spans="1:6" x14ac:dyDescent="0.25">
      <c r="A1170" t="s">
        <v>12440</v>
      </c>
      <c r="B1170" t="s">
        <v>10337</v>
      </c>
      <c r="C1170" t="s">
        <v>160</v>
      </c>
      <c r="D1170">
        <v>2012</v>
      </c>
      <c r="E1170" t="s">
        <v>160</v>
      </c>
      <c r="F1170" t="s">
        <v>12441</v>
      </c>
    </row>
    <row r="1171" spans="1:6" x14ac:dyDescent="0.25">
      <c r="A1171" t="s">
        <v>12442</v>
      </c>
      <c r="B1171" t="s">
        <v>10337</v>
      </c>
      <c r="C1171" t="s">
        <v>160</v>
      </c>
      <c r="D1171">
        <v>2012</v>
      </c>
      <c r="E1171" t="s">
        <v>160</v>
      </c>
      <c r="F1171" t="s">
        <v>12443</v>
      </c>
    </row>
    <row r="1172" spans="1:6" x14ac:dyDescent="0.25">
      <c r="A1172" t="s">
        <v>10508</v>
      </c>
      <c r="B1172" t="s">
        <v>10337</v>
      </c>
      <c r="C1172" t="s">
        <v>160</v>
      </c>
      <c r="D1172">
        <v>2012</v>
      </c>
      <c r="E1172" t="s">
        <v>160</v>
      </c>
      <c r="F1172" t="s">
        <v>12444</v>
      </c>
    </row>
    <row r="1173" spans="1:6" x14ac:dyDescent="0.25">
      <c r="A1173" t="s">
        <v>12445</v>
      </c>
      <c r="B1173" t="s">
        <v>10337</v>
      </c>
      <c r="C1173" t="s">
        <v>160</v>
      </c>
      <c r="D1173">
        <v>2012</v>
      </c>
      <c r="E1173" t="s">
        <v>160</v>
      </c>
      <c r="F1173" t="s">
        <v>12446</v>
      </c>
    </row>
    <row r="1174" spans="1:6" x14ac:dyDescent="0.25">
      <c r="A1174" t="s">
        <v>12447</v>
      </c>
      <c r="B1174" t="s">
        <v>10337</v>
      </c>
      <c r="C1174" t="s">
        <v>160</v>
      </c>
      <c r="D1174">
        <v>2012</v>
      </c>
      <c r="E1174" t="s">
        <v>160</v>
      </c>
      <c r="F1174" t="s">
        <v>12448</v>
      </c>
    </row>
    <row r="1175" spans="1:6" x14ac:dyDescent="0.25">
      <c r="A1175" t="s">
        <v>12449</v>
      </c>
      <c r="B1175" t="s">
        <v>10337</v>
      </c>
      <c r="C1175" t="s">
        <v>160</v>
      </c>
      <c r="D1175">
        <v>2012</v>
      </c>
      <c r="E1175" t="s">
        <v>160</v>
      </c>
      <c r="F1175" t="s">
        <v>12450</v>
      </c>
    </row>
    <row r="1176" spans="1:6" x14ac:dyDescent="0.25">
      <c r="A1176" t="s">
        <v>12451</v>
      </c>
      <c r="B1176" t="s">
        <v>10337</v>
      </c>
      <c r="C1176" t="s">
        <v>160</v>
      </c>
      <c r="D1176">
        <v>2012</v>
      </c>
      <c r="E1176" t="s">
        <v>160</v>
      </c>
      <c r="F1176" t="s">
        <v>12452</v>
      </c>
    </row>
    <row r="1177" spans="1:6" x14ac:dyDescent="0.25">
      <c r="A1177" t="s">
        <v>12453</v>
      </c>
      <c r="B1177" t="s">
        <v>10337</v>
      </c>
      <c r="C1177" t="s">
        <v>160</v>
      </c>
      <c r="D1177">
        <v>2012</v>
      </c>
      <c r="E1177" t="s">
        <v>160</v>
      </c>
      <c r="F1177" t="s">
        <v>12454</v>
      </c>
    </row>
    <row r="1178" spans="1:6" x14ac:dyDescent="0.25">
      <c r="A1178" t="s">
        <v>12455</v>
      </c>
      <c r="B1178" t="s">
        <v>10337</v>
      </c>
      <c r="C1178" t="s">
        <v>160</v>
      </c>
      <c r="D1178">
        <v>2012</v>
      </c>
      <c r="E1178" t="s">
        <v>160</v>
      </c>
      <c r="F1178" t="s">
        <v>12456</v>
      </c>
    </row>
    <row r="1179" spans="1:6" x14ac:dyDescent="0.25">
      <c r="A1179" t="s">
        <v>12457</v>
      </c>
      <c r="B1179" t="s">
        <v>12458</v>
      </c>
      <c r="C1179" t="s">
        <v>160</v>
      </c>
      <c r="D1179">
        <v>2012</v>
      </c>
      <c r="E1179" t="s">
        <v>160</v>
      </c>
      <c r="F1179" t="s">
        <v>12459</v>
      </c>
    </row>
    <row r="1180" spans="1:6" x14ac:dyDescent="0.25">
      <c r="A1180" t="s">
        <v>12460</v>
      </c>
      <c r="B1180" t="s">
        <v>12461</v>
      </c>
      <c r="C1180" t="s">
        <v>160</v>
      </c>
      <c r="D1180">
        <v>2012</v>
      </c>
      <c r="E1180" t="s">
        <v>160</v>
      </c>
      <c r="F1180" t="s">
        <v>12462</v>
      </c>
    </row>
    <row r="1181" spans="1:6" x14ac:dyDescent="0.25">
      <c r="A1181" t="s">
        <v>12463</v>
      </c>
      <c r="B1181" t="s">
        <v>10337</v>
      </c>
      <c r="C1181" t="s">
        <v>160</v>
      </c>
      <c r="D1181">
        <v>2012</v>
      </c>
      <c r="E1181" t="s">
        <v>160</v>
      </c>
      <c r="F1181" t="s">
        <v>12464</v>
      </c>
    </row>
    <row r="1182" spans="1:6" x14ac:dyDescent="0.25">
      <c r="A1182" t="s">
        <v>12465</v>
      </c>
      <c r="B1182" t="s">
        <v>10337</v>
      </c>
      <c r="C1182" t="s">
        <v>160</v>
      </c>
      <c r="D1182">
        <v>2012</v>
      </c>
      <c r="E1182" t="s">
        <v>160</v>
      </c>
      <c r="F1182" t="s">
        <v>12466</v>
      </c>
    </row>
    <row r="1183" spans="1:6" x14ac:dyDescent="0.25">
      <c r="A1183" t="s">
        <v>12467</v>
      </c>
      <c r="B1183" t="s">
        <v>10337</v>
      </c>
      <c r="C1183" t="s">
        <v>160</v>
      </c>
      <c r="D1183">
        <v>2012</v>
      </c>
      <c r="E1183" t="s">
        <v>160</v>
      </c>
      <c r="F1183" t="s">
        <v>12468</v>
      </c>
    </row>
    <row r="1184" spans="1:6" x14ac:dyDescent="0.25">
      <c r="A1184" t="s">
        <v>12469</v>
      </c>
      <c r="B1184" t="s">
        <v>10337</v>
      </c>
      <c r="C1184" t="s">
        <v>160</v>
      </c>
      <c r="D1184">
        <v>2012</v>
      </c>
      <c r="E1184" t="s">
        <v>160</v>
      </c>
      <c r="F1184" t="s">
        <v>12470</v>
      </c>
    </row>
    <row r="1185" spans="1:7" x14ac:dyDescent="0.25">
      <c r="A1185" t="s">
        <v>12471</v>
      </c>
      <c r="B1185" t="s">
        <v>10337</v>
      </c>
      <c r="C1185" t="s">
        <v>160</v>
      </c>
      <c r="D1185">
        <v>2012</v>
      </c>
      <c r="E1185" t="s">
        <v>160</v>
      </c>
      <c r="F1185" t="s">
        <v>12472</v>
      </c>
    </row>
    <row r="1186" spans="1:7" x14ac:dyDescent="0.25">
      <c r="A1186" t="s">
        <v>12473</v>
      </c>
      <c r="B1186" t="s">
        <v>10337</v>
      </c>
      <c r="C1186" t="s">
        <v>160</v>
      </c>
      <c r="D1186">
        <v>2012</v>
      </c>
      <c r="E1186" t="s">
        <v>160</v>
      </c>
      <c r="F1186" t="s">
        <v>12474</v>
      </c>
    </row>
    <row r="1187" spans="1:7" x14ac:dyDescent="0.25">
      <c r="A1187" t="s">
        <v>12475</v>
      </c>
      <c r="B1187" t="s">
        <v>10337</v>
      </c>
      <c r="C1187" t="s">
        <v>160</v>
      </c>
      <c r="D1187">
        <v>2012</v>
      </c>
      <c r="E1187" t="s">
        <v>160</v>
      </c>
      <c r="F1187" t="s">
        <v>12476</v>
      </c>
    </row>
    <row r="1188" spans="1:7" x14ac:dyDescent="0.25">
      <c r="A1188" t="s">
        <v>12477</v>
      </c>
      <c r="B1188" t="s">
        <v>10337</v>
      </c>
      <c r="C1188" t="s">
        <v>160</v>
      </c>
      <c r="D1188">
        <v>2012</v>
      </c>
      <c r="E1188" t="s">
        <v>160</v>
      </c>
      <c r="F1188" t="s">
        <v>12478</v>
      </c>
    </row>
    <row r="1189" spans="1:7" x14ac:dyDescent="0.25">
      <c r="A1189" t="s">
        <v>12479</v>
      </c>
      <c r="B1189" t="s">
        <v>10337</v>
      </c>
      <c r="C1189" t="s">
        <v>160</v>
      </c>
      <c r="D1189">
        <v>2012</v>
      </c>
      <c r="E1189" t="s">
        <v>160</v>
      </c>
      <c r="F1189" t="s">
        <v>12480</v>
      </c>
    </row>
    <row r="1190" spans="1:7" x14ac:dyDescent="0.25">
      <c r="A1190" t="s">
        <v>12481</v>
      </c>
      <c r="B1190" t="s">
        <v>10337</v>
      </c>
      <c r="C1190" t="s">
        <v>160</v>
      </c>
      <c r="D1190">
        <v>2012</v>
      </c>
      <c r="E1190" t="s">
        <v>160</v>
      </c>
      <c r="F1190" t="s">
        <v>12482</v>
      </c>
    </row>
    <row r="1191" spans="1:7" x14ac:dyDescent="0.25">
      <c r="A1191" t="s">
        <v>12483</v>
      </c>
      <c r="B1191" t="s">
        <v>10337</v>
      </c>
      <c r="C1191" t="s">
        <v>160</v>
      </c>
      <c r="D1191">
        <v>2012</v>
      </c>
      <c r="E1191" t="s">
        <v>160</v>
      </c>
      <c r="F1191" t="s">
        <v>12484</v>
      </c>
    </row>
    <row r="1192" spans="1:7" x14ac:dyDescent="0.25">
      <c r="A1192" t="s">
        <v>12485</v>
      </c>
      <c r="B1192" t="s">
        <v>10337</v>
      </c>
      <c r="C1192" t="s">
        <v>160</v>
      </c>
      <c r="D1192">
        <v>2012</v>
      </c>
      <c r="E1192" t="s">
        <v>160</v>
      </c>
      <c r="F1192" t="s">
        <v>12486</v>
      </c>
    </row>
    <row r="1193" spans="1:7" x14ac:dyDescent="0.25">
      <c r="A1193" t="s">
        <v>12487</v>
      </c>
      <c r="B1193" t="s">
        <v>11400</v>
      </c>
      <c r="C1193" t="s">
        <v>12488</v>
      </c>
      <c r="D1193">
        <v>2019</v>
      </c>
      <c r="E1193" t="s">
        <v>2652</v>
      </c>
      <c r="F1193" t="s">
        <v>12489</v>
      </c>
      <c r="G1193" t="s">
        <v>10071</v>
      </c>
    </row>
    <row r="1194" spans="1:7" x14ac:dyDescent="0.25">
      <c r="A1194" t="s">
        <v>12490</v>
      </c>
      <c r="B1194" t="s">
        <v>11400</v>
      </c>
      <c r="C1194" t="s">
        <v>12488</v>
      </c>
      <c r="D1194">
        <v>2019</v>
      </c>
      <c r="E1194" t="s">
        <v>2652</v>
      </c>
      <c r="F1194" t="s">
        <v>12491</v>
      </c>
    </row>
    <row r="1195" spans="1:7" x14ac:dyDescent="0.25">
      <c r="A1195" t="s">
        <v>12492</v>
      </c>
      <c r="B1195" t="s">
        <v>11400</v>
      </c>
      <c r="C1195" t="s">
        <v>12488</v>
      </c>
      <c r="D1195">
        <v>2019</v>
      </c>
      <c r="E1195" t="s">
        <v>2652</v>
      </c>
      <c r="F1195" t="s">
        <v>12493</v>
      </c>
    </row>
    <row r="1196" spans="1:7" x14ac:dyDescent="0.25">
      <c r="A1196" t="s">
        <v>12494</v>
      </c>
      <c r="B1196" t="s">
        <v>11400</v>
      </c>
      <c r="C1196" t="s">
        <v>12488</v>
      </c>
      <c r="D1196">
        <v>2019</v>
      </c>
      <c r="E1196" t="s">
        <v>2652</v>
      </c>
      <c r="F1196" t="s">
        <v>12495</v>
      </c>
    </row>
    <row r="1197" spans="1:7" x14ac:dyDescent="0.25">
      <c r="A1197" t="s">
        <v>12496</v>
      </c>
      <c r="B1197" t="s">
        <v>11400</v>
      </c>
      <c r="C1197" t="s">
        <v>12488</v>
      </c>
      <c r="D1197">
        <v>2019</v>
      </c>
      <c r="E1197" t="s">
        <v>2652</v>
      </c>
      <c r="F1197" t="s">
        <v>12497</v>
      </c>
    </row>
    <row r="1198" spans="1:7" x14ac:dyDescent="0.25">
      <c r="A1198" t="s">
        <v>12498</v>
      </c>
      <c r="B1198" t="s">
        <v>11400</v>
      </c>
      <c r="C1198" t="s">
        <v>12488</v>
      </c>
      <c r="D1198">
        <v>2019</v>
      </c>
      <c r="E1198" t="s">
        <v>2652</v>
      </c>
      <c r="F1198" t="s">
        <v>12499</v>
      </c>
    </row>
    <row r="1199" spans="1:7" x14ac:dyDescent="0.25">
      <c r="A1199" t="s">
        <v>12500</v>
      </c>
      <c r="B1199" t="s">
        <v>11400</v>
      </c>
      <c r="C1199" t="s">
        <v>12488</v>
      </c>
      <c r="D1199">
        <v>2019</v>
      </c>
      <c r="E1199" t="s">
        <v>2652</v>
      </c>
      <c r="F1199" t="s">
        <v>12501</v>
      </c>
    </row>
    <row r="1200" spans="1:7" x14ac:dyDescent="0.25">
      <c r="A1200" t="s">
        <v>12502</v>
      </c>
      <c r="B1200" t="s">
        <v>11400</v>
      </c>
      <c r="C1200" t="s">
        <v>12488</v>
      </c>
      <c r="D1200">
        <v>2019</v>
      </c>
      <c r="E1200" t="s">
        <v>2652</v>
      </c>
      <c r="F1200" t="s">
        <v>12503</v>
      </c>
    </row>
    <row r="1201" spans="1:7" x14ac:dyDescent="0.25">
      <c r="A1201" t="s">
        <v>12504</v>
      </c>
      <c r="B1201" t="s">
        <v>11400</v>
      </c>
      <c r="C1201" t="s">
        <v>12488</v>
      </c>
      <c r="D1201">
        <v>2019</v>
      </c>
      <c r="E1201" t="s">
        <v>2652</v>
      </c>
      <c r="F1201" t="s">
        <v>12505</v>
      </c>
    </row>
    <row r="1202" spans="1:7" x14ac:dyDescent="0.25">
      <c r="A1202" t="s">
        <v>12506</v>
      </c>
      <c r="B1202" t="s">
        <v>11400</v>
      </c>
      <c r="C1202" t="s">
        <v>12488</v>
      </c>
      <c r="D1202">
        <v>2019</v>
      </c>
      <c r="E1202" t="s">
        <v>2652</v>
      </c>
      <c r="F1202" t="s">
        <v>12507</v>
      </c>
    </row>
    <row r="1203" spans="1:7" x14ac:dyDescent="0.25">
      <c r="A1203" t="s">
        <v>12508</v>
      </c>
      <c r="B1203" t="s">
        <v>11400</v>
      </c>
      <c r="C1203" t="s">
        <v>12488</v>
      </c>
      <c r="D1203">
        <v>2019</v>
      </c>
      <c r="E1203" t="s">
        <v>2652</v>
      </c>
      <c r="F1203" t="s">
        <v>12509</v>
      </c>
    </row>
    <row r="1204" spans="1:7" x14ac:dyDescent="0.25">
      <c r="A1204" t="s">
        <v>12510</v>
      </c>
      <c r="B1204" t="s">
        <v>11400</v>
      </c>
      <c r="C1204" t="s">
        <v>12488</v>
      </c>
      <c r="D1204">
        <v>2019</v>
      </c>
      <c r="E1204" t="s">
        <v>2652</v>
      </c>
      <c r="F1204" t="s">
        <v>12511</v>
      </c>
    </row>
    <row r="1205" spans="1:7" x14ac:dyDescent="0.25">
      <c r="A1205" t="s">
        <v>12512</v>
      </c>
      <c r="B1205" t="s">
        <v>12513</v>
      </c>
      <c r="C1205" t="s">
        <v>12514</v>
      </c>
      <c r="D1205">
        <v>2022</v>
      </c>
      <c r="E1205" t="s">
        <v>2804</v>
      </c>
      <c r="F1205" t="s">
        <v>12515</v>
      </c>
      <c r="G1205" t="s">
        <v>10071</v>
      </c>
    </row>
    <row r="1206" spans="1:7" x14ac:dyDescent="0.25">
      <c r="A1206" t="s">
        <v>12516</v>
      </c>
      <c r="B1206" t="s">
        <v>12517</v>
      </c>
      <c r="C1206" t="s">
        <v>12514</v>
      </c>
      <c r="D1206">
        <v>2022</v>
      </c>
      <c r="E1206" t="s">
        <v>2804</v>
      </c>
      <c r="F1206" t="s">
        <v>12518</v>
      </c>
    </row>
    <row r="1207" spans="1:7" x14ac:dyDescent="0.25">
      <c r="A1207" t="s">
        <v>12519</v>
      </c>
      <c r="B1207" t="s">
        <v>12517</v>
      </c>
      <c r="C1207" t="s">
        <v>12514</v>
      </c>
      <c r="D1207">
        <v>2022</v>
      </c>
      <c r="E1207" t="s">
        <v>2804</v>
      </c>
      <c r="F1207" t="s">
        <v>12520</v>
      </c>
    </row>
    <row r="1208" spans="1:7" x14ac:dyDescent="0.25">
      <c r="A1208" t="s">
        <v>12521</v>
      </c>
      <c r="B1208" t="s">
        <v>12517</v>
      </c>
      <c r="C1208" t="s">
        <v>12514</v>
      </c>
      <c r="D1208">
        <v>2022</v>
      </c>
      <c r="E1208" t="s">
        <v>2804</v>
      </c>
      <c r="F1208" t="s">
        <v>12522</v>
      </c>
    </row>
    <row r="1209" spans="1:7" x14ac:dyDescent="0.25">
      <c r="A1209" t="s">
        <v>12523</v>
      </c>
      <c r="B1209" t="s">
        <v>12517</v>
      </c>
      <c r="C1209" t="s">
        <v>12514</v>
      </c>
      <c r="D1209">
        <v>2022</v>
      </c>
      <c r="E1209" t="s">
        <v>2804</v>
      </c>
      <c r="F1209" t="s">
        <v>12524</v>
      </c>
    </row>
    <row r="1210" spans="1:7" x14ac:dyDescent="0.25">
      <c r="A1210" t="s">
        <v>12525</v>
      </c>
      <c r="B1210" t="s">
        <v>12517</v>
      </c>
      <c r="C1210" t="s">
        <v>12514</v>
      </c>
      <c r="D1210">
        <v>2022</v>
      </c>
      <c r="E1210" t="s">
        <v>2804</v>
      </c>
      <c r="F1210" t="s">
        <v>12526</v>
      </c>
    </row>
    <row r="1211" spans="1:7" x14ac:dyDescent="0.25">
      <c r="A1211" t="s">
        <v>12527</v>
      </c>
      <c r="B1211" t="s">
        <v>12517</v>
      </c>
      <c r="C1211" t="s">
        <v>12514</v>
      </c>
      <c r="D1211">
        <v>2022</v>
      </c>
      <c r="E1211" t="s">
        <v>2804</v>
      </c>
      <c r="F1211" t="s">
        <v>12528</v>
      </c>
    </row>
    <row r="1212" spans="1:7" x14ac:dyDescent="0.25">
      <c r="A1212" t="s">
        <v>12529</v>
      </c>
      <c r="B1212" t="s">
        <v>12517</v>
      </c>
      <c r="C1212" t="s">
        <v>12514</v>
      </c>
      <c r="D1212">
        <v>2022</v>
      </c>
      <c r="E1212" t="s">
        <v>2804</v>
      </c>
      <c r="F1212" t="s">
        <v>12530</v>
      </c>
    </row>
    <row r="1213" spans="1:7" x14ac:dyDescent="0.25">
      <c r="A1213" t="s">
        <v>12531</v>
      </c>
      <c r="B1213" t="s">
        <v>12517</v>
      </c>
      <c r="C1213" t="s">
        <v>12514</v>
      </c>
      <c r="D1213">
        <v>2022</v>
      </c>
      <c r="E1213" t="s">
        <v>2804</v>
      </c>
      <c r="F1213" t="s">
        <v>12532</v>
      </c>
    </row>
    <row r="1214" spans="1:7" x14ac:dyDescent="0.25">
      <c r="A1214" t="s">
        <v>12533</v>
      </c>
      <c r="B1214" t="s">
        <v>12517</v>
      </c>
      <c r="C1214" t="s">
        <v>12514</v>
      </c>
      <c r="D1214">
        <v>2022</v>
      </c>
      <c r="E1214" t="s">
        <v>2804</v>
      </c>
      <c r="F1214" t="s">
        <v>12534</v>
      </c>
    </row>
    <row r="1215" spans="1:7" x14ac:dyDescent="0.25">
      <c r="A1215" t="s">
        <v>12535</v>
      </c>
      <c r="B1215" t="s">
        <v>12513</v>
      </c>
      <c r="C1215" t="s">
        <v>12514</v>
      </c>
      <c r="D1215">
        <v>2022</v>
      </c>
      <c r="E1215" t="s">
        <v>2804</v>
      </c>
      <c r="F1215" t="s">
        <v>12536</v>
      </c>
    </row>
    <row r="1216" spans="1:7" x14ac:dyDescent="0.25">
      <c r="A1216" t="s">
        <v>12537</v>
      </c>
      <c r="B1216" t="s">
        <v>12517</v>
      </c>
      <c r="C1216" t="s">
        <v>12514</v>
      </c>
      <c r="D1216">
        <v>2022</v>
      </c>
      <c r="E1216" t="s">
        <v>2804</v>
      </c>
      <c r="F1216" t="s">
        <v>12538</v>
      </c>
    </row>
    <row r="1217" spans="1:6" x14ac:dyDescent="0.25">
      <c r="A1217" t="s">
        <v>12539</v>
      </c>
      <c r="B1217" t="s">
        <v>12517</v>
      </c>
      <c r="C1217" t="s">
        <v>12514</v>
      </c>
      <c r="D1217">
        <v>2022</v>
      </c>
      <c r="E1217" t="s">
        <v>2804</v>
      </c>
      <c r="F1217" t="s">
        <v>12540</v>
      </c>
    </row>
    <row r="1218" spans="1:6" x14ac:dyDescent="0.25">
      <c r="A1218" t="s">
        <v>12541</v>
      </c>
      <c r="B1218" t="s">
        <v>12517</v>
      </c>
      <c r="C1218" t="s">
        <v>12514</v>
      </c>
      <c r="D1218">
        <v>2022</v>
      </c>
      <c r="E1218" t="s">
        <v>2804</v>
      </c>
      <c r="F1218" t="s">
        <v>12542</v>
      </c>
    </row>
    <row r="1219" spans="1:6" x14ac:dyDescent="0.25">
      <c r="A1219" t="s">
        <v>12543</v>
      </c>
      <c r="B1219" t="s">
        <v>12517</v>
      </c>
      <c r="C1219" t="s">
        <v>12514</v>
      </c>
      <c r="D1219">
        <v>2022</v>
      </c>
      <c r="E1219" t="s">
        <v>2804</v>
      </c>
      <c r="F1219" t="s">
        <v>12544</v>
      </c>
    </row>
    <row r="1220" spans="1:6" x14ac:dyDescent="0.25">
      <c r="A1220" t="s">
        <v>12545</v>
      </c>
      <c r="B1220" t="s">
        <v>12517</v>
      </c>
      <c r="C1220" t="s">
        <v>12514</v>
      </c>
      <c r="D1220">
        <v>2022</v>
      </c>
      <c r="E1220" t="s">
        <v>2804</v>
      </c>
      <c r="F1220" t="s">
        <v>12546</v>
      </c>
    </row>
    <row r="1221" spans="1:6" x14ac:dyDescent="0.25">
      <c r="A1221" t="s">
        <v>12547</v>
      </c>
      <c r="B1221" t="s">
        <v>12517</v>
      </c>
      <c r="C1221" t="s">
        <v>12514</v>
      </c>
      <c r="D1221">
        <v>2022</v>
      </c>
      <c r="E1221" t="s">
        <v>2804</v>
      </c>
      <c r="F1221" t="s">
        <v>12548</v>
      </c>
    </row>
    <row r="1222" spans="1:6" x14ac:dyDescent="0.25">
      <c r="A1222" t="s">
        <v>12549</v>
      </c>
      <c r="B1222" t="s">
        <v>12517</v>
      </c>
      <c r="C1222" t="s">
        <v>12514</v>
      </c>
      <c r="D1222">
        <v>2022</v>
      </c>
      <c r="E1222" t="s">
        <v>2804</v>
      </c>
      <c r="F1222" t="s">
        <v>12550</v>
      </c>
    </row>
    <row r="1223" spans="1:6" x14ac:dyDescent="0.25">
      <c r="A1223" t="s">
        <v>12551</v>
      </c>
      <c r="B1223" t="s">
        <v>12517</v>
      </c>
      <c r="C1223" t="s">
        <v>12514</v>
      </c>
      <c r="D1223">
        <v>2022</v>
      </c>
      <c r="E1223" t="s">
        <v>2804</v>
      </c>
      <c r="F1223" t="s">
        <v>12552</v>
      </c>
    </row>
    <row r="1224" spans="1:6" x14ac:dyDescent="0.25">
      <c r="A1224" t="s">
        <v>12553</v>
      </c>
      <c r="B1224" t="s">
        <v>12517</v>
      </c>
      <c r="C1224" t="s">
        <v>12514</v>
      </c>
      <c r="D1224">
        <v>2022</v>
      </c>
      <c r="E1224" t="s">
        <v>2804</v>
      </c>
      <c r="F1224" t="s">
        <v>12554</v>
      </c>
    </row>
    <row r="1225" spans="1:6" x14ac:dyDescent="0.25">
      <c r="A1225" t="s">
        <v>12555</v>
      </c>
      <c r="B1225" t="s">
        <v>12517</v>
      </c>
      <c r="C1225" t="s">
        <v>12514</v>
      </c>
      <c r="D1225">
        <v>2022</v>
      </c>
      <c r="E1225" t="s">
        <v>2804</v>
      </c>
      <c r="F1225" t="s">
        <v>12556</v>
      </c>
    </row>
    <row r="1226" spans="1:6" x14ac:dyDescent="0.25">
      <c r="A1226" t="s">
        <v>12557</v>
      </c>
      <c r="B1226" t="s">
        <v>12517</v>
      </c>
      <c r="C1226" t="s">
        <v>12514</v>
      </c>
      <c r="D1226">
        <v>2022</v>
      </c>
      <c r="E1226" t="s">
        <v>2804</v>
      </c>
      <c r="F1226" t="s">
        <v>12558</v>
      </c>
    </row>
    <row r="1227" spans="1:6" x14ac:dyDescent="0.25">
      <c r="A1227" t="s">
        <v>12559</v>
      </c>
      <c r="B1227" t="s">
        <v>12517</v>
      </c>
      <c r="C1227" t="s">
        <v>12514</v>
      </c>
      <c r="D1227">
        <v>2022</v>
      </c>
      <c r="E1227" t="s">
        <v>2804</v>
      </c>
      <c r="F1227" t="s">
        <v>12560</v>
      </c>
    </row>
    <row r="1228" spans="1:6" x14ac:dyDescent="0.25">
      <c r="A1228" t="s">
        <v>12561</v>
      </c>
      <c r="B1228" t="s">
        <v>12562</v>
      </c>
      <c r="C1228" t="s">
        <v>12514</v>
      </c>
      <c r="D1228">
        <v>2022</v>
      </c>
      <c r="E1228" t="s">
        <v>2804</v>
      </c>
      <c r="F1228" t="s">
        <v>12563</v>
      </c>
    </row>
    <row r="1229" spans="1:6" x14ac:dyDescent="0.25">
      <c r="A1229" t="s">
        <v>12564</v>
      </c>
      <c r="B1229" t="s">
        <v>12562</v>
      </c>
      <c r="C1229" t="s">
        <v>12514</v>
      </c>
      <c r="D1229">
        <v>2022</v>
      </c>
      <c r="E1229" t="s">
        <v>2804</v>
      </c>
      <c r="F1229" t="s">
        <v>12565</v>
      </c>
    </row>
    <row r="1230" spans="1:6" x14ac:dyDescent="0.25">
      <c r="A1230" t="s">
        <v>12566</v>
      </c>
      <c r="B1230" t="s">
        <v>12562</v>
      </c>
      <c r="C1230" t="s">
        <v>12514</v>
      </c>
      <c r="D1230">
        <v>2022</v>
      </c>
      <c r="E1230" t="s">
        <v>2804</v>
      </c>
      <c r="F1230" t="s">
        <v>12567</v>
      </c>
    </row>
    <row r="1231" spans="1:6" x14ac:dyDescent="0.25">
      <c r="A1231" t="s">
        <v>12568</v>
      </c>
      <c r="B1231" t="s">
        <v>12562</v>
      </c>
      <c r="C1231" t="s">
        <v>12514</v>
      </c>
      <c r="D1231">
        <v>2022</v>
      </c>
      <c r="E1231" t="s">
        <v>2804</v>
      </c>
      <c r="F1231" t="s">
        <v>12569</v>
      </c>
    </row>
    <row r="1232" spans="1:6" x14ac:dyDescent="0.25">
      <c r="A1232" t="s">
        <v>12570</v>
      </c>
      <c r="B1232" t="s">
        <v>12562</v>
      </c>
      <c r="C1232" t="s">
        <v>12514</v>
      </c>
      <c r="D1232">
        <v>2022</v>
      </c>
      <c r="E1232" t="s">
        <v>2804</v>
      </c>
      <c r="F1232" t="s">
        <v>12571</v>
      </c>
    </row>
    <row r="1233" spans="1:6" x14ac:dyDescent="0.25">
      <c r="A1233" t="s">
        <v>12572</v>
      </c>
      <c r="B1233" t="s">
        <v>12562</v>
      </c>
      <c r="C1233" t="s">
        <v>12514</v>
      </c>
      <c r="D1233">
        <v>2022</v>
      </c>
      <c r="E1233" t="s">
        <v>2804</v>
      </c>
      <c r="F1233" t="s">
        <v>12573</v>
      </c>
    </row>
    <row r="1234" spans="1:6" x14ac:dyDescent="0.25">
      <c r="A1234" t="s">
        <v>12574</v>
      </c>
      <c r="B1234" t="s">
        <v>12562</v>
      </c>
      <c r="C1234" t="s">
        <v>12514</v>
      </c>
      <c r="D1234">
        <v>2022</v>
      </c>
      <c r="E1234" t="s">
        <v>2804</v>
      </c>
      <c r="F1234" t="s">
        <v>12575</v>
      </c>
    </row>
    <row r="1235" spans="1:6" x14ac:dyDescent="0.25">
      <c r="A1235" t="s">
        <v>12576</v>
      </c>
      <c r="B1235" t="s">
        <v>12562</v>
      </c>
      <c r="C1235" t="s">
        <v>12514</v>
      </c>
      <c r="D1235">
        <v>2022</v>
      </c>
      <c r="E1235" t="s">
        <v>2804</v>
      </c>
      <c r="F1235" t="s">
        <v>12577</v>
      </c>
    </row>
    <row r="1236" spans="1:6" x14ac:dyDescent="0.25">
      <c r="A1236" t="s">
        <v>12578</v>
      </c>
      <c r="B1236" t="s">
        <v>12562</v>
      </c>
      <c r="C1236" t="s">
        <v>12514</v>
      </c>
      <c r="D1236">
        <v>2022</v>
      </c>
      <c r="E1236" t="s">
        <v>2804</v>
      </c>
      <c r="F1236" t="s">
        <v>12579</v>
      </c>
    </row>
    <row r="1237" spans="1:6" x14ac:dyDescent="0.25">
      <c r="A1237" t="s">
        <v>12580</v>
      </c>
      <c r="B1237" t="s">
        <v>12562</v>
      </c>
      <c r="C1237" t="s">
        <v>12514</v>
      </c>
      <c r="D1237">
        <v>2023</v>
      </c>
      <c r="E1237" t="s">
        <v>2804</v>
      </c>
      <c r="F1237" t="s">
        <v>12581</v>
      </c>
    </row>
    <row r="1238" spans="1:6" x14ac:dyDescent="0.25">
      <c r="A1238" t="s">
        <v>12582</v>
      </c>
      <c r="B1238" t="s">
        <v>12562</v>
      </c>
      <c r="C1238" t="s">
        <v>12514</v>
      </c>
      <c r="D1238">
        <v>2023</v>
      </c>
      <c r="E1238" t="s">
        <v>2804</v>
      </c>
      <c r="F1238" t="s">
        <v>12583</v>
      </c>
    </row>
    <row r="1239" spans="1:6" x14ac:dyDescent="0.25">
      <c r="A1239" t="s">
        <v>12584</v>
      </c>
      <c r="B1239" t="s">
        <v>12562</v>
      </c>
      <c r="C1239" t="s">
        <v>12514</v>
      </c>
      <c r="D1239">
        <v>2023</v>
      </c>
      <c r="E1239" t="s">
        <v>2804</v>
      </c>
      <c r="F1239" t="s">
        <v>12585</v>
      </c>
    </row>
    <row r="1240" spans="1:6" x14ac:dyDescent="0.25">
      <c r="A1240" t="s">
        <v>12586</v>
      </c>
      <c r="B1240" t="s">
        <v>12513</v>
      </c>
      <c r="C1240" t="s">
        <v>12514</v>
      </c>
      <c r="D1240">
        <v>2022</v>
      </c>
      <c r="E1240" t="s">
        <v>2804</v>
      </c>
      <c r="F1240" t="s">
        <v>12587</v>
      </c>
    </row>
    <row r="1241" spans="1:6" x14ac:dyDescent="0.25">
      <c r="A1241" t="s">
        <v>12588</v>
      </c>
      <c r="B1241" t="s">
        <v>12513</v>
      </c>
      <c r="C1241" t="s">
        <v>12514</v>
      </c>
      <c r="D1241">
        <v>2022</v>
      </c>
      <c r="E1241" t="s">
        <v>2804</v>
      </c>
      <c r="F1241" t="s">
        <v>12589</v>
      </c>
    </row>
    <row r="1242" spans="1:6" x14ac:dyDescent="0.25">
      <c r="A1242" t="s">
        <v>12590</v>
      </c>
      <c r="B1242" t="s">
        <v>12513</v>
      </c>
      <c r="C1242" t="s">
        <v>12514</v>
      </c>
      <c r="D1242">
        <v>2022</v>
      </c>
      <c r="E1242" t="s">
        <v>2804</v>
      </c>
      <c r="F1242" t="s">
        <v>12591</v>
      </c>
    </row>
    <row r="1243" spans="1:6" x14ac:dyDescent="0.25">
      <c r="A1243" t="s">
        <v>12592</v>
      </c>
      <c r="B1243" t="s">
        <v>12562</v>
      </c>
      <c r="C1243" t="s">
        <v>12514</v>
      </c>
      <c r="D1243">
        <v>2022</v>
      </c>
      <c r="E1243" t="s">
        <v>2804</v>
      </c>
      <c r="F1243" t="s">
        <v>12593</v>
      </c>
    </row>
    <row r="1244" spans="1:6" x14ac:dyDescent="0.25">
      <c r="A1244" t="s">
        <v>12594</v>
      </c>
      <c r="B1244" t="s">
        <v>12562</v>
      </c>
      <c r="C1244" t="s">
        <v>12514</v>
      </c>
      <c r="D1244">
        <v>2022</v>
      </c>
      <c r="E1244" t="s">
        <v>2804</v>
      </c>
      <c r="F1244" t="s">
        <v>12595</v>
      </c>
    </row>
    <row r="1245" spans="1:6" x14ac:dyDescent="0.25">
      <c r="A1245" t="s">
        <v>12596</v>
      </c>
      <c r="B1245" t="s">
        <v>12562</v>
      </c>
      <c r="C1245" t="s">
        <v>12514</v>
      </c>
      <c r="D1245">
        <v>2022</v>
      </c>
      <c r="E1245" t="s">
        <v>2804</v>
      </c>
      <c r="F1245" t="s">
        <v>12597</v>
      </c>
    </row>
    <row r="1246" spans="1:6" x14ac:dyDescent="0.25">
      <c r="A1246" t="s">
        <v>12598</v>
      </c>
      <c r="B1246" t="s">
        <v>12517</v>
      </c>
      <c r="C1246" t="s">
        <v>12514</v>
      </c>
      <c r="D1246">
        <v>2022</v>
      </c>
      <c r="E1246" t="s">
        <v>2804</v>
      </c>
      <c r="F1246" t="s">
        <v>12599</v>
      </c>
    </row>
    <row r="1247" spans="1:6" x14ac:dyDescent="0.25">
      <c r="A1247" t="s">
        <v>12600</v>
      </c>
      <c r="B1247" t="s">
        <v>12517</v>
      </c>
      <c r="C1247" t="s">
        <v>12514</v>
      </c>
      <c r="D1247">
        <v>2023</v>
      </c>
      <c r="E1247" t="s">
        <v>2804</v>
      </c>
      <c r="F1247" t="s">
        <v>12601</v>
      </c>
    </row>
    <row r="1248" spans="1:6" x14ac:dyDescent="0.25">
      <c r="A1248" t="s">
        <v>12602</v>
      </c>
      <c r="B1248" t="s">
        <v>12517</v>
      </c>
      <c r="C1248" t="s">
        <v>12514</v>
      </c>
      <c r="D1248">
        <v>2024</v>
      </c>
      <c r="E1248" t="s">
        <v>2804</v>
      </c>
      <c r="F1248" t="s">
        <v>12603</v>
      </c>
    </row>
    <row r="1249" spans="1:6" x14ac:dyDescent="0.25">
      <c r="A1249" t="s">
        <v>12604</v>
      </c>
      <c r="B1249" t="s">
        <v>12517</v>
      </c>
      <c r="C1249" t="s">
        <v>12514</v>
      </c>
      <c r="D1249">
        <v>2024</v>
      </c>
      <c r="E1249" t="s">
        <v>2804</v>
      </c>
      <c r="F1249" t="s">
        <v>12605</v>
      </c>
    </row>
    <row r="1250" spans="1:6" x14ac:dyDescent="0.25">
      <c r="A1250" t="s">
        <v>12606</v>
      </c>
      <c r="B1250" t="s">
        <v>12517</v>
      </c>
      <c r="C1250" t="s">
        <v>12514</v>
      </c>
      <c r="D1250">
        <v>2024</v>
      </c>
      <c r="E1250" t="s">
        <v>2804</v>
      </c>
      <c r="F1250" t="s">
        <v>12607</v>
      </c>
    </row>
    <row r="1251" spans="1:6" x14ac:dyDescent="0.25">
      <c r="A1251" t="s">
        <v>12608</v>
      </c>
      <c r="B1251" t="s">
        <v>12517</v>
      </c>
      <c r="C1251" t="s">
        <v>12514</v>
      </c>
      <c r="D1251">
        <v>2024</v>
      </c>
      <c r="E1251" t="s">
        <v>2804</v>
      </c>
      <c r="F1251" t="s">
        <v>12609</v>
      </c>
    </row>
    <row r="1252" spans="1:6" x14ac:dyDescent="0.25">
      <c r="A1252" t="s">
        <v>12610</v>
      </c>
      <c r="B1252" t="s">
        <v>12517</v>
      </c>
      <c r="C1252" t="s">
        <v>12514</v>
      </c>
      <c r="D1252">
        <v>2025</v>
      </c>
      <c r="E1252" t="s">
        <v>2804</v>
      </c>
      <c r="F1252" t="s">
        <v>12611</v>
      </c>
    </row>
    <row r="1253" spans="1:6" x14ac:dyDescent="0.25">
      <c r="A1253" t="s">
        <v>12612</v>
      </c>
      <c r="B1253" t="s">
        <v>12613</v>
      </c>
      <c r="C1253" t="s">
        <v>12514</v>
      </c>
      <c r="D1253">
        <v>2022</v>
      </c>
      <c r="E1253" t="s">
        <v>2804</v>
      </c>
      <c r="F1253" t="s">
        <v>12614</v>
      </c>
    </row>
    <row r="1254" spans="1:6" x14ac:dyDescent="0.25">
      <c r="A1254" t="s">
        <v>12615</v>
      </c>
      <c r="B1254" t="s">
        <v>12517</v>
      </c>
      <c r="C1254" t="s">
        <v>12514</v>
      </c>
      <c r="D1254">
        <v>2022</v>
      </c>
      <c r="E1254" t="s">
        <v>2804</v>
      </c>
      <c r="F1254" t="s">
        <v>12616</v>
      </c>
    </row>
    <row r="1255" spans="1:6" x14ac:dyDescent="0.25">
      <c r="A1255" t="s">
        <v>12617</v>
      </c>
      <c r="B1255" t="s">
        <v>12517</v>
      </c>
      <c r="C1255" t="s">
        <v>12514</v>
      </c>
      <c r="D1255">
        <v>2022</v>
      </c>
      <c r="E1255" t="s">
        <v>2804</v>
      </c>
      <c r="F1255" t="s">
        <v>12618</v>
      </c>
    </row>
    <row r="1256" spans="1:6" x14ac:dyDescent="0.25">
      <c r="A1256" t="s">
        <v>12619</v>
      </c>
      <c r="B1256" t="s">
        <v>12517</v>
      </c>
      <c r="C1256" t="s">
        <v>12514</v>
      </c>
      <c r="D1256">
        <v>2022</v>
      </c>
      <c r="E1256" t="s">
        <v>2804</v>
      </c>
      <c r="F1256" t="s">
        <v>12620</v>
      </c>
    </row>
    <row r="1257" spans="1:6" x14ac:dyDescent="0.25">
      <c r="A1257" t="s">
        <v>12621</v>
      </c>
      <c r="B1257" t="s">
        <v>12517</v>
      </c>
      <c r="C1257" t="s">
        <v>12514</v>
      </c>
      <c r="D1257">
        <v>2022</v>
      </c>
      <c r="E1257" t="s">
        <v>2804</v>
      </c>
      <c r="F1257" t="s">
        <v>12622</v>
      </c>
    </row>
    <row r="1258" spans="1:6" x14ac:dyDescent="0.25">
      <c r="A1258" t="s">
        <v>12623</v>
      </c>
      <c r="B1258" t="s">
        <v>12624</v>
      </c>
      <c r="C1258" t="s">
        <v>12514</v>
      </c>
      <c r="D1258">
        <v>2022</v>
      </c>
      <c r="E1258" t="s">
        <v>2804</v>
      </c>
      <c r="F1258" t="s">
        <v>12625</v>
      </c>
    </row>
    <row r="1259" spans="1:6" x14ac:dyDescent="0.25">
      <c r="A1259" t="s">
        <v>12626</v>
      </c>
      <c r="B1259" t="s">
        <v>12627</v>
      </c>
      <c r="C1259" t="s">
        <v>12514</v>
      </c>
      <c r="D1259">
        <v>2023</v>
      </c>
      <c r="E1259" t="s">
        <v>2804</v>
      </c>
      <c r="F1259" t="s">
        <v>12628</v>
      </c>
    </row>
    <row r="1260" spans="1:6" x14ac:dyDescent="0.25">
      <c r="A1260" t="s">
        <v>12629</v>
      </c>
      <c r="B1260" t="s">
        <v>12517</v>
      </c>
      <c r="C1260" t="s">
        <v>12514</v>
      </c>
      <c r="D1260">
        <v>2023</v>
      </c>
      <c r="E1260" t="s">
        <v>2804</v>
      </c>
      <c r="F1260" t="s">
        <v>12630</v>
      </c>
    </row>
    <row r="1261" spans="1:6" x14ac:dyDescent="0.25">
      <c r="A1261" t="s">
        <v>12631</v>
      </c>
      <c r="B1261" t="s">
        <v>12632</v>
      </c>
      <c r="C1261" t="s">
        <v>12514</v>
      </c>
      <c r="D1261">
        <v>2023</v>
      </c>
      <c r="E1261" t="s">
        <v>2804</v>
      </c>
      <c r="F1261" t="s">
        <v>12633</v>
      </c>
    </row>
    <row r="1262" spans="1:6" x14ac:dyDescent="0.25">
      <c r="A1262" t="s">
        <v>12634</v>
      </c>
      <c r="B1262" t="s">
        <v>12517</v>
      </c>
      <c r="C1262" t="s">
        <v>12514</v>
      </c>
      <c r="D1262">
        <v>2023</v>
      </c>
      <c r="E1262" t="s">
        <v>2804</v>
      </c>
      <c r="F1262" t="s">
        <v>12635</v>
      </c>
    </row>
    <row r="1263" spans="1:6" x14ac:dyDescent="0.25">
      <c r="A1263" t="s">
        <v>12636</v>
      </c>
      <c r="B1263" t="s">
        <v>12517</v>
      </c>
      <c r="C1263" t="s">
        <v>12514</v>
      </c>
      <c r="D1263">
        <v>2023</v>
      </c>
      <c r="E1263" t="s">
        <v>2804</v>
      </c>
      <c r="F1263" t="s">
        <v>12637</v>
      </c>
    </row>
    <row r="1264" spans="1:6" x14ac:dyDescent="0.25">
      <c r="A1264" t="s">
        <v>12638</v>
      </c>
      <c r="B1264" t="s">
        <v>12517</v>
      </c>
      <c r="C1264" t="s">
        <v>12514</v>
      </c>
      <c r="D1264">
        <v>2023</v>
      </c>
      <c r="E1264" t="s">
        <v>2804</v>
      </c>
      <c r="F1264" t="s">
        <v>12639</v>
      </c>
    </row>
    <row r="1265" spans="1:7" x14ac:dyDescent="0.25">
      <c r="A1265" t="s">
        <v>12640</v>
      </c>
      <c r="B1265" t="s">
        <v>12517</v>
      </c>
      <c r="C1265" t="s">
        <v>12514</v>
      </c>
      <c r="D1265">
        <v>2023</v>
      </c>
      <c r="E1265" t="s">
        <v>2804</v>
      </c>
      <c r="F1265" t="s">
        <v>12641</v>
      </c>
    </row>
    <row r="1266" spans="1:7" x14ac:dyDescent="0.25">
      <c r="A1266" t="s">
        <v>12642</v>
      </c>
      <c r="B1266" t="s">
        <v>12643</v>
      </c>
      <c r="C1266" t="s">
        <v>12514</v>
      </c>
      <c r="D1266">
        <v>2023</v>
      </c>
      <c r="E1266" t="s">
        <v>2804</v>
      </c>
      <c r="F1266" t="s">
        <v>12644</v>
      </c>
    </row>
    <row r="1267" spans="1:7" x14ac:dyDescent="0.25">
      <c r="A1267" t="s">
        <v>12645</v>
      </c>
      <c r="B1267" t="s">
        <v>12517</v>
      </c>
      <c r="C1267" t="s">
        <v>12514</v>
      </c>
      <c r="D1267">
        <v>2023</v>
      </c>
      <c r="E1267" t="s">
        <v>2804</v>
      </c>
      <c r="F1267" t="s">
        <v>12646</v>
      </c>
    </row>
    <row r="1268" spans="1:7" x14ac:dyDescent="0.25">
      <c r="A1268" t="s">
        <v>12647</v>
      </c>
      <c r="B1268" t="s">
        <v>12648</v>
      </c>
      <c r="C1268" t="s">
        <v>12514</v>
      </c>
      <c r="D1268">
        <v>2023</v>
      </c>
      <c r="E1268" t="s">
        <v>2804</v>
      </c>
      <c r="F1268" t="s">
        <v>12649</v>
      </c>
    </row>
    <row r="1269" spans="1:7" x14ac:dyDescent="0.25">
      <c r="A1269" t="s">
        <v>12650</v>
      </c>
      <c r="B1269" t="s">
        <v>12517</v>
      </c>
      <c r="C1269" t="s">
        <v>12514</v>
      </c>
      <c r="D1269">
        <v>2023</v>
      </c>
      <c r="E1269" t="s">
        <v>2804</v>
      </c>
      <c r="F1269" t="s">
        <v>12651</v>
      </c>
    </row>
    <row r="1270" spans="1:7" x14ac:dyDescent="0.25">
      <c r="A1270" t="s">
        <v>12652</v>
      </c>
      <c r="B1270" t="s">
        <v>12562</v>
      </c>
      <c r="C1270" t="s">
        <v>12514</v>
      </c>
      <c r="D1270">
        <v>2023</v>
      </c>
      <c r="E1270" t="s">
        <v>2804</v>
      </c>
      <c r="F1270" t="s">
        <v>12653</v>
      </c>
    </row>
    <row r="1271" spans="1:7" x14ac:dyDescent="0.25">
      <c r="A1271" t="s">
        <v>12654</v>
      </c>
      <c r="B1271" t="s">
        <v>12562</v>
      </c>
      <c r="C1271" t="s">
        <v>12514</v>
      </c>
      <c r="D1271">
        <v>2023</v>
      </c>
      <c r="E1271" t="s">
        <v>2804</v>
      </c>
      <c r="F1271" t="s">
        <v>12655</v>
      </c>
    </row>
    <row r="1272" spans="1:7" x14ac:dyDescent="0.25">
      <c r="A1272" t="s">
        <v>12656</v>
      </c>
      <c r="B1272" t="s">
        <v>12562</v>
      </c>
      <c r="C1272" t="s">
        <v>12514</v>
      </c>
      <c r="D1272">
        <v>2023</v>
      </c>
      <c r="E1272" t="s">
        <v>2804</v>
      </c>
      <c r="F1272" t="s">
        <v>12657</v>
      </c>
    </row>
    <row r="1273" spans="1:7" x14ac:dyDescent="0.25">
      <c r="A1273" t="s">
        <v>12658</v>
      </c>
      <c r="B1273" t="s">
        <v>12562</v>
      </c>
      <c r="C1273" t="s">
        <v>12514</v>
      </c>
      <c r="D1273">
        <v>2023</v>
      </c>
      <c r="E1273" t="s">
        <v>2804</v>
      </c>
      <c r="F1273" t="s">
        <v>12659</v>
      </c>
    </row>
    <row r="1274" spans="1:7" x14ac:dyDescent="0.25">
      <c r="A1274" t="s">
        <v>12660</v>
      </c>
      <c r="B1274" t="s">
        <v>12562</v>
      </c>
      <c r="C1274" t="s">
        <v>12514</v>
      </c>
      <c r="D1274">
        <v>2023</v>
      </c>
      <c r="E1274" t="s">
        <v>2804</v>
      </c>
      <c r="F1274" t="s">
        <v>12661</v>
      </c>
    </row>
    <row r="1275" spans="1:7" x14ac:dyDescent="0.25">
      <c r="A1275" t="s">
        <v>12662</v>
      </c>
      <c r="B1275" t="s">
        <v>12562</v>
      </c>
      <c r="C1275" t="s">
        <v>12514</v>
      </c>
      <c r="D1275">
        <v>2023</v>
      </c>
      <c r="E1275" t="s">
        <v>2804</v>
      </c>
      <c r="F1275" t="s">
        <v>12663</v>
      </c>
    </row>
    <row r="1276" spans="1:7" x14ac:dyDescent="0.25">
      <c r="A1276" t="s">
        <v>12664</v>
      </c>
      <c r="B1276" t="s">
        <v>12665</v>
      </c>
      <c r="C1276" t="s">
        <v>12666</v>
      </c>
      <c r="D1276">
        <v>2023</v>
      </c>
      <c r="E1276" t="s">
        <v>2890</v>
      </c>
      <c r="F1276" t="s">
        <v>12667</v>
      </c>
      <c r="G1276" t="s">
        <v>10071</v>
      </c>
    </row>
    <row r="1277" spans="1:7" x14ac:dyDescent="0.25">
      <c r="A1277" t="s">
        <v>12668</v>
      </c>
      <c r="B1277" t="s">
        <v>12665</v>
      </c>
      <c r="C1277" t="s">
        <v>12666</v>
      </c>
      <c r="D1277">
        <v>2023</v>
      </c>
      <c r="E1277" t="s">
        <v>2890</v>
      </c>
      <c r="F1277" t="s">
        <v>12669</v>
      </c>
    </row>
    <row r="1278" spans="1:7" x14ac:dyDescent="0.25">
      <c r="A1278" t="s">
        <v>12670</v>
      </c>
      <c r="B1278" t="s">
        <v>12665</v>
      </c>
      <c r="C1278" t="s">
        <v>12666</v>
      </c>
      <c r="D1278">
        <v>2023</v>
      </c>
      <c r="E1278" t="s">
        <v>2890</v>
      </c>
      <c r="F1278" t="s">
        <v>12671</v>
      </c>
    </row>
    <row r="1279" spans="1:7" x14ac:dyDescent="0.25">
      <c r="A1279" t="s">
        <v>12672</v>
      </c>
      <c r="B1279" t="s">
        <v>12665</v>
      </c>
      <c r="C1279" t="s">
        <v>12666</v>
      </c>
      <c r="D1279">
        <v>2023</v>
      </c>
      <c r="E1279" t="s">
        <v>2890</v>
      </c>
      <c r="F1279" t="s">
        <v>12673</v>
      </c>
    </row>
    <row r="1280" spans="1:7" x14ac:dyDescent="0.25">
      <c r="A1280" t="s">
        <v>12674</v>
      </c>
      <c r="B1280" t="s">
        <v>12665</v>
      </c>
      <c r="C1280" t="s">
        <v>12666</v>
      </c>
      <c r="D1280">
        <v>2023</v>
      </c>
      <c r="E1280" t="s">
        <v>2890</v>
      </c>
      <c r="F1280" t="s">
        <v>12675</v>
      </c>
    </row>
    <row r="1281" spans="1:6" x14ac:dyDescent="0.25">
      <c r="A1281" t="s">
        <v>12676</v>
      </c>
      <c r="B1281" t="s">
        <v>12665</v>
      </c>
      <c r="C1281" t="s">
        <v>12666</v>
      </c>
      <c r="D1281">
        <v>2023</v>
      </c>
      <c r="E1281" t="s">
        <v>2890</v>
      </c>
      <c r="F1281" t="s">
        <v>12677</v>
      </c>
    </row>
    <row r="1282" spans="1:6" x14ac:dyDescent="0.25">
      <c r="A1282" t="s">
        <v>12678</v>
      </c>
      <c r="B1282" t="s">
        <v>12665</v>
      </c>
      <c r="C1282" t="s">
        <v>12666</v>
      </c>
      <c r="D1282">
        <v>2023</v>
      </c>
      <c r="E1282" t="s">
        <v>2890</v>
      </c>
      <c r="F1282" t="s">
        <v>12679</v>
      </c>
    </row>
    <row r="1283" spans="1:6" x14ac:dyDescent="0.25">
      <c r="A1283" t="s">
        <v>12680</v>
      </c>
      <c r="B1283" t="s">
        <v>12665</v>
      </c>
      <c r="C1283" t="s">
        <v>12666</v>
      </c>
      <c r="D1283">
        <v>2023</v>
      </c>
      <c r="E1283" t="s">
        <v>2890</v>
      </c>
      <c r="F1283" t="s">
        <v>12681</v>
      </c>
    </row>
    <row r="1284" spans="1:6" x14ac:dyDescent="0.25">
      <c r="A1284" t="s">
        <v>12682</v>
      </c>
      <c r="B1284" t="s">
        <v>12665</v>
      </c>
      <c r="C1284" t="s">
        <v>12666</v>
      </c>
      <c r="D1284">
        <v>2023</v>
      </c>
      <c r="E1284" t="s">
        <v>2890</v>
      </c>
      <c r="F1284" t="s">
        <v>12683</v>
      </c>
    </row>
    <row r="1285" spans="1:6" x14ac:dyDescent="0.25">
      <c r="A1285" t="s">
        <v>12684</v>
      </c>
      <c r="B1285" t="s">
        <v>12665</v>
      </c>
      <c r="C1285" t="s">
        <v>12666</v>
      </c>
      <c r="D1285">
        <v>2023</v>
      </c>
      <c r="E1285" t="s">
        <v>2890</v>
      </c>
      <c r="F1285" t="s">
        <v>12685</v>
      </c>
    </row>
    <row r="1286" spans="1:6" x14ac:dyDescent="0.25">
      <c r="A1286" t="s">
        <v>12686</v>
      </c>
      <c r="B1286" t="s">
        <v>12665</v>
      </c>
      <c r="C1286" t="s">
        <v>12666</v>
      </c>
      <c r="D1286">
        <v>2023</v>
      </c>
      <c r="E1286" t="s">
        <v>2890</v>
      </c>
      <c r="F1286" t="s">
        <v>12687</v>
      </c>
    </row>
    <row r="1287" spans="1:6" x14ac:dyDescent="0.25">
      <c r="A1287" t="s">
        <v>12688</v>
      </c>
      <c r="B1287" t="s">
        <v>12665</v>
      </c>
      <c r="C1287" t="s">
        <v>12666</v>
      </c>
      <c r="D1287">
        <v>2023</v>
      </c>
      <c r="E1287" t="s">
        <v>2890</v>
      </c>
      <c r="F1287" t="s">
        <v>12689</v>
      </c>
    </row>
    <row r="1288" spans="1:6" x14ac:dyDescent="0.25">
      <c r="A1288" t="s">
        <v>12690</v>
      </c>
      <c r="B1288" t="s">
        <v>12665</v>
      </c>
      <c r="C1288" t="s">
        <v>12666</v>
      </c>
      <c r="D1288">
        <v>2023</v>
      </c>
      <c r="E1288" t="s">
        <v>2890</v>
      </c>
      <c r="F1288" t="s">
        <v>12691</v>
      </c>
    </row>
    <row r="1289" spans="1:6" x14ac:dyDescent="0.25">
      <c r="A1289" t="s">
        <v>2890</v>
      </c>
      <c r="B1289" t="s">
        <v>12665</v>
      </c>
      <c r="C1289" t="s">
        <v>12666</v>
      </c>
      <c r="D1289">
        <v>2023</v>
      </c>
      <c r="E1289" t="s">
        <v>2890</v>
      </c>
      <c r="F1289" t="s">
        <v>12692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IF($A2="","",COUNTIF(connections!$A$2:$A$1526,$A2)+COUNTIF(connections!$B$2:$B$1526,$A2))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IF($A3="","",COUNTIF(connections!$A$2:$A$1526,$A3)+COUNTIF(connections!$B$2:$B$1526,$A3))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IF($A4="","",COUNTIF(connections!$A$2:$A$1526,$A4)+COUNTIF(connections!$B$2:$B$1526,$A4))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IF($A5="","",COUNTIF(connections!$A$2:$A$1526,$A5)+COUNTIF(connections!$B$2:$B$1526,$A5))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IF($A6="","",COUNTIF(connections!$A$2:$A$1526,$A6)+COUNTIF(connections!$B$2:$B$1526,$A6))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IF($A7="","",COUNTIF(connections!$A$2:$A$1526,$A7)+COUNTIF(connections!$B$2:$B$1526,$A7))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IF($A8="","",COUNTIF(connections!$A$2:$A$1526,$A8)+COUNTIF(connections!$B$2:$B$1526,$A8))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IF($A9="","",COUNTIF(connections!$A$2:$A$1526,$A9)+COUNTIF(connections!$B$2:$B$1526,$A9))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IF($A10="","",COUNTIF(connections!$A$2:$A$1526,$A10)+COUNTIF(connections!$B$2:$B$1526,$A10))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IF($A11="","",COUNTIF(connections!$A$2:$A$1526,$A11)+COUNTIF(connections!$B$2:$B$1526,$A11))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IF($A12="","",COUNTIF(connections!$A$2:$A$1526,$A12)+COUNTIF(connections!$B$2:$B$1526,$A12))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IF($A13="","",COUNTIF(connections!$A$2:$A$1526,$A13)+COUNTIF(connections!$B$2:$B$1526,$A13))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IF($A14="","",COUNTIF(connections!$A$2:$A$1526,$A14)+COUNTIF(connections!$B$2:$B$1526,$A14))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IF($A15="","",COUNTIF(connections!$A$2:$A$1526,$A15)+COUNTIF(connections!$B$2:$B$1526,$A15))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IF($A16="","",COUNTIF(connections!$A$2:$A$1526,$A16)+COUNTIF(connections!$B$2:$B$1526,$A16))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IF($A17="","",COUNTIF(connections!$A$2:$A$1526,$A17)+COUNTIF(connections!$B$2:$B$1526,$A17))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IF($A18="","",COUNTIF(connections!$A$2:$A$1526,$A18)+COUNTIF(connections!$B$2:$B$1526,$A18))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IF($A19="","",COUNTIF(connections!$A$2:$A$1526,$A19)+COUNTIF(connections!$B$2:$B$1526,$A19))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IF($A20="","",COUNTIF(connections!$A$2:$A$1526,$A20)+COUNTIF(connections!$B$2:$B$1526,$A20))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IF($A21="","",COUNTIF(connections!$A$2:$A$1526,$A21)+COUNTIF(connections!$B$2:$B$1526,$A21))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IF($A22="","",COUNTIF(connections!$A$2:$A$1526,$A22)+COUNTIF(connections!$B$2:$B$1526,$A22))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IF($A23="","",COUNTIF(connections!$A$2:$A$1526,$A23)+COUNTIF(connections!$B$2:$B$1526,$A23))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IF($A24="","",COUNTIF(connections!$A$2:$A$1526,$A24)+COUNTIF(connections!$B$2:$B$1526,$A24))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IF($A25="","",COUNTIF(connections!$A$2:$A$1526,$A25)+COUNTIF(connections!$B$2:$B$1526,$A25))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IF($A26="","",COUNTIF(connections!$A$2:$A$1526,$A26)+COUNTIF(connections!$B$2:$B$1526,$A26))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IF($A27="","",COUNTIF(connections!$A$2:$A$1526,$A27)+COUNTIF(connections!$B$2:$B$1526,$A27))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IF($A28="","",COUNTIF(connections!$A$2:$A$1526,$A28)+COUNTIF(connections!$B$2:$B$1526,$A28))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IF($A29="","",COUNTIF(connections!$A$2:$A$1526,$A29)+COUNTIF(connections!$B$2:$B$1526,$A29))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IF($A30="","",COUNTIF(connections!$A$2:$A$1526,$A30)+COUNTIF(connections!$B$2:$B$1526,$A30))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IF($A31="","",COUNTIF(connections!$A$2:$A$1526,$A31)+COUNTIF(connections!$B$2:$B$1526,$A31))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IF($A32="","",COUNTIF(connections!$A$2:$A$1526,$A32)+COUNTIF(connections!$B$2:$B$1526,$A32))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IF($A33="","",COUNTIF(connections!$A$2:$A$1526,$A33)+COUNTIF(connections!$B$2:$B$1526,$A33))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IF($A34="","",COUNTIF(connections!$A$2:$A$1526,$A34)+COUNTIF(connections!$B$2:$B$1526,$A34))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IF($A35="","",COUNTIF(connections!$A$2:$A$1526,$A35)+COUNTIF(connections!$B$2:$B$1526,$A35))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IF($A36="","",COUNTIF(connections!$A$2:$A$1526,$A36)+COUNTIF(connections!$B$2:$B$1526,$A36))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IF($A37="","",COUNTIF(connections!$A$2:$A$1526,$A37)+COUNTIF(connections!$B$2:$B$1526,$A37))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IF($A38="","",COUNTIF(connections!$A$2:$A$1526,$A38)+COUNTIF(connections!$B$2:$B$1526,$A38))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IF($A39="","",COUNTIF(connections!$A$2:$A$1526,$A39)+COUNTIF(connections!$B$2:$B$1526,$A39))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IF($A40="","",COUNTIF(connections!$A$2:$A$1526,$A40)+COUNTIF(connections!$B$2:$B$1526,$A40))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IF($A41="","",COUNTIF(connections!$A$2:$A$1526,$A41)+COUNTIF(connections!$B$2:$B$1526,$A41))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IF($A42="","",COUNTIF(connections!$A$2:$A$1526,$A42)+COUNTIF(connections!$B$2:$B$1526,$A42))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IF($A43="","",COUNTIF(connections!$A$2:$A$1526,$A43)+COUNTIF(connections!$B$2:$B$1526,$A43))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IF($A44="","",COUNTIF(connections!$A$2:$A$1526,$A44)+COUNTIF(connections!$B$2:$B$1526,$A44))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IF($A45="","",COUNTIF(connections!$A$2:$A$1526,$A45)+COUNTIF(connections!$B$2:$B$1526,$A45))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IF($A46="","",COUNTIF(connections!$A$2:$A$1526,$A46)+COUNTIF(connections!$B$2:$B$1526,$A46))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IF($A47="","",COUNTIF(connections!$A$2:$A$1526,$A47)+COUNTIF(connections!$B$2:$B$1526,$A47))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IF($A48="","",COUNTIF(connections!$A$2:$A$1526,$A48)+COUNTIF(connections!$B$2:$B$1526,$A48))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IF($A49="","",COUNTIF(connections!$A$2:$A$1526,$A49)+COUNTIF(connections!$B$2:$B$1526,$A49))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IF($A50="","",COUNTIF(connections!$A$2:$A$1526,$A50)+COUNTIF(connections!$B$2:$B$1526,$A50))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IF($A51="","",COUNTIF(connections!$A$2:$A$1526,$A51)+COUNTIF(connections!$B$2:$B$1526,$A51))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IF($A52="","",COUNTIF(connections!$A$2:$A$1526,$A52)+COUNTIF(connections!$B$2:$B$1526,$A52))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IF($A53="","",COUNTIF(connections!$A$2:$A$1526,$A53)+COUNTIF(connections!$B$2:$B$1526,$A53))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IF($A54="","",COUNTIF(connections!$A$2:$A$1526,$A54)+COUNTIF(connections!$B$2:$B$1526,$A54))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IF($A55="","",COUNTIF(connections!$A$2:$A$1526,$A55)+COUNTIF(connections!$B$2:$B$1526,$A55))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IF($A56="","",COUNTIF(connections!$A$2:$A$1526,$A56)+COUNTIF(connections!$B$2:$B$1526,$A56))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IF($A57="","",COUNTIF(connections!$A$2:$A$1526,$A57)+COUNTIF(connections!$B$2:$B$1526,$A57))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IF($A58="","",COUNTIF(connections!$A$2:$A$1526,$A58)+COUNTIF(connections!$B$2:$B$1526,$A58))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IF($A59="","",COUNTIF(connections!$A$2:$A$1526,$A59)+COUNTIF(connections!$B$2:$B$1526,$A59))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IF($A60="","",COUNTIF(connections!$A$2:$A$1526,$A60)+COUNTIF(connections!$B$2:$B$1526,$A60))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IF($A61="","",COUNTIF(connections!$A$2:$A$1526,$A61)+COUNTIF(connections!$B$2:$B$1526,$A61))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IF($A62="","",COUNTIF(connections!$A$2:$A$1526,$A62)+COUNTIF(connections!$B$2:$B$1526,$A62))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IF($A63="","",COUNTIF(connections!$A$2:$A$1526,$A63)+COUNTIF(connections!$B$2:$B$1526,$A63))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IF($A64="","",COUNTIF(connections!$A$2:$A$1526,$A64)+COUNTIF(connections!$B$2:$B$1526,$A64))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IF($A65="","",COUNTIF(connections!$A$2:$A$1526,$A65)+COUNTIF(connections!$B$2:$B$1526,$A65))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IF($A66="","",COUNTIF(connections!$A$2:$A$1526,$A66)+COUNTIF(connections!$B$2:$B$1526,$A66))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IF($A67="","",COUNTIF(connections!$A$2:$A$1526,$A67)+COUNTIF(connections!$B$2:$B$1526,$A67))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IF($A68="","",COUNTIF(connections!$A$2:$A$1526,$A68)+COUNTIF(connections!$B$2:$B$1526,$A68))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IF($A69="","",COUNTIF(connections!$A$2:$A$1526,$A69)+COUNTIF(connections!$B$2:$B$1526,$A69))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IF($A70="","",COUNTIF(connections!$A$2:$A$1526,$A70)+COUNTIF(connections!$B$2:$B$1526,$A70))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IF($A71="","",COUNTIF(connections!$A$2:$A$1526,$A71)+COUNTIF(connections!$B$2:$B$1526,$A71))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IF($A72="","",COUNTIF(connections!$A$2:$A$1526,$A72)+COUNTIF(connections!$B$2:$B$1526,$A72))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IF($A73="","",COUNTIF(connections!$A$2:$A$1526,$A73)+COUNTIF(connections!$B$2:$B$1526,$A73))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IF($A74="","",COUNTIF(connections!$A$2:$A$1526,$A74)+COUNTIF(connections!$B$2:$B$1526,$A74))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IF($A75="","",COUNTIF(connections!$A$2:$A$1526,$A75)+COUNTIF(connections!$B$2:$B$1526,$A75))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IF($A76="","",COUNTIF(connections!$A$2:$A$1526,$A76)+COUNTIF(connections!$B$2:$B$1526,$A76))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IF($A77="","",COUNTIF(connections!$A$2:$A$1526,$A77)+COUNTIF(connections!$B$2:$B$1526,$A77))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IF($A78="","",COUNTIF(connections!$A$2:$A$1526,$A78)+COUNTIF(connections!$B$2:$B$1526,$A78))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IF($A79="","",COUNTIF(connections!$A$2:$A$1526,$A79)+COUNTIF(connections!$B$2:$B$1526,$A79))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IF($A80="","",COUNTIF(connections!$A$2:$A$1526,$A80)+COUNTIF(connections!$B$2:$B$1526,$A80))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IF($A81="","",COUNTIF(connections!$A$2:$A$1526,$A81)+COUNTIF(connections!$B$2:$B$1526,$A81))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IF($A82="","",COUNTIF(connections!$A$2:$A$1526,$A82)+COUNTIF(connections!$B$2:$B$1526,$A82))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IF($A83="","",COUNTIF(connections!$A$2:$A$1526,$A83)+COUNTIF(connections!$B$2:$B$1526,$A83))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IF($A84="","",COUNTIF(connections!$A$2:$A$1526,$A84)+COUNTIF(connections!$B$2:$B$1526,$A84))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IF($A85="","",COUNTIF(connections!$A$2:$A$1526,$A85)+COUNTIF(connections!$B$2:$B$1526,$A85))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IF($A86="","",COUNTIF(connections!$A$2:$A$1526,$A86)+COUNTIF(connections!$B$2:$B$1526,$A86))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IF($A87="","",COUNTIF(connections!$A$2:$A$1526,$A87)+COUNTIF(connections!$B$2:$B$1526,$A87))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IF($A88="","",COUNTIF(connections!$A$2:$A$1526,$A88)+COUNTIF(connections!$B$2:$B$1526,$A88))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IF($A89="","",COUNTIF(connections!$A$2:$A$1526,$A89)+COUNTIF(connections!$B$2:$B$1526,$A89))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IF($A90="","",COUNTIF(connections!$A$2:$A$1526,$A90)+COUNTIF(connections!$B$2:$B$1526,$A90))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IF($A91="","",COUNTIF(connections!$A$2:$A$1526,$A91)+COUNTIF(connections!$B$2:$B$1526,$A91))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IF($A92="","",COUNTIF(connections!$A$2:$A$1526,$A92)+COUNTIF(connections!$B$2:$B$1526,$A92))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IF($A93="","",COUNTIF(connections!$A$2:$A$1526,$A93)+COUNTIF(connections!$B$2:$B$1526,$A93))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IF($A94="","",COUNTIF(connections!$A$2:$A$1526,$A94)+COUNTIF(connections!$B$2:$B$1526,$A94))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IF($A95="","",COUNTIF(connections!$A$2:$A$1526,$A95)+COUNTIF(connections!$B$2:$B$1526,$A95))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IF($A96="","",COUNTIF(connections!$A$2:$A$1526,$A96)+COUNTIF(connections!$B$2:$B$1526,$A96))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IF($A97="","",COUNTIF(connections!$A$2:$A$1526,$A97)+COUNTIF(connections!$B$2:$B$1526,$A97))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IF($A98="","",COUNTIF(connections!$A$2:$A$1526,$A98)+COUNTIF(connections!$B$2:$B$1526,$A98))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IF($A99="","",COUNTIF(connections!$A$2:$A$1526,$A99)+COUNTIF(connections!$B$2:$B$1526,$A99))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IF($A100="","",COUNTIF(connections!$A$2:$A$1526,$A100)+COUNTIF(connections!$B$2:$B$1526,$A100))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IF($A101="","",COUNTIF(connections!$A$2:$A$1526,$A101)+COUNTIF(connections!$B$2:$B$1526,$A101))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IF($A102="","",COUNTIF(connections!$A$2:$A$1526,$A102)+COUNTIF(connections!$B$2:$B$1526,$A102))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IF($A103="","",COUNTIF(connections!$A$2:$A$1526,$A103)+COUNTIF(connections!$B$2:$B$1526,$A103))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IF($A104="","",COUNTIF(connections!$A$2:$A$1526,$A104)+COUNTIF(connections!$B$2:$B$1526,$A104))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IF($A105="","",COUNTIF(connections!$A$2:$A$1526,$A105)+COUNTIF(connections!$B$2:$B$1526,$A105))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IF($A106="","",COUNTIF(connections!$A$2:$A$1526,$A106)+COUNTIF(connections!$B$2:$B$1526,$A106))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IF($A107="","",COUNTIF(connections!$A$2:$A$1526,$A107)+COUNTIF(connections!$B$2:$B$1526,$A107))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IF($A108="","",COUNTIF(connections!$A$2:$A$1526,$A108)+COUNTIF(connections!$B$2:$B$1526,$A108))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IF($A109="","",COUNTIF(connections!$A$2:$A$1526,$A109)+COUNTIF(connections!$B$2:$B$1526,$A109))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IF($A110="","",COUNTIF(connections!$A$2:$A$1526,$A110)+COUNTIF(connections!$B$2:$B$1526,$A110))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IF($A111="","",COUNTIF(connections!$A$2:$A$1526,$A111)+COUNTIF(connections!$B$2:$B$1526,$A111))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IF($A112="","",COUNTIF(connections!$A$2:$A$1526,$A112)+COUNTIF(connections!$B$2:$B$1526,$A112))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IF($A113="","",COUNTIF(connections!$A$2:$A$1526,$A113)+COUNTIF(connections!$B$2:$B$1526,$A113))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IF($A114="","",COUNTIF(connections!$A$2:$A$1526,$A114)+COUNTIF(connections!$B$2:$B$1526,$A114))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IF($A115="","",COUNTIF(connections!$A$2:$A$1526,$A115)+COUNTIF(connections!$B$2:$B$1526,$A115))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IF($A116="","",COUNTIF(connections!$A$2:$A$1526,$A116)+COUNTIF(connections!$B$2:$B$1526,$A116))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IF($A117="","",COUNTIF(connections!$A$2:$A$1526,$A117)+COUNTIF(connections!$B$2:$B$1526,$A117))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IF($A118="","",COUNTIF(connections!$A$2:$A$1526,$A118)+COUNTIF(connections!$B$2:$B$1526,$A118))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IF($A119="","",COUNTIF(connections!$A$2:$A$1526,$A119)+COUNTIF(connections!$B$2:$B$1526,$A119))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IF($A120="","",COUNTIF(connections!$A$2:$A$1526,$A120)+COUNTIF(connections!$B$2:$B$1526,$A120))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IF($A121="","",COUNTIF(connections!$A$2:$A$1526,$A121)+COUNTIF(connections!$B$2:$B$1526,$A121))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IF($A122="","",COUNTIF(connections!$A$2:$A$1526,$A122)+COUNTIF(connections!$B$2:$B$1526,$A122))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IF($A123="","",COUNTIF(connections!$A$2:$A$1526,$A123)+COUNTIF(connections!$B$2:$B$1526,$A123))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IF($A124="","",COUNTIF(connections!$A$2:$A$1526,$A124)+COUNTIF(connections!$B$2:$B$1526,$A124))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IF($A125="","",COUNTIF(connections!$A$2:$A$1526,$A125)+COUNTIF(connections!$B$2:$B$1526,$A125))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IF($A126="","",COUNTIF(connections!$A$2:$A$1526,$A126)+COUNTIF(connections!$B$2:$B$1526,$A126))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IF($A127="","",COUNTIF(connections!$A$2:$A$1526,$A127)+COUNTIF(connections!$B$2:$B$1526,$A127))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IF($A128="","",COUNTIF(connections!$A$2:$A$1526,$A128)+COUNTIF(connections!$B$2:$B$1526,$A128))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IF($A129="","",COUNTIF(connections!$A$2:$A$1526,$A129)+COUNTIF(connections!$B$2:$B$1526,$A129))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IF($A130="","",COUNTIF(connections!$A$2:$A$1526,$A130)+COUNTIF(connections!$B$2:$B$1526,$A130))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IF($A131="","",COUNTIF(connections!$A$2:$A$1526,$A131)+COUNTIF(connections!$B$2:$B$1526,$A131))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IF($A132="","",COUNTIF(connections!$A$2:$A$1526,$A132)+COUNTIF(connections!$B$2:$B$1526,$A132))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IF($A133="","",COUNTIF(connections!$A$2:$A$1526,$A133)+COUNTIF(connections!$B$2:$B$1526,$A133))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IF($A134="","",COUNTIF(connections!$A$2:$A$1526,$A134)+COUNTIF(connections!$B$2:$B$1526,$A134))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IF($A135="","",COUNTIF(connections!$A$2:$A$1526,$A135)+COUNTIF(connections!$B$2:$B$1526,$A135))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IF($A136="","",COUNTIF(connections!$A$2:$A$1526,$A136)+COUNTIF(connections!$B$2:$B$1526,$A136))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IF($A137="","",COUNTIF(connections!$A$2:$A$1526,$A137)+COUNTIF(connections!$B$2:$B$1526,$A137))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IF($A138="","",COUNTIF(connections!$A$2:$A$1526,$A138)+COUNTIF(connections!$B$2:$B$1526,$A138))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IF($A139="","",COUNTIF(connections!$A$2:$A$1526,$A139)+COUNTIF(connections!$B$2:$B$1526,$A139))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IF($A140="","",COUNTIF(connections!$A$2:$A$1526,$A140)+COUNTIF(connections!$B$2:$B$1526,$A140))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IF($A141="","",COUNTIF(connections!$A$2:$A$1526,$A141)+COUNTIF(connections!$B$2:$B$1526,$A141))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IF($A142="","",COUNTIF(connections!$A$2:$A$1526,$A142)+COUNTIF(connections!$B$2:$B$1526,$A142))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IF($A143="","",COUNTIF(connections!$A$2:$A$1526,$A143)+COUNTIF(connections!$B$2:$B$1526,$A143))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IF($A144="","",COUNTIF(connections!$A$2:$A$1526,$A144)+COUNTIF(connections!$B$2:$B$1526,$A144))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IF($A145="","",COUNTIF(connections!$A$2:$A$1526,$A145)+COUNTIF(connections!$B$2:$B$1526,$A145))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IF($A146="","",COUNTIF(connections!$A$2:$A$1526,$A146)+COUNTIF(connections!$B$2:$B$1526,$A146))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IF($A147="","",COUNTIF(connections!$A$2:$A$1526,$A147)+COUNTIF(connections!$B$2:$B$1526,$A147))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IF($A148="","",COUNTIF(connections!$A$2:$A$1526,$A148)+COUNTIF(connections!$B$2:$B$1526,$A148))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IF($A149="","",COUNTIF(connections!$A$2:$A$1526,$A149)+COUNTIF(connections!$B$2:$B$1526,$A149))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IF($A150="","",COUNTIF(connections!$A$2:$A$1526,$A150)+COUNTIF(connections!$B$2:$B$1526,$A150))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IF($A151="","",COUNTIF(connections!$A$2:$A$1526,$A151)+COUNTIF(connections!$B$2:$B$1526,$A151))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IF($A152="","",COUNTIF(connections!$A$2:$A$1526,$A152)+COUNTIF(connections!$B$2:$B$1526,$A152))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IF($A153="","",COUNTIF(connections!$A$2:$A$1526,$A153)+COUNTIF(connections!$B$2:$B$1526,$A153))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IF($A154="","",COUNTIF(connections!$A$2:$A$1526,$A154)+COUNTIF(connections!$B$2:$B$1526,$A154))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IF($A155="","",COUNTIF(connections!$A$2:$A$1526,$A155)+COUNTIF(connections!$B$2:$B$1526,$A155))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IF($A156="","",COUNTIF(connections!$A$2:$A$1526,$A156)+COUNTIF(connections!$B$2:$B$1526,$A156))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IF($A157="","",COUNTIF(connections!$A$2:$A$1526,$A157)+COUNTIF(connections!$B$2:$B$1526,$A157))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IF($A158="","",COUNTIF(connections!$A$2:$A$1526,$A158)+COUNTIF(connections!$B$2:$B$1526,$A158))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IF($A159="","",COUNTIF(connections!$A$2:$A$1526,$A159)+COUNTIF(connections!$B$2:$B$1526,$A159))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IF($A160="","",COUNTIF(connections!$A$2:$A$1526,$A160)+COUNTIF(connections!$B$2:$B$1526,$A160))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IF($A161="","",COUNTIF(connections!$A$2:$A$1526,$A161)+COUNTIF(connections!$B$2:$B$1526,$A161))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IF($A162="","",COUNTIF(connections!$A$2:$A$1526,$A162)+COUNTIF(connections!$B$2:$B$1526,$A162))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IF($A163="","",COUNTIF(connections!$A$2:$A$1526,$A163)+COUNTIF(connections!$B$2:$B$1526,$A163))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IF($A164="","",COUNTIF(connections!$A$2:$A$1526,$A164)+COUNTIF(connections!$B$2:$B$1526,$A164))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IF($A165="","",COUNTIF(connections!$A$2:$A$1526,$A165)+COUNTIF(connections!$B$2:$B$1526,$A165))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IF($A166="","",COUNTIF(connections!$A$2:$A$1526,$A166)+COUNTIF(connections!$B$2:$B$1526,$A166))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IF($A167="","",COUNTIF(connections!$A$2:$A$1526,$A167)+COUNTIF(connections!$B$2:$B$1526,$A167))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IF($A168="","",COUNTIF(connections!$A$2:$A$1526,$A168)+COUNTIF(connections!$B$2:$B$1526,$A168))</f>
        <v>8</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8.0001680000000004</v>
      </c>
      <c r="P168" t="str">
        <f>IF(OR($A168="",games!$H168=""),"",games!$H168)</f>
        <v>Yes</v>
      </c>
      <c r="Q168">
        <f t="shared" si="37"/>
        <v>8.0001680000000004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IF($A169="","",COUNTIF(connections!$A$2:$A$1526,$A169)+COUNTIF(connections!$B$2:$B$1526,$A169))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IF($A170="","",COUNTIF(connections!$A$2:$A$1526,$A170)+COUNTIF(connections!$B$2:$B$1526,$A170))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IF($A171="","",COUNTIF(connections!$A$2:$A$1526,$A171)+COUNTIF(connections!$B$2:$B$1526,$A171))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IF($A172="","",COUNTIF(connections!$A$2:$A$1526,$A172)+COUNTIF(connections!$B$2:$B$1526,$A172))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IF($A173="","",COUNTIF(connections!$A$2:$A$1526,$A173)+COUNTIF(connections!$B$2:$B$1526,$A173))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IF($A174="","",COUNTIF(connections!$A$2:$A$1526,$A174)+COUNTIF(connections!$B$2:$B$1526,$A174))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IF($A175="","",COUNTIF(connections!$A$2:$A$1526,$A175)+COUNTIF(connections!$B$2:$B$1526,$A175))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IF($A176="","",COUNTIF(connections!$A$2:$A$1526,$A176)+COUNTIF(connections!$B$2:$B$1526,$A176))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IF($A177="","",COUNTIF(connections!$A$2:$A$1526,$A177)+COUNTIF(connections!$B$2:$B$1526,$A177))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IF($A178="","",COUNTIF(connections!$A$2:$A$1526,$A178)+COUNTIF(connections!$B$2:$B$1526,$A178))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IF($A179="","",COUNTIF(connections!$A$2:$A$1526,$A179)+COUNTIF(connections!$B$2:$B$1526,$A179))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IF($A180="","",COUNTIF(connections!$A$2:$A$1526,$A180)+COUNTIF(connections!$B$2:$B$1526,$A180))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IF($A181="","",COUNTIF(connections!$A$2:$A$1526,$A181)+COUNTIF(connections!$B$2:$B$1526,$A181))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IF($A182="","",COUNTIF(connections!$A$2:$A$1526,$A182)+COUNTIF(connections!$B$2:$B$1526,$A182))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IF($A183="","",COUNTIF(connections!$A$2:$A$1526,$A183)+COUNTIF(connections!$B$2:$B$1526,$A183))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IF($A184="","",COUNTIF(connections!$A$2:$A$1526,$A184)+COUNTIF(connections!$B$2:$B$1526,$A184))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IF($A185="","",COUNTIF(connections!$A$2:$A$1526,$A185)+COUNTIF(connections!$B$2:$B$1526,$A185))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IF($A186="","",COUNTIF(connections!$A$2:$A$1526,$A186)+COUNTIF(connections!$B$2:$B$1526,$A186))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IF($A187="","",COUNTIF(connections!$A$2:$A$1526,$A187)+COUNTIF(connections!$B$2:$B$1526,$A187))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IF($A188="","",COUNTIF(connections!$A$2:$A$1526,$A188)+COUNTIF(connections!$B$2:$B$1526,$A188))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IF($A189="","",COUNTIF(connections!$A$2:$A$1526,$A189)+COUNTIF(connections!$B$2:$B$1526,$A189))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IF($A190="","",COUNTIF(connections!$A$2:$A$1526,$A190)+COUNTIF(connections!$B$2:$B$1526,$A190))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IF($A191="","",COUNTIF(connections!$A$2:$A$1526,$A191)+COUNTIF(connections!$B$2:$B$1526,$A191))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IF($A192="","",COUNTIF(connections!$A$2:$A$1526,$A192)+COUNTIF(connections!$B$2:$B$1526,$A192))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IF($A193="","",COUNTIF(connections!$A$2:$A$1526,$A193)+COUNTIF(connections!$B$2:$B$1526,$A193))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IF($A194="","",COUNTIF(connections!$A$2:$A$1526,$A194)+COUNTIF(connections!$B$2:$B$1526,$A194))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IF($A195="","",COUNTIF(connections!$A$2:$A$1526,$A195)+COUNTIF(connections!$B$2:$B$1526,$A195))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IF($A196="","",COUNTIF(connections!$A$2:$A$1526,$A196)+COUNTIF(connections!$B$2:$B$1526,$A196))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IF($A197="","",COUNTIF(connections!$A$2:$A$1526,$A197)+COUNTIF(connections!$B$2:$B$1526,$A197))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IF($A198="","",COUNTIF(connections!$A$2:$A$1526,$A198)+COUNTIF(connections!$B$2:$B$1526,$A198))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IF($A199="","",COUNTIF(connections!$A$2:$A$1526,$A199)+COUNTIF(connections!$B$2:$B$1526,$A199))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IF($A200="","",COUNTIF(connections!$A$2:$A$1526,$A200)+COUNTIF(connections!$B$2:$B$1526,$A200))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IF($A201="","",COUNTIF(connections!$A$2:$A$1526,$A201)+COUNTIF(connections!$B$2:$B$1526,$A201))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IF($A202="","",COUNTIF(connections!$A$2:$A$1526,$A202)+COUNTIF(connections!$B$2:$B$1526,$A202))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IF($A203="","",COUNTIF(connections!$A$2:$A$1526,$A203)+COUNTIF(connections!$B$2:$B$1526,$A203))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IF($A204="","",COUNTIF(connections!$A$2:$A$1526,$A204)+COUNTIF(connections!$B$2:$B$1526,$A204))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IF($A205="","",COUNTIF(connections!$A$2:$A$1526,$A205)+COUNTIF(connections!$B$2:$B$1526,$A205))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IF($A206="","",COUNTIF(connections!$A$2:$A$1526,$A206)+COUNTIF(connections!$B$2:$B$1526,$A206))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IF($A207="","",COUNTIF(connections!$A$2:$A$1526,$A207)+COUNTIF(connections!$B$2:$B$1526,$A207))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IF($A208="","",COUNTIF(connections!$A$2:$A$1526,$A208)+COUNTIF(connections!$B$2:$B$1526,$A208))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IF($A209="","",COUNTIF(connections!$A$2:$A$1526,$A209)+COUNTIF(connections!$B$2:$B$1526,$A209))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IF($A210="","",COUNTIF(connections!$A$2:$A$1526,$A210)+COUNTIF(connections!$B$2:$B$1526,$A210))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IF($A211="","",COUNTIF(connections!$A$2:$A$1526,$A211)+COUNTIF(connections!$B$2:$B$1526,$A211))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IF($A212="","",COUNTIF(connections!$A$2:$A$1526,$A212)+COUNTIF(connections!$B$2:$B$1526,$A212))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IF($A213="","",COUNTIF(connections!$A$2:$A$1526,$A213)+COUNTIF(connections!$B$2:$B$1526,$A213))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IF($A214="","",COUNTIF(connections!$A$2:$A$1526,$A214)+COUNTIF(connections!$B$2:$B$1526,$A214))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IF($A215="","",COUNTIF(connections!$A$2:$A$1526,$A215)+COUNTIF(connections!$B$2:$B$1526,$A215))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IF($A216="","",COUNTIF(connections!$A$2:$A$1526,$A216)+COUNTIF(connections!$B$2:$B$1526,$A216))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IF($A217="","",COUNTIF(connections!$A$2:$A$1526,$A217)+COUNTIF(connections!$B$2:$B$1526,$A217))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IF($A218="","",COUNTIF(connections!$A$2:$A$1526,$A218)+COUNTIF(connections!$B$2:$B$1526,$A218))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IF($A219="","",COUNTIF(connections!$A$2:$A$1526,$A219)+COUNTIF(connections!$B$2:$B$1526,$A219))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IF($A220="","",COUNTIF(connections!$A$2:$A$1526,$A220)+COUNTIF(connections!$B$2:$B$1526,$A220))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IF($A221="","",COUNTIF(connections!$A$2:$A$1526,$A221)+COUNTIF(connections!$B$2:$B$1526,$A221))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IF($A222="","",COUNTIF(connections!$A$2:$A$1526,$A222)+COUNTIF(connections!$B$2:$B$1526,$A222))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IF($A223="","",COUNTIF(connections!$A$2:$A$1526,$A223)+COUNTIF(connections!$B$2:$B$1526,$A223))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IF($A224="","",COUNTIF(connections!$A$2:$A$1526,$A224)+COUNTIF(connections!$B$2:$B$1526,$A224))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IF($A225="","",COUNTIF(connections!$A$2:$A$1526,$A225)+COUNTIF(connections!$B$2:$B$1526,$A225))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IF($A226="","",COUNTIF(connections!$A$2:$A$1526,$A226)+COUNTIF(connections!$B$2:$B$1526,$A226))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IF($A227="","",COUNTIF(connections!$A$2:$A$1526,$A227)+COUNTIF(connections!$B$2:$B$1526,$A227))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IF($A228="","",COUNTIF(connections!$A$2:$A$1526,$A228)+COUNTIF(connections!$B$2:$B$1526,$A228))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IF($A229="","",COUNTIF(connections!$A$2:$A$1526,$A229)+COUNTIF(connections!$B$2:$B$1526,$A229))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IF($A230="","",COUNTIF(connections!$A$2:$A$1526,$A230)+COUNTIF(connections!$B$2:$B$1526,$A230))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IF($A231="","",COUNTIF(connections!$A$2:$A$1526,$A231)+COUNTIF(connections!$B$2:$B$1526,$A231))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IF($A232="","",COUNTIF(connections!$A$2:$A$1526,$A232)+COUNTIF(connections!$B$2:$B$1526,$A232))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IF($A233="","",COUNTIF(connections!$A$2:$A$1526,$A233)+COUNTIF(connections!$B$2:$B$1526,$A233))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IF($A234="","",COUNTIF(connections!$A$2:$A$1526,$A234)+COUNTIF(connections!$B$2:$B$1526,$A234))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IF($A235="","",COUNTIF(connections!$A$2:$A$1526,$A235)+COUNTIF(connections!$B$2:$B$1526,$A235))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IF($A236="","",COUNTIF(connections!$A$2:$A$1526,$A236)+COUNTIF(connections!$B$2:$B$1526,$A236))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IF($A237="","",COUNTIF(connections!$A$2:$A$1526,$A237)+COUNTIF(connections!$B$2:$B$1526,$A237))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IF($A238="","",COUNTIF(connections!$A$2:$A$1526,$A238)+COUNTIF(connections!$B$2:$B$1526,$A238))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IF($A239="","",COUNTIF(connections!$A$2:$A$1526,$A239)+COUNTIF(connections!$B$2:$B$1526,$A239))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IF($A240="","",COUNTIF(connections!$A$2:$A$1526,$A240)+COUNTIF(connections!$B$2:$B$1526,$A240))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IF($A241="","",COUNTIF(connections!$A$2:$A$1526,$A241)+COUNTIF(connections!$B$2:$B$1526,$A241))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IF($A242="","",COUNTIF(connections!$A$2:$A$1526,$A242)+COUNTIF(connections!$B$2:$B$1526,$A242))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IF($A243="","",COUNTIF(connections!$A$2:$A$1526,$A243)+COUNTIF(connections!$B$2:$B$1526,$A243))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IF($A244="","",COUNTIF(connections!$A$2:$A$1526,$A244)+COUNTIF(connections!$B$2:$B$1526,$A244))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IF($A245="","",COUNTIF(connections!$A$2:$A$1526,$A245)+COUNTIF(connections!$B$2:$B$1526,$A245))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IF($A246="","",COUNTIF(connections!$A$2:$A$1526,$A246)+COUNTIF(connections!$B$2:$B$1526,$A246))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IF($A247="","",COUNTIF(connections!$A$2:$A$1526,$A247)+COUNTIF(connections!$B$2:$B$1526,$A247))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IF($A248="","",COUNTIF(connections!$A$2:$A$1526,$A248)+COUNTIF(connections!$B$2:$B$1526,$A248))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IF($A249="","",COUNTIF(connections!$A$2:$A$1526,$A249)+COUNTIF(connections!$B$2:$B$1526,$A249))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IF($A250="","",COUNTIF(connections!$A$2:$A$1526,$A250)+COUNTIF(connections!$B$2:$B$1526,$A250))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IF($A251="","",COUNTIF(connections!$A$2:$A$1526,$A251)+COUNTIF(connections!$B$2:$B$1526,$A251))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IF($A252="","",COUNTIF(connections!$A$2:$A$1526,$A252)+COUNTIF(connections!$B$2:$B$1526,$A252))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IF($A253="","",COUNTIF(connections!$A$2:$A$1526,$A253)+COUNTIF(connections!$B$2:$B$1526,$A253))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IF($A254="","",COUNTIF(connections!$A$2:$A$1526,$A254)+COUNTIF(connections!$B$2:$B$1526,$A254))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IF($A255="","",COUNTIF(connections!$A$2:$A$1526,$A255)+COUNTIF(connections!$B$2:$B$1526,$A255))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IF($A256="","",COUNTIF(connections!$A$2:$A$1526,$A256)+COUNTIF(connections!$B$2:$B$1526,$A256))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IF($A257="","",COUNTIF(connections!$A$2:$A$1526,$A257)+COUNTIF(connections!$B$2:$B$1526,$A257))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IF($A258="","",COUNTIF(connections!$A$2:$A$1526,$A258)+COUNTIF(connections!$B$2:$B$1526,$A258))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IF($A259="","",COUNTIF(connections!$A$2:$A$1526,$A259)+COUNTIF(connections!$B$2:$B$1526,$A259))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IF($A260="","",COUNTIF(connections!$A$2:$A$1526,$A260)+COUNTIF(connections!$B$2:$B$1526,$A260))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IF($A261="","",COUNTIF(connections!$A$2:$A$1526,$A261)+COUNTIF(connections!$B$2:$B$1526,$A261))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IF($A262="","",COUNTIF(connections!$A$2:$A$1526,$A262)+COUNTIF(connections!$B$2:$B$1526,$A262))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IF($A263="","",COUNTIF(connections!$A$2:$A$1526,$A263)+COUNTIF(connections!$B$2:$B$1526,$A263))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IF($A264="","",COUNTIF(connections!$A$2:$A$1526,$A264)+COUNTIF(connections!$B$2:$B$1526,$A264))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IF($A265="","",COUNTIF(connections!$A$2:$A$1526,$A265)+COUNTIF(connections!$B$2:$B$1526,$A265))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IF($A266="","",COUNTIF(connections!$A$2:$A$1526,$A266)+COUNTIF(connections!$B$2:$B$1526,$A266))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IF($A267="","",COUNTIF(connections!$A$2:$A$1526,$A267)+COUNTIF(connections!$B$2:$B$1526,$A267))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IF($A268="","",COUNTIF(connections!$A$2:$A$1526,$A268)+COUNTIF(connections!$B$2:$B$1526,$A268))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IF($A269="","",COUNTIF(connections!$A$2:$A$1526,$A269)+COUNTIF(connections!$B$2:$B$1526,$A269))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IF($A270="","",COUNTIF(connections!$A$2:$A$1526,$A270)+COUNTIF(connections!$B$2:$B$1526,$A270))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IF($A271="","",COUNTIF(connections!$A$2:$A$1526,$A271)+COUNTIF(connections!$B$2:$B$1526,$A271))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IF($A272="","",COUNTIF(connections!$A$2:$A$1526,$A272)+COUNTIF(connections!$B$2:$B$1526,$A272))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IF($A273="","",COUNTIF(connections!$A$2:$A$1526,$A273)+COUNTIF(connections!$B$2:$B$1526,$A273))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IF($A274="","",COUNTIF(connections!$A$2:$A$1526,$A274)+COUNTIF(connections!$B$2:$B$1526,$A274))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IF($A275="","",COUNTIF(connections!$A$2:$A$1526,$A275)+COUNTIF(connections!$B$2:$B$1526,$A275))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IF($A276="","",COUNTIF(connections!$A$2:$A$1526,$A276)+COUNTIF(connections!$B$2:$B$1526,$A276))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IF($A277="","",COUNTIF(connections!$A$2:$A$1526,$A277)+COUNTIF(connections!$B$2:$B$1526,$A277))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IF($A278="","",COUNTIF(connections!$A$2:$A$1526,$A278)+COUNTIF(connections!$B$2:$B$1526,$A278))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IF($A279="","",COUNTIF(connections!$A$2:$A$1526,$A279)+COUNTIF(connections!$B$2:$B$1526,$A279))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IF($A280="","",COUNTIF(connections!$A$2:$A$1526,$A280)+COUNTIF(connections!$B$2:$B$1526,$A280))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IF($A281="","",COUNTIF(connections!$A$2:$A$1526,$A281)+COUNTIF(connections!$B$2:$B$1526,$A281))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IF($A282="","",COUNTIF(connections!$A$2:$A$1526,$A282)+COUNTIF(connections!$B$2:$B$1526,$A282))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IF($A283="","",COUNTIF(connections!$A$2:$A$1526,$A283)+COUNTIF(connections!$B$2:$B$1526,$A283))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IF($A284="","",COUNTIF(connections!$A$2:$A$1526,$A284)+COUNTIF(connections!$B$2:$B$1526,$A284))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IF($A285="","",COUNTIF(connections!$A$2:$A$1526,$A285)+COUNTIF(connections!$B$2:$B$1526,$A285))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IF($A286="","",COUNTIF(connections!$A$2:$A$1526,$A286)+COUNTIF(connections!$B$2:$B$1526,$A286))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IF($A287="","",COUNTIF(connections!$A$2:$A$1526,$A287)+COUNTIF(connections!$B$2:$B$1526,$A287))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IF($A288="","",COUNTIF(connections!$A$2:$A$1526,$A288)+COUNTIF(connections!$B$2:$B$1526,$A288))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IF($A289="","",COUNTIF(connections!$A$2:$A$1526,$A289)+COUNTIF(connections!$B$2:$B$1526,$A289))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IF($A290="","",COUNTIF(connections!$A$2:$A$1526,$A290)+COUNTIF(connections!$B$2:$B$1526,$A290))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IF($A291="","",COUNTIF(connections!$A$2:$A$1526,$A291)+COUNTIF(connections!$B$2:$B$1526,$A291))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IF($A292="","",COUNTIF(connections!$A$2:$A$1526,$A292)+COUNTIF(connections!$B$2:$B$1526,$A292))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IF($A293="","",COUNTIF(connections!$A$2:$A$1526,$A293)+COUNTIF(connections!$B$2:$B$1526,$A293))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IF($A294="","",COUNTIF(connections!$A$2:$A$1526,$A294)+COUNTIF(connections!$B$2:$B$1526,$A294))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IF($A295="","",COUNTIF(connections!$A$2:$A$1526,$A295)+COUNTIF(connections!$B$2:$B$1526,$A295))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IF($A296="","",COUNTIF(connections!$A$2:$A$1526,$A296)+COUNTIF(connections!$B$2:$B$1526,$A296))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IF($A297="","",COUNTIF(connections!$A$2:$A$1526,$A297)+COUNTIF(connections!$B$2:$B$1526,$A297))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IF($A298="","",COUNTIF(connections!$A$2:$A$1526,$A298)+COUNTIF(connections!$B$2:$B$1526,$A298))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IF($A299="","",COUNTIF(connections!$A$2:$A$1526,$A299)+COUNTIF(connections!$B$2:$B$1526,$A299))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IF($A300="","",COUNTIF(connections!$A$2:$A$1526,$A300)+COUNTIF(connections!$B$2:$B$1526,$A300))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IF($A301="","",COUNTIF(connections!$A$2:$A$1526,$A301)+COUNTIF(connections!$B$2:$B$1526,$A301))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IF($A302="","",COUNTIF(connections!$A$2:$A$1526,$A302)+COUNTIF(connections!$B$2:$B$1526,$A302))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IF($A303="","",COUNTIF(connections!$A$2:$A$1526,$A303)+COUNTIF(connections!$B$2:$B$1526,$A303))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IF($A304="","",COUNTIF(connections!$A$2:$A$1526,$A304)+COUNTIF(connections!$B$2:$B$1526,$A304))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IF($A305="","",COUNTIF(connections!$A$2:$A$1526,$A305)+COUNTIF(connections!$B$2:$B$1526,$A305))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IF($A306="","",COUNTIF(connections!$A$2:$A$1526,$A306)+COUNTIF(connections!$B$2:$B$1526,$A306))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IF($A307="","",COUNTIF(connections!$A$2:$A$1526,$A307)+COUNTIF(connections!$B$2:$B$1526,$A307))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IF($A308="","",COUNTIF(connections!$A$2:$A$1526,$A308)+COUNTIF(connections!$B$2:$B$1526,$A308))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IF($A309="","",COUNTIF(connections!$A$2:$A$1526,$A309)+COUNTIF(connections!$B$2:$B$1526,$A309))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IF($A310="","",COUNTIF(connections!$A$2:$A$1526,$A310)+COUNTIF(connections!$B$2:$B$1526,$A310))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IF($A311="","",COUNTIF(connections!$A$2:$A$1526,$A311)+COUNTIF(connections!$B$2:$B$1526,$A311))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IF($A312="","",COUNTIF(connections!$A$2:$A$1526,$A312)+COUNTIF(connections!$B$2:$B$1526,$A312))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IF($A313="","",COUNTIF(connections!$A$2:$A$1526,$A313)+COUNTIF(connections!$B$2:$B$1526,$A313))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IF($A314="","",COUNTIF(connections!$A$2:$A$1526,$A314)+COUNTIF(connections!$B$2:$B$1526,$A314))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IF($A315="","",COUNTIF(connections!$A$2:$A$1526,$A315)+COUNTIF(connections!$B$2:$B$1526,$A315))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IF($A316="","",COUNTIF(connections!$A$2:$A$1526,$A316)+COUNTIF(connections!$B$2:$B$1526,$A316))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IF($A317="","",COUNTIF(connections!$A$2:$A$1526,$A317)+COUNTIF(connections!$B$2:$B$1526,$A317))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IF($A318="","",COUNTIF(connections!$A$2:$A$1526,$A318)+COUNTIF(connections!$B$2:$B$1526,$A318))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IF($A319="","",COUNTIF(connections!$A$2:$A$1526,$A319)+COUNTIF(connections!$B$2:$B$1526,$A319))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IF($A320="","",COUNTIF(connections!$A$2:$A$1526,$A320)+COUNTIF(connections!$B$2:$B$1526,$A320))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IF($A321="","",COUNTIF(connections!$A$2:$A$1526,$A321)+COUNTIF(connections!$B$2:$B$1526,$A321))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IF($A322="","",COUNTIF(connections!$A$2:$A$1526,$A322)+COUNTIF(connections!$B$2:$B$1526,$A322))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IF($A323="","",COUNTIF(connections!$A$2:$A$1526,$A323)+COUNTIF(connections!$B$2:$B$1526,$A323))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IF($A324="","",COUNTIF(connections!$A$2:$A$1526,$A324)+COUNTIF(connections!$B$2:$B$1526,$A324))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IF($A325="","",COUNTIF(connections!$A$2:$A$1526,$A325)+COUNTIF(connections!$B$2:$B$1526,$A325))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IF($A326="","",COUNTIF(connections!$A$2:$A$1526,$A326)+COUNTIF(connections!$B$2:$B$1526,$A326))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IF($A327="","",COUNTIF(connections!$A$2:$A$1526,$A327)+COUNTIF(connections!$B$2:$B$1526,$A327))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IF($A328="","",COUNTIF(connections!$A$2:$A$1526,$A328)+COUNTIF(connections!$B$2:$B$1526,$A328))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IF($A329="","",COUNTIF(connections!$A$2:$A$1526,$A329)+COUNTIF(connections!$B$2:$B$1526,$A329))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IF($A330="","",COUNTIF(connections!$A$2:$A$1526,$A330)+COUNTIF(connections!$B$2:$B$1526,$A330))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IF($A331="","",COUNTIF(connections!$A$2:$A$1526,$A331)+COUNTIF(connections!$B$2:$B$1526,$A331))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IF($A332="","",COUNTIF(connections!$A$2:$A$1526,$A332)+COUNTIF(connections!$B$2:$B$1526,$A332))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IF($A333="","",COUNTIF(connections!$A$2:$A$1526,$A333)+COUNTIF(connections!$B$2:$B$1526,$A333))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IF($A334="","",COUNTIF(connections!$A$2:$A$1526,$A334)+COUNTIF(connections!$B$2:$B$1526,$A334))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IF($A335="","",COUNTIF(connections!$A$2:$A$1526,$A335)+COUNTIF(connections!$B$2:$B$1526,$A335))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IF($A336="","",COUNTIF(connections!$A$2:$A$1526,$A336)+COUNTIF(connections!$B$2:$B$1526,$A336))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IF($A337="","",COUNTIF(connections!$A$2:$A$1526,$A337)+COUNTIF(connections!$B$2:$B$1526,$A337))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IF($A338="","",COUNTIF(connections!$A$2:$A$1526,$A338)+COUNTIF(connections!$B$2:$B$1526,$A338))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IF($A339="","",COUNTIF(connections!$A$2:$A$1526,$A339)+COUNTIF(connections!$B$2:$B$1526,$A339))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IF($A340="","",COUNTIF(connections!$A$2:$A$1526,$A340)+COUNTIF(connections!$B$2:$B$1526,$A340))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IF($A341="","",COUNTIF(connections!$A$2:$A$1526,$A341)+COUNTIF(connections!$B$2:$B$1526,$A341))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IF($A342="","",COUNTIF(connections!$A$2:$A$1526,$A342)+COUNTIF(connections!$B$2:$B$1526,$A342))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IF($A343="","",COUNTIF(connections!$A$2:$A$1526,$A343)+COUNTIF(connections!$B$2:$B$1526,$A343))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IF($A344="","",COUNTIF(connections!$A$2:$A$1526,$A344)+COUNTIF(connections!$B$2:$B$1526,$A344))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IF($A345="","",COUNTIF(connections!$A$2:$A$1526,$A345)+COUNTIF(connections!$B$2:$B$1526,$A345))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IF($A346="","",COUNTIF(connections!$A$2:$A$1526,$A346)+COUNTIF(connections!$B$2:$B$1526,$A346))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IF($A347="","",COUNTIF(connections!$A$2:$A$1526,$A347)+COUNTIF(connections!$B$2:$B$1526,$A347))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IF($A348="","",COUNTIF(connections!$A$2:$A$1526,$A348)+COUNTIF(connections!$B$2:$B$1526,$A348))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IF($A349="","",COUNTIF(connections!$A$2:$A$1526,$A349)+COUNTIF(connections!$B$2:$B$1526,$A349))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IF($A350="","",COUNTIF(connections!$A$2:$A$1526,$A350)+COUNTIF(connections!$B$2:$B$1526,$A350))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IF($A351="","",COUNTIF(connections!$A$2:$A$1526,$A351)+COUNTIF(connections!$B$2:$B$1526,$A351))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IF($A352="","",COUNTIF(connections!$A$2:$A$1526,$A352)+COUNTIF(connections!$B$2:$B$1526,$A352))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IF($A353="","",COUNTIF(connections!$A$2:$A$1526,$A353)+COUNTIF(connections!$B$2:$B$1526,$A353))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IF($A354="","",COUNTIF(connections!$A$2:$A$1526,$A354)+COUNTIF(connections!$B$2:$B$1526,$A354))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IF($A355="","",COUNTIF(connections!$A$2:$A$1526,$A355)+COUNTIF(connections!$B$2:$B$1526,$A355))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IF($A356="","",COUNTIF(connections!$A$2:$A$1526,$A356)+COUNTIF(connections!$B$2:$B$1526,$A356))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IF($A357="","",COUNTIF(connections!$A$2:$A$1526,$A357)+COUNTIF(connections!$B$2:$B$1526,$A357))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IF($A358="","",COUNTIF(connections!$A$2:$A$1526,$A358)+COUNTIF(connections!$B$2:$B$1526,$A358))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IF($A359="","",COUNTIF(connections!$A$2:$A$1526,$A359)+COUNTIF(connections!$B$2:$B$1526,$A359))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IF($A360="","",COUNTIF(connections!$A$2:$A$1526,$A360)+COUNTIF(connections!$B$2:$B$1526,$A360))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IF($A361="","",COUNTIF(connections!$A$2:$A$1526,$A361)+COUNTIF(connections!$B$2:$B$1526,$A361))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IF($A362="","",COUNTIF(connections!$A$2:$A$1526,$A362)+COUNTIF(connections!$B$2:$B$1526,$A362))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IF($A363="","",COUNTIF(connections!$A$2:$A$1526,$A363)+COUNTIF(connections!$B$2:$B$1526,$A363))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IF($A364="","",COUNTIF(connections!$A$2:$A$1526,$A364)+COUNTIF(connections!$B$2:$B$1526,$A364))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IF($A365="","",COUNTIF(connections!$A$2:$A$1526,$A365)+COUNTIF(connections!$B$2:$B$1526,$A365))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IF($A366="","",COUNTIF(connections!$A$2:$A$1526,$A366)+COUNTIF(connections!$B$2:$B$1526,$A366))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IF($A367="","",COUNTIF(connections!$A$2:$A$1526,$A367)+COUNTIF(connections!$B$2:$B$1526,$A367))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IF($A368="","",COUNTIF(connections!$A$2:$A$1526,$A368)+COUNTIF(connections!$B$2:$B$1526,$A368))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IF($A369="","",COUNTIF(connections!$A$2:$A$1526,$A369)+COUNTIF(connections!$B$2:$B$1526,$A369))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IF($A370="","",COUNTIF(connections!$A$2:$A$1526,$A370)+COUNTIF(connections!$B$2:$B$1526,$A370))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IF($A371="","",COUNTIF(connections!$A$2:$A$1526,$A371)+COUNTIF(connections!$B$2:$B$1526,$A371))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IF($A372="","",COUNTIF(connections!$A$2:$A$1526,$A372)+COUNTIF(connections!$B$2:$B$1526,$A372))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IF($A373="","",COUNTIF(connections!$A$2:$A$1526,$A373)+COUNTIF(connections!$B$2:$B$1526,$A373))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IF($A374="","",COUNTIF(connections!$A$2:$A$1526,$A374)+COUNTIF(connections!$B$2:$B$1526,$A374))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IF($A375="","",COUNTIF(connections!$A$2:$A$1526,$A375)+COUNTIF(connections!$B$2:$B$1526,$A375))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IF($A376="","",COUNTIF(connections!$A$2:$A$1526,$A376)+COUNTIF(connections!$B$2:$B$1526,$A376))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IF($A377="","",COUNTIF(connections!$A$2:$A$1526,$A377)+COUNTIF(connections!$B$2:$B$1526,$A377))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IF($A378="","",COUNTIF(connections!$A$2:$A$1526,$A378)+COUNTIF(connections!$B$2:$B$1526,$A378))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IF($A379="","",COUNTIF(connections!$A$2:$A$1526,$A379)+COUNTIF(connections!$B$2:$B$1526,$A379))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IF($A380="","",COUNTIF(connections!$A$2:$A$1526,$A380)+COUNTIF(connections!$B$2:$B$1526,$A380))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IF($A381="","",COUNTIF(connections!$A$2:$A$1526,$A381)+COUNTIF(connections!$B$2:$B$1526,$A381))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IF($A382="","",COUNTIF(connections!$A$2:$A$1526,$A382)+COUNTIF(connections!$B$2:$B$1526,$A382))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IF($A383="","",COUNTIF(connections!$A$2:$A$1526,$A383)+COUNTIF(connections!$B$2:$B$1526,$A383))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IF($A384="","",COUNTIF(connections!$A$2:$A$1526,$A384)+COUNTIF(connections!$B$2:$B$1526,$A384))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IF($A385="","",COUNTIF(connections!$A$2:$A$1526,$A385)+COUNTIF(connections!$B$2:$B$1526,$A385))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IF($A386="","",COUNTIF(connections!$A$2:$A$1526,$A386)+COUNTIF(connections!$B$2:$B$1526,$A386))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IF($A387="","",COUNTIF(connections!$A$2:$A$1526,$A387)+COUNTIF(connections!$B$2:$B$1526,$A387))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IF($A388="","",COUNTIF(connections!$A$2:$A$1526,$A388)+COUNTIF(connections!$B$2:$B$1526,$A388))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IF($A389="","",COUNTIF(connections!$A$2:$A$1526,$A389)+COUNTIF(connections!$B$2:$B$1526,$A389))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IF($A390="","",COUNTIF(connections!$A$2:$A$1526,$A390)+COUNTIF(connections!$B$2:$B$1526,$A390))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IF($A391="","",COUNTIF(connections!$A$2:$A$1526,$A391)+COUNTIF(connections!$B$2:$B$1526,$A391))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IF($A392="","",COUNTIF(connections!$A$2:$A$1526,$A392)+COUNTIF(connections!$B$2:$B$1526,$A392))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IF($A393="","",COUNTIF(connections!$A$2:$A$1526,$A393)+COUNTIF(connections!$B$2:$B$1526,$A393))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IF($A394="","",COUNTIF(connections!$A$2:$A$1526,$A394)+COUNTIF(connections!$B$2:$B$1526,$A394))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IF($A395="","",COUNTIF(connections!$A$2:$A$1526,$A395)+COUNTIF(connections!$B$2:$B$1526,$A395))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IF($A396="","",COUNTIF(connections!$A$2:$A$1526,$A396)+COUNTIF(connections!$B$2:$B$1526,$A396))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IF($A397="","",COUNTIF(connections!$A$2:$A$1526,$A397)+COUNTIF(connections!$B$2:$B$1526,$A397))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IF($A398="","",COUNTIF(connections!$A$2:$A$1526,$A398)+COUNTIF(connections!$B$2:$B$1526,$A398))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IF($A399="","",COUNTIF(connections!$A$2:$A$1526,$A399)+COUNTIF(connections!$B$2:$B$1526,$A399))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IF($A400="","",COUNTIF(connections!$A$2:$A$1526,$A400)+COUNTIF(connections!$B$2:$B$1526,$A400))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IF($A401="","",COUNTIF(connections!$A$2:$A$1526,$A401)+COUNTIF(connections!$B$2:$B$1526,$A401))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IF($A402="","",COUNTIF(connections!$A$2:$A$1526,$A402)+COUNTIF(connections!$B$2:$B$1526,$A402))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IF($A403="","",COUNTIF(connections!$A$2:$A$1526,$A403)+COUNTIF(connections!$B$2:$B$1526,$A403))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IF($A404="","",COUNTIF(connections!$A$2:$A$1526,$A404)+COUNTIF(connections!$B$2:$B$1526,$A404))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IF($A405="","",COUNTIF(connections!$A$2:$A$1526,$A405)+COUNTIF(connections!$B$2:$B$1526,$A405))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IF($A406="","",COUNTIF(connections!$A$2:$A$1526,$A406)+COUNTIF(connections!$B$2:$B$1526,$A406))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IF($A407="","",COUNTIF(connections!$A$2:$A$1526,$A407)+COUNTIF(connections!$B$2:$B$1526,$A407))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IF($A408="","",COUNTIF(connections!$A$2:$A$1526,$A408)+COUNTIF(connections!$B$2:$B$1526,$A408))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IF($A409="","",COUNTIF(connections!$A$2:$A$1526,$A409)+COUNTIF(connections!$B$2:$B$1526,$A409))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IF($A410="","",COUNTIF(connections!$A$2:$A$1526,$A410)+COUNTIF(connections!$B$2:$B$1526,$A410))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IF($A411="","",COUNTIF(connections!$A$2:$A$1526,$A411)+COUNTIF(connections!$B$2:$B$1526,$A411))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IF($A412="","",COUNTIF(connections!$A$2:$A$1526,$A412)+COUNTIF(connections!$B$2:$B$1526,$A412))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IF($A413="","",COUNTIF(connections!$A$2:$A$1526,$A413)+COUNTIF(connections!$B$2:$B$1526,$A413))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IF($A414="","",COUNTIF(connections!$A$2:$A$1526,$A414)+COUNTIF(connections!$B$2:$B$1526,$A414))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IF($A415="","",COUNTIF(connections!$A$2:$A$1526,$A415)+COUNTIF(connections!$B$2:$B$1526,$A415))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IF($A416="","",COUNTIF(connections!$A$2:$A$1526,$A416)+COUNTIF(connections!$B$2:$B$1526,$A416))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IF($A417="","",COUNTIF(connections!$A$2:$A$1526,$A417)+COUNTIF(connections!$B$2:$B$1526,$A417))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IF($A418="","",COUNTIF(connections!$A$2:$A$1526,$A418)+COUNTIF(connections!$B$2:$B$1526,$A418))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IF($A419="","",COUNTIF(connections!$A$2:$A$1526,$A419)+COUNTIF(connections!$B$2:$B$1526,$A419))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IF($A420="","",COUNTIF(connections!$A$2:$A$1526,$A420)+COUNTIF(connections!$B$2:$B$1526,$A420))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IF($A421="","",COUNTIF(connections!$A$2:$A$1526,$A421)+COUNTIF(connections!$B$2:$B$1526,$A421))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IF($A422="","",COUNTIF(connections!$A$2:$A$1526,$A422)+COUNTIF(connections!$B$2:$B$1526,$A422))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IF($A423="","",COUNTIF(connections!$A$2:$A$1526,$A423)+COUNTIF(connections!$B$2:$B$1526,$A423))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IF($A424="","",COUNTIF(connections!$A$2:$A$1526,$A424)+COUNTIF(connections!$B$2:$B$1526,$A424))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IF($A425="","",COUNTIF(connections!$A$2:$A$1526,$A425)+COUNTIF(connections!$B$2:$B$1526,$A425))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IF($A426="","",COUNTIF(connections!$A$2:$A$1526,$A426)+COUNTIF(connections!$B$2:$B$1526,$A426))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IF($A427="","",COUNTIF(connections!$A$2:$A$1526,$A427)+COUNTIF(connections!$B$2:$B$1526,$A427))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IF($A428="","",COUNTIF(connections!$A$2:$A$1526,$A428)+COUNTIF(connections!$B$2:$B$1526,$A428))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IF($A429="","",COUNTIF(connections!$A$2:$A$1526,$A429)+COUNTIF(connections!$B$2:$B$1526,$A429))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IF($A430="","",COUNTIF(connections!$A$2:$A$1526,$A430)+COUNTIF(connections!$B$2:$B$1526,$A430))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IF($A431="","",COUNTIF(connections!$A$2:$A$1526,$A431)+COUNTIF(connections!$B$2:$B$1526,$A431))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IF($A432="","",COUNTIF(connections!$A$2:$A$1526,$A432)+COUNTIF(connections!$B$2:$B$1526,$A432))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IF($A433="","",COUNTIF(connections!$A$2:$A$1526,$A433)+COUNTIF(connections!$B$2:$B$1526,$A433))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IF($A434="","",COUNTIF(connections!$A$2:$A$1526,$A434)+COUNTIF(connections!$B$2:$B$1526,$A434))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IF($A435="","",COUNTIF(connections!$A$2:$A$1526,$A435)+COUNTIF(connections!$B$2:$B$1526,$A435))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IF($A436="","",COUNTIF(connections!$A$2:$A$1526,$A436)+COUNTIF(connections!$B$2:$B$1526,$A436))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IF($A437="","",COUNTIF(connections!$A$2:$A$1526,$A437)+COUNTIF(connections!$B$2:$B$1526,$A437))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IF($A438="","",COUNTIF(connections!$A$2:$A$1526,$A438)+COUNTIF(connections!$B$2:$B$1526,$A438))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IF($A439="","",COUNTIF(connections!$A$2:$A$1526,$A439)+COUNTIF(connections!$B$2:$B$1526,$A439))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IF($A440="","",COUNTIF(connections!$A$2:$A$1526,$A440)+COUNTIF(connections!$B$2:$B$1526,$A440))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IF($A441="","",COUNTIF(connections!$A$2:$A$1526,$A441)+COUNTIF(connections!$B$2:$B$1526,$A441))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IF($A442="","",COUNTIF(connections!$A$2:$A$1526,$A442)+COUNTIF(connections!$B$2:$B$1526,$A442))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IF($A443="","",COUNTIF(connections!$A$2:$A$1526,$A443)+COUNTIF(connections!$B$2:$B$1526,$A443))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IF($A444="","",COUNTIF(connections!$A$2:$A$1526,$A444)+COUNTIF(connections!$B$2:$B$1526,$A444))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IF($A445="","",COUNTIF(connections!$A$2:$A$1526,$A445)+COUNTIF(connections!$B$2:$B$1526,$A445))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IF($A446="","",COUNTIF(connections!$A$2:$A$1526,$A446)+COUNTIF(connections!$B$2:$B$1526,$A446))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IF($A447="","",COUNTIF(connections!$A$2:$A$1526,$A447)+COUNTIF(connections!$B$2:$B$1526,$A447))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IF($A448="","",COUNTIF(connections!$A$2:$A$1526,$A448)+COUNTIF(connections!$B$2:$B$1526,$A448))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IF($A449="","",COUNTIF(connections!$A$2:$A$1526,$A449)+COUNTIF(connections!$B$2:$B$1526,$A449))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IF($A450="","",COUNTIF(connections!$A$2:$A$1526,$A450)+COUNTIF(connections!$B$2:$B$1526,$A450))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IF($A451="","",COUNTIF(connections!$A$2:$A$1526,$A451)+COUNTIF(connections!$B$2:$B$1526,$A451))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IF($A452="","",COUNTIF(connections!$A$2:$A$1526,$A452)+COUNTIF(connections!$B$2:$B$1526,$A452))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IF($A453="","",COUNTIF(connections!$A$2:$A$1526,$A453)+COUNTIF(connections!$B$2:$B$1526,$A453))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IF($A454="","",COUNTIF(connections!$A$2:$A$1526,$A454)+COUNTIF(connections!$B$2:$B$1526,$A454))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IF($A455="","",COUNTIF(connections!$A$2:$A$1526,$A455)+COUNTIF(connections!$B$2:$B$1526,$A455))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IF($A456="","",COUNTIF(connections!$A$2:$A$1526,$A456)+COUNTIF(connections!$B$2:$B$1526,$A456))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IF($A457="","",COUNTIF(connections!$A$2:$A$1526,$A457)+COUNTIF(connections!$B$2:$B$1526,$A457))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IF($A458="","",COUNTIF(connections!$A$2:$A$1526,$A458)+COUNTIF(connections!$B$2:$B$1526,$A458))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IF($A459="","",COUNTIF(connections!$A$2:$A$1526,$A459)+COUNTIF(connections!$B$2:$B$1526,$A459))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IF($A460="","",COUNTIF(connections!$A$2:$A$1526,$A460)+COUNTIF(connections!$B$2:$B$1526,$A460))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IF($A461="","",COUNTIF(connections!$A$2:$A$1526,$A461)+COUNTIF(connections!$B$2:$B$1526,$A461))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IF($A462="","",COUNTIF(connections!$A$2:$A$1526,$A462)+COUNTIF(connections!$B$2:$B$1526,$A462))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IF($A463="","",COUNTIF(connections!$A$2:$A$1526,$A463)+COUNTIF(connections!$B$2:$B$1526,$A463))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IF($A464="","",COUNTIF(connections!$A$2:$A$1526,$A464)+COUNTIF(connections!$B$2:$B$1526,$A464))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IF($A465="","",COUNTIF(connections!$A$2:$A$1526,$A465)+COUNTIF(connections!$B$2:$B$1526,$A465))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IF($A466="","",COUNTIF(connections!$A$2:$A$1526,$A466)+COUNTIF(connections!$B$2:$B$1526,$A466))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IF($A467="","",COUNTIF(connections!$A$2:$A$1526,$A467)+COUNTIF(connections!$B$2:$B$1526,$A467))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IF($A468="","",COUNTIF(connections!$A$2:$A$1526,$A468)+COUNTIF(connections!$B$2:$B$1526,$A468))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IF($A469="","",COUNTIF(connections!$A$2:$A$1526,$A469)+COUNTIF(connections!$B$2:$B$1526,$A469))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IF($A470="","",COUNTIF(connections!$A$2:$A$1526,$A470)+COUNTIF(connections!$B$2:$B$1526,$A470))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IF($A471="","",COUNTIF(connections!$A$2:$A$1526,$A471)+COUNTIF(connections!$B$2:$B$1526,$A471))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IF($A472="","",COUNTIF(connections!$A$2:$A$1526,$A472)+COUNTIF(connections!$B$2:$B$1526,$A472))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IF($A473="","",COUNTIF(connections!$A$2:$A$1526,$A473)+COUNTIF(connections!$B$2:$B$1526,$A473))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IF($A474="","",COUNTIF(connections!$A$2:$A$1526,$A474)+COUNTIF(connections!$B$2:$B$1526,$A474))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IF($A475="","",COUNTIF(connections!$A$2:$A$1526,$A475)+COUNTIF(connections!$B$2:$B$1526,$A475))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IF($A476="","",COUNTIF(connections!$A$2:$A$1526,$A476)+COUNTIF(connections!$B$2:$B$1526,$A476))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IF($A477="","",COUNTIF(connections!$A$2:$A$1526,$A477)+COUNTIF(connections!$B$2:$B$1526,$A477))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IF($A478="","",COUNTIF(connections!$A$2:$A$1526,$A478)+COUNTIF(connections!$B$2:$B$1526,$A478))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IF($A479="","",COUNTIF(connections!$A$2:$A$1526,$A479)+COUNTIF(connections!$B$2:$B$1526,$A479))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IF($A480="","",COUNTIF(connections!$A$2:$A$1526,$A480)+COUNTIF(connections!$B$2:$B$1526,$A480))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IF($A481="","",COUNTIF(connections!$A$2:$A$1526,$A481)+COUNTIF(connections!$B$2:$B$1526,$A481))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IF($A482="","",COUNTIF(connections!$A$2:$A$1526,$A482)+COUNTIF(connections!$B$2:$B$1526,$A482))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IF($A483="","",COUNTIF(connections!$A$2:$A$1526,$A483)+COUNTIF(connections!$B$2:$B$1526,$A483))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IF($A484="","",COUNTIF(connections!$A$2:$A$1526,$A484)+COUNTIF(connections!$B$2:$B$1526,$A484))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IF($A485="","",COUNTIF(connections!$A$2:$A$1526,$A485)+COUNTIF(connections!$B$2:$B$1526,$A485))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IF($A486="","",COUNTIF(connections!$A$2:$A$1526,$A486)+COUNTIF(connections!$B$2:$B$1526,$A486))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IF($A487="","",COUNTIF(connections!$A$2:$A$1526,$A487)+COUNTIF(connections!$B$2:$B$1526,$A487))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IF($A488="","",COUNTIF(connections!$A$2:$A$1526,$A488)+COUNTIF(connections!$B$2:$B$1526,$A488))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IF($A489="","",COUNTIF(connections!$A$2:$A$1526,$A489)+COUNTIF(connections!$B$2:$B$1526,$A489))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IF($A490="","",COUNTIF(connections!$A$2:$A$1526,$A490)+COUNTIF(connections!$B$2:$B$1526,$A490))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IF($A491="","",COUNTIF(connections!$A$2:$A$1526,$A491)+COUNTIF(connections!$B$2:$B$1526,$A491))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IF($A492="","",COUNTIF(connections!$A$2:$A$1526,$A492)+COUNTIF(connections!$B$2:$B$1526,$A492))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IF($A493="","",COUNTIF(connections!$A$2:$A$1526,$A493)+COUNTIF(connections!$B$2:$B$1526,$A493))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IF($A494="","",COUNTIF(connections!$A$2:$A$1526,$A494)+COUNTIF(connections!$B$2:$B$1526,$A494))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IF($A495="","",COUNTIF(connections!$A$2:$A$1526,$A495)+COUNTIF(connections!$B$2:$B$1526,$A495))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IF($A496="","",COUNTIF(connections!$A$2:$A$1526,$A496)+COUNTIF(connections!$B$2:$B$1526,$A496))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IF($A497="","",COUNTIF(connections!$A$2:$A$1526,$A497)+COUNTIF(connections!$B$2:$B$1526,$A497))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IF($A498="","",COUNTIF(connections!$A$2:$A$1526,$A498)+COUNTIF(connections!$B$2:$B$1526,$A498))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IF($A499="","",COUNTIF(connections!$A$2:$A$1526,$A499)+COUNTIF(connections!$B$2:$B$1526,$A499))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IF($A500="","",COUNTIF(connections!$A$2:$A$1526,$A500)+COUNTIF(connections!$B$2:$B$1526,$A500))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IF($A501="","",COUNTIF(connections!$A$2:$A$1526,$A501)+COUNTIF(connections!$B$2:$B$1526,$A501))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IF($A502="","",COUNTIF(connections!$A$2:$A$1526,$A502)+COUNTIF(connections!$B$2:$B$1526,$A502))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IF($A503="","",COUNTIF(connections!$A$2:$A$1526,$A503)+COUNTIF(connections!$B$2:$B$1526,$A503))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IF($A504="","",COUNTIF(connections!$A$2:$A$1526,$A504)+COUNTIF(connections!$B$2:$B$1526,$A504))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IF($A505="","",COUNTIF(connections!$A$2:$A$1526,$A505)+COUNTIF(connections!$B$2:$B$1526,$A505))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IF($A506="","",COUNTIF(connections!$A$2:$A$1526,$A506)+COUNTIF(connections!$B$2:$B$1526,$A506))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IF($A507="","",COUNTIF(connections!$A$2:$A$1526,$A507)+COUNTIF(connections!$B$2:$B$1526,$A507))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IF($A508="","",COUNTIF(connections!$A$2:$A$1526,$A508)+COUNTIF(connections!$B$2:$B$1526,$A508))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IF($A509="","",COUNTIF(connections!$A$2:$A$1526,$A509)+COUNTIF(connections!$B$2:$B$1526,$A509))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IF($A510="","",COUNTIF(connections!$A$2:$A$1526,$A510)+COUNTIF(connections!$B$2:$B$1526,$A510))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IF($A511="","",COUNTIF(connections!$A$2:$A$1526,$A511)+COUNTIF(connections!$B$2:$B$1526,$A511))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IF($A512="","",COUNTIF(connections!$A$2:$A$1526,$A512)+COUNTIF(connections!$B$2:$B$1526,$A512))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IF($A513="","",COUNTIF(connections!$A$2:$A$1526,$A513)+COUNTIF(connections!$B$2:$B$1526,$A513))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IF($A514="","",COUNTIF(connections!$A$2:$A$1526,$A514)+COUNTIF(connections!$B$2:$B$1526,$A514))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IF($A515="","",COUNTIF(connections!$A$2:$A$1526,$A515)+COUNTIF(connections!$B$2:$B$1526,$A515))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IF($A516="","",COUNTIF(connections!$A$2:$A$1526,$A516)+COUNTIF(connections!$B$2:$B$1526,$A516))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IF($A517="","",COUNTIF(connections!$A$2:$A$1526,$A517)+COUNTIF(connections!$B$2:$B$1526,$A517))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IF($A518="","",COUNTIF(connections!$A$2:$A$1526,$A518)+COUNTIF(connections!$B$2:$B$1526,$A518))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IF($A519="","",COUNTIF(connections!$A$2:$A$1526,$A519)+COUNTIF(connections!$B$2:$B$1526,$A519))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IF($A520="","",COUNTIF(connections!$A$2:$A$1526,$A520)+COUNTIF(connections!$B$2:$B$1526,$A520))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IF($A521="","",COUNTIF(connections!$A$2:$A$1526,$A521)+COUNTIF(connections!$B$2:$B$1526,$A521))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IF($A522="","",COUNTIF(connections!$A$2:$A$1526,$A522)+COUNTIF(connections!$B$2:$B$1526,$A522))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IF($A523="","",COUNTIF(connections!$A$2:$A$1526,$A523)+COUNTIF(connections!$B$2:$B$1526,$A523))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IF($A524="","",COUNTIF(connections!$A$2:$A$1526,$A524)+COUNTIF(connections!$B$2:$B$1526,$A524))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IF($A525="","",COUNTIF(connections!$A$2:$A$1526,$A525)+COUNTIF(connections!$B$2:$B$1526,$A525))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IF($A526="","",COUNTIF(connections!$A$2:$A$1526,$A526)+COUNTIF(connections!$B$2:$B$1526,$A526))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IF($A527="","",COUNTIF(connections!$A$2:$A$1526,$A527)+COUNTIF(connections!$B$2:$B$1526,$A527))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IF($A528="","",COUNTIF(connections!$A$2:$A$1526,$A528)+COUNTIF(connections!$B$2:$B$1526,$A528))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IF($A529="","",COUNTIF(connections!$A$2:$A$1526,$A529)+COUNTIF(connections!$B$2:$B$1526,$A529))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IF($A530="","",COUNTIF(connections!$A$2:$A$1526,$A530)+COUNTIF(connections!$B$2:$B$1526,$A530))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IF($A531="","",COUNTIF(connections!$A$2:$A$1526,$A531)+COUNTIF(connections!$B$2:$B$1526,$A531))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IF($A532="","",COUNTIF(connections!$A$2:$A$1526,$A532)+COUNTIF(connections!$B$2:$B$1526,$A532))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IF($A533="","",COUNTIF(connections!$A$2:$A$1526,$A533)+COUNTIF(connections!$B$2:$B$1526,$A533))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IF($A534="","",COUNTIF(connections!$A$2:$A$1526,$A534)+COUNTIF(connections!$B$2:$B$1526,$A534))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IF($A535="","",COUNTIF(connections!$A$2:$A$1526,$A535)+COUNTIF(connections!$B$2:$B$1526,$A535))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IF($A536="","",COUNTIF(connections!$A$2:$A$1526,$A536)+COUNTIF(connections!$B$2:$B$1526,$A536))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IF($A537="","",COUNTIF(connections!$A$2:$A$1526,$A537)+COUNTIF(connections!$B$2:$B$1526,$A537))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IF($A538="","",COUNTIF(connections!$A$2:$A$1526,$A538)+COUNTIF(connections!$B$2:$B$1526,$A538))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IF($A539="","",COUNTIF(connections!$A$2:$A$1526,$A539)+COUNTIF(connections!$B$2:$B$1526,$A539))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IF($A540="","",COUNTIF(connections!$A$2:$A$1526,$A540)+COUNTIF(connections!$B$2:$B$1526,$A540))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IF($A541="","",COUNTIF(connections!$A$2:$A$1526,$A541)+COUNTIF(connections!$B$2:$B$1526,$A541))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IF($A542="","",COUNTIF(connections!$A$2:$A$1526,$A542)+COUNTIF(connections!$B$2:$B$1526,$A542))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IF($A543="","",COUNTIF(connections!$A$2:$A$1526,$A543)+COUNTIF(connections!$B$2:$B$1526,$A543))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IF($A544="","",COUNTIF(connections!$A$2:$A$1526,$A544)+COUNTIF(connections!$B$2:$B$1526,$A544))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IF($A545="","",COUNTIF(connections!$A$2:$A$1526,$A545)+COUNTIF(connections!$B$2:$B$1526,$A545))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IF($A546="","",COUNTIF(connections!$A$2:$A$1526,$A546)+COUNTIF(connections!$B$2:$B$1526,$A546))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IF($A547="","",COUNTIF(connections!$A$2:$A$1526,$A547)+COUNTIF(connections!$B$2:$B$1526,$A547))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IF($A548="","",COUNTIF(connections!$A$2:$A$1526,$A548)+COUNTIF(connections!$B$2:$B$1526,$A548))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IF($A549="","",COUNTIF(connections!$A$2:$A$1526,$A549)+COUNTIF(connections!$B$2:$B$1526,$A549))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IF($A550="","",COUNTIF(connections!$A$2:$A$1526,$A550)+COUNTIF(connections!$B$2:$B$1526,$A550))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IF($A551="","",COUNTIF(connections!$A$2:$A$1526,$A551)+COUNTIF(connections!$B$2:$B$1526,$A551))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IF($A552="","",COUNTIF(connections!$A$2:$A$1526,$A552)+COUNTIF(connections!$B$2:$B$1526,$A552))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IF($A553="","",COUNTIF(connections!$A$2:$A$1526,$A553)+COUNTIF(connections!$B$2:$B$1526,$A553))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IF($A554="","",COUNTIF(connections!$A$2:$A$1526,$A554)+COUNTIF(connections!$B$2:$B$1526,$A554))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IF($A555="","",COUNTIF(connections!$A$2:$A$1526,$A555)+COUNTIF(connections!$B$2:$B$1526,$A555))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IF($A556="","",COUNTIF(connections!$A$2:$A$1526,$A556)+COUNTIF(connections!$B$2:$B$1526,$A556))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IF($A557="","",COUNTIF(connections!$A$2:$A$1526,$A557)+COUNTIF(connections!$B$2:$B$1526,$A557))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IF($A558="","",COUNTIF(connections!$A$2:$A$1526,$A558)+COUNTIF(connections!$B$2:$B$1526,$A558))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IF($A559="","",COUNTIF(connections!$A$2:$A$1526,$A559)+COUNTIF(connections!$B$2:$B$1526,$A559))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IF($A560="","",COUNTIF(connections!$A$2:$A$1526,$A560)+COUNTIF(connections!$B$2:$B$1526,$A560))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IF($A561="","",COUNTIF(connections!$A$2:$A$1526,$A561)+COUNTIF(connections!$B$2:$B$1526,$A561))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IF($A562="","",COUNTIF(connections!$A$2:$A$1526,$A562)+COUNTIF(connections!$B$2:$B$1526,$A562))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IF($A563="","",COUNTIF(connections!$A$2:$A$1526,$A563)+COUNTIF(connections!$B$2:$B$1526,$A563))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IF($A564="","",COUNTIF(connections!$A$2:$A$1526,$A564)+COUNTIF(connections!$B$2:$B$1526,$A564))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IF($A565="","",COUNTIF(connections!$A$2:$A$1526,$A565)+COUNTIF(connections!$B$2:$B$1526,$A565))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IF($A566="","",COUNTIF(connections!$A$2:$A$1526,$A566)+COUNTIF(connections!$B$2:$B$1526,$A566))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IF($A567="","",COUNTIF(connections!$A$2:$A$1526,$A567)+COUNTIF(connections!$B$2:$B$1526,$A567))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IF($A568="","",COUNTIF(connections!$A$2:$A$1526,$A568)+COUNTIF(connections!$B$2:$B$1526,$A568))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IF($A569="","",COUNTIF(connections!$A$2:$A$1526,$A569)+COUNTIF(connections!$B$2:$B$1526,$A569))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Pax Autocratica</v>
      </c>
      <c r="B570">
        <f>IF($A570="","",games!$B570)</f>
        <v>2026</v>
      </c>
      <c r="C570" t="str">
        <f>IF($A570="","",games!$C570)</f>
        <v>Action</v>
      </c>
      <c r="D570">
        <f>IF($A570="","",COUNTIF(connections!$A$2:$A$1526,$A570)+COUNTIF(connections!$B$2:$B$1526,$A570))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Pebble Knights</v>
      </c>
      <c r="B571">
        <f>IF($A571="","",games!$B571)</f>
        <v>2026</v>
      </c>
      <c r="C571" t="str">
        <f>IF($A571="","",games!$C571)</f>
        <v>Action</v>
      </c>
      <c r="D571">
        <f>IF($A571="","",COUNTIF(connections!$A$2:$A$1526,$A571)+COUNTIF(connections!$B$2:$B$1526,$A571))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Peglin</v>
      </c>
      <c r="B572">
        <f>IF($A572="","",games!$B572)</f>
        <v>2022</v>
      </c>
      <c r="C572" t="str">
        <f>IF($A572="","",games!$C572)</f>
        <v>Deckbuilder</v>
      </c>
      <c r="D572">
        <f>IF($A572="","",COUNTIF(connections!$A$2:$A$1526,$A572)+COUNTIF(connections!$B$2:$B$1526,$A572))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Pegs X Stickers</v>
      </c>
      <c r="B573">
        <f>IF($A573="","",games!$B573)</f>
        <v>2026</v>
      </c>
      <c r="C573" t="str">
        <f>IF($A573="","",games!$C573)</f>
        <v>Deckbuilder</v>
      </c>
      <c r="D573">
        <f>IF($A573="","",COUNTIF(connections!$A$2:$A$1526,$A573)+COUNTIF(connections!$B$2:$B$1526,$A573))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PengPong</v>
      </c>
      <c r="B574">
        <f>IF($A574="","",games!$B574)</f>
        <v>2026</v>
      </c>
      <c r="C574" t="str">
        <f>IF($A574="","",games!$C574)</f>
        <v>Action</v>
      </c>
      <c r="D574">
        <f>IF($A574="","",COUNTIF(connections!$A$2:$A$1526,$A574)+COUNTIF(connections!$B$2:$B$1526,$A574))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Pesticide Not Required</v>
      </c>
      <c r="B575">
        <f>IF($A575="","",games!$B575)</f>
        <v>2024</v>
      </c>
      <c r="C575" t="str">
        <f>IF($A575="","",games!$C575)</f>
        <v>Action</v>
      </c>
      <c r="D575">
        <f>IF($A575="","",COUNTIF(connections!$A$2:$A$1526,$A575)+COUNTIF(connections!$B$2:$B$1526,$A575))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Picayune Dreams</v>
      </c>
      <c r="B576">
        <f>IF($A576="","",games!$B576)</f>
        <v>2023</v>
      </c>
      <c r="C576" t="str">
        <f>IF($A576="","",games!$C576)</f>
        <v>Action</v>
      </c>
      <c r="D576">
        <f>IF($A576="","",COUNTIF(connections!$A$2:$A$1526,$A576)+COUNTIF(connections!$B$2:$B$1526,$A576))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Pinball Storm: Lokanta</v>
      </c>
      <c r="B577">
        <f>IF($A577="","",games!$B577)</f>
        <v>2025</v>
      </c>
      <c r="C577" t="str">
        <f>IF($A577="","",games!$C577)</f>
        <v>Action</v>
      </c>
      <c r="D577">
        <f>IF($A577="","",COUNTIF(connections!$A$2:$A$1526,$A577)+COUNTIF(connections!$B$2:$B$1526,$A577))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Pip My Dice</v>
      </c>
      <c r="B578">
        <f>IF($A578="","",games!$B578)</f>
        <v>2025</v>
      </c>
      <c r="C578" t="str">
        <f>IF($A578="","",games!$C578)</f>
        <v>Deckbuilder</v>
      </c>
      <c r="D578">
        <f>IF($A578="","",COUNTIF(connections!$A$2:$A$1526,$A578)+COUNTIF(connections!$B$2:$B$1526,$A578))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Pixel Dungeon</v>
      </c>
      <c r="B579">
        <f>IF($A579="","",games!$B579)</f>
        <v>2012</v>
      </c>
      <c r="C579" t="str">
        <f>IF($A579="","",games!$C579)</f>
        <v>Traditional</v>
      </c>
      <c r="D579">
        <f>IF($A579="","",COUNTIF(connections!$A$2:$A$1526,$A579)+COUNTIF(connections!$B$2:$B$1526,$A579))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PlateUp!</v>
      </c>
      <c r="B580">
        <f>IF($A580="","",games!$B580)</f>
        <v>2022</v>
      </c>
      <c r="C580" t="str">
        <f>IF($A580="","",games!$C580)</f>
        <v>Strategy</v>
      </c>
      <c r="D580">
        <f>IF($A580="","",COUNTIF(connections!$A$2:$A$1526,$A580)+COUNTIF(connections!$B$2:$B$1526,$A580))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Plinbo</v>
      </c>
      <c r="B581">
        <f>IF($A581="","",games!$B581)</f>
        <v>2026</v>
      </c>
      <c r="C581" t="str">
        <f>IF($A581="","",games!$C581)</f>
        <v>Deckbuilder</v>
      </c>
      <c r="D581">
        <f>IF($A581="","",COUNTIF(connections!$A$2:$A$1526,$A581)+COUNTIF(connections!$B$2:$B$1526,$A581))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Plinko Panic!</v>
      </c>
      <c r="B582">
        <f>IF($A582="","",games!$B582)</f>
        <v>2021</v>
      </c>
      <c r="C582" t="str">
        <f>IF($A582="","",games!$C582)</f>
        <v>Deckbuilder</v>
      </c>
      <c r="D582">
        <f>IF($A582="","",COUNTIF(connections!$A$2:$A$1526,$A582)+COUNTIF(connections!$B$2:$B$1526,$A582))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Pluto</v>
      </c>
      <c r="B583">
        <f>IF($A583="","",games!$B583)</f>
        <v>2026</v>
      </c>
      <c r="C583" t="str">
        <f>IF($A583="","",games!$C583)</f>
        <v>Deckbuilder</v>
      </c>
      <c r="D583">
        <f>IF($A583="","",COUNTIF(connections!$A$2:$A$1526,$A583)+COUNTIF(connections!$B$2:$B$1526,$A583))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Pocket Crystal League</v>
      </c>
      <c r="B584">
        <f>IF($A584="","",games!$B584)</f>
        <v>2022</v>
      </c>
      <c r="C584" t="str">
        <f>IF($A584="","",games!$C584)</f>
        <v>Deckbuilder</v>
      </c>
      <c r="D584">
        <f>IF($A584="","",COUNTIF(connections!$A$2:$A$1526,$A584)+COUNTIF(connections!$B$2:$B$1526,$A584))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Pogo Rogue</v>
      </c>
      <c r="B585">
        <f>IF($A585="","",games!$B585)</f>
        <v>2024</v>
      </c>
      <c r="C585" t="str">
        <f>IF($A585="","",games!$C585)</f>
        <v>Action</v>
      </c>
      <c r="D585">
        <f>IF($A585="","",COUNTIF(connections!$A$2:$A$1526,$A585)+COUNTIF(connections!$B$2:$B$1526,$A585))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Pokelike</v>
      </c>
      <c r="B586">
        <f>IF($A586="","",games!$B586)</f>
        <v>2026</v>
      </c>
      <c r="C586" t="str">
        <f>IF($A586="","",games!$C586)</f>
        <v>Strategy</v>
      </c>
      <c r="D586">
        <f>IF($A586="","",COUNTIF(connections!$A$2:$A$1526,$A586)+COUNTIF(connections!$B$2:$B$1526,$A586))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Chess</v>
      </c>
      <c r="B587">
        <f>IF($A587="","",games!$B587)</f>
        <v>2021</v>
      </c>
      <c r="C587" t="str">
        <f>IF($A587="","",games!$C587)</f>
        <v>Strategy</v>
      </c>
      <c r="D587">
        <f>IF($A587="","",COUNTIF(connections!$A$2:$A$1526,$A587)+COUNTIF(connections!$B$2:$B$1526,$A587))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Auto Spire</v>
      </c>
      <c r="B588">
        <f>IF($A588="","",games!$B588)</f>
        <v>2026</v>
      </c>
      <c r="C588" t="str">
        <f>IF($A588="","",games!$C588)</f>
        <v>Strategy</v>
      </c>
      <c r="D588">
        <f>IF($A588="","",COUNTIF(connections!$A$2:$A$1526,$A588)+COUNTIF(connections!$B$2:$B$1526,$A588))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Sky</v>
      </c>
      <c r="B589">
        <f>IF($A589="","",games!$B589)</f>
        <v>2009</v>
      </c>
      <c r="C589" t="str">
        <f>IF($A589="","",games!$C589)</f>
        <v>Traditional</v>
      </c>
      <c r="D589">
        <f>IF($A589="","",COUNTIF(connections!$A$2:$A$1526,$A589)+COUNTIF(connections!$B$2:$B$1526,$A589))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Explorers of Time and Explorers of Darkness</v>
      </c>
      <c r="B590">
        <f>IF($A590="","",games!$B590)</f>
        <v>2007</v>
      </c>
      <c r="C590" t="str">
        <f>IF($A590="","",games!$C590)</f>
        <v>Traditional</v>
      </c>
      <c r="D590">
        <f>IF($A590="","",COUNTIF(connections!$A$2:$A$1526,$A590)+COUNTIF(connections!$B$2:$B$1526,$A590))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Gates to Infinity</v>
      </c>
      <c r="B591">
        <f>IF($A591="","",games!$B591)</f>
        <v>2012</v>
      </c>
      <c r="C591" t="str">
        <f>IF($A591="","",games!$C591)</f>
        <v>Traditional</v>
      </c>
      <c r="D591">
        <f>IF($A591="","",COUNTIF(connections!$A$2:$A$1526,$A591)+COUNTIF(connections!$B$2:$B$1526,$A591))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Red and Blue Rescue Team</v>
      </c>
      <c r="B592">
        <f>IF($A592="","",games!$B592)</f>
        <v>2005</v>
      </c>
      <c r="C592" t="str">
        <f>IF($A592="","",games!$C592)</f>
        <v>Traditional</v>
      </c>
      <c r="D592">
        <f>IF($A592="","",COUNTIF(connections!$A$2:$A$1526,$A592)+COUNTIF(connections!$B$2:$B$1526,$A592))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Mystery Dungeon: Rescue Team DX</v>
      </c>
      <c r="B593">
        <f>IF($A593="","",games!$B593)</f>
        <v>2020</v>
      </c>
      <c r="C593" t="str">
        <f>IF($A593="","",games!$C593)</f>
        <v>Traditional</v>
      </c>
      <c r="D593">
        <f>IF($A593="","",COUNTIF(connections!$A$2:$A$1526,$A593)+COUNTIF(connections!$B$2:$B$1526,$A593))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Super Mystery Dungeon</v>
      </c>
      <c r="B594">
        <f>IF($A594="","",games!$B594)</f>
        <v>2015</v>
      </c>
      <c r="C594" t="str">
        <f>IF($A594="","",games!$C594)</f>
        <v>Traditional</v>
      </c>
      <c r="D594">
        <f>IF($A594="","",COUNTIF(connections!$A$2:$A$1526,$A594)+COUNTIF(connections!$B$2:$B$1526,$A594))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Pokémon Survivor Burst</v>
      </c>
      <c r="B595">
        <f>IF($A595="","",games!$B595)</f>
        <v>2026</v>
      </c>
      <c r="C595" t="str">
        <f>IF($A595="","",games!$C595)</f>
        <v>Action</v>
      </c>
      <c r="D595">
        <f>IF($A595="","",COUNTIF(connections!$A$2:$A$1526,$A595)+COUNTIF(connections!$B$2:$B$1526,$A595))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PokéRogue</v>
      </c>
      <c r="B596">
        <f>IF($A596="","",games!$B596)</f>
        <v>2024</v>
      </c>
      <c r="C596" t="str">
        <f>IF($A596="","",games!$C596)</f>
        <v>Strategy</v>
      </c>
      <c r="D596">
        <f>IF($A596="","",COUNTIF(connections!$A$2:$A$1526,$A596)+COUNTIF(connections!$B$2:$B$1526,$A596))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PokeVoid</v>
      </c>
      <c r="B597">
        <f>IF($A597="","",games!$B597)</f>
        <v>2025</v>
      </c>
      <c r="C597" t="str">
        <f>IF($A597="","",games!$C597)</f>
        <v>Strategy</v>
      </c>
      <c r="D597">
        <f>IF($A597="","",COUNTIF(connections!$A$2:$A$1526,$A597)+COUNTIF(connections!$B$2:$B$1526,$A597))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Popup Dungeon</v>
      </c>
      <c r="B598">
        <f>IF($A598="","",games!$B598)</f>
        <v>2020</v>
      </c>
      <c r="C598" t="str">
        <f>IF($A598="","",games!$C598)</f>
        <v>Strategy</v>
      </c>
      <c r="D598">
        <f>IF($A598="","",COUNTIF(connections!$A$2:$A$1526,$A598)+COUNTIF(connections!$B$2:$B$1526,$A598))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Powder</v>
      </c>
      <c r="B599">
        <f>IF($A599="","",games!$B599)</f>
        <v>2003</v>
      </c>
      <c r="C599" t="str">
        <f>IF($A599="","",games!$C599)</f>
        <v>Traditional</v>
      </c>
      <c r="D599">
        <f>IF($A599="","",COUNTIF(connections!$A$2:$A$1526,$A599)+COUNTIF(connections!$B$2:$B$1526,$A599))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Prime Monster</v>
      </c>
      <c r="B600">
        <f>IF($A600="","",games!$B600)</f>
        <v>2026</v>
      </c>
      <c r="C600" t="str">
        <f>IF($A600="","",games!$C600)</f>
        <v>Deckbuilder</v>
      </c>
      <c r="D600">
        <f>IF($A600="","",COUNTIF(connections!$A$2:$A$1526,$A600)+COUNTIF(connections!$B$2:$B$1526,$A600))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Primordialis</v>
      </c>
      <c r="B601">
        <f>IF($A601="","",games!$B601)</f>
        <v>2024</v>
      </c>
      <c r="C601" t="str">
        <f>IF($A601="","",games!$C601)</f>
        <v>Action</v>
      </c>
      <c r="D601">
        <f>IF($A601="","",COUNTIF(connections!$A$2:$A$1526,$A601)+COUNTIF(connections!$B$2:$B$1526,$A601))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 Jank Footy</v>
      </c>
      <c r="B602">
        <f>IF($A602="","",games!$B602)</f>
        <v>2026</v>
      </c>
      <c r="C602" t="str">
        <f>IF($A602="","",games!$C602)</f>
        <v>Action</v>
      </c>
      <c r="D602">
        <f>IF($A602="","",COUNTIF(connections!$A$2:$A$1526,$A602)+COUNTIF(connections!$B$2:$B$1526,$A602))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Pronoun Palace</v>
      </c>
      <c r="B603">
        <f>IF($A603="","",games!$B603)</f>
        <v>2026</v>
      </c>
      <c r="C603" t="str">
        <f>IF($A603="","",games!$C603)</f>
        <v>Strategy</v>
      </c>
      <c r="D603">
        <f>IF($A603="","",COUNTIF(connections!$A$2:$A$1526,$A603)+COUNTIF(connections!$B$2:$B$1526,$A603))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Putrid Shot Ultra</v>
      </c>
      <c r="B604">
        <f>IF($A604="","",games!$B604)</f>
        <v>2022</v>
      </c>
      <c r="C604" t="str">
        <f>IF($A604="","",games!$C604)</f>
        <v>Action</v>
      </c>
      <c r="D604">
        <f>IF($A604="","",COUNTIF(connections!$A$2:$A$1526,$A604)+COUNTIF(connections!$B$2:$B$1526,$A604))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Pyrene</v>
      </c>
      <c r="B605">
        <f>IF($A605="","",games!$B605)</f>
        <v>2024</v>
      </c>
      <c r="C605" t="str">
        <f>IF($A605="","",games!$C605)</f>
        <v>Deckbuilder</v>
      </c>
      <c r="D605">
        <f>IF($A605="","",COUNTIF(connections!$A$2:$A$1526,$A605)+COUNTIF(connections!$B$2:$B$1526,$A605))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Quasimorph</v>
      </c>
      <c r="B606">
        <f>IF($A606="","",games!$B606)</f>
        <v>2023</v>
      </c>
      <c r="C606" t="str">
        <f>IF($A606="","",games!$C606)</f>
        <v>Traditional</v>
      </c>
      <c r="D606">
        <f>IF($A606="","",COUNTIF(connections!$A$2:$A$1526,$A606)+COUNTIF(connections!$B$2:$B$1526,$A606))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Quest of Dungeons</v>
      </c>
      <c r="B607">
        <f>IF($A607="","",games!$B607)</f>
        <v>2014</v>
      </c>
      <c r="C607" t="str">
        <f>IF($A607="","",games!$C607)</f>
        <v>Traditional</v>
      </c>
      <c r="D607">
        <f>IF($A607="","",COUNTIF(connections!$A$2:$A$1526,$A607)+COUNTIF(connections!$B$2:$B$1526,$A607))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Rabbit and Steel</v>
      </c>
      <c r="B608">
        <f>IF($A608="","",games!$B608)</f>
        <v>2024</v>
      </c>
      <c r="C608" t="str">
        <f>IF($A608="","",games!$C608)</f>
        <v>Action</v>
      </c>
      <c r="D608">
        <f>IF($A608="","",COUNTIF(connections!$A$2:$A$1526,$A608)+COUNTIF(connections!$B$2:$B$1526,$A608))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Raccoin: Coin Pusher Roguelike</v>
      </c>
      <c r="B609">
        <f>IF($A609="","",games!$B609)</f>
        <v>2026</v>
      </c>
      <c r="C609" t="str">
        <f>IF($A609="","",games!$C609)</f>
        <v>Deckbuilder</v>
      </c>
      <c r="D609">
        <f>IF($A609="","",COUNTIF(connections!$A$2:$A$1526,$A609)+COUNTIF(connections!$B$2:$B$1526,$A609))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Rack and Slay</v>
      </c>
      <c r="B610">
        <f>IF($A610="","",games!$B610)</f>
        <v>2024</v>
      </c>
      <c r="C610" t="str">
        <f>IF($A610="","",games!$C610)</f>
        <v>Strategy</v>
      </c>
      <c r="D610">
        <f>IF($A610="","",COUNTIF(connections!$A$2:$A$1526,$A610)+COUNTIF(connections!$B$2:$B$1526,$A610))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Ragnarok</v>
      </c>
      <c r="B611">
        <f>IF($A611="","",games!$B611)</f>
        <v>1992</v>
      </c>
      <c r="C611" t="str">
        <f>IF($A611="","",games!$C611)</f>
        <v>Traditional</v>
      </c>
      <c r="D611">
        <f>IF($A611="","",COUNTIF(connections!$A$2:$A$1526,$A611)+COUNTIF(connections!$B$2:$B$1526,$A611))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 Random Access Mayhem</v>
      </c>
      <c r="B612">
        <f>IF($A612="","",games!$B612)</f>
        <v>2024</v>
      </c>
      <c r="C612" t="str">
        <f>IF($A612="","",games!$C612)</f>
        <v>Action</v>
      </c>
      <c r="D612">
        <f>IF($A612="","",COUNTIF(connections!$A$2:$A$1526,$A612)+COUNTIF(connections!$B$2:$B$1526,$A612))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Rampage Knights</v>
      </c>
      <c r="B613">
        <f>IF($A613="","",games!$B613)</f>
        <v>2015</v>
      </c>
      <c r="C613" t="str">
        <f>IF($A613="","",games!$C613)</f>
        <v>Action</v>
      </c>
      <c r="D613">
        <f>IF($A613="","",COUNTIF(connections!$A$2:$A$1526,$A613)+COUNTIF(connections!$B$2:$B$1526,$A613))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Rangedrifter</v>
      </c>
      <c r="B614">
        <f>IF($A614="","",games!$B614)</f>
        <v>2026</v>
      </c>
      <c r="C614" t="str">
        <f>IF($A614="","",games!$C614)</f>
        <v>Traditional</v>
      </c>
      <c r="D614">
        <f>IF($A614="","",COUNTIF(connections!$A$2:$A$1526,$A614)+COUNTIF(connections!$B$2:$B$1526,$A614))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Ratatan</v>
      </c>
      <c r="B615">
        <f>IF($A615="","",games!$B615)</f>
        <v>2025</v>
      </c>
      <c r="C615" t="str">
        <f>IF($A615="","",games!$C615)</f>
        <v>Action</v>
      </c>
      <c r="D615">
        <f>IF($A615="","",COUNTIF(connections!$A$2:$A$1526,$A615)+COUNTIF(connections!$B$2:$B$1526,$A615))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Ratropolis</v>
      </c>
      <c r="B616">
        <f>IF($A616="","",games!$B616)</f>
        <v>2019</v>
      </c>
      <c r="C616" t="str">
        <f>IF($A616="","",games!$C616)</f>
        <v>Deckbuilder</v>
      </c>
      <c r="D616">
        <f>IF($A616="","",COUNTIF(connections!$A$2:$A$1526,$A616)+COUNTIF(connections!$B$2:$B$1526,$A616))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Ravenswatch</v>
      </c>
      <c r="B617">
        <f>IF($A617="","",games!$B617)</f>
        <v>2023</v>
      </c>
      <c r="C617" t="str">
        <f>IF($A617="","",games!$C617)</f>
        <v>Action</v>
      </c>
      <c r="D617">
        <f>IF($A617="","",COUNTIF(connections!$A$2:$A$1526,$A617)+COUNTIF(connections!$B$2:$B$1526,$A617))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Reality Break</v>
      </c>
      <c r="B618">
        <f>IF($A618="","",games!$B618)</f>
        <v>2025</v>
      </c>
      <c r="C618" t="str">
        <f>IF($A618="","",games!$C618)</f>
        <v>Action</v>
      </c>
      <c r="D618">
        <f>IF($A618="","",COUNTIF(connections!$A$2:$A$1526,$A618)+COUNTIF(connections!$B$2:$B$1526,$A618))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Ink</v>
      </c>
      <c r="B619">
        <f>IF($A619="","",games!$B619)</f>
        <v>2024</v>
      </c>
      <c r="C619" t="str">
        <f>IF($A619="","",games!$C619)</f>
        <v>Action</v>
      </c>
      <c r="D619">
        <f>IF($A619="","",COUNTIF(connections!$A$2:$A$1526,$A619)+COUNTIF(connections!$B$2:$B$1526,$A619))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Realm of the Mad God</v>
      </c>
      <c r="B620">
        <f>IF($A620="","",games!$B620)</f>
        <v>2010</v>
      </c>
      <c r="C620" t="str">
        <f>IF($A620="","",games!$C620)</f>
        <v>Action</v>
      </c>
      <c r="D620">
        <f>IF($A620="","",COUNTIF(connections!$A$2:$A$1526,$A620)+COUNTIF(connections!$B$2:$B$1526,$A620))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Red Rogue</v>
      </c>
      <c r="B621">
        <f>IF($A621="","",games!$B621)</f>
        <v>2012</v>
      </c>
      <c r="C621" t="str">
        <f>IF($A621="","",games!$C621)</f>
        <v>Action</v>
      </c>
      <c r="D621">
        <f>IF($A621="","",COUNTIF(connections!$A$2:$A$1526,$A621)+COUNTIF(connections!$B$2:$B$1526,$A621))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Reignbreaker</v>
      </c>
      <c r="B622">
        <f>IF($A622="","",games!$B622)</f>
        <v>2025</v>
      </c>
      <c r="C622" t="str">
        <f>IF($A622="","",games!$C622)</f>
        <v>Action</v>
      </c>
      <c r="D622">
        <f>IF($A622="","",COUNTIF(connections!$A$2:$A$1526,$A622)+COUNTIF(connections!$B$2:$B$1526,$A622))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Renowned Explorers: International Society</v>
      </c>
      <c r="B623">
        <f>IF($A623="","",games!$B623)</f>
        <v>2015</v>
      </c>
      <c r="C623" t="str">
        <f>IF($A623="","",games!$C623)</f>
        <v>Strategy</v>
      </c>
      <c r="D623">
        <f>IF($A623="","",COUNTIF(connections!$A$2:$A$1526,$A623)+COUNTIF(connections!$B$2:$B$1526,$A623))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Repetendium</v>
      </c>
      <c r="B624">
        <f>IF($A624="","",games!$B624)</f>
        <v>2022</v>
      </c>
      <c r="C624" t="str">
        <f>IF($A624="","",games!$C624)</f>
        <v>Action</v>
      </c>
      <c r="D624">
        <f>IF($A624="","",COUNTIF(connections!$A$2:$A$1526,$A624)+COUNTIF(connections!$B$2:$B$1526,$A624))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Replicat</v>
      </c>
      <c r="B625">
        <f>IF($A625="","",games!$B625)</f>
        <v>2025</v>
      </c>
      <c r="C625" t="str">
        <f>IF($A625="","",games!$C625)</f>
        <v>Deckbuilder</v>
      </c>
      <c r="D625">
        <f>IF($A625="","",COUNTIF(connections!$A$2:$A$1526,$A625)+COUNTIF(connections!$B$2:$B$1526,$A625))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 to Abyss</v>
      </c>
      <c r="B626">
        <f>IF($A626="","",games!$B626)</f>
        <v>2023</v>
      </c>
      <c r="C626" t="str">
        <f>IF($A626="","",games!$C626)</f>
        <v>Action</v>
      </c>
      <c r="D626">
        <f>IF($A626="","",COUNTIF(connections!$A$2:$A$1526,$A626)+COUNTIF(connections!$B$2:$B$1526,$A626))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Returnal</v>
      </c>
      <c r="B627">
        <f>IF($A627="","",games!$B627)</f>
        <v>2023</v>
      </c>
      <c r="C627" t="str">
        <f>IF($A627="","",games!$C627)</f>
        <v>Action</v>
      </c>
      <c r="D627">
        <f>IF($A627="","",COUNTIF(connections!$A$2:$A$1526,$A627)+COUNTIF(connections!$B$2:$B$1526,$A627))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Revita</v>
      </c>
      <c r="B628">
        <f>IF($A628="","",games!$B628)</f>
        <v>2021</v>
      </c>
      <c r="C628" t="str">
        <f>IF($A628="","",games!$C628)</f>
        <v>Action</v>
      </c>
      <c r="D628">
        <f>IF($A628="","",COUNTIF(connections!$A$2:$A$1526,$A628)+COUNTIF(connections!$B$2:$B$1526,$A628))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Rhythm Witch: Beat Death</v>
      </c>
      <c r="B629">
        <f>IF($A629="","",games!$B629)</f>
        <v>2025</v>
      </c>
      <c r="C629" t="str">
        <f>IF($A629="","",games!$C629)</f>
        <v>Action</v>
      </c>
      <c r="D629">
        <f>IF($A629="","",COUNTIF(connections!$A$2:$A$1526,$A629)+COUNTIF(connections!$B$2:$B$1526,$A629))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v>
      </c>
      <c r="B630">
        <f>IF($A630="","",games!$B630)</f>
        <v>2020</v>
      </c>
      <c r="C630" t="str">
        <f>IF($A630="","",games!$C630)</f>
        <v>Traditional</v>
      </c>
      <c r="D630">
        <f>IF($A630="","",COUNTIF(connections!$A$2:$A$1526,$A630)+COUNTIF(connections!$B$2:$B$1526,$A630))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2</v>
      </c>
      <c r="B631">
        <f>IF($A631="","",games!$B631)</f>
        <v>2024</v>
      </c>
      <c r="C631" t="str">
        <f>IF($A631="","",games!$C631)</f>
        <v>Traditional</v>
      </c>
      <c r="D631">
        <f>IF($A631="","",COUNTIF(connections!$A$2:$A$1526,$A631)+COUNTIF(connections!$B$2:$B$1526,$A631))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Rift Wizard 3</v>
      </c>
      <c r="B632">
        <f>IF($A632="","",games!$B632)</f>
        <v>2026</v>
      </c>
      <c r="C632" t="str">
        <f>IF($A632="","",games!$C632)</f>
        <v>Traditional</v>
      </c>
      <c r="D632">
        <f>IF($A632="","",COUNTIF(connections!$A$2:$A$1526,$A632)+COUNTIF(connections!$B$2:$B$1526,$A632))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 Riot</v>
      </c>
      <c r="B633">
        <f>IF($A633="","",games!$B633)</f>
        <v>2026</v>
      </c>
      <c r="C633" t="str">
        <f>IF($A633="","",games!$C633)</f>
        <v>Action</v>
      </c>
      <c r="D633">
        <f>IF($A633="","",COUNTIF(connections!$A$2:$A$1526,$A633)+COUNTIF(connections!$B$2:$B$1526,$A633))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Right and Down</v>
      </c>
      <c r="B634">
        <f>IF($A634="","",games!$B634)</f>
        <v>2022</v>
      </c>
      <c r="C634" t="str">
        <f>IF($A634="","",games!$C634)</f>
        <v>Deckbuilder</v>
      </c>
      <c r="D634">
        <f>IF($A634="","",COUNTIF(connections!$A$2:$A$1526,$A634)+COUNTIF(connections!$B$2:$B$1526,$A634))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 of Pain</v>
      </c>
      <c r="B635">
        <f>IF($A635="","",games!$B635)</f>
        <v>2020</v>
      </c>
      <c r="C635" t="str">
        <f>IF($A635="","",games!$C635)</f>
        <v>Strategy</v>
      </c>
      <c r="D635">
        <f>IF($A635="","",COUNTIF(connections!$A$2:$A$1526,$A635)+COUNTIF(connections!$B$2:$B$1526,$A635))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Ringer</v>
      </c>
      <c r="B636">
        <f>IF($A636="","",games!$B636)</f>
        <v>2025</v>
      </c>
      <c r="C636" t="str">
        <f>IF($A636="","",games!$C636)</f>
        <v>Deckbuilder</v>
      </c>
      <c r="D636">
        <f>IF($A636="","",COUNTIF(connections!$A$2:$A$1526,$A636)+COUNTIF(connections!$B$2:$B$1526,$A636))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Riptale</v>
      </c>
      <c r="B637">
        <f>IF($A637="","",games!$B637)</f>
        <v>2017</v>
      </c>
      <c r="C637" t="str">
        <f>IF($A637="","",games!$C637)</f>
        <v>Action</v>
      </c>
      <c r="D637">
        <f>IF($A637="","",COUNTIF(connections!$A$2:$A$1526,$A637)+COUNTIF(connections!$B$2:$B$1526,$A637))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v>
      </c>
      <c r="B638">
        <f>IF($A638="","",games!$B638)</f>
        <v>2013</v>
      </c>
      <c r="C638" t="str">
        <f>IF($A638="","",games!$C638)</f>
        <v>Action</v>
      </c>
      <c r="D638">
        <f>IF($A638="","",COUNTIF(connections!$A$2:$A$1526,$A638)+COUNTIF(connections!$B$2:$B$1526,$A638))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2</v>
      </c>
      <c r="B639">
        <f>IF($A639="","",games!$B639)</f>
        <v>2020</v>
      </c>
      <c r="C639" t="str">
        <f>IF($A639="","",games!$C639)</f>
        <v>Action</v>
      </c>
      <c r="D639">
        <f>IF($A639="","",COUNTIF(connections!$A$2:$A$1526,$A639)+COUNTIF(connections!$B$2:$B$1526,$A639))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Risk of Rain Returns</v>
      </c>
      <c r="B640">
        <f>IF($A640="","",games!$B640)</f>
        <v>2023</v>
      </c>
      <c r="C640" t="str">
        <f>IF($A640="","",games!$C640)</f>
        <v>Action</v>
      </c>
      <c r="D640">
        <f>IF($A640="","",COUNTIF(connections!$A$2:$A$1526,$A640)+COUNTIF(connections!$B$2:$B$1526,$A640))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Road Not Taken</v>
      </c>
      <c r="B641">
        <f>IF($A641="","",games!$B641)</f>
        <v>2014</v>
      </c>
      <c r="C641" t="str">
        <f>IF($A641="","",games!$C641)</f>
        <v>Strategy</v>
      </c>
      <c r="D641">
        <f>IF($A641="","",COUNTIF(connections!$A$2:$A$1526,$A641)+COUNTIF(connections!$B$2:$B$1526,$A641))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Roboquest</v>
      </c>
      <c r="B642">
        <f>IF($A642="","",games!$B642)</f>
        <v>2020</v>
      </c>
      <c r="C642" t="str">
        <f>IF($A642="","",games!$C642)</f>
        <v>Action</v>
      </c>
      <c r="D642">
        <f>IF($A642="","",COUNTIF(connections!$A$2:$A$1526,$A642)+COUNTIF(connections!$B$2:$B$1526,$A642))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Rocket Rats</v>
      </c>
      <c r="B643">
        <f>IF($A643="","",games!$B643)</f>
        <v>2024</v>
      </c>
      <c r="C643" t="str">
        <f>IF($A643="","",games!$C643)</f>
        <v>Action</v>
      </c>
      <c r="D643">
        <f>IF($A643="","",COUNTIF(connections!$A$2:$A$1526,$A643)+COUNTIF(connections!$B$2:$B$1526,$A643))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v>
      </c>
      <c r="B644">
        <f>IF($A644="","",games!$B644)</f>
        <v>1980</v>
      </c>
      <c r="C644" t="str">
        <f>IF($A644="","",games!$C644)</f>
        <v>Traditional</v>
      </c>
      <c r="D644">
        <f>IF($A644="","",COUNTIF(connections!$A$2:$A$1526,$A644)+COUNTIF(connections!$B$2:$B$1526,$A644))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Blight</v>
      </c>
      <c r="B645">
        <f>IF($A645="","",games!$B645)</f>
        <v>2026</v>
      </c>
      <c r="C645" t="str">
        <f>IF($A645="","",games!$C645)</f>
        <v>Action</v>
      </c>
      <c r="D645">
        <f>IF($A645="","",COUNTIF(connections!$A$2:$A$1526,$A645)+COUNTIF(connections!$B$2:$B$1526,$A645))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Command</v>
      </c>
      <c r="B646">
        <f>IF($A646="","",games!$B646)</f>
        <v>2024</v>
      </c>
      <c r="C646" t="str">
        <f>IF($A646="","",games!$C646)</f>
        <v>Strategy</v>
      </c>
      <c r="D646">
        <f>IF($A646="","",COUNTIF(connections!$A$2:$A$1526,$A646)+COUNTIF(connections!$B$2:$B$1526,$A646))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Empire</v>
      </c>
      <c r="B647">
        <f>IF($A647="","",games!$B647)</f>
        <v>2019</v>
      </c>
      <c r="C647" t="str">
        <f>IF($A647="","",games!$C647)</f>
        <v>Traditional</v>
      </c>
      <c r="D647">
        <f>IF($A647="","",COUNTIF(connections!$A$2:$A$1526,$A647)+COUNTIF(connections!$B$2:$B$1526,$A647))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Factory</v>
      </c>
      <c r="B648">
        <f>IF($A648="","",games!$B648)</f>
        <v>2026</v>
      </c>
      <c r="C648" t="str">
        <f>IF($A648="","",games!$C648)</f>
        <v>Action</v>
      </c>
      <c r="D648">
        <f>IF($A648="","",COUNTIF(connections!$A$2:$A$1526,$A648)+COUNTIF(connections!$B$2:$B$1526,$A648))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Flight</v>
      </c>
      <c r="B649">
        <f>IF($A649="","",games!$B649)</f>
        <v>2024</v>
      </c>
      <c r="C649" t="str">
        <f>IF($A649="","",games!$C649)</f>
        <v>Action</v>
      </c>
      <c r="D649">
        <f>IF($A649="","",COUNTIF(connections!$A$2:$A$1526,$A649)+COUNTIF(connections!$B$2:$B$1526,$A649))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Hearts Dungeon</v>
      </c>
      <c r="B650">
        <f>IF($A650="","",games!$B650)</f>
        <v>2007</v>
      </c>
      <c r="C650" t="str">
        <f>IF($A650="","",games!$C650)</f>
        <v>Traditional</v>
      </c>
      <c r="D650">
        <f>IF($A650="","",COUNTIF(connections!$A$2:$A$1526,$A650)+COUNTIF(connections!$B$2:$B$1526,$A650))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Heroes: Ruins of Tasos</v>
      </c>
      <c r="B651">
        <f>IF($A651="","",games!$B651)</f>
        <v>2021</v>
      </c>
      <c r="C651" t="str">
        <f>IF($A651="","",games!$C651)</f>
        <v>Action</v>
      </c>
      <c r="D651">
        <f>IF($A651="","",COUNTIF(connections!$A$2:$A$1526,$A651)+COUNTIF(connections!$B$2:$B$1526,$A651))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v>
      </c>
      <c r="B652">
        <f>IF($A652="","",games!$B652)</f>
        <v>2013</v>
      </c>
      <c r="C652" t="str">
        <f>IF($A652="","",games!$C652)</f>
        <v>Action</v>
      </c>
      <c r="D652">
        <f>IF($A652="","",COUNTIF(connections!$A$2:$A$1526,$A652)+COUNTIF(connections!$B$2:$B$1526,$A652))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Legacy 2</v>
      </c>
      <c r="B653">
        <f>IF($A653="","",games!$B653)</f>
        <v>2020</v>
      </c>
      <c r="C653" t="str">
        <f>IF($A653="","",games!$C653)</f>
        <v>Action</v>
      </c>
      <c r="D653">
        <f>IF($A653="","",COUNTIF(connections!$A$2:$A$1526,$A653)+COUNTIF(connections!$B$2:$B$1526,$A653))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Lords</v>
      </c>
      <c r="B654">
        <f>IF($A654="","",games!$B654)</f>
        <v>2021</v>
      </c>
      <c r="C654" t="str">
        <f>IF($A654="","",games!$C654)</f>
        <v>Strategy</v>
      </c>
      <c r="D654">
        <f>IF($A654="","",COUNTIF(connections!$A$2:$A$1526,$A654)+COUNTIF(connections!$B$2:$B$1526,$A654))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Tower</v>
      </c>
      <c r="B655">
        <f>IF($A655="","",games!$B655)</f>
        <v>2022</v>
      </c>
      <c r="C655" t="str">
        <f>IF($A655="","",games!$C655)</f>
        <v>Strategy</v>
      </c>
      <c r="D655">
        <f>IF($A655="","",COUNTIF(connections!$A$2:$A$1526,$A655)+COUNTIF(connections!$B$2:$B$1526,$A655))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Voltage</v>
      </c>
      <c r="B656">
        <f>IF($A656="","",games!$B656)</f>
        <v>2024</v>
      </c>
      <c r="C656" t="str">
        <f>IF($A656="","",games!$C656)</f>
        <v>Deckbuilder</v>
      </c>
      <c r="D656">
        <f>IF($A656="","",COUNTIF(connections!$A$2:$A$1526,$A656)+COUNTIF(connections!$B$2:$B$1526,$A656))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Wizards</v>
      </c>
      <c r="B657">
        <f>IF($A657="","",games!$B657)</f>
        <v>2016</v>
      </c>
      <c r="C657" t="str">
        <f>IF($A657="","",games!$C657)</f>
        <v>Strategy</v>
      </c>
      <c r="D657">
        <f>IF($A657="","",COUNTIF(connections!$A$2:$A$1526,$A657)+COUNTIF(connections!$B$2:$B$1526,$A657))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 Genesia</v>
      </c>
      <c r="B658">
        <f>IF($A658="","",games!$B658)</f>
        <v>2022</v>
      </c>
      <c r="C658" t="str">
        <f>IF($A658="","",games!$C658)</f>
        <v>Action</v>
      </c>
      <c r="D658">
        <f>IF($A658="","",COUNTIF(connections!$A$2:$A$1526,$A658)+COUNTIF(connections!$B$2:$B$1526,$A658))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Roguebook</v>
      </c>
      <c r="B659">
        <f>IF($A659="","",games!$B659)</f>
        <v>2021</v>
      </c>
      <c r="C659" t="str">
        <f>IF($A659="","",games!$C659)</f>
        <v>Deckbuilder</v>
      </c>
      <c r="D659">
        <f>IF($A659="","",COUNTIF(connections!$A$2:$A$1526,$A659)+COUNTIF(connections!$B$2:$B$1526,$A659))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Rogue-Fp</v>
      </c>
      <c r="B660">
        <f>IF($A660="","",games!$B660)</f>
        <v>2023</v>
      </c>
      <c r="C660" t="str">
        <f>IF($A660="","",games!$C660)</f>
        <v>Traditional</v>
      </c>
      <c r="D660">
        <f>IF($A660="","",COUNTIF(connections!$A$2:$A$1526,$A660)+COUNTIF(connections!$B$2:$B$1526,$A660))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RogueJack21</v>
      </c>
      <c r="B661">
        <f>IF($A661="","",games!$B661)</f>
        <v>2026</v>
      </c>
      <c r="C661" t="str">
        <f>IF($A661="","",games!$C661)</f>
        <v>Deckbuilder</v>
      </c>
      <c r="D661">
        <f>IF($A661="","",COUNTIF(connections!$A$2:$A$1526,$A661)+COUNTIF(connections!$B$2:$B$1526,$A661))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 Tale</v>
      </c>
      <c r="B662">
        <f>IF($A662="","",games!$B662)</f>
        <v>2014</v>
      </c>
      <c r="C662" t="str">
        <f>IF($A662="","",games!$C662)</f>
        <v>Traditional</v>
      </c>
      <c r="D662">
        <f>IF($A662="","",COUNTIF(connections!$A$2:$A$1526,$A662)+COUNTIF(connections!$B$2:$B$1526,$A662))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RogueSlide</v>
      </c>
      <c r="B663">
        <f>IF($A663="","",games!$B663)</f>
        <v>2022</v>
      </c>
      <c r="C663" t="str">
        <f>IF($A663="","",games!$C663)</f>
        <v>Strategy</v>
      </c>
      <c r="D663">
        <f>IF($A663="","",COUNTIF(connections!$A$2:$A$1526,$A663)+COUNTIF(connections!$B$2:$B$1526,$A663))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v>
      </c>
      <c r="B664">
        <f>IF($A664="","",games!$B664)</f>
        <v>2021</v>
      </c>
      <c r="C664" t="str">
        <f>IF($A664="","",games!$C664)</f>
        <v>Strategy</v>
      </c>
      <c r="D664">
        <f>IF($A664="","",COUNTIF(connections!$A$2:$A$1526,$A664)+COUNTIF(connections!$B$2:$B$1526,$A664))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RollScape</v>
      </c>
      <c r="B665">
        <f>IF($A665="","",games!$B665)</f>
        <v>2024</v>
      </c>
      <c r="C665" t="str">
        <f>IF($A665="","",games!$C665)</f>
        <v>Strategy</v>
      </c>
      <c r="D665">
        <f>IF($A665="","",COUNTIF(connections!$A$2:$A$1526,$A665)+COUNTIF(connections!$B$2:$B$1526,$A665))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Dungeon</v>
      </c>
      <c r="B666">
        <f>IF($A666="","",games!$B666)</f>
        <v>2026</v>
      </c>
      <c r="C666" t="str">
        <f>IF($A666="","",games!$C666)</f>
        <v>Deckbuilder</v>
      </c>
      <c r="D666">
        <f>IF($A666="","",COUNTIF(connections!$A$2:$A$1526,$A666)+COUNTIF(connections!$B$2:$B$1526,$A666))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Roulette Hero</v>
      </c>
      <c r="B667">
        <f>IF($A667="","",games!$B667)</f>
        <v>2025</v>
      </c>
      <c r="C667" t="str">
        <f>IF($A667="","",games!$C667)</f>
        <v>Deckbuilder</v>
      </c>
      <c r="D667">
        <f>IF($A667="","",COUNTIF(connections!$A$2:$A$1526,$A667)+COUNTIF(connections!$B$2:$B$1526,$A667))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Rounds</v>
      </c>
      <c r="B668">
        <f>IF($A668="","",games!$B668)</f>
        <v>2021</v>
      </c>
      <c r="C668" t="str">
        <f>IF($A668="","",games!$C668)</f>
        <v>Action</v>
      </c>
      <c r="D668">
        <f>IF($A668="","",COUNTIF(connections!$A$2:$A$1526,$A668)+COUNTIF(connections!$B$2:$B$1526,$A668))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 Dice</v>
      </c>
      <c r="B669">
        <f>IF($A669="","",games!$B669)</f>
        <v>2026</v>
      </c>
      <c r="C669" t="str">
        <f>IF($A669="","",games!$C669)</f>
        <v>Deckbuilder</v>
      </c>
      <c r="D669">
        <f>IF($A669="","",COUNTIF(connections!$A$2:$A$1526,$A669)+COUNTIF(connections!$B$2:$B$1526,$A669))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Runeborn</v>
      </c>
      <c r="B670">
        <f>IF($A670="","",games!$B670)</f>
        <v>2025</v>
      </c>
      <c r="C670" t="str">
        <f>IF($A670="","",games!$C670)</f>
        <v>Deckbuilder</v>
      </c>
      <c r="D670">
        <f>IF($A670="","",COUNTIF(connections!$A$2:$A$1526,$A670)+COUNTIF(connections!$B$2:$B$1526,$A670))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Runeveil</v>
      </c>
      <c r="B671">
        <f>IF($A671="","",games!$B671)</f>
        <v>2026</v>
      </c>
      <c r="C671" t="str">
        <f>IF($A671="","",games!$C671)</f>
        <v>Deckbuilder</v>
      </c>
      <c r="D671">
        <f>IF($A671="","",COUNTIF(connections!$A$2:$A$1526,$A671)+COUNTIF(connections!$B$2:$B$1526,$A671))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Rungore</v>
      </c>
      <c r="B672">
        <f>IF($A672="","",games!$B672)</f>
        <v>2023</v>
      </c>
      <c r="C672" t="str">
        <f>IF($A672="","",games!$C672)</f>
        <v>Deckbuilder</v>
      </c>
      <c r="D672">
        <f>IF($A672="","",COUNTIF(connections!$A$2:$A$1526,$A672)+COUNTIF(connections!$B$2:$B$1526,$A672))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Runic Survivor</v>
      </c>
      <c r="B673">
        <f>IF($A673="","",games!$B673)</f>
        <v>2022</v>
      </c>
      <c r="C673" t="str">
        <f>IF($A673="","",games!$C673)</f>
        <v>Action</v>
      </c>
      <c r="D673">
        <f>IF($A673="","",COUNTIF(connections!$A$2:$A$1526,$A673)+COUNTIF(connections!$B$2:$B$1526,$A673))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Sanae no Chou Tokkyuu: The Express Trial</v>
      </c>
      <c r="B674">
        <f>IF($A674="","",games!$B674)</f>
        <v>2010</v>
      </c>
      <c r="C674" t="str">
        <f>IF($A674="","",games!$C674)</f>
        <v>Traditional</v>
      </c>
      <c r="D674">
        <f>IF($A674="","",COUNTIF(connections!$A$2:$A$1526,$A674)+COUNTIF(connections!$B$2:$B$1526,$A674))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Sandwalkers</v>
      </c>
      <c r="B675">
        <f>IF($A675="","",games!$B675)</f>
        <v>2024</v>
      </c>
      <c r="C675" t="str">
        <f>IF($A675="","",games!$C675)</f>
        <v>Action</v>
      </c>
      <c r="D675">
        <f>IF($A675="","",COUNTIF(connections!$A$2:$A$1526,$A675)+COUNTIF(connections!$B$2:$B$1526,$A675))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Skips</v>
      </c>
      <c r="B676">
        <f>IF($A676="","",games!$B676)</f>
        <v>2026</v>
      </c>
      <c r="C676" t="str">
        <f>IF($A676="","",games!$C676)</f>
        <v>Action</v>
      </c>
      <c r="D676">
        <f>IF($A676="","",COUNTIF(connections!$A$2:$A$1526,$A676)+COUNTIF(connections!$B$2:$B$1526,$A676))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Scarlet Tower</v>
      </c>
      <c r="B677">
        <f>IF($A677="","",games!$B677)</f>
        <v>2022</v>
      </c>
      <c r="C677" t="str">
        <f>IF($A677="","",games!$C677)</f>
        <v>Action</v>
      </c>
      <c r="D677">
        <f>IF($A677="","",COUNTIF(connections!$A$2:$A$1526,$A677)+COUNTIF(connections!$B$2:$B$1526,$A677))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Schism</v>
      </c>
      <c r="B678">
        <f>IF($A678="","",games!$B678)</f>
        <v>2023</v>
      </c>
      <c r="C678" t="str">
        <f>IF($A678="","",games!$C678)</f>
        <v>Action</v>
      </c>
      <c r="D678">
        <f>IF($A678="","",COUNTIF(connections!$A$2:$A$1526,$A678)+COUNTIF(connections!$B$2:$B$1526,$A678))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Scourgebringer</v>
      </c>
      <c r="B679">
        <f>IF($A679="","",games!$B679)</f>
        <v>2020</v>
      </c>
      <c r="C679" t="str">
        <f>IF($A679="","",games!$C679)</f>
        <v>Action</v>
      </c>
      <c r="D679">
        <f>IF($A679="","",COUNTIF(connections!$A$2:$A$1526,$A679)+COUNTIF(connections!$B$2:$B$1526,$A679))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Sea of Survivors</v>
      </c>
      <c r="B680">
        <f>IF($A680="","",games!$B680)</f>
        <v>2023</v>
      </c>
      <c r="C680" t="str">
        <f>IF($A680="","",games!$C680)</f>
        <v>Action</v>
      </c>
      <c r="D680">
        <f>IF($A680="","",COUNTIF(connections!$A$2:$A$1526,$A680)+COUNTIF(connections!$B$2:$B$1526,$A680))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Section 13</v>
      </c>
      <c r="B681">
        <f>IF($A681="","",games!$B681)</f>
        <v>2023</v>
      </c>
      <c r="C681" t="str">
        <f>IF($A681="","",games!$C681)</f>
        <v>Action</v>
      </c>
      <c r="D681">
        <f>IF($A681="","",COUNTIF(connections!$A$2:$A$1526,$A681)+COUNTIF(connections!$B$2:$B$1526,$A681))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Seedborne Soldiers</v>
      </c>
      <c r="B682">
        <f>IF($A682="","",games!$B682)</f>
        <v>2025</v>
      </c>
      <c r="C682" t="str">
        <f>IF($A682="","",games!$C682)</f>
        <v>Strategy</v>
      </c>
      <c r="D682">
        <f>IF($A682="","",COUNTIF(connections!$A$2:$A$1526,$A682)+COUNTIF(connections!$B$2:$B$1526,$A682))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Sephiria</v>
      </c>
      <c r="B683">
        <f>IF($A683="","",games!$B683)</f>
        <v>2025</v>
      </c>
      <c r="C683" t="str">
        <f>IF($A683="","",games!$C683)</f>
        <v>Action</v>
      </c>
      <c r="D683">
        <f>IF($A683="","",COUNTIF(connections!$A$2:$A$1526,$A683)+COUNTIF(connections!$B$2:$B$1526,$A683))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Seraph's Last Stand</v>
      </c>
      <c r="B684">
        <f>IF($A684="","",games!$B684)</f>
        <v>2022</v>
      </c>
      <c r="C684" t="str">
        <f>IF($A684="","",games!$C684)</f>
        <v>Action</v>
      </c>
      <c r="D684">
        <f>IF($A684="","",COUNTIF(connections!$A$2:$A$1526,$A684)+COUNTIF(connections!$B$2:$B$1526,$A684))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Serpent's Gaze</v>
      </c>
      <c r="B685">
        <f>IF($A685="","",games!$B685)</f>
        <v>2026</v>
      </c>
      <c r="C685" t="str">
        <f>IF($A685="","",games!$C685)</f>
        <v>Action</v>
      </c>
      <c r="D685">
        <f>IF($A685="","",COUNTIF(connections!$A$2:$A$1526,$A685)+COUNTIF(connections!$B$2:$B$1526,$A685))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 of the Wyrm</v>
      </c>
      <c r="B686">
        <f>IF($A686="","",games!$B686)</f>
        <v>2015</v>
      </c>
      <c r="C686" t="str">
        <f>IF($A686="","",games!$C686)</f>
        <v>Traditional</v>
      </c>
      <c r="D686">
        <f>IF($A686="","",COUNTIF(connections!$A$2:$A$1526,$A686)+COUNTIF(connections!$B$2:$B$1526,$A686))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Shadowveil: Legend of The Five Rings</v>
      </c>
      <c r="B687">
        <f>IF($A687="","",games!$B687)</f>
        <v>2025</v>
      </c>
      <c r="C687" t="str">
        <f>IF($A687="","",games!$C687)</f>
        <v>Strategy</v>
      </c>
      <c r="D687">
        <f>IF($A687="","",COUNTIF(connections!$A$2:$A$1526,$A687)+COUNTIF(connections!$B$2:$B$1526,$A687))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of Dreams</v>
      </c>
      <c r="B688">
        <f>IF($A688="","",games!$B688)</f>
        <v>2025</v>
      </c>
      <c r="C688" t="str">
        <f>IF($A688="","",games!$C688)</f>
        <v>Action</v>
      </c>
      <c r="D688">
        <f>IF($A688="","",COUNTIF(connections!$A$2:$A$1526,$A688)+COUNTIF(connections!$B$2:$B$1526,$A688))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Shape Shifter: Formations</v>
      </c>
      <c r="B689">
        <f>IF($A689="","",games!$B689)</f>
        <v>2023</v>
      </c>
      <c r="C689" t="str">
        <f>IF($A689="","",games!$C689)</f>
        <v>Action</v>
      </c>
      <c r="D689">
        <f>IF($A689="","",COUNTIF(connections!$A$2:$A$1526,$A689)+COUNTIF(connections!$B$2:$B$1526,$A689))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Shard Squad</v>
      </c>
      <c r="B690">
        <f>IF($A690="","",games!$B690)</f>
        <v>2025</v>
      </c>
      <c r="C690" t="str">
        <f>IF($A690="","",games!$C690)</f>
        <v>Action</v>
      </c>
      <c r="D690">
        <f>IF($A690="","",COUNTIF(connections!$A$2:$A$1526,$A690)+COUNTIF(connections!$B$2:$B$1526,$A690))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Shattered Pixel Dungeon</v>
      </c>
      <c r="B691">
        <f>IF($A691="","",games!$B691)</f>
        <v>2014</v>
      </c>
      <c r="C691" t="str">
        <f>IF($A691="","",games!$C691)</f>
        <v>Traditional</v>
      </c>
      <c r="D691">
        <f>IF($A691="","",COUNTIF(connections!$A$2:$A$1526,$A691)+COUNTIF(connections!$B$2:$B$1526,$A691))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Ship of Fools</v>
      </c>
      <c r="B692">
        <f>IF($A692="","",games!$B692)</f>
        <v>2022</v>
      </c>
      <c r="C692" t="str">
        <f>IF($A692="","",games!$C692)</f>
        <v>Action</v>
      </c>
      <c r="D692">
        <f>IF($A692="","",COUNTIF(connections!$A$2:$A$1526,$A692)+COUNTIF(connections!$B$2:$B$1526,$A692))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(2008)</v>
      </c>
      <c r="B693">
        <f>IF($A693="","",games!$B693)</f>
        <v>2008</v>
      </c>
      <c r="C693" t="str">
        <f>IF($A693="","",games!$C693)</f>
        <v>Traditional</v>
      </c>
      <c r="D693">
        <f>IF($A693="","",COUNTIF(connections!$A$2:$A$1526,$A693)+COUNTIF(connections!$B$2:$B$1526,$A693))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2: Shiren's Castle and the Oni Invasion</v>
      </c>
      <c r="B694">
        <f>IF($A694="","",games!$B694)</f>
        <v>2000</v>
      </c>
      <c r="C694" t="str">
        <f>IF($A694="","",games!$C694)</f>
        <v>Traditional</v>
      </c>
      <c r="D694">
        <f>IF($A694="","",COUNTIF(connections!$A$2:$A$1526,$A694)+COUNTIF(connections!$B$2:$B$1526,$A694))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4: The Eye of God and the Devil's Navel</v>
      </c>
      <c r="B695">
        <f>IF($A695="","",games!$B695)</f>
        <v>2010</v>
      </c>
      <c r="C695" t="str">
        <f>IF($A695="","",games!$C695)</f>
        <v>Traditional</v>
      </c>
      <c r="D695">
        <f>IF($A695="","",COUNTIF(connections!$A$2:$A$1526,$A695)+COUNTIF(connections!$B$2:$B$1526,$A695))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Gaiden: Asuka the Swordswoman</v>
      </c>
      <c r="B696">
        <f>IF($A696="","",games!$B696)</f>
        <v>2002</v>
      </c>
      <c r="C696" t="str">
        <f>IF($A696="","",games!$C696)</f>
        <v>Traditional</v>
      </c>
      <c r="D696">
        <f>IF($A696="","",COUNTIF(connections!$A$2:$A$1526,$A696)+COUNTIF(connections!$B$2:$B$1526,$A696))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 Monster of Moonlight Village</v>
      </c>
      <c r="B697">
        <f>IF($A697="","",games!$B697)</f>
        <v>1996</v>
      </c>
      <c r="C697" t="str">
        <f>IF($A697="","",games!$C697)</f>
        <v>Traditional</v>
      </c>
      <c r="D697">
        <f>IF($A697="","",COUNTIF(connections!$A$2:$A$1526,$A697)+COUNTIF(connections!$B$2:$B$1526,$A697))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GB2: Magic Castle of the Desert</v>
      </c>
      <c r="B698">
        <f>IF($A698="","",games!$B698)</f>
        <v>2001</v>
      </c>
      <c r="C698" t="str">
        <f>IF($A698="","",games!$C698)</f>
        <v>Traditional</v>
      </c>
      <c r="D698">
        <f>IF($A698="","",COUNTIF(connections!$A$2:$A$1526,$A698)+COUNTIF(connections!$B$2:$B$1526,$A698))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Mystery Dungeon of Serpentcoil Island</v>
      </c>
      <c r="B699">
        <f>IF($A699="","",games!$B699)</f>
        <v>2024</v>
      </c>
      <c r="C699" t="str">
        <f>IF($A699="","",games!$C699)</f>
        <v>Traditional</v>
      </c>
      <c r="D699">
        <f>IF($A699="","",COUNTIF(connections!$A$2:$A$1526,$A699)+COUNTIF(connections!$B$2:$B$1526,$A699))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Shiren the Wanderer: The Tower of Fortune and the Dice of Fate</v>
      </c>
      <c r="B700">
        <f>IF($A700="","",games!$B700)</f>
        <v>2010</v>
      </c>
      <c r="C700" t="str">
        <f>IF($A700="","",games!$C700)</f>
        <v>Traditional</v>
      </c>
      <c r="D700">
        <f>IF($A700="","",COUNTIF(connections!$A$2:$A$1526,$A700)+COUNTIF(connections!$B$2:$B$1526,$A700))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Shogun Showdown</v>
      </c>
      <c r="B701">
        <f>IF($A701="","",games!$B701)</f>
        <v>2023</v>
      </c>
      <c r="C701" t="str">
        <f>IF($A701="","",games!$C701)</f>
        <v>Strategy</v>
      </c>
      <c r="D701">
        <f>IF($A701="","",COUNTIF(connections!$A$2:$A$1526,$A701)+COUNTIF(connections!$B$2:$B$1526,$A701))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Shoot First</v>
      </c>
      <c r="B702">
        <f>IF($A702="","",games!$B702)</f>
        <v>2010</v>
      </c>
      <c r="C702" t="str">
        <f>IF($A702="","",games!$C702)</f>
        <v>Action</v>
      </c>
      <c r="D702">
        <f>IF($A702="","",COUNTIF(connections!$A$2:$A$1526,$A702)+COUNTIF(connections!$B$2:$B$1526,$A702))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Shotgun King: The Final Checkmate</v>
      </c>
      <c r="B703">
        <f>IF($A703="","",games!$B703)</f>
        <v>2022</v>
      </c>
      <c r="C703" t="str">
        <f>IF($A703="","",games!$C703)</f>
        <v>Strategy</v>
      </c>
      <c r="D703">
        <f>IF($A703="","",COUNTIF(connections!$A$2:$A$1526,$A703)+COUNTIF(connections!$B$2:$B$1526,$A703))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Shovel Knight Dig</v>
      </c>
      <c r="B704">
        <f>IF($A704="","",games!$B704)</f>
        <v>2022</v>
      </c>
      <c r="C704" t="str">
        <f>IF($A704="","",games!$C704)</f>
        <v>Action</v>
      </c>
      <c r="D704">
        <f>IF($A704="","",COUNTIF(connections!$A$2:$A$1526,$A704)+COUNTIF(connections!$B$2:$B$1526,$A704))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Shroom and Gloom</v>
      </c>
      <c r="B705">
        <f>IF($A705="","",games!$B705)</f>
        <v>2026</v>
      </c>
      <c r="C705" t="str">
        <f>IF($A705="","",games!$C705)</f>
        <v>Deckbuilder</v>
      </c>
      <c r="D705">
        <f>IF($A705="","",COUNTIF(connections!$A$2:$A$1526,$A705)+COUNTIF(connections!$B$2:$B$1526,$A705))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Sil</v>
      </c>
      <c r="B706">
        <f>IF($A706="","",games!$B706)</f>
        <v>2012</v>
      </c>
      <c r="C706" t="str">
        <f>IF($A706="","",games!$C706)</f>
        <v>Traditional</v>
      </c>
      <c r="D706">
        <f>IF($A706="","",COUNTIF(connections!$A$2:$A$1526,$A706)+COUNTIF(connections!$B$2:$B$1526,$A706))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Sir, We Have an Orc Problem</v>
      </c>
      <c r="B707">
        <f>IF($A707="","",games!$B707)</f>
        <v>2026</v>
      </c>
      <c r="C707" t="str">
        <f>IF($A707="","",games!$C707)</f>
        <v>Strategy</v>
      </c>
      <c r="D707">
        <f>IF($A707="","",COUNTIF(connections!$A$2:$A$1526,$A707)+COUNTIF(connections!$B$2:$B$1526,$A707))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 The Hero Slayer</v>
      </c>
      <c r="B708">
        <f>IF($A708="","",games!$B708)</f>
        <v>2020</v>
      </c>
      <c r="C708" t="str">
        <f>IF($A708="","",games!$C708)</f>
        <v>Action</v>
      </c>
      <c r="D708">
        <f>IF($A708="","",COUNTIF(connections!$A$2:$A$1526,$A708)+COUNTIF(connections!$B$2:$B$1526,$A708))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Skull Horde</v>
      </c>
      <c r="B709">
        <f>IF($A709="","",games!$B709)</f>
        <v>2026</v>
      </c>
      <c r="C709" t="str">
        <f>IF($A709="","",games!$C709)</f>
        <v>Action</v>
      </c>
      <c r="D709">
        <f>IF($A709="","",COUNTIF(connections!$A$2:$A$1526,$A709)+COUNTIF(connections!$B$2:$B$1526,$A709))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 Rogue</v>
      </c>
      <c r="B710">
        <f>IF($A710="","",games!$B710)</f>
        <v>2014</v>
      </c>
      <c r="C710" t="str">
        <f>IF($A710="","",games!$C710)</f>
        <v>Action</v>
      </c>
      <c r="D710">
        <f>IF($A710="","",COUNTIF(connections!$A$2:$A$1526,$A710)+COUNTIF(connections!$B$2:$B$1526,$A710))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Sky's The Limit MAH-JONG</v>
      </c>
      <c r="B711">
        <f>IF($A711="","",games!$B711)</f>
        <v>2024</v>
      </c>
      <c r="C711" t="str">
        <f>IF($A711="","",games!$C711)</f>
        <v>Deckbuilder</v>
      </c>
      <c r="D711">
        <f>IF($A711="","",COUNTIF(connections!$A$2:$A$1526,$A711)+COUNTIF(connections!$B$2:$B$1526,$A711))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Slash'EM</v>
      </c>
      <c r="B712">
        <f>IF($A712="","",games!$B712)</f>
        <v>2006</v>
      </c>
      <c r="C712" t="str">
        <f>IF($A712="","",games!$C712)</f>
        <v>Traditional</v>
      </c>
      <c r="D712">
        <f>IF($A712="","",COUNTIF(connections!$A$2:$A$1526,$A712)+COUNTIF(connections!$B$2:$B$1526,$A712))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Slasher's Keep</v>
      </c>
      <c r="B713">
        <f>IF($A713="","",games!$B713)</f>
        <v>2018</v>
      </c>
      <c r="C713" t="str">
        <f>IF($A713="","",games!$C713)</f>
        <v>Action</v>
      </c>
      <c r="D713">
        <f>IF($A713="","",COUNTIF(connections!$A$2:$A$1526,$A713)+COUNTIF(connections!$B$2:$B$1526,$A713))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v>
      </c>
      <c r="B714">
        <f>IF($A714="","",games!$B714)</f>
        <v>2017</v>
      </c>
      <c r="C714" t="str">
        <f>IF($A714="","",games!$C714)</f>
        <v>Deckbuilder</v>
      </c>
      <c r="D714">
        <f>IF($A714="","",COUNTIF(connections!$A$2:$A$1526,$A714)+COUNTIF(connections!$B$2:$B$1526,$A714))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 the Spire 2</v>
      </c>
      <c r="B715">
        <f>IF($A715="","",games!$B715)</f>
        <v>2026</v>
      </c>
      <c r="C715" t="str">
        <f>IF($A715="","",games!$C715)</f>
        <v>Deckbuilder</v>
      </c>
      <c r="D715">
        <f>IF($A715="","",COUNTIF(connections!$A$2:$A$1526,$A715)+COUNTIF(connections!$B$2:$B$1526,$A715))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Slayblade</v>
      </c>
      <c r="B716">
        <f>IF($A716="","",games!$B716)</f>
        <v>2026</v>
      </c>
      <c r="C716" t="str">
        <f>IF($A716="","",games!$C716)</f>
        <v>Action</v>
      </c>
      <c r="D716">
        <f>IF($A716="","",COUNTIF(connections!$A$2:$A$1526,$A716)+COUNTIF(connections!$B$2:$B$1526,$A716))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Slice &amp; Dice</v>
      </c>
      <c r="B717">
        <f>IF($A717="","",games!$B717)</f>
        <v>2018</v>
      </c>
      <c r="C717" t="str">
        <f>IF($A717="","",games!$C717)</f>
        <v>Strategy</v>
      </c>
      <c r="D717">
        <f>IF($A717="","",COUNTIF(connections!$A$2:$A$1526,$A717)+COUNTIF(connections!$B$2:$B$1526,$A717))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Demake</v>
      </c>
      <c r="B718">
        <f>IF($A718="","",games!$B718)</f>
        <v>2024</v>
      </c>
      <c r="C718" t="str">
        <f>IF($A718="","",games!$C718)</f>
        <v>Action</v>
      </c>
      <c r="D718">
        <f>IF($A718="","",COUNTIF(connections!$A$2:$A$1526,$A718)+COUNTIF(connections!$B$2:$B$1526,$A718))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Slime 3K: Rise Against Despot</v>
      </c>
      <c r="B719">
        <f>IF($A719="","",games!$B719)</f>
        <v>2023</v>
      </c>
      <c r="C719" t="str">
        <f>IF($A719="","",games!$C719)</f>
        <v>Action</v>
      </c>
      <c r="D719">
        <f>IF($A719="","",COUNTIF(connections!$A$2:$A$1526,$A719)+COUNTIF(connections!$B$2:$B$1526,$A719))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&amp; Dungeons</v>
      </c>
      <c r="B720">
        <f>IF($A720="","",games!$B720)</f>
        <v>2025</v>
      </c>
      <c r="C720" t="str">
        <f>IF($A720="","",games!$C720)</f>
        <v>Deckbuilder</v>
      </c>
      <c r="D720">
        <f>IF($A720="","",COUNTIF(connections!$A$2:$A$1526,$A720)+COUNTIF(connections!$B$2:$B$1526,$A720))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 or Not</v>
      </c>
      <c r="B721">
        <f>IF($A721="","",games!$B721)</f>
        <v>2026</v>
      </c>
      <c r="C721" t="str">
        <f>IF($A721="","",games!$C721)</f>
        <v>Deckbuilder</v>
      </c>
      <c r="D721">
        <f>IF($A721="","",COUNTIF(connections!$A$2:$A$1526,$A721)+COUNTIF(connections!$B$2:$B$1526,$A721))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Slots &amp; Daggers</v>
      </c>
      <c r="B722">
        <f>IF($A722="","",games!$B722)</f>
        <v>2025</v>
      </c>
      <c r="C722" t="str">
        <f>IF($A722="","",games!$C722)</f>
        <v>Deckbuilder</v>
      </c>
      <c r="D722">
        <f>IF($A722="","",COUNTIF(connections!$A$2:$A$1526,$A722)+COUNTIF(connections!$B$2:$B$1526,$A722))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SNKRX</v>
      </c>
      <c r="B723">
        <f>IF($A723="","",games!$B723)</f>
        <v>2021</v>
      </c>
      <c r="C723" t="str">
        <f>IF($A723="","",games!$C723)</f>
        <v>Action</v>
      </c>
      <c r="D723">
        <f>IF($A723="","",COUNTIF(connections!$A$2:$A$1526,$A723)+COUNTIF(connections!$B$2:$B$1526,$A723))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Sodaman</v>
      </c>
      <c r="B724">
        <f>IF($A724="","",games!$B724)</f>
        <v>2025</v>
      </c>
      <c r="C724" t="str">
        <f>IF($A724="","",games!$C724)</f>
        <v>Action</v>
      </c>
      <c r="D724">
        <f>IF($A724="","",COUNTIF(connections!$A$2:$A$1526,$A724)+COUNTIF(connections!$B$2:$B$1526,$A724))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 Cesto</v>
      </c>
      <c r="B725">
        <f>IF($A725="","",games!$B725)</f>
        <v>2025</v>
      </c>
      <c r="C725" t="str">
        <f>IF($A725="","",games!$C725)</f>
        <v>Strategy</v>
      </c>
      <c r="D725">
        <f>IF($A725="","",COUNTIF(connections!$A$2:$A$1526,$A725)+COUNTIF(connections!$B$2:$B$1526,$A725))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Solitairica</v>
      </c>
      <c r="B726">
        <f>IF($A726="","",games!$B726)</f>
        <v>2016</v>
      </c>
      <c r="C726" t="str">
        <f>IF($A726="","",games!$C726)</f>
        <v>Deckbuilder</v>
      </c>
      <c r="D726">
        <f>IF($A726="","",COUNTIF(connections!$A$2:$A$1526,$A726)+COUNTIF(connections!$B$2:$B$1526,$A726))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v>
      </c>
      <c r="B727">
        <f>IF($A727="","",games!$B727)</f>
        <v>2022</v>
      </c>
      <c r="C727" t="str">
        <f>IF($A727="","",games!$C727)</f>
        <v>Traditional</v>
      </c>
      <c r="D727">
        <f>IF($A727="","",COUNTIF(connections!$A$2:$A$1526,$A727)+COUNTIF(connections!$B$2:$B$1526,$A727))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Soulash 2</v>
      </c>
      <c r="B728">
        <f>IF($A728="","",games!$B728)</f>
        <v>2023</v>
      </c>
      <c r="C728" t="str">
        <f>IF($A728="","",games!$C728)</f>
        <v>Traditional</v>
      </c>
      <c r="D728">
        <f>IF($A728="","",COUNTIF(connections!$A$2:$A$1526,$A728)+COUNTIF(connections!$B$2:$B$1526,$A728))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Soulstone Survivors</v>
      </c>
      <c r="B729">
        <f>IF($A729="","",games!$B729)</f>
        <v>2022</v>
      </c>
      <c r="C729" t="str">
        <f>IF($A729="","",games!$C729)</f>
        <v>Action</v>
      </c>
      <c r="D729">
        <f>IF($A729="","",COUNTIF(connections!$A$2:$A$1526,$A729)+COUNTIF(connections!$B$2:$B$1526,$A729))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Source of Madness</v>
      </c>
      <c r="B730">
        <f>IF($A730="","",games!$B730)</f>
        <v>2021</v>
      </c>
      <c r="C730" t="str">
        <f>IF($A730="","",games!$C730)</f>
        <v>Action</v>
      </c>
      <c r="D730">
        <f>IF($A730="","",COUNTIF(connections!$A$2:$A$1526,$A730)+COUNTIF(connections!$B$2:$B$1526,$A730))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Beast Terror Fright</v>
      </c>
      <c r="B731">
        <f>IF($A731="","",games!$B731)</f>
        <v>2015</v>
      </c>
      <c r="C731" t="str">
        <f>IF($A731="","",games!$C731)</f>
        <v>Action</v>
      </c>
      <c r="D731">
        <f>IF($A731="","",COUNTIF(connections!$A$2:$A$1526,$A731)+COUNTIF(connections!$B$2:$B$1526,$A731))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Gladiators</v>
      </c>
      <c r="B732">
        <f>IF($A732="","",games!$B732)</f>
        <v>2019</v>
      </c>
      <c r="C732" t="str">
        <f>IF($A732="","",games!$C732)</f>
        <v>Action</v>
      </c>
      <c r="D732">
        <f>IF($A732="","",COUNTIF(connections!$A$2:$A$1526,$A732)+COUNTIF(connections!$B$2:$B$1526,$A732))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Grunts</v>
      </c>
      <c r="B733">
        <f>IF($A733="","",games!$B733)</f>
        <v>2016</v>
      </c>
      <c r="C733" t="str">
        <f>IF($A733="","",games!$C733)</f>
        <v>Traditional</v>
      </c>
      <c r="D733">
        <f>IF($A733="","",COUNTIF(connections!$A$2:$A$1526,$A733)+COUNTIF(connections!$B$2:$B$1526,$A733))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Space Prison</v>
      </c>
      <c r="B734">
        <f>IF($A734="","",games!$B734)</f>
        <v>2024</v>
      </c>
      <c r="C734" t="str">
        <f>IF($A734="","",games!$C734)</f>
        <v>Strategy</v>
      </c>
      <c r="D734">
        <f>IF($A734="","",COUNTIF(connections!$A$2:$A$1526,$A734)+COUNTIF(connections!$B$2:$B$1526,$A734))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Sparklite</v>
      </c>
      <c r="B735">
        <f>IF($A735="","",games!$B735)</f>
        <v>2019</v>
      </c>
      <c r="C735" t="str">
        <f>IF($A735="","",games!$C735)</f>
        <v>Action</v>
      </c>
      <c r="D735">
        <f>IF($A735="","",COUNTIF(connections!$A$2:$A$1526,$A735)+COUNTIF(connections!$B$2:$B$1526,$A735))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Spellbook Demonslayers</v>
      </c>
      <c r="B736">
        <f>IF($A736="","",games!$B736)</f>
        <v>2022</v>
      </c>
      <c r="C736" t="str">
        <f>IF($A736="","",games!$C736)</f>
        <v>Action</v>
      </c>
      <c r="D736">
        <f>IF($A736="","",COUNTIF(connections!$A$2:$A$1526,$A736)+COUNTIF(connections!$B$2:$B$1526,$A736))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Spellmasons</v>
      </c>
      <c r="B737">
        <f>IF($A737="","",games!$B737)</f>
        <v>2023</v>
      </c>
      <c r="C737" t="str">
        <f>IF($A737="","",games!$C737)</f>
        <v>Strategy</v>
      </c>
      <c r="D737">
        <f>IF($A737="","",COUNTIF(connections!$A$2:$A$1526,$A737)+COUNTIF(connections!$B$2:$B$1526,$A737))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SpellRogue</v>
      </c>
      <c r="B738">
        <f>IF($A738="","",games!$B738)</f>
        <v>2024</v>
      </c>
      <c r="C738" t="str">
        <f>IF($A738="","",games!$C738)</f>
        <v>Deckbuilder</v>
      </c>
      <c r="D738">
        <f>IF($A738="","",COUNTIF(connections!$A$2:$A$1526,$A738)+COUNTIF(connections!$B$2:$B$1526,$A738))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v>
      </c>
      <c r="B739">
        <f>IF($A739="","",games!$B739)</f>
        <v>2012</v>
      </c>
      <c r="C739" t="str">
        <f>IF($A739="","",games!$C739)</f>
        <v>Action</v>
      </c>
      <c r="D739">
        <f>IF($A739="","",COUNTIF(connections!$A$2:$A$1526,$A739)+COUNTIF(connections!$B$2:$B$1526,$A739))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2</v>
      </c>
      <c r="B740">
        <f>IF($A740="","",games!$B740)</f>
        <v>2020</v>
      </c>
      <c r="C740" t="str">
        <f>IF($A740="","",games!$C740)</f>
        <v>Action</v>
      </c>
      <c r="D740">
        <f>IF($A740="","",COUNTIF(connections!$A$2:$A$1526,$A740)+COUNTIF(connections!$B$2:$B$1526,$A740))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Spelunky Classic</v>
      </c>
      <c r="B741">
        <f>IF($A741="","",games!$B741)</f>
        <v>2008</v>
      </c>
      <c r="C741" t="str">
        <f>IF($A741="","",games!$C741)</f>
        <v>Action</v>
      </c>
      <c r="D741">
        <f>IF($A741="","",COUNTIF(connections!$A$2:$A$1526,$A741)+COUNTIF(connections!$B$2:$B$1526,$A741))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Spin Hero</v>
      </c>
      <c r="B742">
        <f>IF($A742="","",games!$B742)</f>
        <v>2024</v>
      </c>
      <c r="C742" t="str">
        <f>IF($A742="","",games!$C742)</f>
        <v>Deckbuilder</v>
      </c>
      <c r="D742">
        <f>IF($A742="","",COUNTIF(connections!$A$2:$A$1526,$A742)+COUNTIF(connections!$B$2:$B$1526,$A742))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 Hunters: Infinite Horde</v>
      </c>
      <c r="B743">
        <f>IF($A743="","",games!$B743)</f>
        <v>2022</v>
      </c>
      <c r="C743" t="str">
        <f>IF($A743="","",games!$C743)</f>
        <v>Action</v>
      </c>
      <c r="D743">
        <f>IF($A743="","",COUNTIF(connections!$A$2:$A$1526,$A743)+COUNTIF(connections!$B$2:$B$1526,$A743))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Spiritfall</v>
      </c>
      <c r="B744">
        <f>IF($A744="","",games!$B744)</f>
        <v>2023</v>
      </c>
      <c r="C744" t="str">
        <f>IF($A744="","",games!$C744)</f>
        <v>Action</v>
      </c>
      <c r="D744">
        <f>IF($A744="","",COUNTIF(connections!$A$2:$A$1526,$A744)+COUNTIF(connections!$B$2:$B$1526,$A744))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Spirits Abyss</v>
      </c>
      <c r="B745">
        <f>IF($A745="","",games!$B745)</f>
        <v>2019</v>
      </c>
      <c r="C745" t="str">
        <f>IF($A745="","",games!$C745)</f>
        <v>Action</v>
      </c>
      <c r="D745">
        <f>IF($A745="","",COUNTIF(connections!$A$2:$A$1526,$A745)+COUNTIF(connections!$B$2:$B$1526,$A745))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Sproggiwood</v>
      </c>
      <c r="B746">
        <f>IF($A746="","",games!$B746)</f>
        <v>2014</v>
      </c>
      <c r="C746" t="str">
        <f>IF($A746="","",games!$C746)</f>
        <v>Traditional</v>
      </c>
      <c r="D746">
        <f>IF($A746="","",COUNTIF(connections!$A$2:$A$1526,$A746)+COUNTIF(connections!$B$2:$B$1526,$A746))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Squeaky Squad</v>
      </c>
      <c r="B747">
        <f>IF($A747="","",games!$B747)</f>
        <v>2024</v>
      </c>
      <c r="C747" t="str">
        <f>IF($A747="","",games!$C747)</f>
        <v>Action</v>
      </c>
      <c r="D747">
        <f>IF($A747="","",COUNTIF(connections!$A$2:$A$1526,$A747)+COUNTIF(connections!$B$2:$B$1526,$A747))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Stackflow</v>
      </c>
      <c r="B748">
        <f>IF($A748="","",games!$B748)</f>
        <v>2025</v>
      </c>
      <c r="C748" t="str">
        <f>IF($A748="","",games!$C748)</f>
        <v>Deckbuilder</v>
      </c>
      <c r="D748">
        <f>IF($A748="","",COUNTIF(connections!$A$2:$A$1526,$A748)+COUNTIF(connections!$B$2:$B$1526,$A748))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of Providence</v>
      </c>
      <c r="B749">
        <f>IF($A749="","",games!$B749)</f>
        <v>2017</v>
      </c>
      <c r="C749" t="str">
        <f>IF($A749="","",games!$C749)</f>
        <v>Action</v>
      </c>
      <c r="D749">
        <f>IF($A749="","",COUNTIF(connections!$A$2:$A$1526,$A749)+COUNTIF(connections!$B$2:$B$1526,$A749))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Renegades</v>
      </c>
      <c r="B750">
        <f>IF($A750="","",games!$B750)</f>
        <v>2020</v>
      </c>
      <c r="C750" t="str">
        <f>IF($A750="","",games!$C750)</f>
        <v>Strategy</v>
      </c>
      <c r="D750">
        <f>IF($A750="","",COUNTIF(connections!$A$2:$A$1526,$A750)+COUNTIF(connections!$B$2:$B$1526,$A750))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Survivor</v>
      </c>
      <c r="B751">
        <f>IF($A751="","",games!$B751)</f>
        <v>2023</v>
      </c>
      <c r="C751" t="str">
        <f>IF($A751="","",games!$C751)</f>
        <v>Action</v>
      </c>
      <c r="D751">
        <f>IF($A751="","",COUNTIF(connections!$A$2:$A$1526,$A751)+COUNTIF(connections!$B$2:$B$1526,$A751))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 Wars: Galactic Racer</v>
      </c>
      <c r="B752">
        <f>IF($A752="","",games!$B752)</f>
        <v>2026</v>
      </c>
      <c r="C752" t="str">
        <f>IF($A752="","",games!$C752)</f>
        <v>Action</v>
      </c>
      <c r="D752">
        <f>IF($A752="","",COUNTIF(connections!$A$2:$A$1526,$A752)+COUNTIF(connections!$B$2:$B$1526,$A752))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Starlight Revolver</v>
      </c>
      <c r="B753">
        <f>IF($A753="","",games!$B753)</f>
        <v>2025</v>
      </c>
      <c r="C753" t="str">
        <f>IF($A753="","",games!$C753)</f>
        <v>Action</v>
      </c>
      <c r="D753">
        <f>IF($A753="","",COUNTIF(connections!$A$2:$A$1526,$A753)+COUNTIF(connections!$B$2:$B$1526,$A753))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StarVaders</v>
      </c>
      <c r="B754">
        <f>IF($A754="","",games!$B754)</f>
        <v>2025</v>
      </c>
      <c r="C754" t="str">
        <f>IF($A754="","",games!$C754)</f>
        <v>Deckbuilder</v>
      </c>
      <c r="D754">
        <f>IF($A754="","",COUNTIF(connections!$A$2:$A$1526,$A754)+COUNTIF(connections!$B$2:$B$1526,$A754))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Steve's Warehouse: Physics. Roguelike. Chaos.</v>
      </c>
      <c r="B755">
        <f>IF($A755="","",games!$B755)</f>
        <v>2025</v>
      </c>
      <c r="C755" t="str">
        <f>IF($A755="","",games!$C755)</f>
        <v>Deckbuilder</v>
      </c>
      <c r="D755">
        <f>IF($A755="","",COUNTIF(connections!$A$2:$A$1526,$A755)+COUNTIF(connections!$B$2:$B$1526,$A755))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Stick It to the Stickman</v>
      </c>
      <c r="B756">
        <f>IF($A756="","",games!$B756)</f>
        <v>2025</v>
      </c>
      <c r="C756" t="str">
        <f>IF($A756="","",games!$C756)</f>
        <v>Action</v>
      </c>
      <c r="D756">
        <f>IF($A756="","",COUNTIF(connections!$A$2:$A$1526,$A756)+COUNTIF(connections!$B$2:$B$1526,$A756))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Stolen Realm Survivors</v>
      </c>
      <c r="B757">
        <f>IF($A757="","",games!$B757)</f>
        <v>2026</v>
      </c>
      <c r="C757" t="str">
        <f>IF($A757="","",games!$C757)</f>
        <v>Action</v>
      </c>
      <c r="D757">
        <f>IF($A757="","",COUNTIF(connections!$A$2:$A$1526,$A757)+COUNTIF(connections!$B$2:$B$1526,$A757))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Stoneshard</v>
      </c>
      <c r="B758">
        <f>IF($A758="","",games!$B758)</f>
        <v>2020</v>
      </c>
      <c r="C758" t="str">
        <f>IF($A758="","",games!$C758)</f>
        <v>Traditional</v>
      </c>
      <c r="D758">
        <f>IF($A758="","",COUNTIF(connections!$A$2:$A$1526,$A758)+COUNTIF(connections!$B$2:$B$1526,$A758))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4.0007580000000003</v>
      </c>
      <c r="P758" t="str">
        <f>IF(OR($A758="",games!$H758=""),"",games!$H758)</f>
        <v/>
      </c>
      <c r="Q758" t="str">
        <f t="shared" si="154"/>
        <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Stories from the Outbreak</v>
      </c>
      <c r="B759">
        <f>IF($A759="","",games!$B759)</f>
        <v>2023</v>
      </c>
      <c r="C759" t="str">
        <f>IF($A759="","",games!$C759)</f>
        <v>Strategy</v>
      </c>
      <c r="D759">
        <f>IF($A759="","",COUNTIF(connections!$A$2:$A$1526,$A759)+COUNTIF(connections!$B$2:$B$1526,$A759))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Strafe</v>
      </c>
      <c r="B760">
        <f>IF($A760="","",games!$B760)</f>
        <v>2017</v>
      </c>
      <c r="C760" t="str">
        <f>IF($A760="","",games!$C760)</f>
        <v>Action</v>
      </c>
      <c r="D760">
        <f>IF($A760="","",COUNTIF(connections!$A$2:$A$1526,$A760)+COUNTIF(connections!$B$2:$B$1526,$A760))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Strange Adventures in Infinite Space</v>
      </c>
      <c r="B761">
        <f>IF($A761="","",games!$B761)</f>
        <v>2002</v>
      </c>
      <c r="C761" t="str">
        <f>IF($A761="","",games!$C761)</f>
        <v>Strategy</v>
      </c>
      <c r="D761">
        <f>IF($A761="","",COUNTIF(connections!$A$2:$A$1526,$A761)+COUNTIF(connections!$B$2:$B$1526,$A761))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Stray Path</v>
      </c>
      <c r="B762">
        <f>IF($A762="","",games!$B762)</f>
        <v>2025</v>
      </c>
      <c r="C762" t="str">
        <f>IF($A762="","",games!$C762)</f>
        <v>Strategy</v>
      </c>
      <c r="D762">
        <f>IF($A762="","",COUNTIF(connections!$A$2:$A$1526,$A762)+COUNTIF(connections!$B$2:$B$1526,$A762))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Streets of Rogue</v>
      </c>
      <c r="B763">
        <f>IF($A763="","",games!$B763)</f>
        <v>2019</v>
      </c>
      <c r="C763" t="str">
        <f>IF($A763="","",games!$C763)</f>
        <v>Action</v>
      </c>
      <c r="D763">
        <f>IF($A763="","",COUNTIF(connections!$A$2:$A$1526,$A763)+COUNTIF(connections!$B$2:$B$1526,$A763))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SULFUR</v>
      </c>
      <c r="B764">
        <f>IF($A764="","",games!$B764)</f>
        <v>2024</v>
      </c>
      <c r="C764" t="str">
        <f>IF($A764="","",games!$C764)</f>
        <v>Action</v>
      </c>
      <c r="D764">
        <f>IF($A764="","",COUNTIF(connections!$A$2:$A$1526,$A764)+COUNTIF(connections!$B$2:$B$1526,$A764))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Sundered</v>
      </c>
      <c r="B765">
        <f>IF($A765="","",games!$B765)</f>
        <v>2017</v>
      </c>
      <c r="C765" t="str">
        <f>IF($A765="","",games!$C765)</f>
        <v>Action</v>
      </c>
      <c r="D765">
        <f>IF($A765="","",COUNTIF(connections!$A$2:$A$1526,$A765)+COUNTIF(connections!$B$2:$B$1526,$A765))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Sunless Sea</v>
      </c>
      <c r="B766">
        <f>IF($A766="","",games!$B766)</f>
        <v>2015</v>
      </c>
      <c r="C766" t="str">
        <f>IF($A766="","",games!$C766)</f>
        <v>Strategy</v>
      </c>
      <c r="D766">
        <f>IF($A766="","",COUNTIF(connections!$A$2:$A$1526,$A766)+COUNTIF(connections!$B$2:$B$1526,$A766))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Auto Pets</v>
      </c>
      <c r="B767">
        <f>IF($A767="","",games!$B767)</f>
        <v>2021</v>
      </c>
      <c r="C767" t="str">
        <f>IF($A767="","",games!$C767)</f>
        <v>Strategy</v>
      </c>
      <c r="D767">
        <f>IF($A767="","",COUNTIF(connections!$A$2:$A$1526,$A767)+COUNTIF(connections!$B$2:$B$1526,$A767))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Bullet Break</v>
      </c>
      <c r="B768">
        <f>IF($A768="","",games!$B768)</f>
        <v>2022</v>
      </c>
      <c r="C768" t="str">
        <f>IF($A768="","",games!$C768)</f>
        <v>Deckbuilder</v>
      </c>
      <c r="D768">
        <f>IF($A768="","",COUNTIF(connections!$A$2:$A$1526,$A768)+COUNTIF(connections!$B$2:$B$1526,$A768))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Fantasy Kingdom</v>
      </c>
      <c r="B769">
        <f>IF($A769="","",games!$B769)</f>
        <v>2025</v>
      </c>
      <c r="C769" t="str">
        <f>IF($A769="","",games!$C769)</f>
        <v>Strategy</v>
      </c>
      <c r="D769">
        <f>IF($A769="","",COUNTIF(connections!$A$2:$A$1526,$A769)+COUNTIF(connections!$B$2:$B$1526,$A769))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House of Dead Ninjas</v>
      </c>
      <c r="B770">
        <f>IF($A770="","",games!$B770)</f>
        <v>2013</v>
      </c>
      <c r="C770" t="str">
        <f>IF($A770="","",games!$C770)</f>
        <v>Action</v>
      </c>
      <c r="D770">
        <f>IF($A770="","",COUNTIF(connections!$A$2:$A$1526,$A770)+COUNTIF(connections!$B$2:$B$1526,$A770))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Super Tax City</v>
      </c>
      <c r="B771">
        <f>IF($A771="","",games!$B771)</f>
        <v>2025</v>
      </c>
      <c r="C771" t="str">
        <f>IF($A771="","",games!$C771)</f>
        <v>Deckbuilder</v>
      </c>
      <c r="D771">
        <f>IF($A771="","",COUNTIF(connections!$A$2:$A$1526,$A771)+COUNTIF(connections!$B$2:$B$1526,$A771))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Swapmeat</v>
      </c>
      <c r="B772">
        <f>IF($A772="","",games!$B772)</f>
        <v>2025</v>
      </c>
      <c r="C772" t="str">
        <f>IF($A772="","",games!$C772)</f>
        <v>Action</v>
      </c>
      <c r="D772">
        <f>IF($A772="","",COUNTIF(connections!$A$2:$A$1526,$A772)+COUNTIF(connections!$B$2:$B$1526,$A772))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Swarm Grinder</v>
      </c>
      <c r="B773">
        <f>IF($A773="","",games!$B773)</f>
        <v>2023</v>
      </c>
      <c r="C773" t="str">
        <f>IF($A773="","",games!$C773)</f>
        <v>Action</v>
      </c>
      <c r="D773">
        <f>IF($A773="","",COUNTIF(connections!$A$2:$A$1526,$A773)+COUNTIF(connections!$B$2:$B$1526,$A773))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Switchcars</v>
      </c>
      <c r="B774">
        <f>IF($A774="","",games!$B774)</f>
        <v>2016</v>
      </c>
      <c r="C774" t="str">
        <f>IF($A774="","",games!$C774)</f>
        <v>Action</v>
      </c>
      <c r="D774">
        <f>IF($A774="","",COUNTIF(connections!$A$2:$A$1526,$A774)+COUNTIF(connections!$B$2:$B$1526,$A774))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Fargoal</v>
      </c>
      <c r="B775">
        <f>IF($A775="","",games!$B775)</f>
        <v>1982</v>
      </c>
      <c r="C775" t="str">
        <f>IF($A775="","",games!$C775)</f>
        <v>Traditional</v>
      </c>
      <c r="D775">
        <f>IF($A775="","",COUNTIF(connections!$A$2:$A$1526,$A775)+COUNTIF(connections!$B$2:$B$1526,$A775))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v>
      </c>
      <c r="B776">
        <f>IF($A776="","",games!$B776)</f>
        <v>2021</v>
      </c>
      <c r="C776" t="str">
        <f>IF($A776="","",games!$C776)</f>
        <v>Action</v>
      </c>
      <c r="D776">
        <f>IF($A776="","",COUNTIF(connections!$A$2:$A$1526,$A776)+COUNTIF(connections!$B$2:$B$1526,$A776))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Necromancer: Resurrection</v>
      </c>
      <c r="B777">
        <f>IF($A777="","",games!$B777)</f>
        <v>2025</v>
      </c>
      <c r="C777" t="str">
        <f>IF($A777="","",games!$C777)</f>
        <v>Action</v>
      </c>
      <c r="D777">
        <f>IF($A777="","",COUNTIF(connections!$A$2:$A$1526,$A777)+COUNTIF(connections!$B$2:$B$1526,$A777))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 of the Stars: The Pit</v>
      </c>
      <c r="B778">
        <f>IF($A778="","",games!$B778)</f>
        <v>2013</v>
      </c>
      <c r="C778" t="str">
        <f>IF($A778="","",games!$C778)</f>
        <v>Traditional</v>
      </c>
      <c r="D778">
        <f>IF($A778="","",COUNTIF(connections!$A$2:$A$1526,$A778)+COUNTIF(connections!$B$2:$B$1526,$A778))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Swordship</v>
      </c>
      <c r="B779">
        <f>IF($A779="","",games!$B779)</f>
        <v>2022</v>
      </c>
      <c r="C779" t="str">
        <f>IF($A779="","",games!$C779)</f>
        <v>Action</v>
      </c>
      <c r="D779">
        <f>IF($A779="","",COUNTIF(connections!$A$2:$A$1526,$A779)+COUNTIF(connections!$B$2:$B$1526,$A779))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Sworn</v>
      </c>
      <c r="B780">
        <f>IF($A780="","",games!$B780)</f>
        <v>2025</v>
      </c>
      <c r="C780" t="str">
        <f>IF($A780="","",games!$C780)</f>
        <v>Action</v>
      </c>
      <c r="D780">
        <f>IF($A780="","",COUNTIF(connections!$A$2:$A$1526,$A780)+COUNTIF(connections!$B$2:$B$1526,$A780))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2</v>
      </c>
      <c r="B781">
        <f>IF($A781="","",games!$B781)</f>
        <v>2021</v>
      </c>
      <c r="C781" t="str">
        <f>IF($A781="","",games!$C781)</f>
        <v>Action</v>
      </c>
      <c r="D781">
        <f>IF($A781="","",COUNTIF(connections!$A$2:$A$1526,$A781)+COUNTIF(connections!$B$2:$B$1526,$A781))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Synthetik: Legion Rising</v>
      </c>
      <c r="B782">
        <f>IF($A782="","",games!$B782)</f>
        <v>2018</v>
      </c>
      <c r="C782" t="str">
        <f>IF($A782="","",games!$C782)</f>
        <v>Action</v>
      </c>
      <c r="D782">
        <f>IF($A782="","",COUNTIF(connections!$A$2:$A$1526,$A782)+COUNTIF(connections!$B$2:$B$1526,$A782))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Tabletop Tavern</v>
      </c>
      <c r="B783">
        <f>IF($A783="","",games!$B783)</f>
        <v>2026</v>
      </c>
      <c r="C783" t="str">
        <f>IF($A783="","",games!$C783)</f>
        <v>Strategy</v>
      </c>
      <c r="D783">
        <f>IF($A783="","",COUNTIF(connections!$A$2:$A$1526,$A783)+COUNTIF(connections!$B$2:$B$1526,$A783))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Tainted Grail: Conquest</v>
      </c>
      <c r="B784">
        <f>IF($A784="","",games!$B784)</f>
        <v>2020</v>
      </c>
      <c r="C784" t="str">
        <f>IF($A784="","",games!$C784)</f>
        <v>Deckbuilder</v>
      </c>
      <c r="D784">
        <f>IF($A784="","",COUNTIF(connections!$A$2:$A$1526,$A784)+COUNTIF(connections!$B$2:$B$1526,$A784))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Talented</v>
      </c>
      <c r="B785">
        <f>IF($A785="","",games!$B785)</f>
        <v>2023</v>
      </c>
      <c r="C785" t="str">
        <f>IF($A785="","",games!$C785)</f>
        <v>Action</v>
      </c>
      <c r="D785">
        <f>IF($A785="","",COUNTIF(connections!$A$2:$A$1526,$A785)+COUNTIF(connections!$B$2:$B$1526,$A785))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 of Maj'Eyal</v>
      </c>
      <c r="B786">
        <f>IF($A786="","",games!$B786)</f>
        <v>1998</v>
      </c>
      <c r="C786" t="str">
        <f>IF($A786="","",games!$C786)</f>
        <v>Traditional</v>
      </c>
      <c r="D786">
        <f>IF($A786="","",COUNTIF(connections!$A$2:$A$1526,$A786)+COUNTIF(connections!$B$2:$B$1526,$A786))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Talespinner</v>
      </c>
      <c r="B787">
        <f>IF($A787="","",games!$B787)</f>
        <v>2026</v>
      </c>
      <c r="C787" t="str">
        <f>IF($A787="","",games!$C787)</f>
        <v>Deckbuilder</v>
      </c>
      <c r="D787">
        <f>IF($A787="","",COUNTIF(connections!$A$2:$A$1526,$A787)+COUNTIF(connections!$B$2:$B$1526,$A787))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Tangledeep</v>
      </c>
      <c r="B788">
        <f>IF($A788="","",games!$B788)</f>
        <v>2017</v>
      </c>
      <c r="C788" t="str">
        <f>IF($A788="","",games!$C788)</f>
        <v>Traditional</v>
      </c>
      <c r="D788">
        <f>IF($A788="","",COUNTIF(connections!$A$2:$A$1526,$A788)+COUNTIF(connections!$B$2:$B$1526,$A788))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Tangy TD</v>
      </c>
      <c r="B789">
        <f>IF($A789="","",games!$B789)</f>
        <v>2026</v>
      </c>
      <c r="C789" t="str">
        <f>IF($A789="","",games!$C789)</f>
        <v>Strategy</v>
      </c>
      <c r="D789">
        <f>IF($A789="","",COUNTIF(connections!$A$2:$A$1526,$A789)+COUNTIF(connections!$B$2:$B$1526,$A789))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IF($A790="","",COUNTIF(connections!$A$2:$A$1526,$A790)+COUNTIF(connections!$B$2:$B$1526,$A790))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Tape to Tape</v>
      </c>
      <c r="B791">
        <f>IF($A791="","",games!$B791)</f>
        <v>2023</v>
      </c>
      <c r="C791" t="str">
        <f>IF($A791="","",games!$C791)</f>
        <v>Action</v>
      </c>
      <c r="D791">
        <f>IF($A791="","",COUNTIF(connections!$A$2:$A$1526,$A791)+COUNTIF(connections!$B$2:$B$1526,$A791))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Teamfight Tactics</v>
      </c>
      <c r="B792">
        <f>IF($A792="","",games!$B792)</f>
        <v>2019</v>
      </c>
      <c r="C792" t="str">
        <f>IF($A792="","",games!$C792)</f>
        <v>Strategy</v>
      </c>
      <c r="D792">
        <f>IF($A792="","",COUNTIF(connections!$A$2:$A$1526,$A792)+COUNTIF(connections!$B$2:$B$1526,$A792))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Tears of Metal</v>
      </c>
      <c r="B793">
        <f>IF($A793="","",games!$B793)</f>
        <v>2026</v>
      </c>
      <c r="C793" t="str">
        <f>IF($A793="","",games!$C793)</f>
        <v>Action</v>
      </c>
      <c r="D793">
        <f>IF($A793="","",COUNTIF(connections!$A$2:$A$1526,$A793)+COUNTIF(connections!$B$2:$B$1526,$A793))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Teenage Mutant Ninja Turtles: Splintered Fate</v>
      </c>
      <c r="B794">
        <f>IF($A794="","",games!$B794)</f>
        <v>2024</v>
      </c>
      <c r="C794" t="str">
        <f>IF($A794="","",games!$C794)</f>
        <v>Action</v>
      </c>
      <c r="D794">
        <f>IF($A794="","",COUNTIF(connections!$A$2:$A$1526,$A794)+COUNTIF(connections!$B$2:$B$1526,$A794))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Temtem: Swarm</v>
      </c>
      <c r="B795">
        <f>IF($A795="","",games!$B795)</f>
        <v>2024</v>
      </c>
      <c r="C795" t="str">
        <f>IF($A795="","",games!$C795)</f>
        <v>Action</v>
      </c>
      <c r="D795">
        <f>IF($A795="","",COUNTIF(connections!$A$2:$A$1526,$A795)+COUNTIF(connections!$B$2:$B$1526,$A795))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Terraformers</v>
      </c>
      <c r="B796">
        <f>IF($A796="","",games!$B796)</f>
        <v>2022</v>
      </c>
      <c r="C796" t="str">
        <f>IF($A796="","",games!$C796)</f>
        <v>Strategy</v>
      </c>
      <c r="D796">
        <f>IF($A796="","",COUNTIF(connections!$A$2:$A$1526,$A796)+COUNTIF(connections!$B$2:$B$1526,$A796))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TerraTech Legion</v>
      </c>
      <c r="B797">
        <f>IF($A797="","",games!$B797)</f>
        <v>2026</v>
      </c>
      <c r="C797" t="str">
        <f>IF($A797="","",games!$C797)</f>
        <v>Action</v>
      </c>
      <c r="D797">
        <f>IF($A797="","",COUNTIF(connections!$A$2:$A$1526,$A797)+COUNTIF(connections!$B$2:$B$1526,$A797))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TerRoguelike</v>
      </c>
      <c r="B798">
        <f>IF($A798="","",games!$B798)</f>
        <v>2024</v>
      </c>
      <c r="C798" t="str">
        <f>IF($A798="","",games!$C798)</f>
        <v>Action</v>
      </c>
      <c r="D798">
        <f>IF($A798="","",COUNTIF(connections!$A$2:$A$1526,$A798)+COUNTIF(connections!$B$2:$B$1526,$A798))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Bazaar</v>
      </c>
      <c r="B799">
        <f>IF($A799="","",games!$B799)</f>
        <v>2025</v>
      </c>
      <c r="C799" t="str">
        <f>IF($A799="","",games!$C799)</f>
        <v>Strategy</v>
      </c>
      <c r="D799">
        <f>IF($A799="","",COUNTIF(connections!$A$2:$A$1526,$A799)+COUNTIF(connections!$B$2:$B$1526,$A799))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v>
      </c>
      <c r="B800">
        <f>IF($A800="","",games!$B800)</f>
        <v>2011</v>
      </c>
      <c r="C800" t="str">
        <f>IF($A800="","",games!$C800)</f>
        <v>Action</v>
      </c>
      <c r="D800">
        <f>IF($A800="","",COUNTIF(connections!$A$2:$A$1526,$A800)+COUNTIF(connections!$B$2:$B$1526,$A800))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Binding of Isaac: Rebirth</v>
      </c>
      <c r="B801">
        <f>IF($A801="","",games!$B801)</f>
        <v>2014</v>
      </c>
      <c r="C801" t="str">
        <f>IF($A801="","",games!$C801)</f>
        <v>Action</v>
      </c>
      <c r="D801">
        <f>IF($A801="","",COUNTIF(connections!$A$2:$A$1526,$A801)+COUNTIF(connections!$B$2:$B$1526,$A801))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Doors of Trithius</v>
      </c>
      <c r="B802">
        <f>IF($A802="","",games!$B802)</f>
        <v>2021</v>
      </c>
      <c r="C802" t="str">
        <f>IF($A802="","",games!$C802)</f>
        <v>Traditional</v>
      </c>
      <c r="D802">
        <f>IF($A802="","",COUNTIF(connections!$A$2:$A$1526,$A802)+COUNTIF(connections!$B$2:$B$1526,$A802))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Dungeon RPG</v>
      </c>
      <c r="B803">
        <f>IF($A803="","",games!$B803)</f>
        <v>2000</v>
      </c>
      <c r="C803" t="str">
        <f>IF($A803="","",games!$C803)</f>
        <v>Traditional</v>
      </c>
      <c r="D803">
        <f>IF($A803="","",COUNTIF(connections!$A$2:$A$1526,$A803)+COUNTIF(connections!$B$2:$B$1526,$A803))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Fable: Manga Build Roguelike</v>
      </c>
      <c r="B804">
        <f>IF($A804="","",games!$B804)</f>
        <v>2025</v>
      </c>
      <c r="C804" t="str">
        <f>IF($A804="","",games!$C804)</f>
        <v>Deckbuilder</v>
      </c>
      <c r="D804">
        <f>IF($A804="","",COUNTIF(connections!$A$2:$A$1526,$A804)+COUNTIF(connections!$B$2:$B$1526,$A804))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Flame in the Flood</v>
      </c>
      <c r="B805">
        <f>IF($A805="","",games!$B805)</f>
        <v>2016</v>
      </c>
      <c r="C805" t="str">
        <f>IF($A805="","",games!$C805)</f>
        <v>Action</v>
      </c>
      <c r="D805">
        <f>IF($A805="","",COUNTIF(connections!$A$2:$A$1526,$A805)+COUNTIF(connections!$B$2:$B$1526,$A805))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Ground Gives Way</v>
      </c>
      <c r="B806">
        <f>IF($A806="","",games!$B806)</f>
        <v>2014</v>
      </c>
      <c r="C806" t="str">
        <f>IF($A806="","",games!$C806)</f>
        <v>Traditional</v>
      </c>
      <c r="D806">
        <f>IF($A806="","",COUNTIF(connections!$A$2:$A$1526,$A806)+COUNTIF(connections!$B$2:$B$1526,$A806))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Guided Fate Paradox</v>
      </c>
      <c r="B807">
        <f>IF($A807="","",games!$B807)</f>
        <v>2013</v>
      </c>
      <c r="C807" t="str">
        <f>IF($A807="","",games!$C807)</f>
        <v>Traditional</v>
      </c>
      <c r="D807">
        <f>IF($A807="","",COUNTIF(connections!$A$2:$A$1526,$A807)+COUNTIF(connections!$B$2:$B$1526,$A807))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King is Watching</v>
      </c>
      <c r="B808">
        <f>IF($A808="","",games!$B808)</f>
        <v>2025</v>
      </c>
      <c r="C808" t="str">
        <f>IF($A808="","",games!$C808)</f>
        <v>Strategy</v>
      </c>
      <c r="D808">
        <f>IF($A808="","",COUNTIF(connections!$A$2:$A$1526,$A808)+COUNTIF(connections!$B$2:$B$1526,$A808))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Flame</v>
      </c>
      <c r="B809">
        <f>IF($A809="","",games!$B809)</f>
        <v>2024</v>
      </c>
      <c r="C809" t="str">
        <f>IF($A809="","",games!$C809)</f>
        <v>Strategy</v>
      </c>
      <c r="D809">
        <f>IF($A809="","",COUNTIF(connections!$A$2:$A$1526,$A809)+COUNTIF(connections!$B$2:$B$1526,$A809))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Game</v>
      </c>
      <c r="B810">
        <f>IF($A810="","",games!$B810)</f>
        <v>2023</v>
      </c>
      <c r="C810" t="str">
        <f>IF($A810="","",games!$C810)</f>
        <v>Action</v>
      </c>
      <c r="D810">
        <f>IF($A810="","",COUNTIF(connections!$A$2:$A$1526,$A810)+COUNTIF(connections!$B$2:$B$1526,$A810))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Last Spell</v>
      </c>
      <c r="B811">
        <f>IF($A811="","",games!$B811)</f>
        <v>2021</v>
      </c>
      <c r="C811" t="str">
        <f>IF($A811="","",games!$C811)</f>
        <v>Strategy</v>
      </c>
      <c r="D811">
        <f>IF($A811="","",COUNTIF(connections!$A$2:$A$1526,$A811)+COUNTIF(connections!$B$2:$B$1526,$A811))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Legend of Bum-Bo</v>
      </c>
      <c r="B812">
        <f>IF($A812="","",games!$B812)</f>
        <v>2019</v>
      </c>
      <c r="C812" t="str">
        <f>IF($A812="","",games!$C812)</f>
        <v>Strategy</v>
      </c>
      <c r="D812">
        <f>IF($A812="","",COUNTIF(connections!$A$2:$A$1526,$A812)+COUNTIF(connections!$B$2:$B$1526,$A812))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Loopler</v>
      </c>
      <c r="B813">
        <f>IF($A813="","",games!$B813)</f>
        <v>2026</v>
      </c>
      <c r="C813" t="str">
        <f>IF($A813="","",games!$C813)</f>
        <v>Deckbuilder</v>
      </c>
      <c r="D813">
        <f>IF($A813="","",COUNTIF(connections!$A$2:$A$1526,$A813)+COUNTIF(connections!$B$2:$B$1526,$A813))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Magus Circle</v>
      </c>
      <c r="B814">
        <f>IF($A814="","",games!$B814)</f>
        <v>2026</v>
      </c>
      <c r="C814" t="str">
        <f>IF($A814="","",games!$C814)</f>
        <v>Action</v>
      </c>
      <c r="D814">
        <f>IF($A814="","",COUNTIF(connections!$A$2:$A$1526,$A814)+COUNTIF(connections!$B$2:$B$1526,$A814))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Nightmare of Druaga</v>
      </c>
      <c r="B815">
        <f>IF($A815="","",games!$B815)</f>
        <v>2004</v>
      </c>
      <c r="C815" t="str">
        <f>IF($A815="","",games!$C815)</f>
        <v>Traditional</v>
      </c>
      <c r="D815">
        <f>IF($A815="","",COUNTIF(connections!$A$2:$A$1526,$A815)+COUNTIF(connections!$B$2:$B$1526,$A815))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Ouroboros King</v>
      </c>
      <c r="B816">
        <f>IF($A816="","",games!$B816)</f>
        <v>2023</v>
      </c>
      <c r="C816" t="str">
        <f>IF($A816="","",games!$C816)</f>
        <v>Strategy</v>
      </c>
      <c r="D816">
        <f>IF($A816="","",COUNTIF(connections!$A$2:$A$1526,$A816)+COUNTIF(connections!$B$2:$B$1526,$A816))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Rogue Prince of Persia</v>
      </c>
      <c r="B817">
        <f>IF($A817="","",games!$B817)</f>
        <v>2024</v>
      </c>
      <c r="C817" t="str">
        <f>IF($A817="","",games!$C817)</f>
        <v>Action</v>
      </c>
      <c r="D817">
        <f>IF($A817="","",COUNTIF(connections!$A$2:$A$1526,$A817)+COUNTIF(connections!$B$2:$B$1526,$A817))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Royal Writ</v>
      </c>
      <c r="B818">
        <f>IF($A818="","",games!$B818)</f>
        <v>2025</v>
      </c>
      <c r="C818" t="str">
        <f>IF($A818="","",games!$C818)</f>
        <v>Deckbuilder</v>
      </c>
      <c r="D818">
        <f>IF($A818="","",COUNTIF(connections!$A$2:$A$1526,$A818)+COUNTIF(connections!$B$2:$B$1526,$A818))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Spell Brigade</v>
      </c>
      <c r="B819">
        <f>IF($A819="","",games!$B819)</f>
        <v>2024</v>
      </c>
      <c r="C819" t="str">
        <f>IF($A819="","",games!$C819)</f>
        <v>Action</v>
      </c>
      <c r="D819">
        <f>IF($A819="","",COUNTIF(connections!$A$2:$A$1526,$A819)+COUNTIF(connections!$B$2:$B$1526,$A819))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Spirit Lift</v>
      </c>
      <c r="B820">
        <f>IF($A820="","",games!$B820)</f>
        <v>2026</v>
      </c>
      <c r="C820" t="str">
        <f>IF($A820="","",games!$C820)</f>
        <v>Deckbuilder</v>
      </c>
      <c r="D820">
        <f>IF($A820="","",COUNTIF(connections!$A$2:$A$1526,$A820)+COUNTIF(connections!$B$2:$B$1526,$A820))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Unliving</v>
      </c>
      <c r="B821">
        <f>IF($A821="","",games!$B821)</f>
        <v>2022</v>
      </c>
      <c r="C821" t="str">
        <f>IF($A821="","",games!$C821)</f>
        <v>Action</v>
      </c>
      <c r="D821">
        <f>IF($A821="","",COUNTIF(connections!$A$2:$A$1526,$A821)+COUNTIF(connections!$B$2:$B$1526,$A821))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Void Rains Upon Her Heart</v>
      </c>
      <c r="B822">
        <f>IF($A822="","",games!$B822)</f>
        <v>2018</v>
      </c>
      <c r="C822" t="str">
        <f>IF($A822="","",games!$C822)</f>
        <v>Action</v>
      </c>
      <c r="D822">
        <f>IF($A822="","",COUNTIF(connections!$A$2:$A$1526,$A822)+COUNTIF(connections!$B$2:$B$1526,$A822))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 World is Your Weapon</v>
      </c>
      <c r="B823">
        <f>IF($A823="","",games!$B823)</f>
        <v>2014</v>
      </c>
      <c r="C823" t="str">
        <f>IF($A823="","",games!$C823)</f>
        <v>Traditional</v>
      </c>
      <c r="D823">
        <f>IF($A823="","",COUNTIF(connections!$A$2:$A$1526,$A823)+COUNTIF(connections!$B$2:$B$1526,$A823))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There Are No Orcs</v>
      </c>
      <c r="B824">
        <f>IF($A824="","",games!$B824)</f>
        <v>2025</v>
      </c>
      <c r="C824" t="str">
        <f>IF($A824="","",games!$C824)</f>
        <v>Strategy</v>
      </c>
      <c r="D824">
        <f>IF($A824="","",COUNTIF(connections!$A$2:$A$1526,$A824)+COUNTIF(connections!$B$2:$B$1526,$A824))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Tic Tactic</v>
      </c>
      <c r="B825">
        <f>IF($A825="","",games!$B825)</f>
        <v>2025</v>
      </c>
      <c r="C825" t="str">
        <f>IF($A825="","",games!$C825)</f>
        <v>Deckbuilder</v>
      </c>
      <c r="D825">
        <f>IF($A825="","",COUNTIF(connections!$A$2:$A$1526,$A825)+COUNTIF(connections!$B$2:$B$1526,$A825))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Survivors</v>
      </c>
      <c r="B826">
        <f>IF($A826="","",games!$B826)</f>
        <v>2023</v>
      </c>
      <c r="C826" t="str">
        <f>IF($A826="","",games!$C826)</f>
        <v>Action</v>
      </c>
      <c r="D826">
        <f>IF($A826="","",COUNTIF(connections!$A$2:$A$1526,$A826)+COUNTIF(connections!$B$2:$B$1526,$A826))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Time Wasters</v>
      </c>
      <c r="B827">
        <f>IF($A827="","",games!$B827)</f>
        <v>2023</v>
      </c>
      <c r="C827" t="str">
        <f>IF($A827="","",games!$C827)</f>
        <v>Action</v>
      </c>
      <c r="D827">
        <f>IF($A827="","",COUNTIF(connections!$A$2:$A$1526,$A827)+COUNTIF(connections!$B$2:$B$1526,$A827))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Tinker Shot</v>
      </c>
      <c r="B828">
        <f>IF($A828="","",games!$B828)</f>
        <v>2026</v>
      </c>
      <c r="C828" t="str">
        <f>IF($A828="","",games!$C828)</f>
        <v>Deckbuilder</v>
      </c>
      <c r="D828">
        <f>IF($A828="","",COUNTIF(connections!$A$2:$A$1526,$A828)+COUNTIF(connections!$B$2:$B$1526,$A828))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Auto Knights</v>
      </c>
      <c r="B829">
        <f>IF($A829="","",games!$B829)</f>
        <v>2025</v>
      </c>
      <c r="C829" t="str">
        <f>IF($A829="","",games!$C829)</f>
        <v>Deckbuilder</v>
      </c>
      <c r="D829">
        <f>IF($A829="","",COUNTIF(connections!$A$2:$A$1526,$A829)+COUNTIF(connections!$B$2:$B$1526,$A829))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 Rogues</v>
      </c>
      <c r="B830">
        <f>IF($A830="","",games!$B830)</f>
        <v>2022</v>
      </c>
      <c r="C830" t="str">
        <f>IF($A830="","",games!$C830)</f>
        <v>Action</v>
      </c>
      <c r="D830">
        <f>IF($A830="","",COUNTIF(connections!$A$2:$A$1526,$A830)+COUNTIF(connections!$B$2:$B$1526,$A830))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Tinyfolks</v>
      </c>
      <c r="B831">
        <f>IF($A831="","",games!$B831)</f>
        <v>2022</v>
      </c>
      <c r="C831" t="str">
        <f>IF($A831="","",games!$C831)</f>
        <v>Strategy</v>
      </c>
      <c r="D831">
        <f>IF($A831="","",COUNTIF(connections!$A$2:$A$1526,$A831)+COUNTIF(connections!$B$2:$B$1526,$A831))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v>
      </c>
      <c r="B832">
        <f>IF($A832="","",games!$B832)</f>
        <v>1991</v>
      </c>
      <c r="C832" t="str">
        <f>IF($A832="","",games!$C832)</f>
        <v>Action</v>
      </c>
      <c r="D832">
        <f>IF($A832="","",COUNTIF(connections!$A$2:$A$1526,$A832)+COUNTIF(connections!$B$2:$B$1526,$A832))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ToeJam &amp; Earl: Back in the Groove!</v>
      </c>
      <c r="B833">
        <f>IF($A833="","",games!$B833)</f>
        <v>2019</v>
      </c>
      <c r="C833" t="str">
        <f>IF($A833="","",games!$C833)</f>
        <v>Action</v>
      </c>
      <c r="D833">
        <f>IF($A833="","",COUNTIF(connections!$A$2:$A$1526,$A833)+COUNTIF(connections!$B$2:$B$1526,$A833))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TombStar</v>
      </c>
      <c r="B834">
        <f>IF($A834="","",games!$B834)</f>
        <v>2022</v>
      </c>
      <c r="C834" t="str">
        <f>IF($A834="","",games!$C834)</f>
        <v>Action</v>
      </c>
      <c r="D834">
        <f>IF($A834="","",COUNTIF(connections!$A$2:$A$1526,$A834)+COUNTIF(connections!$B$2:$B$1526,$A834))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 The Last Hope</v>
      </c>
      <c r="B835">
        <f>IF($A835="","",games!$B835)</f>
        <v>1999</v>
      </c>
      <c r="C835" t="str">
        <f>IF($A835="","",games!$C835)</f>
        <v>Traditional</v>
      </c>
      <c r="D835">
        <f>IF($A835="","",COUNTIF(connections!$A$2:$A$1526,$A835)+COUNTIF(connections!$B$2:$B$1526,$A835))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3</v>
      </c>
      <c r="B836">
        <f>IF($A836="","",games!$B836)</f>
        <v>2002</v>
      </c>
      <c r="C836" t="str">
        <f>IF($A836="","",games!$C836)</f>
        <v>Traditional</v>
      </c>
      <c r="D836">
        <f>IF($A836="","",COUNTIF(connections!$A$2:$A$1526,$A836)+COUNTIF(connections!$B$2:$B$1526,$A836))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Torneko's Great Adventure: Mystery Dungeon</v>
      </c>
      <c r="B837">
        <f>IF($A837="","",games!$B837)</f>
        <v>1993</v>
      </c>
      <c r="C837" t="str">
        <f>IF($A837="","",games!$C837)</f>
        <v>Traditional</v>
      </c>
      <c r="D837">
        <f>IF($A837="","",COUNTIF(connections!$A$2:$A$1526,$A837)+COUNTIF(connections!$B$2:$B$1526,$A837))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Crawl</v>
      </c>
      <c r="B838">
        <f>IF($A838="","",games!$B838)</f>
        <v>2025</v>
      </c>
      <c r="C838" t="str">
        <f>IF($A838="","",games!$C838)</f>
        <v>Traditional</v>
      </c>
      <c r="D838">
        <f>IF($A838="","",COUNTIF(connections!$A$2:$A$1526,$A838)+COUNTIF(connections!$B$2:$B$1526,$A838))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Foresight</v>
      </c>
      <c r="B839">
        <f>IF($A839="","",games!$B839)</f>
        <v>2024</v>
      </c>
      <c r="C839" t="str">
        <f>IF($A839="","",games!$C839)</f>
        <v>Traditional</v>
      </c>
      <c r="D839">
        <f>IF($A839="","",COUNTIF(connections!$A$2:$A$1526,$A839)+COUNTIF(connections!$B$2:$B$1526,$A839))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Genso Wanderer: Lotus Labyrinth R</v>
      </c>
      <c r="B840">
        <f>IF($A840="","",games!$B840)</f>
        <v>2021</v>
      </c>
      <c r="C840" t="str">
        <f>IF($A840="","",games!$C840)</f>
        <v>Traditional</v>
      </c>
      <c r="D840">
        <f>IF($A840="","",COUNTIF(connections!$A$2:$A$1526,$A840)+COUNTIF(connections!$B$2:$B$1526,$A840))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Lost Branch of Legend</v>
      </c>
      <c r="B841">
        <f>IF($A841="","",games!$B841)</f>
        <v>2022</v>
      </c>
      <c r="C841" t="str">
        <f>IF($A841="","",games!$C841)</f>
        <v>Deckbuilder</v>
      </c>
      <c r="D841">
        <f>IF($A841="","",COUNTIF(connections!$A$2:$A$1526,$A841)+COUNTIF(connections!$B$2:$B$1526,$A841))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Touhou: Red Empress Devil</v>
      </c>
      <c r="B842">
        <f>IF($A842="","",games!$B842)</f>
        <v>2024</v>
      </c>
      <c r="C842" t="str">
        <f>IF($A842="","",games!$C842)</f>
        <v>Action</v>
      </c>
      <c r="D842">
        <f>IF($A842="","",COUNTIF(connections!$A$2:$A$1526,$A842)+COUNTIF(connections!$B$2:$B$1526,$A842))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Dominion</v>
      </c>
      <c r="B843">
        <f>IF($A843="","",games!$B843)</f>
        <v>2025</v>
      </c>
      <c r="C843" t="str">
        <f>IF($A843="","",games!$C843)</f>
        <v>Strategy</v>
      </c>
      <c r="D843">
        <f>IF($A843="","",COUNTIF(connections!$A$2:$A$1526,$A843)+COUNTIF(connections!$B$2:$B$1526,$A843))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Escape</v>
      </c>
      <c r="B844">
        <f>IF($A844="","",games!$B844)</f>
        <v>2023</v>
      </c>
      <c r="C844" t="str">
        <f>IF($A844="","",games!$C844)</f>
        <v>Deckbuilder</v>
      </c>
      <c r="D844">
        <f>IF($A844="","",COUNTIF(connections!$A$2:$A$1526,$A844)+COUNTIF(connections!$B$2:$B$1526,$A844))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Factory</v>
      </c>
      <c r="B845">
        <f>IF($A845="","",games!$B845)</f>
        <v>2024</v>
      </c>
      <c r="C845" t="str">
        <f>IF($A845="","",games!$C845)</f>
        <v>Strategy</v>
      </c>
      <c r="D845">
        <f>IF($A845="","",COUNTIF(connections!$A$2:$A$1526,$A845)+COUNTIF(connections!$B$2:$B$1526,$A845))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Fortress</v>
      </c>
      <c r="B846">
        <f>IF($A846="","",games!$B846)</f>
        <v>2017</v>
      </c>
      <c r="C846" t="str">
        <f>IF($A846="","",games!$C846)</f>
        <v>Action</v>
      </c>
      <c r="D846">
        <f>IF($A846="","",COUNTIF(connections!$A$2:$A$1526,$A846)+COUNTIF(connections!$B$2:$B$1526,$A846))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of Guns</v>
      </c>
      <c r="B847">
        <f>IF($A847="","",games!$B847)</f>
        <v>2014</v>
      </c>
      <c r="C847" t="str">
        <f>IF($A847="","",games!$C847)</f>
        <v>Action</v>
      </c>
      <c r="D847">
        <f>IF($A847="","",COUNTIF(connections!$A$2:$A$1526,$A847)+COUNTIF(connections!$B$2:$B$1526,$A847))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Tower Tactics: Liberation</v>
      </c>
      <c r="B848">
        <f>IF($A848="","",games!$B848)</f>
        <v>2021</v>
      </c>
      <c r="C848" t="str">
        <f>IF($A848="","",games!$C848)</f>
        <v>Deckbuilder</v>
      </c>
      <c r="D848">
        <f>IF($A848="","",COUNTIF(connections!$A$2:$A$1526,$A848)+COUNTIF(connections!$B$2:$B$1526,$A848))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Toy Smash Kaboom!</v>
      </c>
      <c r="B849">
        <f>IF($A849="","",games!$B849)</f>
        <v>2025</v>
      </c>
      <c r="C849" t="str">
        <f>IF($A849="","",games!$C849)</f>
        <v>Deckbuilder</v>
      </c>
      <c r="D849">
        <f>IF($A849="","",COUNTIF(connections!$A$2:$A$1526,$A849)+COUNTIF(connections!$B$2:$B$1526,$A849))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Trash of the Titans</v>
      </c>
      <c r="B850">
        <f>IF($A850="","",games!$B850)</f>
        <v>2024</v>
      </c>
      <c r="C850" t="str">
        <f>IF($A850="","",games!$C850)</f>
        <v>Strategy</v>
      </c>
      <c r="D850">
        <f>IF($A850="","",COUNTIF(connections!$A$2:$A$1526,$A850)+COUNTIF(connections!$B$2:$B$1526,$A850))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Trials of Fire</v>
      </c>
      <c r="B851">
        <f>IF($A851="","",games!$B851)</f>
        <v>2019</v>
      </c>
      <c r="C851" t="str">
        <f>IF($A851="","",games!$C851)</f>
        <v>Deckbuilder</v>
      </c>
      <c r="D851">
        <f>IF($A851="","",COUNTIF(connections!$A$2:$A$1526,$A851)+COUNTIF(connections!$B$2:$B$1526,$A851))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TumbleSeed</v>
      </c>
      <c r="B852">
        <f>IF($A852="","",games!$B852)</f>
        <v>2017</v>
      </c>
      <c r="C852" t="str">
        <f>IF($A852="","",games!$C852)</f>
        <v>Action</v>
      </c>
      <c r="D852">
        <f>IF($A852="","",COUNTIF(connections!$A$2:$A$1526,$A852)+COUNTIF(connections!$B$2:$B$1526,$A852))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Turnbound</v>
      </c>
      <c r="B853">
        <f>IF($A853="","",games!$B853)</f>
        <v>2026</v>
      </c>
      <c r="C853" t="str">
        <f>IF($A853="","",games!$C853)</f>
        <v>Deckbuilder</v>
      </c>
      <c r="D853">
        <f>IF($A853="","",COUNTIF(connections!$A$2:$A$1526,$A853)+COUNTIF(connections!$B$2:$B$1526,$A853))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Tyrant's Realm</v>
      </c>
      <c r="B854">
        <f>IF($A854="","",games!$B854)</f>
        <v>2025</v>
      </c>
      <c r="C854" t="str">
        <f>IF($A854="","",games!$C854)</f>
        <v>Action</v>
      </c>
      <c r="D854">
        <f>IF($A854="","",COUNTIF(connections!$A$2:$A$1526,$A854)+COUNTIF(connections!$B$2:$B$1526,$A854))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 Ratio Regum</v>
      </c>
      <c r="B855">
        <f>IF($A855="","",games!$B855)</f>
        <v>2012</v>
      </c>
      <c r="C855" t="str">
        <f>IF($A855="","",games!$C855)</f>
        <v>Traditional</v>
      </c>
      <c r="D855">
        <f>IF($A855="","",COUNTIF(connections!$A$2:$A$1526,$A855)+COUNTIF(connections!$B$2:$B$1526,$A855))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Ultimate ADOM</v>
      </c>
      <c r="B856">
        <f>IF($A856="","",games!$B856)</f>
        <v>2021</v>
      </c>
      <c r="C856" t="str">
        <f>IF($A856="","",games!$C856)</f>
        <v>Traditional</v>
      </c>
      <c r="D856">
        <f>IF($A856="","",COUNTIF(connections!$A$2:$A$1526,$A856)+COUNTIF(connections!$B$2:$B$1526,$A856))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Ultra Mega Cats</v>
      </c>
      <c r="B857">
        <f>IF($A857="","",games!$B857)</f>
        <v>2025</v>
      </c>
      <c r="C857" t="str">
        <f>IF($A857="","",games!$C857)</f>
        <v>Action</v>
      </c>
      <c r="D857">
        <f>IF($A857="","",COUNTIF(connections!$A$2:$A$1526,$A857)+COUNTIF(connections!$B$2:$B$1526,$A857))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Ultrapool</v>
      </c>
      <c r="B858">
        <f>IF($A858="","",games!$B858)</f>
        <v>2026</v>
      </c>
      <c r="C858" t="str">
        <f>IF($A858="","",games!$C858)</f>
        <v>Deckbuilder</v>
      </c>
      <c r="D858">
        <f>IF($A858="","",COUNTIF(connections!$A$2:$A$1526,$A858)+COUNTIF(connections!$B$2:$B$1526,$A858))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Uma Musume: Pretty Derby</v>
      </c>
      <c r="B859">
        <f>IF($A859="","",games!$B859)</f>
        <v>2021</v>
      </c>
      <c r="C859" t="str">
        <f>IF($A859="","",games!$C859)</f>
        <v>Strategy</v>
      </c>
      <c r="D859">
        <f>IF($A859="","",COUNTIF(connections!$A$2:$A$1526,$A859)+COUNTIF(connections!$B$2:$B$1526,$A859))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Underdogs</v>
      </c>
      <c r="B860">
        <f>IF($A860="","",games!$B860)</f>
        <v>2024</v>
      </c>
      <c r="C860" t="str">
        <f>IF($A860="","",games!$C860)</f>
        <v>Action</v>
      </c>
      <c r="D860">
        <f>IF($A860="","",COUNTIF(connections!$A$2:$A$1526,$A860)+COUNTIF(connections!$B$2:$B$1526,$A860))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UnderMine</v>
      </c>
      <c r="B861">
        <f>IF($A861="","",games!$B861)</f>
        <v>2019</v>
      </c>
      <c r="C861" t="str">
        <f>IF($A861="","",games!$C861)</f>
        <v>Action</v>
      </c>
      <c r="D861">
        <f>IF($A861="","",COUNTIF(connections!$A$2:$A$1526,$A861)+COUNTIF(connections!$B$2:$B$1526,$A861))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UnderMine 2</v>
      </c>
      <c r="B862">
        <f>IF($A862="","",games!$B862)</f>
        <v>2025</v>
      </c>
      <c r="C862" t="str">
        <f>IF($A862="","",games!$C862)</f>
        <v>Action</v>
      </c>
      <c r="D862">
        <f>IF($A862="","",COUNTIF(connections!$A$2:$A$1526,$A862)+COUNTIF(connections!$B$2:$B$1526,$A862))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Unexplored</v>
      </c>
      <c r="B863">
        <f>IF($A863="","",games!$B863)</f>
        <v>2017</v>
      </c>
      <c r="C863" t="str">
        <f>IF($A863="","",games!$C863)</f>
        <v>Action</v>
      </c>
      <c r="D863">
        <f>IF($A863="","",COUNTIF(connections!$A$2:$A$1526,$A863)+COUNTIF(connections!$B$2:$B$1526,$A863))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Unexplored 2: The Wayfarer's Legacy</v>
      </c>
      <c r="B864">
        <f>IF($A864="","",games!$B864)</f>
        <v>2022</v>
      </c>
      <c r="C864" t="str">
        <f>IF($A864="","",games!$C864)</f>
        <v>Action</v>
      </c>
      <c r="D864">
        <f>IF($A864="","",COUNTIF(connections!$A$2:$A$1526,$A864)+COUNTIF(connections!$B$2:$B$1526,$A864))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UnReal World</v>
      </c>
      <c r="B865">
        <f>IF($A865="","",games!$B865)</f>
        <v>1992</v>
      </c>
      <c r="C865" t="str">
        <f>IF($A865="","",games!$C865)</f>
        <v>Traditional</v>
      </c>
      <c r="D865">
        <f>IF($A865="","",COUNTIF(connections!$A$2:$A$1526,$A865)+COUNTIF(connections!$B$2:$B$1526,$A865))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Vagante</v>
      </c>
      <c r="B866">
        <f>IF($A866="","",games!$B866)</f>
        <v>2018</v>
      </c>
      <c r="C866" t="str">
        <f>IF($A866="","",games!$C866)</f>
        <v>Action</v>
      </c>
      <c r="D866">
        <f>IF($A866="","",COUNTIF(connections!$A$2:$A$1526,$A866)+COUNTIF(connections!$B$2:$B$1526,$A866))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Crawlers</v>
      </c>
      <c r="B867">
        <f>IF($A867="","",games!$B867)</f>
        <v>2026</v>
      </c>
      <c r="C867" t="str">
        <f>IF($A867="","",games!$C867)</f>
        <v>Deckbuilder</v>
      </c>
      <c r="D867">
        <f>IF($A867="","",COUNTIF(connections!$A$2:$A$1526,$A867)+COUNTIF(connections!$B$2:$B$1526,$A867))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Vampire Hunters</v>
      </c>
      <c r="B868">
        <f>IF($A868="","",games!$B868)</f>
        <v>2023</v>
      </c>
      <c r="C868" t="str">
        <f>IF($A868="","",games!$C868)</f>
        <v>Action</v>
      </c>
      <c r="D868">
        <f>IF($A868="","",COUNTIF(connections!$A$2:$A$1526,$A868)+COUNTIF(connections!$B$2:$B$1526,$A868))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Vampire Survivors</v>
      </c>
      <c r="B869">
        <f>IF($A869="","",games!$B869)</f>
        <v>2021</v>
      </c>
      <c r="C869" t="str">
        <f>IF($A869="","",games!$C869)</f>
        <v>Action</v>
      </c>
      <c r="D869">
        <f>IF($A869="","",COUNTIF(connections!$A$2:$A$1526,$A869)+COUNTIF(connections!$B$2:$B$1526,$A869))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Vault of the Void</v>
      </c>
      <c r="B870">
        <f>IF($A870="","",games!$B870)</f>
        <v>2020</v>
      </c>
      <c r="C870" t="str">
        <f>IF($A870="","",games!$C870)</f>
        <v>Deckbuilder</v>
      </c>
      <c r="D870">
        <f>IF($A870="","",COUNTIF(connections!$A$2:$A$1526,$A870)+COUNTIF(connections!$B$2:$B$1526,$A870))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Vellum</v>
      </c>
      <c r="B871">
        <f>IF($A871="","",games!$B871)</f>
        <v>2024</v>
      </c>
      <c r="C871" t="str">
        <f>IF($A871="","",games!$C871)</f>
        <v>Action</v>
      </c>
      <c r="D871">
        <f>IF($A871="","",COUNTIF(connections!$A$2:$A$1526,$A871)+COUNTIF(connections!$B$2:$B$1526,$A871))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Vital Shell</v>
      </c>
      <c r="B872">
        <f>IF($A872="","",games!$B872)</f>
        <v>2026</v>
      </c>
      <c r="C872" t="str">
        <f>IF($A872="","",games!$C872)</f>
        <v>Action</v>
      </c>
      <c r="D872">
        <f>IF($A872="","",COUNTIF(connections!$A$2:$A$1526,$A872)+COUNTIF(connections!$B$2:$B$1526,$A872))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Vivid Knight</v>
      </c>
      <c r="B873">
        <f>IF($A873="","",games!$B873)</f>
        <v>2021</v>
      </c>
      <c r="C873" t="str">
        <f>IF($A873="","",games!$C873)</f>
        <v>Deckbuilder</v>
      </c>
      <c r="D873">
        <f>IF($A873="","",COUNTIF(connections!$A$2:$A$1526,$A873)+COUNTIF(connections!$B$2:$B$1526,$A873))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Vivid World</v>
      </c>
      <c r="B874">
        <f>IF($A874="","",games!$B874)</f>
        <v>2025</v>
      </c>
      <c r="C874" t="str">
        <f>IF($A874="","",games!$C874)</f>
        <v>Deckbuilder</v>
      </c>
      <c r="D874">
        <f>IF($A874="","",COUNTIF(connections!$A$2:$A$1526,$A874)+COUNTIF(connections!$B$2:$B$1526,$A874))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Voice of Belldona</v>
      </c>
      <c r="B875">
        <f>IF($A875="","",games!$B875)</f>
        <v>2026</v>
      </c>
      <c r="C875" t="str">
        <f>IF($A875="","",games!$C875)</f>
        <v>Deckbuilder</v>
      </c>
      <c r="D875">
        <f>IF($A875="","",COUNTIF(connections!$A$2:$A$1526,$A875)+COUNTIF(connections!$B$2:$B$1526,$A875))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Bastards</v>
      </c>
      <c r="B876">
        <f>IF($A876="","",games!$B876)</f>
        <v>2019</v>
      </c>
      <c r="C876" t="str">
        <f>IF($A876="","",games!$C876)</f>
        <v>Action</v>
      </c>
      <c r="D876">
        <f>IF($A876="","",COUNTIF(connections!$A$2:$A$1526,$A876)+COUNTIF(connections!$B$2:$B$1526,$A876))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 Scrappers</v>
      </c>
      <c r="B877">
        <f>IF($A877="","",games!$B877)</f>
        <v>2022</v>
      </c>
      <c r="C877" t="str">
        <f>IF($A877="","",games!$C877)</f>
        <v>Action</v>
      </c>
      <c r="D877">
        <f>IF($A877="","",COUNTIF(connections!$A$2:$A$1526,$A877)+COUNTIF(connections!$B$2:$B$1526,$A877))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 War</v>
      </c>
      <c r="B878">
        <f>IF($A878="","",games!$B878)</f>
        <v>2024</v>
      </c>
      <c r="C878" t="str">
        <f>IF($A878="","",games!$C878)</f>
        <v>Strategy</v>
      </c>
      <c r="D878">
        <f>IF($A878="","",COUNTIF(connections!$A$2:$A$1526,$A878)+COUNTIF(connections!$B$2:$B$1526,$A878))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Voidigo</v>
      </c>
      <c r="B879">
        <f>IF($A879="","",games!$B879)</f>
        <v>2023</v>
      </c>
      <c r="C879" t="str">
        <f>IF($A879="","",games!$C879)</f>
        <v>Action</v>
      </c>
      <c r="D879">
        <f>IF($A879="","",COUNTIF(connections!$A$2:$A$1526,$A879)+COUNTIF(connections!$B$2:$B$1526,$A879))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Voids Vigil</v>
      </c>
      <c r="B880">
        <f>IF($A880="","",games!$B880)</f>
        <v>2024</v>
      </c>
      <c r="C880" t="str">
        <f>IF($A880="","",games!$C880)</f>
        <v>Action</v>
      </c>
      <c r="D880">
        <f>IF($A880="","",COUNTIF(connections!$A$2:$A$1526,$A880)+COUNTIF(connections!$B$2:$B$1526,$A880))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Voin</v>
      </c>
      <c r="B881">
        <f>IF($A881="","",games!$B881)</f>
        <v>2024</v>
      </c>
      <c r="C881" t="str">
        <f>IF($A881="","",games!$C881)</f>
        <v>Action</v>
      </c>
      <c r="D881">
        <f>IF($A881="","",COUNTIF(connections!$A$2:$A$1526,$A881)+COUNTIF(connections!$B$2:$B$1526,$A881))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Waku Waku Puyo Puyo Dungeon</v>
      </c>
      <c r="B882">
        <f>IF($A882="","",games!$B882)</f>
        <v>1998</v>
      </c>
      <c r="C882" t="str">
        <f>IF($A882="","",games!$C882)</f>
        <v>Traditional</v>
      </c>
      <c r="D882">
        <f>IF($A882="","",COUNTIF(connections!$A$2:$A$1526,$A882)+COUNTIF(connections!$B$2:$B$1526,$A882))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Wall World</v>
      </c>
      <c r="B883">
        <f>IF($A883="","",games!$B883)</f>
        <v>2023</v>
      </c>
      <c r="C883" t="str">
        <f>IF($A883="","",games!$C883)</f>
        <v>Strategy</v>
      </c>
      <c r="D883">
        <f>IF($A883="","",COUNTIF(connections!$A$2:$A$1526,$A883)+COUNTIF(connections!$B$2:$B$1526,$A883))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Wall World 2</v>
      </c>
      <c r="B884">
        <f>IF($A884="","",games!$B884)</f>
        <v>2025</v>
      </c>
      <c r="C884" t="str">
        <f>IF($A884="","",games!$C884)</f>
        <v>Strategy</v>
      </c>
      <c r="D884">
        <f>IF($A884="","",COUNTIF(connections!$A$2:$A$1526,$A884)+COUNTIF(connections!$B$2:$B$1526,$A884))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Wanderburg</v>
      </c>
      <c r="B885">
        <f>IF($A885="","",games!$B885)</f>
        <v>2026</v>
      </c>
      <c r="C885" t="str">
        <f>IF($A885="","",games!$C885)</f>
        <v>Action</v>
      </c>
      <c r="D885">
        <f>IF($A885="","",COUNTIF(connections!$A$2:$A$1526,$A885)+COUNTIF(connections!$B$2:$B$1526,$A885))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Warhammer Survivors</v>
      </c>
      <c r="B886">
        <f>IF($A886="","",games!$B886)</f>
        <v>2026</v>
      </c>
      <c r="C886" t="str">
        <f>IF($A886="","",games!$C886)</f>
        <v>Action</v>
      </c>
      <c r="D886">
        <f>IF($A886="","",COUNTIF(connections!$A$2:$A$1526,$A886)+COUNTIF(connections!$B$2:$B$1526,$A886))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WarpVector</v>
      </c>
      <c r="B887">
        <f>IF($A887="","",games!$B887)</f>
        <v>2023</v>
      </c>
      <c r="C887" t="str">
        <f>IF($A887="","",games!$C887)</f>
        <v>Traditional</v>
      </c>
      <c r="D887">
        <f>IF($A887="","",COUNTIF(connections!$A$2:$A$1526,$A887)+COUNTIF(connections!$B$2:$B$1526,$A887))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Warriors: Abyss</v>
      </c>
      <c r="B888">
        <f>IF($A888="","",games!$B888)</f>
        <v>2025</v>
      </c>
      <c r="C888" t="str">
        <f>IF($A888="","",games!$C888)</f>
        <v>Action</v>
      </c>
      <c r="D888">
        <f>IF($A888="","",COUNTIF(connections!$A$2:$A$1526,$A888)+COUNTIF(connections!$B$2:$B$1526,$A888))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Warsim: The Realm of Aslona</v>
      </c>
      <c r="B889">
        <f>IF($A889="","",games!$B889)</f>
        <v>2017</v>
      </c>
      <c r="C889" t="str">
        <f>IF($A889="","",games!$C889)</f>
        <v>Strategy</v>
      </c>
      <c r="D889">
        <f>IF($A889="","",COUNTIF(connections!$A$2:$A$1526,$A889)+COUNTIF(connections!$B$2:$B$1526,$A889))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Wayward</v>
      </c>
      <c r="B890">
        <f>IF($A890="","",games!$B890)</f>
        <v>2011</v>
      </c>
      <c r="C890" t="str">
        <f>IF($A890="","",games!$C890)</f>
        <v>Traditional</v>
      </c>
      <c r="D890">
        <f>IF($A890="","",COUNTIF(connections!$A$2:$A$1526,$A890)+COUNTIF(connections!$B$2:$B$1526,$A890))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WazHack</v>
      </c>
      <c r="B891">
        <f>IF($A891="","",games!$B891)</f>
        <v>2012</v>
      </c>
      <c r="C891" t="str">
        <f>IF($A891="","",games!$C891)</f>
        <v>Strategy</v>
      </c>
      <c r="D891">
        <f>IF($A891="","",COUNTIF(connections!$A$2:$A$1526,$A891)+COUNTIF(connections!$B$2:$B$1526,$A891))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 Need To Go Deeper</v>
      </c>
      <c r="B892">
        <f>IF($A892="","",games!$B892)</f>
        <v>2017</v>
      </c>
      <c r="C892" t="str">
        <f>IF($A892="","",games!$C892)</f>
        <v>Action</v>
      </c>
      <c r="D892">
        <f>IF($A892="","",COUNTIF(connections!$A$2:$A$1526,$A892)+COUNTIF(connections!$B$2:$B$1526,$A892))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Weird Worlds: Return to Infinite Space</v>
      </c>
      <c r="B893">
        <f>IF($A893="","",games!$B893)</f>
        <v>2005</v>
      </c>
      <c r="C893" t="str">
        <f>IF($A893="","",games!$C893)</f>
        <v>Strategy</v>
      </c>
      <c r="D893">
        <f>IF($A893="","",COUNTIF(connections!$A$2:$A$1526,$A893)+COUNTIF(connections!$B$2:$B$1526,$A893))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West of Dead</v>
      </c>
      <c r="B894">
        <f>IF($A894="","",games!$B894)</f>
        <v>2020</v>
      </c>
      <c r="C894" t="str">
        <f>IF($A894="","",games!$C894)</f>
        <v>Action</v>
      </c>
      <c r="D894">
        <f>IF($A894="","",COUNTIF(connections!$A$2:$A$1526,$A894)+COUNTIF(connections!$B$2:$B$1526,$A894))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Whisker Squadron: Survivor</v>
      </c>
      <c r="B895">
        <f>IF($A895="","",games!$B895)</f>
        <v>2025</v>
      </c>
      <c r="C895" t="str">
        <f>IF($A895="","",games!$C895)</f>
        <v>Action</v>
      </c>
      <c r="D895">
        <f>IF($A895="","",COUNTIF(connections!$A$2:$A$1526,$A895)+COUNTIF(connections!$B$2:$B$1526,$A895))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White Knuckle</v>
      </c>
      <c r="B896">
        <f>IF($A896="","",games!$B896)</f>
        <v>2025</v>
      </c>
      <c r="C896" t="str">
        <f>IF($A896="","",games!$C896)</f>
        <v>Action</v>
      </c>
      <c r="D896">
        <f>IF($A896="","",COUNTIF(connections!$A$2:$A$1526,$A896)+COUNTIF(connections!$B$2:$B$1526,$A896))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 Bastards</v>
      </c>
      <c r="B897">
        <f>IF($A897="","",games!$B897)</f>
        <v>2024</v>
      </c>
      <c r="C897" t="str">
        <f>IF($A897="","",games!$C897)</f>
        <v>Action</v>
      </c>
      <c r="D897">
        <f>IF($A897="","",COUNTIF(connections!$A$2:$A$1526,$A897)+COUNTIF(connections!$B$2:$B$1526,$A897))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Wildermyth</v>
      </c>
      <c r="B898">
        <f>IF($A898="","",games!$B898)</f>
        <v>2019</v>
      </c>
      <c r="C898" t="str">
        <f>IF($A898="","",games!$C898)</f>
        <v>Strategy</v>
      </c>
      <c r="D898">
        <f>IF($A898="","",COUNTIF(connections!$A$2:$A$1526,$A898)+COUNTIF(connections!$B$2:$B$1526,$A898))</f>
        <v>0</v>
      </c>
      <c r="E898">
        <f t="shared" ref="E898:E950" si="182">IF($A898="","",IFERROR(MATCH($C898,$R$2:$R$5,0),0))</f>
        <v>2</v>
      </c>
      <c r="F898">
        <f t="shared" ref="F898:F950" si="183">IF($A898="","",MOD(ROW(),34))</f>
        <v>14</v>
      </c>
      <c r="G898" t="e">
        <f t="shared" ref="G898:G950" si="184">IF($A898="",NA(),IF($C898="Action",$B898,NA()))</f>
        <v>#N/A</v>
      </c>
      <c r="H898" t="e">
        <f t="shared" ref="H898:H950" si="185">IF($A898="",NA(),IF($C898="Action",1+$F898*0.023,NA()))</f>
        <v>#N/A</v>
      </c>
      <c r="I898">
        <f t="shared" ref="I898:I950" si="186">IF($A898="",NA(),IF($C898="Strategy",$B898,NA()))</f>
        <v>2019</v>
      </c>
      <c r="J898">
        <f t="shared" ref="J898:J950" si="187">IF($A898="",NA(),IF($C898="Strategy",2+$F898*0.023,NA()))</f>
        <v>2.3220000000000001</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8.9800000000000004E-4</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Wildfrost</v>
      </c>
      <c r="B899">
        <f>IF($A899="","",games!$B899)</f>
        <v>2023</v>
      </c>
      <c r="C899" t="str">
        <f>IF($A899="","",games!$C899)</f>
        <v>Deckbuilder</v>
      </c>
      <c r="D899">
        <f>IF($A899="","",COUNTIF(connections!$A$2:$A$1526,$A899)+COUNTIF(connections!$B$2:$B$1526,$A899))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Windblown</v>
      </c>
      <c r="B900">
        <f>IF($A900="","",games!$B900)</f>
        <v>2024</v>
      </c>
      <c r="C900" t="str">
        <f>IF($A900="","",games!$C900)</f>
        <v>Action</v>
      </c>
      <c r="D900">
        <f>IF($A900="","",COUNTIF(connections!$A$2:$A$1526,$A900)+COUNTIF(connections!$B$2:$B$1526,$A900))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Winnie's Hole</v>
      </c>
      <c r="B901">
        <f>IF($A901="","",games!$B901)</f>
        <v>2026</v>
      </c>
      <c r="C901" t="str">
        <f>IF($A901="","",games!$C901)</f>
        <v>Deckbuilder</v>
      </c>
      <c r="D901">
        <f>IF($A901="","",COUNTIF(connections!$A$2:$A$1526,$A901)+COUNTIF(connections!$B$2:$B$1526,$A901))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Wireworks</v>
      </c>
      <c r="B902">
        <f>IF($A902="","",games!$B902)</f>
        <v>2026</v>
      </c>
      <c r="C902" t="str">
        <f>IF($A902="","",games!$C902)</f>
        <v>Strategy</v>
      </c>
      <c r="D902">
        <f>IF($A902="","",COUNTIF(connections!$A$2:$A$1526,$A902)+COUNTIF(connections!$B$2:$B$1526,$A902))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Witchfire</v>
      </c>
      <c r="B903">
        <f>IF($A903="","",games!$B903)</f>
        <v>2023</v>
      </c>
      <c r="C903" t="str">
        <f>IF($A903="","",games!$C903)</f>
        <v>Action</v>
      </c>
      <c r="D903">
        <f>IF($A903="","",COUNTIF(connections!$A$2:$A$1526,$A903)+COUNTIF(connections!$B$2:$B$1526,$A903))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Witch's Apocalyptic Journey</v>
      </c>
      <c r="B904">
        <f>IF($A904="","",games!$B904)</f>
        <v>2026</v>
      </c>
      <c r="C904" t="str">
        <f>IF($A904="","",games!$C904)</f>
        <v>Deckbuilder</v>
      </c>
      <c r="D904">
        <f>IF($A904="","",COUNTIF(connections!$A$2:$A$1526,$A904)+COUNTIF(connections!$B$2:$B$1526,$A904))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 of Legend</v>
      </c>
      <c r="B905">
        <f>IF($A905="","",games!$B905)</f>
        <v>2018</v>
      </c>
      <c r="C905" t="str">
        <f>IF($A905="","",games!$C905)</f>
        <v>Action</v>
      </c>
      <c r="D905">
        <f>IF($A905="","",COUNTIF(connections!$A$2:$A$1526,$A905)+COUNTIF(connections!$B$2:$B$1526,$A905))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Wizard of Legend 2</v>
      </c>
      <c r="B906">
        <f>IF($A906="","",games!$B906)</f>
        <v>2024</v>
      </c>
      <c r="C906" t="str">
        <f>IF($A906="","",games!$C906)</f>
        <v>Action</v>
      </c>
      <c r="D906">
        <f>IF($A906="","",COUNTIF(connections!$A$2:$A$1526,$A906)+COUNTIF(connections!$B$2:$B$1526,$A906))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WizardChess</v>
      </c>
      <c r="B907">
        <f>IF($A907="","",games!$B907)</f>
        <v>2021</v>
      </c>
      <c r="C907" t="str">
        <f>IF($A907="","",games!$C907)</f>
        <v>Strategy</v>
      </c>
      <c r="D907">
        <f>IF($A907="","",COUNTIF(connections!$A$2:$A$1526,$A907)+COUNTIF(connections!$B$2:$B$1526,$A907))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 Play</v>
      </c>
      <c r="B908">
        <f>IF($A908="","",games!$B908)</f>
        <v>2025</v>
      </c>
      <c r="C908" t="str">
        <f>IF($A908="","",games!$C908)</f>
        <v>Deckbuilder</v>
      </c>
      <c r="D908">
        <f>IF($A908="","",COUNTIF(connections!$A$2:$A$1526,$A908)+COUNTIF(connections!$B$2:$B$1526,$A908))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Wordatro!</v>
      </c>
      <c r="B909">
        <f>IF($A909="","",games!$B909)</f>
        <v>2025</v>
      </c>
      <c r="C909" t="str">
        <f>IF($A909="","",games!$C909)</f>
        <v>Deckbuilder</v>
      </c>
      <c r="D909">
        <f>IF($A909="","",COUNTIF(connections!$A$2:$A$1526,$A909)+COUNTIF(connections!$B$2:$B$1526,$A909))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Words Can Kill</v>
      </c>
      <c r="B910">
        <f>IF($A910="","",games!$B910)</f>
        <v>2022</v>
      </c>
      <c r="C910" t="str">
        <f>IF($A910="","",games!$C910)</f>
        <v>Deckbuilder</v>
      </c>
      <c r="D910">
        <f>IF($A910="","",COUNTIF(connections!$A$2:$A$1526,$A910)+COUNTIF(connections!$B$2:$B$1526,$A910))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Worlds Upon The Wind</v>
      </c>
      <c r="B911">
        <f>IF($A911="","",games!$B911)</f>
        <v>2026</v>
      </c>
      <c r="C911" t="str">
        <f>IF($A911="","",games!$C911)</f>
        <v>Deckbuilder</v>
      </c>
      <c r="D911">
        <f>IF($A911="","",COUNTIF(connections!$A$2:$A$1526,$A911)+COUNTIF(connections!$B$2:$B$1526,$A911))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Yasha: Legends of the Demon Blade</v>
      </c>
      <c r="B912">
        <f>IF($A912="","",games!$B912)</f>
        <v>2025</v>
      </c>
      <c r="C912" t="str">
        <f>IF($A912="","",games!$C912)</f>
        <v>Action</v>
      </c>
      <c r="D912">
        <f>IF($A912="","",COUNTIF(connections!$A$2:$A$1526,$A912)+COUNTIF(connections!$B$2:$B$1526,$A912))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Yet Another Zombie Survivors</v>
      </c>
      <c r="B913">
        <f>IF($A913="","",games!$B913)</f>
        <v>2023</v>
      </c>
      <c r="C913" t="str">
        <f>IF($A913="","",games!$C913)</f>
        <v>Action</v>
      </c>
      <c r="D913">
        <f>IF($A913="","",COUNTIF(connections!$A$2:$A$1526,$A913)+COUNTIF(connections!$B$2:$B$1526,$A913))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Yohane the Parhelion: Numazu in the Mirage</v>
      </c>
      <c r="B914">
        <f>IF($A914="","",games!$B914)</f>
        <v>2024</v>
      </c>
      <c r="C914" t="str">
        <f>IF($A914="","",games!$C914)</f>
        <v>Deckbuilder</v>
      </c>
      <c r="D914">
        <f>IF($A914="","",COUNTIF(connections!$A$2:$A$1526,$A914)+COUNTIF(connections!$B$2:$B$1526,$A914))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Youdanji</v>
      </c>
      <c r="B915">
        <f>IF($A915="","",games!$B915)</f>
        <v>2017</v>
      </c>
      <c r="C915" t="str">
        <f>IF($A915="","",games!$C915)</f>
        <v>Traditional</v>
      </c>
      <c r="D915">
        <f>IF($A915="","",COUNTIF(connections!$A$2:$A$1526,$A915)+COUNTIF(connections!$B$2:$B$1526,$A915))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Z.H.P. Unlosing Ranger VS Darkdeath Evilman</v>
      </c>
      <c r="B916">
        <f>IF($A916="","",games!$B916)</f>
        <v>2010</v>
      </c>
      <c r="C916" t="str">
        <f>IF($A916="","",games!$C916)</f>
        <v>Traditional</v>
      </c>
      <c r="D916">
        <f>IF($A916="","",COUNTIF(connections!$A$2:$A$1526,$A916)+COUNTIF(connections!$B$2:$B$1526,$A916))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Zangband</v>
      </c>
      <c r="B917">
        <f>IF($A917="","",games!$B917)</f>
        <v>1994</v>
      </c>
      <c r="C917" t="str">
        <f>IF($A917="","",games!$C917)</f>
        <v>Traditional</v>
      </c>
      <c r="D917">
        <f>IF($A917="","",COUNTIF(connections!$A$2:$A$1526,$A917)+COUNTIF(connections!$B$2:$B$1526,$A917))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Zet Zillions</v>
      </c>
      <c r="B918">
        <f>IF($A918="","",games!$B918)</f>
        <v>2024</v>
      </c>
      <c r="C918" t="str">
        <f>IF($A918="","",games!$C918)</f>
        <v>Deckbuilder</v>
      </c>
      <c r="D918">
        <f>IF($A918="","",COUNTIF(connections!$A$2:$A$1526,$A918)+COUNTIF(connections!$B$2:$B$1526,$A918))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Ziggurat</v>
      </c>
      <c r="B919">
        <f>IF($A919="","",games!$B919)</f>
        <v>2014</v>
      </c>
      <c r="C919" t="str">
        <f>IF($A919="","",games!$C919)</f>
        <v>Action</v>
      </c>
      <c r="D919">
        <f>IF($A919="","",COUNTIF(connections!$A$2:$A$1526,$A919)+COUNTIF(connections!$B$2:$B$1526,$A919))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Ziggurat 2</v>
      </c>
      <c r="B920">
        <f>IF($A920="","",games!$B920)</f>
        <v>2020</v>
      </c>
      <c r="C920" t="str">
        <f>IF($A920="","",games!$C920)</f>
        <v>Action</v>
      </c>
      <c r="D920">
        <f>IF($A920="","",COUNTIF(connections!$A$2:$A$1526,$A920)+COUNTIF(connections!$B$2:$B$1526,$A920))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ZMAngband</v>
      </c>
      <c r="B921">
        <f>IF($A921="","",games!$B921)</f>
        <v>2025</v>
      </c>
      <c r="C921" t="str">
        <f>IF($A921="","",games!$C921)</f>
        <v>Traditional</v>
      </c>
      <c r="D921">
        <f>IF($A921="","",COUNTIF(connections!$A$2:$A$1526,$A921)+COUNTIF(connections!$B$2:$B$1526,$A921))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Zoeti</v>
      </c>
      <c r="B922">
        <f>IF($A922="","",games!$B922)</f>
        <v>2023</v>
      </c>
      <c r="C922" t="str">
        <f>IF($A922="","",games!$C922)</f>
        <v>Deckbuilder</v>
      </c>
      <c r="D922">
        <f>IF($A922="","",COUNTIF(connections!$A$2:$A$1526,$A922)+COUNTIF(connections!$B$2:$B$1526,$A922))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Zoominoes</v>
      </c>
      <c r="B923">
        <f>IF($A923="","",games!$B923)</f>
        <v>2026</v>
      </c>
      <c r="C923" t="str">
        <f>IF($A923="","",games!$C923)</f>
        <v>Deckbuilder</v>
      </c>
      <c r="D923">
        <f>IF($A923="","",COUNTIF(connections!$A$2:$A$1526,$A923)+COUNTIF(connections!$B$2:$B$1526,$A923))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Zorbus</v>
      </c>
      <c r="B924">
        <f>IF($A924="","",games!$B924)</f>
        <v>2022</v>
      </c>
      <c r="C924" t="str">
        <f>IF($A924="","",games!$C924)</f>
        <v>Traditional</v>
      </c>
      <c r="D924">
        <f>IF($A924="","",COUNTIF(connections!$A$2:$A$1526,$A924)+COUNTIF(connections!$B$2:$B$1526,$A924))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IF($A925="","",COUNTIF(connections!$A$2:$A$1526,$A925)+COUNTIF(connections!$B$2:$B$1526,$A925))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IF($A926="","",COUNTIF(connections!$A$2:$A$1526,$A926)+COUNTIF(connections!$B$2:$B$1526,$A926))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e">
        <f>IF($A927="","",games!$B927)</f>
        <v>#REF!</v>
      </c>
      <c r="C927" t="e">
        <f>IF($A927="","",games!$C927)</f>
        <v>#REF!</v>
      </c>
      <c r="D927" t="e">
        <f>IF($A927="","",COUNTIF(connections!$A$2:$A$1526,$A927)+COUNTIF(connections!$B$2:$B$1526,$A927))</f>
        <v>#REF!</v>
      </c>
      <c r="E927" t="e">
        <f t="shared" si="182"/>
        <v>#REF!</v>
      </c>
      <c r="F927" t="e">
        <f t="shared" si="183"/>
        <v>#REF!</v>
      </c>
      <c r="G927" t="e">
        <f t="shared" si="184"/>
        <v>#REF!</v>
      </c>
      <c r="H927" t="e">
        <f t="shared" si="185"/>
        <v>#REF!</v>
      </c>
      <c r="I927" t="e">
        <f t="shared" si="186"/>
        <v>#REF!</v>
      </c>
      <c r="J927" t="e">
        <f t="shared" si="187"/>
        <v>#REF!</v>
      </c>
      <c r="K927" t="e">
        <f t="shared" si="188"/>
        <v>#REF!</v>
      </c>
      <c r="L927" t="e">
        <f t="shared" si="189"/>
        <v>#REF!</v>
      </c>
      <c r="M927" t="e">
        <f t="shared" si="190"/>
        <v>#REF!</v>
      </c>
      <c r="N927" t="e">
        <f t="shared" si="191"/>
        <v>#REF!</v>
      </c>
      <c r="O927" t="e">
        <f t="shared" si="192"/>
        <v>#REF!</v>
      </c>
      <c r="P927" t="e">
        <f>IF(OR($A927="",games!$H927=""),"",games!$H927)</f>
        <v>#REF!</v>
      </c>
      <c r="Q927" t="e">
        <f t="shared" si="193"/>
        <v>#REF!</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IF($A928="","",COUNTIF(connections!$A$2:$A$1526,$A928)+COUNTIF(connections!$B$2:$B$1526,$A928))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IF($A929="","",COUNTIF(connections!$A$2:$A$1526,$A929)+COUNTIF(connections!$B$2:$B$1526,$A929))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IF($A930="","",COUNTIF(connections!$A$2:$A$1526,$A930)+COUNTIF(connections!$B$2:$B$1526,$A930))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IF($A931="","",COUNTIF(connections!$A$2:$A$1526,$A931)+COUNTIF(connections!$B$2:$B$1526,$A931))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IF($A932="","",COUNTIF(connections!$A$2:$A$1526,$A932)+COUNTIF(connections!$B$2:$B$1526,$A932))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IF($A933="","",COUNTIF(connections!$A$2:$A$1526,$A933)+COUNTIF(connections!$B$2:$B$1526,$A933))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IF($A934="","",COUNTIF(connections!$A$2:$A$1526,$A934)+COUNTIF(connections!$B$2:$B$1526,$A934))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IF($A935="","",COUNTIF(connections!$A$2:$A$1526,$A935)+COUNTIF(connections!$B$2:$B$1526,$A935))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IF($A936="","",COUNTIF(connections!$A$2:$A$1526,$A936)+COUNTIF(connections!$B$2:$B$1526,$A936))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IF($A937="","",COUNTIF(connections!$A$2:$A$1526,$A937)+COUNTIF(connections!$B$2:$B$1526,$A937))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IF($A938="","",COUNTIF(connections!$A$2:$A$1526,$A938)+COUNTIF(connections!$B$2:$B$1526,$A938))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IF($A939="","",COUNTIF(connections!$A$2:$A$1526,$A939)+COUNTIF(connections!$B$2:$B$1526,$A939))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IF($A940="","",COUNTIF(connections!$A$2:$A$1526,$A940)+COUNTIF(connections!$B$2:$B$1526,$A940))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IF($A941="","",COUNTIF(connections!$A$2:$A$1526,$A941)+COUNTIF(connections!$B$2:$B$1526,$A941))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IF($A942="","",COUNTIF(connections!$A$2:$A$1526,$A942)+COUNTIF(connections!$B$2:$B$1526,$A942))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IF($A943="","",COUNTIF(connections!$A$2:$A$1526,$A943)+COUNTIF(connections!$B$2:$B$1526,$A943))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IF($A944="","",COUNTIF(connections!$A$2:$A$1526,$A944)+COUNTIF(connections!$B$2:$B$1526,$A944))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IF($A945="","",COUNTIF(connections!$A$2:$A$1526,$A945)+COUNTIF(connections!$B$2:$B$1526,$A945))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IF($A946="","",COUNTIF(connections!$A$2:$A$1526,$A946)+COUNTIF(connections!$B$2:$B$1526,$A946))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IF($A947="","",COUNTIF(connections!$A$2:$A$1526,$A947)+COUNTIF(connections!$B$2:$B$1526,$A947))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IF($A948="","",COUNTIF(connections!$A$2:$A$1526,$A948)+COUNTIF(connections!$B$2:$B$1526,$A948))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IF($A949="","",COUNTIF(connections!$A$2:$A$1526,$A949)+COUNTIF(connections!$B$2:$B$1526,$A949))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IF($A950="","",COUNTIF(connections!$A$2:$A$1526,$A950)+COUNTIF(connections!$B$2:$B$1526,$A950))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2026-10-12T21:30:11Z</dcterms:modified>
  <dc:language>en-US</dc:language>
</cp:coreProperties>
</file>