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D0A04135-096A-49A3-96A2-C8BF2984082D}" xr6:coauthVersionLast="47" xr6:coauthVersionMax="47" xr10:uidLastSave="{00000000-0000-0000-0000-000000000000}"/>
  <bookViews>
    <workbookView xWindow="-120" yWindow="-120" windowWidth="38640" windowHeight="21120" tabRatio="808" activeTab="1"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amulets" sheetId="16" r:id="rId25"/>
    <sheet name="locations" sheetId="17" r:id="rId26"/>
    <sheet name="chart" sheetId="49" r:id="rId27"/>
    <sheet name="locationsold" sheetId="19" r:id="rId28"/>
    <sheet name="itemsold" sheetId="20" r:id="rId29"/>
    <sheet name="eventsold" sheetId="21" r:id="rId30"/>
    <sheet name="encountersold" sheetId="22" r:id="rId31"/>
    <sheet name="enemiesD" sheetId="23" r:id="rId32"/>
    <sheet name="enemiesA" sheetId="24" r:id="rId33"/>
    <sheet name="cursesold2" sheetId="25" r:id="rId34"/>
    <sheet name="statusesold" sheetId="26" r:id="rId35"/>
    <sheet name="statusesnew" sheetId="27" r:id="rId36"/>
    <sheet name="elementsold" sheetId="28" r:id="rId37"/>
    <sheet name="addons" sheetId="29" r:id="rId38"/>
    <sheet name="addonsnew" sheetId="30" r:id="rId39"/>
    <sheet name="scrollsold" sheetId="31" r:id="rId40"/>
    <sheet name="potionsold" sheetId="32" r:id="rId41"/>
    <sheet name="charactersold" sheetId="33" r:id="rId42"/>
    <sheet name="cardsold" sheetId="34" r:id="rId43"/>
    <sheet name="cardsnew" sheetId="35" r:id="rId44"/>
    <sheet name="evolutionsold" sheetId="36" r:id="rId45"/>
    <sheet name="moves" sheetId="37" r:id="rId46"/>
    <sheet name="spells" sheetId="38" r:id="rId47"/>
    <sheet name="fish" sheetId="39" r:id="rId48"/>
    <sheet name="enemiesold" sheetId="40" r:id="rId49"/>
    <sheet name="enemiesS" sheetId="41" r:id="rId50"/>
    <sheet name="dice" sheetId="42" r:id="rId51"/>
    <sheet name="mods" sheetId="43" r:id="rId52"/>
    <sheet name="gamestatuses" sheetId="44" r:id="rId53"/>
    <sheet name="cursesold" sheetId="45" r:id="rId54"/>
    <sheet name="bingo" sheetId="46" r:id="rId55"/>
    <sheet name="Map Calc" sheetId="47" r:id="rId5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49" i="47" l="1"/>
  <c r="D913" i="47"/>
  <c r="D848" i="47"/>
  <c r="D677" i="47"/>
  <c r="D462" i="47"/>
  <c r="D358" i="47"/>
  <c r="D260" i="47"/>
  <c r="B22" i="18"/>
  <c r="B21" i="18"/>
  <c r="D901" i="47"/>
  <c r="D902" i="47"/>
  <c r="D917" i="47"/>
  <c r="D921" i="47"/>
  <c r="D793" i="47"/>
  <c r="D909" i="47"/>
  <c r="D897" i="47"/>
  <c r="D799" i="47"/>
  <c r="D3" i="47"/>
  <c r="D217" i="47"/>
  <c r="D233" i="47"/>
  <c r="D512" i="47"/>
  <c r="D497" i="47"/>
  <c r="D115" i="47"/>
  <c r="D699" i="47"/>
  <c r="D844" i="47"/>
  <c r="D53" i="47"/>
  <c r="D58" i="47"/>
  <c r="D70" i="47"/>
  <c r="D268" i="47"/>
  <c r="D180" i="47"/>
  <c r="D553" i="47"/>
  <c r="D475" i="47"/>
  <c r="D853" i="47"/>
  <c r="D827" i="47"/>
  <c r="D825" i="47"/>
  <c r="D99" i="47"/>
  <c r="D111" i="47"/>
  <c r="D52" i="47"/>
  <c r="D159" i="47"/>
  <c r="D275" i="47"/>
  <c r="D271" i="47"/>
  <c r="D287" i="47"/>
  <c r="D371" i="47"/>
  <c r="D488" i="47"/>
  <c r="D460" i="47"/>
  <c r="D480" i="47"/>
  <c r="D526" i="47"/>
  <c r="D558" i="47"/>
  <c r="D529" i="47"/>
  <c r="D649" i="47"/>
  <c r="D687" i="47"/>
  <c r="D688" i="47"/>
  <c r="D783" i="47"/>
  <c r="D804" i="47"/>
  <c r="D836" i="47"/>
  <c r="D940" i="47"/>
  <c r="D900" i="47"/>
  <c r="D860" i="47"/>
  <c r="D907" i="47"/>
  <c r="D912" i="47"/>
  <c r="D899" i="47"/>
  <c r="D904" i="47"/>
  <c r="D923" i="47"/>
  <c r="D916" i="47"/>
  <c r="D930" i="47"/>
  <c r="D871" i="47"/>
  <c r="D898" i="47"/>
  <c r="D908" i="47"/>
  <c r="D920" i="47"/>
  <c r="D903" i="47"/>
  <c r="D905" i="47"/>
  <c r="D925" i="47"/>
  <c r="D915" i="47"/>
  <c r="D937" i="47"/>
  <c r="D947" i="47"/>
  <c r="D950" i="47"/>
  <c r="D929" i="47"/>
  <c r="D933" i="47"/>
  <c r="D943" i="47"/>
  <c r="D936" i="47"/>
  <c r="D924" i="47"/>
  <c r="D946" i="47"/>
  <c r="D906" i="47"/>
  <c r="D911" i="47"/>
  <c r="D928" i="47"/>
  <c r="D939" i="47"/>
  <c r="D932" i="47"/>
  <c r="D919" i="47"/>
  <c r="D942" i="47"/>
  <c r="D935" i="47"/>
  <c r="D910" i="47"/>
  <c r="D927" i="47"/>
  <c r="D945" i="47"/>
  <c r="D914" i="47"/>
  <c r="D931" i="47"/>
  <c r="D938" i="47"/>
  <c r="D948" i="47"/>
  <c r="D918" i="47"/>
  <c r="D922" i="47"/>
  <c r="D941" i="47"/>
  <c r="D926" i="47"/>
  <c r="D934" i="47"/>
  <c r="D944" i="47"/>
  <c r="D868" i="47"/>
  <c r="D867" i="47"/>
  <c r="D896" i="47"/>
  <c r="D895" i="47"/>
  <c r="D894" i="47"/>
  <c r="D893" i="47"/>
  <c r="D890" i="47"/>
  <c r="D888" i="47"/>
  <c r="D885" i="47"/>
  <c r="D883" i="47"/>
  <c r="D882" i="47"/>
  <c r="D881" i="47"/>
  <c r="D876" i="47"/>
  <c r="D875" i="47"/>
  <c r="D874" i="47"/>
  <c r="D870" i="47"/>
  <c r="D863" i="47"/>
  <c r="D862" i="47"/>
  <c r="D859" i="47"/>
  <c r="D858" i="47"/>
  <c r="D857" i="47"/>
  <c r="D856" i="47"/>
  <c r="D855" i="47"/>
  <c r="D854" i="47"/>
  <c r="D852" i="47"/>
  <c r="D850" i="47"/>
  <c r="D847" i="47"/>
  <c r="D840" i="47"/>
  <c r="D839" i="47"/>
  <c r="D838" i="47"/>
  <c r="D835" i="47"/>
  <c r="D834" i="47"/>
  <c r="D833" i="47"/>
  <c r="D832" i="47"/>
  <c r="D831" i="47"/>
  <c r="D830" i="47"/>
  <c r="D826" i="47"/>
  <c r="D823" i="47"/>
  <c r="D822" i="47"/>
  <c r="D816" i="47"/>
  <c r="D814" i="47"/>
  <c r="D810" i="47"/>
  <c r="D808" i="47"/>
  <c r="D807" i="47"/>
  <c r="D805" i="47"/>
  <c r="D803" i="47"/>
  <c r="D800" i="47"/>
  <c r="D798" i="47"/>
  <c r="D797" i="47"/>
  <c r="D795" i="47"/>
  <c r="D794" i="47"/>
  <c r="D792" i="47"/>
  <c r="D790" i="47"/>
  <c r="D788" i="47"/>
  <c r="D785" i="47"/>
  <c r="D780" i="47"/>
  <c r="D778" i="47"/>
  <c r="D776" i="47"/>
  <c r="D770" i="47"/>
  <c r="D768" i="47"/>
  <c r="D767" i="47"/>
  <c r="D765" i="47"/>
  <c r="D763" i="47"/>
  <c r="D760" i="47"/>
  <c r="D759" i="47"/>
  <c r="D758" i="47"/>
  <c r="D755" i="47"/>
  <c r="D754" i="47"/>
  <c r="D753" i="47"/>
  <c r="D751" i="47"/>
  <c r="D749" i="47"/>
  <c r="D747" i="47"/>
  <c r="D744" i="47"/>
  <c r="D743" i="47"/>
  <c r="D741" i="47"/>
  <c r="D737" i="47"/>
  <c r="D735" i="47"/>
  <c r="D732" i="47"/>
  <c r="D731" i="47"/>
  <c r="D730" i="47"/>
  <c r="D729" i="47"/>
  <c r="D725" i="47"/>
  <c r="D723" i="47"/>
  <c r="D722" i="47"/>
  <c r="D721" i="47"/>
  <c r="D717" i="47"/>
  <c r="D716" i="47"/>
  <c r="D712" i="47"/>
  <c r="D707" i="47"/>
  <c r="D706" i="47"/>
  <c r="D705" i="47"/>
  <c r="D704" i="47"/>
  <c r="D702" i="47"/>
  <c r="D701" i="47"/>
  <c r="D697" i="47"/>
  <c r="D695" i="47"/>
  <c r="D692" i="47"/>
  <c r="D691" i="47"/>
  <c r="D689" i="47"/>
  <c r="D681" i="47"/>
  <c r="D680" i="47"/>
  <c r="D679" i="47"/>
  <c r="D678" i="47"/>
  <c r="D676" i="47"/>
  <c r="D675" i="47"/>
  <c r="D674" i="47"/>
  <c r="D673" i="47"/>
  <c r="D671" i="47"/>
  <c r="D670" i="47"/>
  <c r="D667" i="47"/>
  <c r="D666" i="47"/>
  <c r="D665" i="47"/>
  <c r="D662" i="47"/>
  <c r="D659" i="47"/>
  <c r="D657" i="47"/>
  <c r="D653" i="47"/>
  <c r="D650" i="47"/>
  <c r="D647" i="47"/>
  <c r="D646" i="47"/>
  <c r="D645" i="47"/>
  <c r="D644" i="47"/>
  <c r="D643" i="47"/>
  <c r="D642" i="47"/>
  <c r="D640" i="47"/>
  <c r="D638" i="47"/>
  <c r="D637" i="47"/>
  <c r="D636" i="47"/>
  <c r="D633" i="47"/>
  <c r="D626" i="47"/>
  <c r="D625" i="47"/>
  <c r="D623" i="47"/>
  <c r="D621" i="47"/>
  <c r="D616" i="47"/>
  <c r="D614" i="47"/>
  <c r="D613" i="47"/>
  <c r="D611" i="47"/>
  <c r="D609" i="47"/>
  <c r="D607" i="47"/>
  <c r="D606" i="47"/>
  <c r="D605" i="47"/>
  <c r="D604" i="47"/>
  <c r="D599" i="47"/>
  <c r="D597" i="47"/>
  <c r="D596" i="47"/>
  <c r="D593" i="47"/>
  <c r="D590" i="47"/>
  <c r="D587" i="47"/>
  <c r="D586" i="47"/>
  <c r="D585" i="47"/>
  <c r="D581" i="47"/>
  <c r="D578" i="47"/>
  <c r="D576" i="47"/>
  <c r="D572" i="47"/>
  <c r="D570" i="47"/>
  <c r="D567" i="47"/>
  <c r="D566" i="47"/>
  <c r="D564" i="47"/>
  <c r="D562" i="47"/>
  <c r="D556" i="47"/>
  <c r="D555" i="47"/>
  <c r="D554" i="47"/>
  <c r="D552" i="47"/>
  <c r="D551" i="47"/>
  <c r="D548" i="47"/>
  <c r="D546" i="47"/>
  <c r="D544" i="47"/>
  <c r="D543" i="47"/>
  <c r="D542" i="47"/>
  <c r="D541" i="47"/>
  <c r="D540" i="47"/>
  <c r="D538" i="47"/>
  <c r="D534" i="47"/>
  <c r="D532" i="47"/>
  <c r="D528" i="47"/>
  <c r="D527" i="47"/>
  <c r="D522" i="47"/>
  <c r="D521" i="47"/>
  <c r="D515" i="47"/>
  <c r="D514" i="47"/>
  <c r="D513" i="47"/>
  <c r="D511" i="47"/>
  <c r="D507" i="47"/>
  <c r="D506" i="47"/>
  <c r="D504" i="47"/>
  <c r="D498" i="47"/>
  <c r="D495" i="47"/>
  <c r="D494" i="47"/>
  <c r="D493" i="47"/>
  <c r="D492" i="47"/>
  <c r="D491" i="47"/>
  <c r="D489" i="47"/>
  <c r="D486" i="47"/>
  <c r="D483" i="47"/>
  <c r="D478" i="47"/>
  <c r="D477" i="47"/>
  <c r="D473" i="47"/>
  <c r="D472" i="47"/>
  <c r="D469" i="47"/>
  <c r="D468" i="47"/>
  <c r="D467" i="47"/>
  <c r="D465" i="47"/>
  <c r="D464" i="47"/>
  <c r="D461" i="47"/>
  <c r="D459" i="47"/>
  <c r="D455" i="47"/>
  <c r="D452" i="47"/>
  <c r="D451" i="47"/>
  <c r="D446" i="47"/>
  <c r="D442" i="47"/>
  <c r="D439" i="47"/>
  <c r="D436" i="47"/>
  <c r="D435" i="47"/>
  <c r="D431" i="47"/>
  <c r="D423" i="47"/>
  <c r="D421" i="47"/>
  <c r="D420" i="47"/>
  <c r="D419" i="47"/>
  <c r="D418" i="47"/>
  <c r="D417" i="47"/>
  <c r="D415" i="47"/>
  <c r="D413" i="47"/>
  <c r="D411" i="47"/>
  <c r="D407" i="47"/>
  <c r="D406" i="47"/>
  <c r="D405" i="47"/>
  <c r="D404" i="47"/>
  <c r="D403" i="47"/>
  <c r="D400" i="47"/>
  <c r="D399" i="47"/>
  <c r="D397" i="47"/>
  <c r="D395" i="47"/>
  <c r="D394" i="47"/>
  <c r="D393" i="47"/>
  <c r="D391" i="47"/>
  <c r="D388" i="47"/>
  <c r="D387" i="47"/>
  <c r="D383" i="47"/>
  <c r="D382" i="47"/>
  <c r="D381" i="47"/>
  <c r="D380" i="47"/>
  <c r="D379" i="47"/>
  <c r="D378" i="47"/>
  <c r="D377" i="47"/>
  <c r="D375" i="47"/>
  <c r="D373" i="47"/>
  <c r="D369" i="47"/>
  <c r="D368" i="47"/>
  <c r="D367" i="47"/>
  <c r="D366" i="47"/>
  <c r="D365" i="47"/>
  <c r="D364" i="47"/>
  <c r="D362" i="47"/>
  <c r="D360" i="47"/>
  <c r="D359" i="47"/>
  <c r="D357" i="47"/>
  <c r="D355" i="47"/>
  <c r="D354" i="47"/>
  <c r="D353" i="47"/>
  <c r="D350" i="47"/>
  <c r="D348" i="47"/>
  <c r="D346" i="47"/>
  <c r="D345" i="47"/>
  <c r="D344" i="47"/>
  <c r="D339" i="47"/>
  <c r="D338" i="47"/>
  <c r="D335" i="47"/>
  <c r="D334" i="47"/>
  <c r="D331" i="47"/>
  <c r="D330" i="47"/>
  <c r="D329" i="47"/>
  <c r="D324" i="47"/>
  <c r="D317" i="47"/>
  <c r="D311" i="47"/>
  <c r="D309" i="47"/>
  <c r="D308" i="47"/>
  <c r="D307" i="47"/>
  <c r="D305" i="47"/>
  <c r="D302" i="47"/>
  <c r="D300" i="47"/>
  <c r="D299" i="47"/>
  <c r="D297" i="47"/>
  <c r="D296" i="47"/>
  <c r="D293" i="47"/>
  <c r="D291" i="47"/>
  <c r="D283" i="47"/>
  <c r="D282" i="47"/>
  <c r="D279" i="47"/>
  <c r="D278" i="47"/>
  <c r="D274" i="47"/>
  <c r="D272" i="47"/>
  <c r="D270" i="47"/>
  <c r="D263" i="47"/>
  <c r="D262" i="47"/>
  <c r="D258" i="47"/>
  <c r="D256" i="47"/>
  <c r="D252" i="47"/>
  <c r="D250" i="47"/>
  <c r="D247" i="47"/>
  <c r="D245" i="47"/>
  <c r="D243" i="47"/>
  <c r="D241" i="47"/>
  <c r="D240" i="47"/>
  <c r="D237" i="47"/>
  <c r="D234" i="47"/>
  <c r="D223" i="47"/>
  <c r="D219" i="47"/>
  <c r="D211" i="47"/>
  <c r="D210" i="47"/>
  <c r="D206" i="47"/>
  <c r="D203" i="47"/>
  <c r="D199" i="47"/>
  <c r="D196" i="47"/>
  <c r="D193" i="47"/>
  <c r="D192" i="47"/>
  <c r="D191" i="47"/>
  <c r="D188" i="47"/>
  <c r="D187" i="47"/>
  <c r="D177" i="47"/>
  <c r="D174" i="47"/>
  <c r="D173" i="47"/>
  <c r="D168" i="47"/>
  <c r="D167" i="47"/>
  <c r="D165" i="47"/>
  <c r="D164" i="47"/>
  <c r="D163" i="47"/>
  <c r="D160" i="47"/>
  <c r="D158" i="47"/>
  <c r="D155" i="47"/>
  <c r="D151" i="47"/>
  <c r="D147" i="47"/>
  <c r="D142" i="47"/>
  <c r="D141" i="47"/>
  <c r="D139" i="47"/>
  <c r="D137" i="47"/>
  <c r="D135" i="47"/>
  <c r="D134" i="47"/>
  <c r="D133" i="47"/>
  <c r="D132" i="47"/>
  <c r="D131" i="47"/>
  <c r="D129" i="47"/>
  <c r="D126" i="47"/>
  <c r="D125" i="47"/>
  <c r="D120" i="47"/>
  <c r="D117" i="47"/>
  <c r="D112" i="47"/>
  <c r="D110" i="47"/>
  <c r="D105" i="47"/>
  <c r="D102" i="47"/>
  <c r="D101" i="47"/>
  <c r="D100" i="47"/>
  <c r="D96" i="47"/>
  <c r="D94" i="47"/>
  <c r="D90" i="47"/>
  <c r="D89" i="47"/>
  <c r="D87" i="47"/>
  <c r="D85" i="47"/>
  <c r="D83" i="47"/>
  <c r="D82" i="47"/>
  <c r="D81" i="47"/>
  <c r="D77" i="47"/>
  <c r="D75" i="47"/>
  <c r="D74" i="47"/>
  <c r="D73" i="47"/>
  <c r="D71" i="47"/>
  <c r="D66" i="47"/>
  <c r="D62" i="47"/>
  <c r="D60" i="47"/>
  <c r="D59" i="47"/>
  <c r="D55" i="47"/>
  <c r="D34" i="47"/>
  <c r="D30" i="47"/>
  <c r="D28" i="47"/>
  <c r="D13" i="47"/>
  <c r="D9" i="47"/>
  <c r="D7" i="47"/>
  <c r="D886" i="47"/>
  <c r="D726" i="47"/>
  <c r="D720" i="47"/>
  <c r="D631" i="47"/>
  <c r="D519" i="47"/>
  <c r="D474" i="47"/>
  <c r="D441" i="47"/>
  <c r="D443" i="47"/>
  <c r="D433" i="47"/>
  <c r="D398" i="47"/>
  <c r="D340" i="47"/>
  <c r="D295" i="47"/>
  <c r="D239" i="47"/>
  <c r="D20" i="47"/>
  <c r="D157" i="47"/>
  <c r="D69" i="47"/>
  <c r="D648" i="47"/>
  <c r="D500" i="47"/>
  <c r="D316" i="47"/>
  <c r="D224" i="47"/>
  <c r="D244" i="47"/>
  <c r="D43" i="47"/>
  <c r="D88" i="47"/>
  <c r="D738" i="47"/>
  <c r="D571" i="47"/>
  <c r="D226" i="47"/>
  <c r="D261" i="47"/>
  <c r="D10" i="47"/>
  <c r="D57" i="47"/>
  <c r="D861" i="47"/>
  <c r="D764" i="47"/>
  <c r="D76" i="47"/>
  <c r="D872" i="47"/>
  <c r="D811" i="47"/>
  <c r="D796" i="47"/>
  <c r="D739" i="47"/>
  <c r="D745" i="47"/>
  <c r="D601" i="47"/>
  <c r="D635" i="47"/>
  <c r="D573" i="47"/>
  <c r="D545" i="47"/>
  <c r="D525" i="47"/>
  <c r="D414" i="47"/>
  <c r="D410" i="47"/>
  <c r="D267" i="47"/>
  <c r="D235" i="47"/>
  <c r="D246" i="47"/>
  <c r="D67" i="47"/>
  <c r="D16" i="47"/>
  <c r="D63" i="47"/>
  <c r="D748" i="47"/>
  <c r="D583" i="47"/>
  <c r="D557" i="47"/>
  <c r="D306" i="47"/>
  <c r="D230" i="47"/>
  <c r="D184" i="47"/>
  <c r="D45" i="47"/>
  <c r="D202" i="47"/>
  <c r="D294" i="47"/>
  <c r="D651" i="47"/>
  <c r="D80" i="47"/>
  <c r="D281" i="47"/>
  <c r="D214" i="47"/>
  <c r="D524" i="47"/>
  <c r="D740" i="47"/>
  <c r="D683" i="47"/>
  <c r="D216" i="47"/>
  <c r="D873" i="47"/>
  <c r="D181" i="47"/>
  <c r="D343" i="47"/>
  <c r="D812" i="47"/>
  <c r="D787" i="47"/>
  <c r="D484" i="47"/>
  <c r="D523" i="47"/>
  <c r="D384" i="47"/>
  <c r="D231" i="47"/>
  <c r="D61" i="47"/>
  <c r="D12" i="47"/>
  <c r="D824" i="47"/>
  <c r="D577" i="47"/>
  <c r="D487" i="47"/>
  <c r="D463" i="47"/>
  <c r="D212" i="47"/>
  <c r="D228" i="47"/>
  <c r="D21" i="47"/>
  <c r="D26" i="47"/>
  <c r="D757" i="47"/>
  <c r="D602" i="47"/>
  <c r="D530" i="47"/>
  <c r="D389" i="47"/>
  <c r="D632" i="47"/>
  <c r="D33" i="47"/>
  <c r="D864" i="47"/>
  <c r="D891" i="47"/>
  <c r="D877" i="47"/>
  <c r="D710" i="47"/>
  <c r="D685" i="47"/>
  <c r="D619" i="47"/>
  <c r="D516" i="47"/>
  <c r="D479" i="47"/>
  <c r="D185" i="47"/>
  <c r="D255" i="47"/>
  <c r="D8" i="47"/>
  <c r="D150" i="47"/>
  <c r="D801" i="47"/>
  <c r="D781" i="47"/>
  <c r="D412" i="47"/>
  <c r="D457" i="47"/>
  <c r="D209" i="47"/>
  <c r="D170" i="47"/>
  <c r="D22" i="47"/>
  <c r="D806" i="47"/>
  <c r="D321" i="47"/>
  <c r="D277" i="47"/>
  <c r="D35" i="47"/>
  <c r="D257" i="47"/>
  <c r="D314" i="47"/>
  <c r="D598" i="47"/>
  <c r="D232" i="47"/>
  <c r="D865" i="47"/>
  <c r="D253" i="47"/>
  <c r="D50" i="47"/>
  <c r="D878" i="47"/>
  <c r="D742" i="47"/>
  <c r="D713" i="47"/>
  <c r="D639" i="47"/>
  <c r="D654" i="47"/>
  <c r="D580" i="47"/>
  <c r="D470" i="47"/>
  <c r="D496" i="47"/>
  <c r="D425" i="47"/>
  <c r="D374" i="47"/>
  <c r="D376" i="47"/>
  <c r="D175" i="47"/>
  <c r="D145" i="47"/>
  <c r="D4" i="47"/>
  <c r="D143" i="47"/>
  <c r="D762" i="47"/>
  <c r="D561" i="47"/>
  <c r="D409" i="47"/>
  <c r="D447" i="47"/>
  <c r="D290" i="47"/>
  <c r="D761" i="47"/>
  <c r="D286" i="47"/>
  <c r="D236" i="47"/>
  <c r="D341" i="47"/>
  <c r="D6" i="47"/>
  <c r="D771" i="47"/>
  <c r="D333" i="47"/>
  <c r="D104" i="47"/>
  <c r="D694" i="47"/>
  <c r="D221" i="47"/>
  <c r="D86" i="47"/>
  <c r="D218" i="47"/>
  <c r="D426" i="47"/>
  <c r="D565" i="47"/>
  <c r="D843" i="47"/>
  <c r="D728" i="47"/>
  <c r="D700" i="47"/>
  <c r="D655" i="47"/>
  <c r="D629" i="47"/>
  <c r="D574" i="47"/>
  <c r="D550" i="47"/>
  <c r="D449" i="47"/>
  <c r="D351" i="47"/>
  <c r="D171" i="47"/>
  <c r="D119" i="47"/>
  <c r="D114" i="47"/>
  <c r="D634" i="47"/>
  <c r="D238" i="47"/>
  <c r="D322" i="47"/>
  <c r="D31" i="47"/>
  <c r="D39" i="47"/>
  <c r="D809" i="47"/>
  <c r="D213" i="47"/>
  <c r="D198" i="47"/>
  <c r="D560" i="47"/>
  <c r="D292" i="47"/>
  <c r="D630" i="47"/>
  <c r="D29" i="47"/>
  <c r="D536" i="47"/>
  <c r="D889" i="47"/>
  <c r="D225" i="47"/>
  <c r="D347" i="47"/>
  <c r="D610" i="47"/>
  <c r="D866" i="47"/>
  <c r="D828" i="47"/>
  <c r="D818" i="47"/>
  <c r="D715" i="47"/>
  <c r="D535" i="47"/>
  <c r="D603" i="47"/>
  <c r="D456" i="47"/>
  <c r="D332" i="47"/>
  <c r="D386" i="47"/>
  <c r="D179" i="47"/>
  <c r="D84" i="47"/>
  <c r="D116" i="47"/>
  <c r="D113" i="47"/>
  <c r="D624" i="47"/>
  <c r="D813" i="47"/>
  <c r="D454" i="47"/>
  <c r="D289" i="47"/>
  <c r="D138" i="47"/>
  <c r="D15" i="47"/>
  <c r="D37" i="47"/>
  <c r="D777" i="47"/>
  <c r="D156" i="47"/>
  <c r="D51" i="47"/>
  <c r="D698" i="47"/>
  <c r="D176" i="47"/>
  <c r="D622" i="47"/>
  <c r="D92" i="47"/>
  <c r="D229" i="47"/>
  <c r="D820" i="47"/>
  <c r="D815" i="47"/>
  <c r="D615" i="47"/>
  <c r="D595" i="47"/>
  <c r="D385" i="47"/>
  <c r="D336" i="47"/>
  <c r="D56" i="47"/>
  <c r="D127" i="47"/>
  <c r="D106" i="47"/>
  <c r="D326" i="47"/>
  <c r="D140" i="47"/>
  <c r="D201" i="47"/>
  <c r="D301" i="47"/>
  <c r="D11" i="47"/>
  <c r="D549" i="47"/>
  <c r="D128" i="47"/>
  <c r="D146" i="47"/>
  <c r="D505" i="47"/>
  <c r="D14" i="47"/>
  <c r="D517" i="47"/>
  <c r="D537" i="47"/>
  <c r="D17" i="47"/>
  <c r="D612" i="47"/>
  <c r="D23" i="47"/>
  <c r="D444" i="47"/>
  <c r="D672" i="47"/>
  <c r="D892" i="47"/>
  <c r="D750" i="47"/>
  <c r="D641" i="47"/>
  <c r="D509" i="47"/>
  <c r="D547" i="47"/>
  <c r="D432" i="47"/>
  <c r="D401" i="47"/>
  <c r="D370" i="47"/>
  <c r="D349" i="47"/>
  <c r="D249" i="47"/>
  <c r="D251" i="47"/>
  <c r="D183" i="47"/>
  <c r="D48" i="47"/>
  <c r="D95" i="47"/>
  <c r="D93" i="47"/>
  <c r="D752" i="47"/>
  <c r="D819" i="47"/>
  <c r="D829" i="47"/>
  <c r="D437" i="47"/>
  <c r="D620" i="47"/>
  <c r="D466" i="47"/>
  <c r="D280" i="47"/>
  <c r="D144" i="47"/>
  <c r="D186" i="47"/>
  <c r="D65" i="47"/>
  <c r="D719" i="47"/>
  <c r="D72" i="47"/>
  <c r="D849" i="47"/>
  <c r="D148" i="47"/>
  <c r="D197" i="47"/>
  <c r="D118" i="47"/>
  <c r="D328" i="47"/>
  <c r="D182" i="47"/>
  <c r="D266" i="47"/>
  <c r="D693" i="47"/>
  <c r="D880" i="47"/>
  <c r="D802" i="47"/>
  <c r="D791" i="47"/>
  <c r="D746" i="47"/>
  <c r="D690" i="47"/>
  <c r="D663" i="47"/>
  <c r="D591" i="47"/>
  <c r="D569" i="47"/>
  <c r="D416" i="47"/>
  <c r="D352" i="47"/>
  <c r="D298" i="47"/>
  <c r="D303" i="47"/>
  <c r="D242" i="47"/>
  <c r="D44" i="47"/>
  <c r="D64" i="47"/>
  <c r="D845" i="47"/>
  <c r="D789" i="47"/>
  <c r="D821" i="47"/>
  <c r="D312" i="47"/>
  <c r="D503" i="47"/>
  <c r="D438" i="47"/>
  <c r="D222" i="47"/>
  <c r="D172" i="47"/>
  <c r="D661" i="47"/>
  <c r="D313" i="47"/>
  <c r="D18" i="47"/>
  <c r="D49" i="47"/>
  <c r="D608" i="47"/>
  <c r="D356" i="47"/>
  <c r="D485" i="47"/>
  <c r="D54" i="47"/>
  <c r="D189" i="47"/>
  <c r="D427" i="47"/>
  <c r="D774" i="47"/>
  <c r="D392" i="47"/>
  <c r="D108" i="47"/>
  <c r="D481" i="47"/>
  <c r="D884" i="47"/>
  <c r="D851" i="47"/>
  <c r="D786" i="47"/>
  <c r="D772" i="47"/>
  <c r="D579" i="47"/>
  <c r="D429" i="47"/>
  <c r="D448" i="47"/>
  <c r="D402" i="47"/>
  <c r="D259" i="47"/>
  <c r="D207" i="47"/>
  <c r="D40" i="47"/>
  <c r="D107" i="47"/>
  <c r="D727" i="47"/>
  <c r="D682" i="47"/>
  <c r="D652" i="47"/>
  <c r="D162" i="47"/>
  <c r="D27" i="47"/>
  <c r="D594" i="47"/>
  <c r="D154" i="47"/>
  <c r="D5" i="47"/>
  <c r="D711" i="47"/>
  <c r="D592" i="47"/>
  <c r="D276" i="47"/>
  <c r="D434" i="47"/>
  <c r="D46" i="47"/>
  <c r="D714" i="47"/>
  <c r="D204" i="47"/>
  <c r="D265" i="47"/>
  <c r="D660" i="47"/>
  <c r="D779" i="47"/>
  <c r="D736" i="47"/>
  <c r="D703" i="47"/>
  <c r="D617" i="47"/>
  <c r="D559" i="47"/>
  <c r="D531" i="47"/>
  <c r="D502" i="47"/>
  <c r="D490" i="47"/>
  <c r="D428" i="47"/>
  <c r="D445" i="47"/>
  <c r="D363" i="47"/>
  <c r="D342" i="47"/>
  <c r="D195" i="47"/>
  <c r="D91" i="47"/>
  <c r="D36" i="47"/>
  <c r="D123" i="47"/>
  <c r="D153" i="47"/>
  <c r="D510" i="47"/>
  <c r="D320" i="47"/>
  <c r="D25" i="47"/>
  <c r="D149" i="47"/>
  <c r="D396" i="47"/>
  <c r="D47" i="47"/>
  <c r="D588" i="47"/>
  <c r="D471" i="47"/>
  <c r="D430" i="47"/>
  <c r="D773" i="47"/>
  <c r="D618" i="47"/>
  <c r="D817" i="47"/>
  <c r="D337" i="47"/>
  <c r="D273" i="47"/>
  <c r="D499" i="47"/>
  <c r="D718" i="47"/>
  <c r="D887" i="47"/>
  <c r="D782" i="47"/>
  <c r="D709" i="47"/>
  <c r="D584" i="47"/>
  <c r="D476" i="47"/>
  <c r="D508" i="47"/>
  <c r="D361" i="47"/>
  <c r="D32" i="47"/>
  <c r="D109" i="47"/>
  <c r="D846" i="47"/>
  <c r="D708" i="47"/>
  <c r="D318" i="47"/>
  <c r="D205" i="47"/>
  <c r="D269" i="47"/>
  <c r="D124" i="47"/>
  <c r="D19" i="47"/>
  <c r="D78" i="47"/>
  <c r="D841" i="47"/>
  <c r="D518" i="47"/>
  <c r="D563" i="47"/>
  <c r="D458" i="47"/>
  <c r="D310" i="47"/>
  <c r="D169" i="47"/>
  <c r="D533" i="47"/>
  <c r="D769" i="47"/>
  <c r="D284" i="47"/>
  <c r="D2" i="47"/>
  <c r="D136" i="47"/>
  <c r="D501" i="47"/>
  <c r="D98" i="47"/>
  <c r="D879" i="47"/>
  <c r="D775" i="47"/>
  <c r="D684" i="47"/>
  <c r="D600" i="47"/>
  <c r="D568" i="47"/>
  <c r="D325" i="47"/>
  <c r="D254" i="47"/>
  <c r="D227" i="47"/>
  <c r="D79" i="47"/>
  <c r="D686" i="47"/>
  <c r="D664" i="47"/>
  <c r="D628" i="47"/>
  <c r="D121" i="47"/>
  <c r="D41" i="47"/>
  <c r="D194" i="47"/>
  <c r="D668" i="47"/>
  <c r="D424" i="47"/>
  <c r="D220" i="47"/>
  <c r="D161" i="47"/>
  <c r="D68" i="47"/>
  <c r="D724" i="47"/>
  <c r="D658" i="47"/>
  <c r="D38" i="47"/>
  <c r="D152" i="47"/>
  <c r="D288" i="47"/>
  <c r="D734" i="47"/>
  <c r="D766" i="47"/>
  <c r="D784" i="47"/>
  <c r="D733" i="47"/>
  <c r="D582" i="47"/>
  <c r="D627" i="47"/>
  <c r="D539" i="47"/>
  <c r="D575" i="47"/>
  <c r="D453" i="47"/>
  <c r="D440" i="47"/>
  <c r="D390" i="47"/>
  <c r="D372" i="47"/>
  <c r="D319" i="47"/>
  <c r="D323" i="47"/>
  <c r="D215" i="47"/>
  <c r="D103" i="47"/>
  <c r="D24" i="47"/>
  <c r="D669" i="47"/>
  <c r="D842" i="47"/>
  <c r="D450" i="47"/>
  <c r="D285" i="47"/>
  <c r="D122" i="47"/>
  <c r="D190" i="47"/>
  <c r="D656" i="47"/>
  <c r="D248" i="47"/>
  <c r="D327" i="47"/>
  <c r="D408" i="47"/>
  <c r="D178" i="47"/>
  <c r="D97" i="47"/>
  <c r="D130" i="47"/>
  <c r="D837" i="47"/>
  <c r="D264" i="47"/>
  <c r="D208" i="47"/>
  <c r="D869" i="47"/>
  <c r="D42" i="47"/>
  <c r="D166" i="47"/>
  <c r="D304" i="47"/>
  <c r="D520" i="47"/>
  <c r="D756" i="47"/>
  <c r="D422" i="47"/>
  <c r="D482" i="47"/>
  <c r="D589" i="47"/>
  <c r="D696" i="47"/>
  <c r="D315" i="47"/>
  <c r="B8" i="18"/>
  <c r="D200" i="47"/>
  <c r="E203" i="1"/>
  <c r="E695" i="1"/>
  <c r="D695" i="1"/>
  <c r="E652" i="1"/>
  <c r="D652" i="1"/>
  <c r="D150" i="1"/>
  <c r="E726" i="1"/>
  <c r="D726" i="1"/>
  <c r="E214" i="1"/>
  <c r="D214" i="1"/>
  <c r="E788" i="1"/>
  <c r="D788" i="1"/>
  <c r="E555" i="1"/>
  <c r="E823" i="1"/>
  <c r="E27" i="1"/>
  <c r="E710" i="1"/>
  <c r="E586" i="1"/>
  <c r="E732" i="1"/>
  <c r="E417" i="1"/>
  <c r="D555" i="1"/>
  <c r="D823" i="1"/>
  <c r="D27" i="1"/>
  <c r="D710" i="1"/>
  <c r="D586" i="1"/>
  <c r="D732" i="1"/>
  <c r="D417" i="1"/>
  <c r="E423" i="1"/>
  <c r="D423" i="1"/>
  <c r="E389" i="1"/>
  <c r="D389" i="1"/>
  <c r="E242" i="1"/>
  <c r="D242" i="1"/>
  <c r="E405" i="1"/>
  <c r="D405" i="1"/>
  <c r="E802" i="1"/>
  <c r="D802" i="1"/>
  <c r="E419" i="1"/>
  <c r="D419" i="1"/>
  <c r="E192" i="1"/>
  <c r="D192" i="1"/>
  <c r="E65" i="1"/>
  <c r="D65" i="1"/>
  <c r="E683" i="1"/>
  <c r="D683" i="1"/>
  <c r="A868" i="47"/>
  <c r="A867" i="47"/>
  <c r="E578" i="1"/>
  <c r="D578" i="1"/>
  <c r="E668" i="1"/>
  <c r="D668" i="1"/>
  <c r="E787" i="1"/>
  <c r="D787" i="1"/>
  <c r="E613" i="1"/>
  <c r="D613" i="1"/>
  <c r="D196" i="1"/>
  <c r="E595" i="1"/>
  <c r="D595" i="1"/>
  <c r="E548" i="1"/>
  <c r="D548" i="1"/>
  <c r="E602" i="1"/>
  <c r="D602" i="1"/>
  <c r="E18" i="1"/>
  <c r="D18" i="1"/>
  <c r="E350" i="1"/>
  <c r="D350" i="1"/>
  <c r="E711" i="1"/>
  <c r="D711" i="1"/>
  <c r="E857" i="1"/>
  <c r="D857" i="1"/>
  <c r="E235" i="1"/>
  <c r="D235" i="1"/>
  <c r="E168" i="1"/>
  <c r="D168" i="1"/>
  <c r="E101" i="1"/>
  <c r="D101" i="1"/>
  <c r="E540" i="1"/>
  <c r="D540" i="1"/>
  <c r="E340" i="1"/>
  <c r="D340" i="1"/>
  <c r="E830" i="1"/>
  <c r="D830" i="1"/>
  <c r="E558" i="1"/>
  <c r="D558" i="1"/>
  <c r="E141" i="1"/>
  <c r="D141"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C950" i="47"/>
  <c r="A950" i="47"/>
  <c r="P950" i="47" s="1"/>
  <c r="U949" i="47"/>
  <c r="T949" i="47"/>
  <c r="A949" i="47"/>
  <c r="U948" i="47"/>
  <c r="T948" i="47"/>
  <c r="N948" i="47"/>
  <c r="M948" i="47"/>
  <c r="A948" i="47"/>
  <c r="K948" i="47" s="1"/>
  <c r="U947" i="47"/>
  <c r="T947" i="47"/>
  <c r="B947" i="47"/>
  <c r="A947" i="47"/>
  <c r="U946" i="47"/>
  <c r="T946" i="47"/>
  <c r="A946" i="47"/>
  <c r="I946" i="47" s="1"/>
  <c r="U945" i="47"/>
  <c r="T945" i="47"/>
  <c r="A945" i="47"/>
  <c r="O945" i="47" s="1"/>
  <c r="U944" i="47"/>
  <c r="T944" i="47"/>
  <c r="I944" i="47"/>
  <c r="E944" i="47"/>
  <c r="A944" i="47"/>
  <c r="K944" i="47" s="1"/>
  <c r="U943" i="47"/>
  <c r="T943" i="47"/>
  <c r="A943" i="47"/>
  <c r="M943" i="47" s="1"/>
  <c r="U942" i="47"/>
  <c r="T942" i="47"/>
  <c r="A942" i="47"/>
  <c r="P942" i="47" s="1"/>
  <c r="Q942" i="47" s="1"/>
  <c r="U941" i="47"/>
  <c r="T941" i="47"/>
  <c r="A941" i="47"/>
  <c r="O941" i="47" s="1"/>
  <c r="U940" i="47"/>
  <c r="T940" i="47"/>
  <c r="A940" i="47"/>
  <c r="U939" i="47"/>
  <c r="T939" i="47"/>
  <c r="A939" i="47"/>
  <c r="G939" i="47" s="1"/>
  <c r="U938" i="47"/>
  <c r="T938" i="47"/>
  <c r="A938" i="47"/>
  <c r="P938" i="47" s="1"/>
  <c r="Q938" i="47" s="1"/>
  <c r="U937" i="47"/>
  <c r="T937" i="47"/>
  <c r="A937" i="47"/>
  <c r="E937" i="47" s="1"/>
  <c r="U936" i="47"/>
  <c r="T936" i="47"/>
  <c r="A936" i="47"/>
  <c r="K936" i="47" s="1"/>
  <c r="U935" i="47"/>
  <c r="T935" i="47"/>
  <c r="O935" i="47"/>
  <c r="A935" i="47"/>
  <c r="M935" i="47" s="1"/>
  <c r="U934" i="47"/>
  <c r="T934" i="47"/>
  <c r="P934" i="47"/>
  <c r="Q934" i="47" s="1"/>
  <c r="A934" i="47"/>
  <c r="M934" i="47" s="1"/>
  <c r="U933" i="47"/>
  <c r="T933" i="47"/>
  <c r="A933" i="47"/>
  <c r="U932" i="47"/>
  <c r="T932" i="47"/>
  <c r="A932" i="47"/>
  <c r="E932" i="47" s="1"/>
  <c r="U931" i="47"/>
  <c r="T931" i="47"/>
  <c r="O931" i="47"/>
  <c r="I931" i="47"/>
  <c r="A931" i="47"/>
  <c r="G931" i="47" s="1"/>
  <c r="U930" i="47"/>
  <c r="T930" i="47"/>
  <c r="A930" i="47"/>
  <c r="C930" i="47" s="1"/>
  <c r="U929" i="47"/>
  <c r="T929" i="47"/>
  <c r="A929" i="47"/>
  <c r="M929" i="47" s="1"/>
  <c r="U928" i="47"/>
  <c r="T928" i="47"/>
  <c r="C928" i="47"/>
  <c r="A928" i="47"/>
  <c r="H928" i="47" s="1"/>
  <c r="U927" i="47"/>
  <c r="T927" i="47"/>
  <c r="M927" i="47"/>
  <c r="I927" i="47"/>
  <c r="C927" i="47"/>
  <c r="A927" i="47"/>
  <c r="L927" i="47" s="1"/>
  <c r="U926" i="47"/>
  <c r="T926" i="47"/>
  <c r="P926" i="47"/>
  <c r="Q926" i="47" s="1"/>
  <c r="M926" i="47"/>
  <c r="E926" i="47"/>
  <c r="A926" i="47"/>
  <c r="C926" i="47" s="1"/>
  <c r="U925" i="47"/>
  <c r="T925" i="47"/>
  <c r="A925" i="47"/>
  <c r="U924" i="47"/>
  <c r="T924" i="47"/>
  <c r="A924" i="47"/>
  <c r="I924" i="47" s="1"/>
  <c r="U923" i="47"/>
  <c r="T923" i="47"/>
  <c r="A923" i="47"/>
  <c r="U922" i="47"/>
  <c r="T922" i="47"/>
  <c r="A922" i="47"/>
  <c r="E922" i="47" s="1"/>
  <c r="U921" i="47"/>
  <c r="T921" i="47"/>
  <c r="A921" i="47"/>
  <c r="M921" i="47" s="1"/>
  <c r="U920" i="47"/>
  <c r="T920" i="47"/>
  <c r="A920" i="47"/>
  <c r="U919" i="47"/>
  <c r="T919" i="47"/>
  <c r="A919" i="47"/>
  <c r="O919" i="47" s="1"/>
  <c r="U918" i="47"/>
  <c r="T918" i="47"/>
  <c r="P918" i="47"/>
  <c r="Q918" i="47" s="1"/>
  <c r="F918" i="47"/>
  <c r="A918" i="47"/>
  <c r="E918" i="47" s="1"/>
  <c r="U917" i="47"/>
  <c r="T917" i="47"/>
  <c r="A917" i="47"/>
  <c r="O917" i="47" s="1"/>
  <c r="U916" i="47"/>
  <c r="T916" i="47"/>
  <c r="A916" i="47"/>
  <c r="C916" i="47" s="1"/>
  <c r="U915" i="47"/>
  <c r="T915" i="47"/>
  <c r="A915" i="47"/>
  <c r="O915" i="47" s="1"/>
  <c r="U914" i="47"/>
  <c r="T914" i="47"/>
  <c r="M914" i="47"/>
  <c r="I914" i="47"/>
  <c r="G914" i="47"/>
  <c r="F914" i="47"/>
  <c r="A914" i="47"/>
  <c r="P914" i="47" s="1"/>
  <c r="Q914" i="47" s="1"/>
  <c r="U913" i="47"/>
  <c r="T913" i="47"/>
  <c r="A913" i="47"/>
  <c r="O913" i="47" s="1"/>
  <c r="U912" i="47"/>
  <c r="T912" i="47"/>
  <c r="A912" i="47"/>
  <c r="U911" i="47"/>
  <c r="T911" i="47"/>
  <c r="A911" i="47"/>
  <c r="E911" i="47" s="1"/>
  <c r="U910" i="47"/>
  <c r="T910" i="47"/>
  <c r="A910" i="47"/>
  <c r="P910" i="47" s="1"/>
  <c r="Q910" i="47" s="1"/>
  <c r="U909" i="47"/>
  <c r="T909" i="47"/>
  <c r="A909" i="47"/>
  <c r="J909" i="47" s="1"/>
  <c r="U908" i="47"/>
  <c r="T908" i="47"/>
  <c r="A908" i="47"/>
  <c r="U907" i="47"/>
  <c r="T907" i="47"/>
  <c r="A907" i="47"/>
  <c r="U906" i="47"/>
  <c r="T906" i="47"/>
  <c r="A906" i="47"/>
  <c r="P906" i="47" s="1"/>
  <c r="Q906" i="47" s="1"/>
  <c r="U905" i="47"/>
  <c r="T905" i="47"/>
  <c r="A905" i="47"/>
  <c r="O905" i="47" s="1"/>
  <c r="U904" i="47"/>
  <c r="T904" i="47"/>
  <c r="A904" i="47"/>
  <c r="U903" i="47"/>
  <c r="T903" i="47"/>
  <c r="A903" i="47"/>
  <c r="U902" i="47"/>
  <c r="T902" i="47"/>
  <c r="A902" i="47"/>
  <c r="M902" i="47" s="1"/>
  <c r="U901" i="47"/>
  <c r="T901" i="47"/>
  <c r="A901" i="47"/>
  <c r="P901" i="47" s="1"/>
  <c r="U900" i="47"/>
  <c r="T900" i="47"/>
  <c r="A900" i="47"/>
  <c r="U899" i="47"/>
  <c r="T899" i="47"/>
  <c r="A899" i="47"/>
  <c r="U898" i="47"/>
  <c r="T898" i="47"/>
  <c r="A898" i="47"/>
  <c r="U897" i="47"/>
  <c r="T897" i="47"/>
  <c r="O897" i="47"/>
  <c r="M897" i="47"/>
  <c r="L897" i="47"/>
  <c r="A897" i="47"/>
  <c r="J897" i="47" s="1"/>
  <c r="U896" i="47"/>
  <c r="T896" i="47"/>
  <c r="A896" i="47"/>
  <c r="U895" i="47"/>
  <c r="T895" i="47"/>
  <c r="A895" i="47"/>
  <c r="U894" i="47"/>
  <c r="T894" i="47"/>
  <c r="A894" i="47"/>
  <c r="U893" i="47"/>
  <c r="T893" i="47"/>
  <c r="A893" i="47"/>
  <c r="U892" i="47"/>
  <c r="T892" i="47"/>
  <c r="A892" i="47"/>
  <c r="F892" i="47" s="1"/>
  <c r="U891" i="47"/>
  <c r="T891" i="47"/>
  <c r="A891" i="47"/>
  <c r="P891" i="47" s="1"/>
  <c r="U890" i="47"/>
  <c r="T890" i="47"/>
  <c r="A890" i="47"/>
  <c r="U889" i="47"/>
  <c r="T889" i="47"/>
  <c r="A889" i="47"/>
  <c r="P889" i="47" s="1"/>
  <c r="U888" i="47"/>
  <c r="T888" i="47"/>
  <c r="A888" i="47"/>
  <c r="U887" i="47"/>
  <c r="T887" i="47"/>
  <c r="A887" i="47"/>
  <c r="P887" i="47" s="1"/>
  <c r="U886" i="47"/>
  <c r="T886" i="47"/>
  <c r="A886" i="47"/>
  <c r="B886" i="47" s="1"/>
  <c r="U885" i="47"/>
  <c r="T885" i="47"/>
  <c r="A885" i="47"/>
  <c r="U884" i="47"/>
  <c r="T884" i="47"/>
  <c r="A884" i="47"/>
  <c r="P884" i="47" s="1"/>
  <c r="U883" i="47"/>
  <c r="T883" i="47"/>
  <c r="A883" i="47"/>
  <c r="U882" i="47"/>
  <c r="T882" i="47"/>
  <c r="A882" i="47"/>
  <c r="U881" i="47"/>
  <c r="T881" i="47"/>
  <c r="A881" i="47"/>
  <c r="U880" i="47"/>
  <c r="T880" i="47"/>
  <c r="A880" i="47"/>
  <c r="P880" i="47" s="1"/>
  <c r="U879" i="47"/>
  <c r="T879" i="47"/>
  <c r="A879" i="47"/>
  <c r="P879" i="47" s="1"/>
  <c r="U878" i="47"/>
  <c r="T878" i="47"/>
  <c r="A878" i="47"/>
  <c r="P878" i="47" s="1"/>
  <c r="U877" i="47"/>
  <c r="T877" i="47"/>
  <c r="A877" i="47"/>
  <c r="F877" i="47" s="1"/>
  <c r="U876" i="47"/>
  <c r="T876" i="47"/>
  <c r="A876" i="47"/>
  <c r="U875" i="47"/>
  <c r="T875" i="47"/>
  <c r="A875" i="47"/>
  <c r="U874" i="47"/>
  <c r="T874" i="47"/>
  <c r="A874" i="47"/>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U858" i="47"/>
  <c r="T858" i="47"/>
  <c r="A858" i="47"/>
  <c r="U857" i="47"/>
  <c r="T857" i="47"/>
  <c r="A857" i="47"/>
  <c r="U856" i="47"/>
  <c r="T856" i="47"/>
  <c r="A856" i="47"/>
  <c r="U855" i="47"/>
  <c r="T855" i="47"/>
  <c r="A855" i="47"/>
  <c r="U854" i="47"/>
  <c r="T854" i="47"/>
  <c r="A854" i="47"/>
  <c r="U853" i="47"/>
  <c r="T853" i="47"/>
  <c r="A853" i="47"/>
  <c r="U852" i="47"/>
  <c r="T852" i="47"/>
  <c r="A852" i="47"/>
  <c r="U851" i="47"/>
  <c r="T851" i="47"/>
  <c r="A851" i="47"/>
  <c r="P851" i="47" s="1"/>
  <c r="U850" i="47"/>
  <c r="T850" i="47"/>
  <c r="A850" i="47"/>
  <c r="U849" i="47"/>
  <c r="T849" i="47"/>
  <c r="A849" i="47"/>
  <c r="B849" i="47" s="1"/>
  <c r="U848" i="47"/>
  <c r="T848" i="47"/>
  <c r="A848" i="47"/>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U797" i="47"/>
  <c r="T797" i="47"/>
  <c r="A797" i="47"/>
  <c r="U796" i="47"/>
  <c r="T796" i="47"/>
  <c r="A796" i="47"/>
  <c r="F796" i="47" s="1"/>
  <c r="U795" i="47"/>
  <c r="T795" i="47"/>
  <c r="A795" i="47"/>
  <c r="U794" i="47"/>
  <c r="T794" i="47"/>
  <c r="A794" i="47"/>
  <c r="U793" i="47"/>
  <c r="T793" i="47"/>
  <c r="A793" i="47"/>
  <c r="P793" i="47" s="1"/>
  <c r="U792" i="47"/>
  <c r="T792" i="47"/>
  <c r="A792" i="47"/>
  <c r="U791" i="47"/>
  <c r="T791" i="47"/>
  <c r="A791" i="47"/>
  <c r="P791" i="47" s="1"/>
  <c r="U790" i="47"/>
  <c r="T790" i="47"/>
  <c r="A790" i="47"/>
  <c r="U789" i="47"/>
  <c r="T789" i="47"/>
  <c r="A789" i="47"/>
  <c r="B789" i="47" s="1"/>
  <c r="U788" i="47"/>
  <c r="T788" i="47"/>
  <c r="A788" i="47"/>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U721" i="47"/>
  <c r="T721" i="47"/>
  <c r="A721" i="47"/>
  <c r="U720" i="47"/>
  <c r="T720" i="47"/>
  <c r="A720" i="47"/>
  <c r="P720" i="47" s="1"/>
  <c r="U719" i="47"/>
  <c r="T719" i="47"/>
  <c r="A719" i="47"/>
  <c r="P719" i="47" s="1"/>
  <c r="U718" i="47"/>
  <c r="T718" i="47"/>
  <c r="A718" i="47"/>
  <c r="U717" i="47"/>
  <c r="T717" i="47"/>
  <c r="A717" i="47"/>
  <c r="U716" i="47"/>
  <c r="T716" i="47"/>
  <c r="A716" i="47"/>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U696" i="47"/>
  <c r="T696" i="47"/>
  <c r="A696" i="47"/>
  <c r="P696" i="47" s="1"/>
  <c r="U695" i="47"/>
  <c r="T695" i="47"/>
  <c r="A695" i="47"/>
  <c r="U694" i="47"/>
  <c r="T694" i="47"/>
  <c r="A694" i="47"/>
  <c r="C694" i="47" s="1"/>
  <c r="U693" i="47"/>
  <c r="T693" i="47"/>
  <c r="A693" i="47"/>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U676" i="47"/>
  <c r="T676" i="47"/>
  <c r="A676" i="47"/>
  <c r="U675" i="47"/>
  <c r="T675" i="47"/>
  <c r="A675" i="47"/>
  <c r="U674" i="47"/>
  <c r="T674" i="47"/>
  <c r="A674" i="47"/>
  <c r="U673" i="47"/>
  <c r="T673" i="47"/>
  <c r="A673" i="47"/>
  <c r="U672" i="47"/>
  <c r="T672" i="47"/>
  <c r="A672" i="47"/>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U533" i="47"/>
  <c r="T533" i="47"/>
  <c r="A533" i="47"/>
  <c r="B533" i="47" s="1"/>
  <c r="U532" i="47"/>
  <c r="T532" i="47"/>
  <c r="A532" i="47"/>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U519" i="47"/>
  <c r="T519" i="47"/>
  <c r="A519" i="47"/>
  <c r="C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U505" i="47"/>
  <c r="T505" i="47"/>
  <c r="A505" i="47"/>
  <c r="C505" i="47" s="1"/>
  <c r="U504" i="47"/>
  <c r="T504" i="47"/>
  <c r="A504" i="47"/>
  <c r="U503" i="47"/>
  <c r="T503" i="47"/>
  <c r="A503" i="47"/>
  <c r="P503" i="47" s="1"/>
  <c r="U502" i="47"/>
  <c r="T502" i="47"/>
  <c r="A502" i="47"/>
  <c r="P502" i="47" s="1"/>
  <c r="U501" i="47"/>
  <c r="T501" i="47"/>
  <c r="A501" i="47"/>
  <c r="U500" i="47"/>
  <c r="T500" i="47"/>
  <c r="A500" i="47"/>
  <c r="F500" i="47" s="1"/>
  <c r="U499" i="47"/>
  <c r="T499" i="47"/>
  <c r="A499" i="47"/>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U485" i="47"/>
  <c r="T485" i="47"/>
  <c r="A485" i="47"/>
  <c r="F485" i="47" s="1"/>
  <c r="U484" i="47"/>
  <c r="T484" i="47"/>
  <c r="A484" i="47"/>
  <c r="C484" i="47" s="1"/>
  <c r="E484" i="47" s="1"/>
  <c r="U483" i="47"/>
  <c r="T483" i="47"/>
  <c r="A483" i="47"/>
  <c r="U482" i="47"/>
  <c r="T482" i="47"/>
  <c r="A482" i="47"/>
  <c r="B482" i="47" s="1"/>
  <c r="U481" i="47"/>
  <c r="T481" i="47"/>
  <c r="A481" i="47"/>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U464" i="47"/>
  <c r="T464" i="47"/>
  <c r="A464" i="47"/>
  <c r="U463" i="47"/>
  <c r="T463" i="47"/>
  <c r="A463" i="47"/>
  <c r="C463" i="47" s="1"/>
  <c r="I463" i="47" s="1"/>
  <c r="U462" i="47"/>
  <c r="T462" i="47"/>
  <c r="A462" i="47"/>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U435" i="47"/>
  <c r="T435" i="47"/>
  <c r="A435" i="47"/>
  <c r="U434" i="47"/>
  <c r="T434" i="47"/>
  <c r="A434" i="47"/>
  <c r="P434" i="47" s="1"/>
  <c r="U433" i="47"/>
  <c r="T433" i="47"/>
  <c r="A433" i="47"/>
  <c r="F433" i="47" s="1"/>
  <c r="U432" i="47"/>
  <c r="T432" i="47"/>
  <c r="A432" i="47"/>
  <c r="F432" i="47" s="1"/>
  <c r="U431" i="47"/>
  <c r="T431" i="47"/>
  <c r="A431" i="47"/>
  <c r="U430" i="47"/>
  <c r="T430" i="47"/>
  <c r="A430" i="47"/>
  <c r="B430" i="47" s="1"/>
  <c r="U429" i="47"/>
  <c r="T429" i="47"/>
  <c r="A429" i="47"/>
  <c r="C429" i="47" s="1"/>
  <c r="U428" i="47"/>
  <c r="T428" i="47"/>
  <c r="A428" i="47"/>
  <c r="P428" i="47" s="1"/>
  <c r="U427" i="47"/>
  <c r="T427" i="47"/>
  <c r="A427" i="47"/>
  <c r="P427" i="47" s="1"/>
  <c r="U426" i="47"/>
  <c r="T426" i="47"/>
  <c r="A426" i="47"/>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U418" i="47"/>
  <c r="T418" i="47"/>
  <c r="A418" i="47"/>
  <c r="U417" i="47"/>
  <c r="T417" i="47"/>
  <c r="A417" i="47"/>
  <c r="U416" i="47"/>
  <c r="T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U406" i="47"/>
  <c r="T406" i="47"/>
  <c r="A406" i="47"/>
  <c r="U405" i="47"/>
  <c r="T405" i="47"/>
  <c r="A405" i="47"/>
  <c r="U404" i="47"/>
  <c r="T404" i="47"/>
  <c r="A404" i="47"/>
  <c r="U403" i="47"/>
  <c r="T403" i="47"/>
  <c r="A403" i="47"/>
  <c r="U402" i="47"/>
  <c r="T402" i="47"/>
  <c r="A402" i="47"/>
  <c r="P402" i="47" s="1"/>
  <c r="U401" i="47"/>
  <c r="T401" i="47"/>
  <c r="A401" i="47"/>
  <c r="P401" i="47" s="1"/>
  <c r="U400" i="47"/>
  <c r="T400" i="47"/>
  <c r="A400" i="47"/>
  <c r="U399" i="47"/>
  <c r="T399" i="47"/>
  <c r="A399" i="47"/>
  <c r="U398" i="47"/>
  <c r="T398" i="47"/>
  <c r="A398" i="47"/>
  <c r="P398" i="47" s="1"/>
  <c r="U397" i="47"/>
  <c r="T397" i="47"/>
  <c r="A397" i="47"/>
  <c r="U396" i="47"/>
  <c r="T396" i="47"/>
  <c r="A396" i="47"/>
  <c r="C396" i="47" s="1"/>
  <c r="U395" i="47"/>
  <c r="T395" i="47"/>
  <c r="A395" i="47"/>
  <c r="U394" i="47"/>
  <c r="T394" i="47"/>
  <c r="A394" i="47"/>
  <c r="U393" i="47"/>
  <c r="T393" i="47"/>
  <c r="A393" i="47"/>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U357" i="47"/>
  <c r="T357" i="47"/>
  <c r="A357" i="47"/>
  <c r="U356" i="47"/>
  <c r="T356" i="47"/>
  <c r="A356" i="47"/>
  <c r="F356" i="47" s="1"/>
  <c r="U355" i="47"/>
  <c r="T355" i="47"/>
  <c r="A355" i="47"/>
  <c r="U354" i="47"/>
  <c r="T354" i="47"/>
  <c r="A354" i="47"/>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U346" i="47"/>
  <c r="T346" i="47"/>
  <c r="A346" i="47"/>
  <c r="U345" i="47"/>
  <c r="T345" i="47"/>
  <c r="A345" i="47"/>
  <c r="U344" i="47"/>
  <c r="T344" i="47"/>
  <c r="A344" i="47"/>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U307" i="47"/>
  <c r="T307" i="47"/>
  <c r="A307" i="47"/>
  <c r="U306" i="47"/>
  <c r="T306" i="47"/>
  <c r="A306" i="47"/>
  <c r="P306" i="47" s="1"/>
  <c r="U305" i="47"/>
  <c r="T305" i="47"/>
  <c r="A305" i="47"/>
  <c r="U304" i="47"/>
  <c r="T304" i="47"/>
  <c r="A304" i="47"/>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U277" i="47"/>
  <c r="T277" i="47"/>
  <c r="A277" i="47"/>
  <c r="F277" i="47" s="1"/>
  <c r="U276" i="47"/>
  <c r="T276" i="47"/>
  <c r="A276" i="47"/>
  <c r="F276" i="47" s="1"/>
  <c r="U275" i="47"/>
  <c r="T275" i="47"/>
  <c r="A275" i="47"/>
  <c r="U274" i="47"/>
  <c r="T274" i="47"/>
  <c r="A274" i="47"/>
  <c r="U273" i="47"/>
  <c r="T273" i="47"/>
  <c r="A273" i="47"/>
  <c r="U272" i="47"/>
  <c r="T272" i="47"/>
  <c r="A272" i="47"/>
  <c r="U271" i="47"/>
  <c r="T271" i="47"/>
  <c r="A271" i="47"/>
  <c r="C271" i="47" s="1"/>
  <c r="U270" i="47"/>
  <c r="T270" i="47"/>
  <c r="A270" i="47"/>
  <c r="U269" i="47"/>
  <c r="T269" i="47"/>
  <c r="A269" i="47"/>
  <c r="P269" i="47" s="1"/>
  <c r="U268" i="47"/>
  <c r="T268" i="47"/>
  <c r="A268" i="47"/>
  <c r="U267" i="47"/>
  <c r="T267" i="47"/>
  <c r="A267" i="47"/>
  <c r="P267" i="47" s="1"/>
  <c r="U266" i="47"/>
  <c r="T266" i="47"/>
  <c r="A266" i="47"/>
  <c r="U265" i="47"/>
  <c r="T265" i="47"/>
  <c r="A265" i="47"/>
  <c r="C265" i="47" s="1"/>
  <c r="U264" i="47"/>
  <c r="T264" i="47"/>
  <c r="A264" i="47"/>
  <c r="F264" i="47" s="1"/>
  <c r="U263" i="47"/>
  <c r="T263" i="47"/>
  <c r="A263" i="47"/>
  <c r="U262" i="47"/>
  <c r="T262" i="47"/>
  <c r="A262" i="47"/>
  <c r="U261" i="47"/>
  <c r="T261" i="47"/>
  <c r="A261" i="47"/>
  <c r="C261" i="47" s="1"/>
  <c r="U260" i="47"/>
  <c r="T260" i="47"/>
  <c r="A260" i="47"/>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U228" i="47"/>
  <c r="T228" i="47"/>
  <c r="A228" i="47"/>
  <c r="F228" i="47" s="1"/>
  <c r="U227" i="47"/>
  <c r="T227" i="47"/>
  <c r="A227" i="47"/>
  <c r="F227" i="47" s="1"/>
  <c r="U226" i="47"/>
  <c r="T226" i="47"/>
  <c r="A226" i="47"/>
  <c r="F226" i="47" s="1"/>
  <c r="U225" i="47"/>
  <c r="T225" i="47"/>
  <c r="A225" i="47"/>
  <c r="U224" i="47"/>
  <c r="T224" i="47"/>
  <c r="A224" i="47"/>
  <c r="F224" i="47" s="1"/>
  <c r="U223" i="47"/>
  <c r="T223" i="47"/>
  <c r="A223" i="47"/>
  <c r="U222" i="47"/>
  <c r="T222" i="47"/>
  <c r="A222" i="47"/>
  <c r="C222" i="47" s="1"/>
  <c r="U221" i="47"/>
  <c r="T221" i="47"/>
  <c r="A221" i="47"/>
  <c r="B221" i="47" s="1"/>
  <c r="U220" i="47"/>
  <c r="T220" i="47"/>
  <c r="A220" i="47"/>
  <c r="C220" i="47" s="1"/>
  <c r="U219" i="47"/>
  <c r="T219" i="47"/>
  <c r="A219" i="47"/>
  <c r="U218" i="47"/>
  <c r="T218" i="47"/>
  <c r="A218" i="47"/>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U135" i="47"/>
  <c r="T135" i="47"/>
  <c r="A135" i="47"/>
  <c r="U134" i="47"/>
  <c r="T134" i="47"/>
  <c r="A134" i="47"/>
  <c r="U133" i="47"/>
  <c r="T133" i="47"/>
  <c r="A133" i="47"/>
  <c r="U132" i="47"/>
  <c r="T132" i="47"/>
  <c r="A132" i="47"/>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U101" i="47"/>
  <c r="T101" i="47"/>
  <c r="A101" i="47"/>
  <c r="U100" i="47"/>
  <c r="T100" i="47"/>
  <c r="A100" i="47"/>
  <c r="U99" i="47"/>
  <c r="T99" i="47"/>
  <c r="A99" i="47"/>
  <c r="P99" i="47" s="1"/>
  <c r="U98" i="47"/>
  <c r="T98" i="47"/>
  <c r="A98" i="47"/>
  <c r="U97" i="47"/>
  <c r="T97" i="47"/>
  <c r="A97" i="47"/>
  <c r="F97" i="47" s="1"/>
  <c r="U96" i="47"/>
  <c r="T96" i="47"/>
  <c r="A96" i="47"/>
  <c r="U95" i="47"/>
  <c r="T95" i="47"/>
  <c r="A95" i="47"/>
  <c r="P95" i="47" s="1"/>
  <c r="U94" i="47"/>
  <c r="T94" i="47"/>
  <c r="A94" i="47"/>
  <c r="U93" i="47"/>
  <c r="T93" i="47"/>
  <c r="A93" i="47"/>
  <c r="F93" i="47" s="1"/>
  <c r="U92" i="47"/>
  <c r="T92" i="47"/>
  <c r="A92" i="47"/>
  <c r="U91" i="47"/>
  <c r="T91" i="47"/>
  <c r="A91" i="47"/>
  <c r="P91" i="47" s="1"/>
  <c r="U90" i="47"/>
  <c r="T90" i="47"/>
  <c r="A90" i="47"/>
  <c r="U89" i="47"/>
  <c r="T89" i="47"/>
  <c r="A89" i="47"/>
  <c r="U88" i="47"/>
  <c r="T88" i="47"/>
  <c r="A88" i="47"/>
  <c r="F88" i="47" s="1"/>
  <c r="U87" i="47"/>
  <c r="T87" i="47"/>
  <c r="A87" i="47"/>
  <c r="U86" i="47"/>
  <c r="T86" i="47"/>
  <c r="A86" i="47"/>
  <c r="U85" i="47"/>
  <c r="T85" i="47"/>
  <c r="A85" i="47"/>
  <c r="U84" i="47"/>
  <c r="T84" i="47"/>
  <c r="A84" i="47"/>
  <c r="P84" i="47" s="1"/>
  <c r="U83" i="47"/>
  <c r="T83" i="47"/>
  <c r="A83" i="47"/>
  <c r="U82" i="47"/>
  <c r="T82" i="47"/>
  <c r="A82" i="47"/>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U61" i="47"/>
  <c r="T61" i="47"/>
  <c r="A61" i="47"/>
  <c r="P61" i="47" s="1"/>
  <c r="U60" i="47"/>
  <c r="T60" i="47"/>
  <c r="A60" i="47"/>
  <c r="U59" i="47"/>
  <c r="T59" i="47"/>
  <c r="A59" i="47"/>
  <c r="U58" i="47"/>
  <c r="T58" i="47"/>
  <c r="A58" i="47"/>
  <c r="U57" i="47"/>
  <c r="T57" i="47"/>
  <c r="A57" i="47"/>
  <c r="P57" i="47" s="1"/>
  <c r="U56" i="47"/>
  <c r="T56" i="47"/>
  <c r="A56" i="47"/>
  <c r="C56" i="47" s="1"/>
  <c r="U55" i="47"/>
  <c r="T55" i="47"/>
  <c r="A55" i="47"/>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U41" i="47"/>
  <c r="T41" i="47"/>
  <c r="A41" i="47"/>
  <c r="F41" i="47" s="1"/>
  <c r="U40" i="47"/>
  <c r="T40" i="47"/>
  <c r="A40" i="47"/>
  <c r="P40" i="47" s="1"/>
  <c r="U39" i="47"/>
  <c r="T39" i="47"/>
  <c r="A39" i="47"/>
  <c r="P39" i="47" s="1"/>
  <c r="U38" i="47"/>
  <c r="T38" i="47"/>
  <c r="A38" i="47"/>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X21" i="18"/>
  <c r="W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X7" i="18"/>
  <c r="W7" i="18"/>
  <c r="K7" i="18"/>
  <c r="J7" i="18"/>
  <c r="X6" i="18"/>
  <c r="W6" i="18"/>
  <c r="K6" i="18"/>
  <c r="J6" i="18"/>
  <c r="B6" i="18"/>
  <c r="X5" i="18"/>
  <c r="W5" i="18"/>
  <c r="K5" i="18"/>
  <c r="J5" i="18"/>
  <c r="B5" i="18"/>
  <c r="E896" i="1"/>
  <c r="D896" i="1"/>
  <c r="E895" i="1"/>
  <c r="D895" i="1"/>
  <c r="E894" i="1"/>
  <c r="D894" i="1"/>
  <c r="E893" i="1"/>
  <c r="D893" i="1"/>
  <c r="E892" i="1"/>
  <c r="D892" i="1"/>
  <c r="E891" i="1"/>
  <c r="D891" i="1"/>
  <c r="E890" i="1"/>
  <c r="D890" i="1"/>
  <c r="E889" i="1"/>
  <c r="D889" i="1"/>
  <c r="E888" i="1"/>
  <c r="D888" i="1"/>
  <c r="E887" i="1"/>
  <c r="D887" i="1"/>
  <c r="E886" i="1"/>
  <c r="D886" i="1"/>
  <c r="E885" i="1"/>
  <c r="D885" i="1"/>
  <c r="E884" i="1"/>
  <c r="D884" i="1"/>
  <c r="E883" i="1"/>
  <c r="D883" i="1"/>
  <c r="E882" i="1"/>
  <c r="D882" i="1"/>
  <c r="E881" i="1"/>
  <c r="D881" i="1"/>
  <c r="E880" i="1"/>
  <c r="D880" i="1"/>
  <c r="E879" i="1"/>
  <c r="D879" i="1"/>
  <c r="E878" i="1"/>
  <c r="D878" i="1"/>
  <c r="E877" i="1"/>
  <c r="D877" i="1"/>
  <c r="E876" i="1"/>
  <c r="D876" i="1"/>
  <c r="E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8" i="1"/>
  <c r="D858" i="1"/>
  <c r="E856" i="1"/>
  <c r="D856" i="1"/>
  <c r="E855" i="1"/>
  <c r="D855" i="1"/>
  <c r="E854" i="1"/>
  <c r="D854" i="1"/>
  <c r="E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29" i="1"/>
  <c r="D829" i="1"/>
  <c r="E828" i="1"/>
  <c r="D828" i="1"/>
  <c r="E827" i="1"/>
  <c r="D827" i="1"/>
  <c r="E826" i="1"/>
  <c r="D826" i="1"/>
  <c r="E825" i="1"/>
  <c r="D825" i="1"/>
  <c r="E824" i="1"/>
  <c r="D824"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E741" i="1"/>
  <c r="D741" i="1"/>
  <c r="E740" i="1"/>
  <c r="D740" i="1"/>
  <c r="E739" i="1"/>
  <c r="D739" i="1"/>
  <c r="E738" i="1"/>
  <c r="D738" i="1"/>
  <c r="E737" i="1"/>
  <c r="D737" i="1"/>
  <c r="E736" i="1"/>
  <c r="D736" i="1"/>
  <c r="E735" i="1"/>
  <c r="E734" i="1"/>
  <c r="D734" i="1"/>
  <c r="E733" i="1"/>
  <c r="D733" i="1"/>
  <c r="E731" i="1"/>
  <c r="D731" i="1"/>
  <c r="E730" i="1"/>
  <c r="D730" i="1"/>
  <c r="E729" i="1"/>
  <c r="D729" i="1"/>
  <c r="E728" i="1"/>
  <c r="D728" i="1"/>
  <c r="E727" i="1"/>
  <c r="D727"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09" i="1"/>
  <c r="D709" i="1"/>
  <c r="E708" i="1"/>
  <c r="D708" i="1"/>
  <c r="E707" i="1"/>
  <c r="D707" i="1"/>
  <c r="E706" i="1"/>
  <c r="D706" i="1"/>
  <c r="E705" i="1"/>
  <c r="D705" i="1"/>
  <c r="E704" i="1"/>
  <c r="D704" i="1"/>
  <c r="E703" i="1"/>
  <c r="D703" i="1"/>
  <c r="E702" i="1"/>
  <c r="E701" i="1"/>
  <c r="D701" i="1"/>
  <c r="E700" i="1"/>
  <c r="D700" i="1"/>
  <c r="E699" i="1"/>
  <c r="D699" i="1"/>
  <c r="E698" i="1"/>
  <c r="D698" i="1"/>
  <c r="E697" i="1"/>
  <c r="D697" i="1"/>
  <c r="E696" i="1"/>
  <c r="D696" i="1"/>
  <c r="E694" i="1"/>
  <c r="D694" i="1"/>
  <c r="E693" i="1"/>
  <c r="D693" i="1"/>
  <c r="E692" i="1"/>
  <c r="D692" i="1"/>
  <c r="E691" i="1"/>
  <c r="D691" i="1"/>
  <c r="E690" i="1"/>
  <c r="D690" i="1"/>
  <c r="E689" i="1"/>
  <c r="D689" i="1"/>
  <c r="E688" i="1"/>
  <c r="D688" i="1"/>
  <c r="E687" i="1"/>
  <c r="D687" i="1"/>
  <c r="E686" i="1"/>
  <c r="D686" i="1"/>
  <c r="E685" i="1"/>
  <c r="D685" i="1"/>
  <c r="E684" i="1"/>
  <c r="D684" i="1"/>
  <c r="E682" i="1"/>
  <c r="D682" i="1"/>
  <c r="E681" i="1"/>
  <c r="D681" i="1"/>
  <c r="E680" i="1"/>
  <c r="D680" i="1"/>
  <c r="E679" i="1"/>
  <c r="D679" i="1"/>
  <c r="E678" i="1"/>
  <c r="D678" i="1"/>
  <c r="E677" i="1"/>
  <c r="D677" i="1"/>
  <c r="E676" i="1"/>
  <c r="D676" i="1"/>
  <c r="E675" i="1"/>
  <c r="D675" i="1"/>
  <c r="E674" i="1"/>
  <c r="D674" i="1"/>
  <c r="E673" i="1"/>
  <c r="D673" i="1"/>
  <c r="E672" i="1"/>
  <c r="D672" i="1"/>
  <c r="E671" i="1"/>
  <c r="D671" i="1"/>
  <c r="E670" i="1"/>
  <c r="D670" i="1"/>
  <c r="E669" i="1"/>
  <c r="D669" i="1"/>
  <c r="E667" i="1"/>
  <c r="D667" i="1"/>
  <c r="E666" i="1"/>
  <c r="D666" i="1"/>
  <c r="E665" i="1"/>
  <c r="D665" i="1"/>
  <c r="E664" i="1"/>
  <c r="D664" i="1"/>
  <c r="E663" i="1"/>
  <c r="D663" i="1"/>
  <c r="E662" i="1"/>
  <c r="D662" i="1"/>
  <c r="E661" i="1"/>
  <c r="D661" i="1"/>
  <c r="E660" i="1"/>
  <c r="D660" i="1"/>
  <c r="E659" i="1"/>
  <c r="D659" i="1"/>
  <c r="E658" i="1"/>
  <c r="D658" i="1"/>
  <c r="E657" i="1"/>
  <c r="D657" i="1"/>
  <c r="E656" i="1"/>
  <c r="E655" i="1"/>
  <c r="D655" i="1"/>
  <c r="E654" i="1"/>
  <c r="D654" i="1"/>
  <c r="E653" i="1"/>
  <c r="D653" i="1"/>
  <c r="E651" i="1"/>
  <c r="D651" i="1"/>
  <c r="E650" i="1"/>
  <c r="D650" i="1"/>
  <c r="E649" i="1"/>
  <c r="D649" i="1"/>
  <c r="E648" i="1"/>
  <c r="D648" i="1"/>
  <c r="E647" i="1"/>
  <c r="D647" i="1"/>
  <c r="E646" i="1"/>
  <c r="D646" i="1"/>
  <c r="E645" i="1"/>
  <c r="E644" i="1"/>
  <c r="D644" i="1"/>
  <c r="E643" i="1"/>
  <c r="D643" i="1"/>
  <c r="E642" i="1"/>
  <c r="D642" i="1"/>
  <c r="E641" i="1"/>
  <c r="D641" i="1"/>
  <c r="E640" i="1"/>
  <c r="D640" i="1"/>
  <c r="E639" i="1"/>
  <c r="D639" i="1"/>
  <c r="E638" i="1"/>
  <c r="D638" i="1"/>
  <c r="E637" i="1"/>
  <c r="D637" i="1"/>
  <c r="E636" i="1"/>
  <c r="E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2" i="1"/>
  <c r="D612" i="1"/>
  <c r="E611" i="1"/>
  <c r="D611" i="1"/>
  <c r="E610" i="1"/>
  <c r="D610" i="1"/>
  <c r="E609" i="1"/>
  <c r="D609" i="1"/>
  <c r="E608" i="1"/>
  <c r="D608" i="1"/>
  <c r="E607" i="1"/>
  <c r="D607" i="1"/>
  <c r="E606" i="1"/>
  <c r="D606" i="1"/>
  <c r="E605" i="1"/>
  <c r="D605" i="1"/>
  <c r="E604" i="1"/>
  <c r="D604" i="1"/>
  <c r="E603" i="1"/>
  <c r="D603" i="1"/>
  <c r="E601" i="1"/>
  <c r="D601" i="1"/>
  <c r="E600" i="1"/>
  <c r="D600" i="1"/>
  <c r="E599" i="1"/>
  <c r="D599" i="1"/>
  <c r="E598" i="1"/>
  <c r="D598" i="1"/>
  <c r="E597" i="1"/>
  <c r="D597" i="1"/>
  <c r="E596" i="1"/>
  <c r="D596" i="1"/>
  <c r="E594" i="1"/>
  <c r="D594" i="1"/>
  <c r="E593" i="1"/>
  <c r="D593" i="1"/>
  <c r="E592" i="1"/>
  <c r="D592" i="1"/>
  <c r="E591" i="1"/>
  <c r="D591" i="1"/>
  <c r="E590" i="1"/>
  <c r="D590" i="1"/>
  <c r="E589" i="1"/>
  <c r="E588" i="1"/>
  <c r="D588" i="1"/>
  <c r="E587" i="1"/>
  <c r="D587" i="1"/>
  <c r="E585" i="1"/>
  <c r="D585" i="1"/>
  <c r="E584" i="1"/>
  <c r="D584" i="1"/>
  <c r="E583" i="1"/>
  <c r="D583" i="1"/>
  <c r="E582" i="1"/>
  <c r="D582" i="1"/>
  <c r="E581" i="1"/>
  <c r="D581" i="1"/>
  <c r="E580" i="1"/>
  <c r="D580" i="1"/>
  <c r="E579" i="1"/>
  <c r="D579"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7" i="1"/>
  <c r="D557" i="1"/>
  <c r="E556" i="1"/>
  <c r="D556" i="1"/>
  <c r="E554" i="1"/>
  <c r="D554" i="1"/>
  <c r="E553" i="1"/>
  <c r="D553" i="1"/>
  <c r="E552" i="1"/>
  <c r="E551" i="1"/>
  <c r="D551" i="1"/>
  <c r="E550" i="1"/>
  <c r="D550" i="1"/>
  <c r="E549" i="1"/>
  <c r="D549" i="1"/>
  <c r="E547" i="1"/>
  <c r="D547" i="1"/>
  <c r="E546" i="1"/>
  <c r="D546" i="1"/>
  <c r="E545" i="1"/>
  <c r="D545" i="1"/>
  <c r="E544" i="1"/>
  <c r="D544" i="1"/>
  <c r="E543" i="1"/>
  <c r="D543" i="1"/>
  <c r="E542" i="1"/>
  <c r="E541" i="1"/>
  <c r="D541"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E464" i="1"/>
  <c r="D464" i="1"/>
  <c r="E463" i="1"/>
  <c r="D463" i="1"/>
  <c r="E462" i="1"/>
  <c r="E461" i="1"/>
  <c r="E460" i="1"/>
  <c r="D460" i="1"/>
  <c r="E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2" i="1"/>
  <c r="E421" i="1"/>
  <c r="E420" i="1"/>
  <c r="D420" i="1"/>
  <c r="E418" i="1"/>
  <c r="D418" i="1"/>
  <c r="E416" i="1"/>
  <c r="D416" i="1"/>
  <c r="E415" i="1"/>
  <c r="D415" i="1"/>
  <c r="E414" i="1"/>
  <c r="D414" i="1"/>
  <c r="E413" i="1"/>
  <c r="D413" i="1"/>
  <c r="E412" i="1"/>
  <c r="D412" i="1"/>
  <c r="E411" i="1"/>
  <c r="D411" i="1"/>
  <c r="E410" i="1"/>
  <c r="D410" i="1"/>
  <c r="E409" i="1"/>
  <c r="D409" i="1"/>
  <c r="E408" i="1"/>
  <c r="D408" i="1"/>
  <c r="E407" i="1"/>
  <c r="D407" i="1"/>
  <c r="E406"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8" i="1"/>
  <c r="D388" i="1"/>
  <c r="E387" i="1"/>
  <c r="D387" i="1"/>
  <c r="E386" i="1"/>
  <c r="D386" i="1"/>
  <c r="E385" i="1"/>
  <c r="D385" i="1"/>
  <c r="E384" i="1"/>
  <c r="D384" i="1"/>
  <c r="E383" i="1"/>
  <c r="D383" i="1"/>
  <c r="E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E358" i="1"/>
  <c r="E357" i="1"/>
  <c r="E356" i="1"/>
  <c r="D356" i="1"/>
  <c r="E355" i="1"/>
  <c r="D355" i="1"/>
  <c r="E354" i="1"/>
  <c r="D354" i="1"/>
  <c r="E353" i="1"/>
  <c r="D353" i="1"/>
  <c r="E352" i="1"/>
  <c r="D352" i="1"/>
  <c r="E351" i="1"/>
  <c r="D351" i="1"/>
  <c r="E349" i="1"/>
  <c r="E348" i="1"/>
  <c r="D348" i="1"/>
  <c r="E347" i="1"/>
  <c r="D347" i="1"/>
  <c r="E346" i="1"/>
  <c r="D346" i="1"/>
  <c r="E345" i="1"/>
  <c r="D345" i="1"/>
  <c r="E344" i="1"/>
  <c r="D344" i="1"/>
  <c r="E343" i="1"/>
  <c r="D343" i="1"/>
  <c r="E342" i="1"/>
  <c r="D342" i="1"/>
  <c r="E341" i="1"/>
  <c r="D341"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1" i="1"/>
  <c r="D241" i="1"/>
  <c r="E240" i="1"/>
  <c r="D240" i="1"/>
  <c r="E239" i="1"/>
  <c r="D239" i="1"/>
  <c r="E237" i="1"/>
  <c r="D237" i="1"/>
  <c r="E236" i="1"/>
  <c r="D236"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3" i="1"/>
  <c r="D213" i="1"/>
  <c r="E212" i="1"/>
  <c r="D212" i="1"/>
  <c r="E211" i="1"/>
  <c r="D211" i="1"/>
  <c r="E210" i="1"/>
  <c r="D210" i="1"/>
  <c r="E209" i="1"/>
  <c r="D209" i="1"/>
  <c r="E208" i="1"/>
  <c r="D208" i="1"/>
  <c r="E207" i="1"/>
  <c r="D207" i="1"/>
  <c r="E206" i="1"/>
  <c r="D206" i="1"/>
  <c r="E205" i="1"/>
  <c r="D205" i="1"/>
  <c r="E204" i="1"/>
  <c r="D204" i="1"/>
  <c r="E202" i="1"/>
  <c r="D202" i="1"/>
  <c r="E201" i="1"/>
  <c r="D201" i="1"/>
  <c r="E200" i="1"/>
  <c r="E199" i="1"/>
  <c r="D199" i="1"/>
  <c r="E198" i="1"/>
  <c r="D198" i="1"/>
  <c r="E197" i="1"/>
  <c r="D197" i="1"/>
  <c r="E196" i="1"/>
  <c r="E195" i="1"/>
  <c r="D195" i="1"/>
  <c r="E194" i="1"/>
  <c r="D194" i="1"/>
  <c r="E193" i="1"/>
  <c r="D193" i="1"/>
  <c r="E191" i="1"/>
  <c r="D191" i="1"/>
  <c r="E190" i="1"/>
  <c r="D190" i="1"/>
  <c r="E189" i="1"/>
  <c r="D189" i="1"/>
  <c r="E188" i="1"/>
  <c r="D188" i="1"/>
  <c r="E187" i="1"/>
  <c r="E186" i="1"/>
  <c r="D186" i="1"/>
  <c r="E185" i="1"/>
  <c r="D185" i="1"/>
  <c r="E184" i="1"/>
  <c r="D184" i="1"/>
  <c r="E183" i="1"/>
  <c r="D183" i="1"/>
  <c r="E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E153" i="1"/>
  <c r="D153" i="1"/>
  <c r="E152" i="1"/>
  <c r="D152" i="1"/>
  <c r="E151" i="1"/>
  <c r="D151" i="1"/>
  <c r="E150" i="1"/>
  <c r="E149" i="1"/>
  <c r="D149" i="1"/>
  <c r="E148" i="1"/>
  <c r="D148" i="1"/>
  <c r="E147" i="1"/>
  <c r="D147" i="1"/>
  <c r="E146" i="1"/>
  <c r="D146" i="1"/>
  <c r="E145" i="1"/>
  <c r="D145" i="1"/>
  <c r="E144" i="1"/>
  <c r="D144" i="1"/>
  <c r="E143" i="1"/>
  <c r="D143" i="1"/>
  <c r="E142" i="1"/>
  <c r="D142"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E112" i="1"/>
  <c r="D112" i="1"/>
  <c r="E111" i="1"/>
  <c r="D111" i="1"/>
  <c r="E110" i="1"/>
  <c r="D110" i="1"/>
  <c r="E109" i="1"/>
  <c r="D109" i="1"/>
  <c r="E108" i="1"/>
  <c r="D108" i="1"/>
  <c r="E107" i="1"/>
  <c r="D107" i="1"/>
  <c r="E106" i="1"/>
  <c r="D106" i="1"/>
  <c r="E105" i="1"/>
  <c r="D105" i="1"/>
  <c r="E104" i="1"/>
  <c r="D104" i="1"/>
  <c r="E103" i="1"/>
  <c r="D103" i="1"/>
  <c r="E102" i="1"/>
  <c r="D102"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O200" i="47" l="1"/>
  <c r="Q20" i="47"/>
  <c r="O244" i="47"/>
  <c r="O43" i="47"/>
  <c r="O861" i="47"/>
  <c r="O677" i="47"/>
  <c r="O246" i="47"/>
  <c r="O651" i="47"/>
  <c r="O281" i="47"/>
  <c r="O214" i="47"/>
  <c r="O181" i="47"/>
  <c r="O848" i="47"/>
  <c r="O523" i="47"/>
  <c r="O384" i="47"/>
  <c r="O389" i="47"/>
  <c r="O632" i="47"/>
  <c r="O801" i="47"/>
  <c r="O412" i="47"/>
  <c r="O253" i="47"/>
  <c r="O50" i="47"/>
  <c r="O86" i="47"/>
  <c r="O358" i="47"/>
  <c r="O790" i="47"/>
  <c r="Q376" i="47"/>
  <c r="O771" i="47"/>
  <c r="O221" i="47"/>
  <c r="O218" i="47"/>
  <c r="O426" i="47"/>
  <c r="O565" i="47"/>
  <c r="O305" i="47"/>
  <c r="O655" i="47"/>
  <c r="O629" i="47"/>
  <c r="O213" i="47"/>
  <c r="O198" i="47"/>
  <c r="O536" i="47"/>
  <c r="O225" i="47"/>
  <c r="O347" i="47"/>
  <c r="O610" i="47"/>
  <c r="O188" i="47"/>
  <c r="O540" i="47"/>
  <c r="O556" i="47"/>
  <c r="O813" i="47"/>
  <c r="O454" i="47"/>
  <c r="O176" i="47"/>
  <c r="O92" i="47"/>
  <c r="O229" i="47"/>
  <c r="O823" i="47"/>
  <c r="O815" i="47"/>
  <c r="O201" i="47"/>
  <c r="Q146" i="47"/>
  <c r="O505" i="47"/>
  <c r="O444" i="47"/>
  <c r="O672" i="47"/>
  <c r="O237" i="47"/>
  <c r="O765" i="47"/>
  <c r="O432" i="47"/>
  <c r="O752" i="47"/>
  <c r="O466" i="47"/>
  <c r="O280" i="47"/>
  <c r="O328" i="47"/>
  <c r="O266" i="47"/>
  <c r="O693" i="47"/>
  <c r="O344" i="47"/>
  <c r="Q298" i="47"/>
  <c r="O44" i="47"/>
  <c r="O64" i="47"/>
  <c r="O49" i="47"/>
  <c r="O485" i="47"/>
  <c r="O54" i="47"/>
  <c r="O108" i="47"/>
  <c r="O481" i="47"/>
  <c r="O419" i="47"/>
  <c r="O402" i="47"/>
  <c r="O711" i="47"/>
  <c r="O276" i="47"/>
  <c r="O434" i="47"/>
  <c r="O62" i="47"/>
  <c r="O94" i="47"/>
  <c r="O174" i="47"/>
  <c r="O462" i="47"/>
  <c r="O638" i="47"/>
  <c r="O320" i="47"/>
  <c r="O25" i="47"/>
  <c r="O273" i="47"/>
  <c r="O499" i="47"/>
  <c r="O718" i="47"/>
  <c r="O782" i="47"/>
  <c r="O709" i="47"/>
  <c r="O269" i="47"/>
  <c r="O841" i="47"/>
  <c r="O518" i="47"/>
  <c r="O458" i="47"/>
  <c r="O284" i="47"/>
  <c r="O2" i="47"/>
  <c r="O136" i="47"/>
  <c r="O501" i="47"/>
  <c r="O722" i="47"/>
  <c r="O98" i="47"/>
  <c r="O196" i="47"/>
  <c r="O260" i="47"/>
  <c r="O324" i="47"/>
  <c r="O436" i="47"/>
  <c r="O532" i="47"/>
  <c r="O852" i="47"/>
  <c r="O628" i="47"/>
  <c r="O121" i="47"/>
  <c r="O194" i="47"/>
  <c r="O668" i="47"/>
  <c r="O658" i="47"/>
  <c r="O38" i="47"/>
  <c r="O152" i="47"/>
  <c r="O288" i="47"/>
  <c r="O734" i="47"/>
  <c r="O784" i="47"/>
  <c r="O733" i="47"/>
  <c r="O842" i="47"/>
  <c r="O450" i="47"/>
  <c r="O122" i="47"/>
  <c r="O97" i="47"/>
  <c r="O837" i="47"/>
  <c r="O264" i="47"/>
  <c r="O42" i="47"/>
  <c r="Q166" i="47"/>
  <c r="O304" i="47"/>
  <c r="O520" i="47"/>
  <c r="O756" i="47"/>
  <c r="O308" i="47"/>
  <c r="O272" i="47"/>
  <c r="O486" i="47"/>
  <c r="O716" i="47"/>
  <c r="O857" i="47"/>
  <c r="O132" i="47"/>
  <c r="K897" i="47"/>
  <c r="I948" i="47"/>
  <c r="E909" i="47"/>
  <c r="E905" i="47"/>
  <c r="I909" i="47"/>
  <c r="B902" i="47"/>
  <c r="M905" i="47"/>
  <c r="K909" i="47"/>
  <c r="C902" i="47"/>
  <c r="N905" i="47"/>
  <c r="M931" i="47"/>
  <c r="G902" i="47"/>
  <c r="H902" i="47"/>
  <c r="J902" i="47"/>
  <c r="E950" i="47"/>
  <c r="C897" i="47"/>
  <c r="G897" i="47"/>
  <c r="E901" i="47"/>
  <c r="C906" i="47"/>
  <c r="E913" i="47"/>
  <c r="C922" i="47"/>
  <c r="E928" i="47"/>
  <c r="B943" i="47"/>
  <c r="F901" i="47"/>
  <c r="E906" i="47"/>
  <c r="G913" i="47"/>
  <c r="F922" i="47"/>
  <c r="B939" i="47"/>
  <c r="I943" i="47"/>
  <c r="C946" i="47"/>
  <c r="P897" i="47"/>
  <c r="Q897" i="47" s="1"/>
  <c r="G901" i="47"/>
  <c r="F906" i="47"/>
  <c r="I913" i="47"/>
  <c r="G922" i="47"/>
  <c r="E946" i="47"/>
  <c r="G949" i="47"/>
  <c r="K901" i="47"/>
  <c r="M906" i="47"/>
  <c r="J913" i="47"/>
  <c r="I922" i="47"/>
  <c r="M901" i="47"/>
  <c r="C910" i="47"/>
  <c r="K913" i="47"/>
  <c r="K922" i="47"/>
  <c r="O901" i="47"/>
  <c r="F910" i="47"/>
  <c r="M913" i="47"/>
  <c r="M922" i="47"/>
  <c r="C934" i="47"/>
  <c r="G941" i="47"/>
  <c r="M944" i="47"/>
  <c r="K950" i="47"/>
  <c r="I917" i="47"/>
  <c r="E921" i="47"/>
  <c r="E934" i="47"/>
  <c r="I921" i="47"/>
  <c r="F934" i="47"/>
  <c r="J921" i="47"/>
  <c r="I934" i="47"/>
  <c r="E897" i="47"/>
  <c r="F902" i="47"/>
  <c r="K914" i="47"/>
  <c r="L931" i="47"/>
  <c r="K934" i="47"/>
  <c r="C942" i="47"/>
  <c r="M945" i="47"/>
  <c r="O889" i="47"/>
  <c r="P886" i="47"/>
  <c r="P660" i="47"/>
  <c r="B889" i="47"/>
  <c r="B887" i="47"/>
  <c r="B885" i="47"/>
  <c r="P885" i="47"/>
  <c r="C889" i="47"/>
  <c r="I889" i="47" s="1"/>
  <c r="E416" i="47"/>
  <c r="B882" i="47"/>
  <c r="C882" i="47"/>
  <c r="O882" i="47"/>
  <c r="F882" i="47"/>
  <c r="P881" i="47"/>
  <c r="B881" i="47"/>
  <c r="C881" i="47"/>
  <c r="I881" i="47" s="1"/>
  <c r="O881" i="47"/>
  <c r="F881" i="47"/>
  <c r="F51" i="47"/>
  <c r="B877" i="47"/>
  <c r="O877" i="47"/>
  <c r="P877" i="47"/>
  <c r="C877" i="47"/>
  <c r="L877" i="47" s="1"/>
  <c r="B429" i="47"/>
  <c r="F318" i="47"/>
  <c r="O873" i="47"/>
  <c r="F873" i="47"/>
  <c r="O874" i="47"/>
  <c r="B874" i="47"/>
  <c r="F874" i="47"/>
  <c r="B873" i="47"/>
  <c r="B872" i="47"/>
  <c r="K872" i="47" s="1"/>
  <c r="E872" i="47"/>
  <c r="I872" i="47"/>
  <c r="M872" i="47"/>
  <c r="P872" i="47"/>
  <c r="P563" i="47"/>
  <c r="O76" i="47"/>
  <c r="F793" i="47"/>
  <c r="B869" i="47"/>
  <c r="F869" i="47"/>
  <c r="O869" i="47"/>
  <c r="F188" i="47"/>
  <c r="F658" i="47"/>
  <c r="C11" i="47"/>
  <c r="O337" i="47"/>
  <c r="C144" i="47"/>
  <c r="O660" i="47"/>
  <c r="C98" i="47"/>
  <c r="L98" i="47" s="1"/>
  <c r="B182" i="47"/>
  <c r="F324" i="47"/>
  <c r="B793" i="47"/>
  <c r="O182" i="47"/>
  <c r="P698" i="47"/>
  <c r="C703" i="47"/>
  <c r="O793" i="47"/>
  <c r="P17" i="47"/>
  <c r="F669" i="47"/>
  <c r="C837" i="47"/>
  <c r="P215" i="47"/>
  <c r="C873" i="47"/>
  <c r="B875" i="47"/>
  <c r="B893" i="47"/>
  <c r="H897" i="47"/>
  <c r="M909" i="47"/>
  <c r="B911" i="47"/>
  <c r="G918" i="47"/>
  <c r="P922" i="47"/>
  <c r="Q922" i="47" s="1"/>
  <c r="F926" i="47"/>
  <c r="O927" i="47"/>
  <c r="N944" i="47"/>
  <c r="C875" i="47"/>
  <c r="P890" i="47"/>
  <c r="C893" i="47"/>
  <c r="I893" i="47" s="1"/>
  <c r="I897" i="47"/>
  <c r="O909" i="47"/>
  <c r="C911" i="47"/>
  <c r="I918" i="47"/>
  <c r="G926" i="47"/>
  <c r="O875" i="47"/>
  <c r="O893" i="47"/>
  <c r="K918" i="47"/>
  <c r="I926" i="47"/>
  <c r="F519" i="47"/>
  <c r="H519" i="47" s="1"/>
  <c r="M918" i="47"/>
  <c r="K926" i="47"/>
  <c r="F893" i="47"/>
  <c r="P868" i="47"/>
  <c r="B890" i="47"/>
  <c r="B891" i="47"/>
  <c r="E910" i="47"/>
  <c r="E917" i="47"/>
  <c r="C890" i="47"/>
  <c r="I890" i="47" s="1"/>
  <c r="O891" i="47"/>
  <c r="P332" i="47"/>
  <c r="B337" i="47"/>
  <c r="F610" i="47"/>
  <c r="C793" i="47"/>
  <c r="B868" i="47"/>
  <c r="C885" i="47"/>
  <c r="L885" i="47" s="1"/>
  <c r="F889" i="47"/>
  <c r="O890" i="47"/>
  <c r="H901" i="47"/>
  <c r="G910" i="47"/>
  <c r="J917" i="47"/>
  <c r="B919" i="47"/>
  <c r="I938" i="47"/>
  <c r="I941" i="47"/>
  <c r="C868" i="47"/>
  <c r="E868" i="47" s="1"/>
  <c r="O885" i="47"/>
  <c r="I901" i="47"/>
  <c r="I910" i="47"/>
  <c r="K917" i="47"/>
  <c r="M919" i="47"/>
  <c r="K938" i="47"/>
  <c r="J941" i="47"/>
  <c r="O208" i="47"/>
  <c r="O868" i="47"/>
  <c r="C869" i="47"/>
  <c r="B879" i="47"/>
  <c r="C886" i="47"/>
  <c r="F890" i="47"/>
  <c r="B897" i="47"/>
  <c r="J901" i="47"/>
  <c r="K910" i="47"/>
  <c r="B927" i="47"/>
  <c r="M938" i="47"/>
  <c r="M941" i="47"/>
  <c r="C944" i="47"/>
  <c r="C162" i="47"/>
  <c r="F868" i="47"/>
  <c r="F885" i="47"/>
  <c r="M910" i="47"/>
  <c r="C841" i="47"/>
  <c r="E841" i="47" s="1"/>
  <c r="P874" i="47"/>
  <c r="Q874" i="47" s="1"/>
  <c r="L901" i="47"/>
  <c r="G909" i="47"/>
  <c r="C915" i="47"/>
  <c r="G927" i="47"/>
  <c r="H944" i="47"/>
  <c r="P893" i="47"/>
  <c r="P549" i="47"/>
  <c r="B867" i="47"/>
  <c r="F897" i="47"/>
  <c r="N901" i="47"/>
  <c r="P12" i="47"/>
  <c r="C17" i="47"/>
  <c r="N17" i="47" s="1"/>
  <c r="B563" i="47"/>
  <c r="O265" i="47"/>
  <c r="F425" i="47"/>
  <c r="F429" i="47"/>
  <c r="B624" i="47"/>
  <c r="P798" i="47"/>
  <c r="Q798" i="47" s="1"/>
  <c r="C23" i="47"/>
  <c r="L23" i="47" s="1"/>
  <c r="F140" i="47"/>
  <c r="P440" i="47"/>
  <c r="B574" i="47"/>
  <c r="B579" i="47"/>
  <c r="C656" i="47"/>
  <c r="O774" i="47"/>
  <c r="P23" i="47"/>
  <c r="P221" i="47"/>
  <c r="B426" i="47"/>
  <c r="F825" i="47"/>
  <c r="P845" i="47"/>
  <c r="C55" i="47"/>
  <c r="G55" i="47" s="1"/>
  <c r="C324" i="47"/>
  <c r="N324" i="47" s="1"/>
  <c r="F441" i="47"/>
  <c r="F71" i="47"/>
  <c r="B76" i="47"/>
  <c r="P90" i="47"/>
  <c r="C198" i="47"/>
  <c r="J198" i="47" s="1"/>
  <c r="B253" i="47"/>
  <c r="P462" i="47"/>
  <c r="Q462" i="47" s="1"/>
  <c r="C571" i="47"/>
  <c r="K571" i="47" s="1"/>
  <c r="C612" i="47"/>
  <c r="J612" i="47" s="1"/>
  <c r="C622" i="47"/>
  <c r="E622" i="47" s="1"/>
  <c r="C750" i="47"/>
  <c r="C76" i="47"/>
  <c r="J76" i="47" s="1"/>
  <c r="C253" i="47"/>
  <c r="O612" i="47"/>
  <c r="O622" i="47"/>
  <c r="F76" i="47"/>
  <c r="B204" i="47"/>
  <c r="C244" i="47"/>
  <c r="M244" i="47" s="1"/>
  <c r="B249" i="47"/>
  <c r="O694" i="47"/>
  <c r="P817" i="47"/>
  <c r="C852" i="47"/>
  <c r="F62" i="47"/>
  <c r="F204" i="47"/>
  <c r="L204" i="47" s="1"/>
  <c r="C295" i="47"/>
  <c r="F424" i="47"/>
  <c r="P694" i="47"/>
  <c r="F295" i="47"/>
  <c r="B865" i="47"/>
  <c r="C865" i="47"/>
  <c r="I865" i="47" s="1"/>
  <c r="O865" i="47"/>
  <c r="F865" i="47"/>
  <c r="O864" i="47"/>
  <c r="B864" i="47"/>
  <c r="C864" i="47"/>
  <c r="B863" i="47"/>
  <c r="C863" i="47"/>
  <c r="O863" i="47"/>
  <c r="F863" i="47"/>
  <c r="P97" i="47"/>
  <c r="B179" i="47"/>
  <c r="C264" i="47"/>
  <c r="E264" i="47" s="1"/>
  <c r="F450" i="47"/>
  <c r="F470" i="47"/>
  <c r="P571" i="47"/>
  <c r="F601" i="47"/>
  <c r="J601" i="47" s="1"/>
  <c r="F734" i="47"/>
  <c r="O764" i="47"/>
  <c r="C817" i="47"/>
  <c r="M817" i="47" s="1"/>
  <c r="C40" i="47"/>
  <c r="N40" i="47" s="1"/>
  <c r="B55" i="47"/>
  <c r="J204" i="47"/>
  <c r="B208" i="47"/>
  <c r="P226" i="47"/>
  <c r="C328" i="47"/>
  <c r="K328" i="47" s="1"/>
  <c r="P601" i="47"/>
  <c r="B656" i="47"/>
  <c r="C660" i="47"/>
  <c r="J660" i="47" s="1"/>
  <c r="C714" i="47"/>
  <c r="B719" i="47"/>
  <c r="O724" i="47"/>
  <c r="O769" i="47"/>
  <c r="B798" i="47"/>
  <c r="O817" i="47"/>
  <c r="C65" i="47"/>
  <c r="C118" i="47"/>
  <c r="L118" i="47" s="1"/>
  <c r="P127" i="47"/>
  <c r="C132" i="47"/>
  <c r="E132" i="47" s="1"/>
  <c r="B176" i="47"/>
  <c r="O204" i="47"/>
  <c r="P231" i="47"/>
  <c r="C269" i="47"/>
  <c r="B304" i="47"/>
  <c r="B343" i="47"/>
  <c r="O427" i="47"/>
  <c r="C486" i="47"/>
  <c r="E486" i="47" s="1"/>
  <c r="F837" i="47"/>
  <c r="O118" i="47"/>
  <c r="C176" i="47"/>
  <c r="E176" i="47" s="1"/>
  <c r="C304" i="47"/>
  <c r="K304" i="47" s="1"/>
  <c r="O3" i="47"/>
  <c r="O17" i="47"/>
  <c r="B162" i="47"/>
  <c r="K162" i="47" s="1"/>
  <c r="B172" i="47"/>
  <c r="C419" i="47"/>
  <c r="E419" i="47" s="1"/>
  <c r="P482" i="47"/>
  <c r="F823" i="47"/>
  <c r="C32" i="47"/>
  <c r="N32" i="47" s="1"/>
  <c r="O104" i="47"/>
  <c r="O232" i="47"/>
  <c r="P396" i="47"/>
  <c r="P400" i="47"/>
  <c r="P405" i="47"/>
  <c r="Q405" i="47" s="1"/>
  <c r="C487" i="47"/>
  <c r="F608" i="47"/>
  <c r="B838" i="47"/>
  <c r="B257" i="47"/>
  <c r="C529" i="47"/>
  <c r="N529" i="47" s="1"/>
  <c r="P608" i="47"/>
  <c r="C257" i="47"/>
  <c r="J257" i="47" s="1"/>
  <c r="C810" i="47"/>
  <c r="E810" i="47" s="1"/>
  <c r="F682" i="47"/>
  <c r="F752" i="47"/>
  <c r="P757" i="47"/>
  <c r="B10" i="47"/>
  <c r="O33" i="47"/>
  <c r="C43" i="47"/>
  <c r="I43" i="47" s="1"/>
  <c r="F67" i="47"/>
  <c r="C397" i="47"/>
  <c r="F579" i="47"/>
  <c r="F10" i="47"/>
  <c r="C545" i="47"/>
  <c r="B565" i="47"/>
  <c r="O216" i="47"/>
  <c r="F225" i="47"/>
  <c r="C277" i="47"/>
  <c r="F738" i="47"/>
  <c r="P777" i="47"/>
  <c r="F849" i="47"/>
  <c r="P277" i="47"/>
  <c r="H601" i="47"/>
  <c r="P861" i="47"/>
  <c r="C861" i="47"/>
  <c r="F861" i="47"/>
  <c r="C631" i="47"/>
  <c r="H631" i="47" s="1"/>
  <c r="C677" i="47"/>
  <c r="B714" i="47"/>
  <c r="P799" i="47"/>
  <c r="P849" i="47"/>
  <c r="O68" i="47"/>
  <c r="B72" i="47"/>
  <c r="B80" i="47"/>
  <c r="C160" i="47"/>
  <c r="M160" i="47" s="1"/>
  <c r="B197" i="47"/>
  <c r="F232" i="47"/>
  <c r="B289" i="47"/>
  <c r="C350" i="47"/>
  <c r="E350" i="47" s="1"/>
  <c r="B561" i="47"/>
  <c r="O618" i="47"/>
  <c r="C41" i="47"/>
  <c r="N41" i="47" s="1"/>
  <c r="C49" i="47"/>
  <c r="N49" i="47" s="1"/>
  <c r="B94" i="47"/>
  <c r="F160" i="47"/>
  <c r="B164" i="47"/>
  <c r="C180" i="47"/>
  <c r="L180" i="47" s="1"/>
  <c r="C197" i="47"/>
  <c r="N197" i="47" s="1"/>
  <c r="F533" i="47"/>
  <c r="F618" i="47"/>
  <c r="B668" i="47"/>
  <c r="O714" i="47"/>
  <c r="P837" i="47"/>
  <c r="C33" i="47"/>
  <c r="N33" i="47" s="1"/>
  <c r="F61" i="47"/>
  <c r="C94" i="47"/>
  <c r="M94" i="47" s="1"/>
  <c r="C164" i="47"/>
  <c r="N164" i="47" s="1"/>
  <c r="O189" i="47"/>
  <c r="O197" i="47"/>
  <c r="B201" i="47"/>
  <c r="O217" i="47"/>
  <c r="P225" i="47"/>
  <c r="C247" i="47"/>
  <c r="C267" i="47"/>
  <c r="F294" i="47"/>
  <c r="F298" i="47"/>
  <c r="B333" i="47"/>
  <c r="F486" i="47"/>
  <c r="F505" i="47"/>
  <c r="P533" i="47"/>
  <c r="Q537" i="47"/>
  <c r="F714" i="47"/>
  <c r="O164" i="47"/>
  <c r="F189" i="47"/>
  <c r="P197" i="47"/>
  <c r="F201" i="47"/>
  <c r="F247" i="47"/>
  <c r="C333" i="47"/>
  <c r="J333" i="47" s="1"/>
  <c r="C8" i="47"/>
  <c r="H8" i="47" s="1"/>
  <c r="C16" i="47"/>
  <c r="N16" i="47" s="1"/>
  <c r="O29" i="47"/>
  <c r="F33" i="47"/>
  <c r="C113" i="47"/>
  <c r="B130" i="47"/>
  <c r="B143" i="47"/>
  <c r="C152" i="47"/>
  <c r="P189" i="47"/>
  <c r="B209" i="47"/>
  <c r="F238" i="47"/>
  <c r="C312" i="47"/>
  <c r="F408" i="47"/>
  <c r="P432" i="47"/>
  <c r="B525" i="47"/>
  <c r="O598" i="47"/>
  <c r="O683" i="47"/>
  <c r="F724" i="47"/>
  <c r="C742" i="47"/>
  <c r="N742" i="47" s="1"/>
  <c r="B746" i="47"/>
  <c r="F769" i="47"/>
  <c r="C773" i="47"/>
  <c r="P842" i="47"/>
  <c r="P8" i="47"/>
  <c r="P16" i="47"/>
  <c r="Q16" i="47" s="1"/>
  <c r="B46" i="47"/>
  <c r="O57" i="47"/>
  <c r="B86" i="47"/>
  <c r="Q130" i="47"/>
  <c r="F143" i="47"/>
  <c r="O161" i="47"/>
  <c r="O169" i="47"/>
  <c r="F209" i="47"/>
  <c r="F308" i="47"/>
  <c r="F312" i="47"/>
  <c r="P333" i="47"/>
  <c r="B436" i="47"/>
  <c r="C474" i="47"/>
  <c r="I474" i="47" s="1"/>
  <c r="F598" i="47"/>
  <c r="F632" i="47"/>
  <c r="O773" i="47"/>
  <c r="O46" i="47"/>
  <c r="B50" i="47"/>
  <c r="C62" i="47"/>
  <c r="L62" i="47" s="1"/>
  <c r="O148" i="47"/>
  <c r="B174" i="47"/>
  <c r="G174" i="47" s="1"/>
  <c r="P632" i="47"/>
  <c r="F742" i="47"/>
  <c r="L742" i="47" s="1"/>
  <c r="P46" i="47"/>
  <c r="F474" i="47"/>
  <c r="O517" i="47"/>
  <c r="P742" i="47"/>
  <c r="P21" i="47"/>
  <c r="C153" i="47"/>
  <c r="K153" i="47" s="1"/>
  <c r="P190" i="47"/>
  <c r="B215" i="47"/>
  <c r="F273" i="47"/>
  <c r="E396" i="47"/>
  <c r="F517" i="47"/>
  <c r="B684" i="47"/>
  <c r="C698" i="47"/>
  <c r="G698" i="47" s="1"/>
  <c r="P825" i="47"/>
  <c r="P62" i="47"/>
  <c r="Q62" i="47" s="1"/>
  <c r="C535" i="47"/>
  <c r="N535" i="47" s="1"/>
  <c r="B612" i="47"/>
  <c r="B694" i="47"/>
  <c r="M694" i="47" s="1"/>
  <c r="O698" i="47"/>
  <c r="B766" i="47"/>
  <c r="C35" i="47"/>
  <c r="M35" i="47" s="1"/>
  <c r="B51" i="47"/>
  <c r="L115" i="47"/>
  <c r="B393" i="47"/>
  <c r="B434" i="47"/>
  <c r="P447" i="47"/>
  <c r="B568" i="47"/>
  <c r="F577" i="47"/>
  <c r="O630" i="47"/>
  <c r="F857" i="47"/>
  <c r="C288" i="47"/>
  <c r="C310" i="47"/>
  <c r="E310" i="47" s="1"/>
  <c r="C393" i="47"/>
  <c r="L393" i="47" s="1"/>
  <c r="C430" i="47"/>
  <c r="K430" i="47" s="1"/>
  <c r="C434" i="47"/>
  <c r="I434" i="47" s="1"/>
  <c r="F438" i="47"/>
  <c r="C485" i="47"/>
  <c r="C499" i="47"/>
  <c r="B600" i="47"/>
  <c r="F612" i="47"/>
  <c r="F736" i="47"/>
  <c r="J736" i="47" s="1"/>
  <c r="O740" i="47"/>
  <c r="P771" i="47"/>
  <c r="P857" i="47"/>
  <c r="P6" i="47"/>
  <c r="O10" i="47"/>
  <c r="P44" i="47"/>
  <c r="P55" i="47"/>
  <c r="C84" i="47"/>
  <c r="C101" i="47"/>
  <c r="K101" i="47" s="1"/>
  <c r="F115" i="47"/>
  <c r="J115" i="47" s="1"/>
  <c r="F179" i="47"/>
  <c r="O220" i="47"/>
  <c r="B232" i="47"/>
  <c r="M232" i="47" s="1"/>
  <c r="E253" i="47"/>
  <c r="O310" i="47"/>
  <c r="P314" i="47"/>
  <c r="P393" i="47"/>
  <c r="Q393" i="47" s="1"/>
  <c r="O430" i="47"/>
  <c r="F499" i="47"/>
  <c r="F600" i="47"/>
  <c r="F740" i="47"/>
  <c r="O849" i="47"/>
  <c r="P2" i="47"/>
  <c r="B6" i="47"/>
  <c r="P27" i="47"/>
  <c r="C31" i="47"/>
  <c r="F45" i="47"/>
  <c r="P47" i="47"/>
  <c r="P50" i="47"/>
  <c r="B92" i="47"/>
  <c r="P103" i="47"/>
  <c r="P132" i="47"/>
  <c r="Q132" i="47" s="1"/>
  <c r="C154" i="47"/>
  <c r="N154" i="47" s="1"/>
  <c r="F174" i="47"/>
  <c r="B213" i="47"/>
  <c r="F220" i="47"/>
  <c r="J220" i="47" s="1"/>
  <c r="B220" i="47"/>
  <c r="K220" i="47" s="1"/>
  <c r="O233" i="47"/>
  <c r="B340" i="47"/>
  <c r="P360" i="47"/>
  <c r="O360" i="47"/>
  <c r="B428" i="47"/>
  <c r="B507" i="47"/>
  <c r="O511" i="47"/>
  <c r="F511" i="47"/>
  <c r="B528" i="47"/>
  <c r="G528" i="47" s="1"/>
  <c r="F552" i="47"/>
  <c r="O552" i="47"/>
  <c r="C552" i="47"/>
  <c r="E552" i="47" s="1"/>
  <c r="B552" i="47"/>
  <c r="B557" i="47"/>
  <c r="B595" i="47"/>
  <c r="P636" i="47"/>
  <c r="B636" i="47"/>
  <c r="I668" i="47"/>
  <c r="O6" i="47"/>
  <c r="C140" i="47"/>
  <c r="P174" i="47"/>
  <c r="P257" i="47"/>
  <c r="O257" i="47"/>
  <c r="P344" i="47"/>
  <c r="F344" i="47"/>
  <c r="B344" i="47"/>
  <c r="P411" i="47"/>
  <c r="C411" i="47"/>
  <c r="P419" i="47"/>
  <c r="B419" i="47"/>
  <c r="F428" i="47"/>
  <c r="C477" i="47"/>
  <c r="F477" i="47"/>
  <c r="O477" i="47"/>
  <c r="C507" i="47"/>
  <c r="N507" i="47" s="1"/>
  <c r="B511" i="47"/>
  <c r="B524" i="47"/>
  <c r="F524" i="47"/>
  <c r="H524" i="47" s="1"/>
  <c r="O524" i="47"/>
  <c r="C595" i="47"/>
  <c r="P692" i="47"/>
  <c r="C692" i="47"/>
  <c r="P100" i="47"/>
  <c r="O100" i="47"/>
  <c r="O178" i="47"/>
  <c r="C178" i="47"/>
  <c r="M178" i="47" s="1"/>
  <c r="C276" i="47"/>
  <c r="J276" i="47" s="1"/>
  <c r="B276" i="47"/>
  <c r="F426" i="47"/>
  <c r="C426" i="47"/>
  <c r="E426" i="47" s="1"/>
  <c r="P426" i="47"/>
  <c r="Q426" i="47" s="1"/>
  <c r="P435" i="47"/>
  <c r="F435" i="47"/>
  <c r="P539" i="47"/>
  <c r="C548" i="47"/>
  <c r="E548" i="47" s="1"/>
  <c r="O548" i="47"/>
  <c r="B548" i="47"/>
  <c r="N660" i="47"/>
  <c r="L660" i="47"/>
  <c r="K660" i="47"/>
  <c r="P678" i="47"/>
  <c r="O678" i="47"/>
  <c r="C814" i="47"/>
  <c r="B814" i="47"/>
  <c r="F858" i="47"/>
  <c r="O858" i="47"/>
  <c r="B858" i="47"/>
  <c r="B35" i="47"/>
  <c r="B54" i="47"/>
  <c r="B61" i="47"/>
  <c r="C68" i="47"/>
  <c r="M68" i="47" s="1"/>
  <c r="B100" i="47"/>
  <c r="B148" i="47"/>
  <c r="B152" i="47"/>
  <c r="B178" i="47"/>
  <c r="B206" i="47"/>
  <c r="F206" i="47"/>
  <c r="B217" i="47"/>
  <c r="E261" i="47"/>
  <c r="C326" i="47"/>
  <c r="O356" i="47"/>
  <c r="C356" i="47"/>
  <c r="C539" i="47"/>
  <c r="F548" i="47"/>
  <c r="C558" i="47"/>
  <c r="E558" i="47" s="1"/>
  <c r="B558" i="47"/>
  <c r="P664" i="47"/>
  <c r="F664" i="47"/>
  <c r="H664" i="47" s="1"/>
  <c r="C126" i="47"/>
  <c r="J126" i="47" s="1"/>
  <c r="C353" i="47"/>
  <c r="J353" i="47" s="1"/>
  <c r="F353" i="47"/>
  <c r="O353" i="47"/>
  <c r="P512" i="47"/>
  <c r="F512" i="47"/>
  <c r="O512" i="47"/>
  <c r="C512" i="47"/>
  <c r="F544" i="47"/>
  <c r="O544" i="47"/>
  <c r="C592" i="47"/>
  <c r="B592" i="47"/>
  <c r="O596" i="47"/>
  <c r="C596" i="47"/>
  <c r="P642" i="47"/>
  <c r="F642" i="47"/>
  <c r="O642" i="47"/>
  <c r="C642" i="47"/>
  <c r="E642" i="47" s="1"/>
  <c r="N710" i="47"/>
  <c r="E710" i="47"/>
  <c r="C805" i="47"/>
  <c r="P805" i="47"/>
  <c r="F805" i="47"/>
  <c r="O805" i="47"/>
  <c r="L6" i="18"/>
  <c r="B14" i="47"/>
  <c r="O35" i="47"/>
  <c r="C51" i="47"/>
  <c r="G51" i="47" s="1"/>
  <c r="P54" i="47"/>
  <c r="P85" i="47"/>
  <c r="O85" i="47"/>
  <c r="F109" i="47"/>
  <c r="B126" i="47"/>
  <c r="F152" i="47"/>
  <c r="P178" i="47"/>
  <c r="B186" i="47"/>
  <c r="F217" i="47"/>
  <c r="C228" i="47"/>
  <c r="I228" i="47" s="1"/>
  <c r="B228" i="47"/>
  <c r="P253" i="47"/>
  <c r="O261" i="47"/>
  <c r="C268" i="47"/>
  <c r="E268" i="47" s="1"/>
  <c r="B268" i="47"/>
  <c r="K268" i="47" s="1"/>
  <c r="C292" i="47"/>
  <c r="K292" i="47" s="1"/>
  <c r="C300" i="47"/>
  <c r="J300" i="47" s="1"/>
  <c r="F300" i="47"/>
  <c r="F304" i="47"/>
  <c r="C341" i="47"/>
  <c r="K341" i="47" s="1"/>
  <c r="B353" i="47"/>
  <c r="C392" i="47"/>
  <c r="H392" i="47" s="1"/>
  <c r="P392" i="47"/>
  <c r="C408" i="47"/>
  <c r="Q408" i="47"/>
  <c r="O424" i="47"/>
  <c r="C424" i="47"/>
  <c r="F458" i="47"/>
  <c r="C458" i="47"/>
  <c r="O471" i="47"/>
  <c r="F483" i="47"/>
  <c r="C483" i="47"/>
  <c r="E483" i="47" s="1"/>
  <c r="B512" i="47"/>
  <c r="P529" i="47"/>
  <c r="O592" i="47"/>
  <c r="O608" i="47"/>
  <c r="C608" i="47"/>
  <c r="N608" i="47" s="1"/>
  <c r="P674" i="47"/>
  <c r="F674" i="47"/>
  <c r="C850" i="47"/>
  <c r="E850" i="47" s="1"/>
  <c r="P850" i="47"/>
  <c r="F850" i="47"/>
  <c r="O850" i="47"/>
  <c r="O14" i="47"/>
  <c r="F35" i="47"/>
  <c r="L35" i="47" s="1"/>
  <c r="Q51" i="47"/>
  <c r="C72" i="47"/>
  <c r="K72" i="47" s="1"/>
  <c r="P119" i="47"/>
  <c r="P126" i="47"/>
  <c r="G152" i="47"/>
  <c r="C186" i="47"/>
  <c r="N186" i="47" s="1"/>
  <c r="F261" i="47"/>
  <c r="N261" i="47" s="1"/>
  <c r="O292" i="47"/>
  <c r="P327" i="47"/>
  <c r="C327" i="47"/>
  <c r="O341" i="47"/>
  <c r="B467" i="47"/>
  <c r="O467" i="47"/>
  <c r="F604" i="47"/>
  <c r="O604" i="47"/>
  <c r="F616" i="47"/>
  <c r="B616" i="47"/>
  <c r="F14" i="47"/>
  <c r="F133" i="47"/>
  <c r="C258" i="47"/>
  <c r="L258" i="47" s="1"/>
  <c r="B273" i="47"/>
  <c r="F281" i="47"/>
  <c r="F292" i="47"/>
  <c r="O309" i="47"/>
  <c r="C420" i="47"/>
  <c r="E420" i="47" s="1"/>
  <c r="O420" i="47"/>
  <c r="C467" i="47"/>
  <c r="F563" i="47"/>
  <c r="O563" i="47"/>
  <c r="F588" i="47"/>
  <c r="O588" i="47"/>
  <c r="B604" i="47"/>
  <c r="P633" i="47"/>
  <c r="B633" i="47"/>
  <c r="C638" i="47"/>
  <c r="E638" i="47" s="1"/>
  <c r="F711" i="47"/>
  <c r="C711" i="47"/>
  <c r="I711" i="47" s="1"/>
  <c r="P834" i="47"/>
  <c r="F834" i="47"/>
  <c r="C834" i="47"/>
  <c r="P4" i="47"/>
  <c r="Q72" i="47"/>
  <c r="C82" i="47"/>
  <c r="K82" i="47" s="1"/>
  <c r="B90" i="47"/>
  <c r="F119" i="47"/>
  <c r="H119" i="47" s="1"/>
  <c r="C130" i="47"/>
  <c r="G130" i="47" s="1"/>
  <c r="C133" i="47"/>
  <c r="H133" i="47" s="1"/>
  <c r="C172" i="47"/>
  <c r="M172" i="47" s="1"/>
  <c r="H232" i="47"/>
  <c r="F258" i="47"/>
  <c r="B277" i="47"/>
  <c r="B281" i="47"/>
  <c r="C309" i="47"/>
  <c r="P324" i="47"/>
  <c r="B324" i="47"/>
  <c r="P353" i="47"/>
  <c r="P420" i="47"/>
  <c r="P454" i="47"/>
  <c r="F454" i="47"/>
  <c r="P484" i="47"/>
  <c r="P497" i="47"/>
  <c r="O497" i="47"/>
  <c r="P513" i="47"/>
  <c r="C513" i="47"/>
  <c r="L513" i="47" s="1"/>
  <c r="I563" i="47"/>
  <c r="O567" i="47"/>
  <c r="C567" i="47"/>
  <c r="E567" i="47" s="1"/>
  <c r="C604" i="47"/>
  <c r="N604" i="47" s="1"/>
  <c r="F707" i="47"/>
  <c r="C707" i="47"/>
  <c r="N707" i="47" s="1"/>
  <c r="B707" i="47"/>
  <c r="C117" i="47"/>
  <c r="J117" i="47" s="1"/>
  <c r="F560" i="47"/>
  <c r="N560" i="47" s="1"/>
  <c r="O560" i="47"/>
  <c r="P604" i="47"/>
  <c r="F80" i="47"/>
  <c r="P82" i="47"/>
  <c r="Q82" i="47" s="1"/>
  <c r="B156" i="47"/>
  <c r="G156" i="47" s="1"/>
  <c r="B198" i="47"/>
  <c r="F218" i="47"/>
  <c r="C236" i="47"/>
  <c r="M236" i="47" s="1"/>
  <c r="O236" i="47"/>
  <c r="C240" i="47"/>
  <c r="L240" i="47" s="1"/>
  <c r="O277" i="47"/>
  <c r="P281" i="47"/>
  <c r="P309" i="47"/>
  <c r="B450" i="47"/>
  <c r="C475" i="47"/>
  <c r="J475" i="47" s="1"/>
  <c r="F497" i="47"/>
  <c r="B501" i="47"/>
  <c r="O530" i="47"/>
  <c r="C530" i="47"/>
  <c r="K530" i="47" s="1"/>
  <c r="B560" i="47"/>
  <c r="K560" i="47" s="1"/>
  <c r="F567" i="47"/>
  <c r="O576" i="47"/>
  <c r="B576" i="47"/>
  <c r="O644" i="47"/>
  <c r="C644" i="47"/>
  <c r="P707" i="47"/>
  <c r="M739" i="47"/>
  <c r="O770" i="47"/>
  <c r="P770" i="47"/>
  <c r="C205" i="47"/>
  <c r="E205" i="47" s="1"/>
  <c r="B205" i="47"/>
  <c r="F313" i="47"/>
  <c r="F442" i="47"/>
  <c r="P442" i="47"/>
  <c r="O541" i="47"/>
  <c r="F541" i="47"/>
  <c r="B541" i="47"/>
  <c r="O712" i="47"/>
  <c r="P712" i="47"/>
  <c r="P730" i="47"/>
  <c r="O730" i="47"/>
  <c r="O5" i="47"/>
  <c r="B15" i="47"/>
  <c r="O18" i="47"/>
  <c r="P33" i="47"/>
  <c r="B47" i="47"/>
  <c r="P52" i="47"/>
  <c r="F55" i="47"/>
  <c r="C80" i="47"/>
  <c r="N80" i="47" s="1"/>
  <c r="P87" i="47"/>
  <c r="O87" i="47"/>
  <c r="C111" i="47"/>
  <c r="G111" i="47" s="1"/>
  <c r="O115" i="47"/>
  <c r="O156" i="47"/>
  <c r="P166" i="47"/>
  <c r="C166" i="47"/>
  <c r="G166" i="47" s="1"/>
  <c r="F169" i="47"/>
  <c r="F205" i="47"/>
  <c r="F229" i="47"/>
  <c r="F236" i="47"/>
  <c r="C248" i="47"/>
  <c r="N248" i="47" s="1"/>
  <c r="B248" i="47"/>
  <c r="O286" i="47"/>
  <c r="B313" i="47"/>
  <c r="P321" i="47"/>
  <c r="O321" i="47"/>
  <c r="B347" i="47"/>
  <c r="C354" i="47"/>
  <c r="M354" i="47" s="1"/>
  <c r="F427" i="47"/>
  <c r="B442" i="47"/>
  <c r="C473" i="47"/>
  <c r="I473" i="47" s="1"/>
  <c r="B518" i="47"/>
  <c r="P580" i="47"/>
  <c r="P650" i="47"/>
  <c r="F650" i="47"/>
  <c r="O650" i="47"/>
  <c r="B650" i="47"/>
  <c r="C15" i="47"/>
  <c r="M15" i="47" s="1"/>
  <c r="B23" i="47"/>
  <c r="C47" i="47"/>
  <c r="E47" i="47" s="1"/>
  <c r="O80" i="47"/>
  <c r="B87" i="47"/>
  <c r="P111" i="47"/>
  <c r="B115" i="47"/>
  <c r="M115" i="47" s="1"/>
  <c r="P117" i="47"/>
  <c r="B124" i="47"/>
  <c r="F156" i="47"/>
  <c r="L156" i="47" s="1"/>
  <c r="B160" i="47"/>
  <c r="B166" i="47"/>
  <c r="C196" i="47"/>
  <c r="E196" i="47" s="1"/>
  <c r="F198" i="47"/>
  <c r="O226" i="47"/>
  <c r="P229" i="47"/>
  <c r="Q229" i="47" s="1"/>
  <c r="O248" i="47"/>
  <c r="F306" i="47"/>
  <c r="C313" i="47"/>
  <c r="K313" i="47" s="1"/>
  <c r="B321" i="47"/>
  <c r="G321" i="47" s="1"/>
  <c r="C347" i="47"/>
  <c r="M347" i="47" s="1"/>
  <c r="P354" i="47"/>
  <c r="O359" i="47"/>
  <c r="B359" i="47"/>
  <c r="C425" i="47"/>
  <c r="H425" i="47" s="1"/>
  <c r="C442" i="47"/>
  <c r="P530" i="47"/>
  <c r="F551" i="47"/>
  <c r="C551" i="47"/>
  <c r="O47" i="47"/>
  <c r="B121" i="47"/>
  <c r="K121" i="47" s="1"/>
  <c r="O154" i="47"/>
  <c r="F154" i="47"/>
  <c r="O313" i="47"/>
  <c r="C422" i="47"/>
  <c r="F422" i="47"/>
  <c r="O442" i="47"/>
  <c r="B451" i="47"/>
  <c r="C451" i="47"/>
  <c r="P515" i="47"/>
  <c r="F515" i="47"/>
  <c r="B659" i="47"/>
  <c r="C659" i="47"/>
  <c r="P699" i="47"/>
  <c r="F699" i="47"/>
  <c r="O699" i="47"/>
  <c r="C699" i="47"/>
  <c r="H699" i="47" s="1"/>
  <c r="F2" i="47"/>
  <c r="B31" i="47"/>
  <c r="M31" i="47" s="1"/>
  <c r="C45" i="47"/>
  <c r="H45" i="47" s="1"/>
  <c r="C121" i="47"/>
  <c r="J121" i="47" s="1"/>
  <c r="O128" i="47"/>
  <c r="B154" i="47"/>
  <c r="O192" i="47"/>
  <c r="F192" i="47"/>
  <c r="P213" i="47"/>
  <c r="B241" i="47"/>
  <c r="O241" i="47"/>
  <c r="B336" i="47"/>
  <c r="B401" i="47"/>
  <c r="P422" i="47"/>
  <c r="C428" i="47"/>
  <c r="M428" i="47" s="1"/>
  <c r="O451" i="47"/>
  <c r="P507" i="47"/>
  <c r="K507" i="47"/>
  <c r="E507" i="47"/>
  <c r="C515" i="47"/>
  <c r="N515" i="47" s="1"/>
  <c r="C528" i="47"/>
  <c r="M528" i="47" s="1"/>
  <c r="C547" i="47"/>
  <c r="O602" i="47"/>
  <c r="C602" i="47"/>
  <c r="B602" i="47"/>
  <c r="P651" i="47"/>
  <c r="P763" i="47"/>
  <c r="P631" i="47"/>
  <c r="O656" i="47"/>
  <c r="F773" i="47"/>
  <c r="B556" i="47"/>
  <c r="C559" i="47"/>
  <c r="F653" i="47"/>
  <c r="F656" i="47"/>
  <c r="E668" i="47"/>
  <c r="P773" i="47"/>
  <c r="B777" i="47"/>
  <c r="F841" i="47"/>
  <c r="C844" i="47"/>
  <c r="O396" i="47"/>
  <c r="F509" i="47"/>
  <c r="B532" i="47"/>
  <c r="C549" i="47"/>
  <c r="J549" i="47" s="1"/>
  <c r="C556" i="47"/>
  <c r="E556" i="47" s="1"/>
  <c r="P559" i="47"/>
  <c r="C565" i="47"/>
  <c r="H565" i="47" s="1"/>
  <c r="F571" i="47"/>
  <c r="F582" i="47"/>
  <c r="O594" i="47"/>
  <c r="B610" i="47"/>
  <c r="P653" i="47"/>
  <c r="O661" i="47"/>
  <c r="F668" i="47"/>
  <c r="N668" i="47" s="1"/>
  <c r="O719" i="47"/>
  <c r="F756" i="47"/>
  <c r="C777" i="47"/>
  <c r="N777" i="47" s="1"/>
  <c r="B809" i="47"/>
  <c r="B811" i="47"/>
  <c r="K811" i="47" s="1"/>
  <c r="G841" i="47"/>
  <c r="O844" i="47"/>
  <c r="P509" i="47"/>
  <c r="C532" i="47"/>
  <c r="M532" i="47" s="1"/>
  <c r="O549" i="47"/>
  <c r="F556" i="47"/>
  <c r="F565" i="47"/>
  <c r="C610" i="47"/>
  <c r="L610" i="47" s="1"/>
  <c r="F661" i="47"/>
  <c r="F719" i="47"/>
  <c r="P756" i="47"/>
  <c r="O777" i="47"/>
  <c r="C809" i="47"/>
  <c r="H809" i="47" s="1"/>
  <c r="F811" i="47"/>
  <c r="F396" i="47"/>
  <c r="H396" i="47" s="1"/>
  <c r="B499" i="47"/>
  <c r="G499" i="47" s="1"/>
  <c r="F549" i="47"/>
  <c r="F568" i="47"/>
  <c r="C598" i="47"/>
  <c r="J598" i="47" s="1"/>
  <c r="B635" i="47"/>
  <c r="B660" i="47"/>
  <c r="G660" i="47" s="1"/>
  <c r="B715" i="47"/>
  <c r="C740" i="47"/>
  <c r="C771" i="47"/>
  <c r="O809" i="47"/>
  <c r="M841" i="47"/>
  <c r="P841" i="47"/>
  <c r="B782" i="47"/>
  <c r="B806" i="47"/>
  <c r="B757" i="47"/>
  <c r="O761" i="47"/>
  <c r="O806" i="47"/>
  <c r="B820" i="47"/>
  <c r="C845" i="47"/>
  <c r="E845" i="47" s="1"/>
  <c r="C734" i="47"/>
  <c r="E734" i="47" s="1"/>
  <c r="B738" i="47"/>
  <c r="O757" i="47"/>
  <c r="F761" i="47"/>
  <c r="B769" i="47"/>
  <c r="C820" i="47"/>
  <c r="B828" i="47"/>
  <c r="G828" i="47" s="1"/>
  <c r="O294" i="47"/>
  <c r="C314" i="47"/>
  <c r="C318" i="47"/>
  <c r="M318" i="47" s="1"/>
  <c r="P416" i="47"/>
  <c r="B441" i="47"/>
  <c r="F444" i="47"/>
  <c r="C618" i="47"/>
  <c r="M618" i="47" s="1"/>
  <c r="P648" i="47"/>
  <c r="C658" i="47"/>
  <c r="E658" i="47" s="1"/>
  <c r="Q738" i="47"/>
  <c r="F757" i="47"/>
  <c r="P761" i="47"/>
  <c r="C769" i="47"/>
  <c r="K769" i="47" s="1"/>
  <c r="P809" i="47"/>
  <c r="C828" i="47"/>
  <c r="F845" i="47"/>
  <c r="M742"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O134" i="47"/>
  <c r="C134" i="47"/>
  <c r="B134" i="47"/>
  <c r="B3" i="47"/>
  <c r="B5" i="47"/>
  <c r="C20" i="47"/>
  <c r="F30" i="47"/>
  <c r="B30" i="47"/>
  <c r="O34" i="47"/>
  <c r="F43" i="47"/>
  <c r="B53" i="47"/>
  <c r="F53" i="47"/>
  <c r="P66" i="47"/>
  <c r="B75" i="47"/>
  <c r="K75" i="47" s="1"/>
  <c r="F134" i="47"/>
  <c r="F142" i="47"/>
  <c r="O142" i="47"/>
  <c r="C142" i="47"/>
  <c r="O256" i="47"/>
  <c r="F256" i="47"/>
  <c r="C256" i="47"/>
  <c r="B256" i="47"/>
  <c r="C3" i="47"/>
  <c r="C5" i="47"/>
  <c r="N5" i="47" s="1"/>
  <c r="B18" i="47"/>
  <c r="C28" i="47"/>
  <c r="N28" i="47" s="1"/>
  <c r="O30" i="47"/>
  <c r="F34" i="47"/>
  <c r="B39" i="47"/>
  <c r="H41" i="47"/>
  <c r="P48" i="47"/>
  <c r="C53" i="47"/>
  <c r="N53" i="47" s="1"/>
  <c r="B66" i="47"/>
  <c r="P134" i="47"/>
  <c r="P210" i="47"/>
  <c r="F210" i="47"/>
  <c r="O210" i="47"/>
  <c r="C210" i="47"/>
  <c r="M210" i="47" s="1"/>
  <c r="P30" i="47"/>
  <c r="C37" i="47"/>
  <c r="C39" i="47"/>
  <c r="J41" i="47"/>
  <c r="O53" i="47"/>
  <c r="F77" i="47"/>
  <c r="B77" i="47"/>
  <c r="Q90" i="47"/>
  <c r="F99" i="47"/>
  <c r="F120" i="47"/>
  <c r="C120" i="47"/>
  <c r="I120" i="47" s="1"/>
  <c r="F168" i="47"/>
  <c r="O168" i="47"/>
  <c r="C168" i="47"/>
  <c r="B210" i="47"/>
  <c r="F3" i="47"/>
  <c r="F5" i="47"/>
  <c r="B7" i="47"/>
  <c r="B9" i="47"/>
  <c r="B13" i="47"/>
  <c r="F18" i="47"/>
  <c r="B22" i="47"/>
  <c r="C24" i="47"/>
  <c r="L24" i="47" s="1"/>
  <c r="B26" i="47"/>
  <c r="P28" i="47"/>
  <c r="O37" i="47"/>
  <c r="L41" i="47"/>
  <c r="P71" i="47"/>
  <c r="Q71" i="47" s="1"/>
  <c r="B71" i="47"/>
  <c r="P83" i="47"/>
  <c r="F83" i="47"/>
  <c r="B168" i="47"/>
  <c r="P339" i="47"/>
  <c r="O339" i="47"/>
  <c r="C339" i="47"/>
  <c r="M339" i="47" s="1"/>
  <c r="F339" i="47"/>
  <c r="H339" i="47" s="1"/>
  <c r="B339" i="47"/>
  <c r="C7" i="47"/>
  <c r="L7" i="47" s="1"/>
  <c r="C9" i="47"/>
  <c r="L9" i="47" s="1"/>
  <c r="C13" i="47"/>
  <c r="N13" i="47" s="1"/>
  <c r="P20" i="47"/>
  <c r="O22" i="47"/>
  <c r="O26" i="47"/>
  <c r="F37" i="47"/>
  <c r="F39" i="47"/>
  <c r="M41" i="47"/>
  <c r="B49" i="47"/>
  <c r="I49" i="47" s="1"/>
  <c r="F49" i="47"/>
  <c r="J49" i="47" s="1"/>
  <c r="L49" i="47"/>
  <c r="P67" i="47"/>
  <c r="M67" i="47"/>
  <c r="I67" i="47"/>
  <c r="B67" i="47"/>
  <c r="G67" i="47" s="1"/>
  <c r="E69" i="47"/>
  <c r="B69" i="47"/>
  <c r="M69" i="47" s="1"/>
  <c r="C71" i="47"/>
  <c r="K71" i="47" s="1"/>
  <c r="B83" i="47"/>
  <c r="F202" i="47"/>
  <c r="P202" i="47"/>
  <c r="O202" i="47"/>
  <c r="C202" i="47"/>
  <c r="K202" i="47" s="1"/>
  <c r="O9" i="47"/>
  <c r="J11" i="47"/>
  <c r="O13" i="47"/>
  <c r="F22" i="47"/>
  <c r="P24" i="47"/>
  <c r="P26" i="47"/>
  <c r="O78" i="47"/>
  <c r="C78" i="47"/>
  <c r="P149" i="47"/>
  <c r="O149" i="47"/>
  <c r="C149" i="47"/>
  <c r="N149" i="47" s="1"/>
  <c r="B149" i="47"/>
  <c r="P155" i="47"/>
  <c r="F155" i="47"/>
  <c r="C155" i="47"/>
  <c r="B155" i="47"/>
  <c r="F7" i="47"/>
  <c r="F9" i="47"/>
  <c r="F13" i="47"/>
  <c r="B29" i="47"/>
  <c r="C29" i="47"/>
  <c r="P58" i="47"/>
  <c r="F58" i="47"/>
  <c r="B58" i="47"/>
  <c r="E64" i="47"/>
  <c r="O74" i="47"/>
  <c r="F74" i="47"/>
  <c r="C74" i="47"/>
  <c r="P105" i="47"/>
  <c r="M130" i="47"/>
  <c r="F147" i="47"/>
  <c r="B147" i="47"/>
  <c r="P158" i="47"/>
  <c r="F158" i="47"/>
  <c r="O158" i="47"/>
  <c r="C158" i="47"/>
  <c r="I158" i="47" s="1"/>
  <c r="B158" i="47"/>
  <c r="P193" i="47"/>
  <c r="F193" i="47"/>
  <c r="O193" i="47"/>
  <c r="C193" i="47"/>
  <c r="J193" i="47" s="1"/>
  <c r="B193" i="47"/>
  <c r="G193" i="47" s="1"/>
  <c r="P53" i="47"/>
  <c r="O58" i="47"/>
  <c r="F64" i="47"/>
  <c r="H64" i="47" s="1"/>
  <c r="K67" i="47"/>
  <c r="K69" i="47"/>
  <c r="B74" i="47"/>
  <c r="C105" i="47"/>
  <c r="J105" i="47" s="1"/>
  <c r="I140" i="47"/>
  <c r="C147" i="47"/>
  <c r="P7" i="47"/>
  <c r="O11" i="47"/>
  <c r="O15" i="47"/>
  <c r="F17" i="47"/>
  <c r="H17" i="47" s="1"/>
  <c r="B19" i="47"/>
  <c r="C21" i="47"/>
  <c r="B25" i="47"/>
  <c r="F25" i="47"/>
  <c r="B27" i="47"/>
  <c r="F29" i="47"/>
  <c r="O31" i="47"/>
  <c r="B42" i="47"/>
  <c r="K76" i="47"/>
  <c r="E76" i="47"/>
  <c r="I76" i="47"/>
  <c r="P81" i="47"/>
  <c r="P110" i="47"/>
  <c r="O110" i="47"/>
  <c r="B110" i="47"/>
  <c r="P173" i="47"/>
  <c r="C173" i="47"/>
  <c r="B173" i="47"/>
  <c r="B2" i="47"/>
  <c r="C4" i="47"/>
  <c r="H4" i="47" s="1"/>
  <c r="F11" i="47"/>
  <c r="L11" i="47" s="1"/>
  <c r="F15" i="47"/>
  <c r="C19" i="47"/>
  <c r="O21" i="47"/>
  <c r="C25" i="47"/>
  <c r="J25" i="47" s="1"/>
  <c r="C27" i="47"/>
  <c r="F31" i="47"/>
  <c r="L31" i="47" s="1"/>
  <c r="P37" i="47"/>
  <c r="F42" i="47"/>
  <c r="B45" i="47"/>
  <c r="O45" i="47"/>
  <c r="K49" i="47"/>
  <c r="B81" i="47"/>
  <c r="O88" i="47"/>
  <c r="C88" i="47"/>
  <c r="E88" i="47" s="1"/>
  <c r="C110" i="47"/>
  <c r="I110" i="47" s="1"/>
  <c r="F190" i="47"/>
  <c r="O190" i="47"/>
  <c r="C190" i="47"/>
  <c r="P194" i="47"/>
  <c r="C194" i="47"/>
  <c r="L194" i="47" s="1"/>
  <c r="B194" i="47"/>
  <c r="P11" i="47"/>
  <c r="J17" i="47"/>
  <c r="Q19" i="47"/>
  <c r="F21" i="47"/>
  <c r="O27" i="47"/>
  <c r="G31" i="47"/>
  <c r="P42" i="47"/>
  <c r="Q42" i="47" s="1"/>
  <c r="M49" i="47"/>
  <c r="P59" i="47"/>
  <c r="C59" i="47"/>
  <c r="J62" i="47"/>
  <c r="K62" i="47"/>
  <c r="F81" i="47"/>
  <c r="L144" i="47"/>
  <c r="N144" i="47"/>
  <c r="K144" i="47"/>
  <c r="P9" i="47"/>
  <c r="Q9" i="47" s="1"/>
  <c r="P13" i="47"/>
  <c r="Q13" i="47" s="1"/>
  <c r="K17" i="47"/>
  <c r="F19" i="47"/>
  <c r="O59" i="47"/>
  <c r="P65" i="47"/>
  <c r="O65" i="47"/>
  <c r="B65" i="47"/>
  <c r="F68" i="47"/>
  <c r="O70" i="47"/>
  <c r="P70" i="47"/>
  <c r="C70" i="47"/>
  <c r="G76" i="47"/>
  <c r="O101" i="47"/>
  <c r="P101" i="47"/>
  <c r="P125" i="47"/>
  <c r="C125" i="47"/>
  <c r="B125" i="47"/>
  <c r="C159" i="47"/>
  <c r="B159" i="47"/>
  <c r="B234" i="47"/>
  <c r="P234" i="47"/>
  <c r="F234" i="47"/>
  <c r="O234" i="47"/>
  <c r="C234" i="47"/>
  <c r="F293" i="47"/>
  <c r="O293" i="47"/>
  <c r="P293" i="47"/>
  <c r="C293" i="47"/>
  <c r="K293" i="47" s="1"/>
  <c r="B293" i="47"/>
  <c r="P348" i="47"/>
  <c r="O348" i="47"/>
  <c r="B348" i="47"/>
  <c r="L17" i="47"/>
  <c r="P38" i="47"/>
  <c r="B38" i="47"/>
  <c r="F59" i="47"/>
  <c r="I62" i="47"/>
  <c r="L65" i="47"/>
  <c r="P74" i="47"/>
  <c r="H76" i="47"/>
  <c r="P88" i="47"/>
  <c r="B101" i="47"/>
  <c r="P137" i="47"/>
  <c r="B137" i="47"/>
  <c r="M156" i="47"/>
  <c r="H156" i="47"/>
  <c r="F159" i="47"/>
  <c r="P170" i="47"/>
  <c r="F170" i="47"/>
  <c r="O170" i="47"/>
  <c r="C170" i="47"/>
  <c r="I170" i="47" s="1"/>
  <c r="P177" i="47"/>
  <c r="O177" i="47"/>
  <c r="C177" i="47"/>
  <c r="B177" i="47"/>
  <c r="H180" i="47"/>
  <c r="O184" i="47"/>
  <c r="C184" i="47"/>
  <c r="H184" i="47" s="1"/>
  <c r="B184" i="47"/>
  <c r="B57" i="47"/>
  <c r="F57" i="47"/>
  <c r="F96" i="47"/>
  <c r="C96" i="47"/>
  <c r="K96" i="47" s="1"/>
  <c r="B96" i="47"/>
  <c r="C122" i="47"/>
  <c r="L122" i="47" s="1"/>
  <c r="B122" i="47"/>
  <c r="P151" i="47"/>
  <c r="F151" i="47"/>
  <c r="C151" i="47"/>
  <c r="G151" i="47" s="1"/>
  <c r="L8" i="47"/>
  <c r="C12" i="47"/>
  <c r="P36" i="47"/>
  <c r="F38" i="47"/>
  <c r="B41" i="47"/>
  <c r="O41" i="47"/>
  <c r="P41" i="47"/>
  <c r="B43" i="47"/>
  <c r="C57" i="47"/>
  <c r="N57" i="47" s="1"/>
  <c r="M62" i="47"/>
  <c r="F70" i="47"/>
  <c r="N76" i="47"/>
  <c r="P96" i="47"/>
  <c r="C107" i="47"/>
  <c r="O124" i="47"/>
  <c r="O126" i="47"/>
  <c r="E156" i="47"/>
  <c r="H160" i="47"/>
  <c r="O162" i="47"/>
  <c r="O172" i="47"/>
  <c r="O186" i="47"/>
  <c r="B196" i="47"/>
  <c r="G196" i="47" s="1"/>
  <c r="M220" i="47"/>
  <c r="H228" i="47"/>
  <c r="P247" i="47"/>
  <c r="H247" i="47"/>
  <c r="O268" i="47"/>
  <c r="F288" i="47"/>
  <c r="B288" i="47"/>
  <c r="F301" i="47"/>
  <c r="C301" i="47"/>
  <c r="I301" i="47" s="1"/>
  <c r="P301" i="47"/>
  <c r="O301" i="47"/>
  <c r="I321" i="47"/>
  <c r="K336" i="47"/>
  <c r="P352" i="47"/>
  <c r="B352" i="47"/>
  <c r="I115" i="47"/>
  <c r="E124" i="47"/>
  <c r="J160" i="47"/>
  <c r="F162" i="47"/>
  <c r="L162" i="47" s="1"/>
  <c r="M204" i="47"/>
  <c r="C230" i="47"/>
  <c r="H230" i="47" s="1"/>
  <c r="G248" i="47"/>
  <c r="F268" i="47"/>
  <c r="H268" i="47" s="1"/>
  <c r="F285" i="47"/>
  <c r="C285" i="47"/>
  <c r="N285" i="47" s="1"/>
  <c r="P291" i="47"/>
  <c r="F291" i="47"/>
  <c r="C296" i="47"/>
  <c r="P362" i="47"/>
  <c r="B362" i="47"/>
  <c r="F543" i="47"/>
  <c r="C543" i="47"/>
  <c r="B104" i="47"/>
  <c r="J124" i="47"/>
  <c r="F126" i="47"/>
  <c r="B128" i="47"/>
  <c r="M132" i="47"/>
  <c r="B136" i="47"/>
  <c r="O138" i="47"/>
  <c r="K160" i="47"/>
  <c r="F186" i="47"/>
  <c r="L186" i="47" s="1"/>
  <c r="N204" i="47"/>
  <c r="C206" i="47"/>
  <c r="N206" i="47" s="1"/>
  <c r="P214" i="47"/>
  <c r="P218" i="47"/>
  <c r="B226" i="47"/>
  <c r="B230" i="47"/>
  <c r="C260" i="47"/>
  <c r="B291" i="47"/>
  <c r="B296" i="47"/>
  <c r="F317" i="47"/>
  <c r="O317" i="47"/>
  <c r="C317" i="47"/>
  <c r="M317" i="47" s="1"/>
  <c r="N62" i="47"/>
  <c r="F87" i="47"/>
  <c r="C90" i="47"/>
  <c r="N90" i="47" s="1"/>
  <c r="B98" i="47"/>
  <c r="C100" i="47"/>
  <c r="C104" i="47"/>
  <c r="E115" i="47"/>
  <c r="B117" i="47"/>
  <c r="C128" i="47"/>
  <c r="K128" i="47" s="1"/>
  <c r="P133" i="47"/>
  <c r="C136" i="47"/>
  <c r="B144" i="47"/>
  <c r="M144" i="47" s="1"/>
  <c r="C148" i="47"/>
  <c r="E148" i="47" s="1"/>
  <c r="L160" i="47"/>
  <c r="B175" i="47"/>
  <c r="B180" i="47"/>
  <c r="G180" i="47" s="1"/>
  <c r="C182" i="47"/>
  <c r="F196" i="47"/>
  <c r="H196" i="47" s="1"/>
  <c r="C201" i="47"/>
  <c r="O206" i="47"/>
  <c r="O209" i="47"/>
  <c r="C226" i="47"/>
  <c r="E226" i="47" s="1"/>
  <c r="O228" i="47"/>
  <c r="O230" i="47"/>
  <c r="B260" i="47"/>
  <c r="P266" i="47"/>
  <c r="B266" i="47"/>
  <c r="C272" i="47"/>
  <c r="E272" i="47" s="1"/>
  <c r="B272" i="47"/>
  <c r="O285" i="47"/>
  <c r="C291" i="47"/>
  <c r="O296" i="47"/>
  <c r="I309" i="47"/>
  <c r="B317" i="47"/>
  <c r="F376" i="47"/>
  <c r="P381" i="47"/>
  <c r="Q381" i="47" s="1"/>
  <c r="L429" i="47"/>
  <c r="M429" i="47"/>
  <c r="H429" i="47"/>
  <c r="G429" i="47"/>
  <c r="C472" i="47"/>
  <c r="J472" i="47" s="1"/>
  <c r="P472" i="47"/>
  <c r="B472" i="47"/>
  <c r="F252" i="47"/>
  <c r="C252" i="47"/>
  <c r="N252" i="47" s="1"/>
  <c r="F269" i="47"/>
  <c r="P285" i="47"/>
  <c r="F296" i="47"/>
  <c r="F305" i="47"/>
  <c r="C305" i="47"/>
  <c r="J305" i="47" s="1"/>
  <c r="P305" i="47"/>
  <c r="C320" i="47"/>
  <c r="L320" i="47" s="1"/>
  <c r="O346" i="47"/>
  <c r="P346" i="47"/>
  <c r="B346" i="47"/>
  <c r="F98" i="47"/>
  <c r="F100" i="47"/>
  <c r="J113" i="47"/>
  <c r="G115" i="47"/>
  <c r="F128" i="47"/>
  <c r="O144" i="47"/>
  <c r="K156" i="47"/>
  <c r="N160" i="47"/>
  <c r="F164" i="47"/>
  <c r="F166" i="47"/>
  <c r="P175" i="47"/>
  <c r="O180" i="47"/>
  <c r="F182" i="47"/>
  <c r="C189" i="47"/>
  <c r="G189" i="47" s="1"/>
  <c r="P206" i="47"/>
  <c r="C209" i="47"/>
  <c r="P219" i="47"/>
  <c r="F219" i="47"/>
  <c r="F221" i="47"/>
  <c r="B224" i="47"/>
  <c r="J228" i="47"/>
  <c r="F230" i="47"/>
  <c r="B237" i="47"/>
  <c r="F244" i="47"/>
  <c r="B252" i="47"/>
  <c r="F260" i="47"/>
  <c r="C262" i="47"/>
  <c r="F266" i="47"/>
  <c r="B269" i="47"/>
  <c r="F272" i="47"/>
  <c r="F289" i="47"/>
  <c r="O289" i="47"/>
  <c r="C289" i="47"/>
  <c r="B305" i="47"/>
  <c r="B320" i="47"/>
  <c r="G320" i="47" s="1"/>
  <c r="B322" i="47"/>
  <c r="G322" i="47" s="1"/>
  <c r="F322" i="47"/>
  <c r="L322" i="47" s="1"/>
  <c r="O322" i="47"/>
  <c r="F346" i="47"/>
  <c r="C363" i="47"/>
  <c r="F372" i="47"/>
  <c r="C224" i="47"/>
  <c r="F237" i="47"/>
  <c r="O252" i="47"/>
  <c r="P307" i="47"/>
  <c r="B307" i="47"/>
  <c r="M312" i="47"/>
  <c r="N312" i="47"/>
  <c r="E332" i="47"/>
  <c r="B332" i="47"/>
  <c r="K332" i="47" s="1"/>
  <c r="O334" i="47"/>
  <c r="C334" i="47"/>
  <c r="B334" i="47"/>
  <c r="C340" i="47"/>
  <c r="J340" i="47" s="1"/>
  <c r="O377" i="47"/>
  <c r="C377" i="47"/>
  <c r="P413" i="47"/>
  <c r="F413" i="47"/>
  <c r="O413" i="47"/>
  <c r="P423" i="47"/>
  <c r="F117" i="47"/>
  <c r="B163" i="47"/>
  <c r="B171" i="47"/>
  <c r="O224" i="47"/>
  <c r="P237" i="47"/>
  <c r="P240" i="47"/>
  <c r="B258" i="47"/>
  <c r="I258" i="47" s="1"/>
  <c r="C680" i="47"/>
  <c r="B680" i="47"/>
  <c r="P680" i="47"/>
  <c r="F63" i="47"/>
  <c r="V67" i="47"/>
  <c r="F94" i="47"/>
  <c r="C97" i="47"/>
  <c r="J97" i="47" s="1"/>
  <c r="C103" i="47"/>
  <c r="J103" i="47" s="1"/>
  <c r="K115" i="47"/>
  <c r="B119" i="47"/>
  <c r="B132" i="47"/>
  <c r="B133" i="47"/>
  <c r="C163" i="47"/>
  <c r="N163" i="47" s="1"/>
  <c r="V168" i="47"/>
  <c r="C171" i="47"/>
  <c r="K171" i="47" s="1"/>
  <c r="O205" i="47"/>
  <c r="M228" i="47"/>
  <c r="B240" i="47"/>
  <c r="M240" i="47" s="1"/>
  <c r="P242" i="47"/>
  <c r="N247" i="47"/>
  <c r="O258" i="47"/>
  <c r="F267" i="47"/>
  <c r="P273" i="47"/>
  <c r="Q273" i="47" s="1"/>
  <c r="C273" i="47"/>
  <c r="K273" i="47" s="1"/>
  <c r="C286" i="47"/>
  <c r="B310" i="47"/>
  <c r="F310" i="47"/>
  <c r="P317" i="47"/>
  <c r="F332" i="47"/>
  <c r="H332" i="47" s="1"/>
  <c r="F340" i="47"/>
  <c r="F465" i="47"/>
  <c r="N140" i="47"/>
  <c r="F163" i="47"/>
  <c r="F171" i="47"/>
  <c r="P222" i="47"/>
  <c r="B222" i="47"/>
  <c r="G222" i="47" s="1"/>
  <c r="E249" i="47"/>
  <c r="I249" i="47"/>
  <c r="C308" i="47"/>
  <c r="N308" i="47" s="1"/>
  <c r="B308" i="47"/>
  <c r="M326" i="47"/>
  <c r="P334" i="47"/>
  <c r="M222" i="47"/>
  <c r="C238" i="47"/>
  <c r="M238" i="47" s="1"/>
  <c r="P263" i="47"/>
  <c r="C263" i="47"/>
  <c r="K263" i="47" s="1"/>
  <c r="C280" i="47"/>
  <c r="I280" i="47" s="1"/>
  <c r="F297" i="47"/>
  <c r="O297" i="47"/>
  <c r="C297" i="47"/>
  <c r="P297" i="47"/>
  <c r="N300" i="47"/>
  <c r="B188" i="47"/>
  <c r="B192" i="47"/>
  <c r="B212" i="47"/>
  <c r="O222" i="47"/>
  <c r="F233" i="47"/>
  <c r="B238" i="47"/>
  <c r="F240" i="47"/>
  <c r="N240" i="47" s="1"/>
  <c r="P243" i="47"/>
  <c r="F243" i="47"/>
  <c r="J243" i="47" s="1"/>
  <c r="K248" i="47"/>
  <c r="K249" i="47"/>
  <c r="P258" i="47"/>
  <c r="B263" i="47"/>
  <c r="P265" i="47"/>
  <c r="F265" i="47"/>
  <c r="H265" i="47" s="1"/>
  <c r="E265" i="47"/>
  <c r="B270" i="47"/>
  <c r="C290" i="47"/>
  <c r="L290" i="47" s="1"/>
  <c r="B297" i="47"/>
  <c r="B300" i="47"/>
  <c r="O338" i="47"/>
  <c r="B338" i="47"/>
  <c r="P338" i="47"/>
  <c r="P365" i="47"/>
  <c r="B365" i="47"/>
  <c r="G365" i="47" s="1"/>
  <c r="F132" i="47"/>
  <c r="O140" i="47"/>
  <c r="O160" i="47"/>
  <c r="C174" i="47"/>
  <c r="C181" i="47"/>
  <c r="C188" i="47"/>
  <c r="C192" i="47"/>
  <c r="N192" i="47" s="1"/>
  <c r="F195" i="47"/>
  <c r="B200" i="47"/>
  <c r="K204" i="47"/>
  <c r="C208" i="47"/>
  <c r="C212" i="47"/>
  <c r="J212" i="47" s="1"/>
  <c r="B214" i="47"/>
  <c r="B216" i="47"/>
  <c r="K216" i="47" s="1"/>
  <c r="B218" i="47"/>
  <c r="E222" i="47"/>
  <c r="B225" i="47"/>
  <c r="B229" i="47"/>
  <c r="P233" i="47"/>
  <c r="O238" i="47"/>
  <c r="C243" i="47"/>
  <c r="F263" i="47"/>
  <c r="B265" i="47"/>
  <c r="G265" i="47" s="1"/>
  <c r="C270" i="47"/>
  <c r="F280" i="47"/>
  <c r="C284" i="47"/>
  <c r="B284" i="47"/>
  <c r="M284" i="47" s="1"/>
  <c r="P287" i="47"/>
  <c r="C287" i="47"/>
  <c r="K287" i="47" s="1"/>
  <c r="O290" i="47"/>
  <c r="O300" i="47"/>
  <c r="N326" i="47"/>
  <c r="F338" i="47"/>
  <c r="C365" i="47"/>
  <c r="K365" i="47" s="1"/>
  <c r="P415" i="47"/>
  <c r="C415" i="47"/>
  <c r="B415" i="47"/>
  <c r="E140" i="47"/>
  <c r="C200" i="47"/>
  <c r="O212" i="47"/>
  <c r="C214" i="47"/>
  <c r="L214" i="47" s="1"/>
  <c r="C216" i="47"/>
  <c r="H216" i="47" s="1"/>
  <c r="C218" i="47"/>
  <c r="L218" i="47" s="1"/>
  <c r="F222" i="47"/>
  <c r="L222" i="47" s="1"/>
  <c r="B306" i="47"/>
  <c r="O306" i="47"/>
  <c r="O316" i="47"/>
  <c r="B316" i="47"/>
  <c r="C404" i="47"/>
  <c r="P404" i="47"/>
  <c r="F404" i="47"/>
  <c r="O404" i="47"/>
  <c r="P673" i="47"/>
  <c r="O673" i="47"/>
  <c r="F673" i="47"/>
  <c r="C673" i="47"/>
  <c r="B673" i="47"/>
  <c r="P290" i="47"/>
  <c r="C306" i="47"/>
  <c r="K306" i="47" s="1"/>
  <c r="C316" i="47"/>
  <c r="N316" i="47" s="1"/>
  <c r="J422" i="47"/>
  <c r="L425" i="47"/>
  <c r="K425" i="47"/>
  <c r="P505" i="47"/>
  <c r="B505" i="47"/>
  <c r="K505" i="47" s="1"/>
  <c r="P676" i="47"/>
  <c r="P800" i="47"/>
  <c r="F800" i="47"/>
  <c r="J264" i="47"/>
  <c r="F309" i="47"/>
  <c r="N309" i="47" s="1"/>
  <c r="B309" i="47"/>
  <c r="K309" i="47" s="1"/>
  <c r="O318" i="47"/>
  <c r="P510" i="47"/>
  <c r="O510" i="47"/>
  <c r="C510" i="47"/>
  <c r="M510" i="47" s="1"/>
  <c r="B510" i="47"/>
  <c r="J528" i="47"/>
  <c r="E532" i="47"/>
  <c r="P535" i="47"/>
  <c r="L535" i="47"/>
  <c r="J535" i="47"/>
  <c r="F537" i="47"/>
  <c r="B537" i="47"/>
  <c r="O652" i="47"/>
  <c r="C652" i="47"/>
  <c r="K652" i="47" s="1"/>
  <c r="B652" i="47"/>
  <c r="P652" i="47"/>
  <c r="O438" i="47"/>
  <c r="B463" i="47"/>
  <c r="K463" i="47" s="1"/>
  <c r="I610" i="47"/>
  <c r="P625" i="47"/>
  <c r="B625" i="47"/>
  <c r="F553" i="47"/>
  <c r="O553" i="47"/>
  <c r="B553" i="47"/>
  <c r="O585" i="47"/>
  <c r="F585" i="47"/>
  <c r="C585" i="47"/>
  <c r="B585" i="47"/>
  <c r="P741" i="47"/>
  <c r="C741" i="47"/>
  <c r="F741" i="47"/>
  <c r="B744" i="47"/>
  <c r="F744" i="47"/>
  <c r="O744" i="47"/>
  <c r="C744" i="47"/>
  <c r="E744" i="47" s="1"/>
  <c r="I204" i="47"/>
  <c r="I253" i="47"/>
  <c r="P261" i="47"/>
  <c r="E309" i="47"/>
  <c r="F314" i="47"/>
  <c r="P347" i="47"/>
  <c r="Q347" i="47" s="1"/>
  <c r="F347" i="47"/>
  <c r="L347" i="47" s="1"/>
  <c r="O350" i="47"/>
  <c r="F350" i="47"/>
  <c r="C359" i="47"/>
  <c r="F411" i="47"/>
  <c r="N411" i="47" s="1"/>
  <c r="I425" i="47"/>
  <c r="P430" i="47"/>
  <c r="Q430" i="47" s="1"/>
  <c r="C436" i="47"/>
  <c r="B444" i="47"/>
  <c r="O447" i="47"/>
  <c r="C450" i="47"/>
  <c r="I450" i="47" s="1"/>
  <c r="O457" i="47"/>
  <c r="O463" i="47"/>
  <c r="C466" i="47"/>
  <c r="J466" i="47" s="1"/>
  <c r="B502" i="47"/>
  <c r="P519" i="47"/>
  <c r="E519" i="47"/>
  <c r="B544" i="47"/>
  <c r="B550" i="47"/>
  <c r="G550" i="47" s="1"/>
  <c r="C553" i="47"/>
  <c r="K553" i="47" s="1"/>
  <c r="F557" i="47"/>
  <c r="O557" i="47"/>
  <c r="C557" i="47"/>
  <c r="P596" i="47"/>
  <c r="B596" i="47"/>
  <c r="G596" i="47" s="1"/>
  <c r="F596" i="47"/>
  <c r="J596" i="47" s="1"/>
  <c r="E610" i="47"/>
  <c r="M622" i="47"/>
  <c r="B630" i="47"/>
  <c r="F630" i="47"/>
  <c r="O741" i="47"/>
  <c r="P318" i="47"/>
  <c r="F321" i="47"/>
  <c r="H321" i="47" s="1"/>
  <c r="J321" i="47"/>
  <c r="Q344" i="47"/>
  <c r="F359" i="47"/>
  <c r="N429" i="47"/>
  <c r="C444" i="47"/>
  <c r="E444" i="47" s="1"/>
  <c r="F463" i="47"/>
  <c r="L463" i="47" s="1"/>
  <c r="F466" i="47"/>
  <c r="F506" i="47"/>
  <c r="C506" i="47"/>
  <c r="B506" i="47"/>
  <c r="H535" i="47"/>
  <c r="C544" i="47"/>
  <c r="P553" i="47"/>
  <c r="I560" i="47"/>
  <c r="F620" i="47"/>
  <c r="P620" i="47"/>
  <c r="O626" i="47"/>
  <c r="C626" i="47"/>
  <c r="F626" i="47"/>
  <c r="B626" i="47"/>
  <c r="N769" i="47"/>
  <c r="I769" i="47"/>
  <c r="E769" i="47"/>
  <c r="M769" i="47"/>
  <c r="L769" i="47"/>
  <c r="O538" i="47"/>
  <c r="P647" i="47"/>
  <c r="C647" i="47"/>
  <c r="F647" i="47"/>
  <c r="P735" i="47"/>
  <c r="B735" i="47"/>
  <c r="C826" i="47"/>
  <c r="P826" i="47"/>
  <c r="F826" i="47"/>
  <c r="O826" i="47"/>
  <c r="B826" i="47"/>
  <c r="K826" i="47" s="1"/>
  <c r="B508" i="47"/>
  <c r="C527" i="47"/>
  <c r="P527" i="47"/>
  <c r="C538" i="47"/>
  <c r="O593" i="47"/>
  <c r="P593" i="47"/>
  <c r="E596" i="47"/>
  <c r="C620" i="47"/>
  <c r="G620" i="47" s="1"/>
  <c r="P623" i="47"/>
  <c r="F623" i="47"/>
  <c r="B647" i="47"/>
  <c r="F697" i="47"/>
  <c r="F735" i="47"/>
  <c r="E429" i="47"/>
  <c r="C456" i="47"/>
  <c r="B456" i="47"/>
  <c r="P463" i="47"/>
  <c r="O503" i="47"/>
  <c r="F503" i="47"/>
  <c r="H503" i="47" s="1"/>
  <c r="C503" i="47"/>
  <c r="O620" i="47"/>
  <c r="O647" i="47"/>
  <c r="M668" i="47"/>
  <c r="H668" i="47"/>
  <c r="P691" i="47"/>
  <c r="C691" i="47"/>
  <c r="E321" i="47"/>
  <c r="O326" i="47"/>
  <c r="F326" i="47"/>
  <c r="L326" i="47" s="1"/>
  <c r="L327" i="47"/>
  <c r="F341" i="47"/>
  <c r="N341" i="47" s="1"/>
  <c r="Q419" i="47"/>
  <c r="C454" i="47"/>
  <c r="I454" i="47" s="1"/>
  <c r="F536" i="47"/>
  <c r="J536" i="47" s="1"/>
  <c r="E536" i="47"/>
  <c r="P611" i="47"/>
  <c r="O611" i="47"/>
  <c r="F644" i="47"/>
  <c r="N644" i="47" s="1"/>
  <c r="P644" i="47"/>
  <c r="B261" i="47"/>
  <c r="I261" i="47" s="1"/>
  <c r="B264" i="47"/>
  <c r="I264" i="47" s="1"/>
  <c r="B326" i="47"/>
  <c r="I326" i="47" s="1"/>
  <c r="N327" i="47"/>
  <c r="C331" i="47"/>
  <c r="I331" i="47" s="1"/>
  <c r="P341" i="47"/>
  <c r="F384" i="47"/>
  <c r="C389" i="47"/>
  <c r="E389" i="47" s="1"/>
  <c r="P409" i="47"/>
  <c r="O409" i="47"/>
  <c r="C412" i="47"/>
  <c r="N412" i="47" s="1"/>
  <c r="B412" i="47"/>
  <c r="P436" i="47"/>
  <c r="P487" i="47"/>
  <c r="O487" i="47"/>
  <c r="P506" i="47"/>
  <c r="Q506" i="47" s="1"/>
  <c r="B536" i="47"/>
  <c r="I536" i="47" s="1"/>
  <c r="M560" i="47"/>
  <c r="F583" i="47"/>
  <c r="P583" i="47"/>
  <c r="O583" i="47"/>
  <c r="C583" i="47"/>
  <c r="B644" i="47"/>
  <c r="M644" i="47" s="1"/>
  <c r="P475" i="47"/>
  <c r="O500" i="47"/>
  <c r="B500" i="47"/>
  <c r="C520" i="47"/>
  <c r="B520" i="47"/>
  <c r="F520" i="47"/>
  <c r="P591" i="47"/>
  <c r="B591" i="47"/>
  <c r="G591" i="47" s="1"/>
  <c r="E591" i="47"/>
  <c r="O597" i="47"/>
  <c r="P597" i="47"/>
  <c r="F597" i="47"/>
  <c r="J628" i="47"/>
  <c r="K628" i="47"/>
  <c r="F628" i="47"/>
  <c r="L628" i="47" s="1"/>
  <c r="E628" i="47"/>
  <c r="P628" i="47"/>
  <c r="B628" i="47"/>
  <c r="G628" i="47" s="1"/>
  <c r="P657" i="47"/>
  <c r="B657" i="47"/>
  <c r="O665" i="47"/>
  <c r="C665" i="47"/>
  <c r="P679" i="47"/>
  <c r="O679" i="47"/>
  <c r="C414" i="47"/>
  <c r="E414" i="47" s="1"/>
  <c r="B432" i="47"/>
  <c r="N539" i="47"/>
  <c r="H539" i="47"/>
  <c r="B665" i="47"/>
  <c r="I665" i="47" s="1"/>
  <c r="P675" i="47"/>
  <c r="F675" i="47"/>
  <c r="B675" i="47"/>
  <c r="B679" i="47"/>
  <c r="P797" i="47"/>
  <c r="F797" i="47"/>
  <c r="B797" i="47"/>
  <c r="O797" i="47"/>
  <c r="J312" i="47"/>
  <c r="O312" i="47"/>
  <c r="K321" i="47"/>
  <c r="C400" i="47"/>
  <c r="E400" i="47" s="1"/>
  <c r="F400" i="47"/>
  <c r="F419" i="47"/>
  <c r="L419" i="47" s="1"/>
  <c r="B435" i="47"/>
  <c r="F437" i="47"/>
  <c r="O437" i="47"/>
  <c r="F467" i="47"/>
  <c r="O475" i="47"/>
  <c r="J509" i="47"/>
  <c r="P511" i="47"/>
  <c r="I528" i="47"/>
  <c r="F528" i="47"/>
  <c r="H528" i="47" s="1"/>
  <c r="O528" i="47"/>
  <c r="F532" i="47"/>
  <c r="H567" i="47"/>
  <c r="F591" i="47"/>
  <c r="N591" i="47" s="1"/>
  <c r="F606" i="47"/>
  <c r="O606" i="47"/>
  <c r="B606" i="47"/>
  <c r="P609" i="47"/>
  <c r="F609" i="47"/>
  <c r="B609" i="47"/>
  <c r="F665" i="47"/>
  <c r="F679" i="47"/>
  <c r="C767" i="47"/>
  <c r="M767" i="47" s="1"/>
  <c r="P767" i="47"/>
  <c r="P785" i="47"/>
  <c r="F785" i="47"/>
  <c r="O785" i="47"/>
  <c r="C785" i="47"/>
  <c r="B785" i="47"/>
  <c r="C797" i="47"/>
  <c r="G797" i="47" s="1"/>
  <c r="P584" i="47"/>
  <c r="J584" i="47"/>
  <c r="N601" i="47"/>
  <c r="L601" i="47"/>
  <c r="C606" i="47"/>
  <c r="C747" i="47"/>
  <c r="B747" i="47"/>
  <c r="P839" i="47"/>
  <c r="F839" i="47"/>
  <c r="O561" i="47"/>
  <c r="F561" i="47"/>
  <c r="H610" i="47"/>
  <c r="C715" i="47"/>
  <c r="I715" i="47" s="1"/>
  <c r="P722" i="47"/>
  <c r="Q722" i="47" s="1"/>
  <c r="B722" i="47"/>
  <c r="B748" i="47"/>
  <c r="M748" i="47" s="1"/>
  <c r="F748" i="47"/>
  <c r="L748" i="47" s="1"/>
  <c r="E750" i="47"/>
  <c r="O781" i="47"/>
  <c r="C781" i="47"/>
  <c r="K781" i="47" s="1"/>
  <c r="B781" i="47"/>
  <c r="C561" i="47"/>
  <c r="P567" i="47"/>
  <c r="B567" i="47"/>
  <c r="G567" i="47" s="1"/>
  <c r="P576" i="47"/>
  <c r="F576" i="47"/>
  <c r="F594" i="47"/>
  <c r="O636" i="47"/>
  <c r="J668" i="47"/>
  <c r="P682" i="47"/>
  <c r="C682" i="47"/>
  <c r="J682" i="47" s="1"/>
  <c r="E694" i="47"/>
  <c r="F722" i="47"/>
  <c r="C726" i="47"/>
  <c r="G726" i="47" s="1"/>
  <c r="O748" i="47"/>
  <c r="O758" i="47"/>
  <c r="C758" i="47"/>
  <c r="B758" i="47"/>
  <c r="E837" i="47"/>
  <c r="F842" i="47"/>
  <c r="B842" i="47"/>
  <c r="K604" i="47"/>
  <c r="F636" i="47"/>
  <c r="N664" i="47"/>
  <c r="L664" i="47"/>
  <c r="O664" i="47"/>
  <c r="I694" i="47"/>
  <c r="O708" i="47"/>
  <c r="C708" i="47"/>
  <c r="H708" i="47" s="1"/>
  <c r="E748" i="47"/>
  <c r="P765" i="47"/>
  <c r="C765" i="47"/>
  <c r="P781" i="47"/>
  <c r="C840" i="47"/>
  <c r="B840" i="47"/>
  <c r="C853" i="47"/>
  <c r="P613" i="47"/>
  <c r="O616" i="47"/>
  <c r="C616" i="47"/>
  <c r="M616" i="47" s="1"/>
  <c r="P616" i="47"/>
  <c r="P655" i="47"/>
  <c r="C655" i="47"/>
  <c r="H655" i="47" s="1"/>
  <c r="M660" i="47"/>
  <c r="I660" i="47"/>
  <c r="B664" i="47"/>
  <c r="K664" i="47" s="1"/>
  <c r="O682" i="47"/>
  <c r="C685" i="47"/>
  <c r="M685" i="47" s="1"/>
  <c r="B708" i="47"/>
  <c r="P711" i="47"/>
  <c r="E711" i="47"/>
  <c r="F730" i="47"/>
  <c r="N734" i="47"/>
  <c r="B734" i="47"/>
  <c r="B765" i="47"/>
  <c r="P801" i="47"/>
  <c r="F801" i="47"/>
  <c r="H801" i="47" s="1"/>
  <c r="B801" i="47"/>
  <c r="I801" i="47" s="1"/>
  <c r="B821" i="47"/>
  <c r="O821" i="47"/>
  <c r="C821" i="47"/>
  <c r="E821" i="47" s="1"/>
  <c r="B829" i="47"/>
  <c r="O829" i="47"/>
  <c r="C829" i="47"/>
  <c r="G837" i="47"/>
  <c r="P840" i="47"/>
  <c r="E842" i="47"/>
  <c r="C848" i="47"/>
  <c r="O853" i="47"/>
  <c r="O795" i="47"/>
  <c r="C795" i="47"/>
  <c r="B833" i="47"/>
  <c r="P833" i="47"/>
  <c r="H837" i="47"/>
  <c r="F853" i="47"/>
  <c r="F624" i="47"/>
  <c r="B634" i="47"/>
  <c r="O634" i="47"/>
  <c r="P723" i="47"/>
  <c r="C723" i="47"/>
  <c r="C759" i="47"/>
  <c r="O762" i="47"/>
  <c r="F765" i="47"/>
  <c r="K773" i="47"/>
  <c r="M773" i="47"/>
  <c r="B813" i="47"/>
  <c r="F821" i="47"/>
  <c r="C833" i="47"/>
  <c r="P848" i="47"/>
  <c r="Q848" i="47" s="1"/>
  <c r="O577" i="47"/>
  <c r="O614" i="47"/>
  <c r="C614" i="47"/>
  <c r="H614" i="47" s="1"/>
  <c r="B662" i="47"/>
  <c r="J664" i="47"/>
  <c r="B716" i="47"/>
  <c r="B727" i="47"/>
  <c r="O759" i="47"/>
  <c r="E801" i="47"/>
  <c r="C813" i="47"/>
  <c r="O833" i="47"/>
  <c r="P853" i="47"/>
  <c r="F540" i="47"/>
  <c r="C546" i="47"/>
  <c r="I546" i="47" s="1"/>
  <c r="B546" i="47"/>
  <c r="B577" i="47"/>
  <c r="P586" i="47"/>
  <c r="O589" i="47"/>
  <c r="F589" i="47"/>
  <c r="C589" i="47"/>
  <c r="B589" i="47"/>
  <c r="B605" i="47"/>
  <c r="B614" i="47"/>
  <c r="C624" i="47"/>
  <c r="G624" i="47" s="1"/>
  <c r="F634" i="47"/>
  <c r="P640" i="47"/>
  <c r="F640" i="47"/>
  <c r="O640" i="47"/>
  <c r="B648" i="47"/>
  <c r="C662" i="47"/>
  <c r="E662" i="47" s="1"/>
  <c r="B669" i="47"/>
  <c r="M669" i="47" s="1"/>
  <c r="B686" i="47"/>
  <c r="O702" i="47"/>
  <c r="C702" i="47"/>
  <c r="K702" i="47" s="1"/>
  <c r="B702" i="47"/>
  <c r="P708" i="47"/>
  <c r="F716" i="47"/>
  <c r="Q727" i="47"/>
  <c r="C731" i="47"/>
  <c r="N748" i="47"/>
  <c r="Q756" i="47"/>
  <c r="F759" i="47"/>
  <c r="E773" i="47"/>
  <c r="C779" i="47"/>
  <c r="P789" i="47"/>
  <c r="F789" i="47"/>
  <c r="O789" i="47"/>
  <c r="C789" i="47"/>
  <c r="Q819" i="47"/>
  <c r="B819" i="47"/>
  <c r="B824" i="47"/>
  <c r="P827" i="47"/>
  <c r="B827" i="47"/>
  <c r="F833" i="47"/>
  <c r="F835" i="47"/>
  <c r="O835" i="47"/>
  <c r="B835" i="47"/>
  <c r="B540" i="47"/>
  <c r="E565" i="47"/>
  <c r="C577" i="47"/>
  <c r="H577" i="47" s="1"/>
  <c r="C586" i="47"/>
  <c r="E586" i="47" s="1"/>
  <c r="C605" i="47"/>
  <c r="K605" i="47" s="1"/>
  <c r="F614" i="47"/>
  <c r="G622" i="47"/>
  <c r="F622" i="47"/>
  <c r="L622" i="47" s="1"/>
  <c r="O624" i="47"/>
  <c r="N634" i="47"/>
  <c r="B640" i="47"/>
  <c r="C648" i="47"/>
  <c r="B651" i="47"/>
  <c r="E656" i="47"/>
  <c r="H660" i="47"/>
  <c r="O662" i="47"/>
  <c r="I664" i="47"/>
  <c r="C669" i="47"/>
  <c r="B672" i="47"/>
  <c r="B683" i="47"/>
  <c r="C686" i="47"/>
  <c r="C690" i="47"/>
  <c r="E690" i="47" s="1"/>
  <c r="L707" i="47"/>
  <c r="I707" i="47"/>
  <c r="G711" i="47"/>
  <c r="P716" i="47"/>
  <c r="Q716" i="47" s="1"/>
  <c r="F727" i="47"/>
  <c r="O731" i="47"/>
  <c r="F779" i="47"/>
  <c r="F813" i="47"/>
  <c r="P816" i="47"/>
  <c r="O816" i="47"/>
  <c r="B816" i="47"/>
  <c r="Q824" i="47"/>
  <c r="P829" i="47"/>
  <c r="P835" i="47"/>
  <c r="Q324" i="47"/>
  <c r="B424" i="47"/>
  <c r="C427" i="47"/>
  <c r="L427" i="47" s="1"/>
  <c r="P483" i="47"/>
  <c r="H485" i="47"/>
  <c r="C540" i="47"/>
  <c r="E540" i="47" s="1"/>
  <c r="N563" i="47"/>
  <c r="K563" i="47"/>
  <c r="J563" i="47"/>
  <c r="O586" i="47"/>
  <c r="F605" i="47"/>
  <c r="B638" i="47"/>
  <c r="M638" i="47" s="1"/>
  <c r="F638" i="47"/>
  <c r="O648" i="47"/>
  <c r="P668" i="47"/>
  <c r="L668" i="47"/>
  <c r="G668" i="47"/>
  <c r="Q669" i="47"/>
  <c r="P672" i="47"/>
  <c r="Q672" i="47" s="1"/>
  <c r="O686" i="47"/>
  <c r="H711" i="47"/>
  <c r="P734" i="47"/>
  <c r="H773" i="47"/>
  <c r="L809" i="47"/>
  <c r="P846" i="47"/>
  <c r="O846" i="47"/>
  <c r="B846" i="47"/>
  <c r="B854" i="47"/>
  <c r="F854" i="47"/>
  <c r="O854" i="47"/>
  <c r="C854" i="47"/>
  <c r="L854" i="47" s="1"/>
  <c r="O653" i="47"/>
  <c r="C653" i="47"/>
  <c r="N653" i="47" s="1"/>
  <c r="B653" i="47"/>
  <c r="K668" i="47"/>
  <c r="L714" i="47"/>
  <c r="L773" i="47"/>
  <c r="C846" i="47"/>
  <c r="H846" i="47" s="1"/>
  <c r="F817" i="47"/>
  <c r="V844" i="47"/>
  <c r="V1092" i="47"/>
  <c r="V1124" i="47"/>
  <c r="V1140" i="47"/>
  <c r="L841" i="47"/>
  <c r="O845" i="47"/>
  <c r="V881" i="47"/>
  <c r="V913" i="47"/>
  <c r="V973" i="47"/>
  <c r="F710" i="47"/>
  <c r="J710" i="47" s="1"/>
  <c r="I837" i="47"/>
  <c r="I841" i="47"/>
  <c r="P565" i="47"/>
  <c r="Q565" i="47" s="1"/>
  <c r="B582" i="47"/>
  <c r="I604" i="47"/>
  <c r="I612" i="47"/>
  <c r="C696" i="47"/>
  <c r="N696" i="47" s="1"/>
  <c r="B720" i="47"/>
  <c r="C729" i="47"/>
  <c r="C752" i="47"/>
  <c r="J752" i="47" s="1"/>
  <c r="B756" i="47"/>
  <c r="B761" i="47"/>
  <c r="K761" i="47" s="1"/>
  <c r="B805" i="47"/>
  <c r="I805" i="47" s="1"/>
  <c r="C825" i="47"/>
  <c r="E825" i="47" s="1"/>
  <c r="J837" i="47"/>
  <c r="J841" i="47"/>
  <c r="B850" i="47"/>
  <c r="V991" i="47"/>
  <c r="V1223" i="47"/>
  <c r="G595" i="47"/>
  <c r="G694" i="47"/>
  <c r="J793" i="47"/>
  <c r="O825" i="47"/>
  <c r="K837" i="47"/>
  <c r="K841" i="47"/>
  <c r="I845" i="47"/>
  <c r="C849" i="47"/>
  <c r="K849" i="47" s="1"/>
  <c r="P852" i="47"/>
  <c r="M837" i="47"/>
  <c r="N841"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Q694" i="47"/>
  <c r="Q174" i="47"/>
  <c r="Q35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H27" i="47"/>
  <c r="E27" i="47"/>
  <c r="V28" i="47"/>
  <c r="N48" i="47"/>
  <c r="L51" i="47"/>
  <c r="L5" i="18"/>
  <c r="Y19" i="18"/>
  <c r="Y23" i="18"/>
  <c r="Y39" i="18"/>
  <c r="K7" i="47"/>
  <c r="H7" i="47"/>
  <c r="E7" i="47"/>
  <c r="N7" i="47"/>
  <c r="M7" i="47"/>
  <c r="V8" i="47"/>
  <c r="G11" i="47"/>
  <c r="J39" i="47"/>
  <c r="L48" i="47"/>
  <c r="Y34" i="18"/>
  <c r="Y45" i="18"/>
  <c r="I3" i="47"/>
  <c r="V40" i="47"/>
  <c r="H23" i="47"/>
  <c r="E23" i="47"/>
  <c r="M23" i="47"/>
  <c r="V24" i="47"/>
  <c r="L36" i="47"/>
  <c r="N39" i="47"/>
  <c r="B9" i="18"/>
  <c r="V48" i="47"/>
  <c r="J19" i="47"/>
  <c r="O73" i="47"/>
  <c r="C73" i="47"/>
  <c r="N73" i="47" s="1"/>
  <c r="B73" i="47"/>
  <c r="P73" i="47"/>
  <c r="F73" i="47"/>
  <c r="Y53" i="18"/>
  <c r="V11" i="47"/>
  <c r="J47" i="47"/>
  <c r="M78" i="47"/>
  <c r="Y25" i="18"/>
  <c r="Y41" i="18"/>
  <c r="G3" i="47"/>
  <c r="K19" i="47"/>
  <c r="H19" i="47"/>
  <c r="E19" i="47"/>
  <c r="N19" i="47"/>
  <c r="M19" i="47"/>
  <c r="V20" i="47"/>
  <c r="E35" i="47"/>
  <c r="N35" i="47"/>
  <c r="G52" i="47"/>
  <c r="N44" i="47"/>
  <c r="K47" i="47"/>
  <c r="H47" i="47"/>
  <c r="H52" i="47"/>
  <c r="V7" i="47"/>
  <c r="H12" i="47"/>
  <c r="J31" i="47"/>
  <c r="Y26" i="18"/>
  <c r="Y47" i="18"/>
  <c r="Y44" i="18"/>
  <c r="L12" i="47"/>
  <c r="G19" i="47"/>
  <c r="V52" i="47"/>
  <c r="Y37" i="18"/>
  <c r="N12" i="47"/>
  <c r="K15" i="47"/>
  <c r="V16" i="47"/>
  <c r="K31" i="47"/>
  <c r="H31" i="47"/>
  <c r="E31" i="47"/>
  <c r="N31" i="47"/>
  <c r="V44" i="47"/>
  <c r="Y22" i="18"/>
  <c r="Y27" i="18"/>
  <c r="N56" i="47"/>
  <c r="N8" i="47"/>
  <c r="K11" i="47"/>
  <c r="H11" i="47"/>
  <c r="E11" i="47"/>
  <c r="N11" i="47"/>
  <c r="M11" i="47"/>
  <c r="V12" i="47"/>
  <c r="V56" i="47"/>
  <c r="L55" i="47"/>
  <c r="M59" i="47"/>
  <c r="E62" i="47"/>
  <c r="B63" i="47"/>
  <c r="P64" i="47"/>
  <c r="M65" i="47"/>
  <c r="L71" i="47"/>
  <c r="F79" i="47"/>
  <c r="P93" i="47"/>
  <c r="V98" i="47"/>
  <c r="M100" i="47"/>
  <c r="E103" i="47"/>
  <c r="F112" i="47"/>
  <c r="C114" i="47"/>
  <c r="P118" i="47"/>
  <c r="I123" i="47"/>
  <c r="K124" i="47"/>
  <c r="N130" i="47"/>
  <c r="K134" i="47"/>
  <c r="H151" i="47"/>
  <c r="Y48" i="18"/>
  <c r="Q2" i="47"/>
  <c r="E5" i="47"/>
  <c r="I8" i="47"/>
  <c r="I12" i="47"/>
  <c r="I16" i="47"/>
  <c r="E17" i="47"/>
  <c r="E21" i="47"/>
  <c r="E29" i="47"/>
  <c r="I32" i="47"/>
  <c r="I36" i="47"/>
  <c r="E37" i="47"/>
  <c r="Q38" i="47"/>
  <c r="I40" i="47"/>
  <c r="E41" i="47"/>
  <c r="E49" i="47"/>
  <c r="E53" i="47"/>
  <c r="M55" i="47"/>
  <c r="N59" i="47"/>
  <c r="C63" i="47"/>
  <c r="L63" i="47" s="1"/>
  <c r="N65" i="47"/>
  <c r="H67" i="47"/>
  <c r="O82" i="47"/>
  <c r="F85" i="47"/>
  <c r="C86" i="47"/>
  <c r="F91" i="47"/>
  <c r="C92" i="47"/>
  <c r="E92" i="47" s="1"/>
  <c r="E97" i="47"/>
  <c r="N100" i="47"/>
  <c r="B105" i="47"/>
  <c r="M105" i="47" s="1"/>
  <c r="F113" i="47"/>
  <c r="N113" i="47" s="1"/>
  <c r="O114" i="47"/>
  <c r="M121" i="47"/>
  <c r="K123" i="47"/>
  <c r="M124" i="47"/>
  <c r="I128" i="47"/>
  <c r="P131" i="47"/>
  <c r="M134" i="47"/>
  <c r="V135" i="47"/>
  <c r="C137" i="47"/>
  <c r="I137" i="47" s="1"/>
  <c r="F137" i="47"/>
  <c r="J140" i="47"/>
  <c r="O143" i="47"/>
  <c r="E144" i="47"/>
  <c r="O150" i="47"/>
  <c r="P150" i="47"/>
  <c r="J151" i="47"/>
  <c r="O167" i="47"/>
  <c r="F167" i="47"/>
  <c r="C167" i="47"/>
  <c r="K167" i="47" s="1"/>
  <c r="B167" i="47"/>
  <c r="P167" i="47"/>
  <c r="J8" i="47"/>
  <c r="J12" i="47"/>
  <c r="J16" i="47"/>
  <c r="J32" i="47"/>
  <c r="J36" i="47"/>
  <c r="J40" i="47"/>
  <c r="O63" i="47"/>
  <c r="L64" i="47"/>
  <c r="J111" i="47"/>
  <c r="P116" i="47"/>
  <c r="C2" i="47"/>
  <c r="N2" i="47" s="1"/>
  <c r="G5" i="47"/>
  <c r="C6" i="47"/>
  <c r="E6" i="47" s="1"/>
  <c r="K8" i="47"/>
  <c r="C10" i="47"/>
  <c r="K12" i="47"/>
  <c r="C14" i="47"/>
  <c r="E14" i="47" s="1"/>
  <c r="K16" i="47"/>
  <c r="G17" i="47"/>
  <c r="C18" i="47"/>
  <c r="M18" i="47" s="1"/>
  <c r="G21" i="47"/>
  <c r="C22" i="47"/>
  <c r="M22" i="47" s="1"/>
  <c r="O23" i="47"/>
  <c r="C26" i="47"/>
  <c r="G29" i="47"/>
  <c r="C30" i="47"/>
  <c r="C34" i="47"/>
  <c r="N34" i="47" s="1"/>
  <c r="K36" i="47"/>
  <c r="G37" i="47"/>
  <c r="C38" i="47"/>
  <c r="E38" i="47" s="1"/>
  <c r="G41" i="47"/>
  <c r="C42" i="47"/>
  <c r="E42" i="47" s="1"/>
  <c r="C46" i="47"/>
  <c r="K48" i="47"/>
  <c r="G49" i="47"/>
  <c r="C50" i="47"/>
  <c r="N50" i="47" s="1"/>
  <c r="G53" i="47"/>
  <c r="C54" i="47"/>
  <c r="N54" i="47" s="1"/>
  <c r="O55" i="47"/>
  <c r="C58" i="47"/>
  <c r="M58" i="47" s="1"/>
  <c r="H62" i="47"/>
  <c r="B64" i="47"/>
  <c r="G64" i="47" s="1"/>
  <c r="J67" i="47"/>
  <c r="O69" i="47"/>
  <c r="V70" i="47"/>
  <c r="O71" i="47"/>
  <c r="O75" i="47"/>
  <c r="L76" i="47"/>
  <c r="C81" i="47"/>
  <c r="N81" i="47" s="1"/>
  <c r="K84" i="47"/>
  <c r="F86" i="47"/>
  <c r="C87" i="47"/>
  <c r="M87" i="47" s="1"/>
  <c r="K90" i="47"/>
  <c r="B93" i="47"/>
  <c r="P94" i="47"/>
  <c r="Q94" i="47" s="1"/>
  <c r="B99" i="47"/>
  <c r="O105" i="47"/>
  <c r="B106" i="47"/>
  <c r="V107" i="47"/>
  <c r="F114" i="47"/>
  <c r="B116" i="47"/>
  <c r="L117" i="47"/>
  <c r="V119" i="47"/>
  <c r="P129" i="47"/>
  <c r="V131" i="47"/>
  <c r="P136" i="47"/>
  <c r="Q136" i="47" s="1"/>
  <c r="F136" i="47"/>
  <c r="H136" i="47" s="1"/>
  <c r="K136" i="47"/>
  <c r="I136" i="47"/>
  <c r="O137" i="47"/>
  <c r="C143" i="47"/>
  <c r="H144" i="47"/>
  <c r="C150" i="47"/>
  <c r="I150" i="47" s="1"/>
  <c r="O153" i="47"/>
  <c r="P153" i="47"/>
  <c r="I153" i="47"/>
  <c r="F153" i="47"/>
  <c r="N153" i="47" s="1"/>
  <c r="P77" i="47"/>
  <c r="M84" i="47"/>
  <c r="L88" i="47"/>
  <c r="F92" i="47"/>
  <c r="C93" i="47"/>
  <c r="H93" i="47" s="1"/>
  <c r="C99" i="47"/>
  <c r="E105" i="47"/>
  <c r="C106" i="47"/>
  <c r="I106" i="47" s="1"/>
  <c r="O107" i="47"/>
  <c r="F107" i="47"/>
  <c r="N107" i="47" s="1"/>
  <c r="I113" i="47"/>
  <c r="C116" i="47"/>
  <c r="H118" i="47"/>
  <c r="J118" i="47"/>
  <c r="P123" i="47"/>
  <c r="M128" i="47"/>
  <c r="N142" i="47"/>
  <c r="L142" i="47"/>
  <c r="Q3" i="47"/>
  <c r="I5" i="47"/>
  <c r="M8" i="47"/>
  <c r="M12" i="47"/>
  <c r="M16" i="47"/>
  <c r="I17" i="47"/>
  <c r="I21" i="47"/>
  <c r="Q23" i="47"/>
  <c r="M28" i="47"/>
  <c r="I29" i="47"/>
  <c r="M32" i="47"/>
  <c r="M36" i="47"/>
  <c r="I37" i="47"/>
  <c r="M40" i="47"/>
  <c r="I41" i="47"/>
  <c r="M44" i="47"/>
  <c r="M48" i="47"/>
  <c r="Q55" i="47"/>
  <c r="M56" i="47"/>
  <c r="B59" i="47"/>
  <c r="I59" i="47" s="1"/>
  <c r="P60" i="47"/>
  <c r="H65" i="47"/>
  <c r="L67" i="47"/>
  <c r="F69" i="47"/>
  <c r="N69" i="47" s="1"/>
  <c r="F75" i="47"/>
  <c r="L75" i="47" s="1"/>
  <c r="N78" i="47"/>
  <c r="B82" i="47"/>
  <c r="I82" i="47" s="1"/>
  <c r="N84" i="47"/>
  <c r="B88" i="47"/>
  <c r="G88" i="47" s="1"/>
  <c r="P89" i="47"/>
  <c r="O93" i="47"/>
  <c r="V94" i="47"/>
  <c r="Q99" i="47"/>
  <c r="L100" i="47"/>
  <c r="F105" i="47"/>
  <c r="N105" i="47" s="1"/>
  <c r="O106" i="47"/>
  <c r="B107" i="47"/>
  <c r="M107" i="47" s="1"/>
  <c r="P108" i="47"/>
  <c r="Q108" i="47" s="1"/>
  <c r="C108" i="47"/>
  <c r="O116" i="47"/>
  <c r="B118" i="47"/>
  <c r="G118" i="47" s="1"/>
  <c r="O119" i="47"/>
  <c r="E119" i="47"/>
  <c r="G119" i="47"/>
  <c r="P120" i="47"/>
  <c r="B120" i="47"/>
  <c r="M120" i="47" s="1"/>
  <c r="O120" i="47"/>
  <c r="B142" i="47"/>
  <c r="G142" i="47" s="1"/>
  <c r="F150" i="47"/>
  <c r="O135" i="47"/>
  <c r="B109" i="47"/>
  <c r="O131" i="47"/>
  <c r="C131" i="47"/>
  <c r="F131" i="47"/>
  <c r="B135" i="47"/>
  <c r="P141" i="47"/>
  <c r="P56" i="47"/>
  <c r="B60" i="47"/>
  <c r="V66" i="47"/>
  <c r="I75" i="47"/>
  <c r="C77" i="47"/>
  <c r="M77" i="47" s="1"/>
  <c r="F82" i="47"/>
  <c r="C83" i="47"/>
  <c r="B89" i="47"/>
  <c r="E94" i="47"/>
  <c r="B95" i="47"/>
  <c r="O102" i="47"/>
  <c r="I105" i="47"/>
  <c r="G107" i="47"/>
  <c r="C109" i="47"/>
  <c r="L109" i="47" s="1"/>
  <c r="E118" i="47"/>
  <c r="P124" i="47"/>
  <c r="G124" i="47"/>
  <c r="L124" i="47"/>
  <c r="I124" i="47"/>
  <c r="O125" i="47"/>
  <c r="F125" i="47"/>
  <c r="F130" i="47"/>
  <c r="J130" i="47" s="1"/>
  <c r="I130" i="47"/>
  <c r="B131" i="47"/>
  <c r="C135" i="47"/>
  <c r="B141" i="47"/>
  <c r="E142" i="47"/>
  <c r="F146" i="47"/>
  <c r="C146" i="47"/>
  <c r="B146" i="47"/>
  <c r="L152" i="47"/>
  <c r="K152" i="47"/>
  <c r="J152" i="47"/>
  <c r="I152" i="47"/>
  <c r="H152" i="47"/>
  <c r="F157" i="47"/>
  <c r="O157" i="47"/>
  <c r="C157" i="47"/>
  <c r="J157" i="47" s="1"/>
  <c r="B157" i="47"/>
  <c r="I178" i="47"/>
  <c r="N178" i="47"/>
  <c r="L178" i="47"/>
  <c r="K178" i="47"/>
  <c r="Q4" i="47"/>
  <c r="M5" i="47"/>
  <c r="Q12" i="47"/>
  <c r="M17" i="47"/>
  <c r="M21" i="47"/>
  <c r="M29" i="47"/>
  <c r="E55" i="47"/>
  <c r="C60" i="47"/>
  <c r="E65" i="47"/>
  <c r="O77" i="47"/>
  <c r="O83" i="47"/>
  <c r="L84" i="47"/>
  <c r="C89" i="47"/>
  <c r="E89" i="47" s="1"/>
  <c r="C95" i="47"/>
  <c r="E95" i="47" s="1"/>
  <c r="E100" i="47"/>
  <c r="P102" i="47"/>
  <c r="Q102" i="47" s="1"/>
  <c r="H107" i="47"/>
  <c r="O109" i="47"/>
  <c r="O123" i="47"/>
  <c r="J123" i="47"/>
  <c r="L123" i="47"/>
  <c r="C141" i="47"/>
  <c r="E141" i="47" s="1"/>
  <c r="I162" i="47"/>
  <c r="N162" i="47"/>
  <c r="M162" i="47"/>
  <c r="G162" i="47"/>
  <c r="Y51" i="18"/>
  <c r="B4" i="47"/>
  <c r="B8" i="47"/>
  <c r="G8" i="47" s="1"/>
  <c r="B12" i="47"/>
  <c r="G12" i="47" s="1"/>
  <c r="B16" i="47"/>
  <c r="G16" i="47" s="1"/>
  <c r="B20" i="47"/>
  <c r="B24" i="47"/>
  <c r="B28" i="47"/>
  <c r="K28" i="47" s="1"/>
  <c r="B32" i="47"/>
  <c r="K32" i="47" s="1"/>
  <c r="B36" i="47"/>
  <c r="G36" i="47" s="1"/>
  <c r="B40" i="47"/>
  <c r="G40" i="47" s="1"/>
  <c r="B44" i="47"/>
  <c r="I44" i="47" s="1"/>
  <c r="B48" i="47"/>
  <c r="I48" i="47" s="1"/>
  <c r="B52" i="47"/>
  <c r="K52" i="47" s="1"/>
  <c r="B56" i="47"/>
  <c r="G56" i="47" s="1"/>
  <c r="G59" i="47"/>
  <c r="O60" i="47"/>
  <c r="C66" i="47"/>
  <c r="K66" i="47" s="1"/>
  <c r="L69" i="47"/>
  <c r="B78" i="47"/>
  <c r="I78" i="47" s="1"/>
  <c r="B84" i="47"/>
  <c r="G84" i="47" s="1"/>
  <c r="O89" i="47"/>
  <c r="V90" i="47"/>
  <c r="O95" i="47"/>
  <c r="L96" i="47"/>
  <c r="I107" i="47"/>
  <c r="O111" i="47"/>
  <c r="K111" i="47"/>
  <c r="I119" i="47"/>
  <c r="H120" i="47"/>
  <c r="B123" i="47"/>
  <c r="G123" i="47" s="1"/>
  <c r="O127" i="47"/>
  <c r="C127" i="47"/>
  <c r="G127" i="47" s="1"/>
  <c r="B129" i="47"/>
  <c r="F135" i="47"/>
  <c r="O141" i="47"/>
  <c r="J142" i="47"/>
  <c r="E152" i="47"/>
  <c r="I174" i="47"/>
  <c r="E174" i="47"/>
  <c r="N174" i="47"/>
  <c r="M174" i="47"/>
  <c r="L174" i="47"/>
  <c r="K174" i="47"/>
  <c r="J174" i="47"/>
  <c r="P112" i="47"/>
  <c r="C129" i="47"/>
  <c r="E134" i="47"/>
  <c r="O139" i="47"/>
  <c r="C139" i="47"/>
  <c r="G139" i="47" s="1"/>
  <c r="B139" i="47"/>
  <c r="P139" i="47"/>
  <c r="M142" i="47"/>
  <c r="V143" i="47"/>
  <c r="E162" i="47"/>
  <c r="O8" i="47"/>
  <c r="O12" i="47"/>
  <c r="O16" i="47"/>
  <c r="O24" i="47"/>
  <c r="O28" i="47"/>
  <c r="O32" i="47"/>
  <c r="O36" i="47"/>
  <c r="O40" i="47"/>
  <c r="O48" i="47"/>
  <c r="O52" i="47"/>
  <c r="O56" i="47"/>
  <c r="F60" i="47"/>
  <c r="C61" i="47"/>
  <c r="K61" i="47" s="1"/>
  <c r="K64" i="47"/>
  <c r="I65" i="47"/>
  <c r="F66" i="47"/>
  <c r="E78" i="47"/>
  <c r="B79" i="47"/>
  <c r="O84" i="47"/>
  <c r="F89" i="47"/>
  <c r="F95" i="47"/>
  <c r="H100" i="47"/>
  <c r="B102" i="47"/>
  <c r="B112" i="47"/>
  <c r="K119" i="47"/>
  <c r="J120" i="47"/>
  <c r="E123" i="47"/>
  <c r="O129" i="47"/>
  <c r="E130" i="47"/>
  <c r="F141" i="47"/>
  <c r="P142" i="47"/>
  <c r="B145" i="47"/>
  <c r="Q145" i="47"/>
  <c r="F165" i="47"/>
  <c r="O165" i="47"/>
  <c r="B165" i="47"/>
  <c r="P165" i="47"/>
  <c r="E172" i="47"/>
  <c r="L172" i="47"/>
  <c r="K172" i="47"/>
  <c r="J172" i="47"/>
  <c r="I7" i="47"/>
  <c r="E8" i="47"/>
  <c r="I11" i="47"/>
  <c r="E12" i="47"/>
  <c r="E16" i="47"/>
  <c r="I19" i="47"/>
  <c r="I23" i="47"/>
  <c r="E28" i="47"/>
  <c r="Q29" i="47"/>
  <c r="I31" i="47"/>
  <c r="E32" i="47"/>
  <c r="E36" i="47"/>
  <c r="Q37" i="47"/>
  <c r="I39" i="47"/>
  <c r="E40" i="47"/>
  <c r="E44" i="47"/>
  <c r="E48" i="47"/>
  <c r="E52" i="47"/>
  <c r="E56" i="47"/>
  <c r="J59" i="47"/>
  <c r="O61" i="47"/>
  <c r="M64" i="47"/>
  <c r="J65" i="47"/>
  <c r="F72" i="47"/>
  <c r="N75" i="47"/>
  <c r="F78" i="47"/>
  <c r="J78" i="47" s="1"/>
  <c r="C79" i="47"/>
  <c r="E79" i="47" s="1"/>
  <c r="E84" i="47"/>
  <c r="B85" i="47"/>
  <c r="P86" i="47"/>
  <c r="Q86" i="47" s="1"/>
  <c r="J88" i="47"/>
  <c r="B91" i="47"/>
  <c r="P92" i="47"/>
  <c r="Q92" i="47" s="1"/>
  <c r="J94" i="47"/>
  <c r="H97" i="47"/>
  <c r="I100" i="47"/>
  <c r="F101" i="47"/>
  <c r="C102" i="47"/>
  <c r="K102" i="47" s="1"/>
  <c r="O103" i="47"/>
  <c r="L107" i="47"/>
  <c r="F110" i="47"/>
  <c r="C112" i="47"/>
  <c r="E113" i="47"/>
  <c r="M118" i="47"/>
  <c r="L119" i="47"/>
  <c r="K120" i="47"/>
  <c r="H121"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P69" i="47"/>
  <c r="V74" i="47"/>
  <c r="M76" i="47"/>
  <c r="Q79" i="47"/>
  <c r="L82" i="47"/>
  <c r="F84" i="47"/>
  <c r="H84" i="47" s="1"/>
  <c r="C85" i="47"/>
  <c r="F90" i="47"/>
  <c r="L90" i="47" s="1"/>
  <c r="C91" i="47"/>
  <c r="B97" i="47"/>
  <c r="I97" i="47" s="1"/>
  <c r="P98" i="47"/>
  <c r="Q98" i="47" s="1"/>
  <c r="J100" i="47"/>
  <c r="B103" i="47"/>
  <c r="P104" i="47"/>
  <c r="F111" i="47"/>
  <c r="O112" i="47"/>
  <c r="B113" i="47"/>
  <c r="M113" i="47" s="1"/>
  <c r="N118" i="47"/>
  <c r="M119" i="47"/>
  <c r="L120" i="47"/>
  <c r="J125" i="47"/>
  <c r="F129" i="47"/>
  <c r="I134" i="47"/>
  <c r="Q138" i="47"/>
  <c r="F138" i="47"/>
  <c r="C138" i="47"/>
  <c r="B138" i="47"/>
  <c r="F145" i="47"/>
  <c r="N152" i="47"/>
  <c r="G170" i="47"/>
  <c r="V86" i="47"/>
  <c r="Q91" i="47"/>
  <c r="F102" i="47"/>
  <c r="P106" i="47"/>
  <c r="B114" i="47"/>
  <c r="P135" i="47"/>
  <c r="J144" i="47"/>
  <c r="I144" i="47"/>
  <c r="G144" i="47"/>
  <c r="G154" i="47"/>
  <c r="E154" i="47"/>
  <c r="O203" i="47"/>
  <c r="C203" i="47"/>
  <c r="J206" i="47"/>
  <c r="O211" i="47"/>
  <c r="C211" i="47"/>
  <c r="I211" i="47" s="1"/>
  <c r="Q218" i="47"/>
  <c r="N269" i="47"/>
  <c r="K269" i="47"/>
  <c r="J269" i="47"/>
  <c r="I269" i="47"/>
  <c r="H269" i="47"/>
  <c r="G269" i="47"/>
  <c r="G276" i="47"/>
  <c r="V115" i="47"/>
  <c r="L121" i="47"/>
  <c r="N128" i="47"/>
  <c r="N134" i="47"/>
  <c r="M140" i="47"/>
  <c r="V147" i="47"/>
  <c r="P163" i="47"/>
  <c r="M166" i="47"/>
  <c r="K168" i="47"/>
  <c r="I171" i="47"/>
  <c r="I177" i="47"/>
  <c r="J180" i="47"/>
  <c r="L182" i="47"/>
  <c r="K184" i="47"/>
  <c r="M186" i="47"/>
  <c r="N188" i="47"/>
  <c r="M194" i="47"/>
  <c r="I194" i="47"/>
  <c r="G194" i="47"/>
  <c r="H197" i="47"/>
  <c r="P199" i="47"/>
  <c r="B203" i="47"/>
  <c r="K206" i="47"/>
  <c r="P207" i="47"/>
  <c r="B211" i="47"/>
  <c r="I224" i="47"/>
  <c r="G224" i="47"/>
  <c r="E224" i="47"/>
  <c r="N224" i="47"/>
  <c r="L133" i="47"/>
  <c r="E147" i="47"/>
  <c r="O147" i="47"/>
  <c r="L151" i="47"/>
  <c r="E159" i="47"/>
  <c r="O159" i="47"/>
  <c r="I160" i="47"/>
  <c r="N166" i="47"/>
  <c r="L168" i="47"/>
  <c r="J171" i="47"/>
  <c r="I173" i="47"/>
  <c r="N181" i="47"/>
  <c r="L184" i="47"/>
  <c r="P187" i="47"/>
  <c r="I197" i="47"/>
  <c r="L198" i="47"/>
  <c r="F203" i="47"/>
  <c r="L206" i="47"/>
  <c r="F211" i="47"/>
  <c r="J234" i="47"/>
  <c r="E269" i="47"/>
  <c r="N281" i="47"/>
  <c r="K281" i="47"/>
  <c r="J281" i="47"/>
  <c r="I281" i="47"/>
  <c r="H281" i="47"/>
  <c r="G281" i="47"/>
  <c r="E281" i="47"/>
  <c r="N286" i="47"/>
  <c r="M151" i="47"/>
  <c r="P185" i="47"/>
  <c r="O191" i="47"/>
  <c r="C191" i="47"/>
  <c r="J197" i="47"/>
  <c r="O223" i="47"/>
  <c r="C223" i="47"/>
  <c r="N223" i="47" s="1"/>
  <c r="B223" i="47"/>
  <c r="B274" i="47"/>
  <c r="P274" i="47"/>
  <c r="F274" i="47"/>
  <c r="N151" i="47"/>
  <c r="B161" i="47"/>
  <c r="N168" i="47"/>
  <c r="L171" i="47"/>
  <c r="N173" i="47"/>
  <c r="M180" i="47"/>
  <c r="P181" i="47"/>
  <c r="Q181" i="47" s="1"/>
  <c r="P183" i="47"/>
  <c r="N184" i="47"/>
  <c r="B191" i="47"/>
  <c r="K196" i="47"/>
  <c r="M202" i="47"/>
  <c r="I202" i="47"/>
  <c r="G202" i="47"/>
  <c r="I216" i="47"/>
  <c r="F223" i="47"/>
  <c r="H224" i="47"/>
  <c r="N253" i="47"/>
  <c r="J253" i="47"/>
  <c r="C274" i="47"/>
  <c r="E274" i="47" s="1"/>
  <c r="O279" i="47"/>
  <c r="P279" i="47"/>
  <c r="F279" i="47"/>
  <c r="J284" i="47"/>
  <c r="E284" i="47"/>
  <c r="N284" i="47"/>
  <c r="L284" i="47"/>
  <c r="K284" i="47"/>
  <c r="I284" i="47"/>
  <c r="H284" i="47"/>
  <c r="G284" i="47"/>
  <c r="H134" i="47"/>
  <c r="P140" i="47"/>
  <c r="E158" i="47"/>
  <c r="C161" i="47"/>
  <c r="E161" i="47" s="1"/>
  <c r="M163" i="47"/>
  <c r="O163" i="47"/>
  <c r="N171" i="47"/>
  <c r="N180" i="47"/>
  <c r="E189" i="47"/>
  <c r="F191" i="47"/>
  <c r="L196" i="47"/>
  <c r="I208" i="47"/>
  <c r="J224" i="47"/>
  <c r="G228" i="47"/>
  <c r="E228" i="47"/>
  <c r="N228" i="47"/>
  <c r="F241" i="47"/>
  <c r="C241" i="47"/>
  <c r="E241" i="47" s="1"/>
  <c r="P241" i="47"/>
  <c r="V242" i="47"/>
  <c r="O255" i="47"/>
  <c r="F255" i="47"/>
  <c r="C255" i="47"/>
  <c r="B255" i="47"/>
  <c r="O274" i="47"/>
  <c r="B279" i="47"/>
  <c r="I188" i="47"/>
  <c r="M190" i="47"/>
  <c r="G190" i="47"/>
  <c r="G216" i="47"/>
  <c r="E216" i="47"/>
  <c r="F246" i="47"/>
  <c r="C246" i="47"/>
  <c r="B246" i="47"/>
  <c r="F250" i="47"/>
  <c r="B250" i="47"/>
  <c r="P250" i="47"/>
  <c r="C279" i="47"/>
  <c r="H192" i="47"/>
  <c r="N196" i="47"/>
  <c r="G200" i="47"/>
  <c r="E200" i="47"/>
  <c r="G208" i="47"/>
  <c r="E208" i="47"/>
  <c r="Q215" i="47"/>
  <c r="C215" i="47"/>
  <c r="L215" i="47" s="1"/>
  <c r="L224" i="47"/>
  <c r="O227" i="47"/>
  <c r="C227" i="47"/>
  <c r="N227" i="47" s="1"/>
  <c r="B227" i="47"/>
  <c r="I232" i="47"/>
  <c r="C250" i="47"/>
  <c r="M270" i="47"/>
  <c r="I270" i="47"/>
  <c r="P270" i="47"/>
  <c r="Q270" i="47" s="1"/>
  <c r="O270" i="47"/>
  <c r="K270" i="47"/>
  <c r="J270" i="47"/>
  <c r="G270" i="47"/>
  <c r="F270" i="47"/>
  <c r="N270" i="47" s="1"/>
  <c r="E270" i="47"/>
  <c r="N277" i="47"/>
  <c r="K277" i="47"/>
  <c r="J277" i="47"/>
  <c r="I277" i="47"/>
  <c r="H277" i="47"/>
  <c r="G277" i="47"/>
  <c r="E277" i="47"/>
  <c r="O187" i="47"/>
  <c r="C187" i="47"/>
  <c r="M187" i="47" s="1"/>
  <c r="E190" i="47"/>
  <c r="O199" i="47"/>
  <c r="C199" i="47"/>
  <c r="C207" i="47"/>
  <c r="J207" i="47" s="1"/>
  <c r="M224" i="47"/>
  <c r="I236" i="47"/>
  <c r="N268" i="47"/>
  <c r="L268" i="47"/>
  <c r="J268" i="47"/>
  <c r="I268" i="47"/>
  <c r="E151" i="47"/>
  <c r="O151" i="47"/>
  <c r="K158" i="47"/>
  <c r="I180" i="47"/>
  <c r="E181" i="47"/>
  <c r="M181" i="47"/>
  <c r="O183" i="47"/>
  <c r="C183" i="47"/>
  <c r="J183" i="47" s="1"/>
  <c r="B185" i="47"/>
  <c r="B187" i="47"/>
  <c r="B199" i="47"/>
  <c r="P203" i="47"/>
  <c r="B207" i="47"/>
  <c r="P211" i="47"/>
  <c r="G232" i="47"/>
  <c r="E232" i="47"/>
  <c r="N232" i="47"/>
  <c r="O275" i="47"/>
  <c r="P275" i="47"/>
  <c r="F275" i="47"/>
  <c r="B282" i="47"/>
  <c r="P282" i="47"/>
  <c r="F282" i="47"/>
  <c r="O282" i="47"/>
  <c r="B151" i="47"/>
  <c r="I151" i="47" s="1"/>
  <c r="L158" i="47"/>
  <c r="B169" i="47"/>
  <c r="E177" i="47"/>
  <c r="K177" i="47"/>
  <c r="Q179" i="47"/>
  <c r="C179" i="47"/>
  <c r="K179" i="47" s="1"/>
  <c r="B181" i="47"/>
  <c r="G181" i="47" s="1"/>
  <c r="B183" i="47"/>
  <c r="C185" i="47"/>
  <c r="J185" i="47" s="1"/>
  <c r="G186" i="47"/>
  <c r="F187" i="47"/>
  <c r="J190" i="47"/>
  <c r="F199" i="47"/>
  <c r="G236" i="47"/>
  <c r="E236" i="47"/>
  <c r="N236" i="47"/>
  <c r="B275" i="47"/>
  <c r="C282" i="47"/>
  <c r="E282" i="47" s="1"/>
  <c r="C169" i="47"/>
  <c r="M169" i="47" s="1"/>
  <c r="M171" i="47"/>
  <c r="E171" i="47"/>
  <c r="E173" i="47"/>
  <c r="M173" i="47"/>
  <c r="L173" i="47"/>
  <c r="K173" i="47"/>
  <c r="C175" i="47"/>
  <c r="N175" i="47" s="1"/>
  <c r="I182" i="47"/>
  <c r="G182" i="47"/>
  <c r="G188" i="47"/>
  <c r="K190" i="47"/>
  <c r="M192" i="47"/>
  <c r="E197" i="47"/>
  <c r="J200" i="47"/>
  <c r="N202" i="47"/>
  <c r="J208" i="47"/>
  <c r="N210" i="47"/>
  <c r="I220" i="47"/>
  <c r="J222" i="47"/>
  <c r="P223" i="47"/>
  <c r="M226" i="47"/>
  <c r="C231" i="47"/>
  <c r="B231" i="47"/>
  <c r="H243" i="47"/>
  <c r="K258" i="47"/>
  <c r="J258" i="47"/>
  <c r="G258" i="47"/>
  <c r="E258" i="47"/>
  <c r="Q266" i="47"/>
  <c r="G268" i="47"/>
  <c r="C275" i="47"/>
  <c r="J280" i="47"/>
  <c r="M280" i="47"/>
  <c r="L280" i="47"/>
  <c r="K280" i="47"/>
  <c r="M206" i="47"/>
  <c r="G206" i="47"/>
  <c r="E180" i="47"/>
  <c r="F181" i="47"/>
  <c r="L181" i="47" s="1"/>
  <c r="E182" i="47"/>
  <c r="J188" i="47"/>
  <c r="N190" i="47"/>
  <c r="P191" i="47"/>
  <c r="L208" i="47"/>
  <c r="M216" i="47"/>
  <c r="G220" i="47"/>
  <c r="E220" i="47"/>
  <c r="N220" i="47"/>
  <c r="J232" i="47"/>
  <c r="F235" i="47"/>
  <c r="O235" i="47"/>
  <c r="C235" i="47"/>
  <c r="B235" i="47"/>
  <c r="H236" i="47"/>
  <c r="F239" i="47"/>
  <c r="Q239" i="47"/>
  <c r="C239" i="47"/>
  <c r="B239" i="47"/>
  <c r="P245" i="47"/>
  <c r="F245" i="47"/>
  <c r="O245" i="47"/>
  <c r="P254" i="47"/>
  <c r="L254" i="47"/>
  <c r="J254" i="47"/>
  <c r="F254" i="47"/>
  <c r="N254" i="47" s="1"/>
  <c r="E254" i="47"/>
  <c r="O254" i="47"/>
  <c r="Q173" i="47"/>
  <c r="F177" i="47"/>
  <c r="J177" i="47" s="1"/>
  <c r="G184" i="47"/>
  <c r="K188" i="47"/>
  <c r="O195" i="47"/>
  <c r="C195" i="47"/>
  <c r="M200" i="47"/>
  <c r="E206" i="47"/>
  <c r="M208" i="47"/>
  <c r="N216" i="47"/>
  <c r="O219" i="47"/>
  <c r="C219" i="47"/>
  <c r="N222" i="47"/>
  <c r="K232" i="47"/>
  <c r="Q242" i="47"/>
  <c r="C242" i="47"/>
  <c r="L242" i="47" s="1"/>
  <c r="B242" i="47"/>
  <c r="B245" i="47"/>
  <c r="Q251" i="47"/>
  <c r="F251" i="47"/>
  <c r="C251" i="47"/>
  <c r="B251" i="47"/>
  <c r="B254" i="47"/>
  <c r="M254" i="47" s="1"/>
  <c r="E271" i="47"/>
  <c r="O271" i="47"/>
  <c r="P271" i="47"/>
  <c r="J271" i="47"/>
  <c r="F271" i="47"/>
  <c r="N271" i="47" s="1"/>
  <c r="B278" i="47"/>
  <c r="P278" i="47"/>
  <c r="Q278" i="47" s="1"/>
  <c r="O278" i="47"/>
  <c r="F278" i="47"/>
  <c r="O283" i="47"/>
  <c r="P283" i="47"/>
  <c r="F283" i="47"/>
  <c r="C283" i="47"/>
  <c r="P115" i="47"/>
  <c r="P121" i="47"/>
  <c r="L128" i="47"/>
  <c r="O133" i="47"/>
  <c r="L134" i="47"/>
  <c r="K140" i="47"/>
  <c r="P147" i="47"/>
  <c r="M155" i="47"/>
  <c r="E155" i="47"/>
  <c r="O155" i="47"/>
  <c r="P161" i="47"/>
  <c r="K166" i="47"/>
  <c r="G171" i="47"/>
  <c r="F173" i="47"/>
  <c r="H173" i="47" s="1"/>
  <c r="J182" i="47"/>
  <c r="B195" i="47"/>
  <c r="N200" i="47"/>
  <c r="G204" i="47"/>
  <c r="E204" i="47"/>
  <c r="N208" i="47"/>
  <c r="G212" i="47"/>
  <c r="J214" i="47"/>
  <c r="B219" i="47"/>
  <c r="J226" i="47"/>
  <c r="P227" i="47"/>
  <c r="L232" i="47"/>
  <c r="K236" i="47"/>
  <c r="C245" i="47"/>
  <c r="N258" i="47"/>
  <c r="N267" i="47"/>
  <c r="J267" i="47"/>
  <c r="B271" i="47"/>
  <c r="I271" i="47" s="1"/>
  <c r="C278" i="47"/>
  <c r="B283" i="47"/>
  <c r="J288" i="47"/>
  <c r="E288" i="47"/>
  <c r="K300" i="47"/>
  <c r="F319" i="47"/>
  <c r="N322" i="47"/>
  <c r="P351" i="47"/>
  <c r="F351" i="47"/>
  <c r="O351" i="47"/>
  <c r="C351" i="47"/>
  <c r="E290" i="47"/>
  <c r="E293" i="47"/>
  <c r="L300" i="47"/>
  <c r="P303" i="47"/>
  <c r="I308" i="47"/>
  <c r="G308" i="47"/>
  <c r="E308" i="47"/>
  <c r="C329" i="47"/>
  <c r="B329" i="47"/>
  <c r="N339" i="47"/>
  <c r="L339" i="47"/>
  <c r="G339" i="47"/>
  <c r="E339" i="47"/>
  <c r="E286" i="47"/>
  <c r="F287" i="47"/>
  <c r="E289" i="47"/>
  <c r="G291" i="47"/>
  <c r="G293" i="47"/>
  <c r="H295" i="47"/>
  <c r="M300" i="47"/>
  <c r="P302" i="47"/>
  <c r="O307" i="47"/>
  <c r="E318" i="47"/>
  <c r="O329" i="47"/>
  <c r="E336" i="47"/>
  <c r="V337" i="47"/>
  <c r="P259" i="47"/>
  <c r="F286" i="47"/>
  <c r="L286" i="47" s="1"/>
  <c r="G288" i="47"/>
  <c r="G289" i="47"/>
  <c r="H291" i="47"/>
  <c r="H293" i="47"/>
  <c r="P355" i="47"/>
  <c r="O355" i="47"/>
  <c r="C355" i="47"/>
  <c r="B355" i="47"/>
  <c r="K189" i="47"/>
  <c r="K193" i="47"/>
  <c r="K197" i="47"/>
  <c r="K201" i="47"/>
  <c r="K205" i="47"/>
  <c r="K209" i="47"/>
  <c r="G210" i="47"/>
  <c r="G214" i="47"/>
  <c r="G226" i="47"/>
  <c r="G234" i="47"/>
  <c r="G238" i="47"/>
  <c r="E247" i="47"/>
  <c r="O247" i="47"/>
  <c r="P249" i="47"/>
  <c r="G253" i="47"/>
  <c r="L264" i="47"/>
  <c r="J265" i="47"/>
  <c r="H288" i="47"/>
  <c r="H289" i="47"/>
  <c r="J290" i="47"/>
  <c r="J291" i="47"/>
  <c r="I293" i="47"/>
  <c r="C307" i="47"/>
  <c r="H308" i="47"/>
  <c r="P311" i="47"/>
  <c r="O315" i="47"/>
  <c r="G318" i="47"/>
  <c r="O323" i="47"/>
  <c r="F329"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L201" i="47"/>
  <c r="H202" i="47"/>
  <c r="P204" i="47"/>
  <c r="L205" i="47"/>
  <c r="H206" i="47"/>
  <c r="P208" i="47"/>
  <c r="L209" i="47"/>
  <c r="H210" i="47"/>
  <c r="P212" i="47"/>
  <c r="P216" i="47"/>
  <c r="H218" i="47"/>
  <c r="P220" i="47"/>
  <c r="Q220" i="47" s="1"/>
  <c r="H222" i="47"/>
  <c r="P224" i="47"/>
  <c r="H226" i="47"/>
  <c r="P228" i="47"/>
  <c r="P232" i="47"/>
  <c r="H234" i="47"/>
  <c r="P236" i="47"/>
  <c r="B247" i="47"/>
  <c r="I247" i="47" s="1"/>
  <c r="H253" i="47"/>
  <c r="M257" i="47"/>
  <c r="L257" i="47"/>
  <c r="V259" i="47"/>
  <c r="P262" i="47"/>
  <c r="K265" i="47"/>
  <c r="L267" i="47"/>
  <c r="I288" i="47"/>
  <c r="I289" i="47"/>
  <c r="K290" i="47"/>
  <c r="K291" i="47"/>
  <c r="J293" i="47"/>
  <c r="L295" i="47"/>
  <c r="P299" i="47"/>
  <c r="F307" i="47"/>
  <c r="K308" i="47"/>
  <c r="B315" i="47"/>
  <c r="J318" i="47"/>
  <c r="B323" i="47"/>
  <c r="P328" i="47"/>
  <c r="N328" i="47"/>
  <c r="M328" i="47"/>
  <c r="J328" i="47"/>
  <c r="F328" i="47"/>
  <c r="H328" i="47" s="1"/>
  <c r="E328" i="47"/>
  <c r="P331" i="47"/>
  <c r="F331" i="47"/>
  <c r="O331" i="47"/>
  <c r="B331" i="47"/>
  <c r="J339" i="47"/>
  <c r="P345" i="47"/>
  <c r="F345" i="47"/>
  <c r="O345" i="47"/>
  <c r="C345" i="47"/>
  <c r="I154" i="47"/>
  <c r="I186" i="47"/>
  <c r="M189" i="47"/>
  <c r="I190" i="47"/>
  <c r="M193" i="47"/>
  <c r="M197" i="47"/>
  <c r="M201" i="47"/>
  <c r="M205" i="47"/>
  <c r="I206" i="47"/>
  <c r="M209" i="47"/>
  <c r="I210" i="47"/>
  <c r="I214" i="47"/>
  <c r="I222" i="47"/>
  <c r="I226" i="47"/>
  <c r="I230" i="47"/>
  <c r="I234" i="47"/>
  <c r="L243" i="47"/>
  <c r="M258" i="47"/>
  <c r="H258" i="47"/>
  <c r="N264" i="47"/>
  <c r="K288" i="47"/>
  <c r="L291" i="47"/>
  <c r="L308" i="47"/>
  <c r="V311" i="47"/>
  <c r="C315" i="47"/>
  <c r="C323" i="47"/>
  <c r="P335" i="47"/>
  <c r="Q335" i="47" s="1"/>
  <c r="C335" i="47"/>
  <c r="B335" i="47"/>
  <c r="O335" i="47"/>
  <c r="K339" i="47"/>
  <c r="O342" i="47"/>
  <c r="F342" i="47"/>
  <c r="C342" i="47"/>
  <c r="M342" i="47" s="1"/>
  <c r="P342" i="47"/>
  <c r="B345" i="47"/>
  <c r="V351" i="47"/>
  <c r="M249" i="47"/>
  <c r="L249" i="47"/>
  <c r="O259" i="47"/>
  <c r="L288" i="47"/>
  <c r="K289" i="47"/>
  <c r="V299" i="47"/>
  <c r="E304" i="47"/>
  <c r="V343" i="47"/>
  <c r="N363" i="47"/>
  <c r="M288" i="47"/>
  <c r="B302" i="47"/>
  <c r="P329" i="47"/>
  <c r="L363" i="47"/>
  <c r="J363" i="47"/>
  <c r="C259" i="47"/>
  <c r="N288" i="47"/>
  <c r="C302" i="47"/>
  <c r="C303" i="47"/>
  <c r="K303" i="47" s="1"/>
  <c r="E314" i="47"/>
  <c r="G328" i="47"/>
  <c r="F335" i="47"/>
  <c r="Q225" i="47"/>
  <c r="Q237" i="47"/>
  <c r="O249" i="47"/>
  <c r="V251" i="47"/>
  <c r="F259" i="47"/>
  <c r="B262" i="47"/>
  <c r="M262" i="47" s="1"/>
  <c r="O263" i="47"/>
  <c r="V295" i="47"/>
  <c r="O302" i="47"/>
  <c r="F303" i="47"/>
  <c r="I312" i="47"/>
  <c r="G312" i="47"/>
  <c r="E312" i="47"/>
  <c r="E322" i="47"/>
  <c r="J347" i="47"/>
  <c r="N347" i="47"/>
  <c r="M356" i="47"/>
  <c r="J356" i="47"/>
  <c r="E356" i="47"/>
  <c r="H363" i="47"/>
  <c r="O299" i="47"/>
  <c r="I304" i="47"/>
  <c r="O311" i="47"/>
  <c r="G314" i="47"/>
  <c r="I328" i="47"/>
  <c r="O330" i="47"/>
  <c r="P330" i="47"/>
  <c r="C213" i="47"/>
  <c r="K213" i="47" s="1"/>
  <c r="C217" i="47"/>
  <c r="L217" i="47" s="1"/>
  <c r="C221" i="47"/>
  <c r="C225" i="47"/>
  <c r="E225" i="47" s="1"/>
  <c r="C229" i="47"/>
  <c r="K229" i="47" s="1"/>
  <c r="C233" i="47"/>
  <c r="C237" i="47"/>
  <c r="E237" i="47" s="1"/>
  <c r="H240" i="47"/>
  <c r="V243" i="47"/>
  <c r="H248" i="47"/>
  <c r="F249" i="47"/>
  <c r="J249" i="47" s="1"/>
  <c r="H257" i="47"/>
  <c r="G260" i="47"/>
  <c r="O262" i="47"/>
  <c r="B298" i="47"/>
  <c r="B299" i="47"/>
  <c r="F302" i="47"/>
  <c r="B311" i="47"/>
  <c r="J314" i="47"/>
  <c r="I320" i="47"/>
  <c r="E320" i="47"/>
  <c r="P323" i="47"/>
  <c r="B330" i="47"/>
  <c r="E341" i="47"/>
  <c r="E347" i="47"/>
  <c r="I240" i="47"/>
  <c r="E243" i="47"/>
  <c r="O243" i="47"/>
  <c r="I248" i="47"/>
  <c r="G249" i="47"/>
  <c r="I257" i="47"/>
  <c r="H260" i="47"/>
  <c r="E262" i="47"/>
  <c r="E267" i="47"/>
  <c r="O267" i="47"/>
  <c r="B294" i="47"/>
  <c r="N295" i="47"/>
  <c r="E295" i="47"/>
  <c r="O295" i="47"/>
  <c r="C298" i="47"/>
  <c r="H298" i="47" s="1"/>
  <c r="C299" i="47"/>
  <c r="J299" i="47" s="1"/>
  <c r="L304" i="47"/>
  <c r="C311" i="47"/>
  <c r="L311" i="47" s="1"/>
  <c r="H312" i="47"/>
  <c r="K314" i="47"/>
  <c r="P315" i="47"/>
  <c r="J322" i="47"/>
  <c r="F325" i="47"/>
  <c r="Q325" i="47"/>
  <c r="B325" i="47"/>
  <c r="C330" i="47"/>
  <c r="I354" i="47"/>
  <c r="O364" i="47"/>
  <c r="C364" i="47"/>
  <c r="J364" i="47" s="1"/>
  <c r="B364" i="47"/>
  <c r="P364" i="47"/>
  <c r="F366" i="47"/>
  <c r="O366" i="47"/>
  <c r="C366" i="47"/>
  <c r="E366" i="47" s="1"/>
  <c r="B366" i="47"/>
  <c r="P366" i="47"/>
  <c r="B243" i="47"/>
  <c r="G243" i="47" s="1"/>
  <c r="M253" i="47"/>
  <c r="L253" i="47"/>
  <c r="I260" i="47"/>
  <c r="F262" i="47"/>
  <c r="N262" i="47" s="1"/>
  <c r="C266" i="47"/>
  <c r="K266" i="47" s="1"/>
  <c r="B267" i="47"/>
  <c r="M267" i="47" s="1"/>
  <c r="B290" i="47"/>
  <c r="G290" i="47" s="1"/>
  <c r="M290" i="47"/>
  <c r="H290" i="47"/>
  <c r="N291" i="47"/>
  <c r="I291" i="47"/>
  <c r="E291" i="47"/>
  <c r="O291" i="47"/>
  <c r="C294" i="47"/>
  <c r="B295" i="47"/>
  <c r="G295" i="47" s="1"/>
  <c r="J296" i="47"/>
  <c r="F299" i="47"/>
  <c r="F311" i="47"/>
  <c r="K312" i="47"/>
  <c r="L314" i="47"/>
  <c r="B319" i="47"/>
  <c r="K322" i="47"/>
  <c r="C325" i="47"/>
  <c r="J327" i="47"/>
  <c r="F330" i="47"/>
  <c r="G334" i="47"/>
  <c r="G341" i="47"/>
  <c r="G347" i="47"/>
  <c r="O349" i="47"/>
  <c r="C349" i="47"/>
  <c r="B349" i="47"/>
  <c r="J354" i="47"/>
  <c r="F364" i="47"/>
  <c r="B286" i="47"/>
  <c r="G286" i="47" s="1"/>
  <c r="M286" i="47"/>
  <c r="O287" i="47"/>
  <c r="J292" i="47"/>
  <c r="I300" i="47"/>
  <c r="J308" i="47"/>
  <c r="L312" i="47"/>
  <c r="V315" i="47"/>
  <c r="C319" i="47"/>
  <c r="E319" i="47" s="1"/>
  <c r="H320" i="47"/>
  <c r="I336" i="47"/>
  <c r="G336" i="47"/>
  <c r="F336" i="47"/>
  <c r="L336" i="47" s="1"/>
  <c r="O336" i="47"/>
  <c r="P336" i="47"/>
  <c r="M336" i="47"/>
  <c r="M341" i="47"/>
  <c r="F349" i="47"/>
  <c r="V352" i="47"/>
  <c r="K361" i="47"/>
  <c r="F406" i="47"/>
  <c r="O406" i="47"/>
  <c r="C406" i="47"/>
  <c r="B406" i="47"/>
  <c r="P369" i="47"/>
  <c r="F373" i="47"/>
  <c r="F383" i="47"/>
  <c r="C383" i="47"/>
  <c r="L383" i="47" s="1"/>
  <c r="B383" i="47"/>
  <c r="P383" i="47"/>
  <c r="C388" i="47"/>
  <c r="B388" i="47"/>
  <c r="V334" i="47"/>
  <c r="N353" i="47"/>
  <c r="K354" i="47"/>
  <c r="B357" i="47"/>
  <c r="P358" i="47"/>
  <c r="Q358" i="47" s="1"/>
  <c r="M359" i="47"/>
  <c r="P368" i="47"/>
  <c r="B373" i="47"/>
  <c r="F378" i="47"/>
  <c r="O378" i="47"/>
  <c r="C378" i="47"/>
  <c r="B378" i="47"/>
  <c r="O383" i="47"/>
  <c r="O388" i="47"/>
  <c r="P394" i="47"/>
  <c r="E397" i="47"/>
  <c r="V409" i="47"/>
  <c r="V346" i="47"/>
  <c r="C357" i="47"/>
  <c r="M357" i="47" s="1"/>
  <c r="N359" i="47"/>
  <c r="B372" i="47"/>
  <c r="G372" i="47" s="1"/>
  <c r="N372" i="47"/>
  <c r="L372" i="47"/>
  <c r="J372" i="47"/>
  <c r="C373" i="47"/>
  <c r="I373" i="47" s="1"/>
  <c r="P380" i="47"/>
  <c r="E393" i="47"/>
  <c r="E408" i="47"/>
  <c r="Q420" i="47"/>
  <c r="F371" i="47"/>
  <c r="B371" i="47"/>
  <c r="P371" i="47"/>
  <c r="O373" i="47"/>
  <c r="F387" i="47"/>
  <c r="C387" i="47"/>
  <c r="B387" i="47"/>
  <c r="P387" i="47"/>
  <c r="F388" i="47"/>
  <c r="I393" i="47"/>
  <c r="F399" i="47"/>
  <c r="C399" i="47"/>
  <c r="B399" i="47"/>
  <c r="P399" i="47"/>
  <c r="F410" i="47"/>
  <c r="C410" i="47"/>
  <c r="N410" i="47" s="1"/>
  <c r="P244" i="47"/>
  <c r="P248" i="47"/>
  <c r="P252" i="47"/>
  <c r="P256" i="47"/>
  <c r="P260" i="47"/>
  <c r="Q260" i="47" s="1"/>
  <c r="L261" i="47"/>
  <c r="P264" i="47"/>
  <c r="L265" i="47"/>
  <c r="P268" i="47"/>
  <c r="L269" i="47"/>
  <c r="P272" i="47"/>
  <c r="Q272" i="47" s="1"/>
  <c r="P276" i="47"/>
  <c r="L277" i="47"/>
  <c r="P280" i="47"/>
  <c r="L281" i="47"/>
  <c r="P284" i="47"/>
  <c r="P288" i="47"/>
  <c r="Q288" i="47" s="1"/>
  <c r="L289" i="47"/>
  <c r="P292" i="47"/>
  <c r="L293" i="47"/>
  <c r="P296" i="47"/>
  <c r="L297" i="47"/>
  <c r="P300" i="47"/>
  <c r="L301" i="47"/>
  <c r="P304" i="47"/>
  <c r="Q304" i="47" s="1"/>
  <c r="L305" i="47"/>
  <c r="P308" i="47"/>
  <c r="Q308" i="47" s="1"/>
  <c r="L309" i="47"/>
  <c r="H310" i="47"/>
  <c r="P312" i="47"/>
  <c r="H314" i="47"/>
  <c r="P316" i="47"/>
  <c r="L317" i="47"/>
  <c r="H318" i="47"/>
  <c r="P320" i="47"/>
  <c r="L321" i="47"/>
  <c r="H322" i="47"/>
  <c r="K326" i="47"/>
  <c r="H327" i="47"/>
  <c r="J332" i="47"/>
  <c r="E334" i="47"/>
  <c r="O340" i="47"/>
  <c r="H341" i="47"/>
  <c r="C346" i="47"/>
  <c r="N346" i="47" s="1"/>
  <c r="C352" i="47"/>
  <c r="J352" i="47" s="1"/>
  <c r="N354" i="47"/>
  <c r="H356" i="47"/>
  <c r="B358" i="47"/>
  <c r="P361" i="47"/>
  <c r="M363" i="47"/>
  <c r="C371" i="47"/>
  <c r="O372" i="47"/>
  <c r="K377" i="47"/>
  <c r="F377" i="47"/>
  <c r="J377" i="47" s="1"/>
  <c r="F382" i="47"/>
  <c r="O382" i="47"/>
  <c r="C382" i="47"/>
  <c r="B382" i="47"/>
  <c r="O387" i="47"/>
  <c r="P397" i="47"/>
  <c r="Q397" i="47" s="1"/>
  <c r="O399" i="47"/>
  <c r="F402" i="47"/>
  <c r="C402" i="47"/>
  <c r="E402" i="47" s="1"/>
  <c r="B402" i="47"/>
  <c r="O405" i="47"/>
  <c r="F405" i="47"/>
  <c r="C405" i="47"/>
  <c r="B410" i="47"/>
  <c r="M261" i="47"/>
  <c r="M265" i="47"/>
  <c r="M269" i="47"/>
  <c r="M277" i="47"/>
  <c r="M281" i="47"/>
  <c r="M289" i="47"/>
  <c r="M293" i="47"/>
  <c r="M301" i="47"/>
  <c r="M305" i="47"/>
  <c r="M309" i="47"/>
  <c r="M313" i="47"/>
  <c r="I314" i="47"/>
  <c r="I318" i="47"/>
  <c r="M321" i="47"/>
  <c r="I322" i="47"/>
  <c r="F334" i="47"/>
  <c r="H334" i="47" s="1"/>
  <c r="J350" i="47"/>
  <c r="O352" i="47"/>
  <c r="H353" i="47"/>
  <c r="O354" i="47"/>
  <c r="F357" i="47"/>
  <c r="C358" i="47"/>
  <c r="K358" i="47" s="1"/>
  <c r="P359" i="47"/>
  <c r="F370" i="47"/>
  <c r="Q370" i="47"/>
  <c r="C370" i="47"/>
  <c r="L370" i="47" s="1"/>
  <c r="B370" i="47"/>
  <c r="O371" i="47"/>
  <c r="E372" i="47"/>
  <c r="B377" i="47"/>
  <c r="I377" i="47" s="1"/>
  <c r="F395" i="47"/>
  <c r="C395" i="47"/>
  <c r="B395" i="47"/>
  <c r="P395" i="47"/>
  <c r="Q395" i="47" s="1"/>
  <c r="O395" i="47"/>
  <c r="B405" i="47"/>
  <c r="P406" i="47"/>
  <c r="H408" i="47"/>
  <c r="F369" i="47"/>
  <c r="F391" i="47"/>
  <c r="C391" i="47"/>
  <c r="B391" i="47"/>
  <c r="P391" i="47"/>
  <c r="P421" i="47"/>
  <c r="F421" i="47"/>
  <c r="C421" i="47"/>
  <c r="B421" i="47"/>
  <c r="F358" i="47"/>
  <c r="B368" i="47"/>
  <c r="B369" i="47"/>
  <c r="C376" i="47"/>
  <c r="L376" i="47" s="1"/>
  <c r="B376" i="47"/>
  <c r="O381" i="47"/>
  <c r="F381" i="47"/>
  <c r="F386" i="47"/>
  <c r="Q386" i="47"/>
  <c r="C386" i="47"/>
  <c r="B386" i="47"/>
  <c r="O391" i="47"/>
  <c r="B360" i="47"/>
  <c r="J361" i="47"/>
  <c r="F367" i="47"/>
  <c r="B367" i="47"/>
  <c r="P367" i="47"/>
  <c r="Q367" i="47" s="1"/>
  <c r="O367" i="47"/>
  <c r="C368" i="47"/>
  <c r="C369" i="47"/>
  <c r="E369" i="47" s="1"/>
  <c r="H372" i="47"/>
  <c r="E377" i="47"/>
  <c r="B381" i="47"/>
  <c r="P388" i="47"/>
  <c r="Q305" i="47"/>
  <c r="M310" i="47"/>
  <c r="M314" i="47"/>
  <c r="M322" i="47"/>
  <c r="M327" i="47"/>
  <c r="C348" i="47"/>
  <c r="M348" i="47" s="1"/>
  <c r="E353" i="47"/>
  <c r="B354" i="47"/>
  <c r="G354" i="47" s="1"/>
  <c r="N356" i="47"/>
  <c r="E359" i="47"/>
  <c r="C360" i="47"/>
  <c r="B361" i="47"/>
  <c r="G361" i="47" s="1"/>
  <c r="F362" i="47"/>
  <c r="O362" i="47"/>
  <c r="C362" i="47"/>
  <c r="E362" i="47" s="1"/>
  <c r="B363" i="47"/>
  <c r="K363" i="47" s="1"/>
  <c r="P363" i="47"/>
  <c r="C367" i="47"/>
  <c r="E367" i="47" s="1"/>
  <c r="O368" i="47"/>
  <c r="O369" i="47"/>
  <c r="P373" i="47"/>
  <c r="P378" i="47"/>
  <c r="C381" i="47"/>
  <c r="F398" i="47"/>
  <c r="Q398" i="47"/>
  <c r="C398" i="47"/>
  <c r="B398" i="47"/>
  <c r="F401" i="47"/>
  <c r="C401" i="47"/>
  <c r="L401" i="47" s="1"/>
  <c r="F375" i="47"/>
  <c r="C375" i="47"/>
  <c r="E375" i="47" s="1"/>
  <c r="B375" i="47"/>
  <c r="P375" i="47"/>
  <c r="C380" i="47"/>
  <c r="E380" i="47" s="1"/>
  <c r="B380" i="47"/>
  <c r="F385" i="47"/>
  <c r="F390" i="47"/>
  <c r="O390" i="47"/>
  <c r="C390" i="47"/>
  <c r="B390" i="47"/>
  <c r="F394" i="47"/>
  <c r="O394" i="47"/>
  <c r="C394" i="47"/>
  <c r="B394" i="47"/>
  <c r="V326" i="47"/>
  <c r="C337" i="47"/>
  <c r="K340" i="47"/>
  <c r="I341" i="47"/>
  <c r="C343" i="47"/>
  <c r="H347" i="47"/>
  <c r="P350" i="47"/>
  <c r="G353" i="47"/>
  <c r="E354" i="47"/>
  <c r="P356" i="47"/>
  <c r="G359" i="47"/>
  <c r="O361" i="47"/>
  <c r="O363" i="47"/>
  <c r="F365" i="47"/>
  <c r="H365" i="47" s="1"/>
  <c r="F368" i="47"/>
  <c r="P372" i="47"/>
  <c r="O375" i="47"/>
  <c r="B385" i="47"/>
  <c r="O401" i="47"/>
  <c r="E404" i="47"/>
  <c r="P322" i="47"/>
  <c r="M334" i="47"/>
  <c r="V338" i="47"/>
  <c r="J341" i="47"/>
  <c r="I347" i="47"/>
  <c r="F348" i="47"/>
  <c r="I353" i="47"/>
  <c r="F354" i="47"/>
  <c r="H354" i="47" s="1"/>
  <c r="H359" i="47"/>
  <c r="F360" i="47"/>
  <c r="E361" i="47"/>
  <c r="E363" i="47"/>
  <c r="P377" i="47"/>
  <c r="P382" i="47"/>
  <c r="C385" i="47"/>
  <c r="L356" i="47"/>
  <c r="O357" i="47"/>
  <c r="F361" i="47"/>
  <c r="H361" i="47" s="1"/>
  <c r="F379" i="47"/>
  <c r="C379" i="47"/>
  <c r="B379" i="47"/>
  <c r="P379" i="47"/>
  <c r="F380" i="47"/>
  <c r="C384" i="47"/>
  <c r="L384" i="47" s="1"/>
  <c r="B384" i="47"/>
  <c r="Q385" i="47"/>
  <c r="K389" i="47"/>
  <c r="F389" i="47"/>
  <c r="O397" i="47"/>
  <c r="F397" i="47"/>
  <c r="L397" i="47" s="1"/>
  <c r="E326" i="47"/>
  <c r="B327" i="47"/>
  <c r="G327" i="47" s="1"/>
  <c r="F337" i="47"/>
  <c r="C338" i="47"/>
  <c r="L341" i="47"/>
  <c r="F343" i="47"/>
  <c r="C344" i="47"/>
  <c r="K347" i="47"/>
  <c r="B350" i="47"/>
  <c r="K350" i="47" s="1"/>
  <c r="K353" i="47"/>
  <c r="B356" i="47"/>
  <c r="I356" i="47" s="1"/>
  <c r="P357" i="47"/>
  <c r="Q357" i="47" s="1"/>
  <c r="J359" i="47"/>
  <c r="F374" i="47"/>
  <c r="C374" i="47"/>
  <c r="B374" i="47"/>
  <c r="O379" i="47"/>
  <c r="B389" i="47"/>
  <c r="O393" i="47"/>
  <c r="M393" i="47"/>
  <c r="K393" i="47"/>
  <c r="G393" i="47"/>
  <c r="F393" i="47"/>
  <c r="J393" i="47" s="1"/>
  <c r="B397" i="47"/>
  <c r="K397" i="47" s="1"/>
  <c r="F403" i="47"/>
  <c r="C403" i="47"/>
  <c r="B403" i="47"/>
  <c r="P403" i="47"/>
  <c r="Q403" i="47" s="1"/>
  <c r="O403" i="47"/>
  <c r="C409" i="47"/>
  <c r="M409" i="47" s="1"/>
  <c r="O414" i="47"/>
  <c r="G415" i="47"/>
  <c r="B420" i="47"/>
  <c r="K420" i="47" s="1"/>
  <c r="L424" i="47"/>
  <c r="B431" i="47"/>
  <c r="C432" i="47"/>
  <c r="N432" i="47" s="1"/>
  <c r="O433" i="47"/>
  <c r="E434" i="47"/>
  <c r="Q440" i="47"/>
  <c r="F440" i="47"/>
  <c r="C440" i="47"/>
  <c r="P445" i="47"/>
  <c r="F445" i="47"/>
  <c r="V455" i="47"/>
  <c r="L477" i="47"/>
  <c r="H477" i="47"/>
  <c r="P439" i="47"/>
  <c r="F439" i="47"/>
  <c r="J392" i="47"/>
  <c r="J396" i="47"/>
  <c r="J400" i="47"/>
  <c r="J404" i="47"/>
  <c r="J408" i="47"/>
  <c r="F409" i="47"/>
  <c r="O415" i="47"/>
  <c r="I419" i="47"/>
  <c r="F420" i="47"/>
  <c r="L420" i="47" s="1"/>
  <c r="M425" i="47"/>
  <c r="K426" i="47"/>
  <c r="J429" i="47"/>
  <c r="F431" i="47"/>
  <c r="B439" i="47"/>
  <c r="K442" i="47"/>
  <c r="C445" i="47"/>
  <c r="K445" i="47" s="1"/>
  <c r="O452" i="47"/>
  <c r="F452" i="47"/>
  <c r="C452" i="47"/>
  <c r="B452" i="47"/>
  <c r="E477" i="47"/>
  <c r="K392" i="47"/>
  <c r="O407" i="47"/>
  <c r="G411" i="47"/>
  <c r="E415" i="47"/>
  <c r="B416" i="47"/>
  <c r="G416" i="47" s="1"/>
  <c r="P417" i="47"/>
  <c r="Q417" i="47" s="1"/>
  <c r="J419" i="47"/>
  <c r="L422" i="47"/>
  <c r="M422" i="47"/>
  <c r="N425" i="47"/>
  <c r="N426" i="47"/>
  <c r="K429" i="47"/>
  <c r="I430" i="47"/>
  <c r="B438" i="47"/>
  <c r="C439" i="47"/>
  <c r="O445" i="47"/>
  <c r="P446" i="47"/>
  <c r="O448" i="47"/>
  <c r="F448" i="47"/>
  <c r="N448" i="47" s="1"/>
  <c r="E448" i="47"/>
  <c r="P448" i="47"/>
  <c r="M467" i="47"/>
  <c r="L392" i="47"/>
  <c r="L396" i="47"/>
  <c r="L404" i="47"/>
  <c r="P407" i="47"/>
  <c r="Q407" i="47" s="1"/>
  <c r="L408" i="47"/>
  <c r="B411" i="47"/>
  <c r="I411" i="47" s="1"/>
  <c r="P412" i="47"/>
  <c r="F415" i="47"/>
  <c r="L415" i="47" s="1"/>
  <c r="O416" i="47"/>
  <c r="K419" i="47"/>
  <c r="B422" i="47"/>
  <c r="K422" i="47" s="1"/>
  <c r="M427" i="47"/>
  <c r="C438" i="47"/>
  <c r="O439" i="47"/>
  <c r="N442" i="47"/>
  <c r="B448" i="47"/>
  <c r="G448" i="47" s="1"/>
  <c r="F488" i="47"/>
  <c r="O488" i="47"/>
  <c r="B488" i="47"/>
  <c r="P488" i="47"/>
  <c r="C488" i="47"/>
  <c r="J488" i="47" s="1"/>
  <c r="J414" i="47"/>
  <c r="O417" i="47"/>
  <c r="O423" i="47"/>
  <c r="N427" i="47"/>
  <c r="P459" i="47"/>
  <c r="F459" i="47"/>
  <c r="N392" i="47"/>
  <c r="N404" i="47"/>
  <c r="B407" i="47"/>
  <c r="N408" i="47"/>
  <c r="O411" i="47"/>
  <c r="L414" i="47"/>
  <c r="I415" i="47"/>
  <c r="F416" i="47"/>
  <c r="H416" i="47" s="1"/>
  <c r="B417" i="47"/>
  <c r="P418" i="47"/>
  <c r="M419" i="47"/>
  <c r="B423"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O425" i="47"/>
  <c r="C459" i="47"/>
  <c r="F468" i="47"/>
  <c r="O468" i="47"/>
  <c r="P468" i="47"/>
  <c r="P478" i="47"/>
  <c r="F478" i="47"/>
  <c r="O478" i="47"/>
  <c r="C478" i="47"/>
  <c r="J478" i="47" s="1"/>
  <c r="O459" i="47"/>
  <c r="B468" i="47"/>
  <c r="B478" i="47"/>
  <c r="B489" i="47"/>
  <c r="P489" i="47"/>
  <c r="F489" i="47"/>
  <c r="C489" i="47"/>
  <c r="M489" i="47" s="1"/>
  <c r="Q400" i="47"/>
  <c r="H411" i="47"/>
  <c r="B418" i="47"/>
  <c r="G422" i="47"/>
  <c r="F423" i="47"/>
  <c r="E424" i="47"/>
  <c r="C443" i="47"/>
  <c r="B443" i="47"/>
  <c r="P452" i="47"/>
  <c r="O455" i="47"/>
  <c r="C455" i="47"/>
  <c r="B455" i="47"/>
  <c r="P455" i="47"/>
  <c r="C468" i="47"/>
  <c r="I468" i="47" s="1"/>
  <c r="O489" i="47"/>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F455" i="47"/>
  <c r="N476" i="47"/>
  <c r="J411" i="47"/>
  <c r="C413" i="47"/>
  <c r="N413" i="47" s="1"/>
  <c r="O418" i="47"/>
  <c r="G419" i="47"/>
  <c r="H424" i="47"/>
  <c r="B427" i="47"/>
  <c r="Q428" i="47"/>
  <c r="P429" i="47"/>
  <c r="I429" i="47"/>
  <c r="O429" i="47"/>
  <c r="V431" i="47"/>
  <c r="L434" i="47"/>
  <c r="N434" i="47"/>
  <c r="K434" i="47"/>
  <c r="G434" i="47"/>
  <c r="F434" i="47"/>
  <c r="H434" i="47" s="1"/>
  <c r="E436" i="47"/>
  <c r="F443" i="47"/>
  <c r="K451" i="47"/>
  <c r="V468" i="47"/>
  <c r="E476" i="47"/>
  <c r="I424" i="47"/>
  <c r="P433" i="47"/>
  <c r="F446" i="47"/>
  <c r="O446" i="47"/>
  <c r="C446" i="47"/>
  <c r="B414" i="47"/>
  <c r="F418" i="47"/>
  <c r="J424" i="47"/>
  <c r="B433" i="47"/>
  <c r="B446" i="47"/>
  <c r="P451" i="47"/>
  <c r="F460" i="47"/>
  <c r="C460" i="47"/>
  <c r="B469" i="47"/>
  <c r="P469" i="47"/>
  <c r="F469" i="47"/>
  <c r="O469" i="47"/>
  <c r="B498" i="47"/>
  <c r="P498" i="47"/>
  <c r="F498" i="47"/>
  <c r="O498" i="47"/>
  <c r="C498" i="47"/>
  <c r="C431" i="47"/>
  <c r="P431" i="47"/>
  <c r="Q431" i="47" s="1"/>
  <c r="O431" i="47"/>
  <c r="C433" i="47"/>
  <c r="E433" i="47" s="1"/>
  <c r="P449" i="47"/>
  <c r="O449" i="47"/>
  <c r="C449" i="47"/>
  <c r="N449" i="47" s="1"/>
  <c r="B449" i="47"/>
  <c r="B460" i="47"/>
  <c r="C469" i="47"/>
  <c r="I469" i="47" s="1"/>
  <c r="P496" i="47"/>
  <c r="F496" i="47"/>
  <c r="O496" i="47"/>
  <c r="M499" i="47"/>
  <c r="L499" i="47"/>
  <c r="P504" i="47"/>
  <c r="O504" i="47"/>
  <c r="B504" i="47"/>
  <c r="B521" i="47"/>
  <c r="B523" i="47"/>
  <c r="P523" i="47"/>
  <c r="F542" i="47"/>
  <c r="P542" i="47"/>
  <c r="C542" i="47"/>
  <c r="B542" i="47"/>
  <c r="F491" i="47"/>
  <c r="E499" i="47"/>
  <c r="C504" i="47"/>
  <c r="E504" i="47" s="1"/>
  <c r="E505" i="47"/>
  <c r="E512" i="47"/>
  <c r="C521" i="47"/>
  <c r="C523" i="47"/>
  <c r="J523" i="47" s="1"/>
  <c r="O525" i="47"/>
  <c r="C525" i="47"/>
  <c r="M540" i="47"/>
  <c r="L540" i="47"/>
  <c r="K540" i="47"/>
  <c r="J540" i="47"/>
  <c r="I540" i="47"/>
  <c r="O542" i="47"/>
  <c r="J592" i="47"/>
  <c r="K592" i="47"/>
  <c r="B461" i="47"/>
  <c r="P461" i="47"/>
  <c r="E487" i="47"/>
  <c r="C490" i="47"/>
  <c r="B491" i="47"/>
  <c r="F492" i="47"/>
  <c r="O492" i="47"/>
  <c r="B492" i="47"/>
  <c r="B493" i="47"/>
  <c r="P493" i="47"/>
  <c r="O495" i="47"/>
  <c r="C496" i="47"/>
  <c r="G496" i="47" s="1"/>
  <c r="J583" i="47"/>
  <c r="I583" i="47"/>
  <c r="E583" i="47"/>
  <c r="N583" i="47"/>
  <c r="M583" i="47"/>
  <c r="K583" i="47"/>
  <c r="H583" i="47"/>
  <c r="G583" i="47"/>
  <c r="G458" i="47"/>
  <c r="C461" i="47"/>
  <c r="G467" i="47"/>
  <c r="B470" i="47"/>
  <c r="I476" i="47"/>
  <c r="B479" i="47"/>
  <c r="V480" i="47"/>
  <c r="I485" i="47"/>
  <c r="G487" i="47"/>
  <c r="O490" i="47"/>
  <c r="C491" i="47"/>
  <c r="J491" i="47" s="1"/>
  <c r="C492" i="47"/>
  <c r="C493" i="47"/>
  <c r="B494" i="47"/>
  <c r="B495" i="47"/>
  <c r="F504" i="47"/>
  <c r="G505" i="47"/>
  <c r="L515" i="47"/>
  <c r="O555" i="47"/>
  <c r="B555" i="47"/>
  <c r="P555" i="47"/>
  <c r="F555" i="47"/>
  <c r="C555" i="47"/>
  <c r="F587" i="47"/>
  <c r="O587" i="47"/>
  <c r="C587" i="47"/>
  <c r="P587" i="47"/>
  <c r="B587" i="47"/>
  <c r="B453" i="47"/>
  <c r="P453" i="47"/>
  <c r="H458" i="47"/>
  <c r="O461" i="47"/>
  <c r="I467" i="47"/>
  <c r="C470" i="47"/>
  <c r="L470" i="47" s="1"/>
  <c r="J476" i="47"/>
  <c r="C479" i="47"/>
  <c r="I479" i="47" s="1"/>
  <c r="F480" i="47"/>
  <c r="J485" i="47"/>
  <c r="H486" i="47"/>
  <c r="I487" i="47"/>
  <c r="O493" i="47"/>
  <c r="C494" i="47"/>
  <c r="C495" i="47"/>
  <c r="E495" i="47" s="1"/>
  <c r="J503" i="47"/>
  <c r="H505" i="47"/>
  <c r="E509" i="47"/>
  <c r="F514" i="47"/>
  <c r="O514" i="47"/>
  <c r="C514" i="47"/>
  <c r="B514" i="47"/>
  <c r="P525" i="47"/>
  <c r="H548" i="47"/>
  <c r="V424" i="47"/>
  <c r="L430" i="47"/>
  <c r="C435" i="47"/>
  <c r="I435" i="47" s="1"/>
  <c r="Q436" i="47"/>
  <c r="C441" i="47"/>
  <c r="J441" i="47" s="1"/>
  <c r="K444" i="47"/>
  <c r="B447" i="47"/>
  <c r="J450" i="47"/>
  <c r="C453" i="47"/>
  <c r="H453" i="47" s="1"/>
  <c r="I458" i="47"/>
  <c r="B462" i="47"/>
  <c r="P464" i="47"/>
  <c r="K467" i="47"/>
  <c r="B471" i="47"/>
  <c r="I477" i="47"/>
  <c r="Q479" i="47"/>
  <c r="B480" i="47"/>
  <c r="B481" i="47"/>
  <c r="P481" i="47"/>
  <c r="Q481" i="47" s="1"/>
  <c r="I486" i="47"/>
  <c r="K487" i="47"/>
  <c r="F490" i="47"/>
  <c r="I499" i="47"/>
  <c r="I505" i="47"/>
  <c r="V523" i="47"/>
  <c r="G540" i="47"/>
  <c r="V436" i="47"/>
  <c r="L444" i="47"/>
  <c r="C447" i="47"/>
  <c r="H447" i="47" s="1"/>
  <c r="K450" i="47"/>
  <c r="O453" i="47"/>
  <c r="N454" i="47"/>
  <c r="L454" i="47"/>
  <c r="J458" i="47"/>
  <c r="F461" i="47"/>
  <c r="C462" i="47"/>
  <c r="J463" i="47"/>
  <c r="H463" i="47"/>
  <c r="L467" i="47"/>
  <c r="C471" i="47"/>
  <c r="J471" i="47" s="1"/>
  <c r="F472" i="47"/>
  <c r="H472" i="47" s="1"/>
  <c r="J477" i="47"/>
  <c r="C480" i="47"/>
  <c r="C481" i="47"/>
  <c r="I481" i="47" s="1"/>
  <c r="L485" i="47"/>
  <c r="F493" i="47"/>
  <c r="F495" i="47"/>
  <c r="J499" i="47"/>
  <c r="J505" i="47"/>
  <c r="P508" i="47"/>
  <c r="O508" i="47"/>
  <c r="C508" i="47"/>
  <c r="N508" i="47" s="1"/>
  <c r="V545" i="47"/>
  <c r="B473" i="47"/>
  <c r="M473" i="47" s="1"/>
  <c r="P473" i="47"/>
  <c r="F479" i="47"/>
  <c r="M486" i="47"/>
  <c r="M487" i="47"/>
  <c r="F494" i="47"/>
  <c r="K499" i="47"/>
  <c r="Q502" i="47"/>
  <c r="C502" i="47"/>
  <c r="L502" i="47" s="1"/>
  <c r="I503" i="47"/>
  <c r="H509" i="47"/>
  <c r="M520" i="47"/>
  <c r="L520" i="47"/>
  <c r="K520" i="47"/>
  <c r="I520" i="47"/>
  <c r="H520" i="47"/>
  <c r="G520" i="47"/>
  <c r="F464" i="47"/>
  <c r="O464" i="47"/>
  <c r="F522" i="47"/>
  <c r="P522" i="47"/>
  <c r="P578" i="47"/>
  <c r="C578" i="47"/>
  <c r="K578" i="47" s="1"/>
  <c r="F578" i="47"/>
  <c r="O578" i="47"/>
  <c r="B578" i="47"/>
  <c r="F462" i="47"/>
  <c r="B464" i="47"/>
  <c r="B465" i="47"/>
  <c r="P465" i="47"/>
  <c r="Q465" i="47" s="1"/>
  <c r="F471" i="47"/>
  <c r="E472" i="47"/>
  <c r="O473" i="47"/>
  <c r="N474" i="47"/>
  <c r="L474" i="47"/>
  <c r="F481" i="47"/>
  <c r="C482" i="47"/>
  <c r="J483" i="47"/>
  <c r="H483" i="47"/>
  <c r="P486" i="47"/>
  <c r="Q486" i="47" s="1"/>
  <c r="F502" i="47"/>
  <c r="L503" i="47"/>
  <c r="F513" i="47"/>
  <c r="H513" i="47" s="1"/>
  <c r="E513" i="47"/>
  <c r="E520" i="47"/>
  <c r="B522" i="47"/>
  <c r="M524" i="47"/>
  <c r="L524" i="47"/>
  <c r="K524" i="47"/>
  <c r="J524" i="47"/>
  <c r="I524" i="47"/>
  <c r="E524" i="47"/>
  <c r="F526" i="47"/>
  <c r="O526" i="47"/>
  <c r="C526" i="47"/>
  <c r="B526" i="47"/>
  <c r="P566" i="47"/>
  <c r="O566" i="47"/>
  <c r="F566" i="47"/>
  <c r="C566" i="47"/>
  <c r="N566" i="47" s="1"/>
  <c r="B566" i="47"/>
  <c r="G424" i="47"/>
  <c r="L426" i="47"/>
  <c r="F430" i="47"/>
  <c r="H430" i="47" s="1"/>
  <c r="F436" i="47"/>
  <c r="L436" i="47" s="1"/>
  <c r="E442" i="47"/>
  <c r="P444" i="47"/>
  <c r="Q444" i="47" s="1"/>
  <c r="E454" i="47"/>
  <c r="F456" i="47"/>
  <c r="O456" i="47"/>
  <c r="P458" i="47"/>
  <c r="E463" i="47"/>
  <c r="C464" i="47"/>
  <c r="E464" i="47" s="1"/>
  <c r="C465" i="47"/>
  <c r="N465" i="47" s="1"/>
  <c r="P467" i="47"/>
  <c r="G472" i="47"/>
  <c r="E473" i="47"/>
  <c r="B474" i="47"/>
  <c r="P476" i="47"/>
  <c r="N477" i="47"/>
  <c r="O482" i="47"/>
  <c r="B483" i="47"/>
  <c r="K483" i="47" s="1"/>
  <c r="V484" i="47"/>
  <c r="P501" i="47"/>
  <c r="Q501" i="47" s="1"/>
  <c r="F501" i="47"/>
  <c r="M503" i="47"/>
  <c r="L507" i="47"/>
  <c r="G507" i="47"/>
  <c r="F507" i="47"/>
  <c r="J507" i="47" s="1"/>
  <c r="M509" i="47"/>
  <c r="B513" i="47"/>
  <c r="P514" i="47"/>
  <c r="P516" i="47"/>
  <c r="C516" i="47"/>
  <c r="E516" i="47" s="1"/>
  <c r="B516" i="47"/>
  <c r="C522" i="47"/>
  <c r="E522" i="47" s="1"/>
  <c r="B457" i="47"/>
  <c r="P457" i="47"/>
  <c r="N466" i="47"/>
  <c r="L466" i="47"/>
  <c r="F473" i="47"/>
  <c r="N473" i="47" s="1"/>
  <c r="F484" i="47"/>
  <c r="H484" i="47" s="1"/>
  <c r="N503" i="47"/>
  <c r="N509" i="47"/>
  <c r="J520" i="47"/>
  <c r="O522" i="47"/>
  <c r="L559" i="47"/>
  <c r="J559" i="47"/>
  <c r="H559" i="47"/>
  <c r="V444" i="47"/>
  <c r="L450" i="47"/>
  <c r="G454" i="47"/>
  <c r="C457" i="47"/>
  <c r="G463" i="47"/>
  <c r="B466" i="47"/>
  <c r="G466" i="47" s="1"/>
  <c r="I472" i="47"/>
  <c r="O474" i="47"/>
  <c r="B475" i="47"/>
  <c r="V476" i="47"/>
  <c r="F482" i="47"/>
  <c r="Q483" i="47"/>
  <c r="B484" i="47"/>
  <c r="G484" i="47" s="1"/>
  <c r="B485" i="47"/>
  <c r="G485" i="47" s="1"/>
  <c r="P485" i="47"/>
  <c r="N485" i="47"/>
  <c r="P490" i="47"/>
  <c r="P495" i="47"/>
  <c r="P500" i="47"/>
  <c r="C501" i="47"/>
  <c r="O506" i="47"/>
  <c r="O513" i="47"/>
  <c r="G524" i="47"/>
  <c r="P526" i="47"/>
  <c r="V527" i="47"/>
  <c r="G549" i="47"/>
  <c r="N458" i="47"/>
  <c r="L458" i="47"/>
  <c r="J467" i="47"/>
  <c r="H467" i="47"/>
  <c r="F476" i="47"/>
  <c r="L476" i="47" s="1"/>
  <c r="O476" i="47"/>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O554" i="47"/>
  <c r="C554" i="47"/>
  <c r="B554" i="47"/>
  <c r="C541" i="47"/>
  <c r="E541" i="47" s="1"/>
  <c r="E543" i="47"/>
  <c r="O543" i="47"/>
  <c r="B543" i="47"/>
  <c r="I543" i="47" s="1"/>
  <c r="M549" i="47"/>
  <c r="I550" i="47"/>
  <c r="F550" i="47"/>
  <c r="N550" i="47" s="1"/>
  <c r="M550" i="47"/>
  <c r="E551" i="47"/>
  <c r="O551" i="47"/>
  <c r="B551" i="47"/>
  <c r="M551" i="47" s="1"/>
  <c r="P572" i="47"/>
  <c r="C572" i="47"/>
  <c r="M545" i="47"/>
  <c r="J545" i="47"/>
  <c r="F546" i="47"/>
  <c r="E547" i="47"/>
  <c r="B547" i="47"/>
  <c r="K547" i="47" s="1"/>
  <c r="O558" i="47"/>
  <c r="L565" i="47"/>
  <c r="G565" i="47"/>
  <c r="V569" i="47"/>
  <c r="B572" i="47"/>
  <c r="E557" i="47"/>
  <c r="O572" i="47"/>
  <c r="V574" i="47"/>
  <c r="P603" i="47"/>
  <c r="F603" i="47"/>
  <c r="O603" i="47"/>
  <c r="C603" i="47"/>
  <c r="K603" i="47" s="1"/>
  <c r="O564" i="47"/>
  <c r="C564" i="47"/>
  <c r="B564" i="47"/>
  <c r="P570" i="47"/>
  <c r="O570" i="47"/>
  <c r="C570" i="47"/>
  <c r="L570" i="47" s="1"/>
  <c r="B570" i="47"/>
  <c r="E527" i="47"/>
  <c r="O527" i="47"/>
  <c r="B527" i="47"/>
  <c r="M527" i="47" s="1"/>
  <c r="O534" i="47"/>
  <c r="K536" i="47"/>
  <c r="H543" i="47"/>
  <c r="O545" i="47"/>
  <c r="O546" i="47"/>
  <c r="E550" i="47"/>
  <c r="H551" i="47"/>
  <c r="G552" i="47"/>
  <c r="H556" i="47"/>
  <c r="G557" i="47"/>
  <c r="M563" i="47"/>
  <c r="F564" i="47"/>
  <c r="F570" i="47"/>
  <c r="F572" i="47"/>
  <c r="F575" i="47"/>
  <c r="O575" i="47"/>
  <c r="K589" i="47"/>
  <c r="M505" i="47"/>
  <c r="J506" i="47"/>
  <c r="L509" i="47"/>
  <c r="I512" i="47"/>
  <c r="P534" i="47"/>
  <c r="Q534" i="47" s="1"/>
  <c r="L536" i="47"/>
  <c r="L539" i="47"/>
  <c r="E545" i="47"/>
  <c r="E546" i="47"/>
  <c r="H547" i="47"/>
  <c r="J551" i="47"/>
  <c r="H552" i="47"/>
  <c r="H557" i="47"/>
  <c r="O581" i="47"/>
  <c r="F581" i="47"/>
  <c r="C581" i="47"/>
  <c r="P581" i="47"/>
  <c r="I598" i="47"/>
  <c r="H598" i="47"/>
  <c r="G598" i="47"/>
  <c r="E598" i="47"/>
  <c r="N598" i="47"/>
  <c r="M598" i="47"/>
  <c r="L598" i="47"/>
  <c r="C497" i="47"/>
  <c r="L497" i="47" s="1"/>
  <c r="N499" i="47"/>
  <c r="B503" i="47"/>
  <c r="K503" i="47" s="1"/>
  <c r="N505" i="47"/>
  <c r="K506" i="47"/>
  <c r="B509" i="47"/>
  <c r="K509" i="47" s="1"/>
  <c r="J512" i="47"/>
  <c r="B515" i="47"/>
  <c r="M515" i="47" s="1"/>
  <c r="L519" i="47"/>
  <c r="F527" i="47"/>
  <c r="H527" i="47" s="1"/>
  <c r="B529" i="47"/>
  <c r="I530" i="47"/>
  <c r="F530" i="47"/>
  <c r="J530" i="47" s="1"/>
  <c r="J543" i="47"/>
  <c r="F545" i="47"/>
  <c r="L545" i="47" s="1"/>
  <c r="J547" i="47"/>
  <c r="J550" i="47"/>
  <c r="K551" i="47"/>
  <c r="I552" i="47"/>
  <c r="J556" i="47"/>
  <c r="I557" i="47"/>
  <c r="J565" i="47"/>
  <c r="H571" i="47"/>
  <c r="V573" i="47"/>
  <c r="C575" i="47"/>
  <c r="B581" i="47"/>
  <c r="V587" i="47"/>
  <c r="H589" i="47"/>
  <c r="B531" i="47"/>
  <c r="G545" i="47"/>
  <c r="K550" i="47"/>
  <c r="L551" i="47"/>
  <c r="J552" i="47"/>
  <c r="K556" i="47"/>
  <c r="K557" i="47"/>
  <c r="P562" i="47"/>
  <c r="O562" i="47"/>
  <c r="O569" i="47"/>
  <c r="F569" i="47"/>
  <c r="L589" i="47"/>
  <c r="P499" i="47"/>
  <c r="Q499" i="47" s="1"/>
  <c r="E503" i="47"/>
  <c r="M506" i="47"/>
  <c r="O509" i="47"/>
  <c r="H510" i="47"/>
  <c r="L512" i="47"/>
  <c r="N519" i="47"/>
  <c r="C531" i="47"/>
  <c r="E531" i="47" s="1"/>
  <c r="V535" i="47"/>
  <c r="P538" i="47"/>
  <c r="L543" i="47"/>
  <c r="L547" i="47"/>
  <c r="K552" i="47"/>
  <c r="L556" i="47"/>
  <c r="B562" i="47"/>
  <c r="M565" i="47"/>
  <c r="B569" i="47"/>
  <c r="J571" i="47"/>
  <c r="P574" i="47"/>
  <c r="C574" i="47"/>
  <c r="N574" i="47" s="1"/>
  <c r="F580" i="47"/>
  <c r="H580" i="47" s="1"/>
  <c r="B580" i="47"/>
  <c r="G580" i="47" s="1"/>
  <c r="N580" i="47"/>
  <c r="M589" i="47"/>
  <c r="K630" i="47"/>
  <c r="I630" i="47"/>
  <c r="H630" i="47"/>
  <c r="N630" i="47"/>
  <c r="M630" i="47"/>
  <c r="L630" i="47"/>
  <c r="J630" i="47"/>
  <c r="G630" i="47"/>
  <c r="E630" i="47"/>
  <c r="P643" i="47"/>
  <c r="F643" i="47"/>
  <c r="O643" i="47"/>
  <c r="C643" i="47"/>
  <c r="E643" i="47" s="1"/>
  <c r="B643" i="47"/>
  <c r="F531" i="47"/>
  <c r="F534" i="47"/>
  <c r="I545" i="47"/>
  <c r="N551" i="47"/>
  <c r="L552" i="47"/>
  <c r="M556" i="47"/>
  <c r="P558" i="47"/>
  <c r="C562" i="47"/>
  <c r="C569" i="47"/>
  <c r="M595" i="47"/>
  <c r="J595" i="47"/>
  <c r="I595" i="47"/>
  <c r="H595" i="47"/>
  <c r="E595" i="47"/>
  <c r="K598" i="47"/>
  <c r="V499" i="47"/>
  <c r="L505" i="47"/>
  <c r="N512" i="47"/>
  <c r="B517" i="47"/>
  <c r="C533" i="47"/>
  <c r="J533" i="47" s="1"/>
  <c r="B534" i="47"/>
  <c r="E535" i="47"/>
  <c r="O535" i="47"/>
  <c r="B535" i="47"/>
  <c r="M535" i="47" s="1"/>
  <c r="P541" i="47"/>
  <c r="Q541" i="47" s="1"/>
  <c r="N543" i="47"/>
  <c r="K545" i="47"/>
  <c r="N546" i="47"/>
  <c r="N547" i="47"/>
  <c r="M552" i="47"/>
  <c r="N571" i="47"/>
  <c r="V572" i="47"/>
  <c r="O574" i="47"/>
  <c r="V605" i="47"/>
  <c r="F637" i="47"/>
  <c r="O637" i="47"/>
  <c r="P637" i="47"/>
  <c r="C637" i="47"/>
  <c r="B637" i="47"/>
  <c r="V511" i="47"/>
  <c r="C517" i="47"/>
  <c r="F518" i="47"/>
  <c r="C534" i="47"/>
  <c r="E534" i="47" s="1"/>
  <c r="V539" i="47"/>
  <c r="P550" i="47"/>
  <c r="P551" i="47"/>
  <c r="F562" i="47"/>
  <c r="P564" i="47"/>
  <c r="C568" i="47"/>
  <c r="I568" i="47" s="1"/>
  <c r="E580" i="47"/>
  <c r="N584" i="47"/>
  <c r="F584" i="47"/>
  <c r="H584" i="47" s="1"/>
  <c r="B584" i="47"/>
  <c r="M584" i="47" s="1"/>
  <c r="P590" i="47"/>
  <c r="F590" i="47"/>
  <c r="O590" i="47"/>
  <c r="C590" i="47"/>
  <c r="B590" i="47"/>
  <c r="N602" i="47"/>
  <c r="M602" i="47"/>
  <c r="K602" i="47"/>
  <c r="J602" i="47"/>
  <c r="I602" i="47"/>
  <c r="H602" i="47"/>
  <c r="G602" i="47"/>
  <c r="E602" i="47"/>
  <c r="F538" i="47"/>
  <c r="L538" i="47" s="1"/>
  <c r="P543" i="47"/>
  <c r="P546" i="47"/>
  <c r="P547" i="47"/>
  <c r="N561" i="47"/>
  <c r="L561" i="47"/>
  <c r="G561" i="47"/>
  <c r="O573" i="47"/>
  <c r="F573" i="47"/>
  <c r="H506" i="47"/>
  <c r="C511" i="47"/>
  <c r="C518" i="47"/>
  <c r="O519" i="47"/>
  <c r="B519" i="47"/>
  <c r="G519" i="47" s="1"/>
  <c r="C537" i="47"/>
  <c r="M537" i="47" s="1"/>
  <c r="B538" i="47"/>
  <c r="G538" i="47" s="1"/>
  <c r="E539" i="47"/>
  <c r="B539" i="47"/>
  <c r="M539" i="47" s="1"/>
  <c r="P545" i="47"/>
  <c r="V551" i="47"/>
  <c r="E561" i="47"/>
  <c r="Q568" i="47"/>
  <c r="B573" i="47"/>
  <c r="P575" i="47"/>
  <c r="C579" i="47"/>
  <c r="K579" i="47" s="1"/>
  <c r="Q584" i="47"/>
  <c r="V543" i="47"/>
  <c r="V547" i="47"/>
  <c r="M557" i="47"/>
  <c r="F558" i="47"/>
  <c r="E559" i="47"/>
  <c r="B559" i="47"/>
  <c r="M559" i="47" s="1"/>
  <c r="N559" i="47"/>
  <c r="J560" i="47"/>
  <c r="E560" i="47"/>
  <c r="N567" i="47"/>
  <c r="K567" i="47"/>
  <c r="C573" i="47"/>
  <c r="O579" i="47"/>
  <c r="V581" i="47"/>
  <c r="E584" i="47"/>
  <c r="F599" i="47"/>
  <c r="O599" i="47"/>
  <c r="C599" i="47"/>
  <c r="E599" i="47" s="1"/>
  <c r="B599" i="47"/>
  <c r="P599" i="47"/>
  <c r="L602" i="47"/>
  <c r="F621" i="47"/>
  <c r="O621" i="47"/>
  <c r="P621" i="47"/>
  <c r="C621" i="47"/>
  <c r="B621" i="47"/>
  <c r="F649" i="47"/>
  <c r="O649" i="47"/>
  <c r="C649" i="47"/>
  <c r="E649" i="47" s="1"/>
  <c r="B649" i="47"/>
  <c r="V561" i="47"/>
  <c r="L567" i="47"/>
  <c r="P585" i="47"/>
  <c r="E589" i="47"/>
  <c r="M592" i="47"/>
  <c r="O595" i="47"/>
  <c r="O605" i="47"/>
  <c r="V617" i="47"/>
  <c r="F629" i="47"/>
  <c r="P654" i="47"/>
  <c r="O654" i="47"/>
  <c r="C654" i="47"/>
  <c r="O619" i="47"/>
  <c r="P666" i="47"/>
  <c r="F666" i="47"/>
  <c r="O666" i="47"/>
  <c r="C666" i="47"/>
  <c r="B666" i="47"/>
  <c r="V585" i="47"/>
  <c r="G589" i="47"/>
  <c r="L591" i="47"/>
  <c r="I606" i="47"/>
  <c r="B607" i="47"/>
  <c r="I608" i="47"/>
  <c r="B619" i="47"/>
  <c r="J622" i="47"/>
  <c r="V625" i="47"/>
  <c r="C629" i="47"/>
  <c r="K629" i="47" s="1"/>
  <c r="V633" i="47"/>
  <c r="M635" i="47"/>
  <c r="G635" i="47"/>
  <c r="E635" i="47"/>
  <c r="O635" i="47"/>
  <c r="J642" i="47"/>
  <c r="H642" i="47"/>
  <c r="F654" i="47"/>
  <c r="E604" i="47"/>
  <c r="C607" i="47"/>
  <c r="K607" i="47" s="1"/>
  <c r="O609" i="47"/>
  <c r="C619" i="47"/>
  <c r="O627" i="47"/>
  <c r="N648" i="47"/>
  <c r="I648" i="47"/>
  <c r="G648" i="47"/>
  <c r="E648" i="47"/>
  <c r="V650" i="47"/>
  <c r="K653" i="47"/>
  <c r="J653" i="47"/>
  <c r="H653" i="47"/>
  <c r="G653" i="47"/>
  <c r="I589" i="47"/>
  <c r="B597" i="47"/>
  <c r="O607" i="47"/>
  <c r="F613" i="47"/>
  <c r="O613" i="47"/>
  <c r="F617" i="47"/>
  <c r="Q617" i="47"/>
  <c r="F646" i="47"/>
  <c r="O646" i="47"/>
  <c r="P646" i="47"/>
  <c r="L563" i="47"/>
  <c r="E585" i="47"/>
  <c r="B586" i="47"/>
  <c r="M586" i="47" s="1"/>
  <c r="J589" i="47"/>
  <c r="O591" i="47"/>
  <c r="C597" i="47"/>
  <c r="L597" i="47" s="1"/>
  <c r="G604" i="47"/>
  <c r="F607" i="47"/>
  <c r="C609" i="47"/>
  <c r="G609" i="47" s="1"/>
  <c r="B611" i="47"/>
  <c r="B613" i="47"/>
  <c r="B615" i="47"/>
  <c r="B617" i="47"/>
  <c r="V623" i="47"/>
  <c r="C627" i="47"/>
  <c r="E627" i="47" s="1"/>
  <c r="I634" i="47"/>
  <c r="H634" i="47"/>
  <c r="F635" i="47"/>
  <c r="H635" i="47" s="1"/>
  <c r="F641" i="47"/>
  <c r="Q641" i="47"/>
  <c r="B646" i="47"/>
  <c r="P649" i="47"/>
  <c r="E653" i="47"/>
  <c r="J604" i="47"/>
  <c r="C611" i="47"/>
  <c r="I611" i="47" s="1"/>
  <c r="C613" i="47"/>
  <c r="M613" i="47" s="1"/>
  <c r="C615" i="47"/>
  <c r="E615" i="47" s="1"/>
  <c r="C617" i="47"/>
  <c r="K626" i="47"/>
  <c r="I626" i="47"/>
  <c r="H626" i="47"/>
  <c r="F627" i="47"/>
  <c r="B641" i="47"/>
  <c r="C646" i="47"/>
  <c r="H648" i="47"/>
  <c r="B687" i="47"/>
  <c r="O687" i="47"/>
  <c r="P687" i="47"/>
  <c r="F687" i="47"/>
  <c r="C687" i="47"/>
  <c r="O615" i="47"/>
  <c r="F625" i="47"/>
  <c r="O625" i="47"/>
  <c r="F633" i="47"/>
  <c r="E634" i="47"/>
  <c r="I635" i="47"/>
  <c r="C641" i="47"/>
  <c r="J648" i="47"/>
  <c r="I651" i="47"/>
  <c r="M651" i="47"/>
  <c r="I656" i="47"/>
  <c r="H656" i="47"/>
  <c r="G656" i="47"/>
  <c r="N656" i="47"/>
  <c r="M656" i="47"/>
  <c r="M659" i="47"/>
  <c r="L604" i="47"/>
  <c r="G608" i="47"/>
  <c r="F611" i="47"/>
  <c r="E612" i="47"/>
  <c r="F615" i="47"/>
  <c r="B645" i="47"/>
  <c r="P645" i="47"/>
  <c r="L653" i="47"/>
  <c r="V657" i="47"/>
  <c r="K659" i="47"/>
  <c r="N520" i="47"/>
  <c r="N524" i="47"/>
  <c r="N528" i="47"/>
  <c r="N532" i="47"/>
  <c r="N536" i="47"/>
  <c r="N540" i="47"/>
  <c r="N544" i="47"/>
  <c r="N552" i="47"/>
  <c r="N556" i="47"/>
  <c r="J557" i="47"/>
  <c r="K561" i="47"/>
  <c r="E563" i="47"/>
  <c r="J567" i="47"/>
  <c r="I585" i="47"/>
  <c r="F586" i="47"/>
  <c r="N586" i="47" s="1"/>
  <c r="N589" i="47"/>
  <c r="H591" i="47"/>
  <c r="E592" i="47"/>
  <c r="B593" i="47"/>
  <c r="N595" i="47"/>
  <c r="M604" i="47"/>
  <c r="K606" i="47"/>
  <c r="J608" i="47"/>
  <c r="G610" i="47"/>
  <c r="G614" i="47"/>
  <c r="V621" i="47"/>
  <c r="C625" i="47"/>
  <c r="P629" i="47"/>
  <c r="C633" i="47"/>
  <c r="M633" i="47" s="1"/>
  <c r="G634" i="47"/>
  <c r="K635" i="47"/>
  <c r="O639" i="47"/>
  <c r="C645" i="47"/>
  <c r="L648" i="47"/>
  <c r="J585" i="47"/>
  <c r="I591" i="47"/>
  <c r="F592" i="47"/>
  <c r="H592" i="47" s="1"/>
  <c r="C593" i="47"/>
  <c r="K608" i="47"/>
  <c r="G612" i="47"/>
  <c r="P619" i="47"/>
  <c r="O623" i="47"/>
  <c r="G626" i="47"/>
  <c r="J634" i="47"/>
  <c r="B639" i="47"/>
  <c r="M648" i="47"/>
  <c r="K651" i="47"/>
  <c r="Q658" i="47"/>
  <c r="N665" i="47"/>
  <c r="L665" i="47"/>
  <c r="J665" i="47"/>
  <c r="H665" i="47"/>
  <c r="E665" i="47"/>
  <c r="P520" i="47"/>
  <c r="Q520" i="47" s="1"/>
  <c r="P524" i="47"/>
  <c r="Q524" i="47" s="1"/>
  <c r="P528" i="47"/>
  <c r="P532" i="47"/>
  <c r="Q532" i="47" s="1"/>
  <c r="P536" i="47"/>
  <c r="P540" i="47"/>
  <c r="Q540" i="47" s="1"/>
  <c r="P544" i="47"/>
  <c r="P548"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O601" i="47"/>
  <c r="M606" i="47"/>
  <c r="L608" i="47"/>
  <c r="J610" i="47"/>
  <c r="K612" i="47"/>
  <c r="J614" i="47"/>
  <c r="B623" i="47"/>
  <c r="J626" i="47"/>
  <c r="N631" i="47"/>
  <c r="L631" i="47"/>
  <c r="E631" i="47"/>
  <c r="L634" i="47"/>
  <c r="P635" i="47"/>
  <c r="C639" i="47"/>
  <c r="J656" i="47"/>
  <c r="E677" i="47"/>
  <c r="M683" i="47"/>
  <c r="K683" i="47"/>
  <c r="I683" i="47"/>
  <c r="G683" i="47"/>
  <c r="E683" i="47"/>
  <c r="H563" i="47"/>
  <c r="V577" i="47"/>
  <c r="L583" i="47"/>
  <c r="L585" i="47"/>
  <c r="I586" i="47"/>
  <c r="C588" i="47"/>
  <c r="K591" i="47"/>
  <c r="I592" i="47"/>
  <c r="F593" i="47"/>
  <c r="C594" i="47"/>
  <c r="N596" i="47"/>
  <c r="O600" i="47"/>
  <c r="B601" i="47"/>
  <c r="I601" i="47" s="1"/>
  <c r="P605" i="47"/>
  <c r="N606" i="47"/>
  <c r="M608" i="47"/>
  <c r="K610" i="47"/>
  <c r="L612" i="47"/>
  <c r="K614" i="47"/>
  <c r="V619" i="47"/>
  <c r="C623" i="47"/>
  <c r="L626" i="47"/>
  <c r="P627" i="47"/>
  <c r="B631" i="47"/>
  <c r="G631" i="47" s="1"/>
  <c r="M634" i="47"/>
  <c r="I638" i="47"/>
  <c r="H638" i="47"/>
  <c r="F639" i="47"/>
  <c r="F645" i="47"/>
  <c r="K656" i="47"/>
  <c r="V589" i="47"/>
  <c r="L595" i="47"/>
  <c r="P607" i="47"/>
  <c r="M612" i="47"/>
  <c r="K622" i="47"/>
  <c r="I622" i="47"/>
  <c r="H622" i="47"/>
  <c r="V635" i="47"/>
  <c r="L656" i="47"/>
  <c r="K665" i="47"/>
  <c r="P709" i="47"/>
  <c r="F709" i="47"/>
  <c r="C709" i="47"/>
  <c r="E709" i="47" s="1"/>
  <c r="O659" i="47"/>
  <c r="B681" i="47"/>
  <c r="P681" i="47"/>
  <c r="O681" i="47"/>
  <c r="C681" i="47"/>
  <c r="F704" i="47"/>
  <c r="O704" i="47"/>
  <c r="P704" i="47"/>
  <c r="C704" i="47"/>
  <c r="P706" i="47"/>
  <c r="F706" i="47"/>
  <c r="C706" i="47"/>
  <c r="H658" i="47"/>
  <c r="F659" i="47"/>
  <c r="H659" i="47" s="1"/>
  <c r="B667" i="47"/>
  <c r="N669" i="47"/>
  <c r="E682" i="47"/>
  <c r="B695" i="47"/>
  <c r="C695" i="47"/>
  <c r="P695" i="47"/>
  <c r="B704" i="47"/>
  <c r="B706" i="47"/>
  <c r="Q640" i="47"/>
  <c r="B655" i="47"/>
  <c r="J658" i="47"/>
  <c r="G659" i="47"/>
  <c r="P662" i="47"/>
  <c r="G665" i="47"/>
  <c r="C667" i="47"/>
  <c r="I667" i="47" s="1"/>
  <c r="F681" i="47"/>
  <c r="G702" i="47"/>
  <c r="O706" i="47"/>
  <c r="O667" i="47"/>
  <c r="P670" i="47"/>
  <c r="V684" i="47"/>
  <c r="F695" i="47"/>
  <c r="O717" i="47"/>
  <c r="F717" i="47"/>
  <c r="C717" i="47"/>
  <c r="N717" i="47" s="1"/>
  <c r="B717" i="47"/>
  <c r="C632" i="47"/>
  <c r="J632" i="47" s="1"/>
  <c r="K634" i="47"/>
  <c r="C636" i="47"/>
  <c r="H636" i="47" s="1"/>
  <c r="C640" i="47"/>
  <c r="H640" i="47" s="1"/>
  <c r="L642" i="47"/>
  <c r="E644" i="47"/>
  <c r="C650" i="47"/>
  <c r="J650" i="47" s="1"/>
  <c r="L658" i="47"/>
  <c r="I659" i="47"/>
  <c r="B661" i="47"/>
  <c r="P663" i="47"/>
  <c r="F667" i="47"/>
  <c r="P671" i="47"/>
  <c r="C678" i="47"/>
  <c r="B701" i="47"/>
  <c r="P701" i="47"/>
  <c r="C701" i="47"/>
  <c r="O725" i="47"/>
  <c r="B725" i="47"/>
  <c r="P725" i="47"/>
  <c r="F725" i="47"/>
  <c r="C725" i="47"/>
  <c r="E651" i="47"/>
  <c r="J659" i="47"/>
  <c r="C661" i="47"/>
  <c r="I661" i="47" s="1"/>
  <c r="I662" i="47"/>
  <c r="B678" i="47"/>
  <c r="B685" i="47"/>
  <c r="P685" i="47"/>
  <c r="L685" i="47"/>
  <c r="J685" i="47"/>
  <c r="H685" i="47"/>
  <c r="O685" i="47"/>
  <c r="B689" i="47"/>
  <c r="P689" i="47"/>
  <c r="F689" i="47"/>
  <c r="O689" i="47"/>
  <c r="C689" i="47"/>
  <c r="B693" i="47"/>
  <c r="P693" i="47"/>
  <c r="Q693" i="47" s="1"/>
  <c r="F693" i="47"/>
  <c r="C693" i="47"/>
  <c r="N693" i="47" s="1"/>
  <c r="M698" i="47"/>
  <c r="I698" i="47"/>
  <c r="P717" i="47"/>
  <c r="L659" i="47"/>
  <c r="F678" i="47"/>
  <c r="E685" i="47"/>
  <c r="I686" i="47"/>
  <c r="E698" i="47"/>
  <c r="F701" i="47"/>
  <c r="J703" i="47"/>
  <c r="H703" i="47"/>
  <c r="B703" i="47"/>
  <c r="I703" i="47" s="1"/>
  <c r="P703" i="47"/>
  <c r="M703" i="47"/>
  <c r="L703" i="47"/>
  <c r="E703" i="47"/>
  <c r="B670" i="47"/>
  <c r="F671" i="47"/>
  <c r="F676" i="47"/>
  <c r="O676" i="47"/>
  <c r="B676" i="47"/>
  <c r="B705" i="47"/>
  <c r="P705" i="47"/>
  <c r="O705" i="47"/>
  <c r="P598" i="47"/>
  <c r="P602" i="47"/>
  <c r="H604" i="47"/>
  <c r="P606" i="47"/>
  <c r="H608" i="47"/>
  <c r="P610" i="47"/>
  <c r="Q610" i="47" s="1"/>
  <c r="H612" i="47"/>
  <c r="P614" i="47"/>
  <c r="H616" i="47"/>
  <c r="P618" i="47"/>
  <c r="H620" i="47"/>
  <c r="P622" i="47"/>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Q684" i="47"/>
  <c r="F692" i="47"/>
  <c r="H692" i="47" s="1"/>
  <c r="Q692" i="47"/>
  <c r="N692" i="47"/>
  <c r="E692" i="47"/>
  <c r="B692" i="47"/>
  <c r="G692" i="47" s="1"/>
  <c r="O703" i="47"/>
  <c r="C705" i="47"/>
  <c r="J705" i="47" s="1"/>
  <c r="K707" i="47"/>
  <c r="I624" i="47"/>
  <c r="I628" i="47"/>
  <c r="K644" i="47"/>
  <c r="G651" i="47"/>
  <c r="K655" i="47"/>
  <c r="O657" i="47"/>
  <c r="F662" i="47"/>
  <c r="O663" i="47"/>
  <c r="O670" i="47"/>
  <c r="C671" i="47"/>
  <c r="F688" i="47"/>
  <c r="O688" i="47"/>
  <c r="C688" i="47"/>
  <c r="E688" i="47" s="1"/>
  <c r="B688" i="47"/>
  <c r="O721" i="47"/>
  <c r="F721" i="47"/>
  <c r="C721" i="47"/>
  <c r="M721" i="47" s="1"/>
  <c r="P721" i="47"/>
  <c r="B721" i="47"/>
  <c r="B642" i="47"/>
  <c r="M642" i="47" s="1"/>
  <c r="M653" i="47"/>
  <c r="L655" i="47"/>
  <c r="B658" i="47"/>
  <c r="G658" i="47" s="1"/>
  <c r="P659" i="47"/>
  <c r="F663" i="47"/>
  <c r="G669" i="47"/>
  <c r="O671" i="47"/>
  <c r="B674" i="47"/>
  <c r="C675" i="47"/>
  <c r="E675" i="47" s="1"/>
  <c r="C684" i="47"/>
  <c r="K698" i="47"/>
  <c r="F700" i="47"/>
  <c r="O700" i="47"/>
  <c r="B700" i="47"/>
  <c r="F705" i="47"/>
  <c r="F657" i="47"/>
  <c r="M665" i="47"/>
  <c r="F670" i="47"/>
  <c r="C674" i="47"/>
  <c r="L674" i="47" s="1"/>
  <c r="O675" i="47"/>
  <c r="P683" i="47"/>
  <c r="F683" i="47"/>
  <c r="H683" i="47" s="1"/>
  <c r="N685" i="47"/>
  <c r="V686" i="47"/>
  <c r="I692" i="47"/>
  <c r="C700" i="47"/>
  <c r="N703" i="47"/>
  <c r="E659" i="47"/>
  <c r="P667" i="47"/>
  <c r="B677" i="47"/>
  <c r="G677" i="47" s="1"/>
  <c r="P677" i="47"/>
  <c r="Q677" i="47" s="1"/>
  <c r="F686" i="47"/>
  <c r="V688" i="47"/>
  <c r="E702" i="47"/>
  <c r="J714" i="47"/>
  <c r="E731" i="47"/>
  <c r="J740" i="47"/>
  <c r="I740" i="47"/>
  <c r="K740" i="47"/>
  <c r="G740" i="47"/>
  <c r="E740" i="47"/>
  <c r="O754" i="47"/>
  <c r="P754" i="47"/>
  <c r="B754" i="47"/>
  <c r="F754" i="47"/>
  <c r="K714" i="47"/>
  <c r="M715" i="47"/>
  <c r="V718" i="47"/>
  <c r="F720" i="47"/>
  <c r="V747" i="47"/>
  <c r="B749" i="47"/>
  <c r="P749" i="47"/>
  <c r="F749" i="47"/>
  <c r="O749" i="47"/>
  <c r="C749" i="47"/>
  <c r="E749" i="47" s="1"/>
  <c r="C754" i="47"/>
  <c r="F690" i="47"/>
  <c r="I702" i="47"/>
  <c r="J711" i="47"/>
  <c r="C720" i="47"/>
  <c r="J720" i="47" s="1"/>
  <c r="O737" i="47"/>
  <c r="B737" i="47"/>
  <c r="H740" i="47"/>
  <c r="V672" i="47"/>
  <c r="F677" i="47"/>
  <c r="H677" i="47" s="1"/>
  <c r="E686" i="47"/>
  <c r="B690" i="47"/>
  <c r="B691" i="47"/>
  <c r="K691" i="47" s="1"/>
  <c r="H707" i="47"/>
  <c r="M710" i="47"/>
  <c r="K711" i="47"/>
  <c r="O720" i="47"/>
  <c r="E733" i="47"/>
  <c r="F733" i="47"/>
  <c r="J733" i="47" s="1"/>
  <c r="B733" i="47"/>
  <c r="G733" i="47" s="1"/>
  <c r="P733" i="47"/>
  <c r="L733" i="47"/>
  <c r="C737" i="47"/>
  <c r="E737" i="47" s="1"/>
  <c r="L740" i="47"/>
  <c r="L752" i="47"/>
  <c r="N752" i="47"/>
  <c r="M752" i="47"/>
  <c r="H752" i="47"/>
  <c r="E752" i="47"/>
  <c r="K752" i="47"/>
  <c r="I752" i="47"/>
  <c r="G752" i="47"/>
  <c r="B803" i="47"/>
  <c r="F803" i="47"/>
  <c r="O803" i="47"/>
  <c r="P803" i="47"/>
  <c r="C803" i="47"/>
  <c r="M711" i="47"/>
  <c r="P718" i="47"/>
  <c r="Q718" i="47" s="1"/>
  <c r="F718" i="47"/>
  <c r="C718" i="47"/>
  <c r="J718" i="47" s="1"/>
  <c r="O729" i="47"/>
  <c r="P729" i="47"/>
  <c r="F729" i="47"/>
  <c r="N729" i="47" s="1"/>
  <c r="E729" i="47"/>
  <c r="M740" i="47"/>
  <c r="F755" i="47"/>
  <c r="O755" i="47"/>
  <c r="P755" i="47"/>
  <c r="C755" i="47"/>
  <c r="C672" i="47"/>
  <c r="C679" i="47"/>
  <c r="J679" i="47" s="1"/>
  <c r="F680" i="47"/>
  <c r="J680" i="47" s="1"/>
  <c r="O680" i="47"/>
  <c r="O690" i="47"/>
  <c r="F694" i="47"/>
  <c r="H694" i="47" s="1"/>
  <c r="V696" i="47"/>
  <c r="M702" i="47"/>
  <c r="N711" i="47"/>
  <c r="B718" i="47"/>
  <c r="C724" i="47"/>
  <c r="E724" i="47" s="1"/>
  <c r="B724" i="47"/>
  <c r="V727" i="47"/>
  <c r="B729" i="47"/>
  <c r="M729" i="47" s="1"/>
  <c r="V731" i="47"/>
  <c r="F737" i="47"/>
  <c r="N740" i="47"/>
  <c r="B755" i="47"/>
  <c r="L757" i="47"/>
  <c r="K757" i="47"/>
  <c r="G757" i="47"/>
  <c r="M757" i="47"/>
  <c r="I757" i="47"/>
  <c r="H757" i="47"/>
  <c r="E757" i="47"/>
  <c r="F672" i="47"/>
  <c r="F691" i="47"/>
  <c r="L691" i="47" s="1"/>
  <c r="F696" i="47"/>
  <c r="B697" i="47"/>
  <c r="P697" i="47"/>
  <c r="Q697" i="47" s="1"/>
  <c r="P702" i="47"/>
  <c r="B728" i="47"/>
  <c r="F732" i="47"/>
  <c r="O732" i="47"/>
  <c r="P732" i="47"/>
  <c r="P737" i="47"/>
  <c r="N682" i="47"/>
  <c r="L682" i="47"/>
  <c r="B696" i="47"/>
  <c r="K696" i="47" s="1"/>
  <c r="C697" i="47"/>
  <c r="J697" i="47" s="1"/>
  <c r="F698" i="47"/>
  <c r="L698" i="47" s="1"/>
  <c r="V700" i="47"/>
  <c r="V712" i="47"/>
  <c r="F715" i="47"/>
  <c r="H715" i="47" s="1"/>
  <c r="K715" i="47"/>
  <c r="F723" i="47"/>
  <c r="L723" i="47" s="1"/>
  <c r="E723" i="47"/>
  <c r="C728" i="47"/>
  <c r="B732" i="47"/>
  <c r="K733" i="47"/>
  <c r="B699" i="47"/>
  <c r="V709" i="47"/>
  <c r="V721" i="47"/>
  <c r="B723" i="47"/>
  <c r="K723" i="47" s="1"/>
  <c r="Q728" i="47"/>
  <c r="C732" i="47"/>
  <c r="N757" i="47"/>
  <c r="O713" i="47"/>
  <c r="C713" i="47"/>
  <c r="E713" i="47" s="1"/>
  <c r="G714" i="47"/>
  <c r="N714" i="47"/>
  <c r="N736" i="47"/>
  <c r="H736" i="47"/>
  <c r="F702" i="47"/>
  <c r="H702" i="47" s="1"/>
  <c r="V704" i="47"/>
  <c r="P710" i="47"/>
  <c r="O710" i="47"/>
  <c r="B710" i="47"/>
  <c r="K710" i="47" s="1"/>
  <c r="L710" i="47"/>
  <c r="B713" i="47"/>
  <c r="E715" i="47"/>
  <c r="Q723" i="47"/>
  <c r="F728" i="47"/>
  <c r="V733" i="47"/>
  <c r="E736" i="47"/>
  <c r="E741" i="47"/>
  <c r="F712" i="47"/>
  <c r="C712" i="47"/>
  <c r="E714" i="47"/>
  <c r="G715" i="47"/>
  <c r="F731" i="47"/>
  <c r="N731" i="47" s="1"/>
  <c r="B731" i="47"/>
  <c r="I731" i="47" s="1"/>
  <c r="P731" i="47"/>
  <c r="C745" i="47"/>
  <c r="K745" i="47" s="1"/>
  <c r="F745" i="47"/>
  <c r="O745" i="47"/>
  <c r="B745" i="47"/>
  <c r="B712" i="47"/>
  <c r="F713" i="47"/>
  <c r="P726" i="47"/>
  <c r="F726" i="47"/>
  <c r="L726" i="47" s="1"/>
  <c r="O726" i="47"/>
  <c r="N726" i="47"/>
  <c r="F743" i="47"/>
  <c r="O743" i="47"/>
  <c r="P743" i="47"/>
  <c r="B743" i="47"/>
  <c r="C743" i="47"/>
  <c r="M747" i="47"/>
  <c r="K747" i="47"/>
  <c r="I747" i="47"/>
  <c r="F751" i="47"/>
  <c r="O751" i="47"/>
  <c r="P751" i="47"/>
  <c r="C751" i="47"/>
  <c r="E751" i="47" s="1"/>
  <c r="B751" i="47"/>
  <c r="G761" i="47"/>
  <c r="M761" i="47"/>
  <c r="L761" i="47"/>
  <c r="E761" i="47"/>
  <c r="I761" i="47"/>
  <c r="H761" i="47"/>
  <c r="E772" i="47"/>
  <c r="L772" i="47"/>
  <c r="B772" i="47"/>
  <c r="G772" i="47" s="1"/>
  <c r="P772" i="47"/>
  <c r="F772" i="47"/>
  <c r="N772" i="47" s="1"/>
  <c r="M777" i="47"/>
  <c r="L777" i="47"/>
  <c r="K777" i="47"/>
  <c r="E777" i="47"/>
  <c r="B763" i="47"/>
  <c r="O763" i="47"/>
  <c r="F763" i="47"/>
  <c r="E779" i="47"/>
  <c r="N779" i="47"/>
  <c r="L779" i="47"/>
  <c r="P753" i="47"/>
  <c r="E758" i="47"/>
  <c r="C763" i="47"/>
  <c r="O772" i="47"/>
  <c r="B730" i="47"/>
  <c r="P739" i="47"/>
  <c r="C746" i="47"/>
  <c r="Q750" i="47"/>
  <c r="N750" i="47"/>
  <c r="F750" i="47"/>
  <c r="J750" i="47" s="1"/>
  <c r="B750" i="47"/>
  <c r="I750" i="47" s="1"/>
  <c r="B753" i="47"/>
  <c r="N761" i="47"/>
  <c r="H777" i="47"/>
  <c r="B783" i="47"/>
  <c r="F783" i="47"/>
  <c r="O783" i="47"/>
  <c r="P783" i="47"/>
  <c r="C783" i="47"/>
  <c r="C730" i="47"/>
  <c r="K730" i="47" s="1"/>
  <c r="C753" i="47"/>
  <c r="I758" i="47"/>
  <c r="O760" i="47"/>
  <c r="C760" i="47"/>
  <c r="H760" i="47" s="1"/>
  <c r="B760" i="47"/>
  <c r="O768" i="47"/>
  <c r="C768" i="47"/>
  <c r="B768" i="47"/>
  <c r="C719" i="47"/>
  <c r="N741" i="47"/>
  <c r="L741" i="47"/>
  <c r="B741" i="47"/>
  <c r="G741" i="47" s="1"/>
  <c r="F746" i="47"/>
  <c r="F753" i="47"/>
  <c r="F760" i="47"/>
  <c r="F768" i="47"/>
  <c r="N771" i="47"/>
  <c r="E771" i="47"/>
  <c r="O776" i="47"/>
  <c r="B776" i="47"/>
  <c r="F778" i="47"/>
  <c r="C778" i="47"/>
  <c r="O778" i="47"/>
  <c r="C792" i="47"/>
  <c r="B792" i="47"/>
  <c r="F792" i="47"/>
  <c r="O792" i="47"/>
  <c r="P792" i="47"/>
  <c r="F739" i="47"/>
  <c r="H739" i="47" s="1"/>
  <c r="E739" i="47"/>
  <c r="O739" i="47"/>
  <c r="P760" i="47"/>
  <c r="P768" i="47"/>
  <c r="C776" i="47"/>
  <c r="B778" i="47"/>
  <c r="B780" i="47"/>
  <c r="F780" i="47"/>
  <c r="O780" i="47"/>
  <c r="C780" i="47"/>
  <c r="P780" i="47"/>
  <c r="Q734" i="47"/>
  <c r="V735" i="47"/>
  <c r="B739" i="47"/>
  <c r="G739" i="47" s="1"/>
  <c r="H771" i="47"/>
  <c r="F776" i="47"/>
  <c r="J771" i="47"/>
  <c r="P776" i="47"/>
  <c r="C784" i="47"/>
  <c r="B784" i="47"/>
  <c r="F784" i="47"/>
  <c r="J707" i="47"/>
  <c r="G708" i="47"/>
  <c r="C727" i="47"/>
  <c r="K727" i="47" s="1"/>
  <c r="B736" i="47"/>
  <c r="G736" i="47" s="1"/>
  <c r="P736" i="47"/>
  <c r="L736" i="47"/>
  <c r="C738" i="47"/>
  <c r="J741" i="47"/>
  <c r="V746" i="47"/>
  <c r="E759" i="47"/>
  <c r="B764" i="47"/>
  <c r="C764" i="47"/>
  <c r="L771" i="47"/>
  <c r="V776" i="47"/>
  <c r="F782" i="47"/>
  <c r="C782" i="47"/>
  <c r="K782" i="47" s="1"/>
  <c r="P778" i="47"/>
  <c r="E795" i="47"/>
  <c r="N795" i="47"/>
  <c r="L795" i="47"/>
  <c r="V705" i="47"/>
  <c r="M707" i="47"/>
  <c r="L711" i="47"/>
  <c r="I714" i="47"/>
  <c r="C716" i="47"/>
  <c r="L716" i="47" s="1"/>
  <c r="C722" i="47"/>
  <c r="C735" i="47"/>
  <c r="N735" i="47" s="1"/>
  <c r="O736" i="47"/>
  <c r="F758" i="47"/>
  <c r="H758" i="47" s="1"/>
  <c r="M758" i="47"/>
  <c r="P758" i="47"/>
  <c r="K758" i="47"/>
  <c r="G758" i="47"/>
  <c r="F764" i="47"/>
  <c r="N767" i="47"/>
  <c r="J777" i="47"/>
  <c r="C788" i="47"/>
  <c r="I788" i="47" s="1"/>
  <c r="B788" i="47"/>
  <c r="O788" i="47"/>
  <c r="I789" i="47"/>
  <c r="B807" i="47"/>
  <c r="P807" i="47"/>
  <c r="F807" i="47"/>
  <c r="O807" i="47"/>
  <c r="C807" i="47"/>
  <c r="I807" i="47" s="1"/>
  <c r="B791" i="47"/>
  <c r="F791" i="47"/>
  <c r="Q791" i="47"/>
  <c r="F794" i="47"/>
  <c r="C794" i="47"/>
  <c r="P794" i="47"/>
  <c r="Q794" i="47" s="1"/>
  <c r="O794" i="47"/>
  <c r="C804" i="47"/>
  <c r="L804" i="47" s="1"/>
  <c r="B804" i="47"/>
  <c r="B818" i="47"/>
  <c r="V742" i="47"/>
  <c r="F747" i="47"/>
  <c r="N747" i="47" s="1"/>
  <c r="E747" i="47"/>
  <c r="O747" i="47"/>
  <c r="P747" i="47"/>
  <c r="F762" i="47"/>
  <c r="C762" i="47"/>
  <c r="K762" i="47" s="1"/>
  <c r="I773" i="47"/>
  <c r="F788" i="47"/>
  <c r="C791" i="47"/>
  <c r="B794" i="47"/>
  <c r="O804" i="47"/>
  <c r="C818" i="47"/>
  <c r="O822" i="47"/>
  <c r="F822" i="47"/>
  <c r="C822" i="47"/>
  <c r="B822" i="47"/>
  <c r="O818" i="47"/>
  <c r="E826" i="47"/>
  <c r="L826" i="47"/>
  <c r="J826" i="47"/>
  <c r="I826" i="47"/>
  <c r="G826" i="47"/>
  <c r="F831" i="47"/>
  <c r="O831" i="47"/>
  <c r="C831" i="47"/>
  <c r="P831" i="47"/>
  <c r="B831" i="47"/>
  <c r="J742" i="47"/>
  <c r="I742" i="47"/>
  <c r="H742" i="47"/>
  <c r="O742" i="47"/>
  <c r="G747" i="47"/>
  <c r="J761" i="47"/>
  <c r="V765" i="47"/>
  <c r="B767" i="47"/>
  <c r="I767" i="47" s="1"/>
  <c r="F767" i="47"/>
  <c r="L767" i="47" s="1"/>
  <c r="E767" i="47"/>
  <c r="O767" i="47"/>
  <c r="N773" i="47"/>
  <c r="P822" i="47"/>
  <c r="B787" i="47"/>
  <c r="F787" i="47"/>
  <c r="O787" i="47"/>
  <c r="P788" i="47"/>
  <c r="Q788" i="47" s="1"/>
  <c r="C796" i="47"/>
  <c r="B796" i="47"/>
  <c r="O796" i="47"/>
  <c r="P804" i="47"/>
  <c r="K817" i="47"/>
  <c r="H817" i="47"/>
  <c r="N817" i="47"/>
  <c r="I817" i="47"/>
  <c r="G817" i="47"/>
  <c r="F766" i="47"/>
  <c r="C766" i="47"/>
  <c r="E766" i="47" s="1"/>
  <c r="B775" i="47"/>
  <c r="M775" i="47" s="1"/>
  <c r="P775" i="47"/>
  <c r="C787" i="47"/>
  <c r="F790" i="47"/>
  <c r="C790" i="47"/>
  <c r="B790" i="47"/>
  <c r="P818" i="47"/>
  <c r="P808" i="47"/>
  <c r="O808" i="47"/>
  <c r="C808" i="47"/>
  <c r="O766" i="47"/>
  <c r="O775" i="47"/>
  <c r="N793" i="47"/>
  <c r="M793" i="47"/>
  <c r="L793" i="47"/>
  <c r="K793" i="47"/>
  <c r="E793" i="47"/>
  <c r="B808" i="47"/>
  <c r="K825" i="47"/>
  <c r="H825" i="47"/>
  <c r="N825" i="47"/>
  <c r="M825" i="47"/>
  <c r="L825" i="47"/>
  <c r="I825" i="47"/>
  <c r="G825" i="47"/>
  <c r="N844" i="47"/>
  <c r="M844" i="47"/>
  <c r="G742" i="47"/>
  <c r="K748" i="47"/>
  <c r="P762" i="47"/>
  <c r="F774" i="47"/>
  <c r="C774" i="47"/>
  <c r="P774" i="47"/>
  <c r="E775" i="47"/>
  <c r="F808" i="47"/>
  <c r="N814" i="47"/>
  <c r="M814" i="47"/>
  <c r="G814" i="47"/>
  <c r="E814" i="47"/>
  <c r="O814" i="47"/>
  <c r="I814" i="47"/>
  <c r="F814" i="47"/>
  <c r="H814" i="47" s="1"/>
  <c r="P814" i="47"/>
  <c r="J817" i="47"/>
  <c r="H734" i="47"/>
  <c r="K742" i="47"/>
  <c r="B759" i="47"/>
  <c r="G759" i="47" s="1"/>
  <c r="P759" i="47"/>
  <c r="H759" i="47"/>
  <c r="H765" i="47"/>
  <c r="E765" i="47"/>
  <c r="J773" i="47"/>
  <c r="F775" i="47"/>
  <c r="N775" i="47" s="1"/>
  <c r="B779" i="47"/>
  <c r="K779" i="47" s="1"/>
  <c r="J779" i="47"/>
  <c r="H779" i="47"/>
  <c r="Q779" i="47"/>
  <c r="F786" i="47"/>
  <c r="C786" i="47"/>
  <c r="O786" i="47"/>
  <c r="B786" i="47"/>
  <c r="E799" i="47"/>
  <c r="H811" i="47"/>
  <c r="J825" i="47"/>
  <c r="V769" i="47"/>
  <c r="N789" i="47"/>
  <c r="H789" i="47"/>
  <c r="E789" i="47"/>
  <c r="M789" i="47"/>
  <c r="P790" i="47"/>
  <c r="Q790" i="47" s="1"/>
  <c r="I793" i="47"/>
  <c r="P796" i="47"/>
  <c r="F798" i="47"/>
  <c r="C798" i="47"/>
  <c r="M798" i="47" s="1"/>
  <c r="O798" i="47"/>
  <c r="N805" i="47"/>
  <c r="H805" i="47"/>
  <c r="E805" i="47"/>
  <c r="M805" i="47"/>
  <c r="M810" i="47"/>
  <c r="F810" i="47"/>
  <c r="J810" i="47" s="1"/>
  <c r="P810" i="47"/>
  <c r="Q810" i="47" s="1"/>
  <c r="O810" i="47"/>
  <c r="B810" i="47"/>
  <c r="K810" i="47" s="1"/>
  <c r="L811" i="47"/>
  <c r="K814" i="47"/>
  <c r="F802" i="47"/>
  <c r="C802" i="47"/>
  <c r="E802" i="47" s="1"/>
  <c r="O802" i="47"/>
  <c r="B802" i="47"/>
  <c r="F832" i="47"/>
  <c r="C832" i="47"/>
  <c r="B832" i="47"/>
  <c r="B795" i="47"/>
  <c r="G795" i="47" s="1"/>
  <c r="F795" i="47"/>
  <c r="H795" i="47" s="1"/>
  <c r="N797" i="47"/>
  <c r="V823" i="47"/>
  <c r="O832" i="47"/>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O836" i="47"/>
  <c r="K842" i="47"/>
  <c r="J765" i="47"/>
  <c r="J789" i="47"/>
  <c r="K797" i="47"/>
  <c r="J805" i="47"/>
  <c r="P823" i="47"/>
  <c r="Q823" i="47" s="1"/>
  <c r="C823" i="47"/>
  <c r="B823" i="47"/>
  <c r="P832" i="47"/>
  <c r="P830" i="47"/>
  <c r="O830" i="47"/>
  <c r="N840" i="47"/>
  <c r="M840" i="47"/>
  <c r="B830" i="47"/>
  <c r="C830" i="47"/>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O843" i="47"/>
  <c r="F847" i="47"/>
  <c r="O847" i="47"/>
  <c r="C847" i="47"/>
  <c r="N847" i="47" s="1"/>
  <c r="B847" i="47"/>
  <c r="P847" i="47"/>
  <c r="C756" i="47"/>
  <c r="N756" i="47" s="1"/>
  <c r="J757" i="47"/>
  <c r="B770" i="47"/>
  <c r="B771" i="47"/>
  <c r="G771" i="47" s="1"/>
  <c r="I771" i="47"/>
  <c r="B799" i="47"/>
  <c r="M799" i="47" s="1"/>
  <c r="F799" i="47"/>
  <c r="N799" i="47" s="1"/>
  <c r="O800" i="47"/>
  <c r="O812" i="47"/>
  <c r="F819" i="47"/>
  <c r="C819" i="47"/>
  <c r="M819" i="47" s="1"/>
  <c r="G820" i="47"/>
  <c r="C839" i="47"/>
  <c r="J839" i="47" s="1"/>
  <c r="V808" i="47"/>
  <c r="J811" i="47"/>
  <c r="I811" i="47"/>
  <c r="G811" i="47"/>
  <c r="O811" i="47"/>
  <c r="P811" i="47"/>
  <c r="N811" i="47"/>
  <c r="F827" i="47"/>
  <c r="C827" i="47"/>
  <c r="O839" i="47"/>
  <c r="B940" i="47"/>
  <c r="P940" i="47"/>
  <c r="Q940" i="47" s="1"/>
  <c r="O940" i="47"/>
  <c r="L940" i="47"/>
  <c r="J940" i="47"/>
  <c r="G940" i="47"/>
  <c r="F940" i="47"/>
  <c r="N940" i="47"/>
  <c r="M940" i="47"/>
  <c r="K940" i="47"/>
  <c r="I940" i="47"/>
  <c r="H940" i="47"/>
  <c r="E940" i="47"/>
  <c r="C940" i="47"/>
  <c r="F855" i="47"/>
  <c r="O855" i="47"/>
  <c r="F816" i="47"/>
  <c r="F824" i="47"/>
  <c r="F851" i="47"/>
  <c r="B855" i="47"/>
  <c r="P894" i="47"/>
  <c r="Q894" i="47" s="1"/>
  <c r="F894" i="47"/>
  <c r="O894" i="47"/>
  <c r="C894" i="47"/>
  <c r="B894" i="47"/>
  <c r="N834" i="47"/>
  <c r="B851" i="47"/>
  <c r="C855" i="47"/>
  <c r="F900" i="47"/>
  <c r="E900" i="47"/>
  <c r="C900" i="47"/>
  <c r="B900" i="47"/>
  <c r="O900" i="47"/>
  <c r="P900" i="47"/>
  <c r="Q900" i="47" s="1"/>
  <c r="N900" i="47"/>
  <c r="M900" i="47"/>
  <c r="L900" i="47"/>
  <c r="K900" i="47"/>
  <c r="J900" i="47"/>
  <c r="I900" i="47"/>
  <c r="H900" i="47"/>
  <c r="G900" i="47"/>
  <c r="Q765" i="47"/>
  <c r="Q793" i="47"/>
  <c r="Q797" i="47"/>
  <c r="C816" i="47"/>
  <c r="K816" i="47" s="1"/>
  <c r="C824" i="47"/>
  <c r="E824" i="47" s="1"/>
  <c r="B834" i="47"/>
  <c r="G834" i="47" s="1"/>
  <c r="C851" i="47"/>
  <c r="P859" i="47"/>
  <c r="Q859" i="47" s="1"/>
  <c r="O859" i="47"/>
  <c r="F859" i="47"/>
  <c r="Q851" i="47"/>
  <c r="B859" i="47"/>
  <c r="P870" i="47"/>
  <c r="F870" i="47"/>
  <c r="O870" i="47"/>
  <c r="C870" i="47"/>
  <c r="E870" i="47" s="1"/>
  <c r="B870" i="47"/>
  <c r="N826" i="47"/>
  <c r="M826" i="47"/>
  <c r="O834" i="47"/>
  <c r="C835" i="47"/>
  <c r="M835" i="47" s="1"/>
  <c r="P855" i="47"/>
  <c r="C859" i="47"/>
  <c r="E859" i="47" s="1"/>
  <c r="K850" i="47"/>
  <c r="I850" i="47"/>
  <c r="I854" i="47"/>
  <c r="H854" i="47"/>
  <c r="G765" i="47"/>
  <c r="G769" i="47"/>
  <c r="G773" i="47"/>
  <c r="G777" i="47"/>
  <c r="G785" i="47"/>
  <c r="G789" i="47"/>
  <c r="G793" i="47"/>
  <c r="G805" i="47"/>
  <c r="I809" i="47"/>
  <c r="F820" i="47"/>
  <c r="N820" i="47" s="1"/>
  <c r="E820" i="47"/>
  <c r="F828" i="47"/>
  <c r="H828" i="47" s="1"/>
  <c r="E828" i="47"/>
  <c r="H834" i="47"/>
  <c r="I840" i="47"/>
  <c r="G840" i="47"/>
  <c r="F840" i="47"/>
  <c r="H840" i="47" s="1"/>
  <c r="E840" i="47"/>
  <c r="F844" i="47"/>
  <c r="H844" i="47" s="1"/>
  <c r="E844" i="47"/>
  <c r="B844" i="47"/>
  <c r="K844" i="47" s="1"/>
  <c r="G850" i="47"/>
  <c r="E853" i="47"/>
  <c r="N853" i="47"/>
  <c r="L853" i="47"/>
  <c r="H850" i="47"/>
  <c r="F860" i="47"/>
  <c r="O860" i="47"/>
  <c r="C860" i="47"/>
  <c r="O820" i="47"/>
  <c r="H826" i="47"/>
  <c r="O828" i="47"/>
  <c r="O840" i="47"/>
  <c r="L850" i="47"/>
  <c r="B860" i="47"/>
  <c r="B876" i="47"/>
  <c r="F883" i="47"/>
  <c r="F895" i="47"/>
  <c r="P907" i="47"/>
  <c r="Q907" i="47" s="1"/>
  <c r="N907" i="47"/>
  <c r="K907" i="47"/>
  <c r="J907" i="47"/>
  <c r="H907" i="47"/>
  <c r="O907" i="47"/>
  <c r="M907" i="47"/>
  <c r="L907" i="47"/>
  <c r="G907" i="47"/>
  <c r="E907" i="47"/>
  <c r="B912" i="47"/>
  <c r="P912" i="47"/>
  <c r="Q912" i="47" s="1"/>
  <c r="L912" i="47"/>
  <c r="J912" i="47"/>
  <c r="G912" i="47"/>
  <c r="F912" i="47"/>
  <c r="O912" i="47"/>
  <c r="M912" i="47"/>
  <c r="I912" i="47"/>
  <c r="P871" i="47"/>
  <c r="C876" i="47"/>
  <c r="B883" i="47"/>
  <c r="B895" i="47"/>
  <c r="O896" i="47"/>
  <c r="B896" i="47"/>
  <c r="B907" i="47"/>
  <c r="C912" i="47"/>
  <c r="O876" i="47"/>
  <c r="Q877" i="47"/>
  <c r="C883" i="47"/>
  <c r="E883" i="47" s="1"/>
  <c r="B884" i="47"/>
  <c r="C895" i="47"/>
  <c r="H895" i="47" s="1"/>
  <c r="C896" i="47"/>
  <c r="G896" i="47" s="1"/>
  <c r="I899" i="47"/>
  <c r="H899" i="47"/>
  <c r="G899" i="47"/>
  <c r="F899" i="47"/>
  <c r="B899" i="47"/>
  <c r="C907" i="47"/>
  <c r="E912" i="47"/>
  <c r="F876" i="47"/>
  <c r="O883" i="47"/>
  <c r="C884" i="47"/>
  <c r="I884" i="47" s="1"/>
  <c r="O895" i="47"/>
  <c r="F896" i="47"/>
  <c r="M898" i="47"/>
  <c r="L898" i="47"/>
  <c r="K898" i="47"/>
  <c r="J898" i="47"/>
  <c r="H898" i="47"/>
  <c r="C899" i="47"/>
  <c r="J904" i="47"/>
  <c r="M904" i="47"/>
  <c r="L904" i="47"/>
  <c r="K904" i="47"/>
  <c r="I904" i="47"/>
  <c r="H904" i="47"/>
  <c r="F904" i="47"/>
  <c r="C904" i="47"/>
  <c r="F907" i="47"/>
  <c r="H912" i="47"/>
  <c r="F923" i="47"/>
  <c r="P923" i="47"/>
  <c r="Q923" i="47" s="1"/>
  <c r="N923" i="47"/>
  <c r="K923" i="47"/>
  <c r="J923" i="47"/>
  <c r="H923" i="47"/>
  <c r="I923" i="47"/>
  <c r="G923" i="47"/>
  <c r="E923" i="47"/>
  <c r="C923" i="47"/>
  <c r="B923" i="47"/>
  <c r="B871" i="47"/>
  <c r="O884" i="47"/>
  <c r="P888" i="47"/>
  <c r="B898" i="47"/>
  <c r="E899" i="47"/>
  <c r="B904" i="47"/>
  <c r="I907" i="47"/>
  <c r="K912" i="47"/>
  <c r="B916" i="47"/>
  <c r="P916" i="47"/>
  <c r="Q916" i="47" s="1"/>
  <c r="L916" i="47"/>
  <c r="J916" i="47"/>
  <c r="G916" i="47"/>
  <c r="F916" i="47"/>
  <c r="O916" i="47"/>
  <c r="N916" i="47"/>
  <c r="K916" i="47"/>
  <c r="H916" i="47"/>
  <c r="L923" i="47"/>
  <c r="J930" i="47"/>
  <c r="H930" i="47"/>
  <c r="B930" i="47"/>
  <c r="O930" i="47"/>
  <c r="N930" i="47"/>
  <c r="L930" i="47"/>
  <c r="P930" i="47"/>
  <c r="Q930" i="47" s="1"/>
  <c r="M930" i="47"/>
  <c r="K930" i="47"/>
  <c r="I930" i="47"/>
  <c r="G930" i="47"/>
  <c r="F930" i="47"/>
  <c r="Q852" i="47"/>
  <c r="Q856" i="47"/>
  <c r="B866" i="47"/>
  <c r="P867" i="47"/>
  <c r="C871" i="47"/>
  <c r="F884" i="47"/>
  <c r="C898" i="47"/>
  <c r="J899" i="47"/>
  <c r="E904" i="47"/>
  <c r="N912" i="47"/>
  <c r="M923" i="47"/>
  <c r="J842" i="47"/>
  <c r="J846" i="47"/>
  <c r="B848" i="47"/>
  <c r="M848" i="47" s="1"/>
  <c r="J850" i="47"/>
  <c r="B852" i="47"/>
  <c r="M852" i="47" s="1"/>
  <c r="J854" i="47"/>
  <c r="B856" i="47"/>
  <c r="G856" i="47" s="1"/>
  <c r="P862" i="47"/>
  <c r="C866" i="47"/>
  <c r="O871" i="47"/>
  <c r="B878" i="47"/>
  <c r="M886" i="47"/>
  <c r="J886" i="47"/>
  <c r="K899" i="47"/>
  <c r="G904" i="47"/>
  <c r="E916" i="47"/>
  <c r="O923" i="47"/>
  <c r="E930" i="47"/>
  <c r="O866" i="47"/>
  <c r="C878" i="47"/>
  <c r="F879" i="47"/>
  <c r="F887" i="47"/>
  <c r="E898" i="47"/>
  <c r="L899" i="47"/>
  <c r="H903" i="47"/>
  <c r="O903" i="47"/>
  <c r="N903" i="47"/>
  <c r="M903" i="47"/>
  <c r="L903" i="47"/>
  <c r="K903" i="47"/>
  <c r="I903" i="47"/>
  <c r="F903" i="47"/>
  <c r="N904" i="47"/>
  <c r="P908" i="47"/>
  <c r="Q908" i="47" s="1"/>
  <c r="L908" i="47"/>
  <c r="J908" i="47"/>
  <c r="G908" i="47"/>
  <c r="F908" i="47"/>
  <c r="N908" i="47"/>
  <c r="K908" i="47"/>
  <c r="I916" i="47"/>
  <c r="F871" i="47"/>
  <c r="O878" i="47"/>
  <c r="O888" i="47"/>
  <c r="B888" i="47"/>
  <c r="F898" i="47"/>
  <c r="M899" i="47"/>
  <c r="B903" i="47"/>
  <c r="O904" i="47"/>
  <c r="B908" i="47"/>
  <c r="M916" i="47"/>
  <c r="B920" i="47"/>
  <c r="P920" i="47"/>
  <c r="Q920" i="47" s="1"/>
  <c r="L920" i="47"/>
  <c r="J920" i="47"/>
  <c r="G920" i="47"/>
  <c r="F920" i="47"/>
  <c r="O920" i="47"/>
  <c r="N920" i="47"/>
  <c r="M920" i="47"/>
  <c r="I920" i="47"/>
  <c r="E920" i="47"/>
  <c r="M842" i="47"/>
  <c r="M846" i="47"/>
  <c r="E848" i="47"/>
  <c r="M850" i="47"/>
  <c r="E852" i="47"/>
  <c r="Q853" i="47"/>
  <c r="M854" i="47"/>
  <c r="E856" i="47"/>
  <c r="Q857" i="47"/>
  <c r="B862" i="47"/>
  <c r="P863" i="47"/>
  <c r="M864" i="47"/>
  <c r="F866" i="47"/>
  <c r="C867" i="47"/>
  <c r="O872" i="47"/>
  <c r="Q873" i="47"/>
  <c r="C879" i="47"/>
  <c r="K879" i="47" s="1"/>
  <c r="B880" i="47"/>
  <c r="N882" i="47"/>
  <c r="O886" i="47"/>
  <c r="C887" i="47"/>
  <c r="C888" i="47"/>
  <c r="P892" i="47"/>
  <c r="G898" i="47"/>
  <c r="N899" i="47"/>
  <c r="C903" i="47"/>
  <c r="P904" i="47"/>
  <c r="Q904" i="47" s="1"/>
  <c r="C908" i="47"/>
  <c r="C920" i="47"/>
  <c r="N842" i="47"/>
  <c r="N846" i="47"/>
  <c r="F848" i="47"/>
  <c r="N848" i="47" s="1"/>
  <c r="N850" i="47"/>
  <c r="F852" i="47"/>
  <c r="L852" i="47" s="1"/>
  <c r="B853" i="47"/>
  <c r="K853" i="47" s="1"/>
  <c r="F856" i="47"/>
  <c r="J856" i="47" s="1"/>
  <c r="B857" i="47"/>
  <c r="P858" i="47"/>
  <c r="C862" i="47"/>
  <c r="N864" i="47"/>
  <c r="O867" i="47"/>
  <c r="F872" i="47"/>
  <c r="L872" i="47" s="1"/>
  <c r="F878" i="47"/>
  <c r="O879" i="47"/>
  <c r="C880" i="47"/>
  <c r="I880" i="47" s="1"/>
  <c r="E886" i="47"/>
  <c r="O887" i="47"/>
  <c r="F888" i="47"/>
  <c r="I898" i="47"/>
  <c r="O899" i="47"/>
  <c r="L902" i="47"/>
  <c r="P902" i="47"/>
  <c r="Q902" i="47" s="1"/>
  <c r="O902" i="47"/>
  <c r="N902" i="47"/>
  <c r="K902" i="47"/>
  <c r="I902" i="47"/>
  <c r="E908" i="47"/>
  <c r="H920" i="47"/>
  <c r="C857" i="47"/>
  <c r="O862" i="47"/>
  <c r="G872" i="47"/>
  <c r="P875" i="47"/>
  <c r="O880" i="47"/>
  <c r="P882" i="47"/>
  <c r="F886" i="47"/>
  <c r="L886" i="47" s="1"/>
  <c r="M890" i="47"/>
  <c r="L890" i="47"/>
  <c r="J890" i="47"/>
  <c r="N898" i="47"/>
  <c r="P899" i="47"/>
  <c r="Q899" i="47" s="1"/>
  <c r="E903" i="47"/>
  <c r="V904" i="47"/>
  <c r="H908" i="47"/>
  <c r="N917" i="47"/>
  <c r="L917" i="47"/>
  <c r="H917" i="47"/>
  <c r="F917" i="47"/>
  <c r="C917" i="47"/>
  <c r="B917" i="47"/>
  <c r="P917" i="47"/>
  <c r="Q917" i="47" s="1"/>
  <c r="M917" i="47"/>
  <c r="K920" i="47"/>
  <c r="V924" i="47"/>
  <c r="P854" i="47"/>
  <c r="Q854" i="47" s="1"/>
  <c r="P864" i="47"/>
  <c r="F867" i="47"/>
  <c r="F880" i="47"/>
  <c r="G886" i="47"/>
  <c r="F891" i="47"/>
  <c r="P895" i="47"/>
  <c r="O898" i="47"/>
  <c r="G903" i="47"/>
  <c r="I908" i="47"/>
  <c r="F862" i="47"/>
  <c r="P876" i="47"/>
  <c r="P883" i="47"/>
  <c r="O892" i="47"/>
  <c r="B892" i="47"/>
  <c r="P896" i="47"/>
  <c r="Q896" i="47" s="1"/>
  <c r="P898" i="47"/>
  <c r="Q898" i="47" s="1"/>
  <c r="J903" i="47"/>
  <c r="L905" i="47"/>
  <c r="F905" i="47"/>
  <c r="P905" i="47"/>
  <c r="Q905" i="47" s="1"/>
  <c r="K905" i="47"/>
  <c r="J905" i="47"/>
  <c r="I905" i="47"/>
  <c r="H905" i="47"/>
  <c r="G905" i="47"/>
  <c r="B905" i="47"/>
  <c r="M908" i="47"/>
  <c r="N925" i="47"/>
  <c r="L925" i="47"/>
  <c r="H925" i="47"/>
  <c r="F925" i="47"/>
  <c r="C925" i="47"/>
  <c r="B925" i="47"/>
  <c r="P925" i="47"/>
  <c r="Q925" i="47" s="1"/>
  <c r="M925" i="47"/>
  <c r="K925" i="47"/>
  <c r="J925" i="47"/>
  <c r="I925" i="47"/>
  <c r="G925" i="47"/>
  <c r="E925" i="47"/>
  <c r="C858" i="47"/>
  <c r="J872" i="47"/>
  <c r="C874" i="47"/>
  <c r="E874" i="47" s="1"/>
  <c r="I875" i="47"/>
  <c r="F875" i="47"/>
  <c r="M882" i="47"/>
  <c r="J882" i="47"/>
  <c r="I886" i="47"/>
  <c r="C891" i="47"/>
  <c r="G891" i="47" s="1"/>
  <c r="C892" i="47"/>
  <c r="J892" i="47" s="1"/>
  <c r="E902" i="47"/>
  <c r="P903" i="47"/>
  <c r="Q903" i="47" s="1"/>
  <c r="C905" i="47"/>
  <c r="V906" i="47"/>
  <c r="O908" i="47"/>
  <c r="V911" i="47"/>
  <c r="F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V932" i="47"/>
  <c r="F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B950" i="47"/>
  <c r="O950" i="47"/>
  <c r="N950" i="47"/>
  <c r="L950" i="47"/>
  <c r="V923" i="47"/>
  <c r="F943" i="47"/>
  <c r="C943" i="47"/>
  <c r="P943" i="47"/>
  <c r="Q943" i="47" s="1"/>
  <c r="N943" i="47"/>
  <c r="K943" i="47"/>
  <c r="J943" i="47"/>
  <c r="H943" i="47"/>
  <c r="G947" i="47"/>
  <c r="V966" i="47"/>
  <c r="V1063" i="47"/>
  <c r="E929" i="47"/>
  <c r="E933" i="47"/>
  <c r="B936" i="47"/>
  <c r="P936" i="47"/>
  <c r="Q936" i="47" s="1"/>
  <c r="O936" i="47"/>
  <c r="L936" i="47"/>
  <c r="J936" i="47"/>
  <c r="G936" i="47"/>
  <c r="F936" i="47"/>
  <c r="I947" i="47"/>
  <c r="B924" i="47"/>
  <c r="P924" i="47"/>
  <c r="Q924" i="47" s="1"/>
  <c r="L924" i="47"/>
  <c r="J924" i="47"/>
  <c r="G924" i="47"/>
  <c r="F924" i="47"/>
  <c r="G929" i="47"/>
  <c r="G933" i="47"/>
  <c r="C936" i="47"/>
  <c r="E943" i="47"/>
  <c r="J946" i="47"/>
  <c r="H946" i="47"/>
  <c r="G946" i="47"/>
  <c r="B946" i="47"/>
  <c r="O946" i="47"/>
  <c r="N946" i="47"/>
  <c r="L946" i="47"/>
  <c r="L947" i="47"/>
  <c r="F950" i="47"/>
  <c r="V967" i="47"/>
  <c r="V999" i="47"/>
  <c r="V1031" i="47"/>
  <c r="H906" i="47"/>
  <c r="B906" i="47"/>
  <c r="O906" i="47"/>
  <c r="N906" i="47"/>
  <c r="L906" i="47"/>
  <c r="F911" i="47"/>
  <c r="P911" i="47"/>
  <c r="Q911" i="47" s="1"/>
  <c r="N911" i="47"/>
  <c r="K911" i="47"/>
  <c r="J911" i="47"/>
  <c r="H911" i="47"/>
  <c r="V918" i="47"/>
  <c r="C924" i="47"/>
  <c r="B928" i="47"/>
  <c r="P928" i="47"/>
  <c r="Q928" i="47" s="1"/>
  <c r="L928" i="47"/>
  <c r="J928" i="47"/>
  <c r="G928" i="47"/>
  <c r="F928" i="47"/>
  <c r="I929" i="47"/>
  <c r="I933" i="47"/>
  <c r="E936" i="47"/>
  <c r="F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J933" i="47"/>
  <c r="H936" i="47"/>
  <c r="O947" i="47"/>
  <c r="V1032" i="47"/>
  <c r="V1078" i="47"/>
  <c r="F919" i="47"/>
  <c r="P919" i="47"/>
  <c r="Q919" i="47" s="1"/>
  <c r="N919" i="47"/>
  <c r="K919" i="47"/>
  <c r="J919" i="47"/>
  <c r="H919" i="47"/>
  <c r="H924" i="47"/>
  <c r="V926" i="47"/>
  <c r="K929" i="47"/>
  <c r="C932" i="47"/>
  <c r="M933" i="47"/>
  <c r="I936" i="47"/>
  <c r="E939" i="47"/>
  <c r="J942" i="47"/>
  <c r="H942" i="47"/>
  <c r="G942" i="47"/>
  <c r="B942" i="47"/>
  <c r="O942" i="47"/>
  <c r="N942" i="47"/>
  <c r="L942" i="47"/>
  <c r="L943" i="47"/>
  <c r="F946" i="47"/>
  <c r="E949" i="47"/>
  <c r="M950" i="47"/>
  <c r="V974" i="47"/>
  <c r="O933" i="47"/>
  <c r="F935" i="47"/>
  <c r="C935" i="47"/>
  <c r="P935" i="47"/>
  <c r="Q935" i="47" s="1"/>
  <c r="N935" i="47"/>
  <c r="K935" i="47"/>
  <c r="J935" i="47"/>
  <c r="H935" i="47"/>
  <c r="N945" i="47"/>
  <c r="L945" i="47"/>
  <c r="K945" i="47"/>
  <c r="H945" i="47"/>
  <c r="F945" i="47"/>
  <c r="C945" i="47"/>
  <c r="B945" i="47"/>
  <c r="P945" i="47"/>
  <c r="Q945" i="47" s="1"/>
  <c r="N897" i="47"/>
  <c r="Q901" i="47"/>
  <c r="G906" i="47"/>
  <c r="J910" i="47"/>
  <c r="H910" i="47"/>
  <c r="B910" i="47"/>
  <c r="O910" i="47"/>
  <c r="N910" i="47"/>
  <c r="L910" i="47"/>
  <c r="G911" i="47"/>
  <c r="C919" i="47"/>
  <c r="K924" i="47"/>
  <c r="F927" i="47"/>
  <c r="P927" i="47"/>
  <c r="Q927" i="47" s="1"/>
  <c r="N927" i="47"/>
  <c r="K927" i="47"/>
  <c r="J927" i="47"/>
  <c r="H927" i="47"/>
  <c r="I928" i="47"/>
  <c r="O929" i="47"/>
  <c r="H932" i="47"/>
  <c r="B935" i="47"/>
  <c r="M936" i="47"/>
  <c r="I939" i="47"/>
  <c r="V940" i="47"/>
  <c r="E942" i="47"/>
  <c r="O943" i="47"/>
  <c r="K946" i="47"/>
  <c r="I949" i="47"/>
  <c r="Q950" i="47"/>
  <c r="I906" i="47"/>
  <c r="I911" i="47"/>
  <c r="J914" i="47"/>
  <c r="H914" i="47"/>
  <c r="B914" i="47"/>
  <c r="O914" i="47"/>
  <c r="N914" i="47"/>
  <c r="L914" i="47"/>
  <c r="E919" i="47"/>
  <c r="M924" i="47"/>
  <c r="K928" i="47"/>
  <c r="F931" i="47"/>
  <c r="P931" i="47"/>
  <c r="Q931" i="47" s="1"/>
  <c r="N931" i="47"/>
  <c r="K931" i="47"/>
  <c r="J931" i="47"/>
  <c r="H931" i="47"/>
  <c r="I932" i="47"/>
  <c r="E935" i="47"/>
  <c r="N936" i="47"/>
  <c r="J938" i="47"/>
  <c r="H938" i="47"/>
  <c r="G938" i="47"/>
  <c r="B938" i="47"/>
  <c r="O938" i="47"/>
  <c r="N938" i="47"/>
  <c r="L938" i="47"/>
  <c r="L939" i="47"/>
  <c r="F942" i="47"/>
  <c r="E945" i="47"/>
  <c r="M946" i="47"/>
  <c r="B948" i="47"/>
  <c r="P948" i="47"/>
  <c r="Q948" i="47" s="1"/>
  <c r="O948" i="47"/>
  <c r="L948" i="47"/>
  <c r="J948" i="47"/>
  <c r="G948" i="47"/>
  <c r="F948" i="47"/>
  <c r="J949" i="47"/>
  <c r="B901" i="47"/>
  <c r="J906" i="47"/>
  <c r="L911" i="47"/>
  <c r="C914" i="47"/>
  <c r="J918" i="47"/>
  <c r="H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B922" i="47"/>
  <c r="O922" i="47"/>
  <c r="N922" i="47"/>
  <c r="L922" i="47"/>
  <c r="O924" i="47"/>
  <c r="E927" i="47"/>
  <c r="N928" i="47"/>
  <c r="C931" i="47"/>
  <c r="M932" i="47"/>
  <c r="I935" i="47"/>
  <c r="V936" i="47"/>
  <c r="E938" i="47"/>
  <c r="O939" i="47"/>
  <c r="K942" i="47"/>
  <c r="I945" i="47"/>
  <c r="Q946" i="47"/>
  <c r="E948" i="47"/>
  <c r="O949" i="47"/>
  <c r="V951" i="47"/>
  <c r="V983" i="47"/>
  <c r="V1015" i="47"/>
  <c r="V1047" i="47"/>
  <c r="V907" i="47"/>
  <c r="O911" i="47"/>
  <c r="N913" i="47"/>
  <c r="L913" i="47"/>
  <c r="H913" i="47"/>
  <c r="F913" i="47"/>
  <c r="C913" i="47"/>
  <c r="B913" i="47"/>
  <c r="P913" i="47"/>
  <c r="Q913" i="47" s="1"/>
  <c r="L919" i="47"/>
  <c r="V920" i="47"/>
  <c r="J926" i="47"/>
  <c r="H926" i="47"/>
  <c r="B926" i="47"/>
  <c r="O926" i="47"/>
  <c r="N926" i="47"/>
  <c r="L926" i="47"/>
  <c r="O928" i="47"/>
  <c r="E931" i="47"/>
  <c r="N932" i="47"/>
  <c r="J934" i="47"/>
  <c r="H934" i="47"/>
  <c r="G934" i="47"/>
  <c r="B934" i="47"/>
  <c r="O934" i="47"/>
  <c r="N934" i="47"/>
  <c r="L934" i="47"/>
  <c r="L935" i="47"/>
  <c r="F938" i="47"/>
  <c r="E941" i="47"/>
  <c r="M942" i="47"/>
  <c r="B944" i="47"/>
  <c r="P944" i="47"/>
  <c r="Q944" i="47" s="1"/>
  <c r="O944" i="47"/>
  <c r="L944" i="47"/>
  <c r="J944" i="47"/>
  <c r="G944" i="47"/>
  <c r="F944" i="47"/>
  <c r="J945" i="47"/>
  <c r="V946" i="47"/>
  <c r="H948" i="47"/>
  <c r="V964" i="47"/>
  <c r="V996" i="47"/>
  <c r="V1028" i="47"/>
  <c r="Q539" i="47" l="1"/>
  <c r="I625" i="47"/>
  <c r="N15" i="47"/>
  <c r="J132" i="47"/>
  <c r="N68" i="47"/>
  <c r="O166" i="47"/>
  <c r="J558" i="47"/>
  <c r="L894" i="47"/>
  <c r="L618" i="47"/>
  <c r="I558" i="47"/>
  <c r="I238" i="47"/>
  <c r="E163" i="47"/>
  <c r="I15" i="47"/>
  <c r="H71" i="47"/>
  <c r="I4" i="47"/>
  <c r="N88" i="47"/>
  <c r="E15" i="47"/>
  <c r="J119" i="47"/>
  <c r="J68" i="47"/>
  <c r="H306" i="47"/>
  <c r="E699" i="47"/>
  <c r="J618" i="47"/>
  <c r="E529" i="47"/>
  <c r="E549" i="47"/>
  <c r="G548" i="47"/>
  <c r="E292" i="47"/>
  <c r="M4" i="47"/>
  <c r="H15" i="47"/>
  <c r="I519" i="47"/>
  <c r="H549" i="47"/>
  <c r="L596" i="47"/>
  <c r="J247" i="47"/>
  <c r="K549" i="47"/>
  <c r="G686" i="47"/>
  <c r="I548" i="47"/>
  <c r="N549" i="47"/>
  <c r="J548" i="47"/>
  <c r="G428" i="47"/>
  <c r="J331" i="47"/>
  <c r="N333" i="47"/>
  <c r="G230" i="47"/>
  <c r="H292" i="47"/>
  <c r="G292" i="47"/>
  <c r="E198" i="47"/>
  <c r="L149" i="47"/>
  <c r="M13" i="47"/>
  <c r="H80" i="47"/>
  <c r="G13" i="47"/>
  <c r="J24" i="47"/>
  <c r="M51" i="47"/>
  <c r="K658" i="47"/>
  <c r="H560" i="47"/>
  <c r="N744" i="47"/>
  <c r="H686" i="47"/>
  <c r="N854" i="47"/>
  <c r="H744" i="47"/>
  <c r="I726" i="47"/>
  <c r="L651" i="47"/>
  <c r="E618" i="47"/>
  <c r="H618" i="47"/>
  <c r="K548" i="47"/>
  <c r="L428" i="47"/>
  <c r="I267" i="47"/>
  <c r="I218" i="47"/>
  <c r="M149" i="47"/>
  <c r="L80" i="47"/>
  <c r="E4" i="47"/>
  <c r="M24" i="47"/>
  <c r="N51" i="47"/>
  <c r="N845" i="47"/>
  <c r="K208" i="47"/>
  <c r="I132" i="47"/>
  <c r="H98" i="47"/>
  <c r="J519" i="47"/>
  <c r="G854" i="47"/>
  <c r="I744" i="47"/>
  <c r="L605" i="47"/>
  <c r="N548" i="47"/>
  <c r="I618" i="47"/>
  <c r="M529" i="47"/>
  <c r="J529" i="47"/>
  <c r="L456" i="47"/>
  <c r="L548" i="47"/>
  <c r="K428" i="47"/>
  <c r="I292" i="47"/>
  <c r="G218" i="47"/>
  <c r="M9" i="47"/>
  <c r="E51" i="47"/>
  <c r="H529" i="47"/>
  <c r="J71" i="47"/>
  <c r="K854" i="47"/>
  <c r="N677" i="47"/>
  <c r="M896" i="47"/>
  <c r="L708" i="47"/>
  <c r="L744" i="47"/>
  <c r="J726" i="47"/>
  <c r="G685" i="47"/>
  <c r="M704" i="47"/>
  <c r="K618" i="47"/>
  <c r="L529" i="47"/>
  <c r="G558" i="47"/>
  <c r="M548" i="47"/>
  <c r="H450" i="47"/>
  <c r="G427" i="47"/>
  <c r="L333" i="47"/>
  <c r="H287" i="47"/>
  <c r="G9" i="47"/>
  <c r="M71" i="47"/>
  <c r="I24" i="47"/>
  <c r="H51" i="47"/>
  <c r="J769" i="47"/>
  <c r="N759" i="47"/>
  <c r="H540" i="47"/>
  <c r="J425" i="47"/>
  <c r="I200" i="47"/>
  <c r="N132" i="47"/>
  <c r="N257" i="47"/>
  <c r="H204" i="47"/>
  <c r="K41" i="47"/>
  <c r="M110" i="47"/>
  <c r="K39" i="47"/>
  <c r="H841" i="47"/>
  <c r="M764" i="47"/>
  <c r="K703" i="47"/>
  <c r="G623" i="47"/>
  <c r="K596" i="47"/>
  <c r="E450" i="47"/>
  <c r="H333" i="47"/>
  <c r="N331" i="47"/>
  <c r="G287" i="47"/>
  <c r="J4" i="47"/>
  <c r="E68" i="47"/>
  <c r="K51" i="47"/>
  <c r="I532" i="47"/>
  <c r="I644" i="47"/>
  <c r="N612" i="47"/>
  <c r="J336" i="47"/>
  <c r="I51" i="47"/>
  <c r="G618" i="47"/>
  <c r="I856" i="47"/>
  <c r="M699" i="47"/>
  <c r="I525" i="47"/>
  <c r="I306" i="47"/>
  <c r="G331" i="47"/>
  <c r="H238" i="47"/>
  <c r="G272" i="47"/>
  <c r="E218" i="47"/>
  <c r="K845" i="47"/>
  <c r="G560" i="47"/>
  <c r="E257" i="47"/>
  <c r="L15" i="47"/>
  <c r="L837" i="47"/>
  <c r="K877" i="47"/>
  <c r="I699" i="47"/>
  <c r="H690" i="47"/>
  <c r="N684" i="47"/>
  <c r="N618" i="47"/>
  <c r="L549" i="47"/>
  <c r="E333" i="47"/>
  <c r="H272" i="47"/>
  <c r="I68" i="47"/>
  <c r="I71" i="47"/>
  <c r="K4" i="47"/>
  <c r="J98" i="47"/>
  <c r="J51" i="47"/>
  <c r="J734" i="47"/>
  <c r="G734" i="47"/>
  <c r="K257" i="47"/>
  <c r="H267" i="47"/>
  <c r="K98" i="47"/>
  <c r="E331" i="47"/>
  <c r="E98" i="47"/>
  <c r="M26" i="47"/>
  <c r="E13" i="47"/>
  <c r="J110" i="47"/>
  <c r="H24" i="47"/>
  <c r="L734" i="47"/>
  <c r="K224" i="47"/>
  <c r="L16" i="47"/>
  <c r="I584" i="47"/>
  <c r="K253" i="47"/>
  <c r="M811" i="47"/>
  <c r="N690" i="47"/>
  <c r="G333" i="47"/>
  <c r="G198" i="47"/>
  <c r="J272" i="47"/>
  <c r="L68" i="47"/>
  <c r="E854" i="47"/>
  <c r="L830" i="47"/>
  <c r="J699" i="47"/>
  <c r="N699" i="47"/>
  <c r="K558" i="47"/>
  <c r="K498" i="47"/>
  <c r="L332" i="47"/>
  <c r="L331" i="47"/>
  <c r="I333" i="47"/>
  <c r="I198" i="47"/>
  <c r="K198" i="47"/>
  <c r="E24" i="47"/>
  <c r="I88" i="47"/>
  <c r="I13" i="47"/>
  <c r="K24" i="47"/>
  <c r="G15" i="47"/>
  <c r="E605" i="47"/>
  <c r="J428" i="47"/>
  <c r="K333" i="47"/>
  <c r="M333" i="47"/>
  <c r="M198" i="47"/>
  <c r="J238" i="47"/>
  <c r="E71" i="47"/>
  <c r="E9" i="47"/>
  <c r="L845" i="47"/>
  <c r="G845" i="47"/>
  <c r="G197" i="47"/>
  <c r="M98" i="47"/>
  <c r="H16" i="47"/>
  <c r="H499" i="47"/>
  <c r="M605" i="47"/>
  <c r="L558" i="47"/>
  <c r="K726" i="47"/>
  <c r="M726" i="47"/>
  <c r="G690" i="47"/>
  <c r="M558" i="47"/>
  <c r="N396" i="47"/>
  <c r="L219" i="47"/>
  <c r="I9" i="47"/>
  <c r="N71" i="47"/>
  <c r="N4" i="47"/>
  <c r="H845" i="47"/>
  <c r="H793" i="47"/>
  <c r="G877" i="47"/>
  <c r="I25" i="47"/>
  <c r="E25" i="47"/>
  <c r="G25" i="47"/>
  <c r="M25" i="47"/>
  <c r="K896" i="47"/>
  <c r="I896" i="47"/>
  <c r="E896" i="47"/>
  <c r="L896" i="47"/>
  <c r="N896" i="47"/>
  <c r="H896" i="47"/>
  <c r="J896" i="47"/>
  <c r="M895" i="47"/>
  <c r="Q895" i="47"/>
  <c r="I895" i="47"/>
  <c r="J895" i="47"/>
  <c r="N895" i="47"/>
  <c r="K895" i="47"/>
  <c r="G895" i="47"/>
  <c r="L895" i="47"/>
  <c r="E895" i="47"/>
  <c r="E894" i="47"/>
  <c r="H894" i="47"/>
  <c r="K894" i="47"/>
  <c r="M894" i="47"/>
  <c r="G894" i="47"/>
  <c r="I894" i="47"/>
  <c r="N894" i="47"/>
  <c r="J894" i="47"/>
  <c r="Q346" i="47"/>
  <c r="Q821" i="47"/>
  <c r="Q719" i="47"/>
  <c r="Q809" i="47"/>
  <c r="Q805" i="47"/>
  <c r="Q49" i="47"/>
  <c r="M164" i="47"/>
  <c r="G164" i="47"/>
  <c r="G889" i="47"/>
  <c r="G744" i="47"/>
  <c r="J744" i="47"/>
  <c r="H682" i="47"/>
  <c r="N304" i="47"/>
  <c r="H304" i="47"/>
  <c r="G304" i="47"/>
  <c r="G285" i="47"/>
  <c r="K186" i="47"/>
  <c r="N280" i="47"/>
  <c r="N172" i="47"/>
  <c r="E178" i="47"/>
  <c r="G153" i="47"/>
  <c r="N23" i="47"/>
  <c r="I53" i="47"/>
  <c r="E285" i="47"/>
  <c r="E280" i="47"/>
  <c r="E90" i="47"/>
  <c r="H153" i="47"/>
  <c r="I111" i="47"/>
  <c r="G47" i="47"/>
  <c r="E153" i="47"/>
  <c r="K164" i="47"/>
  <c r="H889" i="47"/>
  <c r="N393" i="47"/>
  <c r="I682" i="47"/>
  <c r="K637" i="47"/>
  <c r="G414" i="47"/>
  <c r="L400" i="47"/>
  <c r="L340" i="47"/>
  <c r="N263" i="47"/>
  <c r="H276" i="47"/>
  <c r="N111" i="47"/>
  <c r="G98" i="47"/>
  <c r="G45" i="47"/>
  <c r="H35" i="47"/>
  <c r="K23" i="47"/>
  <c r="E655" i="47"/>
  <c r="H596" i="47"/>
  <c r="L313" i="47"/>
  <c r="L285" i="47"/>
  <c r="H285" i="47"/>
  <c r="J186" i="47"/>
  <c r="I172" i="47"/>
  <c r="I276" i="47"/>
  <c r="G94" i="47"/>
  <c r="M111" i="47"/>
  <c r="E45" i="47"/>
  <c r="J101" i="47"/>
  <c r="K35" i="47"/>
  <c r="E608" i="47"/>
  <c r="E186" i="47"/>
  <c r="E287" i="47"/>
  <c r="E263" i="47"/>
  <c r="H316" i="47"/>
  <c r="K276" i="47"/>
  <c r="E111" i="47"/>
  <c r="M153" i="47"/>
  <c r="E817" i="47"/>
  <c r="E101" i="47"/>
  <c r="K546" i="47"/>
  <c r="G556" i="47"/>
  <c r="M285" i="47"/>
  <c r="E392" i="47"/>
  <c r="I287" i="47"/>
  <c r="I263" i="47"/>
  <c r="G244" i="47"/>
  <c r="L276" i="47"/>
  <c r="G101" i="47"/>
  <c r="I47" i="47"/>
  <c r="H176" i="47"/>
  <c r="M90" i="47"/>
  <c r="G801" i="47"/>
  <c r="I655" i="47"/>
  <c r="I549" i="47"/>
  <c r="G513" i="47"/>
  <c r="N400" i="47"/>
  <c r="M340" i="47"/>
  <c r="N287" i="47"/>
  <c r="M264" i="47"/>
  <c r="I156" i="47"/>
  <c r="H244" i="47"/>
  <c r="M276" i="47"/>
  <c r="J176" i="47"/>
  <c r="I45" i="47"/>
  <c r="I90" i="47"/>
  <c r="G96" i="47"/>
  <c r="J35" i="47"/>
  <c r="K244" i="47"/>
  <c r="E244" i="47"/>
  <c r="L887" i="47"/>
  <c r="M546" i="47"/>
  <c r="J316" i="47"/>
  <c r="I164" i="47"/>
  <c r="I244" i="47"/>
  <c r="N276" i="47"/>
  <c r="K176" i="47"/>
  <c r="M101" i="47"/>
  <c r="L546" i="47"/>
  <c r="K414" i="47"/>
  <c r="I340" i="47"/>
  <c r="E340" i="47"/>
  <c r="L316" i="47"/>
  <c r="I176" i="47"/>
  <c r="J244" i="47"/>
  <c r="E276" i="47"/>
  <c r="L176" i="47"/>
  <c r="L59" i="47"/>
  <c r="M234" i="47"/>
  <c r="L889" i="47"/>
  <c r="J889" i="47"/>
  <c r="I763" i="47"/>
  <c r="M682" i="47"/>
  <c r="J513" i="47"/>
  <c r="M430" i="47"/>
  <c r="M304" i="47"/>
  <c r="E96" i="47"/>
  <c r="N101" i="47"/>
  <c r="M176" i="47"/>
  <c r="L47" i="47"/>
  <c r="J23" i="47"/>
  <c r="G682" i="47"/>
  <c r="I556" i="47"/>
  <c r="M513" i="47"/>
  <c r="H414" i="47"/>
  <c r="J304" i="47"/>
  <c r="G280" i="47"/>
  <c r="K94" i="47"/>
  <c r="G172" i="47"/>
  <c r="N176" i="47"/>
  <c r="J96" i="47"/>
  <c r="N47" i="47"/>
  <c r="N313" i="47"/>
  <c r="L45" i="47"/>
  <c r="L101" i="47"/>
  <c r="K744" i="47"/>
  <c r="M744" i="47"/>
  <c r="K285" i="47"/>
  <c r="I285" i="47"/>
  <c r="I35" i="47"/>
  <c r="H172" i="47"/>
  <c r="J178" i="47"/>
  <c r="K108" i="47"/>
  <c r="N638" i="47"/>
  <c r="L244" i="47"/>
  <c r="H164" i="47"/>
  <c r="Q889" i="47"/>
  <c r="M39" i="47"/>
  <c r="M834" i="47"/>
  <c r="E39" i="47"/>
  <c r="G23" i="47"/>
  <c r="H39" i="47"/>
  <c r="K485" i="47"/>
  <c r="K180" i="47"/>
  <c r="G178" i="47"/>
  <c r="H389" i="47"/>
  <c r="E212" i="47"/>
  <c r="G205" i="47"/>
  <c r="E430" i="47"/>
  <c r="M248" i="47"/>
  <c r="J15" i="47"/>
  <c r="N482" i="47"/>
  <c r="N490" i="47"/>
  <c r="L391" i="47"/>
  <c r="G430" i="47"/>
  <c r="H428" i="47"/>
  <c r="I677" i="47"/>
  <c r="M389" i="47"/>
  <c r="J853" i="47"/>
  <c r="M463" i="47"/>
  <c r="M306" i="47"/>
  <c r="M251" i="47"/>
  <c r="H220" i="47"/>
  <c r="Q774" i="47"/>
  <c r="Q8" i="47"/>
  <c r="Q214" i="47"/>
  <c r="Q216" i="47"/>
  <c r="Q296" i="47"/>
  <c r="Q882" i="47"/>
  <c r="Q292" i="47"/>
  <c r="Q217" i="47"/>
  <c r="Q46" i="47"/>
  <c r="Q205" i="47"/>
  <c r="Q837" i="47"/>
  <c r="J389" i="47"/>
  <c r="I316" i="47"/>
  <c r="K739" i="47"/>
  <c r="L334" i="47"/>
  <c r="I246" i="47"/>
  <c r="H128" i="47"/>
  <c r="I871" i="47"/>
  <c r="I779" i="47"/>
  <c r="M581" i="47"/>
  <c r="H714" i="47"/>
  <c r="N810" i="47"/>
  <c r="I335" i="47"/>
  <c r="K88" i="47"/>
  <c r="K775" i="47"/>
  <c r="J580" i="47"/>
  <c r="L560" i="47"/>
  <c r="H869" i="47"/>
  <c r="Q200" i="47"/>
  <c r="Q893" i="47"/>
  <c r="N893" i="47"/>
  <c r="L893" i="47"/>
  <c r="K893" i="47"/>
  <c r="E893" i="47"/>
  <c r="M893" i="47"/>
  <c r="H893" i="47"/>
  <c r="J893" i="47"/>
  <c r="G893" i="47"/>
  <c r="Q269" i="47"/>
  <c r="Q158" i="47"/>
  <c r="Q618" i="47"/>
  <c r="Q817" i="47"/>
  <c r="Q773" i="47"/>
  <c r="Q608" i="47"/>
  <c r="Q306" i="47"/>
  <c r="Q76" i="47"/>
  <c r="M772" i="47"/>
  <c r="N415" i="47"/>
  <c r="L328" i="47"/>
  <c r="I250" i="47"/>
  <c r="H532" i="47"/>
  <c r="I777" i="47"/>
  <c r="J236" i="47"/>
  <c r="M47" i="47"/>
  <c r="G512" i="47"/>
  <c r="Q314" i="47"/>
  <c r="G442" i="47"/>
  <c r="J692" i="47"/>
  <c r="K130" i="47"/>
  <c r="Q892" i="47"/>
  <c r="J677" i="47"/>
  <c r="M543" i="47"/>
  <c r="L355" i="47"/>
  <c r="L248" i="47"/>
  <c r="H168" i="47"/>
  <c r="L292" i="47"/>
  <c r="L188" i="47"/>
  <c r="K695" i="47"/>
  <c r="L448" i="47"/>
  <c r="H741" i="47"/>
  <c r="M159" i="47"/>
  <c r="K741" i="47"/>
  <c r="G887" i="47"/>
  <c r="N628" i="47"/>
  <c r="K795" i="47"/>
  <c r="I580" i="47"/>
  <c r="J866" i="47"/>
  <c r="J285" i="47"/>
  <c r="L388" i="47"/>
  <c r="G546" i="47"/>
  <c r="N889" i="47"/>
  <c r="K700" i="47"/>
  <c r="N283" i="47"/>
  <c r="J289" i="47"/>
  <c r="Q353" i="47"/>
  <c r="Q622" i="47"/>
  <c r="Q801" i="47"/>
  <c r="Q232" i="47"/>
  <c r="E892" i="47"/>
  <c r="M892" i="47"/>
  <c r="L892" i="47"/>
  <c r="K892" i="47"/>
  <c r="I892" i="47"/>
  <c r="H892" i="47"/>
  <c r="G892" i="47"/>
  <c r="N892" i="47"/>
  <c r="M324" i="47"/>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20" i="18" l="1"/>
  <c r="P21" i="18"/>
  <c r="O21" i="18"/>
  <c r="O22" i="18"/>
  <c r="P22" i="18"/>
  <c r="O23" i="18"/>
  <c r="P23" i="18"/>
  <c r="P20" i="18"/>
  <c r="P24" i="18"/>
  <c r="O24" i="18"/>
  <c r="O5" i="18"/>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<sst xmlns="http://schemas.openxmlformats.org/spreadsheetml/2006/main" count="25491" uniqueCount="9345">
  <si>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</si>
  <si>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</si>
  <si>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</si>
  <si>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</si>
  <si>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</si>
  <si>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</si>
  <si>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</si>
  <si>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</si>
  <si>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</si>
  <si>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</si>
  <si>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</si>
  <si>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</si>
  <si>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</si>
  <si>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</si>
  <si>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</si>
  <si>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</si>
  <si>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</si>
  <si>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</si>
  <si>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</si>
  <si>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</si>
  <si>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</si>
  <si>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</si>
  <si>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</si>
  <si>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</si>
  <si>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</si>
  <si>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</si>
  <si>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</si>
  <si>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</si>
  <si>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</si>
  <si>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</si>
  <si>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</si>
  <si>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</si>
  <si>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</si>
  <si>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</si>
  <si>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</si>
  <si>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</si>
  <si>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</si>
  <si>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</si>
  <si>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</si>
  <si>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</si>
  <si>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</si>
  <si>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</si>
  <si>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</si>
  <si>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</si>
  <si>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</si>
  <si>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</si>
  <si>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</si>
  <si>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</si>
  <si>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</si>
  <si>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</si>
  <si>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</si>
  <si>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</si>
  <si>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</si>
  <si>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</si>
  <si>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</si>
  <si>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</si>
  <si>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</si>
  <si>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</si>
  <si>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</si>
  <si>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</si>
  <si>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</si>
  <si>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</si>
  <si>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</si>
  <si>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</si>
  <si>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</si>
  <si>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</si>
  <si>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</si>
  <si>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</si>
  <si>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</si>
  <si>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</si>
  <si>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</si>
  <si>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</si>
  <si>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</si>
  <si>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</si>
  <si>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</si>
  <si>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</si>
  <si>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</si>
  <si>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</si>
  <si>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</si>
  <si>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</si>
  <si>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</si>
  <si>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</si>
  <si>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</si>
  <si>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</si>
  <si>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</si>
  <si>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</si>
  <si>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</si>
  <si>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</si>
  <si>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</si>
  <si>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</si>
  <si>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</si>
  <si>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</si>
  <si>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</si>
  <si>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</si>
  <si>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</si>
  <si>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</si>
  <si>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</si>
  <si>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</si>
  <si>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</si>
  <si>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</si>
  <si>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</si>
  <si>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</si>
  <si>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</si>
  <si>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</si>
  <si>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</si>
  <si>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</si>
  <si>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</si>
  <si>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</si>
  <si>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</si>
  <si>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</si>
  <si>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</si>
  <si>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</si>
  <si>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</si>
  <si>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</si>
  <si>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</si>
  <si>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</si>
  <si>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</si>
  <si>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</si>
  <si>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</si>
  <si>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</si>
  <si>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</si>
  <si>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</si>
  <si>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</si>
  <si>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</si>
  <si>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</si>
  <si>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</si>
  <si>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</si>
  <si>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</si>
  <si>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</si>
  <si>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</si>
  <si>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</si>
  <si>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</si>
  <si>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</si>
  <si>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</si>
  <si>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</si>
  <si>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</si>
  <si>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</si>
  <si>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</si>
  <si>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</si>
  <si>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</si>
  <si>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</si>
  <si>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</si>
  <si>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</si>
  <si>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</si>
  <si>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</si>
  <si>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</si>
  <si>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</si>
  <si>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</si>
  <si>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</si>
  <si>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</si>
  <si>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</si>
  <si>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</si>
  <si>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</si>
  <si>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</si>
  <si>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</si>
  <si>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</si>
  <si>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</si>
  <si>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</si>
  <si>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</si>
  <si>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</si>
  <si>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</si>
  <si>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</si>
  <si>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</si>
  <si>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</si>
  <si>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</si>
  <si>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</si>
  <si>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</si>
  <si>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</si>
  <si>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</si>
  <si>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</si>
  <si>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</si>
  <si>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</si>
  <si>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</si>
  <si>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</si>
  <si>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</si>
  <si>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</si>
  <si>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</si>
  <si>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</si>
  <si>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</si>
  <si>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</si>
  <si>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</si>
  <si>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</si>
  <si>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</si>
  <si>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</si>
  <si>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</si>
  <si>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</si>
  <si>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</si>
  <si>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</si>
  <si>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</si>
  <si>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</si>
  <si>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</si>
  <si>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</si>
  <si>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</si>
  <si>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</si>
  <si>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</si>
  <si>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</si>
  <si>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</si>
  <si>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</si>
  <si>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</si>
  <si>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</si>
  <si>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</si>
  <si>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</si>
  <si>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</si>
  <si>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</si>
  <si>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</si>
  <si>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</si>
  <si>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</si>
  <si>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</si>
  <si>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</si>
  <si>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</si>
  <si>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</si>
  <si>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</si>
  <si>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</si>
  <si>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</si>
  <si>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</si>
  <si>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</si>
  <si>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</si>
  <si>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</si>
  <si>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</si>
  <si>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</si>
  <si>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</si>
  <si>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</si>
  <si>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</si>
  <si>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</si>
  <si>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</si>
  <si>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</si>
  <si>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</si>
  <si>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</si>
  <si>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</si>
  <si>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</si>
  <si>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</si>
  <si>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</si>
  <si>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</si>
  <si>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</si>
  <si>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</si>
  <si>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</si>
  <si>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</si>
  <si>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</si>
  <si>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</si>
  <si>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</si>
  <si>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</si>
  <si>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</si>
  <si>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</si>
  <si>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</si>
  <si>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</si>
  <si>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</si>
  <si>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</si>
  <si>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</si>
  <si>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</si>
  <si>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</si>
  <si>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</si>
  <si>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</si>
  <si>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</si>
  <si>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</si>
  <si>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</si>
  <si>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</si>
  <si>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</si>
  <si>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</si>
  <si>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</si>
  <si>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</si>
  <si>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</si>
  <si>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</si>
  <si>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</si>
  <si>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</si>
  <si>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</si>
  <si>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</si>
  <si>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</si>
  <si>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</si>
  <si>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</si>
  <si>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</si>
  <si>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</si>
  <si>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</si>
  <si>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</si>
  <si>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</si>
  <si>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</si>
  <si>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</si>
  <si>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</si>
  <si>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</si>
  <si>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</si>
  <si>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</si>
  <si>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</si>
  <si>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</si>
  <si>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</si>
  <si>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</si>
  <si>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</si>
  <si>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</si>
  <si>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</si>
  <si>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</si>
  <si>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</si>
  <si>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</si>
  <si>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</si>
  <si>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</si>
  <si>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</si>
  <si>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</si>
  <si>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</si>
  <si>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</si>
  <si>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</si>
  <si>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</si>
  <si>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</si>
  <si>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</si>
  <si>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</si>
  <si>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</si>
  <si>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</si>
  <si>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</si>
  <si>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</si>
  <si>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</si>
  <si>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</si>
  <si>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</si>
  <si>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</si>
  <si>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</si>
  <si>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</si>
  <si>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</si>
  <si>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</si>
  <si>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</si>
  <si>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</si>
  <si>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</si>
  <si>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</si>
  <si>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</si>
  <si>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</si>
  <si>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</si>
  <si>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</si>
  <si>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</si>
  <si>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</si>
  <si>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</si>
  <si>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</si>
  <si>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</si>
  <si>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</si>
  <si>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</si>
  <si>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</si>
  <si>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</si>
  <si>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</si>
  <si>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</si>
  <si>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</si>
  <si>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</si>
  <si>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</si>
  <si>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</si>
  <si>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</si>
  <si>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</si>
  <si>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</si>
  <si>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</si>
  <si>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</si>
  <si>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</si>
  <si>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</si>
  <si>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</si>
  <si>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</si>
  <si>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</si>
  <si>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</si>
  <si>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</si>
  <si>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</si>
  <si>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</si>
  <si>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</si>
  <si>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</si>
  <si>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</si>
  <si>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</si>
  <si>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</si>
  <si>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</si>
  <si>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</si>
  <si>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</si>
  <si>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</si>
  <si>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</si>
  <si>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</si>
  <si>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</si>
  <si>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</si>
  <si>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</si>
  <si>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</si>
  <si>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</si>
  <si>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</si>
  <si>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</si>
  <si>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</si>
  <si>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</si>
  <si>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</si>
  <si>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</si>
  <si>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</si>
  <si>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</si>
  <si>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</si>
  <si>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</si>
  <si>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</si>
  <si>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</si>
  <si>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</si>
  <si>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</si>
  <si>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</si>
  <si>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</si>
  <si>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</si>
  <si>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</si>
  <si>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</si>
  <si>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</si>
  <si>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</si>
  <si>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</si>
  <si>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</si>
  <si>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</si>
  <si>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</si>
  <si>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</si>
  <si>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</si>
  <si>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</si>
  <si>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</si>
  <si>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</si>
  <si>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</si>
  <si>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</si>
  <si>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</si>
  <si>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</si>
  <si>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</si>
  <si>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</si>
  <si>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</si>
  <si>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</si>
  <si>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</si>
  <si>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</si>
  <si>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</si>
  <si>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</si>
  <si>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</si>
  <si>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</si>
  <si>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</si>
  <si>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</si>
  <si>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</si>
  <si>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</si>
  <si>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</si>
  <si>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</si>
  <si>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</si>
  <si>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</si>
  <si>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</si>
  <si>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</si>
  <si>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</si>
  <si>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</si>
  <si>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</si>
  <si>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</si>
  <si>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</si>
  <si>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</si>
  <si>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</si>
  <si>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</si>
  <si>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</si>
  <si>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</si>
  <si>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</si>
  <si>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</si>
  <si>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</si>
  <si>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</si>
  <si>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</si>
  <si>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</si>
  <si>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</si>
  <si>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</si>
  <si>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</si>
  <si>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</si>
  <si>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</si>
  <si>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</si>
  <si>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</si>
  <si>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</si>
  <si>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</si>
  <si>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</si>
  <si>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</si>
  <si>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</si>
  <si>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</si>
  <si>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</si>
  <si>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</si>
  <si>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</si>
  <si>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</si>
  <si>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</si>
  <si>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</si>
  <si>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</si>
  <si>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</si>
  <si>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</si>
  <si>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</si>
  <si>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</si>
  <si>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</si>
  <si>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</si>
  <si>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</si>
  <si>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</si>
  <si>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</si>
  <si>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</si>
  <si>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</si>
  <si>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</si>
  <si>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</si>
  <si>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</si>
  <si>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</si>
  <si>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</si>
  <si>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</si>
  <si>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</si>
  <si>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</si>
  <si>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</si>
  <si>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</si>
  <si>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</si>
  <si>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</si>
  <si>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</si>
  <si>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</si>
  <si>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</si>
  <si>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</si>
  <si>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</si>
  <si>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</si>
  <si>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</si>
  <si>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</si>
  <si>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</si>
  <si>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</si>
  <si>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</si>
  <si>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</si>
  <si>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</si>
  <si>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</si>
  <si>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</si>
  <si>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</si>
  <si>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</si>
  <si>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</si>
  <si>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</si>
  <si>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</si>
  <si>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</si>
  <si>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</si>
  <si>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</si>
  <si>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</si>
  <si>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</si>
  <si>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</si>
  <si>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</si>
  <si>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</si>
  <si>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</si>
  <si>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</si>
  <si>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</si>
  <si>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</si>
  <si>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</si>
  <si>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</si>
  <si>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</si>
  <si>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</si>
  <si>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</si>
  <si>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</si>
  <si>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</si>
  <si>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</si>
  <si>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</si>
  <si>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</si>
  <si>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</si>
  <si>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</si>
  <si>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</si>
  <si>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</si>
  <si>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</si>
  <si>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</si>
  <si>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</si>
  <si>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</si>
  <si>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</si>
  <si>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</si>
  <si>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</si>
  <si>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</si>
  <si>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</si>
  <si>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</si>
  <si>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</si>
  <si>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</si>
  <si>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</si>
  <si>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</si>
  <si>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</si>
  <si>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</si>
  <si>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</si>
  <si>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</si>
  <si>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</si>
  <si>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</si>
  <si>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</si>
  <si>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</si>
  <si>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</si>
  <si>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</si>
  <si>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</si>
  <si>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</si>
  <si>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</si>
  <si>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</si>
  <si>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</si>
  <si>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</si>
  <si>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</si>
  <si>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</si>
  <si>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</si>
  <si>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</si>
  <si>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</si>
  <si>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</si>
  <si>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</si>
  <si>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</si>
  <si>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</si>
  <si>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</si>
  <si>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</si>
  <si>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</si>
  <si>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</si>
  <si>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</si>
  <si>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</si>
  <si>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</si>
  <si>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</si>
  <si>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</si>
  <si>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</si>
  <si>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</si>
  <si>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</si>
  <si>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</si>
  <si>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</si>
  <si>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</si>
  <si>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</si>
  <si>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</si>
  <si>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</si>
  <si>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</si>
  <si>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</si>
  <si>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</si>
  <si>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</si>
  <si>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</si>
  <si>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</si>
  <si>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</si>
  <si>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</si>
  <si>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</si>
  <si>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</si>
  <si>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</si>
  <si>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</si>
  <si>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</si>
  <si>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</si>
  <si>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</si>
  <si>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</si>
  <si>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</si>
  <si>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</si>
  <si>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</si>
  <si>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</si>
  <si>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</si>
  <si>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</si>
  <si>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</si>
  <si>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</si>
  <si>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</si>
  <si>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</si>
  <si>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</si>
  <si>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</si>
  <si>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</si>
  <si>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</si>
  <si>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</si>
  <si>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</si>
  <si>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</si>
  <si>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</si>
  <si>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</si>
  <si>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</si>
  <si>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</si>
  <si>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</si>
  <si>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</si>
  <si>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</si>
  <si>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</si>
  <si>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</si>
  <si>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</si>
  <si>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</si>
  <si>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</si>
  <si>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</si>
  <si>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</si>
  <si>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</si>
  <si>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</si>
  <si>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</si>
  <si>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</si>
  <si>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</si>
  <si>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</si>
  <si>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</si>
  <si>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</si>
  <si>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</si>
  <si>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</si>
  <si>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</si>
  <si>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</si>
  <si>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</si>
  <si>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</si>
  <si>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</si>
  <si>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</si>
  <si>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</si>
  <si>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</si>
  <si>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</si>
  <si>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</si>
  <si>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</si>
  <si>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</si>
  <si>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</si>
  <si>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</si>
  <si>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</si>
  <si>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</si>
  <si>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</si>
  <si>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</si>
  <si>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</si>
  <si>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</si>
  <si>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</si>
  <si>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</si>
  <si>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</si>
  <si>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</si>
  <si>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</si>
  <si>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</si>
  <si>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</si>
  <si>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</si>
  <si>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</si>
  <si>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</si>
  <si>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</si>
  <si>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</si>
  <si>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</si>
  <si>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</si>
  <si>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</si>
  <si>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</si>
  <si>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</si>
  <si>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</si>
  <si>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</si>
  <si>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</si>
  <si>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</si>
  <si>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</si>
  <si>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</si>
  <si>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</si>
  <si>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</si>
  <si>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</si>
  <si>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</si>
  <si>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</si>
  <si>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</si>
  <si>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</si>
  <si>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</si>
  <si>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</si>
  <si>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</si>
  <si>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</si>
  <si>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</si>
  <si>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</si>
  <si>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</si>
  <si>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</si>
  <si>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</si>
  <si>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</si>
  <si>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</si>
  <si>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</si>
  <si>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</si>
  <si>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</si>
  <si>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</si>
  <si>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</si>
  <si>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</si>
  <si>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</si>
  <si>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</si>
  <si>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</si>
  <si>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</si>
  <si>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</si>
  <si>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</si>
  <si>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</si>
  <si>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</si>
  <si>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</si>
  <si>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</si>
  <si>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</si>
  <si>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</si>
  <si>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</si>
  <si>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</si>
  <si>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</si>
  <si>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</si>
  <si>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</si>
  <si>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</si>
  <si>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</si>
  <si>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</si>
  <si>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</si>
  <si>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</si>
  <si>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</si>
  <si>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</si>
  <si>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</si>
  <si>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</si>
  <si>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</si>
  <si>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</si>
  <si>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</si>
  <si>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</si>
  <si>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</si>
  <si>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</si>
  <si>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</si>
  <si>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</si>
  <si>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</si>
  <si>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</si>
  <si>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</si>
  <si>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</si>
  <si>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</si>
  <si>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</si>
  <si>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</si>
  <si>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</si>
  <si>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</si>
  <si>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</si>
  <si>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</si>
  <si>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</si>
  <si>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</si>
  <si>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</si>
  <si>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</si>
  <si>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</si>
  <si>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</si>
  <si>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</si>
  <si>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</si>
  <si>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</si>
  <si>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</si>
  <si>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</si>
  <si>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</si>
  <si>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</si>
  <si>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</si>
  <si>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</si>
  <si>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</si>
  <si>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</si>
  <si>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</si>
  <si>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</si>
  <si>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</si>
  <si>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</si>
  <si>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</si>
  <si>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</si>
  <si>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</si>
  <si>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</si>
  <si>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</si>
  <si>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</si>
  <si>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</si>
  <si>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</si>
  <si>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</si>
  <si>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</si>
  <si>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</si>
  <si>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</si>
  <si>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</si>
  <si>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</si>
  <si>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</si>
  <si>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</si>
  <si>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</si>
  <si>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</si>
  <si>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</si>
  <si>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</si>
  <si>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</si>
  <si>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</si>
  <si>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</si>
  <si>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</si>
  <si>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</si>
  <si>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</si>
  <si>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</si>
  <si>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</si>
  <si>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</si>
  <si>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</si>
  <si>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</si>
  <si>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</si>
  <si>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</si>
  <si>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</si>
  <si>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</si>
  <si>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</si>
  <si>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</si>
  <si>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</si>
  <si>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</si>
  <si>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</si>
  <si>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</si>
  <si>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</si>
  <si>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</si>
  <si>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</si>
  <si>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</si>
  <si>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</si>
  <si>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</si>
  <si>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</si>
  <si>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</si>
  <si>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</si>
  <si>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</si>
  <si>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</si>
  <si>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</si>
  <si>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</si>
  <si>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</si>
  <si>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</si>
  <si>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</si>
  <si>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</si>
  <si>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</si>
  <si>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</si>
  <si>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</si>
  <si>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</si>
  <si>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</si>
  <si>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</si>
  <si>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</si>
  <si>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</si>
  <si>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</si>
  <si>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</si>
  <si>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</si>
  <si>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</si>
  <si>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</si>
  <si>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</si>
  <si>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</si>
  <si>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</si>
  <si>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</si>
  <si>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</si>
  <si>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</si>
  <si>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</si>
  <si>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</si>
  <si>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</si>
  <si>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</si>
  <si>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</si>
  <si>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</si>
  <si>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</si>
  <si>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</si>
  <si>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</si>
  <si>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</si>
  <si>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</si>
  <si>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</si>
  <si>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</si>
  <si>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</si>
  <si>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</si>
  <si>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</si>
  <si>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</si>
  <si>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</si>
  <si>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</si>
  <si>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</si>
  <si>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</si>
  <si>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</si>
  <si>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</si>
  <si>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</si>
  <si>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</si>
  <si>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</si>
  <si>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</si>
  <si>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</si>
  <si>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</si>
  <si>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</si>
  <si>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</si>
  <si>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</si>
  <si>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</si>
  <si>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</si>
  <si>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</si>
  <si>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</si>
  <si>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</si>
  <si>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</si>
  <si>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</si>
  <si>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</si>
  <si>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</si>
  <si>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</si>
  <si>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</si>
  <si>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</si>
  <si>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</si>
  <si>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</si>
  <si>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</si>
  <si>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</si>
  <si>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</si>
  <si>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</si>
  <si>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</si>
  <si>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</si>
  <si>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</si>
  <si>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</si>
  <si>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</si>
  <si>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</si>
  <si>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</si>
  <si>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</si>
  <si>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</si>
  <si>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</si>
  <si>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</si>
  <si>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</si>
  <si>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</si>
  <si>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</si>
  <si>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</si>
  <si>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</si>
  <si>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</si>
  <si>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</si>
  <si>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</si>
  <si>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</si>
  <si>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</si>
  <si>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</si>
  <si>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</si>
  <si>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</si>
  <si>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</si>
  <si>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</si>
  <si>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</si>
  <si>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</si>
  <si>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</si>
  <si>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</si>
  <si>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</si>
  <si>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</si>
  <si>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</si>
  <si>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</si>
  <si>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</si>
  <si>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</si>
  <si>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</si>
  <si>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</si>
  <si>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</si>
  <si>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</si>
  <si>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</si>
  <si>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</si>
  <si>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</si>
  <si>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</si>
  <si>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</si>
  <si>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</si>
  <si>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</si>
  <si>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</si>
  <si>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</si>
  <si>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</si>
  <si>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</si>
  <si>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</si>
  <si>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</si>
  <si>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</si>
  <si>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</si>
  <si>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</si>
  <si>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</si>
  <si>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</si>
  <si>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</si>
  <si>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</si>
  <si>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</si>
  <si>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</si>
  <si>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</si>
  <si>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</si>
  <si>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</si>
  <si>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</si>
  <si>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</si>
  <si>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</si>
  <si>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</si>
  <si>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</si>
  <si>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</si>
  <si>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</si>
  <si>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</si>
  <si>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</si>
  <si>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</si>
  <si>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</si>
  <si>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</si>
  <si>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</si>
  <si>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</si>
  <si>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</si>
  <si>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</si>
  <si>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</si>
  <si>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</si>
  <si>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</si>
  <si>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</si>
  <si>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</si>
  <si>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</si>
  <si>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</si>
  <si>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</si>
  <si>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</si>
  <si>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</si>
  <si>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</si>
  <si>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</si>
  <si>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</si>
  <si>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</si>
  <si>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</si>
  <si>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</si>
  <si>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</si>
  <si>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</si>
  <si>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</si>
  <si>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</si>
  <si>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</si>
  <si>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</si>
  <si>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</si>
  <si>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</si>
  <si>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</si>
  <si>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</si>
  <si>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</si>
  <si>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</si>
  <si>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</si>
  <si>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</si>
  <si>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</si>
  <si>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</si>
  <si>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</si>
  <si>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</si>
  <si>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</si>
  <si>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</si>
  <si>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</si>
  <si>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</si>
  <si>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</si>
  <si>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</si>
  <si>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</si>
  <si>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</si>
  <si>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</si>
  <si>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</si>
  <si>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</si>
  <si>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</si>
  <si>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</si>
  <si>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</si>
  <si>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</si>
  <si>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</si>
  <si>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</si>
  <si>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</si>
  <si>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</si>
  <si>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</si>
  <si>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</si>
  <si>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</si>
  <si>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</si>
  <si>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</si>
  <si>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</si>
  <si>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</si>
  <si>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</si>
  <si>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</si>
  <si>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</si>
  <si>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</si>
  <si>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</si>
  <si>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</si>
  <si>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</si>
  <si>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</si>
  <si>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</si>
  <si>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</si>
  <si>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</si>
  <si>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</si>
  <si>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</si>
  <si>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</si>
  <si>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</si>
  <si>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</si>
  <si>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</si>
  <si>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</si>
  <si>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</si>
  <si>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</si>
  <si>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</si>
  <si>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</si>
  <si>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</si>
  <si>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</si>
  <si>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</si>
  <si>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</si>
  <si>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</si>
  <si>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</si>
  <si>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</si>
  <si>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</si>
  <si>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</si>
  <si>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</si>
  <si>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</si>
  <si>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</si>
  <si>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</si>
  <si>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</si>
  <si>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</si>
  <si>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</si>
  <si>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</si>
  <si>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</si>
  <si>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</si>
  <si>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</si>
  <si>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</si>
  <si>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</si>
  <si>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</si>
  <si>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</si>
  <si>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</si>
  <si>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</si>
  <si>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</si>
  <si>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</si>
  <si>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</si>
  <si>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</si>
  <si>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</si>
  <si>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</si>
  <si>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</si>
  <si>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</si>
  <si>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</si>
  <si>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</si>
  <si>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</si>
  <si>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</si>
  <si>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</si>
  <si>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</si>
  <si>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</si>
  <si>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</si>
  <si>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</si>
  <si>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</si>
  <si>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</si>
  <si>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</si>
  <si>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</si>
  <si>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</si>
  <si>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</si>
  <si>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</si>
  <si>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</si>
  <si>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</si>
  <si>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</si>
  <si>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</si>
  <si>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</si>
  <si>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</si>
  <si>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</si>
  <si>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</si>
  <si>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</si>
  <si>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</si>
  <si>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</si>
  <si>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</si>
  <si>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</si>
  <si>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</si>
  <si>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</si>
  <si>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</si>
  <si>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</si>
  <si>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</si>
  <si>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</si>
  <si>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</si>
  <si>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</si>
  <si>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</si>
  <si>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</si>
  <si>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</si>
  <si>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</si>
  <si>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</si>
  <si>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</si>
  <si>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</si>
  <si>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</si>
  <si>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</si>
  <si>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</si>
  <si>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</si>
  <si>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</si>
  <si>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</si>
  <si>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</si>
  <si>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</si>
  <si>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</si>
  <si>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</si>
  <si>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</si>
  <si>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</si>
  <si>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</si>
  <si>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</si>
  <si>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</si>
  <si>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</si>
  <si>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</si>
  <si>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</si>
  <si>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</si>
  <si>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</si>
  <si>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</si>
  <si>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</si>
  <si>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</si>
  <si>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</si>
  <si>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</si>
  <si>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</si>
  <si>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</si>
  <si>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</si>
  <si>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</si>
  <si>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</si>
  <si>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</si>
  <si>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</si>
  <si>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</si>
  <si>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</si>
  <si>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</si>
  <si>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</si>
  <si>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</si>
  <si>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</si>
  <si>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</si>
  <si>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</si>
  <si>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</si>
  <si>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</si>
  <si>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</si>
  <si>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</si>
  <si>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</si>
  <si>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</si>
  <si>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</si>
  <si>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</si>
  <si>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</si>
  <si>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</si>
  <si>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</si>
  <si>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</si>
  <si>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</si>
  <si>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</si>
  <si>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</si>
  <si>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</si>
  <si>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</si>
  <si>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</si>
  <si>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</si>
  <si>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</si>
  <si>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</si>
  <si>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</si>
  <si>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</si>
  <si>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</si>
  <si>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</si>
  <si>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</si>
  <si>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</si>
  <si>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</si>
  <si>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</si>
  <si>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</si>
  <si>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</si>
  <si>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</si>
  <si>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</si>
  <si>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</si>
  <si>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</si>
  <si>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</si>
  <si>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</si>
  <si>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</si>
  <si>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</si>
  <si>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</si>
  <si>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</si>
  <si>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</si>
  <si>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</si>
  <si>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</si>
  <si>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</si>
  <si>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</si>
  <si>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</si>
  <si>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</si>
  <si>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</si>
  <si>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</si>
  <si>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</si>
  <si>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</si>
  <si>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</si>
  <si>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</si>
  <si>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</si>
  <si>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</si>
  <si>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</si>
  <si>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</si>
  <si>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</si>
  <si>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</si>
  <si>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</si>
  <si>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</si>
  <si>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</si>
  <si>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</si>
  <si>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</si>
  <si>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</si>
  <si>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</si>
  <si>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</si>
  <si>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</si>
  <si>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</si>
  <si>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</si>
  <si>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</si>
  <si>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</si>
  <si>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</si>
  <si>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</si>
  <si>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</si>
  <si>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</si>
  <si>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</si>
  <si>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</si>
  <si>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</si>
  <si>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</si>
  <si>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</si>
  <si>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</si>
  <si>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</si>
  <si>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</si>
  <si>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</si>
  <si>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</si>
  <si>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</si>
  <si>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</si>
  <si>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</si>
  <si>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</si>
  <si>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</si>
  <si>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</si>
  <si>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</si>
  <si>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</si>
  <si>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</si>
  <si>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</si>
  <si>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</si>
  <si>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</si>
  <si>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</si>
  <si>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</si>
  <si>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</si>
  <si>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</si>
  <si>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</si>
  <si>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</si>
  <si>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</si>
  <si>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</si>
  <si>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</si>
  <si>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</si>
  <si>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</si>
  <si>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</si>
  <si>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</si>
  <si>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</si>
  <si>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</si>
  <si>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</si>
  <si>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</si>
  <si>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</si>
  <si>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</si>
  <si>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</si>
  <si>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</si>
  <si>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</si>
  <si>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</si>
  <si>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</si>
  <si>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</si>
  <si>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</si>
  <si>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</si>
  <si>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</si>
  <si>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</si>
  <si>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</si>
  <si>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</si>
  <si>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</si>
  <si>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</si>
  <si>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</si>
  <si>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</si>
  <si>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</si>
  <si>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</si>
  <si>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</si>
  <si>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</si>
  <si>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</si>
  <si>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</si>
  <si>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</si>
  <si>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</si>
  <si>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</si>
  <si>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</si>
  <si>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</si>
  <si>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</si>
  <si>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</si>
  <si>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</si>
  <si>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</si>
  <si>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</si>
  <si>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</si>
  <si>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</si>
  <si>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</si>
  <si>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</si>
  <si>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</si>
  <si>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</si>
  <si>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</si>
  <si>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</si>
  <si>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</si>
  <si>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</si>
  <si>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</si>
  <si>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</si>
  <si>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</si>
  <si>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</si>
  <si>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</si>
  <si>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</si>
  <si>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</si>
  <si>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</si>
  <si>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</si>
  <si>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</si>
  <si>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</si>
  <si>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</si>
  <si>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</si>
  <si>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</si>
  <si>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</si>
  <si>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</si>
  <si>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</si>
  <si>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</si>
  <si>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</si>
  <si>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</si>
  <si>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</si>
  <si>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</si>
  <si>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</si>
  <si>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</si>
  <si>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</si>
  <si>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</si>
  <si>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</si>
  <si>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</si>
  <si>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</si>
  <si>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</si>
  <si>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</si>
  <si>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</si>
  <si>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</si>
  <si>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</si>
  <si>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</si>
  <si>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</si>
  <si>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</si>
  <si>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</si>
  <si>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</si>
  <si>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</si>
  <si>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</si>
  <si>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</si>
  <si>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</si>
  <si>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</si>
  <si>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</si>
  <si>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</si>
  <si>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</si>
  <si>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</si>
  <si>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</si>
  <si>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</si>
  <si>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</si>
  <si>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</si>
  <si>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</si>
  <si>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</si>
  <si>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</si>
  <si>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</si>
  <si>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</si>
  <si>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</si>
  <si>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</si>
  <si>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</si>
  <si>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</si>
  <si>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</si>
  <si>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</si>
  <si>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</si>
  <si>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</si>
  <si>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</si>
  <si>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</si>
  <si>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</si>
  <si>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</si>
  <si>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</si>
  <si>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</si>
  <si>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</si>
  <si>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</si>
  <si>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</si>
  <si>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</si>
  <si>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</si>
  <si>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</si>
  <si>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</si>
  <si>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</si>
  <si>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</si>
  <si>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</si>
  <si>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</si>
  <si>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</si>
  <si>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</si>
  <si>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</si>
  <si>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</si>
  <si>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</si>
  <si>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</si>
  <si>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</si>
  <si>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</si>
  <si>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</si>
  <si>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</si>
  <si>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</si>
  <si>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</si>
  <si>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</si>
  <si>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</si>
  <si>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</si>
  <si>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</si>
  <si>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</si>
  <si>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</si>
  <si>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</si>
  <si>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</si>
  <si>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</si>
  <si>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</si>
  <si>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</si>
  <si>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</si>
  <si>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</si>
  <si>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</si>
  <si>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</si>
  <si>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</si>
  <si>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</si>
  <si>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</si>
  <si>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</si>
  <si>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</si>
  <si>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</si>
  <si>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</si>
  <si>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</si>
  <si>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</si>
  <si>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</si>
  <si>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</si>
  <si>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</si>
  <si>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</si>
  <si>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</si>
  <si>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</si>
  <si>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</si>
  <si>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</si>
  <si>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</si>
  <si>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</si>
  <si>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</si>
  <si>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</si>
  <si>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</si>
  <si>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</si>
  <si>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</si>
  <si>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</si>
  <si>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</si>
  <si>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</si>
  <si>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</si>
  <si>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</si>
  <si>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</si>
  <si>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</si>
  <si>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</si>
  <si>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</si>
  <si>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</si>
  <si>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</si>
  <si>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</si>
  <si>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</si>
  <si>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</si>
  <si>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</si>
  <si>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</si>
  <si>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</si>
  <si>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</si>
  <si>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</si>
  <si>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</si>
  <si>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</si>
  <si>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</si>
  <si>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</si>
  <si>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</si>
  <si>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</si>
  <si>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</si>
  <si>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</si>
  <si>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</si>
  <si>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</si>
  <si>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</si>
  <si>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</si>
  <si>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</si>
  <si>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</si>
  <si>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</si>
  <si>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</si>
  <si>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</si>
  <si>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</si>
  <si>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</si>
  <si>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</si>
  <si>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</si>
  <si>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</si>
  <si>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</si>
  <si>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</si>
  <si>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</si>
  <si>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</si>
  <si>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</si>
  <si>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</si>
  <si>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</si>
  <si>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</si>
  <si>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</si>
  <si>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</si>
  <si>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</si>
  <si>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</si>
  <si>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</si>
  <si>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</si>
  <si>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</si>
  <si>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</si>
  <si>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</si>
  <si>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</si>
  <si>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</si>
  <si>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</si>
  <si>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</si>
  <si>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</si>
  <si>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</si>
  <si>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</si>
  <si>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</si>
  <si>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</si>
  <si>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</si>
  <si>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</si>
  <si>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</si>
  <si>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</si>
  <si>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</si>
  <si>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</si>
  <si>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</si>
  <si>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</si>
  <si>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</si>
  <si>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</si>
  <si>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</si>
  <si>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</si>
  <si>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</si>
  <si>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</si>
  <si>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</si>
  <si>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</si>
  <si>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</si>
  <si>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</si>
  <si>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</si>
  <si>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</si>
  <si>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</si>
  <si>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</si>
  <si>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</si>
  <si>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</si>
  <si>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</si>
  <si>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</si>
  <si>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</si>
  <si>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</si>
  <si>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</si>
  <si>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</si>
  <si>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</si>
  <si>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</si>
  <si>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</si>
  <si>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</si>
  <si>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</si>
  <si>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</si>
  <si>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</si>
  <si>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</si>
  <si>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</si>
  <si>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</si>
  <si>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</si>
  <si>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</si>
  <si>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</si>
  <si>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</si>
  <si>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</si>
  <si>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</si>
  <si>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</si>
  <si>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</si>
  <si>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</si>
  <si>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</si>
  <si>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</si>
  <si>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</si>
  <si>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</si>
  <si>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</si>
  <si>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</si>
  <si>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</si>
  <si>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</si>
  <si>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</si>
  <si>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</si>
  <si>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</si>
  <si>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</si>
  <si>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</si>
  <si>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</si>
  <si>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</si>
  <si>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</si>
  <si>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</si>
  <si>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</si>
  <si>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</si>
  <si>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</si>
  <si>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</si>
  <si>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</si>
  <si>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</si>
  <si>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</si>
  <si>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</si>
  <si>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</si>
  <si>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</si>
  <si>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</si>
  <si>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</si>
  <si>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</si>
  <si>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</si>
  <si>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</si>
  <si>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</si>
  <si>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</si>
  <si>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</si>
  <si>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</si>
  <si>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</si>
  <si>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</si>
  <si>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</si>
  <si>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</si>
  <si>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</si>
  <si>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</si>
  <si>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</si>
  <si>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</si>
  <si>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</si>
  <si>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</si>
  <si>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</si>
  <si>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</si>
  <si>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</si>
  <si>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</si>
  <si>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</si>
  <si>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</si>
  <si>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</si>
  <si>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</si>
  <si>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</si>
  <si>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</si>
  <si>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</si>
  <si>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</si>
  <si>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</si>
  <si>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</si>
  <si>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</si>
  <si>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</si>
  <si>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</si>
  <si>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</si>
  <si>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</si>
  <si>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</si>
  <si>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</si>
  <si>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</si>
  <si>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</si>
  <si>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</si>
  <si>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</si>
  <si>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</si>
  <si>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</si>
  <si>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</si>
  <si>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</si>
  <si>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</si>
  <si>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</si>
  <si>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</si>
  <si>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</si>
  <si>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</si>
  <si>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</si>
  <si>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</si>
  <si>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</si>
  <si>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</si>
  <si>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</si>
  <si>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</si>
  <si>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</si>
  <si>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</si>
  <si>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</si>
  <si>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</si>
  <si>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</si>
  <si>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</si>
  <si>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</si>
  <si>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</si>
  <si>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</si>
  <si>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</si>
  <si>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</si>
  <si>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</si>
  <si>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</si>
  <si>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</si>
  <si>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</si>
  <si>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</si>
  <si>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</si>
  <si>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</si>
  <si>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</si>
  <si>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</si>
  <si>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</si>
  <si>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</si>
  <si>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</si>
  <si>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</si>
  <si>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</si>
  <si>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</si>
  <si>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</si>
  <si>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</si>
  <si>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</si>
  <si>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</si>
  <si>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</si>
  <si>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</si>
  <si>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</si>
  <si>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</si>
  <si>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</si>
  <si>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</si>
  <si>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</si>
  <si>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</si>
  <si>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</si>
  <si>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</si>
  <si>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</si>
  <si>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</si>
  <si>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</si>
  <si>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</si>
  <si>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</si>
  <si>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</si>
  <si>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</si>
  <si>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</si>
  <si>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</si>
  <si>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</si>
  <si>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</si>
  <si>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</si>
  <si>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</si>
  <si>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</si>
  <si>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</si>
  <si>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</si>
  <si>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</si>
  <si>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</si>
  <si>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</si>
  <si>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</si>
  <si>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</si>
  <si>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</si>
  <si>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</si>
  <si>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</si>
  <si>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</si>
  <si>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</si>
  <si>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</si>
  <si>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</si>
  <si>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</si>
  <si>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</si>
  <si>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</si>
  <si>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</si>
  <si>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</si>
  <si>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</si>
  <si>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</si>
  <si>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</si>
  <si>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</si>
  <si>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</si>
  <si>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</si>
  <si>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</si>
  <si>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</si>
  <si>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</si>
  <si>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</si>
  <si>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</si>
  <si>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</si>
  <si>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</si>
  <si>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</si>
  <si>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</si>
  <si>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</si>
  <si>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</si>
  <si>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</si>
  <si>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</si>
  <si>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</si>
  <si>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</si>
  <si>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</si>
  <si>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</si>
  <si>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</si>
  <si>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</si>
  <si>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</si>
  <si>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</si>
  <si>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</si>
  <si>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</si>
  <si>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</si>
  <si>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</si>
  <si>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</si>
  <si>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</si>
  <si>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</si>
  <si>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</si>
  <si>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</si>
  <si>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</si>
  <si>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</si>
  <si>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</si>
  <si>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</si>
  <si>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</si>
  <si>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</si>
  <si>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</si>
  <si>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</si>
  <si>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</si>
  <si>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</si>
  <si>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</si>
  <si>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</si>
  <si>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</si>
  <si>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</si>
  <si>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</si>
  <si>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</si>
  <si>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</si>
  <si>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</si>
  <si>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</si>
  <si>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</si>
  <si>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</si>
  <si>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</si>
  <si>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</si>
  <si>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</si>
  <si>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</si>
  <si>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</si>
  <si>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</si>
  <si>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</si>
  <si>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</si>
  <si>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</si>
  <si>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</si>
  <si>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</si>
  <si>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</si>
  <si>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</si>
  <si>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</si>
  <si>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</si>
  <si>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</si>
  <si>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</si>
  <si>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</si>
  <si>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</si>
  <si>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</si>
  <si>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</si>
  <si>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</si>
  <si>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</si>
  <si>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</si>
  <si>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</si>
  <si>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</si>
  <si>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</si>
  <si>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</si>
  <si>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</si>
  <si>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</si>
  <si>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</si>
  <si>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</si>
  <si>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</si>
  <si>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</si>
  <si>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</si>
  <si>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</si>
  <si>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</si>
  <si>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</si>
  <si>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</si>
  <si>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</si>
  <si>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</si>
  <si>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</si>
  <si>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</si>
  <si>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</si>
  <si>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</si>
  <si>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</si>
  <si>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</si>
  <si>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</si>
  <si>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</si>
  <si>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</si>
  <si>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</si>
  <si>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</si>
  <si>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</si>
  <si>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</si>
  <si>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</si>
  <si>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</si>
  <si>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</si>
  <si>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</si>
  <si>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</si>
  <si>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</si>
  <si>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</si>
  <si>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</si>
  <si>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</si>
  <si>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</si>
  <si>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</si>
  <si>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</si>
  <si>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</si>
  <si>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</si>
  <si>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</si>
  <si>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</si>
  <si>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</si>
  <si>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</si>
  <si>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</si>
  <si>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</si>
  <si>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</si>
  <si>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</si>
  <si>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</si>
  <si>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</si>
  <si>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</si>
  <si>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</si>
  <si>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</si>
  <si>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</si>
  <si>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</si>
  <si>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</si>
  <si>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</si>
  <si>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</si>
  <si>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</si>
  <si>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</si>
  <si>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</si>
  <si>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</si>
  <si>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</si>
  <si>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</si>
  <si>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</si>
  <si>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</si>
  <si>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</si>
  <si>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</si>
  <si>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</si>
  <si>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</si>
  <si>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</si>
  <si>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</si>
  <si>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</si>
  <si>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</si>
  <si>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</si>
  <si>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</si>
  <si>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</si>
  <si>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</si>
  <si>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</si>
  <si>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</si>
  <si>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</si>
  <si>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</si>
  <si>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</si>
  <si>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</si>
  <si>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</si>
  <si>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</si>
  <si>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</si>
  <si>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</si>
  <si>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</si>
  <si>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</si>
  <si>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</si>
  <si>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</si>
  <si>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</si>
  <si>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</si>
  <si>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</si>
  <si>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</si>
  <si>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</si>
  <si>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</si>
  <si>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</si>
  <si>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</si>
  <si>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</si>
  <si>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</si>
  <si>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</si>
  <si>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</si>
  <si>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</si>
  <si>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</si>
  <si>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</si>
  <si>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</si>
  <si>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</si>
  <si>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</si>
  <si>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</si>
  <si>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</si>
  <si>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</si>
  <si>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</si>
  <si>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</si>
  <si>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</si>
  <si>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</si>
  <si>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</si>
  <si>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</si>
  <si>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</si>
  <si>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</si>
  <si>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</si>
  <si>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</si>
  <si>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</si>
  <si>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</si>
  <si>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</si>
  <si>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</si>
  <si>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</si>
  <si>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</si>
  <si>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</si>
  <si>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</si>
  <si>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</si>
  <si>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</si>
  <si>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</si>
  <si>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</si>
  <si>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</si>
  <si>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</si>
  <si>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</si>
  <si>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</si>
  <si>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</si>
  <si>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</si>
  <si>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</si>
  <si>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</si>
  <si>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</si>
  <si>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</si>
  <si>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</si>
  <si>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</si>
  <si>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</si>
  <si>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</si>
  <si>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</si>
  <si>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</si>
  <si>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</si>
  <si>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</si>
  <si>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</si>
  <si>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</si>
  <si>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</si>
  <si>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</si>
  <si>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</si>
  <si>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</si>
  <si>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</si>
  <si>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</si>
  <si>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</si>
  <si>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</si>
  <si>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</si>
  <si>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</si>
  <si>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</si>
  <si>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</si>
  <si>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</si>
  <si>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</si>
  <si>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</si>
  <si>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</si>
  <si>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</si>
  <si>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</si>
  <si>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</si>
  <si>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</si>
  <si>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</si>
  <si>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</si>
  <si>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</si>
  <si>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</si>
  <si>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</si>
  <si>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</si>
  <si>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</si>
  <si>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</si>
  <si>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</si>
  <si>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</si>
  <si>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</si>
  <si>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</si>
  <si>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</si>
  <si>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</si>
  <si>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</si>
  <si>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</si>
  <si>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</si>
  <si>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</si>
  <si>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</si>
  <si>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</si>
  <si>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</si>
  <si>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</si>
  <si>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</si>
  <si>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</si>
  <si>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</si>
  <si>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</si>
  <si>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</si>
  <si>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</si>
  <si>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</si>
  <si>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</si>
  <si>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</si>
  <si>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</si>
  <si>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</si>
  <si>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</si>
  <si>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</si>
  <si>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</si>
  <si>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</si>
  <si>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</si>
  <si>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</si>
  <si>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</si>
  <si>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</si>
  <si>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</si>
  <si>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</si>
  <si>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</si>
  <si>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</si>
  <si>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</si>
  <si>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</si>
  <si>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</si>
  <si>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</si>
  <si>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</si>
  <si>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</si>
  <si>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</si>
  <si>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</si>
  <si>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</si>
  <si>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</si>
  <si>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</si>
  <si>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</si>
  <si>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</si>
  <si>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</si>
  <si>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</si>
  <si>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</si>
  <si>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</si>
  <si>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</si>
  <si>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</si>
  <si>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</si>
  <si>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</si>
  <si>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</si>
  <si>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</si>
  <si>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</si>
  <si>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</si>
  <si>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</si>
  <si>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</si>
  <si>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</si>
  <si>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</si>
  <si>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</si>
  <si>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</si>
  <si>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</si>
  <si>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</si>
  <si>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</si>
  <si>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</si>
  <si>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</si>
  <si>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</si>
  <si>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</si>
  <si>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</si>
  <si>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</si>
  <si>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</si>
  <si>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</si>
  <si>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</si>
  <si>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</si>
  <si>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</si>
  <si>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</si>
  <si>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</si>
  <si>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</si>
  <si>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</si>
  <si>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</si>
  <si>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</si>
  <si>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</si>
  <si>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</si>
  <si>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</si>
  <si>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</si>
  <si>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</si>
  <si>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</si>
  <si>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</si>
  <si>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</si>
  <si>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</si>
  <si>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</si>
  <si>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</si>
  <si>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</si>
  <si>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</si>
  <si>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</si>
  <si>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</si>
  <si>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</si>
  <si>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</si>
  <si>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</si>
  <si>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</si>
  <si>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</si>
  <si>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</si>
  <si>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</si>
  <si>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</si>
  <si>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</si>
  <si>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</si>
  <si>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</si>
  <si>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</si>
  <si>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</si>
  <si>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</si>
  <si>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</si>
  <si>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</si>
  <si>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</si>
  <si>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</si>
  <si>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</si>
  <si>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</si>
  <si>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</si>
  <si>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</si>
  <si>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</si>
  <si>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</si>
  <si>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</si>
  <si>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</si>
  <si>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</si>
  <si>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</si>
  <si>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</si>
  <si>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</si>
  <si>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</si>
  <si>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</si>
  <si>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</si>
  <si>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</si>
  <si>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</si>
  <si>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</si>
  <si>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</si>
  <si>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</si>
  <si>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</si>
  <si>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</si>
  <si>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</si>
  <si>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</si>
  <si>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</si>
  <si>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</si>
  <si>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</si>
  <si>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</si>
  <si>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</si>
  <si>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</si>
  <si>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</si>
  <si>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</si>
  <si>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</si>
  <si>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</si>
  <si>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</si>
  <si>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</si>
  <si>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</si>
  <si>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</si>
  <si>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</si>
  <si>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</si>
  <si>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</si>
  <si>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</si>
  <si>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</si>
  <si>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</si>
  <si>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</si>
  <si>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</si>
  <si>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</si>
  <si>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</si>
  <si>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</si>
  <si>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</si>
  <si>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</si>
  <si>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</si>
  <si>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</si>
  <si>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</si>
  <si>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</si>
  <si>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</si>
  <si>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</si>
  <si>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</si>
  <si>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</si>
  <si>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</si>
  <si>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</si>
  <si>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</si>
  <si>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</si>
  <si>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</si>
  <si>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</si>
  <si>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</si>
  <si>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</si>
  <si>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</si>
  <si>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</si>
  <si>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</si>
  <si>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</si>
  <si>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</si>
  <si>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</si>
  <si>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</si>
  <si>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</si>
  <si>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</si>
  <si>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</si>
  <si>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</si>
  <si>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</si>
  <si>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</si>
  <si>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</si>
  <si>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</si>
  <si>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</si>
  <si>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</si>
  <si>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</si>
  <si>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</si>
  <si>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</si>
  <si>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</si>
  <si>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</si>
  <si>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</si>
  <si>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</si>
  <si>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</si>
  <si>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</si>
  <si>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</si>
  <si>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</si>
  <si>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</si>
  <si>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</si>
  <si>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</si>
  <si>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</si>
  <si>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</si>
  <si>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</si>
  <si>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</si>
  <si>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</si>
  <si>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</si>
  <si>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</si>
  <si>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</si>
  <si>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</si>
  <si>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</si>
  <si>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</si>
  <si>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</si>
  <si>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</si>
  <si>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</si>
  <si>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</si>
  <si>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</si>
  <si>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</si>
  <si>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</si>
  <si>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</si>
  <si>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</si>
  <si>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</si>
  <si>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</si>
  <si>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</si>
  <si>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</si>
  <si>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</si>
  <si>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</si>
  <si>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</si>
  <si>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</si>
  <si>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</si>
  <si>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</si>
  <si>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</si>
  <si>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</si>
  <si>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</si>
  <si>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</si>
  <si>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</si>
  <si>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</si>
  <si>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</si>
  <si>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</si>
  <si>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</si>
  <si>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</si>
  <si>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</si>
  <si>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</si>
  <si>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</si>
  <si>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</si>
  <si>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</si>
  <si>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</si>
  <si>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</si>
  <si>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</si>
  <si>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</si>
  <si>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</si>
  <si>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</si>
  <si>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</si>
  <si>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</si>
  <si>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</si>
  <si>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</si>
  <si>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</si>
  <si>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</si>
  <si>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</si>
  <si>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</si>
  <si>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</si>
  <si>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</si>
  <si>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</si>
  <si>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</si>
  <si>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</si>
  <si>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</si>
  <si>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</si>
  <si>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</si>
  <si>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</si>
  <si>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</si>
  <si>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</si>
  <si>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</si>
  <si>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</si>
  <si>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</si>
  <si>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</si>
  <si>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</si>
  <si>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</si>
  <si>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</si>
  <si>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</si>
  <si>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</si>
  <si>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</si>
  <si>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</si>
  <si>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</si>
  <si>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</si>
  <si>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</si>
  <si>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</si>
  <si>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</si>
  <si>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</si>
  <si>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</si>
  <si>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</si>
  <si>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</si>
  <si>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</si>
  <si>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</si>
  <si>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</si>
  <si>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</si>
  <si>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</si>
  <si>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</si>
  <si>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</si>
  <si>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</si>
  <si>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</si>
  <si>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</si>
  <si>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</si>
  <si>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</si>
  <si>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</si>
  <si>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</si>
  <si>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</si>
  <si>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</si>
  <si>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</si>
  <si>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</si>
  <si>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</si>
  <si>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</si>
  <si>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</si>
  <si>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</si>
  <si>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</si>
  <si>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</si>
  <si>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</si>
  <si>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</si>
  <si>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</si>
  <si>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</si>
  <si>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</si>
  <si>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</si>
  <si>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</si>
  <si>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</si>
  <si>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</si>
  <si>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</si>
  <si>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</si>
  <si>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</si>
  <si>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</si>
  <si>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</si>
  <si>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</si>
  <si>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</si>
  <si>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</si>
  <si>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</si>
  <si>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</si>
  <si>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</si>
  <si>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</si>
  <si>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</si>
  <si>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</si>
  <si>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</si>
  <si>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</si>
  <si>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</si>
  <si>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</si>
  <si>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</si>
  <si>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</si>
  <si>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</si>
  <si>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</si>
  <si>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</si>
  <si>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</si>
  <si>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</si>
  <si>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</si>
  <si>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</si>
  <si>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</si>
  <si>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</si>
  <si>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</si>
  <si>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</si>
  <si>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</si>
  <si>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</si>
  <si>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</si>
  <si>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</si>
  <si>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</si>
  <si>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</si>
  <si>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</si>
  <si>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</si>
  <si>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</si>
  <si>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</si>
  <si>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</si>
  <si>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</si>
  <si>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</si>
  <si>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</si>
  <si>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</si>
  <si>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</si>
  <si>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</si>
  <si>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</si>
  <si>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</si>
  <si>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</si>
  <si>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</si>
  <si>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</si>
  <si>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</si>
  <si>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</si>
  <si>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</si>
  <si>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</si>
  <si>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</si>
  <si>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</si>
  <si>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</si>
  <si>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</si>
  <si>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</si>
  <si>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</si>
  <si>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</si>
  <si>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</si>
  <si>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</si>
  <si>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</si>
  <si>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</si>
  <si>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</si>
  <si>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</si>
  <si>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</si>
  <si>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</si>
  <si>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</si>
  <si>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</si>
  <si>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</si>
  <si>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</si>
  <si>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</si>
  <si>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</si>
  <si>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</si>
  <si>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</si>
  <si>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</si>
  <si>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</si>
  <si>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</si>
  <si>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</si>
  <si>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</si>
  <si>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</si>
  <si>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</si>
  <si>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</si>
  <si>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</si>
  <si>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</si>
  <si>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</si>
  <si>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</si>
  <si>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</si>
  <si>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</si>
  <si>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</si>
  <si>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</si>
  <si>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</si>
  <si>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</si>
  <si>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</si>
  <si>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</si>
  <si>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</si>
  <si>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</si>
  <si>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</si>
  <si>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</si>
  <si>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</si>
  <si>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</si>
  <si>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</si>
  <si>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</si>
  <si>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</si>
  <si>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</si>
  <si>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</si>
  <si>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</si>
  <si>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</si>
  <si>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</si>
  <si>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</si>
  <si>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</si>
  <si>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</si>
  <si>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</si>
  <si>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</si>
  <si>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</si>
  <si>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</si>
  <si>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</si>
  <si>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</si>
  <si>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</si>
  <si>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</si>
  <si>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</si>
  <si>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</si>
  <si>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</si>
  <si>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</si>
  <si>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</si>
  <si>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</si>
  <si>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</si>
  <si>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</si>
  <si>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</si>
  <si>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</si>
  <si>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</si>
  <si>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</si>
  <si>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</si>
  <si>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</si>
  <si>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</si>
  <si>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</si>
  <si>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</si>
  <si>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</si>
  <si>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</si>
  <si>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</si>
  <si>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</si>
  <si>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</si>
  <si>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</si>
  <si>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</si>
  <si>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</si>
  <si>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</si>
  <si>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</si>
  <si>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</si>
  <si>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</si>
  <si>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</si>
  <si>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</si>
  <si>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</si>
  <si>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</si>
  <si>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</si>
  <si>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</si>
  <si>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</si>
  <si>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</si>
  <si>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</si>
  <si>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</si>
  <si>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</si>
  <si>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</si>
  <si>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</si>
  <si>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</si>
  <si>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</si>
  <si>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</si>
  <si>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</si>
  <si>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</si>
  <si>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</si>
  <si>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</si>
  <si>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</si>
  <si>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</si>
  <si>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</si>
  <si>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</si>
  <si>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</si>
  <si>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</si>
  <si>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</si>
  <si>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</si>
  <si>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</si>
  <si>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</si>
  <si>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</si>
  <si>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</si>
  <si>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</si>
  <si>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</si>
  <si>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</si>
  <si>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</si>
  <si>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</si>
  <si>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</si>
  <si>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</si>
  <si>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</si>
  <si>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</si>
  <si>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</si>
  <si>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</si>
  <si>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</si>
  <si>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</si>
  <si>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</si>
  <si>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</si>
  <si>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</si>
  <si>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</si>
  <si>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</si>
  <si>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</si>
  <si>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</si>
  <si>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</si>
  <si>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</si>
  <si>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</si>
  <si>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</si>
  <si>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</si>
  <si>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</si>
  <si>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</si>
  <si>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</si>
  <si>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</si>
  <si>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</si>
  <si>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</si>
  <si>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</si>
  <si>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</si>
  <si>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</si>
  <si>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</si>
  <si>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</si>
  <si>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</si>
  <si>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</si>
  <si>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</si>
  <si>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</si>
  <si>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</si>
  <si>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</si>
  <si>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</si>
  <si>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</si>
  <si>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</si>
  <si>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</si>
  <si>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</si>
  <si>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</si>
  <si>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</si>
  <si>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</si>
  <si>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</si>
  <si>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</si>
  <si>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</si>
  <si>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</si>
  <si>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</si>
  <si>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</si>
  <si>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</si>
  <si>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</si>
  <si>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</si>
  <si>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</si>
  <si>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</si>
  <si>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</si>
  <si>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</si>
  <si>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</si>
  <si>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</si>
  <si>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</si>
  <si>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</si>
  <si>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</si>
  <si>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</si>
  <si>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</si>
  <si>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</si>
  <si>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</si>
  <si>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</si>
  <si>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</si>
  <si>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</si>
  <si>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</si>
  <si>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</si>
  <si>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</si>
  <si>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</si>
  <si>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</si>
  <si>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</si>
  <si>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</si>
  <si>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</si>
  <si>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</si>
  <si>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</si>
  <si>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</si>
  <si>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</si>
  <si>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</si>
  <si>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</si>
  <si>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</si>
  <si>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</si>
  <si>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</si>
  <si>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</si>
  <si>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</si>
  <si>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</si>
  <si>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</si>
  <si>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</si>
  <si>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</si>
  <si>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</si>
  <si>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</si>
  <si>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</si>
  <si>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</si>
  <si>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</si>
  <si>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</si>
  <si>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</si>
  <si>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</si>
  <si>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</si>
  <si>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</si>
  <si>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</si>
  <si>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</si>
  <si>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</si>
  <si>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</si>
  <si>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</si>
  <si>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</si>
  <si>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</si>
  <si>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</si>
  <si>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</si>
  <si>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</si>
  <si>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</si>
  <si>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</si>
  <si>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</si>
  <si>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</si>
  <si>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</si>
  <si>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</si>
  <si>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</si>
  <si>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</si>
  <si>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</si>
  <si>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</si>
  <si>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</si>
  <si>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</si>
  <si>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</si>
  <si>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</si>
  <si>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</si>
  <si>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</si>
  <si>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</si>
  <si>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</si>
  <si>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</si>
  <si>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</si>
  <si>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</si>
  <si>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</si>
  <si>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</si>
  <si>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</si>
  <si>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</si>
  <si>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</si>
  <si>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</si>
  <si>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</si>
  <si>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</si>
  <si>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</si>
  <si>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</si>
  <si>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</si>
  <si>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</si>
  <si>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</si>
  <si>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</si>
  <si>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</si>
  <si>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</si>
  <si>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</si>
  <si>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</si>
  <si>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</si>
  <si>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</si>
  <si>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</si>
  <si>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</si>
  <si>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</si>
  <si>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</si>
  <si>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</si>
  <si>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</si>
  <si>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</si>
  <si>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</si>
  <si>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</si>
  <si>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</si>
  <si>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</si>
  <si>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</si>
  <si>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</si>
  <si>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</si>
  <si>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</si>
  <si>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</si>
  <si>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</si>
  <si>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</si>
  <si>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</si>
  <si>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</si>
  <si>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</si>
  <si>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</si>
  <si>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</si>
  <si>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</si>
  <si>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</si>
  <si>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</si>
  <si>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</si>
  <si>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</si>
  <si>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</si>
  <si>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</si>
  <si>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</si>
  <si>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</si>
  <si>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</si>
  <si>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</si>
  <si>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</si>
  <si>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</si>
  <si>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</si>
  <si>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</si>
  <si>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</si>
  <si>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</si>
  <si>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</si>
  <si>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</si>
  <si>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</si>
  <si>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</si>
  <si>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</si>
  <si>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</si>
  <si>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</si>
  <si>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</si>
  <si>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</si>
  <si>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</si>
  <si>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</si>
  <si>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</si>
  <si>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</si>
  <si>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</si>
  <si>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</si>
  <si>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</si>
  <si>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</si>
  <si>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</si>
  <si>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</si>
  <si>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</si>
  <si>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</si>
  <si>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</si>
  <si>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</si>
  <si>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</si>
  <si>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</si>
  <si>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</si>
  <si>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</si>
  <si>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</si>
  <si>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</si>
  <si>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</si>
  <si>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</si>
  <si>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</si>
  <si>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</si>
  <si>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</si>
  <si>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</si>
  <si>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</si>
  <si>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</si>
  <si>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</si>
  <si>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</si>
  <si>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</si>
  <si>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</si>
  <si>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</si>
  <si>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</si>
  <si>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</si>
  <si>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</si>
  <si>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</si>
  <si>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</si>
  <si>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</si>
  <si>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</si>
  <si>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</si>
  <si>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</si>
  <si>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</si>
  <si>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</si>
  <si>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</si>
  <si>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</si>
  <si>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</si>
  <si>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</si>
  <si>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</si>
  <si>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</si>
  <si>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</si>
  <si>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</si>
  <si>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</si>
  <si>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</si>
  <si>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</si>
  <si>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</si>
  <si>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</si>
  <si>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</si>
  <si>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</si>
  <si>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</si>
  <si>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</si>
  <si>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</si>
  <si>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</si>
  <si>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</si>
  <si>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</si>
  <si>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</si>
  <si>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</si>
  <si>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</si>
  <si>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</si>
  <si>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</si>
  <si>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</si>
  <si>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</si>
  <si>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</si>
  <si>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</si>
  <si>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</si>
  <si>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</si>
  <si>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</si>
  <si>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</si>
  <si>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</si>
  <si>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</si>
  <si>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</si>
  <si>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</si>
  <si>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</si>
  <si>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</si>
  <si>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</si>
  <si>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</si>
  <si>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</si>
  <si>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</si>
  <si>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</si>
  <si>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</si>
  <si>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</si>
  <si>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</si>
  <si>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</si>
  <si>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</si>
  <si>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</si>
  <si>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</si>
  <si>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</si>
  <si>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</si>
  <si>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</si>
  <si>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</si>
  <si>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</si>
  <si>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</si>
  <si>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</si>
  <si>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</si>
  <si>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</si>
  <si>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</si>
  <si>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</si>
  <si>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</si>
  <si>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</si>
  <si>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</si>
  <si>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</si>
  <si>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</si>
  <si>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</si>
  <si>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</si>
  <si>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</si>
  <si>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</si>
  <si>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</si>
  <si>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</si>
  <si>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</si>
  <si>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</si>
  <si>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</si>
  <si>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</si>
  <si>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</si>
  <si>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</si>
  <si>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</si>
  <si>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</si>
  <si>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</si>
  <si>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</si>
  <si>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</si>
  <si>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</si>
  <si>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</si>
  <si>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</si>
  <si>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</si>
  <si>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</si>
  <si>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</si>
  <si>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</si>
  <si>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</si>
  <si>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</si>
  <si>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</si>
  <si>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</si>
  <si>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</si>
  <si>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</si>
  <si>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</si>
  <si>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</si>
  <si>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</si>
  <si>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</si>
  <si>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</si>
  <si>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</si>
  <si>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</si>
  <si>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</si>
  <si>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</si>
  <si>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</si>
  <si>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</si>
  <si>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</si>
  <si>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</si>
  <si>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</si>
  <si>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</si>
  <si>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</si>
  <si>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</si>
  <si>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</si>
  <si>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</si>
  <si>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</si>
  <si>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</si>
  <si>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</si>
  <si>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</si>
  <si>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</si>
  <si>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</si>
  <si>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</si>
  <si>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</si>
  <si>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</si>
  <si>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</si>
  <si>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</si>
  <si>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</si>
  <si>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</si>
  <si>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</si>
  <si>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</si>
  <si>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</si>
  <si>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</si>
  <si>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</si>
  <si>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</si>
  <si>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</si>
  <si>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</si>
  <si>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</si>
  <si>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</si>
  <si>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</si>
  <si>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</si>
  <si>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</si>
  <si>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</si>
  <si>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</si>
  <si>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</si>
  <si>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</si>
  <si>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</si>
  <si>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</si>
  <si>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</si>
  <si>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</si>
  <si>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</si>
  <si>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</si>
  <si>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</si>
  <si>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</si>
  <si>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</si>
  <si>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</si>
  <si>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</si>
  <si>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</si>
  <si>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</si>
  <si>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</si>
  <si>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</si>
  <si>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</si>
  <si>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</si>
  <si>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</si>
  <si>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</si>
  <si>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</si>
  <si>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</si>
  <si>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</si>
  <si>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</si>
  <si>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</si>
  <si>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</si>
  <si>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</si>
  <si>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</si>
  <si>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</si>
  <si>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</si>
  <si>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</si>
  <si>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</si>
  <si>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</si>
  <si>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</si>
  <si>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</si>
  <si>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</si>
  <si>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</si>
  <si>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</si>
  <si>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</si>
  <si>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</si>
  <si>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</si>
  <si>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</si>
  <si>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</si>
  <si>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</si>
  <si>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</si>
  <si>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</si>
  <si>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</si>
  <si>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</si>
  <si>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</si>
  <si>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</si>
  <si>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</si>
  <si>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</si>
  <si>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</si>
  <si>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</si>
  <si>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</si>
  <si>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</si>
  <si>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</si>
  <si>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</si>
  <si>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</si>
  <si>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</si>
  <si>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</si>
  <si>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</si>
  <si>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</si>
  <si>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</si>
  <si>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</si>
  <si>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</si>
  <si>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</si>
  <si>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</si>
  <si>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</si>
  <si>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</si>
  <si>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</si>
  <si>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</si>
  <si>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</si>
  <si>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</si>
  <si>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</si>
  <si>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</si>
  <si>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</si>
  <si>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</si>
  <si>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</si>
  <si>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</si>
  <si>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</si>
  <si>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</si>
  <si>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</si>
  <si>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</si>
  <si>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</si>
  <si>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</si>
  <si>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</si>
  <si>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</si>
  <si>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</si>
  <si>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</si>
  <si>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</si>
  <si>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</si>
  <si>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</si>
  <si>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</si>
  <si>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</si>
  <si>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</si>
  <si>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</si>
  <si>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</si>
  <si>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</si>
  <si>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</si>
  <si>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</si>
  <si>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</si>
  <si>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</si>
  <si>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</si>
  <si>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</si>
  <si>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</si>
  <si>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</si>
  <si>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</si>
  <si>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</si>
  <si>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</si>
  <si>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</si>
  <si>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</si>
  <si>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</si>
  <si>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</si>
  <si>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</si>
  <si>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</si>
  <si>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</si>
  <si>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</si>
  <si>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</si>
  <si>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</si>
  <si>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</si>
  <si>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</si>
  <si>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</si>
  <si>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</si>
  <si>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</si>
  <si>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</si>
  <si>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</si>
  <si>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</si>
  <si>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</si>
  <si>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</si>
  <si>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</si>
  <si>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</si>
  <si>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</si>
  <si>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</si>
  <si>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</si>
  <si>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</si>
  <si>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</si>
  <si>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</si>
  <si>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</si>
  <si>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</si>
  <si>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</si>
  <si>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</si>
  <si>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</si>
  <si>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</si>
  <si>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</si>
  <si>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</si>
  <si>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</si>
  <si>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</si>
  <si>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</si>
  <si>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</si>
  <si>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</si>
  <si>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</si>
  <si>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</si>
  <si>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</si>
  <si>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</si>
  <si>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</si>
  <si>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</si>
  <si>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</si>
  <si>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</si>
  <si>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</si>
  <si>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</si>
  <si>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</si>
  <si>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</si>
  <si>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</si>
  <si>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</si>
  <si>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</si>
  <si>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</si>
  <si>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</si>
  <si>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</si>
  <si>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</si>
  <si>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</si>
  <si>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</si>
  <si>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</si>
  <si>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</si>
  <si>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</si>
  <si>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</si>
  <si>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</si>
  <si>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</si>
  <si>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</si>
  <si>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</si>
  <si>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</si>
  <si>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</si>
  <si>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</si>
  <si>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</si>
  <si>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</si>
  <si>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</si>
  <si>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</si>
  <si>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</si>
  <si>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</si>
  <si>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</si>
  <si>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</si>
  <si>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</si>
  <si>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</si>
  <si>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</si>
  <si>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</si>
  <si>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</si>
  <si>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</si>
  <si>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</si>
  <si>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</si>
  <si>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</si>
  <si>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</si>
  <si>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</si>
  <si>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</si>
  <si>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</si>
  <si>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</si>
  <si>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</si>
  <si>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</si>
  <si>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</si>
  <si>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</si>
  <si>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</si>
  <si>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</si>
  <si>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</si>
  <si>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</si>
  <si>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</si>
  <si>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</si>
  <si>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</si>
  <si>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</si>
  <si>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</si>
  <si>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</si>
  <si>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</si>
  <si>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</si>
  <si>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</si>
  <si>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</si>
  <si>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</si>
  <si>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</si>
  <si>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</si>
  <si>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</si>
  <si>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</si>
  <si>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</si>
  <si>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</si>
  <si>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</si>
  <si>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</si>
  <si>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</si>
  <si>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</si>
  <si>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</si>
  <si>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</si>
  <si>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</si>
  <si>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</si>
  <si>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</si>
  <si>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</si>
  <si>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</si>
  <si>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</si>
  <si>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</si>
  <si>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</si>
  <si>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</si>
  <si>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</si>
  <si>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</si>
  <si>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</si>
  <si>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</si>
  <si>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</si>
  <si>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</si>
  <si>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</si>
  <si>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</si>
  <si>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</si>
  <si>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</si>
  <si>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</si>
  <si>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</si>
  <si>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</si>
  <si>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</si>
  <si>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</si>
  <si>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</si>
  <si>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</si>
  <si>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</si>
  <si>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</si>
  <si>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</si>
  <si>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</si>
  <si>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</si>
  <si>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</si>
  <si>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</si>
  <si>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</si>
  <si>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</si>
  <si>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</si>
  <si>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</si>
  <si>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</si>
  <si>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</si>
  <si>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</si>
  <si>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</si>
  <si>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</si>
  <si>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</si>
  <si>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</si>
  <si>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</si>
  <si>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</si>
  <si>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</si>
  <si>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</si>
  <si>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</si>
  <si>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</si>
  <si>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</si>
  <si>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</si>
  <si>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</si>
  <si>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</si>
  <si>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</si>
  <si>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</si>
  <si>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</si>
  <si>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</si>
  <si>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</si>
  <si>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</si>
  <si>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</si>
  <si>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</si>
  <si>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</si>
  <si>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</si>
  <si>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</si>
  <si>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</si>
  <si>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</si>
  <si>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</si>
  <si>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</si>
  <si>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</si>
  <si>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</si>
  <si>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</si>
  <si>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</si>
  <si>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</si>
  <si>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</si>
  <si>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</si>
  <si>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</si>
  <si>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</si>
  <si>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</si>
  <si>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</si>
  <si>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</si>
  <si>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</si>
  <si>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</si>
  <si>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</si>
  <si>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</si>
  <si>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</si>
  <si>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</si>
  <si>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</si>
  <si>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</si>
  <si>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</si>
  <si>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</si>
  <si>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</si>
  <si>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</si>
  <si>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</si>
  <si>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</si>
  <si>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</si>
  <si>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</si>
  <si>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</si>
  <si>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</si>
  <si>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</si>
  <si>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</si>
  <si>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</si>
  <si>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</si>
  <si>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</si>
  <si>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</si>
  <si>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</si>
  <si>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</si>
  <si>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</si>
  <si>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</si>
  <si>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</si>
  <si>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</si>
  <si>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</si>
  <si>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</si>
  <si>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</si>
  <si>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</si>
  <si>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</si>
  <si>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</si>
  <si>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</si>
  <si>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</si>
  <si>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</si>
  <si>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</si>
  <si>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</si>
  <si>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</si>
  <si>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</si>
  <si>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</si>
  <si>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</si>
  <si>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</si>
  <si>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</si>
  <si>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</si>
  <si>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</si>
  <si>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</si>
  <si>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</si>
  <si>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</si>
  <si>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</si>
  <si>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</si>
  <si>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</si>
  <si>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</si>
  <si>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</si>
  <si>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</si>
  <si>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</si>
  <si>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</si>
  <si>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</si>
  <si>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</si>
  <si>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</si>
  <si>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</si>
  <si>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</si>
  <si>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</si>
  <si>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</si>
  <si>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</si>
  <si>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</si>
  <si>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</si>
  <si>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</si>
  <si>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</si>
  <si>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</si>
  <si>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</si>
  <si>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</si>
  <si>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</si>
  <si>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</si>
  <si>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</si>
  <si>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</si>
  <si>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</si>
  <si>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</si>
  <si>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</si>
  <si>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</si>
  <si>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</si>
  <si>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</si>
  <si>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</si>
  <si>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</si>
  <si>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</si>
  <si>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</si>
  <si>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</si>
  <si>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</si>
  <si>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</si>
  <si>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</si>
  <si>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</si>
  <si>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</si>
  <si>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</si>
  <si>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</si>
  <si>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</si>
  <si>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</si>
  <si>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</si>
  <si>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</si>
  <si>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</si>
  <si>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</si>
  <si>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</si>
  <si>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</si>
  <si>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</si>
  <si>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</si>
  <si>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</si>
  <si>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</si>
  <si>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</si>
  <si>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</si>
  <si>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</si>
  <si>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</si>
  <si>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</si>
  <si>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</si>
  <si>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</si>
  <si>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</si>
  <si>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</si>
  <si>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</si>
  <si>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</si>
  <si>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</si>
  <si>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</si>
  <si>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</si>
  <si>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</si>
  <si>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</si>
  <si>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</si>
  <si>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</si>
  <si>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</si>
  <si>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</si>
  <si>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</si>
  <si>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</si>
  <si>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</si>
  <si>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</si>
  <si>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</si>
  <si>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</si>
  <si>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</si>
  <si>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</si>
  <si>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</si>
  <si>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</si>
  <si>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</si>
  <si>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</si>
  <si>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</si>
  <si>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</si>
  <si>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</si>
  <si>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</si>
  <si>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</si>
  <si>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</si>
  <si>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</si>
  <si>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</si>
  <si>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</si>
  <si>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</si>
  <si>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</si>
  <si>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</si>
  <si>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</si>
  <si>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</si>
  <si>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</si>
  <si>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</si>
  <si>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</si>
  <si>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</si>
  <si>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</si>
  <si>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</si>
  <si>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</si>
  <si>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</si>
  <si>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</si>
  <si>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</si>
  <si>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</si>
  <si>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</si>
  <si>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</si>
  <si>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</si>
  <si>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</si>
  <si>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</si>
  <si>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</si>
  <si>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</si>
  <si>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</si>
  <si>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</si>
  <si>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</si>
  <si>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</si>
  <si>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</si>
  <si>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</si>
  <si>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</si>
  <si>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</si>
  <si>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</si>
  <si>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</si>
  <si>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</si>
  <si>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</si>
  <si>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</si>
  <si>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</si>
  <si>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</si>
  <si>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</si>
  <si>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</si>
  <si>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</si>
  <si>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</si>
  <si>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</si>
  <si>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</si>
  <si>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</si>
  <si>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</si>
  <si>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</si>
  <si>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</si>
  <si>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</si>
  <si>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</si>
  <si>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</si>
  <si>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</si>
  <si>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</si>
  <si>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</si>
  <si>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</si>
  <si>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</si>
  <si>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</si>
  <si>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</si>
  <si>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</si>
  <si>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</si>
  <si>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</si>
  <si>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</si>
  <si>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</si>
  <si>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</si>
  <si>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</si>
  <si>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</si>
  <si>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</si>
  <si>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</si>
  <si>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</si>
  <si>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</si>
  <si>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</si>
  <si>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</si>
  <si>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</si>
  <si>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</si>
  <si>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</si>
  <si>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</si>
  <si>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</si>
  <si>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</si>
  <si>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</si>
  <si>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</si>
  <si>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</si>
  <si>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</si>
  <si>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</si>
  <si>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</si>
  <si>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</si>
  <si>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</si>
  <si>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</si>
  <si>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</si>
  <si>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</si>
  <si>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</si>
  <si>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</si>
  <si>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</si>
  <si>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</si>
  <si>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</si>
  <si>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</si>
  <si>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</si>
  <si>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</si>
  <si>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</si>
  <si>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</si>
  <si>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</si>
  <si>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</si>
  <si>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</si>
  <si>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</si>
  <si>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</si>
  <si>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</si>
  <si>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</si>
  <si>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</si>
  <si>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</si>
  <si>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</si>
  <si>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</si>
  <si>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</si>
  <si>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</si>
  <si>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</si>
  <si>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</si>
  <si>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</si>
  <si>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</si>
  <si>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</si>
  <si>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</si>
  <si>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</si>
  <si>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</si>
  <si>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</si>
  <si>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</si>
  <si>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</si>
  <si>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</si>
  <si>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</si>
  <si>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</si>
  <si>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</si>
  <si>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</si>
  <si>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</si>
  <si>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</si>
  <si>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</si>
  <si>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</si>
  <si>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</si>
  <si>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</si>
  <si>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</si>
  <si>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</si>
  <si>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</si>
  <si>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</si>
  <si>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</si>
  <si>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</si>
  <si>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</si>
  <si>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</si>
  <si>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</si>
  <si>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</si>
  <si>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</si>
  <si>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</si>
  <si>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</si>
  <si>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</si>
  <si>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</si>
  <si>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</si>
  <si>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</si>
  <si>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</si>
  <si>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</si>
  <si>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</si>
  <si>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</si>
  <si>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</si>
  <si>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</si>
  <si>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</si>
  <si>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</si>
  <si>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</si>
  <si>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</si>
  <si>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</si>
  <si>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</si>
  <si>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</si>
  <si>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</si>
  <si>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</si>
  <si>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</si>
  <si>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</si>
  <si>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</si>
  <si>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</si>
  <si>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</si>
  <si>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</si>
  <si>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</si>
  <si>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</si>
  <si>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</si>
  <si>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</si>
  <si>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</si>
  <si>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</si>
  <si>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</si>
  <si>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</si>
  <si>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</si>
  <si>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</si>
  <si>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</si>
  <si>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</si>
  <si>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</si>
  <si>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</si>
  <si>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</si>
  <si>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</si>
  <si>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</si>
  <si>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</si>
  <si>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</si>
  <si>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</si>
  <si>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</si>
  <si>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</si>
  <si>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</si>
  <si>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</si>
  <si>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</si>
  <si>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</si>
  <si>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</si>
  <si>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</si>
  <si>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</si>
  <si>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</si>
  <si>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</si>
  <si>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</si>
  <si>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</si>
  <si>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</si>
  <si>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</si>
  <si>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</si>
  <si>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</si>
  <si>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</si>
  <si>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</si>
  <si>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</si>
  <si>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</si>
  <si>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</si>
  <si>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</si>
  <si>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</si>
  <si>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</si>
  <si>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</si>
  <si>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</si>
  <si>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</si>
  <si>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</si>
  <si>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</si>
  <si>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</si>
  <si>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</si>
  <si>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</si>
  <si>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</si>
  <si>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</si>
  <si>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</si>
  <si>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</si>
  <si>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</si>
  <si>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</si>
  <si>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</si>
  <si>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</si>
  <si>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</si>
  <si>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</si>
  <si>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</si>
  <si>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</si>
  <si>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</si>
  <si>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</si>
  <si>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</si>
  <si>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</si>
  <si>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</si>
  <si>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</si>
  <si>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</si>
  <si>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</si>
  <si>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</si>
  <si>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</si>
  <si>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</si>
  <si>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</si>
  <si>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</si>
  <si>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</si>
  <si>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</si>
  <si>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</si>
  <si>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</si>
  <si>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</si>
  <si>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</si>
  <si>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</si>
  <si>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</si>
  <si>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</si>
  <si>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</si>
  <si>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</si>
  <si>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</si>
  <si>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</si>
  <si>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</si>
  <si>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</si>
  <si>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</si>
  <si>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</si>
  <si>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</si>
  <si>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</si>
  <si>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</si>
  <si>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</si>
  <si>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</si>
  <si>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</si>
  <si>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</si>
  <si>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</si>
  <si>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</si>
  <si>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</si>
  <si>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</si>
  <si>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</si>
  <si>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</si>
  <si>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</si>
  <si>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</si>
  <si>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</si>
  <si>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</si>
  <si>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</si>
  <si>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</si>
  <si>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</si>
  <si>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</si>
  <si>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</si>
  <si>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</si>
  <si>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</si>
  <si>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</si>
  <si>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</si>
  <si>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</si>
  <si>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</si>
  <si>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</si>
  <si>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</si>
  <si>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</si>
  <si>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</si>
  <si>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</si>
  <si>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</si>
  <si>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</si>
  <si>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</si>
  <si>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</si>
  <si>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</si>
  <si>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</si>
  <si>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</si>
  <si>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</si>
  <si>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</si>
  <si>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</si>
  <si>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</si>
  <si>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</si>
  <si>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</si>
  <si>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</si>
  <si>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</si>
  <si>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</si>
  <si>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</si>
  <si>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</si>
  <si>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</si>
  <si>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</si>
  <si>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</si>
  <si>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</si>
  <si>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</si>
  <si>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</si>
  <si>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</si>
  <si>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</si>
  <si>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</si>
  <si>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</si>
  <si>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</si>
  <si>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</si>
  <si>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</si>
  <si>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</si>
  <si>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</si>
  <si>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</si>
  <si>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</si>
  <si>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</si>
  <si>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</si>
  <si>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</si>
  <si>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</si>
  <si>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</si>
  <si>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</si>
  <si>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</si>
  <si>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</si>
  <si>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</si>
  <si>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</si>
  <si>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</si>
  <si>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</si>
  <si>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</si>
  <si>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</si>
  <si>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</si>
  <si>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</si>
  <si>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</si>
  <si>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</si>
  <si>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</si>
  <si>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</si>
  <si>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</si>
  <si>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</si>
  <si>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</si>
  <si>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</si>
  <si>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</si>
  <si>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</si>
  <si>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</si>
  <si>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</si>
  <si>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</si>
  <si>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</si>
  <si>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</si>
  <si>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</si>
  <si>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</si>
  <si>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</si>
  <si>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</si>
  <si>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</si>
  <si>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</si>
  <si>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</si>
  <si>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</si>
  <si>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</si>
  <si>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</si>
  <si>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</si>
  <si>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</si>
  <si>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</si>
  <si>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</si>
  <si>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</si>
  <si>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</si>
  <si>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</si>
  <si>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</si>
  <si>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</si>
  <si>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</si>
  <si>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</si>
  <si>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</si>
  <si>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</si>
  <si>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</si>
  <si>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</si>
  <si>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</si>
  <si>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</si>
  <si>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</si>
  <si>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</si>
  <si>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</si>
  <si>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</si>
  <si>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</si>
  <si>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</si>
  <si>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</si>
  <si>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</si>
  <si>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</si>
  <si>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</si>
  <si>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</si>
  <si>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</si>
  <si>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</si>
  <si>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</si>
  <si>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</si>
  <si>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</si>
  <si>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</si>
  <si>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</si>
  <si>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</si>
  <si>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</si>
  <si>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</si>
  <si>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</si>
  <si>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</si>
  <si>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</si>
  <si>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</si>
  <si>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</si>
  <si>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</si>
  <si>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</si>
  <si>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</si>
  <si>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</si>
  <si>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</si>
  <si>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</si>
  <si>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</si>
  <si>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</si>
  <si>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</si>
  <si>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</si>
  <si>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</si>
  <si>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</si>
  <si>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</si>
  <si>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</si>
  <si>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</si>
  <si>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</si>
  <si>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</si>
  <si>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</si>
  <si>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</si>
  <si>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</si>
  <si>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</si>
  <si>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</si>
  <si>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</si>
  <si>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</si>
  <si>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</si>
  <si>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</si>
  <si>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</si>
  <si>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</si>
  <si>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</si>
  <si>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</si>
  <si>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</si>
  <si>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</si>
  <si>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</si>
  <si>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</si>
  <si>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</si>
  <si>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</si>
  <si>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</si>
  <si>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</si>
  <si>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</si>
  <si>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</si>
  <si>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</si>
  <si>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</si>
  <si>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</si>
  <si>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</si>
  <si>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</si>
  <si>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</si>
  <si>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</si>
  <si>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</si>
  <si>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</si>
  <si>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</si>
  <si>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</si>
  <si>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</si>
  <si>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</si>
  <si>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</si>
  <si>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</si>
  <si>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</si>
  <si>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</si>
  <si>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</si>
  <si>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</si>
  <si>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</si>
  <si>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</si>
  <si>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</si>
  <si>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</si>
  <si>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</si>
  <si>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</si>
  <si>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</si>
  <si>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</si>
  <si>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</si>
  <si>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</si>
  <si>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</si>
  <si>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</si>
  <si>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</si>
  <si>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</si>
  <si>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</si>
  <si>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</si>
  <si>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</si>
  <si>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</si>
  <si>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</si>
  <si>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</si>
  <si>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</si>
  <si>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</si>
  <si>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</si>
  <si>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</si>
  <si>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</si>
  <si>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</si>
  <si>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</si>
  <si>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</si>
  <si>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</si>
  <si>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</si>
  <si>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</si>
  <si>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</si>
  <si>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</si>
  <si>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</si>
  <si>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</si>
  <si>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</si>
  <si>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</si>
  <si>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</si>
  <si>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</si>
  <si>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</si>
  <si>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</si>
  <si>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</si>
  <si>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</si>
  <si>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</si>
  <si>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</si>
  <si>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</si>
  <si>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</si>
  <si>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</si>
  <si>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</si>
  <si>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</si>
  <si>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</si>
  <si>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</si>
  <si>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</si>
  <si>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</si>
  <si>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</si>
  <si>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</si>
  <si>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</si>
  <si>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</si>
  <si>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</si>
  <si>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</si>
  <si>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</si>
  <si>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</si>
  <si>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</si>
  <si>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</si>
  <si>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</si>
  <si>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</si>
  <si>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</si>
  <si>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</si>
  <si>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</si>
  <si>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</si>
  <si>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</si>
  <si>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</si>
  <si>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</si>
  <si>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</si>
  <si>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</si>
  <si>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</si>
  <si>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</si>
  <si>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</si>
  <si>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</si>
  <si>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</si>
  <si>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</si>
  <si>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</si>
  <si>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</si>
  <si>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</si>
  <si>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</si>
  <si>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</si>
  <si>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</si>
  <si>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</si>
  <si>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</si>
  <si>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</si>
  <si>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</si>
  <si>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</si>
  <si>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</si>
  <si>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</si>
  <si>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</si>
  <si>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</si>
  <si>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</si>
  <si>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</si>
  <si>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</si>
  <si>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</si>
  <si>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</si>
  <si>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</si>
  <si>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</si>
  <si>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</si>
  <si>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</si>
  <si>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</si>
  <si>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</si>
  <si>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</si>
  <si>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</si>
  <si>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</si>
  <si>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</si>
  <si>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</si>
  <si>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</si>
  <si>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</si>
  <si>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</si>
  <si>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</si>
  <si>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</si>
  <si>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</si>
  <si>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</si>
  <si>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</si>
  <si>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</si>
  <si>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</si>
  <si>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</si>
  <si>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</si>
  <si>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</si>
  <si>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</si>
  <si>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</si>
  <si>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</si>
  <si>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</si>
  <si>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</si>
  <si>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</si>
  <si>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</si>
  <si>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</si>
  <si>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</si>
  <si>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</si>
  <si>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</si>
  <si>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</si>
  <si>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</si>
  <si>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</si>
  <si>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</si>
  <si>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</si>
  <si>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</si>
  <si>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</si>
  <si>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</si>
  <si>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</si>
  <si>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</si>
  <si>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</si>
  <si>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</si>
  <si>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</si>
  <si>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</si>
  <si>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</si>
  <si>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</si>
  <si>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</si>
  <si>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</si>
  <si>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</si>
  <si>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</si>
  <si>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</si>
  <si>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</si>
  <si>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</si>
  <si>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</si>
  <si>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</si>
  <si>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</si>
  <si>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</si>
  <si>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</si>
  <si>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</si>
  <si>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</si>
  <si>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</si>
  <si>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</si>
  <si>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</si>
  <si>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</si>
  <si>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</si>
  <si>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</si>
  <si>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</si>
  <si>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</si>
  <si>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</si>
  <si>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</si>
  <si>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</si>
  <si>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</si>
  <si>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</si>
  <si>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</si>
  <si>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</si>
  <si>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</si>
  <si>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</si>
  <si>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</si>
  <si>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</si>
  <si>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</si>
  <si>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</si>
  <si>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</si>
  <si>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</si>
  <si>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</si>
  <si>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</si>
  <si>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</si>
  <si>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</si>
  <si>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</si>
  <si>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</si>
  <si>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</si>
  <si>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</si>
  <si>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</si>
  <si>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</si>
  <si>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</si>
  <si>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</si>
  <si>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</si>
  <si>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</si>
  <si>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</si>
  <si>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</si>
  <si>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</si>
  <si>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</si>
  <si>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</si>
  <si>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</si>
  <si>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</si>
  <si>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</si>
  <si>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</si>
  <si>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</si>
  <si>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</si>
  <si>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</si>
  <si>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</si>
  <si>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</si>
  <si>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</si>
  <si>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</si>
  <si>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</si>
  <si>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</si>
  <si>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</si>
  <si>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</si>
  <si>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</si>
  <si>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</si>
  <si>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</si>
  <si>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</si>
  <si>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</si>
  <si>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</si>
  <si>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</si>
  <si>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</si>
  <si>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</si>
  <si>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</si>
  <si>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</si>
  <si>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</si>
  <si>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</si>
  <si>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</si>
  <si>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</si>
  <si>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</si>
  <si>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</si>
  <si>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</si>
  <si>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</si>
  <si>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</si>
  <si>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</si>
  <si>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</si>
  <si>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</si>
  <si>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</si>
  <si>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</si>
  <si>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</si>
  <si>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</si>
  <si>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</si>
  <si>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</si>
  <si>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</si>
  <si>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</si>
  <si>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</si>
  <si>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</si>
  <si>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</si>
  <si>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</si>
  <si>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</si>
  <si>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</si>
  <si>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</si>
  <si>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</si>
  <si>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</si>
  <si>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</si>
  <si>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</si>
  <si>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</si>
  <si>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</si>
  <si>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</si>
  <si>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</si>
  <si>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</si>
  <si>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</si>
  <si>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</si>
  <si>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</si>
  <si>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</si>
  <si>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</si>
  <si>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</si>
  <si>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</si>
  <si>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</si>
  <si>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</si>
  <si>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</si>
  <si>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</si>
  <si>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</si>
  <si>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</si>
  <si>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</si>
  <si>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</si>
  <si>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</si>
  <si>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</si>
  <si>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</si>
  <si>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</si>
  <si>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</si>
  <si>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</si>
  <si>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</si>
  <si>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</si>
  <si>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</si>
  <si>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</si>
  <si>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</si>
  <si>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</si>
  <si>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</si>
  <si>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</si>
  <si>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</si>
  <si>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</si>
  <si>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</si>
  <si>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</si>
  <si>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</si>
  <si>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</si>
  <si>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</si>
  <si>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</si>
  <si>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</si>
  <si>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</si>
  <si>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</si>
  <si>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</si>
  <si>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</si>
  <si>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</si>
  <si>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</si>
  <si>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</si>
  <si>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</si>
  <si>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</si>
  <si>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</si>
  <si>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</si>
  <si>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</si>
  <si>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</si>
  <si>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</si>
  <si>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</si>
  <si>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</si>
  <si>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</si>
  <si>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</si>
  <si>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</si>
  <si>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</si>
  <si>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</si>
  <si>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</si>
  <si>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</si>
  <si>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</si>
  <si>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</si>
  <si>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</si>
  <si>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</si>
  <si>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</si>
  <si>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</si>
  <si>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</si>
  <si>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</si>
  <si>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</si>
  <si>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</si>
  <si>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</si>
  <si>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</si>
  <si>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</si>
  <si>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</si>
  <si>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</si>
  <si>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</si>
  <si>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</si>
  <si>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</si>
  <si>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</si>
  <si>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</si>
  <si>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</si>
  <si>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</si>
  <si>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</si>
  <si>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</si>
  <si>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</si>
  <si>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</si>
  <si>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</si>
  <si>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</si>
  <si>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</si>
  <si>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</si>
  <si>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</si>
  <si>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</si>
  <si>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</si>
  <si>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</si>
  <si>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</si>
  <si>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</si>
  <si>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</si>
  <si>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</si>
  <si>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</si>
  <si>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</si>
  <si>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</si>
  <si>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</si>
  <si>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</si>
  <si>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</si>
  <si>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</si>
  <si>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</si>
  <si>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</si>
  <si>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</si>
  <si>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</si>
  <si>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</si>
  <si>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</si>
  <si>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</si>
  <si>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</si>
  <si>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</si>
  <si>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</si>
  <si>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</si>
  <si>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</si>
  <si>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</si>
  <si>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</si>
  <si>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</si>
  <si>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</si>
  <si>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</si>
  <si>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</si>
  <si>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</si>
  <si>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</si>
  <si>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</si>
  <si>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</si>
  <si>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</si>
  <si>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</si>
  <si>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</si>
  <si>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</si>
  <si>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</si>
  <si>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</si>
  <si>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</si>
  <si>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</si>
  <si>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</si>
  <si>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</si>
  <si>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</si>
  <si>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</si>
  <si>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</si>
  <si>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</si>
  <si>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</si>
  <si>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</si>
  <si>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</si>
  <si>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</si>
  <si>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</si>
  <si>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</si>
  <si>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</si>
  <si>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</si>
  <si>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</si>
  <si>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</si>
  <si>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</si>
  <si>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</si>
  <si>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</si>
  <si>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</si>
  <si>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</si>
  <si>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</si>
  <si>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</si>
  <si>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</si>
  <si>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</si>
  <si>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</si>
  <si>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</si>
  <si>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</si>
  <si>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</si>
  <si>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</si>
  <si>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</si>
  <si>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</si>
  <si>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</si>
  <si>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</si>
  <si>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</si>
  <si>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</si>
  <si>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</si>
  <si>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</si>
  <si>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</si>
  <si>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</si>
  <si>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</si>
  <si>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</si>
  <si>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</si>
  <si>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</si>
  <si>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</si>
  <si>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</si>
  <si>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</si>
  <si>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</si>
  <si>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</si>
  <si>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</si>
  <si>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</si>
  <si>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</si>
  <si>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</si>
  <si>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</si>
  <si>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</si>
  <si>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</si>
  <si>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</si>
  <si>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</si>
  <si>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</si>
  <si>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</si>
  <si>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</si>
  <si>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</si>
  <si>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</si>
  <si>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</si>
  <si>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</si>
  <si>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</si>
  <si>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</si>
  <si>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</si>
  <si>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</si>
  <si>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</si>
  <si>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</si>
  <si>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</si>
  <si>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</si>
  <si>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</si>
  <si>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</si>
  <si>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</si>
  <si>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</si>
  <si>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</si>
  <si>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</si>
  <si>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</si>
  <si>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</si>
  <si>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</si>
  <si>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</si>
  <si>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</si>
  <si>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</si>
  <si>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</si>
  <si>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</si>
  <si>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</si>
  <si>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</si>
  <si>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</si>
  <si>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</si>
  <si>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</si>
  <si>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</si>
  <si>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</si>
  <si>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</si>
  <si>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</si>
  <si>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</si>
  <si>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</si>
  <si>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</si>
  <si>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</si>
  <si>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</si>
  <si>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</si>
  <si>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</si>
  <si>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</si>
  <si>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</si>
  <si>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</si>
  <si>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</si>
  <si>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</si>
  <si>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</si>
  <si>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</si>
  <si>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</si>
  <si>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</si>
  <si>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</si>
  <si>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</si>
  <si>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</si>
  <si>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</si>
  <si>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</si>
  <si>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</si>
  <si>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</si>
  <si>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</si>
  <si>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</si>
  <si>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</si>
  <si>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</si>
  <si>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</si>
  <si>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</si>
  <si>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</si>
  <si>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</si>
  <si>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</si>
  <si>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</si>
  <si>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</si>
  <si>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</si>
  <si>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</si>
  <si>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</si>
  <si>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</si>
  <si>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</si>
  <si>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</si>
  <si>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</si>
  <si>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</si>
  <si>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</si>
  <si>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</si>
  <si>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</si>
  <si>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</si>
  <si>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</si>
  <si>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</si>
  <si>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</si>
  <si>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</si>
  <si>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</si>
  <si>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</si>
  <si>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</si>
  <si>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</si>
  <si>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</si>
  <si>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</si>
  <si>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</si>
  <si>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</si>
  <si>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</si>
  <si>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</si>
  <si>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</si>
  <si>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</si>
  <si>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</si>
  <si>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</si>
  <si>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</si>
  <si>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</si>
  <si>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</si>
  <si>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</si>
  <si>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</si>
  <si>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</si>
  <si>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</si>
  <si>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</si>
  <si>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</si>
  <si>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</si>
  <si>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</si>
  <si>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</si>
  <si>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</si>
  <si>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</si>
  <si>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</si>
  <si>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</si>
  <si>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</si>
  <si>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</si>
  <si>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</si>
  <si>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</si>
  <si>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</si>
  <si>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</si>
  <si>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</si>
  <si>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</si>
  <si>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</si>
  <si>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</si>
  <si>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</si>
  <si>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</si>
  <si>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</si>
  <si>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</si>
  <si>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</si>
  <si>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</si>
  <si>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</si>
  <si>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</si>
  <si>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</si>
  <si>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</si>
  <si>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</si>
  <si>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</si>
  <si>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</si>
  <si>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</si>
  <si>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</si>
  <si>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</si>
  <si>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</si>
  <si>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</si>
  <si>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</si>
  <si>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</si>
  <si>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</si>
  <si>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</si>
  <si>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</si>
  <si>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</si>
  <si>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</si>
  <si>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</si>
  <si>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</si>
  <si>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</si>
  <si>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</si>
  <si>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</si>
  <si>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</si>
  <si>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</si>
  <si>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</si>
  <si>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</si>
  <si>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</si>
  <si>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</si>
  <si>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</si>
  <si>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</si>
  <si>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</si>
  <si>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</si>
  <si>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</si>
  <si>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</si>
  <si>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</si>
  <si>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</si>
  <si>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</si>
  <si>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</si>
  <si>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</si>
  <si>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</si>
  <si>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</si>
  <si>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</si>
  <si>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</si>
  <si>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</si>
  <si>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</si>
  <si>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</si>
  <si>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</si>
  <si>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</si>
  <si>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</si>
  <si>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</si>
  <si>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</si>
  <si>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</si>
  <si>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</si>
  <si>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</si>
  <si>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</si>
  <si>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</si>
  <si>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</si>
  <si>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</si>
  <si>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</si>
  <si>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</si>
  <si>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</si>
  <si>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</si>
  <si>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</si>
  <si>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</si>
  <si>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</si>
  <si>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</si>
  <si>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</si>
  <si>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</si>
  <si>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</si>
  <si>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</si>
  <si>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</si>
  <si>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</si>
  <si>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</si>
  <si>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</si>
  <si>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</si>
  <si>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</si>
  <si>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</si>
  <si>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</si>
  <si>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</si>
  <si>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</si>
  <si>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</si>
  <si>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</si>
  <si>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</si>
  <si>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</si>
  <si>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</si>
  <si>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</si>
  <si>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</si>
  <si>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</si>
  <si>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</si>
  <si>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</si>
  <si>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</si>
  <si>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</si>
  <si>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</si>
  <si>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</si>
  <si>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</si>
  <si>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</si>
  <si>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</si>
  <si>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</si>
  <si>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</si>
  <si>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</si>
  <si>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</si>
  <si>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</si>
  <si>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</si>
  <si>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</si>
  <si>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</si>
  <si>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</si>
  <si>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</si>
  <si>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</si>
  <si>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</si>
  <si>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</si>
  <si>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</si>
  <si>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</si>
  <si>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</si>
  <si>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</si>
  <si>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</si>
  <si>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</si>
  <si>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</si>
  <si>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</si>
  <si>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</si>
  <si>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</si>
  <si>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</si>
  <si>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</si>
  <si>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</si>
  <si>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</si>
  <si>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</si>
  <si>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</si>
  <si>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</si>
  <si>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</si>
  <si>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</si>
  <si>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</si>
  <si>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</si>
  <si>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</si>
  <si>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</si>
  <si>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</si>
  <si>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</si>
  <si>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</si>
  <si>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</si>
  <si>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</si>
  <si>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</si>
  <si>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</si>
  <si>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</si>
  <si>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</si>
  <si>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</si>
  <si>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</si>
  <si>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</si>
  <si>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</si>
  <si>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</si>
  <si>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</si>
  <si>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</si>
  <si>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</si>
  <si>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</si>
  <si>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</si>
  <si>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</si>
  <si>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</si>
  <si>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</si>
  <si>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</si>
  <si>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</si>
  <si>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</si>
  <si>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</si>
  <si>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</si>
  <si>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</si>
  <si>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</si>
  <si>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</si>
  <si>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</si>
  <si>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</si>
  <si>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</si>
  <si>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</si>
  <si>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</si>
  <si>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</si>
  <si>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</si>
  <si>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</si>
  <si>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</si>
  <si>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</si>
  <si>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</si>
  <si>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</si>
  <si>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</si>
  <si>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</si>
  <si>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</si>
  <si>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</si>
  <si>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</si>
  <si>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</si>
  <si>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</si>
  <si>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</si>
  <si>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</si>
  <si>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</si>
  <si>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</si>
  <si>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</si>
  <si>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</si>
  <si>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</si>
  <si>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</si>
  <si>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</si>
  <si>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</si>
  <si>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</si>
  <si>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</si>
  <si>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</si>
  <si>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</si>
  <si>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</si>
  <si>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</si>
  <si>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</si>
  <si>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</si>
  <si>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</si>
  <si>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</si>
  <si>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</si>
  <si>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</si>
  <si>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</si>
  <si>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</si>
  <si>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</si>
  <si>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</si>
  <si>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</si>
  <si>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</si>
  <si>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</si>
  <si>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</si>
  <si>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</si>
  <si>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</si>
  <si>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</si>
  <si>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</si>
  <si>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</si>
  <si>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</si>
  <si>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</si>
  <si>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</si>
  <si>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</si>
  <si>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</si>
  <si>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</si>
  <si>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</si>
  <si>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</si>
  <si>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</si>
  <si>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</si>
  <si>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</si>
  <si>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</si>
  <si>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</si>
  <si>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</si>
  <si>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</si>
  <si>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</si>
  <si>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</si>
  <si>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</si>
  <si>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</si>
  <si>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</si>
  <si>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</si>
  <si>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</si>
  <si>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</si>
  <si>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</si>
  <si>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</si>
  <si>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</si>
  <si>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</si>
  <si>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</si>
  <si>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</si>
  <si>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</si>
  <si>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</si>
  <si>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</si>
  <si>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</si>
  <si>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</si>
  <si>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</si>
  <si>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</si>
  <si>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</si>
  <si>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</si>
  <si>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</si>
  <si>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</si>
  <si>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</si>
  <si>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</si>
  <si>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</si>
  <si>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</si>
  <si>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</si>
  <si>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</si>
  <si>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</si>
  <si>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</si>
  <si>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</si>
  <si>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</si>
  <si>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</si>
  <si>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</si>
  <si>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</si>
  <si>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</si>
  <si>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</si>
  <si>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</si>
  <si>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</si>
  <si>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</si>
  <si>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</si>
  <si>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</si>
  <si>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</si>
  <si>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</si>
  <si>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</si>
  <si>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</si>
  <si>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</si>
  <si>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</si>
  <si>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</si>
  <si>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</si>
  <si>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</si>
  <si>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</si>
  <si>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</si>
  <si>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</si>
  <si>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</si>
  <si>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</si>
  <si>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</si>
  <si>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</si>
  <si>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</si>
  <si>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</si>
  <si>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</si>
  <si>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</si>
  <si>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</si>
  <si>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</si>
  <si>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</si>
  <si>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</si>
  <si>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</si>
  <si>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</si>
  <si>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</si>
  <si>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</si>
  <si>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</si>
  <si>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</si>
  <si>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</si>
  <si>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</si>
  <si>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</si>
  <si>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</si>
  <si>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</si>
  <si>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</si>
  <si>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</si>
  <si>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</si>
  <si>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</si>
  <si>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</si>
  <si>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</si>
  <si>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</si>
  <si>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</si>
  <si>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</si>
  <si>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</si>
  <si>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</si>
  <si>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</si>
  <si>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</si>
  <si>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</si>
  <si>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</si>
  <si>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</si>
  <si>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</si>
  <si>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</si>
  <si>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</si>
  <si>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</si>
  <si>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</si>
  <si>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</si>
  <si>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</si>
  <si>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</si>
  <si>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</si>
  <si>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</si>
  <si>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</si>
  <si>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</si>
  <si>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</si>
  <si>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</si>
  <si>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</si>
  <si>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</si>
  <si>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</si>
  <si>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</si>
  <si>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</si>
  <si>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</si>
  <si>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</si>
  <si>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</si>
  <si>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</si>
  <si>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</si>
  <si>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</si>
  <si>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</si>
  <si>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</si>
  <si>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</si>
  <si>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</si>
  <si>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</si>
  <si>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</si>
  <si>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</si>
  <si>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</si>
  <si>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</si>
  <si>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</si>
  <si>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</si>
  <si>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</si>
  <si>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</si>
  <si>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</si>
  <si>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</si>
  <si>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</si>
  <si>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</si>
  <si>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</si>
  <si>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</si>
  <si>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</si>
  <si>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</si>
  <si>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</si>
  <si>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</si>
  <si>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</si>
  <si>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</si>
  <si>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</si>
  <si>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</si>
  <si>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</si>
  <si>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</si>
  <si>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</si>
  <si>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</si>
  <si>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</si>
  <si>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</si>
  <si>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</si>
  <si>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</si>
  <si>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</si>
  <si>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</si>
  <si>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</si>
  <si>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</si>
  <si>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</si>
  <si>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</si>
  <si>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</si>
  <si>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</si>
  <si>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</si>
  <si>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</si>
  <si>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</si>
  <si>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</si>
  <si>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</si>
  <si>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</si>
  <si>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</si>
  <si>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</si>
  <si>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</si>
  <si>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</si>
  <si>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</si>
  <si>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</si>
  <si>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</si>
  <si>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</si>
  <si>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</si>
  <si>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</si>
  <si>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</si>
  <si>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</si>
  <si>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</si>
  <si>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</si>
  <si>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</si>
  <si>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</si>
  <si>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</si>
  <si>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</si>
  <si>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</si>
  <si>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</si>
  <si>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</si>
  <si>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</si>
  <si>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</si>
  <si>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</si>
  <si>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</si>
  <si>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</si>
  <si>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</si>
  <si>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</si>
  <si>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</si>
  <si>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</si>
  <si>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</si>
  <si>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</si>
  <si>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</si>
  <si>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</si>
  <si>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</si>
  <si>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</si>
  <si>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</si>
  <si>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</si>
  <si>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</si>
  <si>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</si>
  <si>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</si>
  <si>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</si>
  <si>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</si>
  <si>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</si>
  <si>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</si>
  <si>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</si>
  <si>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</si>
  <si>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</si>
  <si>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</si>
  <si>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</si>
  <si>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</si>
  <si>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</si>
  <si>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</si>
  <si>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</si>
  <si>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</si>
  <si>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</si>
  <si>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</si>
  <si>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</si>
  <si>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</si>
  <si>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</si>
  <si>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</si>
  <si>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</si>
  <si>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</si>
  <si>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</si>
  <si>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</si>
  <si>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</si>
  <si>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</si>
  <si>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</si>
  <si>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</si>
  <si>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</si>
  <si>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</si>
  <si>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</si>
  <si>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</si>
  <si>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</si>
  <si>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</si>
  <si>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</si>
  <si>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</si>
  <si>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</si>
  <si>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</si>
  <si>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</si>
  <si>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</si>
  <si>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</si>
  <si>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</si>
  <si>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</si>
  <si>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</si>
  <si>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</si>
  <si>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</si>
  <si>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</si>
  <si>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</si>
  <si>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</si>
  <si>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</si>
  <si>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</si>
  <si>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</si>
  <si>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</si>
  <si>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</si>
  <si>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</si>
  <si>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</si>
  <si>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</si>
  <si>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</si>
  <si>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</si>
  <si>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</si>
  <si>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</si>
  <si>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</si>
  <si>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</si>
  <si>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</si>
  <si>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</si>
  <si>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</si>
  <si>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</si>
  <si>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</si>
  <si>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</si>
  <si>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</si>
  <si>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</si>
  <si>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</si>
  <si>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</si>
  <si>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</si>
  <si>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</si>
  <si>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</si>
  <si>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</si>
  <si>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</si>
  <si>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</si>
  <si>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</si>
  <si>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</si>
  <si>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</si>
  <si>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</si>
  <si>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</si>
  <si>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</si>
  <si>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</si>
  <si>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</si>
  <si>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</si>
  <si>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</si>
  <si>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</si>
  <si>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</si>
  <si>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</si>
  <si>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</si>
  <si>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</si>
  <si>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</si>
  <si>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</si>
  <si>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</si>
  <si>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</si>
  <si>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</si>
  <si>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</si>
  <si>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</si>
  <si>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</si>
  <si>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</si>
  <si>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</si>
  <si>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</si>
  <si>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</si>
  <si>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</si>
  <si>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</si>
  <si>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</si>
  <si>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</si>
  <si>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</si>
  <si>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</si>
  <si>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</si>
  <si>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</si>
  <si>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</si>
  <si>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</si>
  <si>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</si>
  <si>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</si>
  <si>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</si>
  <si>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</si>
  <si>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</si>
  <si>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</si>
  <si>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</si>
  <si>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</si>
  <si>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</si>
  <si>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</si>
  <si>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</si>
  <si>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</si>
  <si>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</si>
  <si>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</si>
  <si>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</si>
  <si>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</si>
  <si>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</si>
  <si>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</si>
  <si>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</si>
  <si>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</si>
  <si>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</si>
  <si>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</si>
  <si>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</si>
  <si>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</si>
  <si>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</si>
  <si>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</si>
  <si>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</si>
  <si>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</si>
  <si>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</si>
  <si>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</si>
  <si>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</si>
  <si>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</si>
  <si>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</si>
  <si>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</si>
  <si>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</si>
  <si>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</si>
  <si>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</si>
  <si>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</si>
  <si>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</si>
  <si>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</si>
  <si>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</si>
  <si>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</si>
  <si>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</si>
  <si>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</si>
  <si>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</si>
  <si>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</si>
  <si>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</si>
  <si>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</si>
  <si>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</si>
  <si>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</si>
  <si>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</si>
  <si>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</si>
  <si>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</si>
  <si>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</si>
  <si>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</si>
  <si>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</si>
  <si>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</si>
  <si>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</si>
  <si>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</si>
  <si>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</si>
  <si>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</si>
  <si>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</si>
  <si>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</si>
  <si>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</si>
  <si>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</si>
  <si>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</si>
  <si>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</si>
  <si>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</si>
  <si>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</si>
  <si>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</si>
  <si>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</si>
  <si>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</si>
  <si>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</si>
  <si>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</si>
  <si>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</si>
  <si>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</si>
  <si>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</si>
  <si>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</si>
  <si>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</si>
  <si>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</si>
  <si>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</si>
  <si>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</si>
  <si>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</si>
  <si>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</si>
  <si>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</si>
  <si>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</si>
  <si>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</si>
  <si>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</si>
  <si>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</si>
  <si>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</si>
  <si>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</si>
  <si>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</si>
  <si>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</si>
  <si>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</si>
  <si>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</si>
  <si>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</si>
  <si>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</si>
  <si>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</si>
  <si>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</si>
  <si>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</si>
  <si>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</si>
  <si>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</si>
  <si>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</si>
  <si>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</si>
  <si>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</si>
  <si>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</si>
  <si>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</si>
  <si>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</si>
  <si>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</si>
  <si>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</si>
  <si>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</si>
  <si>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</si>
  <si>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</si>
  <si>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</si>
  <si>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</si>
  <si>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</si>
  <si>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</si>
  <si>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</si>
  <si>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</si>
  <si>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</si>
  <si>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</si>
  <si>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</si>
  <si>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</si>
  <si>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</si>
  <si>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</si>
  <si>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</si>
  <si>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</si>
  <si>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</si>
  <si>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</si>
  <si>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</si>
  <si>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</si>
  <si>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</si>
  <si>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</si>
  <si>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</si>
  <si>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</si>
  <si>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</si>
  <si>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</si>
  <si>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</si>
  <si>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</si>
  <si>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</si>
  <si>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</si>
  <si>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</si>
  <si>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</si>
  <si>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</si>
  <si>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</si>
  <si>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</si>
  <si>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</si>
  <si>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</si>
  <si>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</si>
  <si>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</si>
  <si>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</si>
  <si>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</si>
  <si>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</si>
  <si>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</si>
  <si>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</si>
  <si>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</si>
  <si>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</si>
  <si>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</si>
  <si>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</si>
  <si>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</si>
  <si>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</si>
  <si>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</si>
  <si>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</si>
  <si>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</si>
  <si>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</si>
  <si>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</si>
  <si>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</si>
  <si>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</si>
  <si>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</si>
  <si>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</si>
  <si>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</si>
  <si>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</si>
  <si>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</si>
  <si>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</si>
  <si>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</si>
  <si>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</si>
  <si>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</si>
  <si>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</si>
  <si>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</si>
  <si>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</si>
  <si>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</si>
  <si>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</si>
  <si>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</si>
  <si>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</si>
  <si>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</si>
  <si>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</si>
  <si>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</si>
  <si>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</si>
  <si>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</si>
  <si>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</si>
  <si>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</si>
  <si>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</si>
  <si>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</si>
  <si>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</si>
  <si>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</si>
  <si>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</si>
  <si>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</si>
  <si>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</si>
  <si>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</si>
  <si>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</si>
  <si>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</si>
  <si>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</si>
  <si>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</si>
  <si>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</si>
  <si>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</si>
  <si>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</si>
  <si>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</si>
  <si>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</si>
  <si>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</si>
  <si>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</si>
  <si>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</si>
  <si>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</si>
  <si>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</si>
  <si>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</si>
  <si>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</si>
  <si>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</si>
  <si>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</si>
  <si>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</si>
  <si>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</si>
  <si>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</si>
  <si>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</si>
  <si>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</si>
  <si>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</si>
  <si>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</si>
  <si>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</si>
  <si>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</si>
  <si>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</si>
  <si>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</si>
  <si>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</si>
  <si>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</si>
  <si>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</si>
  <si>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</si>
  <si>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</si>
  <si>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</si>
  <si>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</si>
  <si>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</si>
  <si>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</si>
  <si>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</si>
  <si>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</si>
  <si>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</si>
  <si>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</si>
  <si>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</si>
  <si>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</si>
  <si>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</si>
  <si>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</si>
  <si>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</si>
  <si>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</si>
  <si>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</si>
  <si>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</si>
  <si>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</si>
  <si>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</si>
  <si>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</si>
  <si>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</si>
  <si>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</si>
  <si>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</si>
  <si>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</si>
  <si>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</si>
  <si>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</si>
  <si>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</si>
  <si>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</si>
  <si>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</si>
  <si>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</si>
  <si>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</si>
  <si>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</si>
  <si>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</si>
  <si>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</si>
  <si>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</si>
  <si>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</si>
  <si>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</si>
  <si>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</si>
  <si>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</si>
  <si>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</si>
  <si>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</si>
  <si>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</si>
  <si>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</si>
  <si>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</si>
  <si>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</si>
  <si>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</si>
  <si>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</si>
  <si>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</si>
  <si>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</si>
  <si>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</si>
  <si>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</si>
  <si>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</si>
  <si>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</si>
  <si>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</si>
  <si>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</si>
  <si>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</si>
  <si>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</si>
  <si>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</si>
  <si>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</si>
  <si>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</si>
  <si>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</si>
  <si>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</si>
  <si>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</si>
  <si>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</si>
  <si>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</si>
  <si>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</si>
  <si>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</si>
  <si>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</si>
  <si>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</si>
  <si>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</si>
  <si>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</si>
  <si>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</si>
  <si>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</si>
  <si>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</si>
  <si>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</si>
  <si>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</si>
  <si>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</si>
  <si>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</si>
  <si>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</si>
  <si>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</si>
  <si>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</si>
  <si>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</si>
  <si>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</si>
  <si>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</si>
  <si>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</si>
  <si>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</si>
  <si>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</si>
  <si>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</si>
  <si>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</si>
  <si>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</si>
  <si>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</si>
  <si>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</si>
  <si>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</si>
  <si>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</si>
  <si>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</si>
  <si>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</si>
  <si>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</si>
  <si>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</si>
  <si>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</si>
  <si>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</si>
  <si>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</si>
  <si>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</si>
  <si>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</si>
  <si>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</si>
  <si>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</si>
  <si>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</si>
  <si>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</si>
  <si>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</si>
  <si>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</si>
  <si>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</si>
  <si>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</si>
  <si>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</si>
  <si>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</si>
  <si>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</si>
  <si>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</si>
  <si>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</si>
  <si>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</si>
  <si>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</si>
  <si>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</si>
  <si>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</si>
  <si>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</si>
  <si>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</si>
  <si>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</si>
  <si>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</si>
  <si>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</si>
  <si>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</si>
  <si>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</si>
  <si>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</si>
  <si>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</si>
  <si>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</si>
  <si>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</si>
  <si>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</si>
  <si>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</si>
  <si>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</si>
  <si>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</si>
  <si>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</si>
  <si>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</si>
  <si>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</si>
  <si>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</si>
  <si>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</si>
  <si>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</si>
  <si>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</si>
  <si>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</si>
  <si>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</si>
  <si>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</si>
  <si>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</si>
  <si>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</si>
  <si>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</si>
  <si>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</si>
  <si>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</si>
  <si>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</si>
  <si>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</si>
  <si>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</si>
  <si>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</si>
  <si>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</si>
  <si>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</si>
  <si>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</si>
  <si>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</si>
  <si>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</si>
  <si>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</si>
  <si>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</si>
  <si>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</si>
  <si>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</si>
  <si>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</si>
  <si>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</si>
  <si>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</si>
  <si>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</si>
  <si>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</si>
  <si>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</si>
  <si>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</si>
  <si>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</si>
  <si>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</si>
  <si>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</si>
  <si>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</si>
  <si>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</si>
  <si>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</si>
  <si>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</si>
  <si>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</si>
  <si>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</si>
  <si>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</si>
  <si>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</si>
  <si>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</si>
  <si>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</si>
  <si>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</si>
  <si>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</si>
  <si>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</si>
  <si>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</si>
  <si>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</si>
  <si>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</si>
  <si>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</si>
  <si>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</si>
  <si>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</si>
  <si>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</si>
  <si>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</si>
  <si>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</si>
  <si>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</si>
  <si>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</si>
  <si>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</si>
  <si>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</si>
  <si>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</si>
  <si>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</si>
  <si>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</si>
  <si>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</si>
  <si>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</si>
  <si>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</si>
  <si>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</si>
  <si>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</si>
  <si>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</si>
  <si>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</si>
  <si>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</si>
  <si>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</si>
  <si>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</si>
  <si>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</si>
  <si>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</si>
  <si>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</si>
  <si>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</si>
  <si>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</si>
  <si>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</si>
  <si>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</si>
  <si>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</si>
  <si>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</si>
  <si>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</si>
  <si>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</si>
  <si>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</si>
  <si>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</si>
  <si>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</si>
  <si>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</si>
  <si>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</si>
  <si>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</si>
  <si>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</si>
  <si>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</si>
  <si>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</si>
  <si>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</si>
  <si>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</si>
  <si>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</si>
  <si>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</si>
  <si>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</si>
  <si>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</si>
  <si>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</si>
  <si>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</si>
  <si>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</si>
  <si>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</si>
  <si>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</si>
  <si>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</si>
  <si>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</si>
  <si>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</si>
  <si>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</si>
  <si>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</si>
  <si>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</si>
  <si>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</si>
  <si>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</si>
  <si>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</si>
  <si>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</si>
  <si>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</si>
  <si>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</si>
  <si>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</si>
  <si>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</si>
  <si>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</si>
  <si>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</si>
  <si>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</si>
  <si>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</si>
  <si>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</si>
  <si>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</si>
  <si>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</si>
  <si>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</si>
  <si>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</si>
  <si>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</si>
  <si>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</si>
  <si>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</si>
  <si>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</si>
  <si>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</si>
  <si>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</si>
  <si>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</si>
  <si>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</si>
  <si>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</si>
  <si>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</si>
  <si>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</si>
  <si>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</si>
  <si>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</si>
  <si>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</si>
  <si>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</si>
  <si>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</si>
  <si>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</si>
  <si>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</si>
  <si>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</si>
  <si>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</si>
  <si>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</si>
  <si>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</si>
  <si>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</si>
  <si>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</si>
  <si>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</si>
  <si>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</si>
  <si>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</si>
  <si>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</si>
  <si>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</si>
  <si>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</si>
  <si>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</si>
  <si>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</si>
  <si>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</si>
  <si>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</si>
  <si>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</si>
  <si>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</si>
  <si>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</si>
  <si>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</si>
  <si>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</si>
  <si>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</si>
  <si>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</si>
  <si>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</si>
  <si>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</si>
  <si>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</si>
  <si>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</si>
  <si>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</si>
  <si>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</si>
  <si>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</si>
  <si>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</si>
  <si>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</si>
  <si>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</si>
  <si>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</si>
  <si>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</si>
  <si>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</si>
  <si>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</si>
  <si>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</si>
  <si>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</si>
  <si>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</si>
  <si>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</si>
  <si>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</si>
  <si>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</si>
  <si>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</si>
  <si>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</si>
  <si>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</si>
  <si>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</si>
  <si>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</si>
  <si>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</si>
  <si>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</si>
  <si>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</si>
  <si>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</si>
  <si>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</si>
  <si>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</si>
  <si>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</si>
  <si>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</si>
  <si>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</si>
  <si>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</si>
  <si>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</si>
  <si>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</si>
  <si>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</si>
  <si>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</si>
  <si>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</si>
  <si>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</si>
  <si>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</si>
  <si>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</si>
  <si>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</si>
  <si>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</si>
  <si>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</si>
  <si>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</si>
  <si>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</si>
  <si>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</si>
  <si>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</si>
  <si>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</si>
  <si>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</si>
  <si>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</si>
  <si>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</si>
  <si>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</si>
  <si>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</si>
  <si>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</si>
  <si>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</si>
  <si>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</si>
  <si>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</si>
  <si>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</si>
  <si>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</si>
  <si>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</si>
  <si>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</si>
  <si>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</si>
  <si>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</si>
  <si>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</si>
  <si>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</si>
  <si>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</si>
  <si>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</si>
  <si>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</si>
  <si>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</si>
  <si>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</si>
  <si>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</si>
  <si>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</si>
  <si>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</si>
  <si>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</si>
  <si>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</si>
  <si>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</si>
  <si>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</si>
  <si>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</si>
  <si>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</si>
  <si>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</si>
  <si>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</si>
  <si>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</si>
  <si>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</si>
  <si>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</si>
  <si>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</si>
  <si>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</si>
  <si>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</si>
  <si>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</si>
  <si>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</si>
  <si>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</si>
  <si>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</si>
  <si>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</si>
  <si>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</si>
  <si>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</si>
  <si>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</si>
  <si>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</si>
  <si>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</si>
  <si>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</si>
  <si>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</si>
  <si>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</si>
  <si>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</si>
  <si>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</si>
  <si>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</si>
  <si>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</si>
  <si>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</si>
  <si>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</si>
  <si>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</si>
  <si>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</si>
  <si>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</si>
  <si>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</si>
  <si>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</si>
  <si>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</si>
  <si>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</si>
  <si>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</si>
  <si>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</si>
  <si>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</si>
  <si>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</si>
  <si>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</si>
  <si>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</si>
  <si>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</si>
  <si>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</si>
  <si>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</si>
  <si>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</si>
  <si>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</si>
  <si>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</si>
  <si>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</si>
  <si>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</si>
  <si>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</si>
  <si>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</si>
  <si>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</si>
  <si>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</si>
  <si>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</si>
  <si>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</si>
  <si>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</si>
  <si>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</si>
  <si>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</si>
  <si>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</si>
  <si>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</si>
  <si>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</si>
  <si>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</si>
  <si>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</si>
  <si>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</si>
  <si>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</si>
  <si>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</si>
  <si>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</si>
  <si>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</si>
  <si>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</si>
  <si>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</si>
  <si>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</si>
  <si>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</si>
  <si>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</si>
  <si>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</si>
  <si>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</si>
  <si>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</si>
  <si>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</si>
  <si>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</si>
  <si>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</si>
  <si>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</si>
  <si>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</si>
  <si>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</si>
  <si>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</si>
  <si>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</si>
  <si>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</si>
  <si>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</si>
  <si>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</si>
  <si>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</si>
  <si>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</si>
  <si>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</si>
  <si>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</si>
  <si>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</si>
  <si>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</si>
  <si>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</si>
  <si>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</si>
  <si>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</si>
  <si>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</si>
  <si>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</si>
  <si>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</si>
  <si>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</si>
  <si>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</si>
  <si>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</si>
  <si>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</si>
  <si>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</si>
  <si>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</si>
  <si>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</si>
  <si>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</si>
  <si>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</si>
  <si>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</si>
  <si>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</si>
  <si>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</si>
  <si>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</si>
  <si>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</si>
  <si>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</si>
  <si>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</si>
  <si>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</si>
  <si>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</si>
  <si>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</si>
  <si>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</si>
  <si>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</si>
  <si>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</si>
  <si>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</si>
  <si>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</si>
  <si>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</si>
  <si>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</si>
  <si>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</si>
  <si>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</si>
  <si>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</si>
  <si>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</si>
  <si>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</si>
  <si>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</si>
  <si>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</si>
  <si>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</si>
  <si>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</si>
  <si>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</si>
  <si>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</si>
  <si>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</si>
  <si>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</si>
  <si>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</si>
  <si>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</si>
  <si>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</si>
  <si>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</si>
  <si>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</si>
  <si>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</si>
  <si>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</si>
  <si>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</si>
  <si>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</si>
  <si>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</si>
  <si>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</si>
  <si>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</si>
  <si>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</si>
  <si>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</si>
  <si>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</si>
  <si>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</si>
  <si>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</si>
  <si>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</si>
  <si>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</si>
  <si>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</si>
  <si>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</si>
  <si>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</si>
  <si>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</si>
  <si>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</si>
  <si>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</si>
  <si>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</si>
  <si>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</si>
  <si>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</si>
  <si>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</si>
  <si>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</si>
  <si>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</si>
  <si>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</si>
  <si>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</si>
  <si>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</si>
  <si>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</si>
  <si>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</si>
  <si>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</si>
  <si>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</si>
  <si>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</si>
  <si>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</si>
  <si>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</si>
  <si>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</si>
  <si>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</si>
  <si>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</si>
  <si>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</si>
  <si>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</si>
  <si>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</si>
  <si>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</si>
  <si>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</si>
  <si>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</si>
  <si>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</si>
  <si>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</si>
  <si>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</si>
  <si>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</si>
  <si>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</si>
  <si>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</si>
  <si>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</si>
  <si>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</si>
  <si>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</si>
  <si>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</si>
  <si>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</si>
  <si>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</si>
  <si>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</si>
  <si>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</si>
  <si>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</si>
  <si>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</si>
  <si>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</si>
  <si>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</si>
  <si>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</si>
  <si>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</si>
  <si>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</si>
  <si>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</si>
  <si>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</si>
  <si>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</si>
  <si>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</si>
  <si>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</si>
  <si>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</si>
  <si>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</si>
  <si>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</si>
  <si>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</si>
  <si>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</si>
  <si>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</si>
  <si>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</si>
  <si>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</si>
  <si>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</si>
  <si>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</si>
  <si>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</si>
  <si>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</si>
  <si>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</si>
  <si>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</si>
  <si>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</si>
  <si>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</si>
  <si>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</si>
  <si>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</si>
  <si>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</si>
  <si>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</si>
  <si>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</si>
  <si>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</si>
  <si>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</si>
  <si>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</si>
  <si>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</si>
  <si>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</si>
  <si>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</si>
  <si>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</si>
  <si>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</si>
  <si>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</si>
  <si>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</si>
  <si>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</si>
  <si>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</si>
  <si>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</si>
  <si>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</si>
  <si>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</si>
  <si>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</si>
  <si>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</si>
  <si>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</si>
  <si>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</si>
  <si>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</si>
  <si>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</si>
  <si>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</si>
  <si>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</si>
  <si>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</si>
  <si>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</si>
  <si>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</si>
  <si>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</si>
  <si>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</si>
  <si>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</si>
  <si>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</si>
  <si>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</si>
  <si>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</si>
  <si>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</si>
  <si>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</si>
  <si>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</si>
  <si>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</si>
  <si>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</si>
  <si>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</si>
  <si>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</si>
  <si>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</si>
  <si>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</si>
  <si>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</si>
  <si>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</si>
  <si>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</si>
  <si>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</si>
  <si>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</si>
  <si>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</si>
  <si>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</si>
  <si>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</si>
  <si>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</si>
  <si>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</si>
  <si>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</si>
  <si>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</si>
  <si>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</si>
  <si>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</si>
  <si>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</si>
  <si>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</si>
  <si>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</si>
  <si>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</si>
  <si>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</si>
  <si>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</si>
  <si>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</si>
  <si>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</si>
  <si>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</si>
  <si>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</si>
  <si>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</si>
  <si>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</si>
  <si>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</si>
  <si>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</si>
  <si>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</si>
  <si>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</si>
  <si>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</si>
  <si>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</si>
  <si>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</si>
  <si>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</si>
  <si>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</si>
  <si>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</si>
  <si>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</si>
  <si>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</si>
  <si>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</si>
  <si>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</si>
  <si>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</si>
  <si>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</si>
  <si>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</si>
  <si>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</si>
  <si>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</si>
  <si>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</si>
  <si>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</si>
  <si>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</si>
  <si>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</si>
  <si>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</si>
  <si>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</si>
  <si>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</si>
  <si>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</si>
  <si>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</si>
  <si>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</si>
  <si>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</si>
  <si>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</si>
  <si>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</si>
  <si>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</si>
  <si>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</si>
  <si>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</si>
  <si>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</si>
  <si>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</si>
  <si>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</si>
  <si>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</si>
  <si>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</si>
  <si>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</si>
  <si>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</si>
  <si>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</si>
  <si>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</si>
  <si>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</si>
  <si>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</si>
  <si>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</si>
  <si>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</si>
  <si>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</si>
  <si>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</si>
  <si>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</si>
  <si>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</si>
  <si>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</si>
  <si>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</si>
  <si>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</si>
  <si>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</si>
  <si>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</si>
  <si>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</si>
  <si>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</si>
  <si>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</si>
  <si>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</si>
  <si>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</si>
  <si>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</si>
  <si>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</si>
  <si>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</si>
  <si>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</si>
  <si>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</si>
  <si>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</si>
  <si>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</si>
  <si>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</si>
  <si>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</si>
  <si>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</si>
  <si>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</si>
  <si>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</si>
  <si>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</si>
  <si>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</si>
  <si>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</si>
  <si>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</si>
  <si>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</si>
  <si>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</si>
  <si>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</si>
  <si>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</si>
  <si>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</si>
  <si>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</si>
  <si>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</si>
  <si>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</si>
  <si>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</si>
  <si>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</si>
  <si>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</si>
  <si>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</si>
  <si>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</si>
  <si>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</si>
  <si>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</si>
  <si>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</si>
  <si>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</si>
  <si>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</si>
  <si>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</si>
  <si>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</si>
  <si>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</si>
  <si>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</si>
  <si>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</si>
  <si>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</si>
  <si>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</si>
  <si>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</si>
  <si>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</si>
  <si>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</si>
  <si>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</si>
  <si>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</si>
  <si>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</si>
  <si>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</si>
  <si>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</si>
  <si>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</si>
  <si>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</si>
  <si>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</si>
  <si>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</si>
  <si>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</si>
  <si>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</si>
  <si>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</si>
  <si>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</si>
  <si>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</si>
  <si>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</si>
  <si>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</si>
  <si>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</si>
  <si>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</si>
  <si>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</si>
  <si>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</si>
  <si>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</si>
  <si>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</si>
  <si>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</si>
  <si>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</si>
  <si>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</si>
  <si>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</si>
  <si>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</si>
  <si>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</si>
  <si>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</si>
  <si>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</si>
  <si>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</si>
  <si>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</si>
  <si>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</si>
  <si>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</si>
  <si>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</si>
  <si>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</si>
  <si>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</si>
  <si>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</si>
  <si>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</si>
  <si>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</si>
  <si>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</si>
  <si>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</si>
  <si>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</si>
  <si>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</si>
  <si>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</si>
  <si>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</si>
  <si>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</si>
  <si>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</si>
  <si>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</si>
  <si>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</si>
  <si>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</si>
  <si>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</si>
  <si>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</si>
  <si>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</si>
  <si>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</si>
  <si>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</si>
  <si>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</si>
  <si>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</si>
  <si>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</si>
  <si>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</si>
  <si>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</si>
  <si>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</si>
  <si>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</si>
  <si>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</si>
  <si>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</si>
  <si>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</si>
  <si>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</si>
  <si>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</si>
  <si>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</si>
  <si>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</si>
  <si>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</si>
  <si>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</si>
  <si>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</si>
  <si>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</si>
  <si>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</si>
  <si>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</si>
  <si>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</si>
  <si>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</si>
  <si>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</si>
  <si>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</si>
  <si>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</si>
  <si>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</si>
  <si>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</si>
  <si>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</si>
  <si>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</si>
  <si>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</si>
  <si>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</si>
  <si>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</si>
  <si>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</si>
  <si>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</si>
  <si>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</si>
  <si>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</si>
  <si>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</si>
  <si>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</si>
  <si>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</si>
  <si>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</si>
  <si>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</si>
  <si>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</si>
  <si>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</si>
  <si>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</si>
  <si>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</si>
  <si>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</si>
  <si>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</si>
  <si>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</si>
  <si>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</si>
  <si>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</si>
  <si>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</si>
  <si>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</si>
  <si>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</si>
  <si>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</si>
  <si>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</si>
  <si>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</si>
  <si>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</si>
  <si>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</si>
  <si>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</si>
  <si>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</si>
  <si>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</si>
  <si>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</si>
  <si>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</si>
  <si>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</si>
  <si>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</si>
  <si>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</si>
  <si>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</si>
  <si>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</si>
  <si>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</si>
  <si>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</si>
  <si>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</si>
  <si>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</si>
  <si>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</si>
  <si>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</si>
  <si>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</si>
  <si>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</si>
  <si>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</si>
  <si>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</si>
  <si>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</si>
  <si>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</si>
  <si>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</si>
  <si>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</si>
  <si>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</si>
  <si>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</si>
  <si>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</si>
  <si>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</si>
  <si>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</si>
  <si>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</si>
  <si>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</si>
  <si>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</si>
  <si>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</si>
  <si>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</si>
  <si>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</si>
  <si>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</si>
  <si>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</si>
  <si>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</si>
  <si>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</si>
  <si>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</si>
  <si>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</si>
  <si>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</si>
  <si>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</si>
  <si>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</si>
  <si>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</si>
  <si>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</si>
  <si>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</si>
  <si>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</si>
  <si>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</si>
  <si>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</si>
  <si>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</si>
  <si>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</si>
  <si>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</si>
  <si>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</si>
  <si>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</si>
  <si>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</si>
  <si>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</si>
  <si>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</si>
  <si>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</si>
  <si>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</si>
  <si>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</si>
  <si>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</si>
  <si>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</si>
  <si>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</si>
  <si>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</si>
  <si>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</si>
  <si>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</si>
  <si>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</si>
  <si>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</si>
  <si>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</si>
  <si>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</si>
  <si>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</si>
  <si>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</si>
  <si>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</si>
  <si>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</si>
  <si>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</si>
  <si>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</si>
  <si>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</si>
  <si>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</si>
  <si>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</si>
  <si>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</si>
  <si>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</si>
  <si>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</si>
  <si>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</si>
  <si>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</si>
  <si>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</si>
  <si>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</si>
  <si>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</si>
  <si>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</si>
  <si>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</si>
  <si>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</si>
  <si>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</si>
  <si>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</si>
  <si>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</si>
  <si>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</si>
  <si>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</si>
  <si>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</si>
  <si>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</si>
  <si>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</si>
  <si>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</si>
  <si>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</si>
  <si>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</si>
  <si>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</si>
  <si>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</si>
  <si>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</si>
  <si>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</si>
  <si>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</si>
  <si>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</si>
  <si>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</si>
  <si>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</si>
  <si>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</si>
  <si>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</si>
  <si>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</si>
  <si>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</si>
  <si>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</si>
  <si>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</si>
  <si>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</si>
  <si>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</si>
  <si>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</si>
  <si>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</si>
  <si>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</si>
  <si>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</si>
  <si>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</si>
  <si>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</si>
  <si>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</si>
  <si>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</si>
  <si>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</si>
  <si>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</si>
  <si>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</si>
  <si>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</si>
  <si>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</si>
  <si>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</si>
  <si>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</si>
  <si>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</si>
  <si>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</si>
  <si>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</si>
  <si>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</si>
  <si>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</si>
  <si>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</si>
  <si>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</si>
  <si>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</si>
  <si>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</si>
  <si>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</si>
  <si>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</si>
  <si>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</si>
  <si>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</si>
  <si>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</si>
  <si>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</si>
  <si>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</si>
  <si>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</si>
  <si>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</si>
  <si>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</si>
  <si>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</si>
  <si>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</si>
  <si>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</si>
  <si>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</si>
  <si>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</si>
  <si>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</si>
  <si>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</si>
  <si>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</si>
  <si>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</si>
  <si>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</si>
  <si>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</si>
  <si>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</si>
  <si>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</si>
  <si>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</si>
  <si>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</si>
  <si>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</si>
  <si>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</si>
  <si>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</si>
  <si>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</si>
  <si>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</si>
  <si>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</si>
  <si>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</si>
  <si>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</si>
  <si>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</si>
  <si>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</si>
  <si>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</si>
  <si>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</si>
  <si>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</si>
  <si>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</si>
  <si>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</si>
  <si>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</si>
  <si>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</si>
  <si>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</si>
  <si>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</si>
  <si>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</si>
  <si>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</si>
  <si>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</si>
  <si>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</si>
  <si>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</si>
  <si>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</si>
  <si>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</si>
  <si>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</si>
  <si>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</si>
  <si>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</si>
  <si>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</si>
  <si>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</si>
  <si>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</si>
  <si>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</si>
  <si>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</si>
  <si>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</si>
  <si>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</si>
  <si>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</si>
  <si>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</si>
  <si>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</si>
  <si>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</si>
  <si>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</si>
  <si>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</si>
  <si>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</si>
  <si>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</si>
  <si>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</si>
  <si>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</si>
  <si>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</si>
  <si>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</si>
  <si>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</si>
  <si>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</si>
  <si>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</si>
  <si>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</si>
  <si>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</si>
  <si>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</si>
  <si>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</si>
  <si>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</si>
  <si>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</si>
  <si>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</si>
  <si>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</si>
  <si>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</si>
  <si>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</si>
  <si>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</si>
  <si>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</si>
  <si>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</si>
  <si>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</si>
  <si>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</si>
  <si>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</si>
  <si>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</si>
  <si>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</si>
  <si>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</si>
  <si>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</si>
  <si>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</si>
  <si>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</si>
  <si>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</si>
  <si>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</si>
  <si>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</si>
  <si>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</si>
  <si>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</si>
  <si>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</si>
  <si>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</si>
  <si>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</si>
  <si>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</si>
  <si>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</si>
  <si>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</si>
  <si>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</si>
  <si>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</si>
  <si>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</si>
  <si>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</si>
  <si>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</si>
  <si>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</si>
  <si>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</si>
  <si>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</si>
  <si>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</si>
  <si>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</si>
  <si>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</si>
  <si>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</si>
  <si>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</si>
  <si>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</si>
  <si>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</si>
  <si>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</si>
  <si>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</si>
  <si>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</si>
  <si>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</si>
  <si>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</si>
  <si>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</si>
  <si>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</si>
  <si>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</si>
  <si>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</si>
  <si>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</si>
  <si>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</si>
  <si>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</si>
  <si>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</si>
  <si>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</si>
  <si>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</si>
  <si>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</si>
  <si>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</si>
  <si>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</si>
  <si>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</si>
  <si>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</si>
  <si>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</si>
  <si>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</si>
  <si>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</si>
  <si>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</si>
  <si>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</si>
  <si>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</si>
  <si>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</si>
  <si>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</si>
  <si>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</si>
  <si>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</si>
  <si>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</si>
  <si>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</si>
  <si>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</si>
  <si>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</si>
  <si>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</si>
  <si>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</si>
  <si>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</si>
  <si>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</si>
  <si>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</si>
  <si>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</si>
  <si>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</si>
  <si>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</si>
  <si>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</si>
  <si>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</si>
  <si>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</si>
  <si>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</si>
  <si>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</si>
  <si>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</si>
  <si>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</si>
  <si>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</si>
  <si>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</si>
  <si>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</si>
  <si>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</si>
  <si>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</si>
  <si>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</si>
  <si>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</si>
  <si>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</si>
  <si>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</si>
  <si>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</si>
  <si>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</si>
  <si>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</si>
  <si>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</si>
  <si>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</si>
  <si>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</si>
  <si>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</si>
  <si>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</si>
  <si>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</si>
  <si>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</si>
  <si>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</si>
  <si>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</si>
  <si>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</si>
  <si>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</si>
  <si>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</si>
  <si>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</si>
  <si>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</si>
  <si>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</si>
  <si>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</si>
  <si>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</si>
  <si>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</si>
  <si>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</si>
  <si>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</si>
  <si>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</si>
  <si>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</si>
  <si>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</si>
  <si>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</si>
  <si>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</si>
  <si>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</si>
  <si>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</si>
  <si>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</si>
  <si>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</si>
  <si>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</si>
  <si>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</si>
  <si>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</si>
  <si>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</si>
  <si>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</si>
  <si>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</si>
  <si>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</si>
  <si>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</si>
  <si>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</si>
  <si>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</si>
  <si>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</si>
  <si>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</si>
  <si>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</si>
  <si>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</si>
  <si>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</si>
  <si>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</si>
  <si>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</si>
  <si>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</si>
  <si>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</si>
  <si>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</si>
  <si>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</si>
  <si>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</si>
  <si>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</si>
  <si>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</si>
  <si>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</si>
  <si>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</si>
  <si>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</si>
  <si>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</si>
  <si>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</si>
  <si>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</si>
  <si>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</si>
  <si>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</si>
  <si>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</si>
  <si>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</si>
  <si>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</si>
  <si>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</si>
  <si>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</si>
  <si>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</si>
  <si>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</si>
  <si>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</si>
  <si>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</si>
  <si>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</si>
  <si>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</si>
  <si>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</si>
  <si>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</si>
  <si>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</si>
  <si>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</si>
  <si>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</si>
  <si>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</si>
  <si>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</si>
  <si>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</si>
  <si>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</si>
  <si>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</si>
  <si>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</si>
  <si>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</si>
  <si>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</si>
  <si>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</si>
  <si>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</si>
  <si>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</si>
  <si>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</si>
  <si>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</si>
  <si>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</si>
  <si>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</si>
  <si>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</si>
  <si>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</si>
  <si>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</si>
  <si>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</si>
  <si>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</si>
  <si>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</si>
  <si>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</si>
  <si>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</si>
  <si>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</si>
  <si>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</si>
  <si>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</si>
  <si>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</si>
  <si>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</si>
  <si>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</si>
  <si>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</si>
  <si>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</si>
  <si>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</si>
  <si>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</si>
  <si>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</si>
  <si>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</si>
  <si>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</si>
  <si>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</si>
  <si>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</si>
  <si>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</si>
  <si>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</si>
  <si>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</si>
  <si>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</si>
  <si>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</si>
  <si>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</si>
  <si>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</si>
  <si>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</si>
  <si>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</si>
  <si>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</si>
  <si>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</si>
  <si>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</si>
  <si>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</si>
  <si>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</si>
  <si>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</si>
  <si>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</si>
  <si>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</si>
  <si>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</si>
  <si>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</si>
  <si>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</si>
  <si>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</si>
  <si>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</si>
  <si>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</si>
  <si>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</si>
  <si>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</si>
  <si>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</si>
  <si>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</si>
  <si>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</si>
  <si>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</si>
  <si>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</si>
  <si>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</si>
  <si>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</si>
  <si>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</si>
  <si>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</si>
  <si>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</si>
  <si>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</si>
  <si>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</si>
  <si>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</si>
  <si>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</si>
  <si>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</si>
  <si>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</si>
  <si>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</si>
  <si>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</si>
  <si>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</si>
  <si>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</si>
  <si>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</si>
  <si>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</si>
  <si>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</si>
  <si>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</si>
  <si>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</si>
  <si>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</si>
  <si>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</si>
  <si>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</si>
  <si>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</si>
  <si>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</si>
  <si>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</si>
  <si>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</si>
  <si>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</si>
  <si>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</si>
  <si>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</si>
  <si>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</si>
  <si>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</si>
  <si>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</si>
  <si>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</si>
  <si>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</si>
  <si>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</si>
  <si>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</si>
  <si>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</si>
  <si>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</si>
  <si>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</si>
  <si>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</si>
  <si>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</si>
  <si>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</si>
  <si>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</si>
  <si>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</si>
  <si>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</si>
  <si>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</si>
  <si>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</si>
  <si>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</si>
  <si>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</si>
  <si>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</si>
  <si>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</si>
  <si>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</si>
  <si>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</si>
  <si>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</si>
  <si>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</si>
  <si>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</si>
  <si>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</si>
  <si>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</si>
  <si>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</si>
  <si>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</si>
  <si>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</si>
  <si>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</si>
  <si>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</si>
  <si>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</si>
  <si>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</si>
  <si>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</si>
  <si>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</si>
  <si>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</si>
  <si>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</si>
  <si>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</si>
  <si>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</si>
  <si>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</si>
  <si>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</si>
  <si>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</si>
  <si>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</si>
  <si>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</si>
  <si>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</si>
  <si>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</si>
  <si>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</si>
  <si>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</si>
  <si>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</si>
  <si>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</si>
  <si>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</si>
  <si>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</si>
  <si>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</si>
  <si>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</si>
  <si>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</si>
  <si>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</si>
  <si>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</si>
  <si>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</si>
  <si>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</si>
  <si>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</si>
  <si>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</si>
  <si>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</si>
  <si>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</si>
  <si>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</si>
  <si>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</si>
  <si>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</si>
  <si>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</si>
  <si>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</si>
  <si>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</si>
  <si>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</si>
  <si>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</si>
  <si>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</si>
  <si>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</si>
  <si>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</si>
  <si>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</si>
  <si>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</si>
  <si>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</si>
  <si>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</si>
  <si>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</si>
  <si>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</si>
  <si>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</si>
  <si>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</si>
  <si>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</si>
  <si>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</si>
  <si>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</si>
  <si>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</si>
  <si>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</si>
  <si>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</si>
  <si>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</si>
  <si>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</si>
  <si>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</si>
  <si>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</si>
  <si>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</si>
  <si>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</si>
  <si>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</si>
  <si>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</si>
  <si>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</si>
  <si>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</si>
  <si>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</si>
  <si>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</si>
  <si>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</si>
  <si>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</si>
  <si>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</si>
  <si>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</si>
  <si>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</si>
  <si>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</si>
  <si>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</si>
  <si>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</si>
  <si>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</si>
  <si>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</si>
  <si>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</si>
  <si>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</si>
  <si>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</si>
  <si>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</si>
  <si>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</si>
  <si>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</si>
  <si>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</si>
  <si>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</si>
  <si>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</si>
  <si>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</si>
  <si>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</si>
  <si>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</si>
  <si>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</si>
  <si>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</si>
  <si>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</si>
  <si>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</si>
  <si>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</si>
  <si>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</si>
  <si>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</si>
  <si>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</si>
  <si>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</si>
  <si>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</si>
  <si>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</si>
  <si>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</si>
  <si>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</si>
  <si>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</si>
  <si>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</si>
  <si>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</si>
  <si>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</si>
  <si>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</si>
  <si>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</si>
  <si>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</si>
  <si>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</si>
  <si>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</si>
  <si>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</si>
  <si>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</si>
  <si>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</si>
  <si>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</si>
  <si>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</si>
  <si>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</si>
  <si>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</si>
  <si>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</si>
  <si>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</si>
  <si>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</si>
  <si>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</si>
  <si>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</si>
  <si>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</si>
  <si>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</si>
  <si>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</si>
  <si>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</si>
  <si>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</si>
  <si>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</si>
  <si>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</si>
  <si>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</si>
  <si>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</si>
  <si>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</si>
  <si>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</si>
  <si>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</si>
  <si>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</si>
  <si>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</si>
  <si>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</si>
  <si>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</si>
  <si>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</si>
  <si>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</si>
  <si>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</si>
  <si>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</si>
  <si>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</si>
  <si>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</si>
  <si>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</si>
  <si>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</si>
  <si>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</si>
  <si>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</si>
  <si>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</si>
  <si>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</si>
  <si>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</si>
  <si>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</si>
  <si>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</si>
  <si>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</si>
  <si>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</si>
  <si>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</si>
  <si>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</si>
  <si>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</si>
  <si>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</si>
  <si>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</si>
  <si>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</si>
  <si>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</si>
  <si>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</si>
  <si>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</si>
  <si>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</si>
  <si>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</si>
  <si>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</si>
  <si>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</si>
  <si>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</si>
  <si>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</si>
  <si>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</si>
  <si>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</si>
  <si>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</si>
  <si>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</si>
  <si>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</si>
  <si>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</si>
  <si>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</si>
  <si>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</si>
  <si>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</si>
  <si>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</si>
  <si>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</si>
  <si>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</si>
  <si>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</si>
  <si>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</si>
  <si>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</si>
  <si>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</si>
  <si>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</si>
  <si>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</si>
  <si>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</si>
  <si>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</si>
  <si>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</si>
  <si>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</si>
  <si>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</si>
  <si>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</si>
  <si>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</si>
  <si>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</si>
  <si>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</si>
  <si>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</si>
  <si>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</si>
  <si>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</si>
  <si>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</si>
  <si>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</si>
  <si>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</si>
  <si>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</si>
  <si>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</si>
  <si>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</si>
  <si>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</si>
  <si>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</si>
  <si>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</si>
  <si>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</si>
  <si>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</si>
  <si>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</si>
  <si>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</si>
  <si>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</si>
  <si>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</si>
  <si>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</si>
  <si>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</si>
  <si>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</si>
  <si>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</si>
  <si>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</si>
  <si>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</si>
  <si>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</si>
  <si>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</si>
  <si>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</si>
  <si>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</si>
  <si>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</si>
  <si>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</si>
  <si>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</si>
  <si>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</si>
  <si>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</si>
  <si>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</si>
  <si>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</si>
  <si>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</si>
  <si>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</si>
  <si>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</si>
  <si>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</si>
  <si>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</si>
  <si>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</si>
  <si>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</si>
  <si>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</si>
  <si>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</si>
  <si>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</si>
  <si>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</si>
  <si>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</si>
  <si>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</si>
  <si>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</si>
  <si>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</si>
  <si>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</si>
  <si>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</si>
  <si>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</si>
  <si>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</si>
  <si>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</si>
  <si>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</si>
  <si>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</si>
  <si>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</si>
  <si>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</si>
  <si>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</si>
  <si>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</si>
  <si>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</si>
  <si>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</si>
  <si>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</si>
  <si>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</si>
  <si>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</si>
  <si>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</si>
  <si>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</si>
  <si>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</si>
  <si>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</si>
  <si>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</si>
  <si>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</si>
  <si>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</si>
  <si>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</si>
  <si>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</si>
  <si>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</si>
  <si>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</si>
  <si>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</si>
  <si>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</si>
  <si>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</si>
  <si>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</si>
  <si>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</si>
  <si>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</si>
  <si>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</si>
  <si>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</si>
  <si>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</si>
  <si>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</si>
  <si>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</si>
  <si>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</si>
  <si>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</si>
  <si>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</si>
  <si>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</si>
  <si>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</si>
  <si>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</si>
  <si>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</si>
  <si>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</si>
  <si>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</si>
  <si>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</si>
  <si>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</si>
  <si>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</si>
  <si>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</si>
  <si>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</si>
  <si>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</si>
  <si>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</si>
  <si>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</si>
  <si>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</si>
  <si>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</si>
  <si>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</si>
  <si>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</si>
  <si>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</si>
  <si>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</si>
  <si>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</si>
  <si>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</si>
  <si>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</si>
  <si>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</si>
  <si>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</si>
  <si>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</si>
  <si>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</si>
  <si>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</si>
  <si>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</si>
  <si>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</si>
  <si>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</si>
  <si>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</si>
  <si>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</si>
  <si>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</si>
  <si>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</si>
  <si>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</si>
  <si>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</si>
  <si>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</si>
  <si>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</si>
  <si>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</si>
  <si>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</si>
  <si>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</si>
  <si>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</si>
  <si>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</si>
  <si>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</si>
  <si>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</si>
  <si>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</si>
  <si>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</si>
  <si>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</si>
  <si>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</si>
  <si>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</si>
  <si>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</si>
  <si>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</si>
  <si>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</si>
  <si>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</si>
  <si>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</si>
  <si>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</si>
  <si>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</si>
  <si>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</si>
  <si>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</si>
  <si>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</si>
  <si>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</si>
  <si>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</si>
  <si>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</si>
  <si>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</si>
  <si>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</si>
  <si>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</si>
  <si>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</si>
  <si>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</si>
  <si>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</si>
  <si>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</si>
  <si>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</si>
  <si>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</si>
  <si>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</si>
  <si>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</si>
  <si>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</si>
  <si>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</si>
  <si>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</si>
  <si>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</si>
  <si>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</si>
  <si>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</si>
  <si>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</si>
  <si>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</si>
  <si>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</si>
  <si>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</si>
  <si>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</si>
  <si>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</si>
  <si>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</si>
  <si>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</si>
  <si>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</si>
  <si>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</si>
  <si>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</si>
  <si>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</si>
  <si>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</si>
  <si>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</si>
  <si>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</si>
  <si>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</si>
  <si>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</si>
  <si>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</si>
  <si>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</si>
  <si>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</si>
  <si>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</si>
  <si>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</si>
  <si>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</si>
  <si>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</si>
  <si>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</si>
  <si>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</si>
  <si>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</si>
  <si>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</si>
  <si>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</si>
  <si>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</si>
  <si>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</si>
  <si>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</si>
  <si>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</si>
  <si>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</si>
  <si>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</si>
  <si>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</si>
  <si>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</si>
  <si>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</si>
  <si>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</si>
  <si>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</si>
  <si>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</si>
  <si>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</si>
  <si>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</si>
  <si>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</si>
  <si>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</si>
  <si>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</si>
  <si>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</si>
  <si>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</si>
  <si>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</si>
  <si>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</si>
  <si>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</si>
  <si>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</si>
  <si>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</si>
  <si>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</si>
  <si>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</si>
  <si>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</si>
  <si>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</si>
  <si>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</si>
  <si>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</si>
  <si>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</si>
  <si>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</si>
  <si>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</si>
  <si>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</si>
  <si>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</si>
  <si>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</si>
  <si>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</si>
  <si>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</si>
  <si>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</si>
  <si>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</si>
  <si>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</si>
  <si>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</si>
  <si>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</si>
  <si>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</si>
  <si>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</si>
  <si>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</si>
  <si>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</si>
  <si>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</si>
  <si>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</si>
  <si>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</si>
  <si>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</si>
  <si>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</si>
  <si>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</si>
  <si>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</si>
  <si>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</si>
  <si>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</si>
  <si>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</si>
  <si>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</si>
  <si>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</si>
  <si>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</si>
  <si>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</si>
  <si>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</si>
  <si>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</si>
  <si>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</si>
  <si>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</si>
  <si>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</si>
  <si>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</si>
  <si>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</si>
  <si>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</si>
  <si>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</si>
  <si>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</si>
  <si>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</si>
  <si>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</si>
  <si>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</si>
  <si>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</si>
  <si>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</si>
  <si>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</si>
  <si>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</si>
  <si>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</si>
  <si>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</si>
  <si>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</si>
  <si>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</si>
  <si>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</si>
  <si>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</si>
  <si>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</si>
  <si>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</si>
  <si>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</si>
  <si>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</si>
  <si>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</si>
  <si>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</si>
  <si>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</si>
  <si>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</si>
  <si>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</si>
  <si>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</si>
  <si>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</si>
  <si>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</si>
  <si>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</si>
  <si>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</si>
  <si>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</si>
  <si>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</si>
  <si>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</si>
  <si>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</si>
  <si>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</si>
  <si>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</si>
  <si>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</si>
  <si>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</si>
  <si>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</si>
  <si>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</si>
  <si>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</si>
  <si>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</si>
  <si>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</si>
  <si>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</si>
  <si>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</si>
  <si>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</si>
  <si>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</si>
  <si>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</si>
  <si>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</si>
  <si>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</si>
  <si>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</si>
  <si>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</si>
  <si>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</si>
  <si>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</si>
  <si>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</si>
  <si>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</si>
  <si>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</si>
  <si>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</si>
  <si>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</si>
  <si>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</si>
  <si>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</si>
  <si>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</si>
  <si>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</si>
  <si>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</si>
  <si>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</si>
  <si>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</si>
  <si>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</si>
  <si>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</si>
  <si>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</si>
  <si>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</si>
  <si>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</si>
  <si>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</si>
  <si>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</si>
  <si>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</si>
  <si>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</si>
  <si>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</si>
  <si>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</si>
  <si>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</si>
  <si>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</si>
  <si>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</si>
  <si>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</si>
  <si>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</si>
  <si>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</si>
  <si>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</si>
  <si>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</si>
  <si>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</si>
  <si>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</si>
  <si>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</si>
  <si>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</si>
  <si>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</si>
  <si>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</si>
  <si>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</si>
  <si>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</si>
  <si>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</si>
  <si>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</si>
  <si>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</si>
  <si>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</si>
  <si>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</si>
  <si>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</si>
  <si>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</si>
  <si>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</si>
  <si>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</si>
  <si>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</si>
  <si>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</si>
  <si>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</si>
  <si>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</si>
  <si>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</si>
  <si>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</si>
  <si>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</si>
  <si>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</si>
  <si>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</si>
  <si>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</si>
  <si>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</si>
  <si>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</si>
  <si>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</si>
  <si>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</si>
  <si>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</si>
  <si>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</si>
  <si>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</si>
  <si>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</si>
  <si>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</si>
  <si>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</si>
  <si>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</si>
  <si>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</si>
  <si>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</si>
  <si>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</si>
  <si>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</si>
  <si>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</si>
  <si>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</si>
  <si>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</si>
  <si>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</si>
  <si>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</si>
  <si>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</si>
  <si>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</si>
  <si>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</si>
  <si>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</si>
  <si>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</si>
  <si>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</si>
  <si>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</si>
  <si>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</si>
  <si>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</si>
  <si>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</si>
  <si>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</si>
  <si>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</si>
  <si>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</si>
  <si>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</si>
  <si>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</si>
  <si>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</si>
  <si>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</si>
  <si>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</si>
  <si>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</si>
  <si>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</si>
  <si>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</si>
  <si>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</si>
  <si>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</si>
  <si>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</si>
  <si>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</si>
  <si>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</si>
  <si>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</si>
  <si>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</si>
  <si>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</si>
  <si>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</si>
  <si>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</si>
  <si>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</si>
  <si>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</si>
  <si>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</si>
  <si>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</si>
  <si>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</si>
  <si>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</si>
  <si>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</si>
  <si>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</si>
  <si>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</si>
  <si>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</si>
  <si>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</si>
  <si>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</si>
  <si>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</si>
  <si>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</si>
  <si>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</si>
  <si>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</si>
  <si>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</si>
  <si>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</si>
  <si>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</si>
  <si>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</si>
  <si>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</si>
  <si>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</si>
  <si>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</si>
  <si>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</si>
  <si>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</si>
  <si>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</si>
  <si>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</si>
  <si>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</si>
  <si>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</si>
  <si>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</si>
  <si>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</si>
  <si>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</si>
  <si>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</si>
  <si>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</si>
  <si>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</si>
  <si>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</si>
  <si>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</si>
  <si>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</si>
  <si>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</si>
  <si>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</si>
  <si>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</si>
  <si>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</si>
  <si>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</si>
  <si>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</si>
  <si>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</si>
  <si>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</si>
  <si>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</si>
  <si>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</si>
  <si>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</si>
  <si>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</si>
  <si>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</si>
  <si>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</si>
  <si>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</si>
  <si>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</si>
  <si>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</si>
  <si>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</si>
  <si>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</si>
  <si>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</si>
  <si>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</si>
  <si>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</si>
  <si>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</si>
  <si>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</si>
  <si>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</si>
  <si>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</si>
  <si>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</si>
  <si>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</si>
  <si>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</si>
  <si>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</si>
  <si>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</si>
  <si>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</si>
  <si>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</si>
  <si>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</si>
  <si>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</si>
  <si>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</si>
  <si>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</si>
  <si>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</si>
  <si>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</si>
  <si>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</si>
  <si>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</si>
  <si>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</si>
  <si>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</si>
  <si>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</si>
  <si>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</si>
  <si>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</si>
  <si>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</si>
  <si>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</si>
  <si>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</si>
  <si>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</si>
  <si>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</si>
  <si>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</si>
  <si>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</si>
  <si>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</si>
  <si>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</si>
  <si>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</si>
  <si>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</si>
  <si>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</si>
  <si>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</si>
  <si>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</si>
  <si>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</si>
  <si>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</si>
  <si>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</si>
  <si>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</si>
  <si>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</si>
  <si>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</si>
  <si>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</si>
  <si>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</si>
  <si>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</si>
  <si>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</si>
  <si>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</si>
  <si>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</si>
  <si>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</si>
  <si>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</si>
  <si>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</si>
  <si>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</si>
  <si>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</si>
  <si>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</si>
  <si>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</si>
  <si>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</si>
  <si>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</si>
  <si>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</si>
  <si>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</si>
  <si>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</si>
  <si>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</si>
  <si>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</si>
  <si>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</si>
  <si>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</si>
  <si>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</si>
  <si>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</si>
  <si>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</si>
  <si>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</si>
  <si>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</si>
  <si>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</si>
  <si>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</si>
  <si>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</si>
  <si>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</si>
  <si>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</si>
  <si>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</si>
  <si>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</si>
  <si>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</si>
  <si>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</si>
  <si>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</si>
  <si>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</si>
  <si>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</si>
  <si>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</si>
  <si>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</si>
  <si>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</si>
  <si>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</si>
  <si>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</si>
  <si>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</si>
  <si>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</si>
  <si>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</si>
  <si>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</si>
  <si>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</si>
  <si>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</si>
  <si>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</si>
  <si>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</si>
  <si>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</si>
  <si>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</si>
  <si>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</si>
  <si>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</si>
  <si>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</si>
  <si>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</si>
  <si>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</si>
  <si>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</si>
  <si>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</si>
  <si>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</si>
  <si>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</si>
  <si>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</si>
  <si>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</si>
  <si>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</si>
  <si>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</si>
  <si>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</si>
  <si>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</si>
  <si>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</si>
  <si>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</si>
  <si>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</si>
  <si>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</si>
  <si>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</si>
  <si>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</si>
  <si>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</si>
  <si>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</si>
  <si>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</si>
  <si>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</si>
  <si>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</si>
  <si>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</si>
  <si>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</si>
  <si>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</si>
  <si>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</si>
  <si>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</si>
  <si>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</si>
  <si>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</si>
  <si>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</si>
  <si>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</si>
  <si>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</si>
  <si>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</si>
  <si>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</si>
  <si>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</si>
  <si>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</si>
  <si>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</si>
  <si>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</si>
  <si>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</si>
  <si>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</si>
  <si>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</si>
  <si>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</si>
  <si>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</si>
  <si>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</si>
  <si>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</si>
  <si>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</si>
  <si>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</si>
  <si>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</si>
  <si>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</si>
  <si>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</si>
  <si>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</si>
  <si>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</si>
  <si>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</si>
  <si>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</si>
  <si>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</si>
  <si>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</si>
  <si>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</si>
  <si>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</si>
  <si>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</si>
  <si>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</si>
  <si>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</si>
  <si>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</si>
  <si>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</si>
  <si>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</si>
  <si>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</si>
  <si>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</si>
  <si>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</si>
  <si>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</si>
  <si>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</si>
  <si>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</si>
  <si>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</si>
  <si>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</si>
  <si>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</si>
  <si>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</si>
  <si>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</si>
  <si>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</si>
  <si>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</si>
  <si>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</si>
  <si>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</si>
  <si>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</si>
  <si>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</si>
  <si>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</si>
  <si>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</si>
  <si>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</si>
  <si>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</si>
  <si>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</si>
  <si>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</si>
  <si>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</si>
  <si>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</si>
  <si>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</si>
  <si>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</si>
  <si>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</si>
  <si>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</si>
  <si>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</si>
  <si>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</si>
  <si>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</si>
  <si>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</si>
  <si>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</si>
  <si>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</si>
  <si>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</si>
  <si>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</si>
  <si>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</si>
  <si>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</si>
  <si>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</si>
  <si>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</si>
  <si>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</si>
  <si>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</si>
  <si>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</si>
  <si>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</si>
  <si>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</si>
  <si>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</si>
  <si>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</si>
  <si>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</si>
  <si>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</si>
  <si>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</si>
  <si>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</si>
  <si>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</si>
  <si>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</si>
  <si>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</si>
  <si>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</si>
  <si>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</si>
  <si>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</si>
  <si>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</si>
  <si>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</si>
  <si>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</si>
  <si>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</si>
  <si>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</si>
  <si>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</si>
  <si>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</si>
  <si>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</si>
  <si>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</si>
  <si>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</si>
  <si>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</si>
  <si>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</si>
  <si>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</si>
  <si>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</si>
  <si>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</si>
  <si>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</si>
  <si>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</si>
  <si>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</si>
  <si>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</si>
  <si>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</si>
  <si>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</si>
  <si>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</si>
  <si>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</si>
  <si>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</si>
  <si>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</si>
  <si>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</si>
  <si>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</si>
  <si>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</si>
  <si>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</si>
  <si>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</si>
  <si>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</si>
  <si>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</si>
  <si>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</si>
  <si>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</si>
  <si>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</si>
  <si>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</si>
  <si>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</si>
  <si>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</si>
  <si>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</si>
  <si>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</si>
  <si>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</si>
  <si>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</si>
  <si>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</si>
  <si>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</si>
  <si>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</si>
  <si>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</si>
  <si>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</si>
  <si>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</si>
  <si>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</si>
  <si>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</si>
  <si>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</si>
  <si>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</si>
  <si>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</si>
  <si>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</si>
  <si>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</si>
  <si>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</si>
  <si>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</si>
  <si>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</si>
  <si>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</si>
  <si>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</si>
  <si>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</si>
  <si>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</si>
  <si>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</si>
  <si>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</si>
  <si>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</si>
  <si>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"and if the goal was completed twice, Gain a [chest reward]"</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</si>
  <si>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</si>
  <si>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</si>
  <si>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</si>
  <si>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</si>
  <si>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</si>
  <si>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</si>
  <si>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</si>
  <si>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</si>
  <si>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</si>
  <si>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</si>
  <si>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</si>
  <si>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</si>
  <si>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</si>
  <si>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</si>
  <si>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</si>
  <si>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</si>
  <si>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</si>
  <si>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</si>
  <si>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</si>
  <si>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</si>
  <si>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</si>
  <si>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</si>
  <si>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</si>
  <si>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</si>
  <si>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</si>
  <si>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</si>
  <si>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</si>
  <si>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</si>
  <si>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</si>
  <si>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</si>
  <si>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</si>
  <si>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</si>
  <si>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</si>
  <si>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</si>
  <si>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</si>
  <si>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</si>
  <si>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</si>
  <si>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</si>
  <si>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</si>
  <si>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</si>
  <si>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</si>
  <si>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</si>
  <si>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</si>
  <si>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</si>
  <si>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</si>
  <si>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</si>
  <si>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</si>
  <si>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</si>
  <si>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</si>
  <si>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</si>
  <si>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</si>
  <si>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</si>
  <si>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</si>
  <si>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</si>
  <si>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</si>
  <si>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</si>
  <si>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</si>
  <si>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</si>
  <si>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</si>
  <si>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</si>
  <si>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</si>
  <si>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</si>
  <si>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</si>
  <si>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</si>
  <si>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</si>
  <si>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</si>
  <si>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</si>
  <si>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</si>
  <si>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</si>
  <si>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</si>
  <si>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</si>
  <si>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</si>
  <si>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</si>
  <si>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</si>
  <si>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</si>
  <si>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</si>
  <si>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</si>
  <si>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</si>
  <si>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</si>
  <si>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</si>
  <si>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</si>
  <si>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</si>
  <si>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</si>
  <si>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</si>
  <si>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</si>
  <si>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</si>
  <si>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</si>
  <si>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</si>
  <si>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</si>
  <si>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</si>
  <si>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</si>
  <si>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</si>
  <si>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</si>
  <si>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</si>
  <si>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</si>
  <si>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</si>
  <si>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</si>
  <si>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</si>
  <si>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</si>
  <si>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</si>
  <si>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</si>
  <si>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</si>
  <si>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</si>
  <si>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</si>
  <si>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</si>
  <si>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</si>
  <si>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</si>
  <si>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</si>
  <si>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</si>
  <si>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</si>
  <si>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</si>
  <si>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</si>
  <si>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</si>
  <si>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</si>
  <si>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</si>
  <si>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</si>
  <si>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</si>
  <si>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</si>
  <si>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</si>
  <si>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</si>
  <si>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</si>
  <si>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</si>
  <si>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</si>
  <si>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</si>
  <si>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</si>
  <si>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</si>
  <si>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</si>
  <si>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</si>
  <si>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</si>
  <si>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</si>
  <si>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</si>
  <si>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</si>
  <si>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</si>
  <si>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</si>
  <si>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</si>
  <si>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</si>
  <si>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</si>
  <si>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</si>
  <si>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</si>
  <si>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</si>
  <si>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</si>
  <si>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</si>
  <si>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</si>
  <si>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</si>
  <si>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</si>
  <si>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</si>
  <si>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</si>
  <si>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</si>
  <si>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</si>
  <si>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</si>
  <si>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</si>
  <si>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</si>
  <si>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</si>
  <si>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</si>
  <si>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</si>
  <si>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</si>
  <si>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</si>
  <si>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</si>
  <si>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</si>
  <si>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</si>
  <si>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</si>
  <si>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</si>
  <si>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</si>
  <si>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</si>
  <si>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</si>
  <si>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</si>
  <si>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</si>
  <si>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</si>
  <si>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</si>
  <si>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</si>
  <si>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</si>
  <si>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</si>
  <si>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</si>
  <si>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</si>
  <si>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</si>
  <si>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</si>
  <si>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</si>
  <si>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</si>
  <si>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</si>
  <si>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</si>
  <si>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</si>
  <si>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</si>
  <si>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</si>
  <si>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</si>
  <si>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</si>
  <si>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</si>
  <si>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</si>
  <si>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</si>
  <si>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</si>
  <si>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</si>
  <si>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</si>
  <si>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</si>
  <si>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</si>
  <si>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</si>
  <si>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</si>
  <si>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</si>
  <si>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</si>
  <si>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</si>
  <si>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</si>
  <si>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</si>
  <si>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</si>
  <si>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</si>
  <si>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</si>
  <si>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</si>
  <si>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</si>
  <si>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</si>
  <si>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</si>
  <si>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</si>
  <si>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</si>
  <si>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</si>
  <si>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</si>
  <si>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</si>
  <si>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</si>
  <si>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</si>
  <si>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</si>
  <si>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</si>
  <si>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</si>
  <si>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</si>
  <si>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</si>
  <si>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</si>
  <si>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</si>
  <si>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</si>
  <si>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</si>
  <si>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</si>
  <si>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</si>
  <si>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</si>
  <si>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</si>
  <si>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</si>
  <si>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</si>
  <si>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</si>
  <si>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</si>
  <si>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</si>
  <si>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</si>
  <si>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</si>
  <si>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</si>
  <si>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</si>
  <si>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</si>
  <si>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</si>
  <si>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</si>
  <si>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</si>
  <si>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</si>
  <si>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</si>
  <si>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</si>
  <si>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</si>
  <si>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</si>
  <si>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</si>
  <si>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</si>
  <si>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</si>
  <si>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</si>
  <si>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</si>
  <si>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</si>
  <si>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</si>
  <si>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</si>
  <si>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</si>
  <si>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</si>
  <si>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</si>
  <si>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</si>
  <si>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</si>
  <si>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</si>
  <si>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</si>
  <si>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</si>
  <si>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</si>
  <si>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</si>
  <si>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</si>
  <si>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</si>
  <si>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</si>
  <si>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</si>
  <si>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</si>
  <si>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</si>
  <si>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</si>
  <si>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</si>
  <si>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</si>
  <si>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</si>
  <si>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</si>
  <si>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</si>
  <si>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</si>
  <si>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</si>
  <si>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</si>
  <si>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</si>
  <si>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</si>
  <si>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</si>
  <si>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</si>
  <si>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</si>
  <si>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</si>
  <si>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</si>
  <si>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</si>
  <si>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</si>
  <si>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</si>
  <si>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</si>
  <si>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</si>
  <si>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</si>
  <si>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</si>
  <si>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</si>
  <si>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</si>
  <si>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</si>
  <si>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</si>
  <si>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</si>
  <si>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</si>
  <si>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</si>
  <si>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</si>
  <si>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</si>
  <si>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</si>
  <si>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</si>
  <si>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</si>
  <si>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</si>
  <si>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</si>
  <si>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</si>
  <si>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</si>
  <si>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</si>
  <si>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</si>
  <si>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</si>
  <si>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</si>
  <si>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</si>
  <si>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</si>
  <si>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</si>
  <si>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</si>
  <si>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</si>
  <si>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</si>
  <si>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</si>
  <si>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</si>
  <si>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</si>
  <si>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</si>
  <si>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</si>
  <si>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</si>
  <si>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</si>
  <si>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</si>
  <si>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</si>
  <si>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</si>
  <si>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</si>
  <si>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</si>
  <si>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</si>
  <si>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</si>
  <si>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</si>
  <si>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</si>
  <si>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</si>
  <si>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</si>
  <si>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</si>
  <si>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</si>
  <si>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</si>
  <si>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</si>
  <si>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</si>
  <si>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</si>
  <si>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</si>
  <si>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</si>
  <si>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</si>
  <si>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</si>
  <si>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</si>
  <si>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</si>
  <si>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</si>
  <si>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</si>
  <si>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</si>
  <si>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</si>
  <si>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</si>
  <si>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</si>
  <si>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</si>
  <si>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</si>
  <si>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</si>
  <si>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</si>
  <si>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</si>
  <si>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</si>
  <si>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</si>
  <si>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</si>
  <si>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</si>
  <si>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</si>
  <si>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</si>
  <si>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</si>
  <si>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</si>
  <si>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</si>
  <si>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</si>
  <si>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</si>
  <si>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</si>
  <si>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</si>
  <si>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</si>
  <si>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</si>
  <si>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</si>
  <si>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</si>
  <si>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</si>
  <si>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</si>
  <si>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</si>
  <si>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</si>
  <si>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</si>
  <si>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</si>
  <si>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</si>
  <si>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</si>
  <si>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</si>
  <si>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</si>
  <si>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</si>
  <si>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</si>
  <si>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</si>
  <si>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</si>
  <si>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</si>
  <si>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</si>
  <si>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</si>
  <si>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</si>
  <si>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</si>
  <si>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</si>
  <si>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</si>
  <si>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goal must be completed 1+(1/2)^(X-2) hours or less into that run"</t>
  </si>
  <si>
    <t>clause "the game must be beaten in {1+(1/2)^(X-2):hours} or less"</t>
  </si>
  <si>
    <t>Gains "and the difficulty must be increased X times or as much as possible in the run you complete the goal in"</t>
  </si>
  <si>
    <t>Gain "You must beat a game while not healing intentionally or take 3 Damage. This lasts for X games."</t>
  </si>
  <si>
    <t>Gains "and if you didn't intentionally heal in the run you complete the goal in, Gain a [chest reward]"</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</si>
  <si>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</si>
  <si>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</si>
  <si>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</si>
  <si>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</si>
  <si>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</si>
  <si>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</si>
  <si>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</si>
  <si>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</si>
  <si>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</si>
  <si>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</si>
  <si>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</si>
  <si>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</si>
  <si>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</si>
  <si>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</si>
  <si>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</si>
  <si>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</si>
  <si>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</si>
  <si>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</si>
  <si>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</si>
  <si>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</si>
  <si>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</si>
  <si>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</si>
  <si>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</si>
  <si>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</si>
  <si>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</si>
  <si>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</si>
  <si>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</si>
  <si>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</si>
  <si>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</si>
  <si>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</si>
  <si>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</si>
  <si>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</si>
  <si>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</si>
  <si>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</si>
  <si>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</si>
  <si>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</si>
  <si>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</si>
  <si>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</si>
  <si>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</si>
  <si>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</si>
  <si>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</si>
  <si>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</si>
  <si>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</si>
  <si>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</si>
  <si>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</si>
  <si>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</si>
  <si>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</si>
  <si>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</si>
  <si>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</si>
  <si>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</si>
  <si>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</si>
  <si>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</si>
  <si>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</si>
  <si>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</si>
  <si>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</si>
  <si>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</si>
  <si>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</si>
  <si>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</si>
  <si>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</si>
  <si>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</si>
  <si>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</si>
  <si>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</si>
  <si>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</si>
  <si>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</si>
  <si>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</si>
  <si>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</si>
  <si>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</si>
  <si>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</si>
  <si>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</si>
  <si>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</si>
  <si>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</si>
  <si>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</si>
  <si>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</si>
  <si>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</si>
  <si>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</si>
  <si>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</si>
  <si>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</si>
  <si>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</si>
  <si>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</si>
  <si>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</si>
  <si>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</si>
  <si>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</si>
  <si>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</si>
  <si>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</si>
  <si>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</si>
  <si>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</si>
  <si>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</si>
  <si>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</si>
  <si>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</si>
  <si>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</si>
  <si>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</si>
  <si>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</si>
  <si>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</si>
  <si>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</si>
  <si>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</si>
  <si>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</si>
  <si>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</si>
  <si>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</si>
  <si>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</si>
  <si>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</si>
  <si>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</si>
  <si>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</si>
  <si>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</si>
  <si>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</si>
  <si>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</si>
  <si>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</si>
  <si>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</si>
  <si>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</si>
  <si>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</si>
  <si>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</si>
  <si>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</si>
  <si>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</si>
  <si>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</si>
  <si>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</si>
  <si>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</si>
  <si>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</si>
  <si>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</si>
  <si>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</si>
  <si>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</si>
  <si>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</si>
  <si>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</si>
  <si>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</si>
  <si>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</si>
  <si>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</si>
  <si>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</si>
  <si>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</si>
  <si>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</si>
  <si>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</si>
  <si>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</si>
  <si>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</si>
  <si>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</si>
  <si>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</si>
  <si>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</si>
  <si>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</si>
  <si>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</si>
  <si>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</si>
  <si>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</si>
  <si>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</si>
  <si>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</si>
  <si>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</si>
  <si>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</si>
  <si>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</si>
  <si>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</si>
  <si>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</si>
  <si>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</si>
  <si>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</si>
  <si>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</si>
  <si>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</si>
  <si>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</si>
  <si>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</si>
  <si>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</si>
  <si>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</si>
  <si>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</si>
  <si>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</si>
  <si>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</si>
  <si>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</si>
  <si>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</si>
  <si>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</si>
  <si>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</si>
  <si>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</si>
  <si>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</si>
  <si>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</si>
  <si>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</si>
  <si>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</si>
  <si>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</si>
  <si>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</si>
  <si>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</si>
  <si>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</si>
  <si>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</si>
  <si>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</si>
  <si>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</si>
  <si>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</si>
  <si>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</si>
  <si>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</si>
  <si>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</si>
  <si>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</si>
  <si>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</si>
  <si>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</si>
  <si>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</si>
  <si>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</si>
  <si>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</si>
  <si>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</si>
  <si>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</si>
  <si>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</si>
  <si>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</si>
  <si>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</si>
  <si>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</si>
  <si>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</si>
  <si>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</si>
  <si>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</si>
  <si>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</si>
  <si>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</si>
  <si>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</si>
  <si>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</si>
  <si>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</si>
  <si>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</si>
  <si>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</si>
  <si>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</si>
  <si>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</si>
  <si>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</si>
  <si>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</si>
  <si>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</si>
  <si>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</si>
  <si>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</si>
  <si>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</si>
  <si>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</si>
  <si>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</si>
  <si>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</si>
  <si>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</si>
  <si>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</si>
  <si>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</si>
  <si>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</si>
  <si>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</si>
  <si>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</si>
  <si>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</si>
  <si>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</si>
  <si>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</si>
  <si>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</si>
  <si>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</si>
  <si>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</si>
  <si>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</si>
  <si>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</si>
  <si>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</si>
  <si>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</si>
  <si>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</si>
  <si>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</si>
  <si>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</si>
  <si>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</si>
  <si>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</si>
  <si>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</si>
  <si>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</si>
  <si>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</si>
  <si>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</si>
  <si>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</si>
  <si>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</si>
  <si>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</si>
  <si>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</si>
  <si>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</si>
  <si>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</si>
  <si>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</si>
  <si>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</si>
  <si>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</si>
  <si>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</si>
  <si>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</si>
  <si>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</si>
  <si>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</si>
  <si>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</si>
  <si>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</si>
  <si>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</si>
  <si>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</si>
  <si>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</si>
  <si>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</si>
  <si>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</si>
  <si>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</si>
  <si>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</si>
  <si>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</si>
  <si>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</si>
  <si>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</si>
  <si>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</si>
  <si>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</si>
  <si>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</si>
  <si>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</si>
  <si>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</si>
  <si>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</si>
  <si>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</si>
  <si>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</si>
  <si>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</si>
  <si>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</si>
  <si>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</si>
  <si>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</si>
  <si>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</si>
  <si>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</si>
  <si>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</si>
  <si>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</si>
  <si>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</si>
  <si>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</si>
  <si>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</si>
  <si>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</si>
  <si>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</si>
  <si>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</si>
  <si>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</si>
  <si>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</si>
  <si>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</si>
  <si>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</si>
  <si>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</si>
  <si>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</si>
  <si>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</si>
  <si>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</si>
  <si>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</si>
  <si>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</si>
  <si>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</si>
  <si>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</si>
  <si>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</si>
  <si>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</si>
  <si>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</si>
  <si>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</si>
  <si>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</si>
  <si>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</si>
  <si>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</si>
  <si>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</si>
  <si>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</si>
  <si>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</si>
  <si>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</si>
  <si>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</si>
  <si>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</si>
  <si>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</si>
  <si>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</si>
  <si>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</si>
  <si>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</si>
  <si>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</si>
  <si>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</si>
  <si>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</si>
  <si>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</si>
  <si>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</si>
  <si>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</si>
  <si>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</si>
  <si>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</si>
  <si>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</si>
  <si>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</si>
  <si>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</si>
  <si>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</si>
  <si>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</si>
  <si>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</si>
  <si>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</si>
  <si>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</si>
  <si>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</si>
  <si>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</si>
  <si>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</si>
  <si>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</si>
  <si>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</si>
  <si>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</si>
  <si>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</si>
  <si>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</si>
  <si>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</si>
  <si>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20_minutes_till_dawn---disfigure.png</t>
  </si>
  <si>
    <t>20_minutes_till_dawn---rogue_command.png</t>
  </si>
  <si>
    <t>9_kings---tiny_auto_knights.png</t>
  </si>
  <si>
    <t>across_the_obelisk---the_royal_writ.png</t>
  </si>
  <si>
    <t>ancient_domains_of_mystery---frozen_depths.png</t>
  </si>
  <si>
    <t>ancient_domains_of_mystery---gearhead_caramel.png</t>
  </si>
  <si>
    <t>ancient_domains_of_mystery---hyperrogue.png</t>
  </si>
  <si>
    <t>ancient_domains_of_mystery---keeperrl.png</t>
  </si>
  <si>
    <t>ancient_domains_of_mystery---lambdarogue_the_book_of_stars.png</t>
  </si>
  <si>
    <t>ancient_domains_of_mystery---moonring.png</t>
  </si>
  <si>
    <t>ancient_domains_of_mystery---powder.png</t>
  </si>
  <si>
    <t>ancient_domains_of_mystery---shadow_of_the_wyrm.png</t>
  </si>
  <si>
    <t>ancient_domains_of_mystery---soulash.png</t>
  </si>
  <si>
    <t>ancient_domains_of_mystery---sproggiwood.png</t>
  </si>
  <si>
    <t>angband---cardinal_quest.png</t>
  </si>
  <si>
    <t>angband---crablike.png</t>
  </si>
  <si>
    <t>angband---diablo.png</t>
  </si>
  <si>
    <t>angband---lambdarogue_the_book_of_stars.png</t>
  </si>
  <si>
    <t>angband---powder.png</t>
  </si>
  <si>
    <t>angband---sil.png</t>
  </si>
  <si>
    <t>angband---the_ground_gives_way.png</t>
  </si>
  <si>
    <t>angband---zangband.png</t>
  </si>
  <si>
    <t>angband---zmangband.png</t>
  </si>
  <si>
    <t>angband---zorbus.png</t>
  </si>
  <si>
    <t>astronarch---the_last_flame.png</t>
  </si>
  <si>
    <t>atomicrops---pesticide_not_required.png</t>
  </si>
  <si>
    <t>azure_dreams---sword_of_the_necromancer.png</t>
  </si>
  <si>
    <t>backpack_battles---he_is_coming.png</t>
  </si>
  <si>
    <t>backpack_battles---lootplot.png</t>
  </si>
  <si>
    <t>backpack_battles---oaken_tower.png</t>
  </si>
  <si>
    <t>backpack_battles---tiny_auto_knights.png</t>
  </si>
  <si>
    <t>backpack_hero---backpack_battles.png</t>
  </si>
  <si>
    <t>backpack_hero---barda.png</t>
  </si>
  <si>
    <t>backpack_hero---rogue_voltage.png</t>
  </si>
  <si>
    <t>backpack_hero---spin_hero.png</t>
  </si>
  <si>
    <t>bad_north---tabletop_tavern.png</t>
  </si>
  <si>
    <t>bad_north---wanderburg.png</t>
  </si>
  <si>
    <t>balatro---aotenjo_infinite_hands.png</t>
  </si>
  <si>
    <t>balatro---beyond_words.png</t>
  </si>
  <si>
    <t>balatro---bingle_bingle.png</t>
  </si>
  <si>
    <t>balatro---cats_dice.png</t>
  </si>
  <si>
    <t>balatro---chosen_garden.png</t>
  </si>
  <si>
    <t>balatro---cloverpit.png</t>
  </si>
  <si>
    <t>balatro---clutchtime_basketball_deckbuilder.png</t>
  </si>
  <si>
    <t>balatro---combolands.png</t>
  </si>
  <si>
    <t>balatro---cropdeck.png</t>
  </si>
  <si>
    <t>balatro---dead_finger_dice.png</t>
  </si>
  <si>
    <t>balatro---dicealot.png</t>
  </si>
  <si>
    <t>balatro---driving_rogue.png</t>
  </si>
  <si>
    <t>balatro---drop_duchy.png</t>
  </si>
  <si>
    <t>balatro---drop_pockets.png</t>
  </si>
  <si>
    <t>balatro---gambonanza.png</t>
  </si>
  <si>
    <t>balatro---how_many_dudes.png</t>
  </si>
  <si>
    <t>balatro---insider_trading.png</t>
  </si>
  <si>
    <t>balatro---lootplot.png</t>
  </si>
  <si>
    <t>balatro---lucky_shot.png</t>
  </si>
  <si>
    <t>balatro---omelet_you_cook.png</t>
  </si>
  <si>
    <t>balatro---pegs_x_stickers.png</t>
  </si>
  <si>
    <t>balatro---pip_my_dice.png</t>
  </si>
  <si>
    <t>balatro---raccoin_coin_pusher_roguelike.png</t>
  </si>
  <si>
    <t>balatro---replicat.png</t>
  </si>
  <si>
    <t>balatro---rogue_factory.png</t>
  </si>
  <si>
    <t>balatro---rollscape.png</t>
  </si>
  <si>
    <t>balatro---roulette_hero.png</t>
  </si>
  <si>
    <t>balatro---runeborn.png</t>
  </si>
  <si>
    <t>balatro---runeveil.png</t>
  </si>
  <si>
    <t>balatro---schism.png</t>
  </si>
  <si>
    <t>balatro---slot_or_not.png</t>
  </si>
  <si>
    <t>balatro---sodaman.png</t>
  </si>
  <si>
    <t>balatro---steve_s_warehouse_physics_roguelike_chaos.png</t>
  </si>
  <si>
    <t>balatro---the_loopler.png</t>
  </si>
  <si>
    <t>balatro---the_royal_writ.png</t>
  </si>
  <si>
    <t>balatro---tic_tactic.png</t>
  </si>
  <si>
    <t>balatro---ultrapool.png</t>
  </si>
  <si>
    <t>balatro---word_play.png</t>
  </si>
  <si>
    <t>ballionaire---omelet_you_cook.png</t>
  </si>
  <si>
    <t>battle_brothers---the_last_spell.png</t>
  </si>
  <si>
    <t>book_of_demons---hellcard.png</t>
  </si>
  <si>
    <t>brogue---escape_the_mad_empire.png</t>
  </si>
  <si>
    <t>brogue---labyrinth_of_legendary_loot.png</t>
  </si>
  <si>
    <t>brogue---moonring.png</t>
  </si>
  <si>
    <t>brogue---pixel_dungeon.png</t>
  </si>
  <si>
    <t>brogue---rogue_fp.png</t>
  </si>
  <si>
    <t>brogue---space_grunts.png</t>
  </si>
  <si>
    <t>brogue---unexplored.png</t>
  </si>
  <si>
    <t>brotato---arms_of_god.png</t>
  </si>
  <si>
    <t>brotato---astro_prospector.png</t>
  </si>
  <si>
    <t>brotato---cluckmech_oasis.png</t>
  </si>
  <si>
    <t>brotato---heretic_s_fork.png</t>
  </si>
  <si>
    <t>brotato---how_many_dudes.png</t>
  </si>
  <si>
    <t>brotato---kill_the_music.png</t>
  </si>
  <si>
    <t>brotato---maid_survivors_little_angels.png</t>
  </si>
  <si>
    <t>brotato---noobs_are_coming.png</t>
  </si>
  <si>
    <t>brotato---pebble_knights.png</t>
  </si>
  <si>
    <t>brotato---pesticide_not_required.png</t>
  </si>
  <si>
    <t>brotato---shape_shifter_formations.png</t>
  </si>
  <si>
    <t>brotato---voids_vigil.png</t>
  </si>
  <si>
    <t>buckshot_roulette---cloverpit.png</t>
  </si>
  <si>
    <t>castle_of_the_winds---dungeonmans.png</t>
  </si>
  <si>
    <t>castlevaniarl---zmangband.png</t>
  </si>
  <si>
    <t>cataclysm---cataclysm_bright_nights.png</t>
  </si>
  <si>
    <t>cataclysm---cataclysm_dark_days_ahead.png</t>
  </si>
  <si>
    <t>caveblazers---wildfrost.png</t>
  </si>
  <si>
    <t>caves_of_qud---approaching_infinity.png</t>
  </si>
  <si>
    <t>children_of_morta---astral_ascent.png</t>
  </si>
  <si>
    <t>children_of_morta---teenage_mutant_ninja_turtles_splintered_fate.png</t>
  </si>
  <si>
    <t>cloverpit---don_t_let_it_starve.png</t>
  </si>
  <si>
    <t>cogmind---mainframe_defenders.png</t>
  </si>
  <si>
    <t>cogmind---the_doors_of_trithius.png</t>
  </si>
  <si>
    <t>crab_champions---vellum.png</t>
  </si>
  <si>
    <t>crypt_of_the_necrodancer---20xx.png</t>
  </si>
  <si>
    <t>crypt_of_the_necrodancer---bpm_bullets_per_minute.png</t>
  </si>
  <si>
    <t>crypt_of_the_necrodancer---guidus.png</t>
  </si>
  <si>
    <t>crypt_of_the_necrodancer---hyperrogue.png</t>
  </si>
  <si>
    <t>crypt_of_the_necrodancer---kill_the_music.png</t>
  </si>
  <si>
    <t>crypt_of_the_necrodancer---shogun_showdown.png</t>
  </si>
  <si>
    <t>cult_of_the_lamb---cinderia.png</t>
  </si>
  <si>
    <t>cult_of_the_lamb---garden_of_witches.png</t>
  </si>
  <si>
    <t>cupiclaw---raccoin_coin_pusher_roguelike.png</t>
  </si>
  <si>
    <t>curious_expedition---sandwalkers.png</t>
  </si>
  <si>
    <t>curse_of_the_dead_gods---netherworld_covenant.png</t>
  </si>
  <si>
    <t>dark_devotion---astral_ascent.png</t>
  </si>
  <si>
    <t>darkest_dungeon---across_the_obelisk.png</t>
  </si>
  <si>
    <t>darkest_dungeon---anomaly_collapse.png</t>
  </si>
  <si>
    <t>darkest_dungeon---as_we_descend.png</t>
  </si>
  <si>
    <t>darkest_dungeon---chrono_ark.png</t>
  </si>
  <si>
    <t>darkest_dungeon---curse_of_the_dead_gods.png</t>
  </si>
  <si>
    <t>darkest_dungeon---deck_of_ashes.png</t>
  </si>
  <si>
    <t>darkest_dungeon---deep_sky_derelicts.png</t>
  </si>
  <si>
    <t>darkest_dungeon---die_for_the_lich.png</t>
  </si>
  <si>
    <t>darkest_dungeon---dungeon_rushers.png</t>
  </si>
  <si>
    <t>darkest_dungeon---iratus_lord_of_the_dead.png</t>
  </si>
  <si>
    <t>darkest_dungeon---luck_loot.png</t>
  </si>
  <si>
    <t>darkest_dungeon---nadir.png</t>
  </si>
  <si>
    <t>darkest_dungeon---sandwalkers.png</t>
  </si>
  <si>
    <t>darkest_dungeon---shadowveil_legend_of_the_five_rings.png</t>
  </si>
  <si>
    <t>darkest_dungeon---slay_the_spire.png</t>
  </si>
  <si>
    <t>darkest_dungeon---tinyfolks.png</t>
  </si>
  <si>
    <t>darkest_dungeon---voice_of_belldona.png</t>
  </si>
  <si>
    <t>dave_the_diver---dive_or_die_children_of_rain.png</t>
  </si>
  <si>
    <t>dead_cells---absolum.png</t>
  </si>
  <si>
    <t>dead_cells---aethermancer.png</t>
  </si>
  <si>
    <t>dead_cells---an_amazing_wizard.png</t>
  </si>
  <si>
    <t>dead_cells---astral_ascent.png</t>
  </si>
  <si>
    <t>dead_cells---atomic_owl.png</t>
  </si>
  <si>
    <t>dead_cells---battle_shapers.png</t>
  </si>
  <si>
    <t>dead_cells---devil_slayer_raksasi.png</t>
  </si>
  <si>
    <t>dead_cells---fury_unleashed.png</t>
  </si>
  <si>
    <t>dead_cells---galactic_glitch.png</t>
  </si>
  <si>
    <t>dead_cells---katanaut.png</t>
  </si>
  <si>
    <t>dead_cells---reality_break.png</t>
  </si>
  <si>
    <t>dead_cells---scourgebringer.png</t>
  </si>
  <si>
    <t>dead_cells---space_gladiators.png</t>
  </si>
  <si>
    <t>dead_cells---teenage_mutant_ninja_turtles_splintered_fate.png</t>
  </si>
  <si>
    <t>dead_cells---the_rogue_prince_of_persia.png</t>
  </si>
  <si>
    <t>dead_cells---tyrant_s_realm.png</t>
  </si>
  <si>
    <t>dead_cells---undermine.png</t>
  </si>
  <si>
    <t>dead_cells---windblown.png</t>
  </si>
  <si>
    <t>death_must_die---everything_is_crab.png</t>
  </si>
  <si>
    <t>death_must_die---jotunnslayer_hordes_of_hel.png</t>
  </si>
  <si>
    <t>death_must_die---sodaman.png</t>
  </si>
  <si>
    <t>death_roads_tournament---fogpiercer.png</t>
  </si>
  <si>
    <t>deep_rock_galactic_survivor---ball_x_pit.png</t>
  </si>
  <si>
    <t>deep_rock_galactic_survivor---hand_of_fate_hordes.png</t>
  </si>
  <si>
    <t>deep_sky_derelicts---death_roads_tournament.png</t>
  </si>
  <si>
    <t>demoncrawl---broomsweeper.png</t>
  </si>
  <si>
    <t>desktop_dungeons---lost_for_swords.png</t>
  </si>
  <si>
    <t>despot_s_game---skull_horde.png</t>
  </si>
  <si>
    <t>diablo---arms_of_god.png</t>
  </si>
  <si>
    <t>diablo---book_of_demons.png</t>
  </si>
  <si>
    <t>diablo---cardinal_quest.png</t>
  </si>
  <si>
    <t>diablo---dark_light_survivor.png</t>
  </si>
  <si>
    <t>diablo---dungeonmans.png</t>
  </si>
  <si>
    <t>diablo---escape_the_mad_empire.png</t>
  </si>
  <si>
    <t>diablo---hell_clock.png</t>
  </si>
  <si>
    <t>diablo---jotunnslayer_hordes_of_hel.png</t>
  </si>
  <si>
    <t>diablo---lambdarogue_the_book_of_stars.png</t>
  </si>
  <si>
    <t>diablo---mewgenics.png</t>
  </si>
  <si>
    <t>diablo---powder.png</t>
  </si>
  <si>
    <t>diablo---stolen_realm_survivors.png</t>
  </si>
  <si>
    <t>diablo---sword_of_the_stars_the_pit.png</t>
  </si>
  <si>
    <t>diablo---voin.png</t>
  </si>
  <si>
    <t>dicey_dungeons---backpack_hero.png</t>
  </si>
  <si>
    <t>dicey_dungeons---dice_fold.png</t>
  </si>
  <si>
    <t>dicey_dungeons---dicealot.png</t>
  </si>
  <si>
    <t>dicey_dungeons---die_for_the_lich.png</t>
  </si>
  <si>
    <t>dicey_dungeons---dog_witch.png</t>
  </si>
  <si>
    <t>dicey_dungeons---dungeon_clawler.png</t>
  </si>
  <si>
    <t>dome_keeper---cleanfall.png</t>
  </si>
  <si>
    <t>dome_keeper---feed_the_deep.png</t>
  </si>
  <si>
    <t>dome_keeper---monsters_are_coming.png</t>
  </si>
  <si>
    <t>dome_keeper---wall_world.png</t>
  </si>
  <si>
    <t>don_t_starve---road_not_taken.png</t>
  </si>
  <si>
    <t>doomrl---cataclysm.png</t>
  </si>
  <si>
    <t>doomrl---frozen_depths.png</t>
  </si>
  <si>
    <t>doomrl---infra_arcana.png</t>
  </si>
  <si>
    <t>doomrl---quasimorph.png</t>
  </si>
  <si>
    <t>doomrl---space_grunts.png</t>
  </si>
  <si>
    <t>dota_auto_chess---super_auto_pets.png</t>
  </si>
  <si>
    <t>dota_auto_chess---teamfight_tactics.png</t>
  </si>
  <si>
    <t>downwell---lone_ruin.png</t>
  </si>
  <si>
    <t>downwell---riptale.png</t>
  </si>
  <si>
    <t>downwell---scourgebringer.png</t>
  </si>
  <si>
    <t>downwell---tower_fortress.png</t>
  </si>
  <si>
    <t>dream_quest---dicey_dungeons.png</t>
  </si>
  <si>
    <t>dream_quest---monster_slayers.png</t>
  </si>
  <si>
    <t>dungeon_clawler---roulette_dungeon.png</t>
  </si>
  <si>
    <t>dungeon_crawl_stone_soup---desktop_dungeons.png</t>
  </si>
  <si>
    <t>dungeon_crawl_stone_soup---dungeonmans.png</t>
  </si>
  <si>
    <t>dungeon_crawl_stone_soup---golden_krone_hotel.png</t>
  </si>
  <si>
    <t>dungeon_crawl_stone_soup---path_of_achra.png</t>
  </si>
  <si>
    <t>dungeon_crawl_stone_soup---touhou_crawl.png</t>
  </si>
  <si>
    <t>dungeon_crawl_stone_soup---vagante.png</t>
  </si>
  <si>
    <t>dungeonmans---tangledeep.png</t>
  </si>
  <si>
    <t>dungeons_of_dredmor---i_am_overburdened.png</t>
  </si>
  <si>
    <t>dungeons_of_dredmor---the_doors_of_trithius.png</t>
  </si>
  <si>
    <t>dwarf_fortress---keeperrl.png</t>
  </si>
  <si>
    <t>dwarf_fortress---soulash_2.png</t>
  </si>
  <si>
    <t>dwarf_fortress---the_doors_of_trithius.png</t>
  </si>
  <si>
    <t>dwarf_fortress---warsim_the_realm_of_aslona.png</t>
  </si>
  <si>
    <t>dwarf_fortress---wayward.png</t>
  </si>
  <si>
    <t>elden_ring_nightreign---serpent_s_gaze.png</t>
  </si>
  <si>
    <t>ember_knights---vellum.png</t>
  </si>
  <si>
    <t>enter_the_gungeon---astro_prospector.png</t>
  </si>
  <si>
    <t>enter_the_gungeon---brutal_orchestra.png</t>
  </si>
  <si>
    <t>enter_the_gungeon---galactic_glitch.png</t>
  </si>
  <si>
    <t>enter_the_gungeon---going_under.png</t>
  </si>
  <si>
    <t>enter_the_gungeon---gunfire_reborn.png</t>
  </si>
  <si>
    <t>enter_the_gungeon---lake_of_creatures.png</t>
  </si>
  <si>
    <t>enter_the_gungeon---odinfall.png</t>
  </si>
  <si>
    <t>enter_the_gungeon---pathogenic.png</t>
  </si>
  <si>
    <t>enter_the_gungeon---ram_random_access_mayhem.png</t>
  </si>
  <si>
    <t>enter_the_gungeon---sword_of_the_necromancer.png</t>
  </si>
  <si>
    <t>enter_the_gungeon---the_unliving.png</t>
  </si>
  <si>
    <t>enter_the_gungeon---tombstar.png</t>
  </si>
  <si>
    <t>fatal_labyrinth---dragon_crystal.png</t>
  </si>
  <si>
    <t>fights_in_tight_spaces---fogpiercer.png</t>
  </si>
  <si>
    <t>flerp---centipede_gun.png</t>
  </si>
  <si>
    <t>for_the_king---sandwalkers.png</t>
  </si>
  <si>
    <t>forward_escape_the_fold---dice_fold.png</t>
  </si>
  <si>
    <t>ftl---abandon_ship.png</t>
  </si>
  <si>
    <t>ftl---arcanium_rise_of_akhan.png</t>
  </si>
  <si>
    <t>ftl---breachway.png</t>
  </si>
  <si>
    <t>ftl---broomsweeper.png</t>
  </si>
  <si>
    <t>ftl---convoy.png</t>
  </si>
  <si>
    <t>ftl---death_roads_tournament.png</t>
  </si>
  <si>
    <t>ftl---death_skid_marks.png</t>
  </si>
  <si>
    <t>ftl---deep_sky_derelicts.png</t>
  </si>
  <si>
    <t>ftl---dicefolk.png</t>
  </si>
  <si>
    <t>ftl---has_been_heroes.png</t>
  </si>
  <si>
    <t>ftl---into_the_breach.png</t>
  </si>
  <si>
    <t>ftl---nowhere_prophet.png</t>
  </si>
  <si>
    <t>ftl---one_step_from_eden.png</t>
  </si>
  <si>
    <t>ftl---our_darker_purpose.png</t>
  </si>
  <si>
    <t>ftl---renowned_explorers_international_society.png</t>
  </si>
  <si>
    <t>ftl---road_not_taken.png</t>
  </si>
  <si>
    <t>ftl---rogue_voltage.png</t>
  </si>
  <si>
    <t>ftl---shape_of_dreams.png</t>
  </si>
  <si>
    <t>ftl---slay_the_spire.png</t>
  </si>
  <si>
    <t>ftl---slice_dice.png</t>
  </si>
  <si>
    <t>ftl---sparklite.png</t>
  </si>
  <si>
    <t>ftl---switchcars.png</t>
  </si>
  <si>
    <t>ftl---terraformers.png</t>
  </si>
  <si>
    <t>ftl---tower_tactics_liberation.png</t>
  </si>
  <si>
    <t>ftl---trials_of_fire.png</t>
  </si>
  <si>
    <t>ftl---void_bastards.png</t>
  </si>
  <si>
    <t>griftlands---zoeti.png</t>
  </si>
  <si>
    <t>guild_of_dungeoneering---deck_of_ashes.png</t>
  </si>
  <si>
    <t>gunfire_reborn---abyssus.png</t>
  </si>
  <si>
    <t>gunfire_reborn---brew.png</t>
  </si>
  <si>
    <t>gunfire_reborn---deep_rock_galactic_rogue_core.png</t>
  </si>
  <si>
    <t>gunfire_reborn---vellum.png</t>
  </si>
  <si>
    <t>hack---ancient_domains_of_mystery.png</t>
  </si>
  <si>
    <t>hack---dwarf_fortress.png</t>
  </si>
  <si>
    <t>hack---gearhead.png</t>
  </si>
  <si>
    <t>hack---gearhead_caramel.png</t>
  </si>
  <si>
    <t>hack---lost_labyrinth.png</t>
  </si>
  <si>
    <t>hack---nethack.png</t>
  </si>
  <si>
    <t>hack_em---zmangband.png</t>
  </si>
  <si>
    <t>hades---an_amazing_wizard.png</t>
  </si>
  <si>
    <t>hades---asgard_s_fall_viking_survivors.png</t>
  </si>
  <si>
    <t>hades---astral_ascent.png</t>
  </si>
  <si>
    <t>hades---battle_shapers.png</t>
  </si>
  <si>
    <t>hades---blooddome99.png</t>
  </si>
  <si>
    <t>hades---brew.png</t>
  </si>
  <si>
    <t>hades---cinderia.png</t>
  </si>
  <si>
    <t>hades---curse_of_pirates.png</t>
  </si>
  <si>
    <t>hades---death_must_die.png</t>
  </si>
  <si>
    <t>hades---demon_lord_just_a_block.png</t>
  </si>
  <si>
    <t>hades---forward_escape_the_fold.png</t>
  </si>
  <si>
    <t>hades---garden_of_witches.png</t>
  </si>
  <si>
    <t>hades---going_under.png</t>
  </si>
  <si>
    <t>hades---hell_maiden.png</t>
  </si>
  <si>
    <t>hades---kill_the_music.png</t>
  </si>
  <si>
    <t>hades---lost_in_random_the_eternal_die.png</t>
  </si>
  <si>
    <t>hades---masks_of_the_void_origins.png</t>
  </si>
  <si>
    <t>hades---netherworld_covenant.png</t>
  </si>
  <si>
    <t>hades---putrid_shot_ultra.png</t>
  </si>
  <si>
    <t>hades---reality_break.png</t>
  </si>
  <si>
    <t>hades---realm_of_ink.png</t>
  </si>
  <si>
    <t>hades---serpent_s_gaze.png</t>
  </si>
  <si>
    <t>hades---ship_of_fools.png</t>
  </si>
  <si>
    <t>hades---soulstone_survivors.png</t>
  </si>
  <si>
    <t>hades---spiritfall.png</t>
  </si>
  <si>
    <t>hades---sworn.png</t>
  </si>
  <si>
    <t>hades---tape_to_tape.png</t>
  </si>
  <si>
    <t>hades---teenage_mutant_ninja_turtles_splintered_fate.png</t>
  </si>
  <si>
    <t>hades---the_unliving.png</t>
  </si>
  <si>
    <t>hades---tiny_rogues.png</t>
  </si>
  <si>
    <t>hades---vellum.png</t>
  </si>
  <si>
    <t>hades---witchfire.png</t>
  </si>
  <si>
    <t>hades---zet_zillions.png</t>
  </si>
  <si>
    <t>halls_of_torment---hell_maiden.png</t>
  </si>
  <si>
    <t>halls_of_torment---jotunnslayer_hordes_of_hel.png</t>
  </si>
  <si>
    <t>hand_of_fate---inkshade.png</t>
  </si>
  <si>
    <t>heroes_of_hammerwatch---tower_factory.png</t>
  </si>
  <si>
    <t>hoplite---hyperrogue.png</t>
  </si>
  <si>
    <t>incursion---the_ground_gives_way.png</t>
  </si>
  <si>
    <t>inscryption---backpack_hero.png</t>
  </si>
  <si>
    <t>inscryption---cobalt_core.png</t>
  </si>
  <si>
    <t>inscryption---dicealot.png</t>
  </si>
  <si>
    <t>inscryption---from_the_top.png</t>
  </si>
  <si>
    <t>inscryption---inkshade.png</t>
  </si>
  <si>
    <t>inscryption---master_of_piece.png</t>
  </si>
  <si>
    <t>inscryption---my_card_is_better_than_your_card.png</t>
  </si>
  <si>
    <t>inscryption---pocket_crystal_league.png</t>
  </si>
  <si>
    <t>inscryption---the_royal_writ.png</t>
  </si>
  <si>
    <t>into_the_breach---alina_of_the_arena.png</t>
  </si>
  <si>
    <t>into_the_breach---anomaly_collapse.png</t>
  </si>
  <si>
    <t>into_the_breach---backpack_hero.png</t>
  </si>
  <si>
    <t>into_the_breach---cell_command.png</t>
  </si>
  <si>
    <t>into_the_breach---cropdeck.png</t>
  </si>
  <si>
    <t>into_the_breach---dead_weight.png</t>
  </si>
  <si>
    <t>into_the_breach---death_roads_tournament.png</t>
  </si>
  <si>
    <t>into_the_breach---dicefolk.png</t>
  </si>
  <si>
    <t>into_the_breach---dungeon_drafters.png</t>
  </si>
  <si>
    <t>into_the_breach---fogpiercer.png</t>
  </si>
  <si>
    <t>into_the_breach---master_of_piece.png</t>
  </si>
  <si>
    <t>into_the_breach---metal_slug_tactics.png</t>
  </si>
  <si>
    <t>into_the_breach---pawnbarian.png</t>
  </si>
  <si>
    <t>into_the_breach---rogue_voltage.png</t>
  </si>
  <si>
    <t>into_the_breach---shogun_showdown.png</t>
  </si>
  <si>
    <t>into_the_breach---spellmasons.png</t>
  </si>
  <si>
    <t>into_the_breach---swordship.png</t>
  </si>
  <si>
    <t>into_the_breach---the_last_spell.png</t>
  </si>
  <si>
    <t>into_the_breach---trash_of_the_titans.png</t>
  </si>
  <si>
    <t>iter_vehemens_ad_necem---catacomb_kids.png</t>
  </si>
  <si>
    <t>kingdom_new_lands---dome_keeper.png</t>
  </si>
  <si>
    <t>kingdom_new_lands---drill_core.png</t>
  </si>
  <si>
    <t>linley_s_dungeon_crawl---dungeon_crawl_stone_soup.png</t>
  </si>
  <si>
    <t>linley_s_dungeon_crawl---strange_adventures_in_infinite_space.png</t>
  </si>
  <si>
    <t>loop_hero---rungore.png</t>
  </si>
  <si>
    <t>loot_rascals---order_automatica.png</t>
  </si>
  <si>
    <t>lost_for_swords---slot_dungeons.png</t>
  </si>
  <si>
    <t>lost_labyrinth---i_am_overburdened.png</t>
  </si>
  <si>
    <t>luck_be_a_landlord---backpack_hero.png</t>
  </si>
  <si>
    <t>luck_be_a_landlord---balatro.png</t>
  </si>
  <si>
    <t>luck_be_a_landlord---ballionaire.png</t>
  </si>
  <si>
    <t>luck_be_a_landlord---bingle_bingle.png</t>
  </si>
  <si>
    <t>luck_be_a_landlord---broomsweeper.png</t>
  </si>
  <si>
    <t>luck_be_a_landlord---combolands.png</t>
  </si>
  <si>
    <t>luck_be_a_landlord---crop_rotation.png</t>
  </si>
  <si>
    <t>luck_be_a_landlord---cupiclaw.png</t>
  </si>
  <si>
    <t>luck_be_a_landlord---dog_and_goblin.png</t>
  </si>
  <si>
    <t>luck_be_a_landlord---dungeons_degenerate_gamblers.png</t>
  </si>
  <si>
    <t>luck_be_a_landlord---node_crown.png</t>
  </si>
  <si>
    <t>luck_be_a_landlord---omelet_you_cook.png</t>
  </si>
  <si>
    <t>luck_be_a_landlord---plinko_panic.png</t>
  </si>
  <si>
    <t>luck_be_a_landlord---roulette_hero.png</t>
  </si>
  <si>
    <t>luck_be_a_landlord---slot_dungeons.png</t>
  </si>
  <si>
    <t>luck_be_a_landlord---spin_hero.png</t>
  </si>
  <si>
    <t>luck_be_a_landlord---steve_s_warehouse_physics_roguelike_chaos.png</t>
  </si>
  <si>
    <t>luck_be_a_landlord---super_tax_city.png</t>
  </si>
  <si>
    <t>magic_survival---vampire_survivors.png</t>
  </si>
  <si>
    <t>magicraft---astro_prospector.png</t>
  </si>
  <si>
    <t>monster_gate---dungeon_drafters.png</t>
  </si>
  <si>
    <t>monster_slayers---deck_of_ashes.png</t>
  </si>
  <si>
    <t>monster_train---cross_blitz.png</t>
  </si>
  <si>
    <t>monster_train---dicealot.png</t>
  </si>
  <si>
    <t>monster_train---dicefolk.png</t>
  </si>
  <si>
    <t>monster_train---inscryption.png</t>
  </si>
  <si>
    <t>monster_train---master_of_piece.png</t>
  </si>
  <si>
    <t>monster_train---rogue_command.png</t>
  </si>
  <si>
    <t>monster_train---ship_of_fools.png</t>
  </si>
  <si>
    <t>monster_train---the_royal_writ.png</t>
  </si>
  <si>
    <t>monster_train---tower_escape.png</t>
  </si>
  <si>
    <t>monster_train---wildfrost.png</t>
  </si>
  <si>
    <t>moonlighter---masks_of_the_void_origins.png</t>
  </si>
  <si>
    <t>moria---angband.png</t>
  </si>
  <si>
    <t>moria---diablo.png</t>
  </si>
  <si>
    <t>moria---powder.png</t>
  </si>
  <si>
    <t>muck---lort.png</t>
  </si>
  <si>
    <t>mystery_dungeon_2_shiren_the_wanderer---100_rogues.png</t>
  </si>
  <si>
    <t>mystery_dungeon_2_shiren_the_wanderer---dungeon_drafters.png</t>
  </si>
  <si>
    <t>mystery_dungeon_2_shiren_the_wanderer---slot_dungeons.png</t>
  </si>
  <si>
    <t>mystery_dungeon_2_shiren_the_wanderer---tangledeep.png</t>
  </si>
  <si>
    <t>nethack---barony.png</t>
  </si>
  <si>
    <t>nethack---diablo.png</t>
  </si>
  <si>
    <t>nethack---dragonslayer.png</t>
  </si>
  <si>
    <t>nethack---dungeons_of_dredmor.png</t>
  </si>
  <si>
    <t>nethack---fear_hunger.png</t>
  </si>
  <si>
    <t>nethack---frozen_depths.png</t>
  </si>
  <si>
    <t>nethack---haque.png</t>
  </si>
  <si>
    <t>nethack---hyperrogue.png</t>
  </si>
  <si>
    <t>nethack---iter_vehemens_ad_necem.png</t>
  </si>
  <si>
    <t>nethack---keeperrl.png</t>
  </si>
  <si>
    <t>nethack---lambdarogue_the_book_of_stars.png</t>
  </si>
  <si>
    <t>nethack---linley_s_dungeon_crawl.png</t>
  </si>
  <si>
    <t>nethack---lost_flame.png</t>
  </si>
  <si>
    <t>nethack---moonring.png</t>
  </si>
  <si>
    <t>nethack---overworld.png</t>
  </si>
  <si>
    <t>nethack---pathos_nethack_codex.png</t>
  </si>
  <si>
    <t>nethack---powder.png</t>
  </si>
  <si>
    <t>nethack---ragnarok.png</t>
  </si>
  <si>
    <t>nethack---slash_em.png</t>
  </si>
  <si>
    <t>nethack---spelunky_classic.png</t>
  </si>
  <si>
    <t>nethack---strange_adventures_in_infinite_space.png</t>
  </si>
  <si>
    <t>nethack---sword_of_the_stars_the_pit.png</t>
  </si>
  <si>
    <t>nethack---wazhack.png</t>
  </si>
  <si>
    <t>node_farm---node_crown.png</t>
  </si>
  <si>
    <t>noita---magicraft.png</t>
  </si>
  <si>
    <t>noita---pathogenic.png</t>
  </si>
  <si>
    <t>noita---sulfur.png</t>
  </si>
  <si>
    <t>noita---tinker_shot.png</t>
  </si>
  <si>
    <t>nubby_s_number_factory---pegs_x_stickers.png</t>
  </si>
  <si>
    <t>nuclear_throne---abyssus.png</t>
  </si>
  <si>
    <t>nuclear_throne---astro_prospector.png</t>
  </si>
  <si>
    <t>nuclear_throne---blazing_beaks.png</t>
  </si>
  <si>
    <t>nuclear_throne---dead_estate.png</t>
  </si>
  <si>
    <t>nuclear_throne---enter_the_gungeon.png</t>
  </si>
  <si>
    <t>nuclear_throne---gonner.png</t>
  </si>
  <si>
    <t>nuclear_throne---guntouchables.png</t>
  </si>
  <si>
    <t>nuclear_throne---lone_ruin.png</t>
  </si>
  <si>
    <t>nuclear_throne---odinfall.png</t>
  </si>
  <si>
    <t>nuclear_throne---one_step_from_eden.png</t>
  </si>
  <si>
    <t>nuclear_throne---ram_random_access_mayhem.png</t>
  </si>
  <si>
    <t>nuclear_throne---repetendium.png</t>
  </si>
  <si>
    <t>nuclear_throne---rocket_rats.png</t>
  </si>
  <si>
    <t>nuclear_throne---streets_of_rogue.png</t>
  </si>
  <si>
    <t>nuclear_throne---voidigo.png</t>
  </si>
  <si>
    <t>oaken_tower---batomon_showdown.png</t>
  </si>
  <si>
    <t>omega---shadow_of_the_wyrm.png</t>
  </si>
  <si>
    <t>patch_quest---k_domon_hyper_auto_battlers.png</t>
  </si>
  <si>
    <t>peglin---dungeon_clawler.png</t>
  </si>
  <si>
    <t>peglin---pegs_x_stickers.png</t>
  </si>
  <si>
    <t>peglin---rune_dice.png</t>
  </si>
  <si>
    <t>peglin---steve_s_warehouse_physics_roguelike_chaos.png</t>
  </si>
  <si>
    <t>pok_mon_mystery_dungeon_red_and_blue_rescue_team---paper_animal_adventure.png</t>
  </si>
  <si>
    <t>ragnarok---hyperrogue.png</t>
  </si>
  <si>
    <t>ravenswatch---shape_of_dreams.png</t>
  </si>
  <si>
    <t>realm_of_the_mad_god---33_immortals.png</t>
  </si>
  <si>
    <t>realm_of_the_mad_god---talented.png</t>
  </si>
  <si>
    <t>renowned_explorers_international_society---worlds_upon_the_wind.png</t>
  </si>
  <si>
    <t>returnal---swapmeat.png</t>
  </si>
  <si>
    <t>rift_wizard---path_of_achra.png</t>
  </si>
  <si>
    <t>riptale---scourgebringer.png</t>
  </si>
  <si>
    <t>risk_of_rain---dead_cells.png</t>
  </si>
  <si>
    <t>risk_of_rain---in_celebration_of_violence.png</t>
  </si>
  <si>
    <t>risk_of_rain---putrid_shot_ultra.png</t>
  </si>
  <si>
    <t>risk_of_rain---shape_of_dreams.png</t>
  </si>
  <si>
    <t>risk_of_rain---wildfrost.png</t>
  </si>
  <si>
    <t>risk_of_rain_2---dark_light_survivor.png</t>
  </si>
  <si>
    <t>risk_of_rain_2---deep_rock_galactic_rogue_core.png</t>
  </si>
  <si>
    <t>risk_of_rain_2---everything_is_crab.png</t>
  </si>
  <si>
    <t>risk_of_rain_2---lort.png</t>
  </si>
  <si>
    <t>risk_of_rain_2---megabonk.png</t>
  </si>
  <si>
    <t>risk_of_rain_2---morbid_metal.png</t>
  </si>
  <si>
    <t>risk_of_rain_2---serpent_s_gaze.png</t>
  </si>
  <si>
    <t>risk_of_rain_2---shape_shifter_formations.png</t>
  </si>
  <si>
    <t>risk_of_rain_2---swapmeat.png</t>
  </si>
  <si>
    <t>risk_of_rain_2---vellum.png</t>
  </si>
  <si>
    <t>roboquest---abyssus.png</t>
  </si>
  <si>
    <t>roboquest---brew.png</t>
  </si>
  <si>
    <t>roboquest---deep_rock_galactic_rogue_core.png</t>
  </si>
  <si>
    <t>roboquest---swapmeat.png</t>
  </si>
  <si>
    <t>rogue---868_hack.png</t>
  </si>
  <si>
    <t>rogue---brogue.png</t>
  </si>
  <si>
    <t>rogue---cave_noire.png</t>
  </si>
  <si>
    <t>rogue---fatal_labyrinth.png</t>
  </si>
  <si>
    <t>rogue---golden_light.png</t>
  </si>
  <si>
    <t>rogue---hyperrogue.png</t>
  </si>
  <si>
    <t>rogue---infra_arcana.png</t>
  </si>
  <si>
    <t>rogue---larn.png</t>
  </si>
  <si>
    <t>rogue---legend_of_dungeon.png</t>
  </si>
  <si>
    <t>rogue---moria.png</t>
  </si>
  <si>
    <t>rogue---quasimorph.png</t>
  </si>
  <si>
    <t>rogue---ragnarok.png</t>
  </si>
  <si>
    <t>rogue---rogue_hearts_dungeon.png</t>
  </si>
  <si>
    <t>rogue---rogue_fp.png</t>
  </si>
  <si>
    <t>rogue---rogue_s_tale.png</t>
  </si>
  <si>
    <t>rogue---sword_of_the_stars_the_pit.png</t>
  </si>
  <si>
    <t>rogue---the_dungeon_rpg.png</t>
  </si>
  <si>
    <t>rogue---toejam_earl.png</t>
  </si>
  <si>
    <t>rogue---torneko_s_great_adventure_mystery_dungeon.png</t>
  </si>
  <si>
    <t>rogue_legacy---flinthook.png</t>
  </si>
  <si>
    <t>rogue_legacy---fury_unleashed.png</t>
  </si>
  <si>
    <t>rogue_legacy---immortal_redneck.png</t>
  </si>
  <si>
    <t>rogue_legacy---moonlighter.png</t>
  </si>
  <si>
    <t>rogue_legacy---space_gladiators.png</t>
  </si>
  <si>
    <t>rogue_legacy---sparklite.png</t>
  </si>
  <si>
    <t>rogue_legacy---sundered.png</t>
  </si>
  <si>
    <t>rogue_legacy---undermine.png</t>
  </si>
  <si>
    <t>rogue_tower---nordhold.png</t>
  </si>
  <si>
    <t>rogue_tower---tower_dominion.png</t>
  </si>
  <si>
    <t>roguebook---dicefolk.png</t>
  </si>
  <si>
    <t>roll---rollscape.png</t>
  </si>
  <si>
    <t>scourgebringer---galactic_glitch.png</t>
  </si>
  <si>
    <t>shattered_pixel_dungeon---lost_for_swords.png</t>
  </si>
  <si>
    <t>shogun_showdown---tic_tactic.png</t>
  </si>
  <si>
    <t>shoot_first---nuclear_throne.png</t>
  </si>
  <si>
    <t>shotgun_king_the_final_checkmate---bingle_bingle.png</t>
  </si>
  <si>
    <t>skul_the_hero_slayer---realm_of_ink.png</t>
  </si>
  <si>
    <t>slash_em---hack_em.png</t>
  </si>
  <si>
    <t>slay_the_spire---a_la_card.png</t>
  </si>
  <si>
    <t>slay_the_spire---alina_of_the_arena.png</t>
  </si>
  <si>
    <t>slay_the_spire---arcanium_rise_of_akhan.png</t>
  </si>
  <si>
    <t>slay_the_spire---as_we_descend.png</t>
  </si>
  <si>
    <t>slay_the_spire---astrea_six_sided_oracles.png</t>
  </si>
  <si>
    <t>slay_the_spire---backpack_hero.png</t>
  </si>
  <si>
    <t>slay_the_spire---barda.png</t>
  </si>
  <si>
    <t>slay_the_spire---bella_wants_blood.png</t>
  </si>
  <si>
    <t>slay_the_spire---beneath_oresa.png</t>
  </si>
  <si>
    <t>slay_the_spire---bounty_of_one.png</t>
  </si>
  <si>
    <t>slay_the_spire---brawl_tactics_origins.png</t>
  </si>
  <si>
    <t>slay_the_spire---breach_wanderers.png</t>
  </si>
  <si>
    <t>slay_the_spire---breachway.png</t>
  </si>
  <si>
    <t>slay_the_spire---broomsweeper.png</t>
  </si>
  <si>
    <t>slay_the_spire---chaos_zero_nightmare.png</t>
  </si>
  <si>
    <t>slay_the_spire---chrono_ark.png</t>
  </si>
  <si>
    <t>slay_the_spire---cobalt_core.png</t>
  </si>
  <si>
    <t>slay_the_spire---commander_quest.png</t>
  </si>
  <si>
    <t>slay_the_spire---cropdeck.png</t>
  </si>
  <si>
    <t>slay_the_spire---crush_the_industry.png</t>
  </si>
  <si>
    <t>slay_the_spire---deck_of_ashes.png</t>
  </si>
  <si>
    <t>slay_the_spire---decktamer.png</t>
  </si>
  <si>
    <t>slay_the_spire---deepest_chamber_resurrection.png</t>
  </si>
  <si>
    <t>slay_the_spire---demonic_mahjong.png</t>
  </si>
  <si>
    <t>slay_the_spire---dice_fold.png</t>
  </si>
  <si>
    <t>slay_the_spire---dice_legends.png</t>
  </si>
  <si>
    <t>slay_the_spire---dicealot.png</t>
  </si>
  <si>
    <t>slay_the_spire---dicefolk.png</t>
  </si>
  <si>
    <t>slay_the_spire---diceomancer.png</t>
  </si>
  <si>
    <t>slay_the_spire---die_for_the_lich.png</t>
  </si>
  <si>
    <t>slay_the_spire---die_in_the_dungeon.png</t>
  </si>
  <si>
    <t>slay_the_spire---dimensionals.png</t>
  </si>
  <si>
    <t>slay_the_spire---dog_witch.png</t>
  </si>
  <si>
    <t>slay_the_spire---dungeon_clawler.png</t>
  </si>
  <si>
    <t>slay_the_spire---emberward.png</t>
  </si>
  <si>
    <t>slay_the_spire---everything_is_crab.png</t>
  </si>
  <si>
    <t>slay_the_spire---fogpiercer.png</t>
  </si>
  <si>
    <t>slay_the_spire---forward_escape_the_fold.png</t>
  </si>
  <si>
    <t>slay_the_spire---gordian_quest.png</t>
  </si>
  <si>
    <t>slay_the_spire---handmancers.png</t>
  </si>
  <si>
    <t>slay_the_spire---hell_maiden.png</t>
  </si>
  <si>
    <t>slay_the_spire---hellcard.png</t>
  </si>
  <si>
    <t>slay_the_spire---inscryption.png</t>
  </si>
  <si>
    <t>slay_the_spire---into_the_grid.png</t>
  </si>
  <si>
    <t>slay_the_spire---iratus_lord_of_the_dead.png</t>
  </si>
  <si>
    <t>slay_the_spire---k_domon_hyper_auto_battlers.png</t>
  </si>
  <si>
    <t>slay_the_spire---knock_on_the_coffin_lid.png</t>
  </si>
  <si>
    <t>slay_the_spire---lost_for_swords.png</t>
  </si>
  <si>
    <t>slay_the_spire---lost_in_fantaland.png</t>
  </si>
  <si>
    <t>slay_the_spire---luck_loot.png</t>
  </si>
  <si>
    <t>slay_the_spire---luck_be_a_landlord.png</t>
  </si>
  <si>
    <t>slay_the_spire---master_of_piece.png</t>
  </si>
  <si>
    <t>slay_the_spire---monmusu_gladiator.png</t>
  </si>
  <si>
    <t>slay_the_spire---montabi.png</t>
  </si>
  <si>
    <t>slay_the_spire---mortal_sin.png</t>
  </si>
  <si>
    <t>slay_the_spire---nadir.png</t>
  </si>
  <si>
    <t>slay_the_spire---node_crown.png</t>
  </si>
  <si>
    <t>slay_the_spire---nordhold.png</t>
  </si>
  <si>
    <t>slay_the_spire---one_step_from_eden.png</t>
  </si>
  <si>
    <t>slay_the_spire---pawnbarian.png</t>
  </si>
  <si>
    <t>slay_the_spire---peglin.png</t>
  </si>
  <si>
    <t>slay_the_spire---pluto.png</t>
  </si>
  <si>
    <t>slay_the_spire---replicat.png</t>
  </si>
  <si>
    <t>slay_the_spire---right_and_down.png</t>
  </si>
  <si>
    <t>slay_the_spire---rogue_command.png</t>
  </si>
  <si>
    <t>slay_the_spire---rogue_voltage.png</t>
  </si>
  <si>
    <t>slay_the_spire---roguebook.png</t>
  </si>
  <si>
    <t>slay_the_spire---roulette_hero.png</t>
  </si>
  <si>
    <t>slay_the_spire---runeveil.png</t>
  </si>
  <si>
    <t>slay_the_spire---rungore.png</t>
  </si>
  <si>
    <t>slay_the_spire---seedborne_soldiers.png</t>
  </si>
  <si>
    <t>slay_the_spire---shadowveil_legend_of_the_five_rings.png</t>
  </si>
  <si>
    <t>slay_the_spire---shogun_showdown.png</t>
  </si>
  <si>
    <t>slay_the_spire---slice_dice.png</t>
  </si>
  <si>
    <t>slay_the_spire---slot_dungeons.png</t>
  </si>
  <si>
    <t>slay_the_spire---slot_or_not.png</t>
  </si>
  <si>
    <t>slay_the_spire---spin_hero.png</t>
  </si>
  <si>
    <t>slay_the_spire---spiritfall.png</t>
  </si>
  <si>
    <t>slay_the_spire---starvaders.png</t>
  </si>
  <si>
    <t>slay_the_spire---tabletop_tavern.png</t>
  </si>
  <si>
    <t>slay_the_spire---tainted_grail_conquest.png</t>
  </si>
  <si>
    <t>slay_the_spire---talespinner.png</t>
  </si>
  <si>
    <t>slay_the_spire---tape_to_tape.png</t>
  </si>
  <si>
    <t>slay_the_spire---the_last_flame.png</t>
  </si>
  <si>
    <t>slay_the_spire---the_last_spell.png</t>
  </si>
  <si>
    <t>slay_the_spire---the_ouroboros_king.png</t>
  </si>
  <si>
    <t>slay_the_spire---the_royal_writ.png</t>
  </si>
  <si>
    <t>slay_the_spire---the_spirit_lift.png</t>
  </si>
  <si>
    <t>slay_the_spire---tic_tactic.png</t>
  </si>
  <si>
    <t>slay_the_spire---tinker_shot.png</t>
  </si>
  <si>
    <t>slay_the_spire---tower_escape.png</t>
  </si>
  <si>
    <t>slay_the_spire---tower_tactics_liberation.png</t>
  </si>
  <si>
    <t>slay_the_spire---voice_of_belldona.png</t>
  </si>
  <si>
    <t>slay_the_spire---warriors_abyss.png</t>
  </si>
  <si>
    <t>slay_the_spire---wildfrost.png</t>
  </si>
  <si>
    <t>slay_the_spire---witch_s_apocalyptic_journey.png</t>
  </si>
  <si>
    <t>slay_the_spire---words_can_kill.png</t>
  </si>
  <si>
    <t>slay_the_spire---zet_zillions.png</t>
  </si>
  <si>
    <t>slay_the_spire---zoeti.png</t>
  </si>
  <si>
    <t>slice_dice---cats_dice.png</t>
  </si>
  <si>
    <t>slice_dice---luck_loot.png</t>
  </si>
  <si>
    <t>slime_3k_rise_against_despot---skull_horde.png</t>
  </si>
  <si>
    <t>snkrx---centipede_gun.png</t>
  </si>
  <si>
    <t>snkrx---lone_ruin.png</t>
  </si>
  <si>
    <t>snkrx---node_crown.png</t>
  </si>
  <si>
    <t>snkrx---pebble_knights.png</t>
  </si>
  <si>
    <t>snkrx---stackflow.png</t>
  </si>
  <si>
    <t>spelunky_classic---barony.png</t>
  </si>
  <si>
    <t>spelunky_classic---blazing_beaks.png</t>
  </si>
  <si>
    <t>spelunky_classic---catacomb_kids.png</t>
  </si>
  <si>
    <t>spelunky_classic---caveblazers.png</t>
  </si>
  <si>
    <t>spelunky_classic---cleanfall.png</t>
  </si>
  <si>
    <t>spelunky_classic---coin_crypt.png</t>
  </si>
  <si>
    <t>spelunky_classic---dicefolk.png</t>
  </si>
  <si>
    <t>spelunky_classic---downwell.png</t>
  </si>
  <si>
    <t>spelunky_classic---eldritch.png</t>
  </si>
  <si>
    <t>spelunky_classic---enter_the_gungeon.png</t>
  </si>
  <si>
    <t>spelunky_classic---feed_the_deep.png</t>
  </si>
  <si>
    <t>spelunky_classic---flinthook.png</t>
  </si>
  <si>
    <t>spelunky_classic---going_under.png</t>
  </si>
  <si>
    <t>spelunky_classic---gonner.png</t>
  </si>
  <si>
    <t>spelunky_classic---mana_spark.png</t>
  </si>
  <si>
    <t>spelunky_classic---mr_sun_s_hatbox.png</t>
  </si>
  <si>
    <t>spelunky_classic---noita.png</t>
  </si>
  <si>
    <t>spelunky_classic---rogue_legacy.png</t>
  </si>
  <si>
    <t>spelunky_classic---sky_rogue.png</t>
  </si>
  <si>
    <t>spelunky_classic---spirits_abyss.png</t>
  </si>
  <si>
    <t>spelunky_classic---streets_of_rogue.png</t>
  </si>
  <si>
    <t>spelunky_classic---switchcars.png</t>
  </si>
  <si>
    <t>spelunky_classic---vagante.png</t>
  </si>
  <si>
    <t>spelunky_classic---wildfrost.png</t>
  </si>
  <si>
    <t>star_of_providence---scourgebringer.png</t>
  </si>
  <si>
    <t>stoneshard---escape_the_mad_empire.png</t>
  </si>
  <si>
    <t>super_auto_pets---backpack_battles.png</t>
  </si>
  <si>
    <t>super_auto_pets---k_domon_hyper_auto_battlers.png</t>
  </si>
  <si>
    <t>super_auto_pets---lunchbreak_tactics.png</t>
  </si>
  <si>
    <t>super_auto_pets---merge_maestro.png</t>
  </si>
  <si>
    <t>super_auto_pets---nubby_s_number_factory.png</t>
  </si>
  <si>
    <t>super_auto_pets---oaken_tower.png</t>
  </si>
  <si>
    <t>super_auto_pets---order_automatica.png</t>
  </si>
  <si>
    <t>super_auto_pets---roulette_hero.png</t>
  </si>
  <si>
    <t>super_auto_pets---tiny_auto_knights.png</t>
  </si>
  <si>
    <t>super_auto_pets---ultrapool.png</t>
  </si>
  <si>
    <t>super_house_of_dead_ninjas---gonner.png</t>
  </si>
  <si>
    <t>super_tax_city---node_crown.png</t>
  </si>
  <si>
    <t>tales_of_maj_eyal---labyrinth_of_legendary_loot.png</t>
  </si>
  <si>
    <t>tales_of_maj_eyal---tangledeep.png</t>
  </si>
  <si>
    <t>tangledeep---labyrinth_of_legendary_loot.png</t>
  </si>
  <si>
    <t>teamfight_tactics---batomon_showdown.png</t>
  </si>
  <si>
    <t>teamfight_tactics---dwarves_glory_death_and_loot.png</t>
  </si>
  <si>
    <t>teamfight_tactics---seedborne_soldiers.png</t>
  </si>
  <si>
    <t>teamfight_tactics---the_bazaar.png</t>
  </si>
  <si>
    <t>teamfight_tactics---tiny_auto_knights.png</t>
  </si>
  <si>
    <t>the_bazaar---batomon_showdown.png</t>
  </si>
  <si>
    <t>the_bazaar---oaken_tower.png</t>
  </si>
  <si>
    <t>the_binding_of_isaac---20xx.png</t>
  </si>
  <si>
    <t>the_binding_of_isaac---a_robot_named_fight.png</t>
  </si>
  <si>
    <t>the_binding_of_isaac---an_amazing_wizard.png</t>
  </si>
  <si>
    <t>the_binding_of_isaac---blazing_beaks.png</t>
  </si>
  <si>
    <t>the_binding_of_isaac---brutal_orchestra.png</t>
  </si>
  <si>
    <t>the_binding_of_isaac---cavity_busters.png</t>
  </si>
  <si>
    <t>the_binding_of_isaac---dead_cells.png</t>
  </si>
  <si>
    <t>the_binding_of_isaac---dead_estate.png</t>
  </si>
  <si>
    <t>the_binding_of_isaac---devil_slayer_raksasi.png</t>
  </si>
  <si>
    <t>the_binding_of_isaac---dice_a_million.png</t>
  </si>
  <si>
    <t>the_binding_of_isaac---dungeons_of_blood_and_dream.png</t>
  </si>
  <si>
    <t>the_binding_of_isaac---enter_the_gungeon.png</t>
  </si>
  <si>
    <t>the_binding_of_isaac---full_mojo_rampage.png</t>
  </si>
  <si>
    <t>the_binding_of_isaac---going_under.png</t>
  </si>
  <si>
    <t>the_binding_of_isaac---golden_light.png</t>
  </si>
  <si>
    <t>the_binding_of_isaac---has_been_heroes.png</t>
  </si>
  <si>
    <t>the_binding_of_isaac---lake_of_creatures.png</t>
  </si>
  <si>
    <t>the_binding_of_isaac---lost_flame.png</t>
  </si>
  <si>
    <t>the_binding_of_isaac---mana_spark.png</t>
  </si>
  <si>
    <t>the_binding_of_isaac---masks_of_the_void_origins.png</t>
  </si>
  <si>
    <t>the_binding_of_isaac---moonlighter.png</t>
  </si>
  <si>
    <t>the_binding_of_isaac---neon_abyss.png</t>
  </si>
  <si>
    <t>the_binding_of_isaac---noobs_are_coming.png</t>
  </si>
  <si>
    <t>the_binding_of_isaac---nova_drift.png</t>
  </si>
  <si>
    <t>the_binding_of_isaac---nubby_s_number_factory.png</t>
  </si>
  <si>
    <t>the_binding_of_isaac---our_darker_purpose.png</t>
  </si>
  <si>
    <t>the_binding_of_isaac---paper_planet.png</t>
  </si>
  <si>
    <t>the_binding_of_isaac---pathogenic.png</t>
  </si>
  <si>
    <t>the_binding_of_isaac---pronoun_palace.png</t>
  </si>
  <si>
    <t>the_binding_of_isaac---rampage_knights.png</t>
  </si>
  <si>
    <t>the_binding_of_isaac---revita.png</t>
  </si>
  <si>
    <t>the_binding_of_isaac---rogue_legacy.png</t>
  </si>
  <si>
    <t>the_binding_of_isaac---schism.png</t>
  </si>
  <si>
    <t>the_binding_of_isaac---ship_of_fools.png</t>
  </si>
  <si>
    <t>the_binding_of_isaac---space_gladiators.png</t>
  </si>
  <si>
    <t>the_binding_of_isaac---sparklite.png</t>
  </si>
  <si>
    <t>the_binding_of_isaac---star_of_providence.png</t>
  </si>
  <si>
    <t>the_binding_of_isaac---streets_of_rogue.png</t>
  </si>
  <si>
    <t>the_binding_of_isaac---switchcars.png</t>
  </si>
  <si>
    <t>the_binding_of_isaac---talented.png</t>
  </si>
  <si>
    <t>the_binding_of_isaac---the_last_game.png</t>
  </si>
  <si>
    <t>the_binding_of_isaac---the_void_rains_upon_her_heart.png</t>
  </si>
  <si>
    <t>the_binding_of_isaac---tombstar.png</t>
  </si>
  <si>
    <t>the_binding_of_isaac---tower_of_guns.png</t>
  </si>
  <si>
    <t>the_binding_of_isaac---undermine.png</t>
  </si>
  <si>
    <t>the_binding_of_isaac---wildfrost.png</t>
  </si>
  <si>
    <t>the_binding_of_isaac---wizardchess.png</t>
  </si>
  <si>
    <t>the_dungeon_rpg---eternal_quest.png</t>
  </si>
  <si>
    <t>the_ground_gives_way---zmangband.png</t>
  </si>
  <si>
    <t>the_legend_of_bum_bo---brutal_orchestra.png</t>
  </si>
  <si>
    <t>the_legend_of_bum_bo---pronoun_palace.png</t>
  </si>
  <si>
    <t>tiny_rogues---the_last_game.png</t>
  </si>
  <si>
    <t>torneko_the_last_hope---fushigi_no_gensoukyou.png</t>
  </si>
  <si>
    <t>torneko_s_great_adventure_mystery_dungeon---dave_the_diver.png</t>
  </si>
  <si>
    <t>torneko_s_great_adventure_mystery_dungeon---mistrogue_mist_and_the_living_dungeons.png</t>
  </si>
  <si>
    <t>torneko_s_great_adventure_mystery_dungeon---monster_girls_and_the_mysterious_adventure.png</t>
  </si>
  <si>
    <t>torneko_s_great_adventure_mystery_dungeon---the_world_is_your_weapon.png</t>
  </si>
  <si>
    <t>unexplored---moonring.png</t>
  </si>
  <si>
    <t>unreal_world---soulash.png</t>
  </si>
  <si>
    <t>vampire_survivors---arms_of_god.png</t>
  </si>
  <si>
    <t>vampire_survivors---army_of_ruin.png</t>
  </si>
  <si>
    <t>vampire_survivors---astro_prospector.png</t>
  </si>
  <si>
    <t>vampire_survivors---ball_x_pit.png</t>
  </si>
  <si>
    <t>vampire_survivors---curse_of_pirates.png</t>
  </si>
  <si>
    <t>vampire_survivors---dark_light_survivor.png</t>
  </si>
  <si>
    <t>vampire_survivors---disfigure.png</t>
  </si>
  <si>
    <t>vampire_survivors---fish_fear_me.png</t>
  </si>
  <si>
    <t>vampire_survivors---genome_guardian.png</t>
  </si>
  <si>
    <t>vampire_survivors---glyphica_typing_survival.png</t>
  </si>
  <si>
    <t>vampire_survivors---greedland.png</t>
  </si>
  <si>
    <t>vampire_survivors---gunlocked.png</t>
  </si>
  <si>
    <t>vampire_survivors---hell_maiden.png</t>
  </si>
  <si>
    <t>vampire_survivors---holocure_save_the_fans.png</t>
  </si>
  <si>
    <t>vampire_survivors---jotunnslayer_hordes_of_hel.png</t>
  </si>
  <si>
    <t>vampire_survivors---kill_the_music.png</t>
  </si>
  <si>
    <t>vampire_survivors---legionbound.png</t>
  </si>
  <si>
    <t>vampire_survivors---megabonk.png</t>
  </si>
  <si>
    <t>vampire_survivors---monsters_are_coming.png</t>
  </si>
  <si>
    <t>vampire_survivors---mortal_sin.png</t>
  </si>
  <si>
    <t>vampire_survivors---nimrods.png</t>
  </si>
  <si>
    <t>vampire_survivors---nubby_s_number_factory.png</t>
  </si>
  <si>
    <t>vampire_survivors---pesticide_not_required.png</t>
  </si>
  <si>
    <t>vampire_survivors---rogue_factory.png</t>
  </si>
  <si>
    <t>vampire_survivors---rogue_genesia.png</t>
  </si>
  <si>
    <t>vampire_survivors---slime_3k_rise_against_despot.png</t>
  </si>
  <si>
    <t>vampire_survivors---sodaman.png</t>
  </si>
  <si>
    <t>vampire_survivors---soulstone_survivors.png</t>
  </si>
  <si>
    <t>vampire_survivors---stolen_realm_survivors.png</t>
  </si>
  <si>
    <t>vampire_survivors---swarm_grinder.png</t>
  </si>
  <si>
    <t>vampire_survivors---time_survivors.png</t>
  </si>
  <si>
    <t>vampire_survivors---tower_factory.png</t>
  </si>
  <si>
    <t>vampire_survivors---vampire_hunters.png</t>
  </si>
  <si>
    <t>vampire_survivors---vital_shell.png</t>
  </si>
  <si>
    <t>vampire_survivors---void_scrappers.png</t>
  </si>
  <si>
    <t>vampire_survivors---wanderburg.png</t>
  </si>
  <si>
    <t>vampire_survivors---whisker_squadron_survivor.png</t>
  </si>
  <si>
    <t>wildfrost---decktamer.png</t>
  </si>
  <si>
    <t>witchfire---deep_rock_galactic_rogue_core.png</t>
  </si>
  <si>
    <t>witchfire---voin.png</t>
  </si>
  <si>
    <t>wizard_of_legend---astral_ascent.png</t>
  </si>
  <si>
    <t>wizard_of_legend---putrid_shot_ultra.png</t>
  </si>
  <si>
    <t>zangband---cthangband.png</t>
  </si>
  <si>
    <t>zangband---tales_of_maj_eyal.png</t>
  </si>
  <si>
    <t>zangband---zmangband.png</t>
  </si>
  <si>
    <t>ziggurat---vellum.png</t>
  </si>
  <si>
    <t>vampire_survivors---the_magus_circle.png</t>
  </si>
  <si>
    <t>luck_be_a_landlord---dicevaders.png</t>
  </si>
  <si>
    <t>ballionaire---dicevaders.png</t>
  </si>
  <si>
    <t>nubby_s_number_factory---dicevaders.png</t>
  </si>
  <si>
    <t>brotato---footgun_underground.png</t>
  </si>
  <si>
    <t>peglin---footgun_underground.png</t>
  </si>
  <si>
    <t>backpack_hero---footgun_underground.png</t>
  </si>
  <si>
    <t>the_binding_of_isaac---crawl.png</t>
  </si>
  <si>
    <t>diablo---crawl.png</t>
  </si>
  <si>
    <t>ftl---heat_signature.png</t>
  </si>
  <si>
    <t>mystery_dungeon_2_shiren_the_wanderer---crown_trick.png</t>
  </si>
  <si>
    <t>peglin---kill_the_brickman.png</t>
  </si>
  <si>
    <t>inscryption---buckshot_roulette.png</t>
  </si>
  <si>
    <t>the_binding_of_isaac---children_of_morta.png</t>
  </si>
  <si>
    <t>rogue_legacy---children_of_morta.png</t>
  </si>
  <si>
    <t>nuclear_throne---children_of_morta.png</t>
  </si>
  <si>
    <t>the_binding_of_isaac---hades.png</t>
  </si>
  <si>
    <t>enter_the_gungeon---hades.png</t>
  </si>
  <si>
    <t>darkest_dungeon---hades.png</t>
  </si>
  <si>
    <t>spelunky_classic---hades.png</t>
  </si>
  <si>
    <t>rogue_legacy---hades.png</t>
  </si>
  <si>
    <t>wizard_of_legend---hades.png</t>
  </si>
  <si>
    <t>dead_cells---hades.png</t>
  </si>
  <si>
    <t>slay_the_spire---hades.png</t>
  </si>
  <si>
    <t>slay_the_spire---aotenjo_infinite_hands.png</t>
  </si>
  <si>
    <t>monster_train---aotenjo_infinite_hands.png</t>
  </si>
  <si>
    <t>luck_be_a_landlord---aotenjo_infinite_hands.png</t>
  </si>
  <si>
    <t>luck_be_a_landlord---chosen_garden.png</t>
  </si>
  <si>
    <t>dome_keeper---choo_choo_survivor.png</t>
  </si>
  <si>
    <t>slay_the_spire---cross_blitz.png</t>
  </si>
  <si>
    <t>hades---curse_of_the_dead_gods.png</t>
  </si>
  <si>
    <t>diablo---curse_of_the_dead_gods.png</t>
  </si>
  <si>
    <t>into_the_breach---dome_keeper.png</t>
  </si>
  <si>
    <t>backpack_hero---god_of_weapons.png</t>
  </si>
  <si>
    <t>diablo---god_of_weapons.png</t>
  </si>
  <si>
    <t>magic_survival---holocure_save_the_fans.png</t>
  </si>
  <si>
    <t>magic_survival---spirit_hunters_infinite_horde.png</t>
  </si>
  <si>
    <t>the_binding_of_isaac---nordic_ashes_survivors_of_ragnarok.png</t>
  </si>
  <si>
    <t>rogue_legacy---nordic_ashes_survivors_of_ragnarok.png</t>
  </si>
  <si>
    <t>868_hack---order_automatica.png</t>
  </si>
  <si>
    <t>slice_dice---order_automatica.png</t>
  </si>
  <si>
    <t>shotgun_king_the_final_checkmate---order_automatica.png</t>
  </si>
  <si>
    <t>don_t_starve---our_darker_purpose.png</t>
  </si>
  <si>
    <t>diablo---our_darker_purpose.png</t>
  </si>
  <si>
    <t>diablo---picayune_dreams.png</t>
  </si>
  <si>
    <t>enter_the_gungeon---roboquest.png</t>
  </si>
  <si>
    <t>peglin---rogue_voltage.png</t>
  </si>
  <si>
    <t>backpack_battles---rogue_voltage.png</t>
  </si>
  <si>
    <t>slay_the_spire---rogue_genesia.png</t>
  </si>
  <si>
    <t>brogue---rift_wizard.png</t>
  </si>
  <si>
    <t>brotato---star_survivor.png</t>
  </si>
  <si>
    <t>soulstone_survivors---star_survivor.png</t>
  </si>
  <si>
    <t>20_minutes_till_dawn---star_survivor.png</t>
  </si>
  <si>
    <t>rogue_genesia---star_survivor.png</t>
  </si>
  <si>
    <t>spellbook_demonslayers---star_survivor.png</t>
  </si>
  <si>
    <t>void_scrappers---star_survivor.png</t>
  </si>
  <si>
    <t>boneraiser_minions---star_survivor.png</t>
  </si>
  <si>
    <t>nova_drift---star_survivor.png</t>
  </si>
  <si>
    <t>runic_survivor---star_survivor.png</t>
  </si>
  <si>
    <t>dicey_dungeons---words_can_kill.png</t>
  </si>
  <si>
    <t>stoneshard---the_last_spell.png</t>
  </si>
  <si>
    <t>revita---tiny_rogues.png</t>
  </si>
  <si>
    <t>risk_of_rain_2---soulstone_survivors.png</t>
  </si>
  <si>
    <t>roboquest---deadzone_rogue.png</t>
  </si>
  <si>
    <t>slay_the_spire---super_bullet_break.png</t>
  </si>
  <si>
    <t>inscryption---lethal_dungeon.png</t>
  </si>
  <si>
    <t>ftl---guild_of_dungeoneering.png</t>
  </si>
  <si>
    <t>spelunky_classic---guild_of_dungeoneering.png</t>
  </si>
  <si>
    <t>spelunky_classic---realm_of_the_mad_god.png</t>
  </si>
  <si>
    <t>nethack---realm_of_the_mad_god.png</t>
  </si>
  <si>
    <t>weird_worlds_return_to_infinite_space---ftl.png</t>
  </si>
  <si>
    <t>dwarf_fortress---caves_of_qud.png</t>
  </si>
  <si>
    <t>rogue---unexplored.png</t>
  </si>
  <si>
    <t>nethack---unexplored.png</t>
  </si>
  <si>
    <t>enter_the_gungeon---neon_abyss.png</t>
  </si>
  <si>
    <t>dead_cells---neon_abyss.png</t>
  </si>
  <si>
    <t>nuclear_throne---spellmasons.png</t>
  </si>
  <si>
    <t>rogue---ancient_domains_of_mystery.png</t>
  </si>
  <si>
    <t>nethack---ancient_domains_of_mystery.png</t>
  </si>
  <si>
    <t>ziggurat---immortal_redneck.png</t>
  </si>
  <si>
    <t>enter_the_gungeon---immortal_redneck.png</t>
  </si>
  <si>
    <t>spelunky_classic---immortal_redneck.png</t>
  </si>
  <si>
    <t>ftl---nuclear_throne.png</t>
  </si>
  <si>
    <t>spelunky_classic---nuclear_throne.png</t>
  </si>
  <si>
    <t>the_binding_of_isaac---nuclear_throne.png</t>
  </si>
  <si>
    <t>inscryption---sol_cesto.png</t>
  </si>
  <si>
    <t>enter_the_gungeon---cavity_busters.png</t>
  </si>
  <si>
    <t>omega---caves_of_qud.png</t>
  </si>
  <si>
    <t>omega---castle_of_the_winds.png</t>
  </si>
  <si>
    <t>nethack---castle_of_the_winds.png</t>
  </si>
  <si>
    <t>larn---castle_of_the_winds.png</t>
  </si>
  <si>
    <t>downwell---exit_the_gungeon.png</t>
  </si>
  <si>
    <t>darkest_dungeon---gordian_quest.png</t>
  </si>
  <si>
    <t>diablo---gordian_quest.png</t>
  </si>
  <si>
    <t>spelunky_classic---heavy_bullets.png</t>
  </si>
  <si>
    <t>hoplite---let_s_revolution.png</t>
  </si>
  <si>
    <t>hades---moonlighter_2_the_endless_vault.png</t>
  </si>
  <si>
    <t>returnal---morbid_metal.png</t>
  </si>
  <si>
    <t>hades---rabbit_and_steel.png</t>
  </si>
  <si>
    <t>brotato---slime_3k_rise_against_despot.png</t>
  </si>
  <si>
    <t>20_minutes_till_dawn---slime_3k_rise_against_despot.png</t>
  </si>
  <si>
    <t>halls_of_torment---slime_3k_rise_against_despot.png</t>
  </si>
  <si>
    <t>soulstone_survivors---slime_3k_rise_against_despot.png</t>
  </si>
  <si>
    <t>enter_the_gungeon---undermine.png</t>
  </si>
  <si>
    <t>balatro---glyphica_typing_survival.png</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</si>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</sst>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32</c:v>
                </c:pt>
                <c:pt idx="40">
                  <c:v>23</c:v>
                </c:pt>
                <c:pt idx="41">
                  <c:v>39</c:v>
                </c:pt>
                <c:pt idx="42">
                  <c:v>51</c:v>
                </c:pt>
                <c:pt idx="43">
                  <c:v>44</c:v>
                </c:pt>
                <c:pt idx="44">
                  <c:v>70</c:v>
                </c:pt>
                <c:pt idx="45">
                  <c:v>97</c:v>
                </c:pt>
                <c:pt idx="46">
                  <c:v>100</c:v>
                </c:pt>
                <c:pt idx="47">
                  <c:v>155</c:v>
                </c:pt>
                <c:pt idx="48">
                  <c:v>108</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21</c:v>
                </c:pt>
                <c:pt idx="40">
                  <c:v>16</c:v>
                </c:pt>
                <c:pt idx="41">
                  <c:v>27</c:v>
                </c:pt>
                <c:pt idx="42">
                  <c:v>43</c:v>
                </c:pt>
                <c:pt idx="43">
                  <c:v>38</c:v>
                </c:pt>
                <c:pt idx="44">
                  <c:v>57</c:v>
                </c:pt>
                <c:pt idx="45">
                  <c:v>77</c:v>
                </c:pt>
                <c:pt idx="46">
                  <c:v>59</c:v>
                </c:pt>
                <c:pt idx="47">
                  <c:v>78</c:v>
                </c:pt>
                <c:pt idx="48">
                  <c:v>18</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27</c:v>
                </c:pt>
                <c:pt idx="3">
                  <c:v>0</c:v>
                </c:pt>
                <c:pt idx="4">
                  <c:v>1</c:v>
                </c:pt>
                <c:pt idx="5">
                  <c:v>3</c:v>
                </c:pt>
                <c:pt idx="6">
                  <c:v>6</c:v>
                </c:pt>
                <c:pt idx="7">
                  <c:v>0</c:v>
                </c:pt>
                <c:pt idx="8">
                  <c:v>1</c:v>
                </c:pt>
                <c:pt idx="9">
                  <c:v>39</c:v>
                </c:pt>
                <c:pt idx="10">
                  <c:v>0</c:v>
                </c:pt>
                <c:pt idx="11">
                  <c:v>0</c:v>
                </c:pt>
                <c:pt idx="12">
                  <c:v>15</c:v>
                </c:pt>
                <c:pt idx="13">
                  <c:v>2</c:v>
                </c:pt>
                <c:pt idx="14">
                  <c:v>2</c:v>
                </c:pt>
                <c:pt idx="15">
                  <c:v>26</c:v>
                </c:pt>
                <c:pt idx="16">
                  <c:v>19</c:v>
                </c:pt>
                <c:pt idx="17">
                  <c:v>14</c:v>
                </c:pt>
                <c:pt idx="18">
                  <c:v>26</c:v>
                </c:pt>
                <c:pt idx="19">
                  <c:v>4</c:v>
                </c:pt>
                <c:pt idx="20">
                  <c:v>12</c:v>
                </c:pt>
                <c:pt idx="21">
                  <c:v>2</c:v>
                </c:pt>
                <c:pt idx="22">
                  <c:v>4</c:v>
                </c:pt>
                <c:pt idx="23">
                  <c:v>3</c:v>
                </c:pt>
                <c:pt idx="24">
                  <c:v>12</c:v>
                </c:pt>
                <c:pt idx="25">
                  <c:v>5</c:v>
                </c:pt>
                <c:pt idx="26">
                  <c:v>0</c:v>
                </c:pt>
                <c:pt idx="27">
                  <c:v>6</c:v>
                </c:pt>
                <c:pt idx="28">
                  <c:v>22</c:v>
                </c:pt>
                <c:pt idx="29">
                  <c:v>4</c:v>
                </c:pt>
                <c:pt idx="30">
                  <c:v>46</c:v>
                </c:pt>
                <c:pt idx="31">
                  <c:v>9</c:v>
                </c:pt>
                <c:pt idx="32">
                  <c:v>18</c:v>
                </c:pt>
                <c:pt idx="33">
                  <c:v>81</c:v>
                </c:pt>
                <c:pt idx="34">
                  <c:v>45</c:v>
                </c:pt>
                <c:pt idx="35">
                  <c:v>40</c:v>
                </c:pt>
                <c:pt idx="36">
                  <c:v>14</c:v>
                </c:pt>
                <c:pt idx="37">
                  <c:v>80</c:v>
                </c:pt>
                <c:pt idx="38">
                  <c:v>39</c:v>
                </c:pt>
                <c:pt idx="39">
                  <c:v>167</c:v>
                </c:pt>
                <c:pt idx="40">
                  <c:v>73</c:v>
                </c:pt>
                <c:pt idx="41">
                  <c:v>101</c:v>
                </c:pt>
                <c:pt idx="42">
                  <c:v>63</c:v>
                </c:pt>
                <c:pt idx="43">
                  <c:v>161</c:v>
                </c:pt>
                <c:pt idx="44">
                  <c:v>79</c:v>
                </c:pt>
                <c:pt idx="45">
                  <c:v>94</c:v>
                </c:pt>
                <c:pt idx="46">
                  <c:v>21</c:v>
                </c:pt>
                <c:pt idx="47">
                  <c:v>12</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59</c:v>
                </c:pt>
                <c:pt idx="1">
                  <c:v>333</c:v>
                </c:pt>
                <c:pt idx="2">
                  <c:v>211</c:v>
                </c:pt>
                <c:pt idx="3">
                  <c:v>127</c:v>
                </c:pt>
                <c:pt idx="4">
                  <c:v>61</c:v>
                </c:pt>
                <c:pt idx="5">
                  <c:v>28</c:v>
                </c:pt>
                <c:pt idx="6">
                  <c:v>38</c:v>
                </c:pt>
                <c:pt idx="7">
                  <c:v>21</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34</c:v>
                </c:pt>
                <c:pt idx="1">
                  <c:v>201</c:v>
                </c:pt>
                <c:pt idx="2">
                  <c:v>119</c:v>
                </c:pt>
                <c:pt idx="3">
                  <c:v>90</c:v>
                </c:pt>
                <c:pt idx="4">
                  <c:v>36</c:v>
                </c:pt>
                <c:pt idx="5">
                  <c:v>16</c:v>
                </c:pt>
                <c:pt idx="6">
                  <c:v>29</c:v>
                </c:pt>
                <c:pt idx="7">
                  <c:v>21</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386</c:v>
                </c:pt>
                <c:pt idx="1">
                  <c:v>157</c:v>
                </c:pt>
                <c:pt idx="2">
                  <c:v>186</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258</c:v>
                </c:pt>
                <c:pt idx="1">
                  <c:v>100</c:v>
                </c:pt>
                <c:pt idx="2">
                  <c:v>99</c:v>
                </c:pt>
                <c:pt idx="3">
                  <c:v>106</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Dead Cells</c:v>
                </c:pt>
                <c:pt idx="10">
                  <c:v>Nuclear Throne</c:v>
                </c:pt>
                <c:pt idx="11">
                  <c:v>Diablo</c:v>
                </c:pt>
                <c:pt idx="12">
                  <c:v>Rogue</c:v>
                </c:pt>
                <c:pt idx="13">
                  <c:v>Into the Breach</c:v>
                </c:pt>
                <c:pt idx="14">
                  <c:v>Darkest Dungeon</c:v>
                </c:pt>
              </c:strCache>
            </c:strRef>
          </c:cat>
          <c:val>
            <c:numRef>
              <c:f>'Map Analysis'!$P$5:$P$19</c:f>
              <c:numCache>
                <c:formatCode>General</c:formatCode>
                <c:ptCount val="15"/>
                <c:pt idx="0">
                  <c:v>156</c:v>
                </c:pt>
                <c:pt idx="1">
                  <c:v>96</c:v>
                </c:pt>
                <c:pt idx="2">
                  <c:v>77</c:v>
                </c:pt>
                <c:pt idx="3">
                  <c:v>66</c:v>
                </c:pt>
                <c:pt idx="4">
                  <c:v>60</c:v>
                </c:pt>
                <c:pt idx="5">
                  <c:v>45</c:v>
                </c:pt>
                <c:pt idx="6">
                  <c:v>43</c:v>
                </c:pt>
                <c:pt idx="7">
                  <c:v>36</c:v>
                </c:pt>
                <c:pt idx="8">
                  <c:v>34</c:v>
                </c:pt>
                <c:pt idx="9">
                  <c:v>31</c:v>
                </c:pt>
                <c:pt idx="10">
                  <c:v>30</c:v>
                </c:pt>
                <c:pt idx="11">
                  <c:v>30</c:v>
                </c:pt>
                <c:pt idx="12">
                  <c:v>29</c:v>
                </c:pt>
                <c:pt idx="13">
                  <c:v>28</c:v>
                </c:pt>
                <c:pt idx="14">
                  <c:v>28</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Dead Cells</c:v>
                </c:pt>
                <c:pt idx="10">
                  <c:v>Nuclear Throne</c:v>
                </c:pt>
                <c:pt idx="11">
                  <c:v>Diablo</c:v>
                </c:pt>
                <c:pt idx="12">
                  <c:v>Rogue</c:v>
                </c:pt>
                <c:pt idx="13">
                  <c:v>Into the Breach</c:v>
                </c:pt>
                <c:pt idx="14">
                  <c:v>Darkest Dungeon</c:v>
                </c:pt>
              </c:strCache>
            </c:strRef>
          </c:cat>
          <c:val>
            <c:numRef>
              <c:f>'Map Analysis'!$T$5:$T$19</c:f>
              <c:numCache>
                <c:formatCode>General</c:formatCode>
                <c:ptCount val="15"/>
                <c:pt idx="0">
                  <c:v>156</c:v>
                </c:pt>
                <c:pt idx="1">
                  <c:v>96</c:v>
                </c:pt>
                <c:pt idx="2">
                  <c:v>77</c:v>
                </c:pt>
                <c:pt idx="3">
                  <c:v>66</c:v>
                </c:pt>
                <c:pt idx="4">
                  <c:v>60</c:v>
                </c:pt>
                <c:pt idx="5">
                  <c:v>45</c:v>
                </c:pt>
                <c:pt idx="6">
                  <c:v>43</c:v>
                </c:pt>
                <c:pt idx="7">
                  <c:v>36</c:v>
                </c:pt>
                <c:pt idx="8">
                  <c:v>34</c:v>
                </c:pt>
                <c:pt idx="9">
                  <c:v>31</c:v>
                </c:pt>
                <c:pt idx="10">
                  <c:v>30</c:v>
                </c:pt>
                <c:pt idx="11">
                  <c:v>30</c:v>
                </c:pt>
                <c:pt idx="12">
                  <c:v>29</c:v>
                </c:pt>
                <c:pt idx="13">
                  <c:v>28</c:v>
                </c:pt>
                <c:pt idx="14">
                  <c:v>28</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12</c:v>
                </c:pt>
                <c:pt idx="1">
                  <c:v>109</c:v>
                </c:pt>
                <c:pt idx="2">
                  <c:v>170</c:v>
                </c:pt>
                <c:pt idx="3">
                  <c:v>169</c:v>
                </c:pt>
                <c:pt idx="4">
                  <c:v>151</c:v>
                </c:pt>
                <c:pt idx="5">
                  <c:v>139</c:v>
                </c:pt>
                <c:pt idx="6">
                  <c:v>109</c:v>
                </c:pt>
                <c:pt idx="7">
                  <c:v>96</c:v>
                </c:pt>
                <c:pt idx="8">
                  <c:v>77</c:v>
                </c:pt>
                <c:pt idx="9">
                  <c:v>70</c:v>
                </c:pt>
                <c:pt idx="10">
                  <c:v>32</c:v>
                </c:pt>
                <c:pt idx="11">
                  <c:v>157</c:v>
                </c:pt>
                <c:pt idx="12">
                  <c:v>104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2019</c:v>
                </c:pt>
                <c:pt idx="78">
                  <c:v>2019</c:v>
                </c:pt>
                <c:pt idx="79">
                  <c:v>#N/A</c:v>
                </c:pt>
                <c:pt idx="80">
                  <c:v>#N/A</c:v>
                </c:pt>
                <c:pt idx="81">
                  <c:v>2023</c:v>
                </c:pt>
                <c:pt idx="82">
                  <c:v>2024</c:v>
                </c:pt>
                <c:pt idx="83">
                  <c:v>#N/A</c:v>
                </c:pt>
                <c:pt idx="84">
                  <c:v>#N/A</c:v>
                </c:pt>
                <c:pt idx="85">
                  <c:v>2022</c:v>
                </c:pt>
                <c:pt idx="86">
                  <c:v>#N/A</c:v>
                </c:pt>
                <c:pt idx="87">
                  <c:v>2022</c:v>
                </c:pt>
                <c:pt idx="88">
                  <c:v>2021</c:v>
                </c:pt>
                <c:pt idx="89">
                  <c:v>2020</c:v>
                </c:pt>
                <c:pt idx="90">
                  <c:v>#N/A</c:v>
                </c:pt>
                <c:pt idx="91">
                  <c:v>#N/A</c:v>
                </c:pt>
                <c:pt idx="92">
                  <c:v>#N/A</c:v>
                </c:pt>
                <c:pt idx="93">
                  <c:v>2025</c:v>
                </c:pt>
                <c:pt idx="94">
                  <c:v>#N/A</c:v>
                </c:pt>
                <c:pt idx="95">
                  <c:v>#N/A</c:v>
                </c:pt>
                <c:pt idx="96">
                  <c:v>2022</c:v>
                </c:pt>
                <c:pt idx="97">
                  <c:v>#N/A</c:v>
                </c:pt>
                <c:pt idx="98">
                  <c:v>#N/A</c:v>
                </c:pt>
                <c:pt idx="99">
                  <c:v>#N/A</c:v>
                </c:pt>
                <c:pt idx="100">
                  <c:v>2018</c:v>
                </c:pt>
                <c:pt idx="101">
                  <c:v>2016</c:v>
                </c:pt>
                <c:pt idx="102">
                  <c:v>#N/A</c:v>
                </c:pt>
                <c:pt idx="103">
                  <c:v>#N/A</c:v>
                </c:pt>
                <c:pt idx="104">
                  <c:v>#N/A</c:v>
                </c:pt>
                <c:pt idx="105">
                  <c:v>#N/A</c:v>
                </c:pt>
                <c:pt idx="106">
                  <c:v>#N/A</c:v>
                </c:pt>
                <c:pt idx="107">
                  <c:v>#N/A</c:v>
                </c:pt>
                <c:pt idx="108">
                  <c:v>#N/A</c:v>
                </c:pt>
                <c:pt idx="109">
                  <c:v>#N/A</c:v>
                </c:pt>
                <c:pt idx="110">
                  <c:v>#N/A</c:v>
                </c:pt>
                <c:pt idx="111">
                  <c:v>2015</c:v>
                </c:pt>
                <c:pt idx="112">
                  <c:v>#N/A</c:v>
                </c:pt>
                <c:pt idx="113">
                  <c:v>#N/A</c:v>
                </c:pt>
                <c:pt idx="114">
                  <c:v>2017</c:v>
                </c:pt>
                <c:pt idx="115">
                  <c:v>#N/A</c:v>
                </c:pt>
                <c:pt idx="116">
                  <c:v>2020</c:v>
                </c:pt>
                <c:pt idx="117">
                  <c:v>#N/A</c:v>
                </c:pt>
                <c:pt idx="118">
                  <c:v>2023</c:v>
                </c:pt>
                <c:pt idx="119">
                  <c:v>#N/A</c:v>
                </c:pt>
                <c:pt idx="120">
                  <c:v>2022</c:v>
                </c:pt>
                <c:pt idx="121">
                  <c:v>2019</c:v>
                </c:pt>
                <c:pt idx="122">
                  <c:v>#N/A</c:v>
                </c:pt>
                <c:pt idx="123">
                  <c:v>#N/A</c:v>
                </c:pt>
                <c:pt idx="124">
                  <c:v>#N/A</c:v>
                </c:pt>
                <c:pt idx="125">
                  <c:v>2023</c:v>
                </c:pt>
                <c:pt idx="126">
                  <c:v>2025</c:v>
                </c:pt>
                <c:pt idx="127">
                  <c:v>#N/A</c:v>
                </c:pt>
                <c:pt idx="128">
                  <c:v>#N/A</c:v>
                </c:pt>
                <c:pt idx="129">
                  <c:v>2026</c:v>
                </c:pt>
                <c:pt idx="130">
                  <c:v>2025</c:v>
                </c:pt>
                <c:pt idx="131">
                  <c:v>#N/A</c:v>
                </c:pt>
                <c:pt idx="132">
                  <c:v>#N/A</c:v>
                </c:pt>
                <c:pt idx="133">
                  <c:v>#N/A</c:v>
                </c:pt>
                <c:pt idx="134">
                  <c:v>#N/A</c:v>
                </c:pt>
                <c:pt idx="135">
                  <c:v>#N/A</c:v>
                </c:pt>
                <c:pt idx="136">
                  <c:v>#N/A</c:v>
                </c:pt>
                <c:pt idx="137">
                  <c:v>#N/A</c:v>
                </c:pt>
                <c:pt idx="138">
                  <c:v>2020</c:v>
                </c:pt>
                <c:pt idx="139">
                  <c:v>#N/A</c:v>
                </c:pt>
                <c:pt idx="140">
                  <c:v>#N/A</c:v>
                </c:pt>
                <c:pt idx="141">
                  <c:v>2022</c:v>
                </c:pt>
                <c:pt idx="142">
                  <c:v>#N/A</c:v>
                </c:pt>
                <c:pt idx="143">
                  <c:v>#N/A</c:v>
                </c:pt>
                <c:pt idx="144">
                  <c:v>2023</c:v>
                </c:pt>
                <c:pt idx="145">
                  <c:v>2023</c:v>
                </c:pt>
                <c:pt idx="146">
                  <c:v>#N/A</c:v>
                </c:pt>
                <c:pt idx="147">
                  <c:v>2023</c:v>
                </c:pt>
                <c:pt idx="148">
                  <c:v>2017</c:v>
                </c:pt>
                <c:pt idx="149">
                  <c:v>#N/A</c:v>
                </c:pt>
                <c:pt idx="150">
                  <c:v>#N/A</c:v>
                </c:pt>
                <c:pt idx="151">
                  <c:v>#N/A</c:v>
                </c:pt>
                <c:pt idx="152">
                  <c:v>#N/A</c:v>
                </c:pt>
                <c:pt idx="153">
                  <c:v>#N/A</c:v>
                </c:pt>
                <c:pt idx="154">
                  <c:v>#N/A</c:v>
                </c:pt>
                <c:pt idx="155">
                  <c:v>#N/A</c:v>
                </c:pt>
                <c:pt idx="156">
                  <c:v>2017</c:v>
                </c:pt>
                <c:pt idx="157">
                  <c:v>#N/A</c:v>
                </c:pt>
                <c:pt idx="158">
                  <c:v>#N/A</c:v>
                </c:pt>
                <c:pt idx="159">
                  <c:v>#N/A</c:v>
                </c:pt>
                <c:pt idx="160">
                  <c:v>#N/A</c:v>
                </c:pt>
                <c:pt idx="161">
                  <c:v>2022</c:v>
                </c:pt>
                <c:pt idx="162">
                  <c:v>#N/A</c:v>
                </c:pt>
                <c:pt idx="163">
                  <c:v>#N/A</c:v>
                </c:pt>
                <c:pt idx="164">
                  <c:v>#N/A</c:v>
                </c:pt>
                <c:pt idx="165">
                  <c:v>#N/A</c:v>
                </c:pt>
                <c:pt idx="166">
                  <c:v>2026</c:v>
                </c:pt>
                <c:pt idx="167">
                  <c:v>2020</c:v>
                </c:pt>
                <c:pt idx="168">
                  <c:v>#N/A</c:v>
                </c:pt>
                <c:pt idx="169">
                  <c:v>2023</c:v>
                </c:pt>
                <c:pt idx="170">
                  <c:v>2019</c:v>
                </c:pt>
                <c:pt idx="171">
                  <c:v>2026</c:v>
                </c:pt>
                <c:pt idx="172">
                  <c:v>2025</c:v>
                </c:pt>
                <c:pt idx="173">
                  <c:v>#N/A</c:v>
                </c:pt>
                <c:pt idx="174">
                  <c:v>#N/A</c:v>
                </c:pt>
                <c:pt idx="175">
                  <c:v>2022</c:v>
                </c:pt>
                <c:pt idx="176">
                  <c:v>2018</c:v>
                </c:pt>
                <c:pt idx="177">
                  <c:v>2020</c:v>
                </c:pt>
                <c:pt idx="178">
                  <c:v>#N/A</c:v>
                </c:pt>
                <c:pt idx="179">
                  <c:v>#N/A</c:v>
                </c:pt>
                <c:pt idx="180">
                  <c:v>2025</c:v>
                </c:pt>
                <c:pt idx="181">
                  <c:v>2025</c:v>
                </c:pt>
                <c:pt idx="182">
                  <c:v>2023</c:v>
                </c:pt>
                <c:pt idx="183">
                  <c:v>2016</c:v>
                </c:pt>
                <c:pt idx="184">
                  <c:v>#N/A</c:v>
                </c:pt>
                <c:pt idx="185">
                  <c:v>2014</c:v>
                </c:pt>
                <c:pt idx="186">
                  <c:v>#N/A</c:v>
                </c:pt>
                <c:pt idx="187">
                  <c:v>#N/A</c:v>
                </c:pt>
                <c:pt idx="188">
                  <c:v>#N/A</c:v>
                </c:pt>
                <c:pt idx="189">
                  <c:v>2014</c:v>
                </c:pt>
                <c:pt idx="190">
                  <c:v>2026</c:v>
                </c:pt>
                <c:pt idx="191">
                  <c:v>2024</c:v>
                </c:pt>
                <c:pt idx="192">
                  <c:v>#N/A</c:v>
                </c:pt>
                <c:pt idx="193">
                  <c:v>#N/A</c:v>
                </c:pt>
                <c:pt idx="194">
                  <c:v>2012</c:v>
                </c:pt>
                <c:pt idx="195">
                  <c:v>#N/A</c:v>
                </c:pt>
                <c:pt idx="196">
                  <c:v>#N/A</c:v>
                </c:pt>
                <c:pt idx="197">
                  <c:v>#N/A</c:v>
                </c:pt>
                <c:pt idx="198">
                  <c:v>#N/A</c:v>
                </c:pt>
                <c:pt idx="199">
                  <c:v>#N/A</c:v>
                </c:pt>
                <c:pt idx="200">
                  <c:v>2025</c:v>
                </c:pt>
                <c:pt idx="201">
                  <c:v>#N/A</c:v>
                </c:pt>
                <c:pt idx="202">
                  <c:v>2021</c:v>
                </c:pt>
                <c:pt idx="203">
                  <c:v>2019</c:v>
                </c:pt>
                <c:pt idx="204">
                  <c:v>1996</c:v>
                </c:pt>
                <c:pt idx="205">
                  <c:v>#N/A</c:v>
                </c:pt>
                <c:pt idx="206">
                  <c:v>#N/A</c:v>
                </c:pt>
                <c:pt idx="207">
                  <c:v>#N/A</c:v>
                </c:pt>
                <c:pt idx="208">
                  <c:v>#N/A</c:v>
                </c:pt>
                <c:pt idx="209">
                  <c:v>#N/A</c:v>
                </c:pt>
                <c:pt idx="210">
                  <c:v>#N/A</c:v>
                </c:pt>
                <c:pt idx="211">
                  <c:v>#N/A</c:v>
                </c:pt>
                <c:pt idx="212">
                  <c:v>#N/A</c:v>
                </c:pt>
                <c:pt idx="213">
                  <c:v>#N/A</c:v>
                </c:pt>
                <c:pt idx="214">
                  <c:v>#N/A</c:v>
                </c:pt>
                <c:pt idx="215">
                  <c:v>#N/A</c:v>
                </c:pt>
                <c:pt idx="216">
                  <c:v>2021</c:v>
                </c:pt>
                <c:pt idx="217">
                  <c:v>#N/A</c:v>
                </c:pt>
                <c:pt idx="218">
                  <c:v>2023</c:v>
                </c:pt>
                <c:pt idx="219">
                  <c:v>2026</c:v>
                </c:pt>
                <c:pt idx="220">
                  <c:v>#N/A</c:v>
                </c:pt>
                <c:pt idx="221">
                  <c:v>#N/A</c:v>
                </c:pt>
                <c:pt idx="222">
                  <c:v>#N/A</c:v>
                </c:pt>
                <c:pt idx="223">
                  <c:v>#N/A</c:v>
                </c:pt>
                <c:pt idx="224">
                  <c:v>#N/A</c:v>
                </c:pt>
                <c:pt idx="225">
                  <c:v>2026</c:v>
                </c:pt>
                <c:pt idx="226">
                  <c:v>2013</c:v>
                </c:pt>
                <c:pt idx="227">
                  <c:v>2014</c:v>
                </c:pt>
                <c:pt idx="228">
                  <c:v>#N/A</c:v>
                </c:pt>
                <c:pt idx="229">
                  <c:v>#N/A</c:v>
                </c:pt>
                <c:pt idx="230">
                  <c:v>2023</c:v>
                </c:pt>
                <c:pt idx="231">
                  <c:v>2015</c:v>
                </c:pt>
                <c:pt idx="232">
                  <c:v>#N/A</c:v>
                </c:pt>
                <c:pt idx="233">
                  <c:v>#N/A</c:v>
                </c:pt>
                <c:pt idx="234">
                  <c:v>#N/A</c:v>
                </c:pt>
                <c:pt idx="235">
                  <c:v>#N/A</c:v>
                </c:pt>
                <c:pt idx="236">
                  <c:v>#N/A</c:v>
                </c:pt>
                <c:pt idx="237">
                  <c:v>#N/A</c:v>
                </c:pt>
                <c:pt idx="238">
                  <c:v>2020</c:v>
                </c:pt>
                <c:pt idx="239">
                  <c:v>#N/A</c:v>
                </c:pt>
                <c:pt idx="240">
                  <c:v>2026</c:v>
                </c:pt>
                <c:pt idx="241">
                  <c:v>#N/A</c:v>
                </c:pt>
                <c:pt idx="242">
                  <c:v>#N/A</c:v>
                </c:pt>
                <c:pt idx="243">
                  <c:v>#N/A</c:v>
                </c:pt>
                <c:pt idx="244">
                  <c:v>#N/A</c:v>
                </c:pt>
                <c:pt idx="245">
                  <c:v>#N/A</c:v>
                </c:pt>
                <c:pt idx="246">
                  <c:v>#N/A</c:v>
                </c:pt>
                <c:pt idx="247">
                  <c:v>1993</c:v>
                </c:pt>
                <c:pt idx="248">
                  <c:v>#N/A</c:v>
                </c:pt>
                <c:pt idx="249">
                  <c:v>#N/A</c:v>
                </c:pt>
                <c:pt idx="250">
                  <c:v>#N/A</c:v>
                </c:pt>
                <c:pt idx="251">
                  <c:v>#N/A</c:v>
                </c:pt>
                <c:pt idx="252">
                  <c:v>2024</c:v>
                </c:pt>
                <c:pt idx="253">
                  <c:v>#N/A</c:v>
                </c:pt>
                <c:pt idx="254">
                  <c:v>2018</c:v>
                </c:pt>
                <c:pt idx="255">
                  <c:v>2025</c:v>
                </c:pt>
                <c:pt idx="256">
                  <c:v>#N/A</c:v>
                </c:pt>
                <c:pt idx="257">
                  <c:v>#N/A</c:v>
                </c:pt>
                <c:pt idx="258">
                  <c:v>2025</c:v>
                </c:pt>
                <c:pt idx="259">
                  <c:v>2013</c:v>
                </c:pt>
                <c:pt idx="260">
                  <c:v>2023</c:v>
                </c:pt>
                <c:pt idx="261">
                  <c:v>2023</c:v>
                </c:pt>
                <c:pt idx="262">
                  <c:v>#N/A</c:v>
                </c:pt>
                <c:pt idx="263">
                  <c:v>#N/A</c:v>
                </c:pt>
                <c:pt idx="264">
                  <c:v>2022</c:v>
                </c:pt>
                <c:pt idx="265">
                  <c:v>#N/A</c:v>
                </c:pt>
                <c:pt idx="266">
                  <c:v>#N/A</c:v>
                </c:pt>
                <c:pt idx="267">
                  <c:v>2025</c:v>
                </c:pt>
                <c:pt idx="268">
                  <c:v>2016</c:v>
                </c:pt>
                <c:pt idx="269">
                  <c:v>#N/A</c:v>
                </c:pt>
                <c:pt idx="270">
                  <c:v>#N/A</c:v>
                </c:pt>
                <c:pt idx="271">
                  <c:v>#N/A</c:v>
                </c:pt>
                <c:pt idx="272">
                  <c:v>#N/A</c:v>
                </c:pt>
                <c:pt idx="273">
                  <c:v>2026</c:v>
                </c:pt>
                <c:pt idx="274">
                  <c:v>2023</c:v>
                </c:pt>
                <c:pt idx="275">
                  <c:v>2020</c:v>
                </c:pt>
                <c:pt idx="276">
                  <c:v>#N/A</c:v>
                </c:pt>
                <c:pt idx="277">
                  <c:v>#N/A</c:v>
                </c:pt>
                <c:pt idx="278">
                  <c:v>#N/A</c:v>
                </c:pt>
                <c:pt idx="279">
                  <c:v>#N/A</c:v>
                </c:pt>
                <c:pt idx="280">
                  <c:v>#N/A</c:v>
                </c:pt>
                <c:pt idx="281">
                  <c:v>#N/A</c:v>
                </c:pt>
                <c:pt idx="282">
                  <c:v>#N/A</c:v>
                </c:pt>
                <c:pt idx="283">
                  <c:v>2024</c:v>
                </c:pt>
                <c:pt idx="284">
                  <c:v>2022</c:v>
                </c:pt>
                <c:pt idx="285">
                  <c:v>#N/A</c:v>
                </c:pt>
                <c:pt idx="286">
                  <c:v>2017</c:v>
                </c:pt>
                <c:pt idx="287">
                  <c:v>#N/A</c:v>
                </c:pt>
                <c:pt idx="288">
                  <c:v>2024</c:v>
                </c:pt>
                <c:pt idx="289">
                  <c:v>#N/A</c:v>
                </c:pt>
                <c:pt idx="290">
                  <c:v>#N/A</c:v>
                </c:pt>
                <c:pt idx="291">
                  <c:v>#N/A</c:v>
                </c:pt>
                <c:pt idx="292">
                  <c:v>2025</c:v>
                </c:pt>
                <c:pt idx="293">
                  <c:v>#N/A</c:v>
                </c:pt>
                <c:pt idx="294">
                  <c:v>2017</c:v>
                </c:pt>
                <c:pt idx="295">
                  <c:v>2025</c:v>
                </c:pt>
                <c:pt idx="296">
                  <c:v>#N/A</c:v>
                </c:pt>
                <c:pt idx="297">
                  <c:v>#N/A</c:v>
                </c:pt>
                <c:pt idx="298">
                  <c:v>2013</c:v>
                </c:pt>
                <c:pt idx="299">
                  <c:v>2020</c:v>
                </c:pt>
                <c:pt idx="300">
                  <c:v>#N/A</c:v>
                </c:pt>
                <c:pt idx="301">
                  <c:v>#N/A</c:v>
                </c:pt>
                <c:pt idx="302">
                  <c:v>2024</c:v>
                </c:pt>
                <c:pt idx="303">
                  <c:v>#N/A</c:v>
                </c:pt>
                <c:pt idx="304">
                  <c:v>2025</c:v>
                </c:pt>
                <c:pt idx="305">
                  <c:v>2024</c:v>
                </c:pt>
                <c:pt idx="306">
                  <c:v>#N/A</c:v>
                </c:pt>
                <c:pt idx="307">
                  <c:v>#N/A</c:v>
                </c:pt>
                <c:pt idx="308">
                  <c:v>#N/A</c:v>
                </c:pt>
                <c:pt idx="309">
                  <c:v>2024</c:v>
                </c:pt>
                <c:pt idx="310">
                  <c:v>2026</c:v>
                </c:pt>
                <c:pt idx="311">
                  <c:v>2020</c:v>
                </c:pt>
                <c:pt idx="312">
                  <c:v>2023</c:v>
                </c:pt>
                <c:pt idx="313">
                  <c:v>2024</c:v>
                </c:pt>
                <c:pt idx="314">
                  <c:v>#N/A</c:v>
                </c:pt>
                <c:pt idx="315">
                  <c:v>#N/A</c:v>
                </c:pt>
                <c:pt idx="316">
                  <c:v>2024</c:v>
                </c:pt>
                <c:pt idx="317">
                  <c:v>#N/A</c:v>
                </c:pt>
                <c:pt idx="318">
                  <c:v>2023</c:v>
                </c:pt>
                <c:pt idx="319">
                  <c:v>2025</c:v>
                </c:pt>
                <c:pt idx="320">
                  <c:v>2020</c:v>
                </c:pt>
                <c:pt idx="321">
                  <c:v>#N/A</c:v>
                </c:pt>
                <c:pt idx="322">
                  <c:v>2020</c:v>
                </c:pt>
                <c:pt idx="323">
                  <c:v>2022</c:v>
                </c:pt>
                <c:pt idx="324">
                  <c:v>2016</c:v>
                </c:pt>
                <c:pt idx="325">
                  <c:v>2020</c:v>
                </c:pt>
                <c:pt idx="326">
                  <c:v>2023</c:v>
                </c:pt>
                <c:pt idx="327">
                  <c:v>#N/A</c:v>
                </c:pt>
                <c:pt idx="328">
                  <c:v>2025</c:v>
                </c:pt>
                <c:pt idx="329">
                  <c:v>2023</c:v>
                </c:pt>
                <c:pt idx="330">
                  <c:v>#N/A</c:v>
                </c:pt>
                <c:pt idx="331">
                  <c:v>2021</c:v>
                </c:pt>
                <c:pt idx="332">
                  <c:v>2024</c:v>
                </c:pt>
                <c:pt idx="333">
                  <c:v>#N/A</c:v>
                </c:pt>
                <c:pt idx="334">
                  <c:v>#N/A</c:v>
                </c:pt>
                <c:pt idx="335">
                  <c:v>2020</c:v>
                </c:pt>
                <c:pt idx="336">
                  <c:v>2022</c:v>
                </c:pt>
                <c:pt idx="337">
                  <c:v>2025</c:v>
                </c:pt>
                <c:pt idx="338">
                  <c:v>2025</c:v>
                </c:pt>
                <c:pt idx="339">
                  <c:v>#N/A</c:v>
                </c:pt>
                <c:pt idx="340">
                  <c:v>#N/A</c:v>
                </c:pt>
                <c:pt idx="341">
                  <c:v>#N/A</c:v>
                </c:pt>
                <c:pt idx="342">
                  <c:v>2019</c:v>
                </c:pt>
                <c:pt idx="343">
                  <c:v>2024</c:v>
                </c:pt>
                <c:pt idx="344">
                  <c:v>2023</c:v>
                </c:pt>
                <c:pt idx="345">
                  <c:v>#N/A</c:v>
                </c:pt>
                <c:pt idx="346">
                  <c:v>#N/A</c:v>
                </c:pt>
                <c:pt idx="347">
                  <c:v>2026</c:v>
                </c:pt>
                <c:pt idx="348">
                  <c:v>#N/A</c:v>
                </c:pt>
                <c:pt idx="349">
                  <c:v>2025</c:v>
                </c:pt>
                <c:pt idx="350">
                  <c:v>#N/A</c:v>
                </c:pt>
                <c:pt idx="351">
                  <c:v>2017</c:v>
                </c:pt>
                <c:pt idx="352">
                  <c:v>2025</c:v>
                </c:pt>
                <c:pt idx="353">
                  <c:v>2022</c:v>
                </c:pt>
                <c:pt idx="354">
                  <c:v>#N/A</c:v>
                </c:pt>
                <c:pt idx="355">
                  <c:v>2023</c:v>
                </c:pt>
                <c:pt idx="356">
                  <c:v>2017</c:v>
                </c:pt>
                <c:pt idx="357">
                  <c:v>2014</c:v>
                </c:pt>
                <c:pt idx="358">
                  <c:v>2025</c:v>
                </c:pt>
                <c:pt idx="359">
                  <c:v>2026</c:v>
                </c:pt>
                <c:pt idx="360">
                  <c:v>2023</c:v>
                </c:pt>
                <c:pt idx="361">
                  <c:v>#N/A</c:v>
                </c:pt>
                <c:pt idx="362">
                  <c:v>2025</c:v>
                </c:pt>
                <c:pt idx="363">
                  <c:v>2023</c:v>
                </c:pt>
                <c:pt idx="364">
                  <c:v>2018</c:v>
                </c:pt>
                <c:pt idx="365">
                  <c:v>2025</c:v>
                </c:pt>
                <c:pt idx="366">
                  <c:v>#N/A</c:v>
                </c:pt>
                <c:pt idx="367">
                  <c:v>#N/A</c:v>
                </c:pt>
                <c:pt idx="368">
                  <c:v>2023</c:v>
                </c:pt>
                <c:pt idx="369">
                  <c:v>#N/A</c:v>
                </c:pt>
                <c:pt idx="370">
                  <c:v>#N/A</c:v>
                </c:pt>
                <c:pt idx="371">
                  <c:v>#N/A</c:v>
                </c:pt>
                <c:pt idx="372">
                  <c:v>2026</c:v>
                </c:pt>
                <c:pt idx="373">
                  <c:v>#N/A</c:v>
                </c:pt>
                <c:pt idx="374">
                  <c:v>2026</c:v>
                </c:pt>
                <c:pt idx="375">
                  <c:v>#N/A</c:v>
                </c:pt>
                <c:pt idx="376">
                  <c:v>2025</c:v>
                </c:pt>
                <c:pt idx="377">
                  <c:v>#N/A</c:v>
                </c:pt>
                <c:pt idx="378">
                  <c:v>2022</c:v>
                </c:pt>
                <c:pt idx="379">
                  <c:v>2017</c:v>
                </c:pt>
                <c:pt idx="380">
                  <c:v>2016</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2025</c:v>
                </c:pt>
                <c:pt idx="396">
                  <c:v>2018</c:v>
                </c:pt>
                <c:pt idx="397">
                  <c:v>#N/A</c:v>
                </c:pt>
                <c:pt idx="398">
                  <c:v>2023</c:v>
                </c:pt>
                <c:pt idx="399">
                  <c:v>#N/A</c:v>
                </c:pt>
                <c:pt idx="400">
                  <c:v>2025</c:v>
                </c:pt>
                <c:pt idx="401">
                  <c:v>#N/A</c:v>
                </c:pt>
                <c:pt idx="402">
                  <c:v>2023</c:v>
                </c:pt>
                <c:pt idx="403">
                  <c:v>2026</c:v>
                </c:pt>
                <c:pt idx="404">
                  <c:v>#N/A</c:v>
                </c:pt>
                <c:pt idx="405">
                  <c:v>2025</c:v>
                </c:pt>
                <c:pt idx="406">
                  <c:v>#N/A</c:v>
                </c:pt>
                <c:pt idx="407">
                  <c:v>2023</c:v>
                </c:pt>
                <c:pt idx="408">
                  <c:v>#N/A</c:v>
                </c:pt>
                <c:pt idx="409">
                  <c:v>#N/A</c:v>
                </c:pt>
                <c:pt idx="410">
                  <c:v>#N/A</c:v>
                </c:pt>
                <c:pt idx="411">
                  <c:v>#N/A</c:v>
                </c:pt>
                <c:pt idx="412">
                  <c:v>2024</c:v>
                </c:pt>
                <c:pt idx="413">
                  <c:v>#N/A</c:v>
                </c:pt>
                <c:pt idx="414">
                  <c:v>#N/A</c:v>
                </c:pt>
                <c:pt idx="415">
                  <c:v>2013</c:v>
                </c:pt>
                <c:pt idx="416">
                  <c:v>#N/A</c:v>
                </c:pt>
                <c:pt idx="417">
                  <c:v>#N/A</c:v>
                </c:pt>
                <c:pt idx="418">
                  <c:v>2024</c:v>
                </c:pt>
                <c:pt idx="419">
                  <c:v>#N/A</c:v>
                </c:pt>
                <c:pt idx="420">
                  <c:v>#N/A</c:v>
                </c:pt>
                <c:pt idx="421">
                  <c:v>#N/A</c:v>
                </c:pt>
                <c:pt idx="422">
                  <c:v>#N/A</c:v>
                </c:pt>
                <c:pt idx="423">
                  <c:v>2023</c:v>
                </c:pt>
                <c:pt idx="424">
                  <c:v>#N/A</c:v>
                </c:pt>
                <c:pt idx="425">
                  <c:v>#N/A</c:v>
                </c:pt>
                <c:pt idx="426">
                  <c:v>#N/A</c:v>
                </c:pt>
                <c:pt idx="427">
                  <c:v>#N/A</c:v>
                </c:pt>
                <c:pt idx="428">
                  <c:v>#N/A</c:v>
                </c:pt>
                <c:pt idx="429">
                  <c:v>2026</c:v>
                </c:pt>
                <c:pt idx="430">
                  <c:v>#N/A</c:v>
                </c:pt>
                <c:pt idx="431">
                  <c:v>#N/A</c:v>
                </c:pt>
                <c:pt idx="432">
                  <c:v>#N/A</c:v>
                </c:pt>
                <c:pt idx="433">
                  <c:v>2025</c:v>
                </c:pt>
                <c:pt idx="434">
                  <c:v>#N/A</c:v>
                </c:pt>
                <c:pt idx="435">
                  <c:v>#N/A</c:v>
                </c:pt>
                <c:pt idx="436">
                  <c:v>#N/A</c:v>
                </c:pt>
                <c:pt idx="437">
                  <c:v>#N/A</c:v>
                </c:pt>
                <c:pt idx="438">
                  <c:v>2026</c:v>
                </c:pt>
                <c:pt idx="439">
                  <c:v>#N/A</c:v>
                </c:pt>
                <c:pt idx="440">
                  <c:v>2026</c:v>
                </c:pt>
                <c:pt idx="441">
                  <c:v>2019</c:v>
                </c:pt>
                <c:pt idx="442">
                  <c:v>2023</c:v>
                </c:pt>
                <c:pt idx="443">
                  <c:v>2025</c:v>
                </c:pt>
                <c:pt idx="444">
                  <c:v>#N/A</c:v>
                </c:pt>
                <c:pt idx="445">
                  <c:v>2018</c:v>
                </c:pt>
                <c:pt idx="446">
                  <c:v>2025</c:v>
                </c:pt>
                <c:pt idx="447">
                  <c:v>#N/A</c:v>
                </c:pt>
                <c:pt idx="448">
                  <c:v>2025</c:v>
                </c:pt>
                <c:pt idx="449">
                  <c:v>#N/A</c:v>
                </c:pt>
                <c:pt idx="450">
                  <c:v>2025</c:v>
                </c:pt>
                <c:pt idx="451">
                  <c:v>#N/A</c:v>
                </c:pt>
                <c:pt idx="452">
                  <c:v>#N/A</c:v>
                </c:pt>
                <c:pt idx="453">
                  <c:v>#N/A</c:v>
                </c:pt>
                <c:pt idx="454">
                  <c:v>#N/A</c:v>
                </c:pt>
                <c:pt idx="455">
                  <c:v>#N/A</c:v>
                </c:pt>
                <c:pt idx="456">
                  <c:v>2020</c:v>
                </c:pt>
                <c:pt idx="457">
                  <c:v>2021</c:v>
                </c:pt>
                <c:pt idx="458">
                  <c:v>#N/A</c:v>
                </c:pt>
                <c:pt idx="459">
                  <c:v>2025</c:v>
                </c:pt>
                <c:pt idx="460">
                  <c:v>#N/A</c:v>
                </c:pt>
                <c:pt idx="461">
                  <c:v>#N/A</c:v>
                </c:pt>
                <c:pt idx="462">
                  <c:v>#N/A</c:v>
                </c:pt>
                <c:pt idx="463">
                  <c:v>#N/A</c:v>
                </c:pt>
                <c:pt idx="464">
                  <c:v>2023</c:v>
                </c:pt>
                <c:pt idx="465">
                  <c:v>2022</c:v>
                </c:pt>
                <c:pt idx="466">
                  <c:v>#N/A</c:v>
                </c:pt>
                <c:pt idx="467">
                  <c:v>#N/A</c:v>
                </c:pt>
                <c:pt idx="468">
                  <c:v>#N/A</c:v>
                </c:pt>
                <c:pt idx="469">
                  <c:v>#N/A</c:v>
                </c:pt>
                <c:pt idx="470">
                  <c:v>#N/A</c:v>
                </c:pt>
                <c:pt idx="471">
                  <c:v>#N/A</c:v>
                </c:pt>
                <c:pt idx="472">
                  <c:v>#N/A</c:v>
                </c:pt>
                <c:pt idx="473">
                  <c:v>#N/A</c:v>
                </c:pt>
                <c:pt idx="474">
                  <c:v>2025</c:v>
                </c:pt>
                <c:pt idx="475">
                  <c:v>2015</c:v>
                </c:pt>
                <c:pt idx="476">
                  <c:v>#N/A</c:v>
                </c:pt>
                <c:pt idx="477">
                  <c:v>2016</c:v>
                </c:pt>
                <c:pt idx="478">
                  <c:v>2024</c:v>
                </c:pt>
                <c:pt idx="479">
                  <c:v>2018</c:v>
                </c:pt>
                <c:pt idx="480">
                  <c:v>2025</c:v>
                </c:pt>
                <c:pt idx="481">
                  <c:v>#N/A</c:v>
                </c:pt>
                <c:pt idx="482">
                  <c:v>2026</c:v>
                </c:pt>
                <c:pt idx="483">
                  <c:v>#N/A</c:v>
                </c:pt>
                <c:pt idx="484">
                  <c:v>#N/A</c:v>
                </c:pt>
                <c:pt idx="485">
                  <c:v>2025</c:v>
                </c:pt>
                <c:pt idx="486">
                  <c:v>2023</c:v>
                </c:pt>
                <c:pt idx="487">
                  <c:v>2018</c:v>
                </c:pt>
                <c:pt idx="488">
                  <c:v>2022</c:v>
                </c:pt>
                <c:pt idx="489">
                  <c:v>#N/A</c:v>
                </c:pt>
                <c:pt idx="490">
                  <c:v>2023</c:v>
                </c:pt>
                <c:pt idx="491">
                  <c:v>2021</c:v>
                </c:pt>
                <c:pt idx="492">
                  <c:v>#N/A</c:v>
                </c:pt>
                <c:pt idx="493">
                  <c:v>#N/A</c:v>
                </c:pt>
                <c:pt idx="494">
                  <c:v>#N/A</c:v>
                </c:pt>
                <c:pt idx="495">
                  <c:v>2024</c:v>
                </c:pt>
                <c:pt idx="496">
                  <c:v>#N/A</c:v>
                </c:pt>
                <c:pt idx="497">
                  <c:v>2022</c:v>
                </c:pt>
                <c:pt idx="498">
                  <c:v>#N/A</c:v>
                </c:pt>
                <c:pt idx="499">
                  <c:v>2022</c:v>
                </c:pt>
                <c:pt idx="500">
                  <c:v>2024</c:v>
                </c:pt>
                <c:pt idx="501">
                  <c:v>2019</c:v>
                </c:pt>
                <c:pt idx="502">
                  <c:v>2025</c:v>
                </c:pt>
                <c:pt idx="503">
                  <c:v>2022</c:v>
                </c:pt>
                <c:pt idx="504">
                  <c:v>#N/A</c:v>
                </c:pt>
                <c:pt idx="505">
                  <c:v>2025</c:v>
                </c:pt>
                <c:pt idx="506">
                  <c:v>2021</c:v>
                </c:pt>
                <c:pt idx="507">
                  <c:v>2025</c:v>
                </c:pt>
                <c:pt idx="508">
                  <c:v>2024</c:v>
                </c:pt>
                <c:pt idx="509">
                  <c:v>#N/A</c:v>
                </c:pt>
                <c:pt idx="510">
                  <c:v>#N/A</c:v>
                </c:pt>
                <c:pt idx="511">
                  <c:v>2019</c:v>
                </c:pt>
                <c:pt idx="512">
                  <c:v>2022</c:v>
                </c:pt>
                <c:pt idx="513">
                  <c:v>2025</c:v>
                </c:pt>
                <c:pt idx="514">
                  <c:v>2023</c:v>
                </c:pt>
                <c:pt idx="515">
                  <c:v>#N/A</c:v>
                </c:pt>
                <c:pt idx="516">
                  <c:v>2022</c:v>
                </c:pt>
                <c:pt idx="517">
                  <c:v>#N/A</c:v>
                </c:pt>
                <c:pt idx="518">
                  <c:v>2019</c:v>
                </c:pt>
                <c:pt idx="519">
                  <c:v>#N/A</c:v>
                </c:pt>
                <c:pt idx="520">
                  <c:v>#N/A</c:v>
                </c:pt>
                <c:pt idx="521">
                  <c:v>2015</c:v>
                </c:pt>
                <c:pt idx="522">
                  <c:v>2025</c:v>
                </c:pt>
                <c:pt idx="523">
                  <c:v>#N/A</c:v>
                </c:pt>
                <c:pt idx="524">
                  <c:v>2023</c:v>
                </c:pt>
                <c:pt idx="525">
                  <c:v>#N/A</c:v>
                </c:pt>
                <c:pt idx="526">
                  <c:v>2018</c:v>
                </c:pt>
                <c:pt idx="527">
                  <c:v>2026</c:v>
                </c:pt>
                <c:pt idx="528">
                  <c:v>2025</c:v>
                </c:pt>
                <c:pt idx="529">
                  <c:v>2026</c:v>
                </c:pt>
                <c:pt idx="530">
                  <c:v>#N/A</c:v>
                </c:pt>
                <c:pt idx="531">
                  <c:v>#N/A</c:v>
                </c:pt>
                <c:pt idx="532">
                  <c:v>#N/A</c:v>
                </c:pt>
                <c:pt idx="533">
                  <c:v>#N/A</c:v>
                </c:pt>
                <c:pt idx="534">
                  <c:v>#N/A</c:v>
                </c:pt>
                <c:pt idx="535">
                  <c:v>2020</c:v>
                </c:pt>
                <c:pt idx="536">
                  <c:v>#N/A</c:v>
                </c:pt>
                <c:pt idx="537">
                  <c:v>#N/A</c:v>
                </c:pt>
                <c:pt idx="538">
                  <c:v>#N/A</c:v>
                </c:pt>
                <c:pt idx="539">
                  <c:v>2023</c:v>
                </c:pt>
                <c:pt idx="540">
                  <c:v>2014</c:v>
                </c:pt>
                <c:pt idx="541">
                  <c:v>#N/A</c:v>
                </c:pt>
                <c:pt idx="542">
                  <c:v>#N/A</c:v>
                </c:pt>
                <c:pt idx="543">
                  <c:v>#N/A</c:v>
                </c:pt>
                <c:pt idx="544">
                  <c:v>#N/A</c:v>
                </c:pt>
                <c:pt idx="545">
                  <c:v>2023</c:v>
                </c:pt>
                <c:pt idx="546">
                  <c:v>2026</c:v>
                </c:pt>
                <c:pt idx="547">
                  <c:v>#N/A</c:v>
                </c:pt>
                <c:pt idx="548">
                  <c:v>2021</c:v>
                </c:pt>
                <c:pt idx="549">
                  <c:v>#N/A</c:v>
                </c:pt>
                <c:pt idx="550">
                  <c:v>2026</c:v>
                </c:pt>
                <c:pt idx="551">
                  <c:v>#N/A</c:v>
                </c:pt>
                <c:pt idx="552">
                  <c:v>#N/A</c:v>
                </c:pt>
                <c:pt idx="553">
                  <c:v>2026</c:v>
                </c:pt>
                <c:pt idx="554">
                  <c:v>#N/A</c:v>
                </c:pt>
                <c:pt idx="555">
                  <c:v>#N/A</c:v>
                </c:pt>
                <c:pt idx="556">
                  <c:v>2026</c:v>
                </c:pt>
                <c:pt idx="557">
                  <c:v>2024</c:v>
                </c:pt>
                <c:pt idx="558">
                  <c:v>2023</c:v>
                </c:pt>
                <c:pt idx="559">
                  <c:v>#N/A</c:v>
                </c:pt>
                <c:pt idx="560">
                  <c:v>#N/A</c:v>
                </c:pt>
                <c:pt idx="561">
                  <c:v>#N/A</c:v>
                </c:pt>
                <c:pt idx="562">
                  <c:v>#N/A</c:v>
                </c:pt>
                <c:pt idx="563">
                  <c:v>#N/A</c:v>
                </c:pt>
                <c:pt idx="564">
                  <c:v>#N/A</c:v>
                </c:pt>
                <c:pt idx="565">
                  <c:v>#N/A</c:v>
                </c:pt>
                <c:pt idx="566">
                  <c:v>2024</c:v>
                </c:pt>
                <c:pt idx="567">
                  <c:v>#N/A</c:v>
                </c:pt>
                <c:pt idx="568">
                  <c:v>#N/A</c:v>
                </c:pt>
                <c:pt idx="569">
                  <c:v>#N/A</c:v>
                </c:pt>
                <c:pt idx="570">
                  <c:v>#N/A</c:v>
                </c:pt>
                <c:pt idx="571">
                  <c:v>#N/A</c:v>
                </c:pt>
                <c:pt idx="572">
                  <c:v>#N/A</c:v>
                </c:pt>
                <c:pt idx="573">
                  <c:v>#N/A</c:v>
                </c:pt>
                <c:pt idx="574">
                  <c:v>#N/A</c:v>
                </c:pt>
                <c:pt idx="575">
                  <c:v>#N/A</c:v>
                </c:pt>
                <c:pt idx="576">
                  <c:v>2026</c:v>
                </c:pt>
                <c:pt idx="577">
                  <c:v>#N/A</c:v>
                </c:pt>
                <c:pt idx="578">
                  <c:v>#N/A</c:v>
                </c:pt>
                <c:pt idx="579">
                  <c:v>#N/A</c:v>
                </c:pt>
                <c:pt idx="580">
                  <c:v>#N/A</c:v>
                </c:pt>
                <c:pt idx="581">
                  <c:v>2024</c:v>
                </c:pt>
                <c:pt idx="582">
                  <c:v>#N/A</c:v>
                </c:pt>
                <c:pt idx="583">
                  <c:v>2022</c:v>
                </c:pt>
                <c:pt idx="584">
                  <c:v>#N/A</c:v>
                </c:pt>
                <c:pt idx="585">
                  <c:v>#N/A</c:v>
                </c:pt>
                <c:pt idx="586">
                  <c:v>#N/A</c:v>
                </c:pt>
                <c:pt idx="587">
                  <c:v>2024</c:v>
                </c:pt>
                <c:pt idx="588">
                  <c:v>#N/A</c:v>
                </c:pt>
                <c:pt idx="589">
                  <c:v>#N/A</c:v>
                </c:pt>
                <c:pt idx="590">
                  <c:v>#N/A</c:v>
                </c:pt>
                <c:pt idx="591">
                  <c:v>2024</c:v>
                </c:pt>
                <c:pt idx="592">
                  <c:v>2015</c:v>
                </c:pt>
                <c:pt idx="593">
                  <c:v>#N/A</c:v>
                </c:pt>
                <c:pt idx="594">
                  <c:v>#N/A</c:v>
                </c:pt>
                <c:pt idx="595">
                  <c:v>2023</c:v>
                </c:pt>
                <c:pt idx="596">
                  <c:v>2025</c:v>
                </c:pt>
                <c:pt idx="597">
                  <c:v>2024</c:v>
                </c:pt>
                <c:pt idx="598">
                  <c:v>2010</c:v>
                </c:pt>
                <c:pt idx="599">
                  <c:v>2012</c:v>
                </c:pt>
                <c:pt idx="600">
                  <c:v>2025</c:v>
                </c:pt>
                <c:pt idx="601">
                  <c:v>#N/A</c:v>
                </c:pt>
                <c:pt idx="602">
                  <c:v>2022</c:v>
                </c:pt>
                <c:pt idx="603">
                  <c:v>#N/A</c:v>
                </c:pt>
                <c:pt idx="604">
                  <c:v>2023</c:v>
                </c:pt>
                <c:pt idx="605">
                  <c:v>2023</c:v>
                </c:pt>
                <c:pt idx="606">
                  <c:v>2021</c:v>
                </c:pt>
                <c:pt idx="607">
                  <c:v>2025</c:v>
                </c:pt>
                <c:pt idx="608">
                  <c:v>#N/A</c:v>
                </c:pt>
                <c:pt idx="609">
                  <c:v>#N/A</c:v>
                </c:pt>
                <c:pt idx="610">
                  <c:v>#N/A</c:v>
                </c:pt>
                <c:pt idx="611">
                  <c:v>2026</c:v>
                </c:pt>
                <c:pt idx="612">
                  <c:v>#N/A</c:v>
                </c:pt>
                <c:pt idx="613">
                  <c:v>#N/A</c:v>
                </c:pt>
                <c:pt idx="614">
                  <c:v>#N/A</c:v>
                </c:pt>
                <c:pt idx="615">
                  <c:v>2017</c:v>
                </c:pt>
                <c:pt idx="616">
                  <c:v>2013</c:v>
                </c:pt>
                <c:pt idx="617">
                  <c:v>2020</c:v>
                </c:pt>
                <c:pt idx="618">
                  <c:v>2023</c:v>
                </c:pt>
                <c:pt idx="619">
                  <c:v>#N/A</c:v>
                </c:pt>
                <c:pt idx="620">
                  <c:v>2020</c:v>
                </c:pt>
                <c:pt idx="621">
                  <c:v>2024</c:v>
                </c:pt>
                <c:pt idx="622">
                  <c:v>#N/A</c:v>
                </c:pt>
                <c:pt idx="623">
                  <c:v>#N/A</c:v>
                </c:pt>
                <c:pt idx="624">
                  <c:v>#N/A</c:v>
                </c:pt>
                <c:pt idx="625">
                  <c:v>2026</c:v>
                </c:pt>
                <c:pt idx="626">
                  <c:v>2024</c:v>
                </c:pt>
                <c:pt idx="627">
                  <c:v>#N/A</c:v>
                </c:pt>
                <c:pt idx="628">
                  <c:v>2021</c:v>
                </c:pt>
                <c:pt idx="629">
                  <c:v>2013</c:v>
                </c:pt>
                <c:pt idx="630">
                  <c:v>2020</c:v>
                </c:pt>
                <c:pt idx="631">
                  <c:v>#N/A</c:v>
                </c:pt>
                <c:pt idx="632">
                  <c:v>#N/A</c:v>
                </c:pt>
                <c:pt idx="633">
                  <c:v>#N/A</c:v>
                </c:pt>
                <c:pt idx="634">
                  <c:v>#N/A</c:v>
                </c:pt>
                <c:pt idx="635">
                  <c:v>2022</c:v>
                </c:pt>
                <c:pt idx="636">
                  <c:v>#N/A</c:v>
                </c:pt>
                <c:pt idx="637">
                  <c:v>#N/A</c:v>
                </c:pt>
                <c:pt idx="638">
                  <c:v>#N/A</c:v>
                </c:pt>
                <c:pt idx="639">
                  <c:v>#N/A</c:v>
                </c:pt>
                <c:pt idx="640">
                  <c:v>#N/A</c:v>
                </c:pt>
                <c:pt idx="641">
                  <c:v>#N/A</c:v>
                </c:pt>
                <c:pt idx="642">
                  <c:v>#N/A</c:v>
                </c:pt>
                <c:pt idx="643">
                  <c:v>#N/A</c:v>
                </c:pt>
                <c:pt idx="644">
                  <c:v>#N/A</c:v>
                </c:pt>
                <c:pt idx="645">
                  <c:v>2021</c:v>
                </c:pt>
                <c:pt idx="646">
                  <c:v>#N/A</c:v>
                </c:pt>
                <c:pt idx="647">
                  <c:v>#N/A</c:v>
                </c:pt>
                <c:pt idx="648">
                  <c:v>#N/A</c:v>
                </c:pt>
                <c:pt idx="649">
                  <c:v>#N/A</c:v>
                </c:pt>
                <c:pt idx="650">
                  <c:v>2022</c:v>
                </c:pt>
                <c:pt idx="651">
                  <c:v>#N/A</c:v>
                </c:pt>
                <c:pt idx="652">
                  <c:v>2024</c:v>
                </c:pt>
                <c:pt idx="653">
                  <c:v>2022</c:v>
                </c:pt>
                <c:pt idx="654">
                  <c:v>2023</c:v>
                </c:pt>
                <c:pt idx="655">
                  <c:v>2020</c:v>
                </c:pt>
                <c:pt idx="656">
                  <c:v>2023</c:v>
                </c:pt>
                <c:pt idx="657">
                  <c:v>2023</c:v>
                </c:pt>
                <c:pt idx="658">
                  <c:v>#N/A</c:v>
                </c:pt>
                <c:pt idx="659">
                  <c:v>2025</c:v>
                </c:pt>
                <c:pt idx="660">
                  <c:v>2022</c:v>
                </c:pt>
                <c:pt idx="661">
                  <c:v>2026</c:v>
                </c:pt>
                <c:pt idx="662">
                  <c:v>#N/A</c:v>
                </c:pt>
                <c:pt idx="663">
                  <c:v>#N/A</c:v>
                </c:pt>
                <c:pt idx="664">
                  <c:v>2025</c:v>
                </c:pt>
                <c:pt idx="665">
                  <c:v>2023</c:v>
                </c:pt>
                <c:pt idx="666">
                  <c:v>2025</c:v>
                </c:pt>
                <c:pt idx="667">
                  <c:v>#N/A</c:v>
                </c:pt>
                <c:pt idx="668">
                  <c:v>2022</c:v>
                </c:pt>
                <c:pt idx="669">
                  <c:v>#N/A</c:v>
                </c:pt>
                <c:pt idx="670">
                  <c:v>#N/A</c:v>
                </c:pt>
                <c:pt idx="671">
                  <c:v>#N/A</c:v>
                </c:pt>
                <c:pt idx="672">
                  <c:v>#N/A</c:v>
                </c:pt>
                <c:pt idx="673">
                  <c:v>#N/A</c:v>
                </c:pt>
                <c:pt idx="674">
                  <c:v>#N/A</c:v>
                </c:pt>
                <c:pt idx="675">
                  <c:v>#N/A</c:v>
                </c:pt>
                <c:pt idx="676">
                  <c:v>#N/A</c:v>
                </c:pt>
                <c:pt idx="677">
                  <c:v>#N/A</c:v>
                </c:pt>
                <c:pt idx="678">
                  <c:v>2010</c:v>
                </c:pt>
                <c:pt idx="679">
                  <c:v>#N/A</c:v>
                </c:pt>
                <c:pt idx="680">
                  <c:v>2022</c:v>
                </c:pt>
                <c:pt idx="681">
                  <c:v>#N/A</c:v>
                </c:pt>
                <c:pt idx="682">
                  <c:v>#N/A</c:v>
                </c:pt>
                <c:pt idx="683">
                  <c:v>#N/A</c:v>
                </c:pt>
                <c:pt idx="684">
                  <c:v>2020</c:v>
                </c:pt>
                <c:pt idx="685">
                  <c:v>2026</c:v>
                </c:pt>
                <c:pt idx="686">
                  <c:v>2014</c:v>
                </c:pt>
                <c:pt idx="687">
                  <c:v>#N/A</c:v>
                </c:pt>
                <c:pt idx="688">
                  <c:v>#N/A</c:v>
                </c:pt>
                <c:pt idx="689">
                  <c:v>2018</c:v>
                </c:pt>
                <c:pt idx="690">
                  <c:v>#N/A</c:v>
                </c:pt>
                <c:pt idx="691">
                  <c:v>#N/A</c:v>
                </c:pt>
                <c:pt idx="692">
                  <c:v>#N/A</c:v>
                </c:pt>
                <c:pt idx="693">
                  <c:v>2024</c:v>
                </c:pt>
                <c:pt idx="694">
                  <c:v>2023</c:v>
                </c:pt>
                <c:pt idx="695">
                  <c:v>#N/A</c:v>
                </c:pt>
                <c:pt idx="696">
                  <c:v>#N/A</c:v>
                </c:pt>
                <c:pt idx="697">
                  <c:v>#N/A</c:v>
                </c:pt>
                <c:pt idx="698">
                  <c:v>2021</c:v>
                </c:pt>
                <c:pt idx="699">
                  <c:v>2025</c:v>
                </c:pt>
                <c:pt idx="700">
                  <c:v>#N/A</c:v>
                </c:pt>
                <c:pt idx="701">
                  <c:v>#N/A</c:v>
                </c:pt>
                <c:pt idx="702">
                  <c:v>#N/A</c:v>
                </c:pt>
                <c:pt idx="703">
                  <c:v>#N/A</c:v>
                </c:pt>
                <c:pt idx="704">
                  <c:v>2022</c:v>
                </c:pt>
                <c:pt idx="705">
                  <c:v>2015</c:v>
                </c:pt>
                <c:pt idx="706">
                  <c:v>2019</c:v>
                </c:pt>
                <c:pt idx="707">
                  <c:v>#N/A</c:v>
                </c:pt>
                <c:pt idx="708">
                  <c:v>#N/A</c:v>
                </c:pt>
                <c:pt idx="709">
                  <c:v>2019</c:v>
                </c:pt>
                <c:pt idx="710">
                  <c:v>2022</c:v>
                </c:pt>
                <c:pt idx="711">
                  <c:v>#N/A</c:v>
                </c:pt>
                <c:pt idx="712">
                  <c:v>#N/A</c:v>
                </c:pt>
                <c:pt idx="713">
                  <c:v>2012</c:v>
                </c:pt>
                <c:pt idx="714">
                  <c:v>2020</c:v>
                </c:pt>
                <c:pt idx="715">
                  <c:v>2008</c:v>
                </c:pt>
                <c:pt idx="716">
                  <c:v>#N/A</c:v>
                </c:pt>
                <c:pt idx="717">
                  <c:v>2022</c:v>
                </c:pt>
                <c:pt idx="718">
                  <c:v>2023</c:v>
                </c:pt>
                <c:pt idx="719">
                  <c:v>2019</c:v>
                </c:pt>
                <c:pt idx="720">
                  <c:v>#N/A</c:v>
                </c:pt>
                <c:pt idx="721">
                  <c:v>2024</c:v>
                </c:pt>
                <c:pt idx="722">
                  <c:v>#N/A</c:v>
                </c:pt>
                <c:pt idx="723">
                  <c:v>2017</c:v>
                </c:pt>
                <c:pt idx="724">
                  <c:v>#N/A</c:v>
                </c:pt>
                <c:pt idx="725">
                  <c:v>2023</c:v>
                </c:pt>
                <c:pt idx="726">
                  <c:v>2025</c:v>
                </c:pt>
                <c:pt idx="727">
                  <c:v>#N/A</c:v>
                </c:pt>
                <c:pt idx="728">
                  <c:v>#N/A</c:v>
                </c:pt>
                <c:pt idx="729">
                  <c:v>2025</c:v>
                </c:pt>
                <c:pt idx="730">
                  <c:v>2026</c:v>
                </c:pt>
                <c:pt idx="731">
                  <c:v>#N/A</c:v>
                </c:pt>
                <c:pt idx="732">
                  <c:v>#N/A</c:v>
                </c:pt>
                <c:pt idx="733">
                  <c:v>2017</c:v>
                </c:pt>
                <c:pt idx="734">
                  <c:v>#N/A</c:v>
                </c:pt>
                <c:pt idx="735">
                  <c:v>2019</c:v>
                </c:pt>
                <c:pt idx="736">
                  <c:v>2024</c:v>
                </c:pt>
                <c:pt idx="737">
                  <c:v>2017</c:v>
                </c:pt>
                <c:pt idx="738">
                  <c:v>#N/A</c:v>
                </c:pt>
                <c:pt idx="739">
                  <c:v>#N/A</c:v>
                </c:pt>
                <c:pt idx="740">
                  <c:v>#N/A</c:v>
                </c:pt>
                <c:pt idx="741">
                  <c:v>#N/A</c:v>
                </c:pt>
                <c:pt idx="742">
                  <c:v>2013</c:v>
                </c:pt>
                <c:pt idx="743">
                  <c:v>#N/A</c:v>
                </c:pt>
                <c:pt idx="744">
                  <c:v>2025</c:v>
                </c:pt>
                <c:pt idx="745">
                  <c:v>2023</c:v>
                </c:pt>
                <c:pt idx="746">
                  <c:v>2016</c:v>
                </c:pt>
                <c:pt idx="747">
                  <c:v>#N/A</c:v>
                </c:pt>
                <c:pt idx="748">
                  <c:v>2021</c:v>
                </c:pt>
                <c:pt idx="749">
                  <c:v>2025</c:v>
                </c:pt>
                <c:pt idx="750">
                  <c:v>#N/A</c:v>
                </c:pt>
                <c:pt idx="751">
                  <c:v>2022</c:v>
                </c:pt>
                <c:pt idx="752">
                  <c:v>2025</c:v>
                </c:pt>
                <c:pt idx="753">
                  <c:v>2021</c:v>
                </c:pt>
                <c:pt idx="754">
                  <c:v>2018</c:v>
                </c:pt>
                <c:pt idx="755">
                  <c:v>#N/A</c:v>
                </c:pt>
                <c:pt idx="756">
                  <c:v>#N/A</c:v>
                </c:pt>
                <c:pt idx="757">
                  <c:v>2023</c:v>
                </c:pt>
                <c:pt idx="758">
                  <c:v>#N/A</c:v>
                </c:pt>
                <c:pt idx="759">
                  <c:v>#N/A</c:v>
                </c:pt>
                <c:pt idx="760">
                  <c:v>#N/A</c:v>
                </c:pt>
                <c:pt idx="761">
                  <c:v>#N/A</c:v>
                </c:pt>
                <c:pt idx="762">
                  <c:v>#N/A</c:v>
                </c:pt>
                <c:pt idx="763">
                  <c:v>2023</c:v>
                </c:pt>
                <c:pt idx="764">
                  <c:v>#N/A</c:v>
                </c:pt>
                <c:pt idx="765">
                  <c:v>2026</c:v>
                </c:pt>
                <c:pt idx="766">
                  <c:v>2024</c:v>
                </c:pt>
                <c:pt idx="767">
                  <c:v>2024</c:v>
                </c:pt>
                <c:pt idx="768">
                  <c:v>#N/A</c:v>
                </c:pt>
                <c:pt idx="769">
                  <c:v>2026</c:v>
                </c:pt>
                <c:pt idx="770">
                  <c:v>2024</c:v>
                </c:pt>
                <c:pt idx="771">
                  <c:v>#N/A</c:v>
                </c:pt>
                <c:pt idx="772">
                  <c:v>2011</c:v>
                </c:pt>
                <c:pt idx="773">
                  <c:v>2014</c:v>
                </c:pt>
                <c:pt idx="774">
                  <c:v>#N/A</c:v>
                </c:pt>
                <c:pt idx="775">
                  <c:v>#N/A</c:v>
                </c:pt>
                <c:pt idx="776">
                  <c:v>#N/A</c:v>
                </c:pt>
                <c:pt idx="777">
                  <c:v>2016</c:v>
                </c:pt>
                <c:pt idx="778">
                  <c:v>#N/A</c:v>
                </c:pt>
                <c:pt idx="779">
                  <c:v>#N/A</c:v>
                </c:pt>
                <c:pt idx="780">
                  <c:v>#N/A</c:v>
                </c:pt>
                <c:pt idx="781">
                  <c:v>#N/A</c:v>
                </c:pt>
                <c:pt idx="782">
                  <c:v>2023</c:v>
                </c:pt>
                <c:pt idx="783">
                  <c:v>#N/A</c:v>
                </c:pt>
                <c:pt idx="784">
                  <c:v>#N/A</c:v>
                </c:pt>
                <c:pt idx="785">
                  <c:v>#N/A</c:v>
                </c:pt>
                <c:pt idx="786">
                  <c:v>2026</c:v>
                </c:pt>
                <c:pt idx="787">
                  <c:v>#N/A</c:v>
                </c:pt>
                <c:pt idx="788">
                  <c:v>#N/A</c:v>
                </c:pt>
                <c:pt idx="789">
                  <c:v>2024</c:v>
                </c:pt>
                <c:pt idx="790">
                  <c:v>#N/A</c:v>
                </c:pt>
                <c:pt idx="791">
                  <c:v>2024</c:v>
                </c:pt>
                <c:pt idx="792">
                  <c:v>#N/A</c:v>
                </c:pt>
                <c:pt idx="793">
                  <c:v>2022</c:v>
                </c:pt>
                <c:pt idx="794">
                  <c:v>2018</c:v>
                </c:pt>
                <c:pt idx="795">
                  <c:v>#N/A</c:v>
                </c:pt>
                <c:pt idx="796">
                  <c:v>#N/A</c:v>
                </c:pt>
                <c:pt idx="797">
                  <c:v>#N/A</c:v>
                </c:pt>
                <c:pt idx="798">
                  <c:v>2023</c:v>
                </c:pt>
                <c:pt idx="799">
                  <c:v>2023</c:v>
                </c:pt>
                <c:pt idx="800">
                  <c:v>#N/A</c:v>
                </c:pt>
                <c:pt idx="801">
                  <c:v>#N/A</c:v>
                </c:pt>
                <c:pt idx="802">
                  <c:v>2022</c:v>
                </c:pt>
                <c:pt idx="803">
                  <c:v>#N/A</c:v>
                </c:pt>
                <c:pt idx="804">
                  <c:v>1991</c:v>
                </c:pt>
                <c:pt idx="805">
                  <c:v>2019</c:v>
                </c:pt>
                <c:pt idx="806">
                  <c:v>2022</c:v>
                </c:pt>
                <c:pt idx="807">
                  <c:v>#N/A</c:v>
                </c:pt>
                <c:pt idx="808">
                  <c:v>#N/A</c:v>
                </c:pt>
                <c:pt idx="809">
                  <c:v>#N/A</c:v>
                </c:pt>
                <c:pt idx="810">
                  <c:v>#N/A</c:v>
                </c:pt>
                <c:pt idx="811">
                  <c:v>#N/A</c:v>
                </c:pt>
                <c:pt idx="812">
                  <c:v>#N/A</c:v>
                </c:pt>
                <c:pt idx="813">
                  <c:v>#N/A</c:v>
                </c:pt>
                <c:pt idx="814">
                  <c:v>#N/A</c:v>
                </c:pt>
                <c:pt idx="815">
                  <c:v>#N/A</c:v>
                </c:pt>
                <c:pt idx="816">
                  <c:v>#N/A</c:v>
                </c:pt>
                <c:pt idx="817">
                  <c:v>2017</c:v>
                </c:pt>
                <c:pt idx="818">
                  <c:v>2014</c:v>
                </c:pt>
                <c:pt idx="819">
                  <c:v>#N/A</c:v>
                </c:pt>
                <c:pt idx="820">
                  <c:v>#N/A</c:v>
                </c:pt>
                <c:pt idx="821">
                  <c:v>#N/A</c:v>
                </c:pt>
                <c:pt idx="822">
                  <c:v>#N/A</c:v>
                </c:pt>
                <c:pt idx="823">
                  <c:v>2017</c:v>
                </c:pt>
                <c:pt idx="824">
                  <c:v>#N/A</c:v>
                </c:pt>
                <c:pt idx="825">
                  <c:v>2025</c:v>
                </c:pt>
                <c:pt idx="826">
                  <c:v>#N/A</c:v>
                </c:pt>
                <c:pt idx="827">
                  <c:v>#N/A</c:v>
                </c:pt>
                <c:pt idx="828">
                  <c:v>#N/A</c:v>
                </c:pt>
                <c:pt idx="829">
                  <c:v>#N/A</c:v>
                </c:pt>
                <c:pt idx="830">
                  <c:v>2024</c:v>
                </c:pt>
                <c:pt idx="831">
                  <c:v>2019</c:v>
                </c:pt>
                <c:pt idx="832">
                  <c:v>2025</c:v>
                </c:pt>
                <c:pt idx="833">
                  <c:v>2017</c:v>
                </c:pt>
                <c:pt idx="834">
                  <c:v>2022</c:v>
                </c:pt>
                <c:pt idx="835">
                  <c:v>#N/A</c:v>
                </c:pt>
                <c:pt idx="836">
                  <c:v>2018</c:v>
                </c:pt>
                <c:pt idx="837">
                  <c:v>#N/A</c:v>
                </c:pt>
                <c:pt idx="838">
                  <c:v>2023</c:v>
                </c:pt>
                <c:pt idx="839">
                  <c:v>2021</c:v>
                </c:pt>
                <c:pt idx="840">
                  <c:v>#N/A</c:v>
                </c:pt>
                <c:pt idx="841">
                  <c:v>2024</c:v>
                </c:pt>
                <c:pt idx="842">
                  <c:v>2026</c:v>
                </c:pt>
                <c:pt idx="843">
                  <c:v>#N/A</c:v>
                </c:pt>
                <c:pt idx="844">
                  <c:v>#N/A</c:v>
                </c:pt>
                <c:pt idx="845">
                  <c:v>#N/A</c:v>
                </c:pt>
                <c:pt idx="846">
                  <c:v>2019</c:v>
                </c:pt>
                <c:pt idx="847">
                  <c:v>2022</c:v>
                </c:pt>
                <c:pt idx="848">
                  <c:v>#N/A</c:v>
                </c:pt>
                <c:pt idx="849">
                  <c:v>2023</c:v>
                </c:pt>
                <c:pt idx="850">
                  <c:v>2024</c:v>
                </c:pt>
                <c:pt idx="851">
                  <c:v>2024</c:v>
                </c:pt>
                <c:pt idx="852">
                  <c:v>#N/A</c:v>
                </c:pt>
                <c:pt idx="853">
                  <c:v>#N/A</c:v>
                </c:pt>
                <c:pt idx="854">
                  <c:v>#N/A</c:v>
                </c:pt>
                <c:pt idx="855">
                  <c:v>2026</c:v>
                </c:pt>
                <c:pt idx="856">
                  <c:v>2026</c:v>
                </c:pt>
                <c:pt idx="857">
                  <c:v>#N/A</c:v>
                </c:pt>
                <c:pt idx="858">
                  <c:v>2025</c:v>
                </c:pt>
                <c:pt idx="859">
                  <c:v>#N/A</c:v>
                </c:pt>
                <c:pt idx="860">
                  <c:v>#N/A</c:v>
                </c:pt>
                <c:pt idx="861">
                  <c:v>#N/A</c:v>
                </c:pt>
                <c:pt idx="862">
                  <c:v>2017</c:v>
                </c:pt>
                <c:pt idx="863">
                  <c:v>#N/A</c:v>
                </c:pt>
                <c:pt idx="864">
                  <c:v>2020</c:v>
                </c:pt>
                <c:pt idx="865">
                  <c:v>2025</c:v>
                </c:pt>
                <c:pt idx="866">
                  <c:v>2025</c:v>
                </c:pt>
                <c:pt idx="867">
                  <c:v>2024</c:v>
                </c:pt>
                <c:pt idx="868">
                  <c:v>#N/A</c:v>
                </c:pt>
                <c:pt idx="869">
                  <c:v>#N/A</c:v>
                </c:pt>
                <c:pt idx="870">
                  <c:v>2024</c:v>
                </c:pt>
                <c:pt idx="871">
                  <c:v>#N/A</c:v>
                </c:pt>
                <c:pt idx="872">
                  <c:v>#N/A</c:v>
                </c:pt>
                <c:pt idx="873">
                  <c:v>2023</c:v>
                </c:pt>
                <c:pt idx="874">
                  <c:v>#N/A</c:v>
                </c:pt>
                <c:pt idx="875">
                  <c:v>2018</c:v>
                </c:pt>
                <c:pt idx="876">
                  <c:v>2024</c:v>
                </c:pt>
                <c:pt idx="877">
                  <c:v>#N/A</c:v>
                </c:pt>
                <c:pt idx="878">
                  <c:v>#N/A</c:v>
                </c:pt>
                <c:pt idx="879">
                  <c:v>#N/A</c:v>
                </c:pt>
                <c:pt idx="880">
                  <c:v>#N/A</c:v>
                </c:pt>
                <c:pt idx="881">
                  <c:v>#N/A</c:v>
                </c:pt>
                <c:pt idx="882">
                  <c:v>2025</c:v>
                </c:pt>
                <c:pt idx="883">
                  <c:v>2023</c:v>
                </c:pt>
                <c:pt idx="884">
                  <c:v>#N/A</c:v>
                </c:pt>
                <c:pt idx="885">
                  <c:v>#N/A</c:v>
                </c:pt>
                <c:pt idx="886">
                  <c:v>#N/A</c:v>
                </c:pt>
                <c:pt idx="887">
                  <c:v>#N/A</c:v>
                </c:pt>
                <c:pt idx="888">
                  <c:v>#N/A</c:v>
                </c:pt>
                <c:pt idx="889">
                  <c:v>2014</c:v>
                </c:pt>
                <c:pt idx="890">
                  <c:v>2020</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#N/A</c:v>
                </c:pt>
                <c:pt idx="81">
                  <c:v>#N/A</c:v>
                </c:pt>
                <c:pt idx="82">
                  <c:v>1.345</c:v>
                </c:pt>
                <c:pt idx="83">
                  <c:v>1.3679999999999999</c:v>
                </c:pt>
                <c:pt idx="84">
                  <c:v>#N/A</c:v>
                </c:pt>
                <c:pt idx="85">
                  <c:v>#N/A</c:v>
                </c:pt>
                <c:pt idx="86">
                  <c:v>1.4370000000000001</c:v>
                </c:pt>
                <c:pt idx="87">
                  <c:v>#N/A</c:v>
                </c:pt>
                <c:pt idx="88">
                  <c:v>1.4830000000000001</c:v>
                </c:pt>
                <c:pt idx="89">
                  <c:v>1.506</c:v>
                </c:pt>
                <c:pt idx="90">
                  <c:v>1.5289999999999999</c:v>
                </c:pt>
                <c:pt idx="91">
                  <c:v>#N/A</c:v>
                </c:pt>
                <c:pt idx="92">
                  <c:v>#N/A</c:v>
                </c:pt>
                <c:pt idx="93">
                  <c:v>#N/A</c:v>
                </c:pt>
                <c:pt idx="94">
                  <c:v>1.621</c:v>
                </c:pt>
                <c:pt idx="95">
                  <c:v>#N/A</c:v>
                </c:pt>
                <c:pt idx="96">
                  <c:v>#N/A</c:v>
                </c:pt>
                <c:pt idx="97">
                  <c:v>1.69</c:v>
                </c:pt>
                <c:pt idx="98">
                  <c:v>#N/A</c:v>
                </c:pt>
                <c:pt idx="99">
                  <c:v>#N/A</c:v>
                </c:pt>
                <c:pt idx="100">
                  <c:v>#N/A</c:v>
                </c:pt>
                <c:pt idx="101">
                  <c:v>1</c:v>
                </c:pt>
                <c:pt idx="102">
                  <c:v>1.0229999999999999</c:v>
                </c:pt>
                <c:pt idx="103">
                  <c:v>#N/A</c:v>
                </c:pt>
                <c:pt idx="104">
                  <c:v>#N/A</c:v>
                </c:pt>
                <c:pt idx="105">
                  <c:v>#N/A</c:v>
                </c:pt>
                <c:pt idx="106">
                  <c:v>#N/A</c:v>
                </c:pt>
                <c:pt idx="107">
                  <c:v>#N/A</c:v>
                </c:pt>
                <c:pt idx="108">
                  <c:v>#N/A</c:v>
                </c:pt>
                <c:pt idx="109">
                  <c:v>#N/A</c:v>
                </c:pt>
                <c:pt idx="110">
                  <c:v>#N/A</c:v>
                </c:pt>
                <c:pt idx="111">
                  <c:v>#N/A</c:v>
                </c:pt>
                <c:pt idx="112">
                  <c:v>1.2530000000000001</c:v>
                </c:pt>
                <c:pt idx="113">
                  <c:v>#N/A</c:v>
                </c:pt>
                <c:pt idx="114">
                  <c:v>#N/A</c:v>
                </c:pt>
                <c:pt idx="115">
                  <c:v>1.3220000000000001</c:v>
                </c:pt>
                <c:pt idx="116">
                  <c:v>#N/A</c:v>
                </c:pt>
                <c:pt idx="117">
                  <c:v>1.3679999999999999</c:v>
                </c:pt>
                <c:pt idx="118">
                  <c:v>#N/A</c:v>
                </c:pt>
                <c:pt idx="119">
                  <c:v>1.4139999999999999</c:v>
                </c:pt>
                <c:pt idx="120">
                  <c:v>#N/A</c:v>
                </c:pt>
                <c:pt idx="121">
                  <c:v>1.46</c:v>
                </c:pt>
                <c:pt idx="122">
                  <c:v>1.4830000000000001</c:v>
                </c:pt>
                <c:pt idx="123">
                  <c:v>#N/A</c:v>
                </c:pt>
                <c:pt idx="124">
                  <c:v>#N/A</c:v>
                </c:pt>
                <c:pt idx="125">
                  <c:v>#N/A</c:v>
                </c:pt>
                <c:pt idx="126">
                  <c:v>1.575</c:v>
                </c:pt>
                <c:pt idx="127">
                  <c:v>1.5979999999999999</c:v>
                </c:pt>
                <c:pt idx="128">
                  <c:v>#N/A</c:v>
                </c:pt>
                <c:pt idx="129">
                  <c:v>#N/A</c:v>
                </c:pt>
                <c:pt idx="130">
                  <c:v>1.667</c:v>
                </c:pt>
                <c:pt idx="131">
                  <c:v>1.69</c:v>
                </c:pt>
                <c:pt idx="132">
                  <c:v>#N/A</c:v>
                </c:pt>
                <c:pt idx="133">
                  <c:v>#N/A</c:v>
                </c:pt>
                <c:pt idx="134">
                  <c:v>#N/A</c:v>
                </c:pt>
                <c:pt idx="135">
                  <c:v>#N/A</c:v>
                </c:pt>
                <c:pt idx="136">
                  <c:v>#N/A</c:v>
                </c:pt>
                <c:pt idx="137">
                  <c:v>#N/A</c:v>
                </c:pt>
                <c:pt idx="138">
                  <c:v>#N/A</c:v>
                </c:pt>
                <c:pt idx="139">
                  <c:v>1.0920000000000001</c:v>
                </c:pt>
                <c:pt idx="140">
                  <c:v>#N/A</c:v>
                </c:pt>
                <c:pt idx="141">
                  <c:v>#N/A</c:v>
                </c:pt>
                <c:pt idx="142">
                  <c:v>1.161</c:v>
                </c:pt>
                <c:pt idx="143">
                  <c:v>#N/A</c:v>
                </c:pt>
                <c:pt idx="144">
                  <c:v>#N/A</c:v>
                </c:pt>
                <c:pt idx="145">
                  <c:v>1.23</c:v>
                </c:pt>
                <c:pt idx="146">
                  <c:v>1.2530000000000001</c:v>
                </c:pt>
                <c:pt idx="147">
                  <c:v>#N/A</c:v>
                </c:pt>
                <c:pt idx="148">
                  <c:v>1.2989999999999999</c:v>
                </c:pt>
                <c:pt idx="149">
                  <c:v>1.3220000000000001</c:v>
                </c:pt>
                <c:pt idx="150">
                  <c:v>#N/A</c:v>
                </c:pt>
                <c:pt idx="151">
                  <c:v>#N/A</c:v>
                </c:pt>
                <c:pt idx="152">
                  <c:v>#N/A</c:v>
                </c:pt>
                <c:pt idx="153">
                  <c:v>#N/A</c:v>
                </c:pt>
                <c:pt idx="154">
                  <c:v>#N/A</c:v>
                </c:pt>
                <c:pt idx="155">
                  <c:v>#N/A</c:v>
                </c:pt>
                <c:pt idx="156">
                  <c:v>#N/A</c:v>
                </c:pt>
                <c:pt idx="157">
                  <c:v>1.506</c:v>
                </c:pt>
                <c:pt idx="158">
                  <c:v>#N/A</c:v>
                </c:pt>
                <c:pt idx="159">
                  <c:v>#N/A</c:v>
                </c:pt>
                <c:pt idx="160">
                  <c:v>#N/A</c:v>
                </c:pt>
                <c:pt idx="161">
                  <c:v>#N/A</c:v>
                </c:pt>
                <c:pt idx="162">
                  <c:v>1.621</c:v>
                </c:pt>
                <c:pt idx="163">
                  <c:v>#N/A</c:v>
                </c:pt>
                <c:pt idx="164">
                  <c:v>#N/A</c:v>
                </c:pt>
                <c:pt idx="165">
                  <c:v>#N/A</c:v>
                </c:pt>
                <c:pt idx="166">
                  <c:v>#N/A</c:v>
                </c:pt>
                <c:pt idx="167">
                  <c:v>1.736</c:v>
                </c:pt>
                <c:pt idx="168">
                  <c:v>1.7589999999999999</c:v>
                </c:pt>
                <c:pt idx="169">
                  <c:v>#N/A</c:v>
                </c:pt>
                <c:pt idx="170">
                  <c:v>1.0229999999999999</c:v>
                </c:pt>
                <c:pt idx="171">
                  <c:v>1.046</c:v>
                </c:pt>
                <c:pt idx="172">
                  <c:v>1.069</c:v>
                </c:pt>
                <c:pt idx="173">
                  <c:v>1.0920000000000001</c:v>
                </c:pt>
                <c:pt idx="174">
                  <c:v>#N/A</c:v>
                </c:pt>
                <c:pt idx="175">
                  <c:v>#N/A</c:v>
                </c:pt>
                <c:pt idx="176">
                  <c:v>1.161</c:v>
                </c:pt>
                <c:pt idx="177">
                  <c:v>1.1839999999999999</c:v>
                </c:pt>
                <c:pt idx="178">
                  <c:v>1.2070000000000001</c:v>
                </c:pt>
                <c:pt idx="179">
                  <c:v>#N/A</c:v>
                </c:pt>
                <c:pt idx="180">
                  <c:v>#N/A</c:v>
                </c:pt>
                <c:pt idx="181">
                  <c:v>1.276</c:v>
                </c:pt>
                <c:pt idx="182">
                  <c:v>1.2989999999999999</c:v>
                </c:pt>
                <c:pt idx="183">
                  <c:v>1.3220000000000001</c:v>
                </c:pt>
                <c:pt idx="184">
                  <c:v>1.345</c:v>
                </c:pt>
                <c:pt idx="185">
                  <c:v>#N/A</c:v>
                </c:pt>
                <c:pt idx="186">
                  <c:v>1.391</c:v>
                </c:pt>
                <c:pt idx="187">
                  <c:v>#N/A</c:v>
                </c:pt>
                <c:pt idx="188">
                  <c:v>#N/A</c:v>
                </c:pt>
                <c:pt idx="189">
                  <c:v>#N/A</c:v>
                </c:pt>
                <c:pt idx="190">
                  <c:v>1.4830000000000001</c:v>
                </c:pt>
                <c:pt idx="191">
                  <c:v>1.506</c:v>
                </c:pt>
                <c:pt idx="192">
                  <c:v>1.5289999999999999</c:v>
                </c:pt>
                <c:pt idx="193">
                  <c:v>#N/A</c:v>
                </c:pt>
                <c:pt idx="194">
                  <c:v>#N/A</c:v>
                </c:pt>
                <c:pt idx="195">
                  <c:v>1.5979999999999999</c:v>
                </c:pt>
                <c:pt idx="196">
                  <c:v>#N/A</c:v>
                </c:pt>
                <c:pt idx="197">
                  <c:v>#N/A</c:v>
                </c:pt>
                <c:pt idx="198">
                  <c:v>#N/A</c:v>
                </c:pt>
                <c:pt idx="199">
                  <c:v>#N/A</c:v>
                </c:pt>
                <c:pt idx="200">
                  <c:v>#N/A</c:v>
                </c:pt>
                <c:pt idx="201">
                  <c:v>1.736</c:v>
                </c:pt>
                <c:pt idx="202">
                  <c:v>#N/A</c:v>
                </c:pt>
                <c:pt idx="203">
                  <c:v>1</c:v>
                </c:pt>
                <c:pt idx="204">
                  <c:v>1.0229999999999999</c:v>
                </c:pt>
                <c:pt idx="205">
                  <c:v>1.046</c:v>
                </c:pt>
                <c:pt idx="206">
                  <c:v>#N/A</c:v>
                </c:pt>
                <c:pt idx="207">
                  <c:v>#N/A</c:v>
                </c:pt>
                <c:pt idx="208">
                  <c:v>#N/A</c:v>
                </c:pt>
                <c:pt idx="209">
                  <c:v>#N/A</c:v>
                </c:pt>
                <c:pt idx="210">
                  <c:v>#N/A</c:v>
                </c:pt>
                <c:pt idx="211">
                  <c:v>#N/A</c:v>
                </c:pt>
                <c:pt idx="212">
                  <c:v>#N/A</c:v>
                </c:pt>
                <c:pt idx="213">
                  <c:v>#N/A</c:v>
                </c:pt>
                <c:pt idx="214">
                  <c:v>#N/A</c:v>
                </c:pt>
                <c:pt idx="215">
                  <c:v>#N/A</c:v>
                </c:pt>
                <c:pt idx="216">
                  <c:v>#N/A</c:v>
                </c:pt>
                <c:pt idx="217">
                  <c:v>1.3220000000000001</c:v>
                </c:pt>
                <c:pt idx="218">
                  <c:v>#N/A</c:v>
                </c:pt>
                <c:pt idx="219">
                  <c:v>1.3679999999999999</c:v>
                </c:pt>
                <c:pt idx="220">
                  <c:v>1.391</c:v>
                </c:pt>
                <c:pt idx="221">
                  <c:v>#N/A</c:v>
                </c:pt>
                <c:pt idx="222">
                  <c:v>#N/A</c:v>
                </c:pt>
                <c:pt idx="223">
                  <c:v>#N/A</c:v>
                </c:pt>
                <c:pt idx="224">
                  <c:v>#N/A</c:v>
                </c:pt>
                <c:pt idx="225">
                  <c:v>#N/A</c:v>
                </c:pt>
                <c:pt idx="226">
                  <c:v>1.5289999999999999</c:v>
                </c:pt>
                <c:pt idx="227">
                  <c:v>1.552</c:v>
                </c:pt>
                <c:pt idx="228">
                  <c:v>1.575</c:v>
                </c:pt>
                <c:pt idx="229">
                  <c:v>#N/A</c:v>
                </c:pt>
                <c:pt idx="230">
                  <c:v>#N/A</c:v>
                </c:pt>
                <c:pt idx="231">
                  <c:v>1.6440000000000001</c:v>
                </c:pt>
                <c:pt idx="232">
                  <c:v>1.667</c:v>
                </c:pt>
                <c:pt idx="233">
                  <c:v>#N/A</c:v>
                </c:pt>
                <c:pt idx="234">
                  <c:v>#N/A</c:v>
                </c:pt>
                <c:pt idx="235">
                  <c:v>#N/A</c:v>
                </c:pt>
                <c:pt idx="236">
                  <c:v>#N/A</c:v>
                </c:pt>
                <c:pt idx="237">
                  <c:v>#N/A</c:v>
                </c:pt>
                <c:pt idx="238">
                  <c:v>#N/A</c:v>
                </c:pt>
                <c:pt idx="239">
                  <c:v>1.046</c:v>
                </c:pt>
                <c:pt idx="240">
                  <c:v>#N/A</c:v>
                </c:pt>
                <c:pt idx="241">
                  <c:v>1.0920000000000001</c:v>
                </c:pt>
                <c:pt idx="242">
                  <c:v>#N/A</c:v>
                </c:pt>
                <c:pt idx="243">
                  <c:v>#N/A</c:v>
                </c:pt>
                <c:pt idx="244">
                  <c:v>#N/A</c:v>
                </c:pt>
                <c:pt idx="245">
                  <c:v>#N/A</c:v>
                </c:pt>
                <c:pt idx="246">
                  <c:v>#N/A</c:v>
                </c:pt>
                <c:pt idx="247">
                  <c:v>#N/A</c:v>
                </c:pt>
                <c:pt idx="248">
                  <c:v>1.2530000000000001</c:v>
                </c:pt>
                <c:pt idx="249">
                  <c:v>#N/A</c:v>
                </c:pt>
                <c:pt idx="250">
                  <c:v>#N/A</c:v>
                </c:pt>
                <c:pt idx="251">
                  <c:v>#N/A</c:v>
                </c:pt>
                <c:pt idx="252">
                  <c:v>#N/A</c:v>
                </c:pt>
                <c:pt idx="253">
                  <c:v>1.3679999999999999</c:v>
                </c:pt>
                <c:pt idx="254">
                  <c:v>#N/A</c:v>
                </c:pt>
                <c:pt idx="255">
                  <c:v>1.4139999999999999</c:v>
                </c:pt>
                <c:pt idx="256">
                  <c:v>1.4370000000000001</c:v>
                </c:pt>
                <c:pt idx="257">
                  <c:v>#N/A</c:v>
                </c:pt>
                <c:pt idx="258">
                  <c:v>#N/A</c:v>
                </c:pt>
                <c:pt idx="259">
                  <c:v>1.506</c:v>
                </c:pt>
                <c:pt idx="260">
                  <c:v>1.5289999999999999</c:v>
                </c:pt>
                <c:pt idx="261">
                  <c:v>1.552</c:v>
                </c:pt>
                <c:pt idx="262">
                  <c:v>1.575</c:v>
                </c:pt>
                <c:pt idx="263">
                  <c:v>#N/A</c:v>
                </c:pt>
                <c:pt idx="264">
                  <c:v>#N/A</c:v>
                </c:pt>
                <c:pt idx="265">
                  <c:v>1.6440000000000001</c:v>
                </c:pt>
                <c:pt idx="266">
                  <c:v>#N/A</c:v>
                </c:pt>
                <c:pt idx="267">
                  <c:v>#N/A</c:v>
                </c:pt>
                <c:pt idx="268">
                  <c:v>1.7130000000000001</c:v>
                </c:pt>
                <c:pt idx="269">
                  <c:v>1.736</c:v>
                </c:pt>
                <c:pt idx="270">
                  <c:v>#N/A</c:v>
                </c:pt>
                <c:pt idx="271">
                  <c:v>#N/A</c:v>
                </c:pt>
                <c:pt idx="272">
                  <c:v>#N/A</c:v>
                </c:pt>
                <c:pt idx="273">
                  <c:v>#N/A</c:v>
                </c:pt>
                <c:pt idx="274">
                  <c:v>1.069</c:v>
                </c:pt>
                <c:pt idx="275">
                  <c:v>1.0920000000000001</c:v>
                </c:pt>
                <c:pt idx="276">
                  <c:v>1.115</c:v>
                </c:pt>
                <c:pt idx="277">
                  <c:v>#N/A</c:v>
                </c:pt>
                <c:pt idx="278">
                  <c:v>#N/A</c:v>
                </c:pt>
                <c:pt idx="279">
                  <c:v>#N/A</c:v>
                </c:pt>
                <c:pt idx="280">
                  <c:v>#N/A</c:v>
                </c:pt>
                <c:pt idx="281">
                  <c:v>#N/A</c:v>
                </c:pt>
                <c:pt idx="282">
                  <c:v>#N/A</c:v>
                </c:pt>
                <c:pt idx="283">
                  <c:v>#N/A</c:v>
                </c:pt>
                <c:pt idx="284">
                  <c:v>1.2989999999999999</c:v>
                </c:pt>
                <c:pt idx="285">
                  <c:v>1.3220000000000001</c:v>
                </c:pt>
                <c:pt idx="286">
                  <c:v>#N/A</c:v>
                </c:pt>
                <c:pt idx="287">
                  <c:v>1.3679999999999999</c:v>
                </c:pt>
                <c:pt idx="288">
                  <c:v>#N/A</c:v>
                </c:pt>
                <c:pt idx="289">
                  <c:v>1.4139999999999999</c:v>
                </c:pt>
                <c:pt idx="290">
                  <c:v>#N/A</c:v>
                </c:pt>
                <c:pt idx="291">
                  <c:v>#N/A</c:v>
                </c:pt>
                <c:pt idx="292">
                  <c:v>#N/A</c:v>
                </c:pt>
                <c:pt idx="293">
                  <c:v>1.506</c:v>
                </c:pt>
                <c:pt idx="294">
                  <c:v>#N/A</c:v>
                </c:pt>
                <c:pt idx="295">
                  <c:v>1.552</c:v>
                </c:pt>
                <c:pt idx="296">
                  <c:v>1.575</c:v>
                </c:pt>
                <c:pt idx="297">
                  <c:v>#N/A</c:v>
                </c:pt>
                <c:pt idx="298">
                  <c:v>#N/A</c:v>
                </c:pt>
                <c:pt idx="299">
                  <c:v>1.6440000000000001</c:v>
                </c:pt>
                <c:pt idx="300">
                  <c:v>1.667</c:v>
                </c:pt>
                <c:pt idx="301">
                  <c:v>#N/A</c:v>
                </c:pt>
                <c:pt idx="302">
                  <c:v>#N/A</c:v>
                </c:pt>
                <c:pt idx="303">
                  <c:v>1.736</c:v>
                </c:pt>
                <c:pt idx="304">
                  <c:v>#N/A</c:v>
                </c:pt>
                <c:pt idx="305">
                  <c:v>1</c:v>
                </c:pt>
                <c:pt idx="306">
                  <c:v>1.0229999999999999</c:v>
                </c:pt>
                <c:pt idx="307">
                  <c:v>#N/A</c:v>
                </c:pt>
                <c:pt idx="308">
                  <c:v>#N/A</c:v>
                </c:pt>
                <c:pt idx="309">
                  <c:v>#N/A</c:v>
                </c:pt>
                <c:pt idx="310">
                  <c:v>1.115</c:v>
                </c:pt>
                <c:pt idx="311">
                  <c:v>1.1379999999999999</c:v>
                </c:pt>
                <c:pt idx="312">
                  <c:v>1.161</c:v>
                </c:pt>
                <c:pt idx="313">
                  <c:v>1.1839999999999999</c:v>
                </c:pt>
                <c:pt idx="314">
                  <c:v>1.2070000000000001</c:v>
                </c:pt>
                <c:pt idx="315">
                  <c:v>#N/A</c:v>
                </c:pt>
                <c:pt idx="316">
                  <c:v>#N/A</c:v>
                </c:pt>
                <c:pt idx="317">
                  <c:v>1.276</c:v>
                </c:pt>
                <c:pt idx="318">
                  <c:v>#N/A</c:v>
                </c:pt>
                <c:pt idx="319">
                  <c:v>1.3220000000000001</c:v>
                </c:pt>
                <c:pt idx="320">
                  <c:v>1.345</c:v>
                </c:pt>
                <c:pt idx="321">
                  <c:v>1.3679999999999999</c:v>
                </c:pt>
                <c:pt idx="322">
                  <c:v>#N/A</c:v>
                </c:pt>
                <c:pt idx="323">
                  <c:v>1.4139999999999999</c:v>
                </c:pt>
                <c:pt idx="324">
                  <c:v>1.4370000000000001</c:v>
                </c:pt>
                <c:pt idx="325">
                  <c:v>1.46</c:v>
                </c:pt>
                <c:pt idx="326">
                  <c:v>1.4830000000000001</c:v>
                </c:pt>
                <c:pt idx="327">
                  <c:v>1.506</c:v>
                </c:pt>
                <c:pt idx="328">
                  <c:v>#N/A</c:v>
                </c:pt>
                <c:pt idx="329">
                  <c:v>1.552</c:v>
                </c:pt>
                <c:pt idx="330">
                  <c:v>1.575</c:v>
                </c:pt>
                <c:pt idx="331">
                  <c:v>#N/A</c:v>
                </c:pt>
                <c:pt idx="332">
                  <c:v>1.621</c:v>
                </c:pt>
                <c:pt idx="333">
                  <c:v>1.6440000000000001</c:v>
                </c:pt>
                <c:pt idx="334">
                  <c:v>#N/A</c:v>
                </c:pt>
                <c:pt idx="335">
                  <c:v>#N/A</c:v>
                </c:pt>
                <c:pt idx="336">
                  <c:v>1.7130000000000001</c:v>
                </c:pt>
                <c:pt idx="337">
                  <c:v>1.736</c:v>
                </c:pt>
                <c:pt idx="338">
                  <c:v>1.7589999999999999</c:v>
                </c:pt>
                <c:pt idx="339">
                  <c:v>1</c:v>
                </c:pt>
                <c:pt idx="340">
                  <c:v>#N/A</c:v>
                </c:pt>
                <c:pt idx="341">
                  <c:v>#N/A</c:v>
                </c:pt>
                <c:pt idx="342">
                  <c:v>#N/A</c:v>
                </c:pt>
                <c:pt idx="343">
                  <c:v>1.0920000000000001</c:v>
                </c:pt>
                <c:pt idx="344">
                  <c:v>1.115</c:v>
                </c:pt>
                <c:pt idx="345">
                  <c:v>1.1379999999999999</c:v>
                </c:pt>
                <c:pt idx="346">
                  <c:v>#N/A</c:v>
                </c:pt>
                <c:pt idx="347">
                  <c:v>#N/A</c:v>
                </c:pt>
                <c:pt idx="348">
                  <c:v>1.2070000000000001</c:v>
                </c:pt>
                <c:pt idx="349">
                  <c:v>#N/A</c:v>
                </c:pt>
                <c:pt idx="350">
                  <c:v>1.2530000000000001</c:v>
                </c:pt>
                <c:pt idx="351">
                  <c:v>#N/A</c:v>
                </c:pt>
                <c:pt idx="352">
                  <c:v>1.2989999999999999</c:v>
                </c:pt>
                <c:pt idx="353">
                  <c:v>1.3220000000000001</c:v>
                </c:pt>
                <c:pt idx="354">
                  <c:v>1.345</c:v>
                </c:pt>
                <c:pt idx="355">
                  <c:v>#N/A</c:v>
                </c:pt>
                <c:pt idx="356">
                  <c:v>1.391</c:v>
                </c:pt>
                <c:pt idx="357">
                  <c:v>1.4139999999999999</c:v>
                </c:pt>
                <c:pt idx="358">
                  <c:v>1.4370000000000001</c:v>
                </c:pt>
                <c:pt idx="359">
                  <c:v>1.46</c:v>
                </c:pt>
                <c:pt idx="360">
                  <c:v>1.4830000000000001</c:v>
                </c:pt>
                <c:pt idx="361">
                  <c:v>1.506</c:v>
                </c:pt>
                <c:pt idx="362">
                  <c:v>#N/A</c:v>
                </c:pt>
                <c:pt idx="363">
                  <c:v>1.552</c:v>
                </c:pt>
                <c:pt idx="364">
                  <c:v>1.575</c:v>
                </c:pt>
                <c:pt idx="365">
                  <c:v>1.5979999999999999</c:v>
                </c:pt>
                <c:pt idx="366">
                  <c:v>1.621</c:v>
                </c:pt>
                <c:pt idx="367">
                  <c:v>#N/A</c:v>
                </c:pt>
                <c:pt idx="368">
                  <c:v>#N/A</c:v>
                </c:pt>
                <c:pt idx="369">
                  <c:v>1.69</c:v>
                </c:pt>
                <c:pt idx="370">
                  <c:v>#N/A</c:v>
                </c:pt>
                <c:pt idx="371">
                  <c:v>#N/A</c:v>
                </c:pt>
                <c:pt idx="372">
                  <c:v>#N/A</c:v>
                </c:pt>
                <c:pt idx="373">
                  <c:v>1</c:v>
                </c:pt>
                <c:pt idx="374">
                  <c:v>#N/A</c:v>
                </c:pt>
                <c:pt idx="375">
                  <c:v>1.046</c:v>
                </c:pt>
                <c:pt idx="376">
                  <c:v>#N/A</c:v>
                </c:pt>
                <c:pt idx="377">
                  <c:v>1.0920000000000001</c:v>
                </c:pt>
                <c:pt idx="378">
                  <c:v>#N/A</c:v>
                </c:pt>
                <c:pt idx="379">
                  <c:v>1.1379999999999999</c:v>
                </c:pt>
                <c:pt idx="380">
                  <c:v>1.161</c:v>
                </c:pt>
                <c:pt idx="381">
                  <c:v>1.1839999999999999</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1.5289999999999999</c:v>
                </c:pt>
                <c:pt idx="397">
                  <c:v>1.552</c:v>
                </c:pt>
                <c:pt idx="398">
                  <c:v>#N/A</c:v>
                </c:pt>
                <c:pt idx="399">
                  <c:v>1.5979999999999999</c:v>
                </c:pt>
                <c:pt idx="400">
                  <c:v>#N/A</c:v>
                </c:pt>
                <c:pt idx="401">
                  <c:v>1.6440000000000001</c:v>
                </c:pt>
                <c:pt idx="402">
                  <c:v>#N/A</c:v>
                </c:pt>
                <c:pt idx="403">
                  <c:v>1.69</c:v>
                </c:pt>
                <c:pt idx="404">
                  <c:v>1.7130000000000001</c:v>
                </c:pt>
                <c:pt idx="405">
                  <c:v>#N/A</c:v>
                </c:pt>
                <c:pt idx="406">
                  <c:v>1.7589999999999999</c:v>
                </c:pt>
                <c:pt idx="407">
                  <c:v>#N/A</c:v>
                </c:pt>
                <c:pt idx="408">
                  <c:v>1.0229999999999999</c:v>
                </c:pt>
                <c:pt idx="409">
                  <c:v>#N/A</c:v>
                </c:pt>
                <c:pt idx="410">
                  <c:v>#N/A</c:v>
                </c:pt>
                <c:pt idx="411">
                  <c:v>#N/A</c:v>
                </c:pt>
                <c:pt idx="412">
                  <c:v>#N/A</c:v>
                </c:pt>
                <c:pt idx="413">
                  <c:v>1.1379999999999999</c:v>
                </c:pt>
                <c:pt idx="414">
                  <c:v>#N/A</c:v>
                </c:pt>
                <c:pt idx="415">
                  <c:v>#N/A</c:v>
                </c:pt>
                <c:pt idx="416">
                  <c:v>1.2070000000000001</c:v>
                </c:pt>
                <c:pt idx="417">
                  <c:v>#N/A</c:v>
                </c:pt>
                <c:pt idx="418">
                  <c:v>#N/A</c:v>
                </c:pt>
                <c:pt idx="419">
                  <c:v>1.276</c:v>
                </c:pt>
                <c:pt idx="420">
                  <c:v>#N/A</c:v>
                </c:pt>
                <c:pt idx="421">
                  <c:v>#N/A</c:v>
                </c:pt>
                <c:pt idx="422">
                  <c:v>#N/A</c:v>
                </c:pt>
                <c:pt idx="423">
                  <c:v>#N/A</c:v>
                </c:pt>
                <c:pt idx="424">
                  <c:v>1.391</c:v>
                </c:pt>
                <c:pt idx="425">
                  <c:v>#N/A</c:v>
                </c:pt>
                <c:pt idx="426">
                  <c:v>#N/A</c:v>
                </c:pt>
                <c:pt idx="427">
                  <c:v>#N/A</c:v>
                </c:pt>
                <c:pt idx="428">
                  <c:v>#N/A</c:v>
                </c:pt>
                <c:pt idx="429">
                  <c:v>#N/A</c:v>
                </c:pt>
                <c:pt idx="430">
                  <c:v>1.5289999999999999</c:v>
                </c:pt>
                <c:pt idx="431">
                  <c:v>#N/A</c:v>
                </c:pt>
                <c:pt idx="432">
                  <c:v>#N/A</c:v>
                </c:pt>
                <c:pt idx="433">
                  <c:v>#N/A</c:v>
                </c:pt>
                <c:pt idx="434">
                  <c:v>1.621</c:v>
                </c:pt>
                <c:pt idx="435">
                  <c:v>#N/A</c:v>
                </c:pt>
                <c:pt idx="436">
                  <c:v>#N/A</c:v>
                </c:pt>
                <c:pt idx="437">
                  <c:v>#N/A</c:v>
                </c:pt>
                <c:pt idx="438">
                  <c:v>#N/A</c:v>
                </c:pt>
                <c:pt idx="439">
                  <c:v>1.736</c:v>
                </c:pt>
                <c:pt idx="440">
                  <c:v>#N/A</c:v>
                </c:pt>
                <c:pt idx="441">
                  <c:v>1</c:v>
                </c:pt>
                <c:pt idx="442">
                  <c:v>1.0229999999999999</c:v>
                </c:pt>
                <c:pt idx="443">
                  <c:v>1.046</c:v>
                </c:pt>
                <c:pt idx="444">
                  <c:v>1.069</c:v>
                </c:pt>
                <c:pt idx="445">
                  <c:v>#N/A</c:v>
                </c:pt>
                <c:pt idx="446">
                  <c:v>1.115</c:v>
                </c:pt>
                <c:pt idx="447">
                  <c:v>1.1379999999999999</c:v>
                </c:pt>
                <c:pt idx="448">
                  <c:v>#N/A</c:v>
                </c:pt>
                <c:pt idx="449">
                  <c:v>1.1839999999999999</c:v>
                </c:pt>
                <c:pt idx="450">
                  <c:v>#N/A</c:v>
                </c:pt>
                <c:pt idx="451">
                  <c:v>1.23</c:v>
                </c:pt>
                <c:pt idx="452">
                  <c:v>#N/A</c:v>
                </c:pt>
                <c:pt idx="453">
                  <c:v>#N/A</c:v>
                </c:pt>
                <c:pt idx="454">
                  <c:v>#N/A</c:v>
                </c:pt>
                <c:pt idx="455">
                  <c:v>#N/A</c:v>
                </c:pt>
                <c:pt idx="456">
                  <c:v>#N/A</c:v>
                </c:pt>
                <c:pt idx="457">
                  <c:v>1.3679999999999999</c:v>
                </c:pt>
                <c:pt idx="458">
                  <c:v>1.391</c:v>
                </c:pt>
                <c:pt idx="459">
                  <c:v>#N/A</c:v>
                </c:pt>
                <c:pt idx="460">
                  <c:v>1.4370000000000001</c:v>
                </c:pt>
                <c:pt idx="461">
                  <c:v>#N/A</c:v>
                </c:pt>
                <c:pt idx="462">
                  <c:v>#N/A</c:v>
                </c:pt>
                <c:pt idx="463">
                  <c:v>#N/A</c:v>
                </c:pt>
                <c:pt idx="464">
                  <c:v>#N/A</c:v>
                </c:pt>
                <c:pt idx="465">
                  <c:v>1.552</c:v>
                </c:pt>
                <c:pt idx="466">
                  <c:v>1.575</c:v>
                </c:pt>
                <c:pt idx="467">
                  <c:v>#N/A</c:v>
                </c:pt>
                <c:pt idx="468">
                  <c:v>#N/A</c:v>
                </c:pt>
                <c:pt idx="469">
                  <c:v>#N/A</c:v>
                </c:pt>
                <c:pt idx="470">
                  <c:v>#N/A</c:v>
                </c:pt>
                <c:pt idx="471">
                  <c:v>#N/A</c:v>
                </c:pt>
                <c:pt idx="472">
                  <c:v>#N/A</c:v>
                </c:pt>
                <c:pt idx="473">
                  <c:v>#N/A</c:v>
                </c:pt>
                <c:pt idx="474">
                  <c:v>#N/A</c:v>
                </c:pt>
                <c:pt idx="475">
                  <c:v>1</c:v>
                </c:pt>
                <c:pt idx="476">
                  <c:v>1.0229999999999999</c:v>
                </c:pt>
                <c:pt idx="477">
                  <c:v>#N/A</c:v>
                </c:pt>
                <c:pt idx="478">
                  <c:v>1.069</c:v>
                </c:pt>
                <c:pt idx="479">
                  <c:v>1.0920000000000001</c:v>
                </c:pt>
                <c:pt idx="480">
                  <c:v>1.115</c:v>
                </c:pt>
                <c:pt idx="481">
                  <c:v>1.1379999999999999</c:v>
                </c:pt>
                <c:pt idx="482">
                  <c:v>#N/A</c:v>
                </c:pt>
                <c:pt idx="483">
                  <c:v>1.1839999999999999</c:v>
                </c:pt>
                <c:pt idx="484">
                  <c:v>#N/A</c:v>
                </c:pt>
                <c:pt idx="485">
                  <c:v>#N/A</c:v>
                </c:pt>
                <c:pt idx="486">
                  <c:v>1.2530000000000001</c:v>
                </c:pt>
                <c:pt idx="487">
                  <c:v>1.276</c:v>
                </c:pt>
                <c:pt idx="488">
                  <c:v>1.2989999999999999</c:v>
                </c:pt>
                <c:pt idx="489">
                  <c:v>1.3220000000000001</c:v>
                </c:pt>
                <c:pt idx="490">
                  <c:v>#N/A</c:v>
                </c:pt>
                <c:pt idx="491">
                  <c:v>1.3679999999999999</c:v>
                </c:pt>
                <c:pt idx="492">
                  <c:v>1.391</c:v>
                </c:pt>
                <c:pt idx="493">
                  <c:v>#N/A</c:v>
                </c:pt>
                <c:pt idx="494">
                  <c:v>#N/A</c:v>
                </c:pt>
                <c:pt idx="495">
                  <c:v>#N/A</c:v>
                </c:pt>
                <c:pt idx="496">
                  <c:v>1.4830000000000001</c:v>
                </c:pt>
                <c:pt idx="497">
                  <c:v>#N/A</c:v>
                </c:pt>
                <c:pt idx="498">
                  <c:v>1.5289999999999999</c:v>
                </c:pt>
                <c:pt idx="499">
                  <c:v>#N/A</c:v>
                </c:pt>
                <c:pt idx="500">
                  <c:v>1.575</c:v>
                </c:pt>
                <c:pt idx="501">
                  <c:v>1.5979999999999999</c:v>
                </c:pt>
                <c:pt idx="502">
                  <c:v>1.621</c:v>
                </c:pt>
                <c:pt idx="503">
                  <c:v>1.6440000000000001</c:v>
                </c:pt>
                <c:pt idx="504">
                  <c:v>1.667</c:v>
                </c:pt>
                <c:pt idx="505">
                  <c:v>#N/A</c:v>
                </c:pt>
                <c:pt idx="506">
                  <c:v>1.7130000000000001</c:v>
                </c:pt>
                <c:pt idx="507">
                  <c:v>1.736</c:v>
                </c:pt>
                <c:pt idx="508">
                  <c:v>1.7589999999999999</c:v>
                </c:pt>
                <c:pt idx="509">
                  <c:v>1</c:v>
                </c:pt>
                <c:pt idx="510">
                  <c:v>#N/A</c:v>
                </c:pt>
                <c:pt idx="511">
                  <c:v>#N/A</c:v>
                </c:pt>
                <c:pt idx="512">
                  <c:v>1.069</c:v>
                </c:pt>
                <c:pt idx="513">
                  <c:v>1.0920000000000001</c:v>
                </c:pt>
                <c:pt idx="514">
                  <c:v>1.115</c:v>
                </c:pt>
                <c:pt idx="515">
                  <c:v>1.1379999999999999</c:v>
                </c:pt>
                <c:pt idx="516">
                  <c:v>#N/A</c:v>
                </c:pt>
                <c:pt idx="517">
                  <c:v>1.1839999999999999</c:v>
                </c:pt>
                <c:pt idx="518">
                  <c:v>#N/A</c:v>
                </c:pt>
                <c:pt idx="519">
                  <c:v>1.23</c:v>
                </c:pt>
                <c:pt idx="520">
                  <c:v>#N/A</c:v>
                </c:pt>
                <c:pt idx="521">
                  <c:v>#N/A</c:v>
                </c:pt>
                <c:pt idx="522">
                  <c:v>1.2989999999999999</c:v>
                </c:pt>
                <c:pt idx="523">
                  <c:v>1.3220000000000001</c:v>
                </c:pt>
                <c:pt idx="524">
                  <c:v>#N/A</c:v>
                </c:pt>
                <c:pt idx="525">
                  <c:v>1.3679999999999999</c:v>
                </c:pt>
                <c:pt idx="526">
                  <c:v>#N/A</c:v>
                </c:pt>
                <c:pt idx="527">
                  <c:v>1.4139999999999999</c:v>
                </c:pt>
                <c:pt idx="528">
                  <c:v>1.4370000000000001</c:v>
                </c:pt>
                <c:pt idx="529">
                  <c:v>1.46</c:v>
                </c:pt>
                <c:pt idx="530">
                  <c:v>1.4830000000000001</c:v>
                </c:pt>
                <c:pt idx="531">
                  <c:v>#N/A</c:v>
                </c:pt>
                <c:pt idx="532">
                  <c:v>#N/A</c:v>
                </c:pt>
                <c:pt idx="533">
                  <c:v>#N/A</c:v>
                </c:pt>
                <c:pt idx="534">
                  <c:v>#N/A</c:v>
                </c:pt>
                <c:pt idx="535">
                  <c:v>#N/A</c:v>
                </c:pt>
                <c:pt idx="536">
                  <c:v>1.621</c:v>
                </c:pt>
                <c:pt idx="537">
                  <c:v>#N/A</c:v>
                </c:pt>
                <c:pt idx="538">
                  <c:v>#N/A</c:v>
                </c:pt>
                <c:pt idx="539">
                  <c:v>#N/A</c:v>
                </c:pt>
                <c:pt idx="540">
                  <c:v>1.7130000000000001</c:v>
                </c:pt>
                <c:pt idx="541">
                  <c:v>1.736</c:v>
                </c:pt>
                <c:pt idx="542">
                  <c:v>#N/A</c:v>
                </c:pt>
                <c:pt idx="543">
                  <c:v>#N/A</c:v>
                </c:pt>
                <c:pt idx="544">
                  <c:v>#N/A</c:v>
                </c:pt>
                <c:pt idx="545">
                  <c:v>#N/A</c:v>
                </c:pt>
                <c:pt idx="546">
                  <c:v>1.069</c:v>
                </c:pt>
                <c:pt idx="547">
                  <c:v>1.0920000000000001</c:v>
                </c:pt>
                <c:pt idx="548">
                  <c:v>#N/A</c:v>
                </c:pt>
                <c:pt idx="549">
                  <c:v>1.1379999999999999</c:v>
                </c:pt>
                <c:pt idx="550">
                  <c:v>#N/A</c:v>
                </c:pt>
                <c:pt idx="551">
                  <c:v>1.1839999999999999</c:v>
                </c:pt>
                <c:pt idx="552">
                  <c:v>#N/A</c:v>
                </c:pt>
                <c:pt idx="553">
                  <c:v>#N/A</c:v>
                </c:pt>
                <c:pt idx="554">
                  <c:v>1.2530000000000001</c:v>
                </c:pt>
                <c:pt idx="555">
                  <c:v>#N/A</c:v>
                </c:pt>
                <c:pt idx="556">
                  <c:v>#N/A</c:v>
                </c:pt>
                <c:pt idx="557">
                  <c:v>1.3220000000000001</c:v>
                </c:pt>
                <c:pt idx="558">
                  <c:v>1.345</c:v>
                </c:pt>
                <c:pt idx="559">
                  <c:v>1.3679999999999999</c:v>
                </c:pt>
                <c:pt idx="560">
                  <c:v>#N/A</c:v>
                </c:pt>
                <c:pt idx="561">
                  <c:v>#N/A</c:v>
                </c:pt>
                <c:pt idx="562">
                  <c:v>#N/A</c:v>
                </c:pt>
                <c:pt idx="563">
                  <c:v>#N/A</c:v>
                </c:pt>
                <c:pt idx="564">
                  <c:v>#N/A</c:v>
                </c:pt>
                <c:pt idx="565">
                  <c:v>#N/A</c:v>
                </c:pt>
                <c:pt idx="566">
                  <c:v>#N/A</c:v>
                </c:pt>
                <c:pt idx="567">
                  <c:v>1.552</c:v>
                </c:pt>
                <c:pt idx="568">
                  <c:v>#N/A</c:v>
                </c:pt>
                <c:pt idx="569">
                  <c:v>#N/A</c:v>
                </c:pt>
                <c:pt idx="570">
                  <c:v>#N/A</c:v>
                </c:pt>
                <c:pt idx="571">
                  <c:v>#N/A</c:v>
                </c:pt>
                <c:pt idx="572">
                  <c:v>#N/A</c:v>
                </c:pt>
                <c:pt idx="573">
                  <c:v>#N/A</c:v>
                </c:pt>
                <c:pt idx="574">
                  <c:v>#N/A</c:v>
                </c:pt>
                <c:pt idx="575">
                  <c:v>#N/A</c:v>
                </c:pt>
                <c:pt idx="576">
                  <c:v>#N/A</c:v>
                </c:pt>
                <c:pt idx="577">
                  <c:v>1</c:v>
                </c:pt>
                <c:pt idx="578">
                  <c:v>#N/A</c:v>
                </c:pt>
                <c:pt idx="579">
                  <c:v>#N/A</c:v>
                </c:pt>
                <c:pt idx="580">
                  <c:v>#N/A</c:v>
                </c:pt>
                <c:pt idx="581">
                  <c:v>#N/A</c:v>
                </c:pt>
                <c:pt idx="582">
                  <c:v>1.115</c:v>
                </c:pt>
                <c:pt idx="583">
                  <c:v>#N/A</c:v>
                </c:pt>
                <c:pt idx="584">
                  <c:v>1.161</c:v>
                </c:pt>
                <c:pt idx="585">
                  <c:v>#N/A</c:v>
                </c:pt>
                <c:pt idx="586">
                  <c:v>#N/A</c:v>
                </c:pt>
                <c:pt idx="587">
                  <c:v>#N/A</c:v>
                </c:pt>
                <c:pt idx="588">
                  <c:v>1.2530000000000001</c:v>
                </c:pt>
                <c:pt idx="589">
                  <c:v>#N/A</c:v>
                </c:pt>
                <c:pt idx="590">
                  <c:v>#N/A</c:v>
                </c:pt>
                <c:pt idx="591">
                  <c:v>#N/A</c:v>
                </c:pt>
                <c:pt idx="592">
                  <c:v>1.345</c:v>
                </c:pt>
                <c:pt idx="593">
                  <c:v>1.3679999999999999</c:v>
                </c:pt>
                <c:pt idx="594">
                  <c:v>#N/A</c:v>
                </c:pt>
                <c:pt idx="595">
                  <c:v>#N/A</c:v>
                </c:pt>
                <c:pt idx="596">
                  <c:v>1.4370000000000001</c:v>
                </c:pt>
                <c:pt idx="597">
                  <c:v>1.46</c:v>
                </c:pt>
                <c:pt idx="598">
                  <c:v>1.4830000000000001</c:v>
                </c:pt>
                <c:pt idx="599">
                  <c:v>1.506</c:v>
                </c:pt>
                <c:pt idx="600">
                  <c:v>1.5289999999999999</c:v>
                </c:pt>
                <c:pt idx="601">
                  <c:v>1.552</c:v>
                </c:pt>
                <c:pt idx="602">
                  <c:v>#N/A</c:v>
                </c:pt>
                <c:pt idx="603">
                  <c:v>1.5979999999999999</c:v>
                </c:pt>
                <c:pt idx="604">
                  <c:v>#N/A</c:v>
                </c:pt>
                <c:pt idx="605">
                  <c:v>1.6440000000000001</c:v>
                </c:pt>
                <c:pt idx="606">
                  <c:v>1.667</c:v>
                </c:pt>
                <c:pt idx="607">
                  <c:v>1.69</c:v>
                </c:pt>
                <c:pt idx="608">
                  <c:v>1.7130000000000001</c:v>
                </c:pt>
                <c:pt idx="609">
                  <c:v>#N/A</c:v>
                </c:pt>
                <c:pt idx="610">
                  <c:v>#N/A</c:v>
                </c:pt>
                <c:pt idx="611">
                  <c:v>#N/A</c:v>
                </c:pt>
                <c:pt idx="612">
                  <c:v>1.0229999999999999</c:v>
                </c:pt>
                <c:pt idx="613">
                  <c:v>#N/A</c:v>
                </c:pt>
                <c:pt idx="614">
                  <c:v>#N/A</c:v>
                </c:pt>
                <c:pt idx="615">
                  <c:v>#N/A</c:v>
                </c:pt>
                <c:pt idx="616">
                  <c:v>1.115</c:v>
                </c:pt>
                <c:pt idx="617">
                  <c:v>1.1379999999999999</c:v>
                </c:pt>
                <c:pt idx="618">
                  <c:v>1.161</c:v>
                </c:pt>
                <c:pt idx="619">
                  <c:v>1.1839999999999999</c:v>
                </c:pt>
                <c:pt idx="620">
                  <c:v>#N/A</c:v>
                </c:pt>
                <c:pt idx="621">
                  <c:v>1.23</c:v>
                </c:pt>
                <c:pt idx="622">
                  <c:v>1.2530000000000001</c:v>
                </c:pt>
                <c:pt idx="623">
                  <c:v>#N/A</c:v>
                </c:pt>
                <c:pt idx="624">
                  <c:v>#N/A</c:v>
                </c:pt>
                <c:pt idx="625">
                  <c:v>#N/A</c:v>
                </c:pt>
                <c:pt idx="626">
                  <c:v>1.345</c:v>
                </c:pt>
                <c:pt idx="627">
                  <c:v>1.3679999999999999</c:v>
                </c:pt>
                <c:pt idx="628">
                  <c:v>#N/A</c:v>
                </c:pt>
                <c:pt idx="629">
                  <c:v>1.4139999999999999</c:v>
                </c:pt>
                <c:pt idx="630">
                  <c:v>1.4370000000000001</c:v>
                </c:pt>
                <c:pt idx="631">
                  <c:v>1.46</c:v>
                </c:pt>
                <c:pt idx="632">
                  <c:v>#N/A</c:v>
                </c:pt>
                <c:pt idx="633">
                  <c:v>#N/A</c:v>
                </c:pt>
                <c:pt idx="634">
                  <c:v>#N/A</c:v>
                </c:pt>
                <c:pt idx="635">
                  <c:v>#N/A</c:v>
                </c:pt>
                <c:pt idx="636">
                  <c:v>1.575</c:v>
                </c:pt>
                <c:pt idx="637">
                  <c:v>#N/A</c:v>
                </c:pt>
                <c:pt idx="638">
                  <c:v>#N/A</c:v>
                </c:pt>
                <c:pt idx="639">
                  <c:v>#N/A</c:v>
                </c:pt>
                <c:pt idx="640">
                  <c:v>#N/A</c:v>
                </c:pt>
                <c:pt idx="641">
                  <c:v>#N/A</c:v>
                </c:pt>
                <c:pt idx="642">
                  <c:v>#N/A</c:v>
                </c:pt>
                <c:pt idx="643">
                  <c:v>#N/A</c:v>
                </c:pt>
                <c:pt idx="644">
                  <c:v>#N/A</c:v>
                </c:pt>
                <c:pt idx="645">
                  <c:v>#N/A</c:v>
                </c:pt>
                <c:pt idx="646">
                  <c:v>1.0229999999999999</c:v>
                </c:pt>
                <c:pt idx="647">
                  <c:v>#N/A</c:v>
                </c:pt>
                <c:pt idx="648">
                  <c:v>#N/A</c:v>
                </c:pt>
                <c:pt idx="649">
                  <c:v>#N/A</c:v>
                </c:pt>
                <c:pt idx="650">
                  <c:v>#N/A</c:v>
                </c:pt>
                <c:pt idx="651">
                  <c:v>1.1379999999999999</c:v>
                </c:pt>
                <c:pt idx="652">
                  <c:v>#N/A</c:v>
                </c:pt>
                <c:pt idx="653">
                  <c:v>1.1839999999999999</c:v>
                </c:pt>
                <c:pt idx="654">
                  <c:v>1.2070000000000001</c:v>
                </c:pt>
                <c:pt idx="655">
                  <c:v>1.23</c:v>
                </c:pt>
                <c:pt idx="656">
                  <c:v>1.2530000000000001</c:v>
                </c:pt>
                <c:pt idx="657">
                  <c:v>1.276</c:v>
                </c:pt>
                <c:pt idx="658">
                  <c:v>1.2989999999999999</c:v>
                </c:pt>
                <c:pt idx="659">
                  <c:v>#N/A</c:v>
                </c:pt>
                <c:pt idx="660">
                  <c:v>1.345</c:v>
                </c:pt>
                <c:pt idx="661">
                  <c:v>1.3679999999999999</c:v>
                </c:pt>
                <c:pt idx="662">
                  <c:v>1.391</c:v>
                </c:pt>
                <c:pt idx="663">
                  <c:v>#N/A</c:v>
                </c:pt>
                <c:pt idx="664">
                  <c:v>#N/A</c:v>
                </c:pt>
                <c:pt idx="665">
                  <c:v>1.46</c:v>
                </c:pt>
                <c:pt idx="666">
                  <c:v>1.4830000000000001</c:v>
                </c:pt>
                <c:pt idx="667">
                  <c:v>1.506</c:v>
                </c:pt>
                <c:pt idx="668">
                  <c:v>#N/A</c:v>
                </c:pt>
                <c:pt idx="669">
                  <c:v>1.552</c:v>
                </c:pt>
                <c:pt idx="670">
                  <c:v>#N/A</c:v>
                </c:pt>
                <c:pt idx="671">
                  <c:v>#N/A</c:v>
                </c:pt>
                <c:pt idx="672">
                  <c:v>#N/A</c:v>
                </c:pt>
                <c:pt idx="673">
                  <c:v>#N/A</c:v>
                </c:pt>
                <c:pt idx="674">
                  <c:v>#N/A</c:v>
                </c:pt>
                <c:pt idx="675">
                  <c:v>#N/A</c:v>
                </c:pt>
                <c:pt idx="676">
                  <c:v>#N/A</c:v>
                </c:pt>
                <c:pt idx="677">
                  <c:v>#N/A</c:v>
                </c:pt>
                <c:pt idx="678">
                  <c:v>#N/A</c:v>
                </c:pt>
                <c:pt idx="679">
                  <c:v>1</c:v>
                </c:pt>
                <c:pt idx="680">
                  <c:v>#N/A</c:v>
                </c:pt>
                <c:pt idx="681">
                  <c:v>1.046</c:v>
                </c:pt>
                <c:pt idx="682">
                  <c:v>#N/A</c:v>
                </c:pt>
                <c:pt idx="683">
                  <c:v>#N/A</c:v>
                </c:pt>
                <c:pt idx="684">
                  <c:v>#N/A</c:v>
                </c:pt>
                <c:pt idx="685">
                  <c:v>1.1379999999999999</c:v>
                </c:pt>
                <c:pt idx="686">
                  <c:v>1.161</c:v>
                </c:pt>
                <c:pt idx="687">
                  <c:v>1.1839999999999999</c:v>
                </c:pt>
                <c:pt idx="688">
                  <c:v>#N/A</c:v>
                </c:pt>
                <c:pt idx="689">
                  <c:v>#N/A</c:v>
                </c:pt>
                <c:pt idx="690">
                  <c:v>1.2530000000000001</c:v>
                </c:pt>
                <c:pt idx="691">
                  <c:v>#N/A</c:v>
                </c:pt>
                <c:pt idx="692">
                  <c:v>#N/A</c:v>
                </c:pt>
                <c:pt idx="693">
                  <c:v>#N/A</c:v>
                </c:pt>
                <c:pt idx="694">
                  <c:v>1.345</c:v>
                </c:pt>
                <c:pt idx="695">
                  <c:v>1.3679999999999999</c:v>
                </c:pt>
                <c:pt idx="696">
                  <c:v>#N/A</c:v>
                </c:pt>
                <c:pt idx="697">
                  <c:v>#N/A</c:v>
                </c:pt>
                <c:pt idx="698">
                  <c:v>#N/A</c:v>
                </c:pt>
                <c:pt idx="699">
                  <c:v>1.46</c:v>
                </c:pt>
                <c:pt idx="700">
                  <c:v>1.4830000000000001</c:v>
                </c:pt>
                <c:pt idx="701">
                  <c:v>#N/A</c:v>
                </c:pt>
                <c:pt idx="702">
                  <c:v>#N/A</c:v>
                </c:pt>
                <c:pt idx="703">
                  <c:v>#N/A</c:v>
                </c:pt>
                <c:pt idx="704">
                  <c:v>#N/A</c:v>
                </c:pt>
                <c:pt idx="705">
                  <c:v>1.5979999999999999</c:v>
                </c:pt>
                <c:pt idx="706">
                  <c:v>1.621</c:v>
                </c:pt>
                <c:pt idx="707">
                  <c:v>1.6440000000000001</c:v>
                </c:pt>
                <c:pt idx="708">
                  <c:v>#N/A</c:v>
                </c:pt>
                <c:pt idx="709">
                  <c:v>#N/A</c:v>
                </c:pt>
                <c:pt idx="710">
                  <c:v>1.7130000000000001</c:v>
                </c:pt>
                <c:pt idx="711">
                  <c:v>1.736</c:v>
                </c:pt>
                <c:pt idx="712">
                  <c:v>#N/A</c:v>
                </c:pt>
                <c:pt idx="713">
                  <c:v>#N/A</c:v>
                </c:pt>
                <c:pt idx="714">
                  <c:v>1.0229999999999999</c:v>
                </c:pt>
                <c:pt idx="715">
                  <c:v>1.046</c:v>
                </c:pt>
                <c:pt idx="716">
                  <c:v>1.069</c:v>
                </c:pt>
                <c:pt idx="717">
                  <c:v>#N/A</c:v>
                </c:pt>
                <c:pt idx="718">
                  <c:v>1.115</c:v>
                </c:pt>
                <c:pt idx="719">
                  <c:v>1.1379999999999999</c:v>
                </c:pt>
                <c:pt idx="720">
                  <c:v>1.161</c:v>
                </c:pt>
                <c:pt idx="721">
                  <c:v>#N/A</c:v>
                </c:pt>
                <c:pt idx="722">
                  <c:v>1.2070000000000001</c:v>
                </c:pt>
                <c:pt idx="723">
                  <c:v>#N/A</c:v>
                </c:pt>
                <c:pt idx="724">
                  <c:v>1.2530000000000001</c:v>
                </c:pt>
                <c:pt idx="725">
                  <c:v>#N/A</c:v>
                </c:pt>
                <c:pt idx="726">
                  <c:v>1.2989999999999999</c:v>
                </c:pt>
                <c:pt idx="727">
                  <c:v>1.3220000000000001</c:v>
                </c:pt>
                <c:pt idx="728">
                  <c:v>#N/A</c:v>
                </c:pt>
                <c:pt idx="729">
                  <c:v>#N/A</c:v>
                </c:pt>
                <c:pt idx="730">
                  <c:v>1.391</c:v>
                </c:pt>
                <c:pt idx="731">
                  <c:v>1.4139999999999999</c:v>
                </c:pt>
                <c:pt idx="732">
                  <c:v>#N/A</c:v>
                </c:pt>
                <c:pt idx="733">
                  <c:v>#N/A</c:v>
                </c:pt>
                <c:pt idx="734">
                  <c:v>1.4830000000000001</c:v>
                </c:pt>
                <c:pt idx="735">
                  <c:v>#N/A</c:v>
                </c:pt>
                <c:pt idx="736">
                  <c:v>1.5289999999999999</c:v>
                </c:pt>
                <c:pt idx="737">
                  <c:v>1.552</c:v>
                </c:pt>
                <c:pt idx="738">
                  <c:v>1.575</c:v>
                </c:pt>
                <c:pt idx="739">
                  <c:v>#N/A</c:v>
                </c:pt>
                <c:pt idx="740">
                  <c:v>#N/A</c:v>
                </c:pt>
                <c:pt idx="741">
                  <c:v>#N/A</c:v>
                </c:pt>
                <c:pt idx="742">
                  <c:v>#N/A</c:v>
                </c:pt>
                <c:pt idx="743">
                  <c:v>1.69</c:v>
                </c:pt>
                <c:pt idx="744">
                  <c:v>#N/A</c:v>
                </c:pt>
                <c:pt idx="745">
                  <c:v>1.736</c:v>
                </c:pt>
                <c:pt idx="746">
                  <c:v>1.7589999999999999</c:v>
                </c:pt>
                <c:pt idx="747">
                  <c:v>1</c:v>
                </c:pt>
                <c:pt idx="748">
                  <c:v>#N/A</c:v>
                </c:pt>
                <c:pt idx="749">
                  <c:v>1.046</c:v>
                </c:pt>
                <c:pt idx="750">
                  <c:v>1.069</c:v>
                </c:pt>
                <c:pt idx="751">
                  <c:v>#N/A</c:v>
                </c:pt>
                <c:pt idx="752">
                  <c:v>1.115</c:v>
                </c:pt>
                <c:pt idx="753">
                  <c:v>1.1379999999999999</c:v>
                </c:pt>
                <c:pt idx="754">
                  <c:v>1.161</c:v>
                </c:pt>
                <c:pt idx="755">
                  <c:v>1.1839999999999999</c:v>
                </c:pt>
                <c:pt idx="756">
                  <c:v>#N/A</c:v>
                </c:pt>
                <c:pt idx="757">
                  <c:v>#N/A</c:v>
                </c:pt>
                <c:pt idx="758">
                  <c:v>1.2530000000000001</c:v>
                </c:pt>
                <c:pt idx="759">
                  <c:v>#N/A</c:v>
                </c:pt>
                <c:pt idx="760">
                  <c:v>#N/A</c:v>
                </c:pt>
                <c:pt idx="761">
                  <c:v>#N/A</c:v>
                </c:pt>
                <c:pt idx="762">
                  <c:v>#N/A</c:v>
                </c:pt>
                <c:pt idx="763">
                  <c:v>#N/A</c:v>
                </c:pt>
                <c:pt idx="764">
                  <c:v>1.391</c:v>
                </c:pt>
                <c:pt idx="765">
                  <c:v>#N/A</c:v>
                </c:pt>
                <c:pt idx="766">
                  <c:v>1.4370000000000001</c:v>
                </c:pt>
                <c:pt idx="767">
                  <c:v>1.46</c:v>
                </c:pt>
                <c:pt idx="768">
                  <c:v>1.4830000000000001</c:v>
                </c:pt>
                <c:pt idx="769">
                  <c:v>#N/A</c:v>
                </c:pt>
                <c:pt idx="770">
                  <c:v>1.5289999999999999</c:v>
                </c:pt>
                <c:pt idx="771">
                  <c:v>1.552</c:v>
                </c:pt>
                <c:pt idx="772">
                  <c:v>#N/A</c:v>
                </c:pt>
                <c:pt idx="773">
                  <c:v>1.5979999999999999</c:v>
                </c:pt>
                <c:pt idx="774">
                  <c:v>1.621</c:v>
                </c:pt>
                <c:pt idx="775">
                  <c:v>#N/A</c:v>
                </c:pt>
                <c:pt idx="776">
                  <c:v>#N/A</c:v>
                </c:pt>
                <c:pt idx="777">
                  <c:v>#N/A</c:v>
                </c:pt>
                <c:pt idx="778">
                  <c:v>1.7130000000000001</c:v>
                </c:pt>
                <c:pt idx="779">
                  <c:v>#N/A</c:v>
                </c:pt>
                <c:pt idx="780">
                  <c:v>#N/A</c:v>
                </c:pt>
                <c:pt idx="781">
                  <c:v>#N/A</c:v>
                </c:pt>
                <c:pt idx="782">
                  <c:v>#N/A</c:v>
                </c:pt>
                <c:pt idx="783">
                  <c:v>1.046</c:v>
                </c:pt>
                <c:pt idx="784">
                  <c:v>#N/A</c:v>
                </c:pt>
                <c:pt idx="785">
                  <c:v>#N/A</c:v>
                </c:pt>
                <c:pt idx="786">
                  <c:v>#N/A</c:v>
                </c:pt>
                <c:pt idx="787">
                  <c:v>1.1379999999999999</c:v>
                </c:pt>
                <c:pt idx="788">
                  <c:v>#N/A</c:v>
                </c:pt>
                <c:pt idx="789">
                  <c:v>#N/A</c:v>
                </c:pt>
                <c:pt idx="790">
                  <c:v>1.2070000000000001</c:v>
                </c:pt>
                <c:pt idx="791">
                  <c:v>#N/A</c:v>
                </c:pt>
                <c:pt idx="792">
                  <c:v>1.2530000000000001</c:v>
                </c:pt>
                <c:pt idx="793">
                  <c:v>#N/A</c:v>
                </c:pt>
                <c:pt idx="794">
                  <c:v>1.2989999999999999</c:v>
                </c:pt>
                <c:pt idx="795">
                  <c:v>1.3220000000000001</c:v>
                </c:pt>
                <c:pt idx="796">
                  <c:v>#N/A</c:v>
                </c:pt>
                <c:pt idx="797">
                  <c:v>#N/A</c:v>
                </c:pt>
                <c:pt idx="798">
                  <c:v>#N/A</c:v>
                </c:pt>
                <c:pt idx="799">
                  <c:v>1.4139999999999999</c:v>
                </c:pt>
                <c:pt idx="800">
                  <c:v>1.4370000000000001</c:v>
                </c:pt>
                <c:pt idx="801">
                  <c:v>#N/A</c:v>
                </c:pt>
                <c:pt idx="802">
                  <c:v>#N/A</c:v>
                </c:pt>
                <c:pt idx="803">
                  <c:v>1.506</c:v>
                </c:pt>
                <c:pt idx="804">
                  <c:v>#N/A</c:v>
                </c:pt>
                <c:pt idx="805">
                  <c:v>1.552</c:v>
                </c:pt>
                <c:pt idx="806">
                  <c:v>1.575</c:v>
                </c:pt>
                <c:pt idx="807">
                  <c:v>1.5979999999999999</c:v>
                </c:pt>
                <c:pt idx="808">
                  <c:v>#N/A</c:v>
                </c:pt>
                <c:pt idx="809">
                  <c:v>#N/A</c:v>
                </c:pt>
                <c:pt idx="810">
                  <c:v>#N/A</c:v>
                </c:pt>
                <c:pt idx="811">
                  <c:v>#N/A</c:v>
                </c:pt>
                <c:pt idx="812">
                  <c:v>#N/A</c:v>
                </c:pt>
                <c:pt idx="813">
                  <c:v>#N/A</c:v>
                </c:pt>
                <c:pt idx="814">
                  <c:v>#N/A</c:v>
                </c:pt>
                <c:pt idx="815">
                  <c:v>#N/A</c:v>
                </c:pt>
                <c:pt idx="816">
                  <c:v>#N/A</c:v>
                </c:pt>
                <c:pt idx="817">
                  <c:v>#N/A</c:v>
                </c:pt>
                <c:pt idx="818">
                  <c:v>1.069</c:v>
                </c:pt>
                <c:pt idx="819">
                  <c:v>1.0920000000000001</c:v>
                </c:pt>
                <c:pt idx="820">
                  <c:v>#N/A</c:v>
                </c:pt>
                <c:pt idx="821">
                  <c:v>#N/A</c:v>
                </c:pt>
                <c:pt idx="822">
                  <c:v>#N/A</c:v>
                </c:pt>
                <c:pt idx="823">
                  <c:v>#N/A</c:v>
                </c:pt>
                <c:pt idx="824">
                  <c:v>1.2070000000000001</c:v>
                </c:pt>
                <c:pt idx="825">
                  <c:v>#N/A</c:v>
                </c:pt>
                <c:pt idx="826">
                  <c:v>1.2530000000000001</c:v>
                </c:pt>
                <c:pt idx="827">
                  <c:v>#N/A</c:v>
                </c:pt>
                <c:pt idx="828">
                  <c:v>#N/A</c:v>
                </c:pt>
                <c:pt idx="829">
                  <c:v>#N/A</c:v>
                </c:pt>
                <c:pt idx="830">
                  <c:v>#N/A</c:v>
                </c:pt>
                <c:pt idx="831">
                  <c:v>1.3679999999999999</c:v>
                </c:pt>
                <c:pt idx="832">
                  <c:v>1.391</c:v>
                </c:pt>
                <c:pt idx="833">
                  <c:v>1.4139999999999999</c:v>
                </c:pt>
                <c:pt idx="834">
                  <c:v>1.4370000000000001</c:v>
                </c:pt>
                <c:pt idx="835">
                  <c:v>1.46</c:v>
                </c:pt>
                <c:pt idx="836">
                  <c:v>#N/A</c:v>
                </c:pt>
                <c:pt idx="837">
                  <c:v>1.506</c:v>
                </c:pt>
                <c:pt idx="838">
                  <c:v>#N/A</c:v>
                </c:pt>
                <c:pt idx="839">
                  <c:v>1.552</c:v>
                </c:pt>
                <c:pt idx="840">
                  <c:v>1.575</c:v>
                </c:pt>
                <c:pt idx="841">
                  <c:v>#N/A</c:v>
                </c:pt>
                <c:pt idx="842">
                  <c:v>1.621</c:v>
                </c:pt>
                <c:pt idx="843">
                  <c:v>1.6440000000000001</c:v>
                </c:pt>
                <c:pt idx="844">
                  <c:v>#N/A</c:v>
                </c:pt>
                <c:pt idx="845">
                  <c:v>#N/A</c:v>
                </c:pt>
                <c:pt idx="846">
                  <c:v>#N/A</c:v>
                </c:pt>
                <c:pt idx="847">
                  <c:v>1.736</c:v>
                </c:pt>
                <c:pt idx="848">
                  <c:v>1.7589999999999999</c:v>
                </c:pt>
                <c:pt idx="849">
                  <c:v>#N/A</c:v>
                </c:pt>
                <c:pt idx="850">
                  <c:v>1.0229999999999999</c:v>
                </c:pt>
                <c:pt idx="851">
                  <c:v>1.046</c:v>
                </c:pt>
                <c:pt idx="852">
                  <c:v>1.069</c:v>
                </c:pt>
                <c:pt idx="853">
                  <c:v>#N/A</c:v>
                </c:pt>
                <c:pt idx="854">
                  <c:v>#N/A</c:v>
                </c:pt>
                <c:pt idx="855">
                  <c:v>#N/A</c:v>
                </c:pt>
                <c:pt idx="856">
                  <c:v>1.161</c:v>
                </c:pt>
                <c:pt idx="857">
                  <c:v>1.1839999999999999</c:v>
                </c:pt>
                <c:pt idx="858">
                  <c:v>#N/A</c:v>
                </c:pt>
                <c:pt idx="859">
                  <c:v>1.23</c:v>
                </c:pt>
                <c:pt idx="860">
                  <c:v>#N/A</c:v>
                </c:pt>
                <c:pt idx="861">
                  <c:v>#N/A</c:v>
                </c:pt>
                <c:pt idx="862">
                  <c:v>#N/A</c:v>
                </c:pt>
                <c:pt idx="863">
                  <c:v>1.3220000000000001</c:v>
                </c:pt>
                <c:pt idx="864">
                  <c:v>#N/A</c:v>
                </c:pt>
                <c:pt idx="865">
                  <c:v>1.3679999999999999</c:v>
                </c:pt>
                <c:pt idx="866">
                  <c:v>1.391</c:v>
                </c:pt>
                <c:pt idx="867">
                  <c:v>1.4139999999999999</c:v>
                </c:pt>
                <c:pt idx="868">
                  <c:v>1.4370000000000001</c:v>
                </c:pt>
                <c:pt idx="869">
                  <c:v>#N/A</c:v>
                </c:pt>
                <c:pt idx="870">
                  <c:v>#N/A</c:v>
                </c:pt>
                <c:pt idx="871">
                  <c:v>1.506</c:v>
                </c:pt>
                <c:pt idx="872">
                  <c:v>#N/A</c:v>
                </c:pt>
                <c:pt idx="873">
                  <c:v>#N/A</c:v>
                </c:pt>
                <c:pt idx="874">
                  <c:v>1.575</c:v>
                </c:pt>
                <c:pt idx="875">
                  <c:v>#N/A</c:v>
                </c:pt>
                <c:pt idx="876">
                  <c:v>1.621</c:v>
                </c:pt>
                <c:pt idx="877">
                  <c:v>1.6440000000000001</c:v>
                </c:pt>
                <c:pt idx="878">
                  <c:v>#N/A</c:v>
                </c:pt>
                <c:pt idx="879">
                  <c:v>#N/A</c:v>
                </c:pt>
                <c:pt idx="880">
                  <c:v>#N/A</c:v>
                </c:pt>
                <c:pt idx="881">
                  <c:v>#N/A</c:v>
                </c:pt>
                <c:pt idx="882">
                  <c:v>#N/A</c:v>
                </c:pt>
                <c:pt idx="883">
                  <c:v>1</c:v>
                </c:pt>
                <c:pt idx="884">
                  <c:v>1.0229999999999999</c:v>
                </c:pt>
                <c:pt idx="885">
                  <c:v>#N/A</c:v>
                </c:pt>
                <c:pt idx="886">
                  <c:v>#N/A</c:v>
                </c:pt>
                <c:pt idx="887">
                  <c:v>#N/A</c:v>
                </c:pt>
                <c:pt idx="888">
                  <c:v>#N/A</c:v>
                </c:pt>
                <c:pt idx="889">
                  <c:v>#N/A</c:v>
                </c:pt>
                <c:pt idx="890">
                  <c:v>1.161</c:v>
                </c:pt>
                <c:pt idx="891">
                  <c:v>1.1839999999999999</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2023</c:v>
                </c:pt>
                <c:pt idx="80">
                  <c:v>2024</c:v>
                </c:pt>
                <c:pt idx="81">
                  <c:v>#N/A</c:v>
                </c:pt>
                <c:pt idx="82">
                  <c:v>#N/A</c:v>
                </c:pt>
                <c:pt idx="83">
                  <c:v>2025</c:v>
                </c:pt>
                <c:pt idx="84">
                  <c:v>2025</c:v>
                </c:pt>
                <c:pt idx="85">
                  <c:v>#N/A</c:v>
                </c:pt>
                <c:pt idx="86">
                  <c:v>#N/A</c:v>
                </c:pt>
                <c:pt idx="87">
                  <c:v>#N/A</c:v>
                </c:pt>
                <c:pt idx="88">
                  <c:v>#N/A</c:v>
                </c:pt>
                <c:pt idx="89">
                  <c:v>#N/A</c:v>
                </c:pt>
                <c:pt idx="90">
                  <c:v>#N/A</c:v>
                </c:pt>
                <c:pt idx="91">
                  <c:v>#N/A</c:v>
                </c:pt>
                <c:pt idx="92">
                  <c:v>#N/A</c:v>
                </c:pt>
                <c:pt idx="93">
                  <c:v>#N/A</c:v>
                </c:pt>
                <c:pt idx="94">
                  <c:v>#N/A</c:v>
                </c:pt>
                <c:pt idx="95">
                  <c:v>2026</c:v>
                </c:pt>
                <c:pt idx="96">
                  <c:v>#N/A</c:v>
                </c:pt>
                <c:pt idx="97">
                  <c:v>2021</c:v>
                </c:pt>
                <c:pt idx="98">
                  <c:v>2023</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2025</c:v>
                </c:pt>
                <c:pt idx="132">
                  <c:v>2024</c:v>
                </c:pt>
                <c:pt idx="133">
                  <c:v>#N/A</c:v>
                </c:pt>
                <c:pt idx="134">
                  <c:v>2025</c:v>
                </c:pt>
                <c:pt idx="135">
                  <c:v>#N/A</c:v>
                </c:pt>
                <c:pt idx="136">
                  <c:v>#N/A</c:v>
                </c:pt>
                <c:pt idx="137">
                  <c:v>#N/A</c:v>
                </c:pt>
                <c:pt idx="138">
                  <c:v>#N/A</c:v>
                </c:pt>
                <c:pt idx="139">
                  <c:v>2026</c:v>
                </c:pt>
                <c:pt idx="140">
                  <c:v>#N/A</c:v>
                </c:pt>
                <c:pt idx="141">
                  <c:v>#N/A</c:v>
                </c:pt>
                <c:pt idx="142">
                  <c:v>2015</c:v>
                </c:pt>
                <c:pt idx="143">
                  <c:v>2020</c:v>
                </c:pt>
                <c:pt idx="144">
                  <c:v>#N/A</c:v>
                </c:pt>
                <c:pt idx="145">
                  <c:v>#N/A</c:v>
                </c:pt>
                <c:pt idx="146">
                  <c:v>#N/A</c:v>
                </c:pt>
                <c:pt idx="147">
                  <c:v>#N/A</c:v>
                </c:pt>
                <c:pt idx="148">
                  <c:v>#N/A</c:v>
                </c:pt>
                <c:pt idx="149">
                  <c:v>#N/A</c:v>
                </c:pt>
                <c:pt idx="150">
                  <c:v>#N/A</c:v>
                </c:pt>
                <c:pt idx="151">
                  <c:v>#N/A</c:v>
                </c:pt>
                <c:pt idx="152">
                  <c:v>2020</c:v>
                </c:pt>
                <c:pt idx="153">
                  <c:v>#N/A</c:v>
                </c:pt>
                <c:pt idx="154">
                  <c:v>2019</c:v>
                </c:pt>
                <c:pt idx="155">
                  <c:v>#N/A</c:v>
                </c:pt>
                <c:pt idx="156">
                  <c:v>#N/A</c:v>
                </c:pt>
                <c:pt idx="157">
                  <c:v>#N/A</c:v>
                </c:pt>
                <c:pt idx="158">
                  <c:v>#N/A</c:v>
                </c:pt>
                <c:pt idx="159">
                  <c:v>#N/A</c:v>
                </c:pt>
                <c:pt idx="160">
                  <c:v>#N/A</c:v>
                </c:pt>
                <c:pt idx="161">
                  <c:v>#N/A</c:v>
                </c:pt>
                <c:pt idx="162">
                  <c:v>2018</c:v>
                </c:pt>
                <c:pt idx="163">
                  <c:v>#N/A</c:v>
                </c:pt>
                <c:pt idx="164">
                  <c:v>2016</c:v>
                </c:pt>
                <c:pt idx="165">
                  <c:v>2020</c:v>
                </c:pt>
                <c:pt idx="166">
                  <c:v>#N/A</c:v>
                </c:pt>
                <c:pt idx="167">
                  <c:v>#N/A</c:v>
                </c:pt>
                <c:pt idx="168">
                  <c:v>2026</c:v>
                </c:pt>
                <c:pt idx="169">
                  <c:v>#N/A</c:v>
                </c:pt>
                <c:pt idx="170">
                  <c:v>#N/A</c:v>
                </c:pt>
                <c:pt idx="171">
                  <c:v>#N/A</c:v>
                </c:pt>
                <c:pt idx="172">
                  <c:v>#N/A</c:v>
                </c:pt>
                <c:pt idx="173">
                  <c:v>2015</c:v>
                </c:pt>
                <c:pt idx="174">
                  <c:v>2023</c:v>
                </c:pt>
                <c:pt idx="175">
                  <c:v>#N/A</c:v>
                </c:pt>
                <c:pt idx="176">
                  <c:v>#N/A</c:v>
                </c:pt>
                <c:pt idx="177">
                  <c:v>#N/A</c:v>
                </c:pt>
                <c:pt idx="178">
                  <c:v>#N/A</c:v>
                </c:pt>
                <c:pt idx="179">
                  <c:v>2026</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2019</c:v>
                </c:pt>
                <c:pt idx="197">
                  <c:v>#N/A</c:v>
                </c:pt>
                <c:pt idx="198">
                  <c:v>2022</c:v>
                </c:pt>
                <c:pt idx="199">
                  <c:v>#N/A</c:v>
                </c:pt>
                <c:pt idx="200">
                  <c:v>#N/A</c:v>
                </c:pt>
                <c:pt idx="201">
                  <c:v>2018</c:v>
                </c:pt>
                <c:pt idx="202">
                  <c:v>#N/A</c:v>
                </c:pt>
                <c:pt idx="203">
                  <c:v>#N/A</c:v>
                </c:pt>
                <c:pt idx="204">
                  <c:v>#N/A</c:v>
                </c:pt>
                <c:pt idx="205">
                  <c:v>#N/A</c:v>
                </c:pt>
                <c:pt idx="206">
                  <c:v>#N/A</c:v>
                </c:pt>
                <c:pt idx="207">
                  <c:v>#N/A</c:v>
                </c:pt>
                <c:pt idx="208">
                  <c:v>2025</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2022</c:v>
                </c:pt>
                <c:pt idx="224">
                  <c:v>2026</c:v>
                </c:pt>
                <c:pt idx="225">
                  <c:v>#N/A</c:v>
                </c:pt>
                <c:pt idx="226">
                  <c:v>#N/A</c:v>
                </c:pt>
                <c:pt idx="227">
                  <c:v>#N/A</c:v>
                </c:pt>
                <c:pt idx="228">
                  <c:v>#N/A</c:v>
                </c:pt>
                <c:pt idx="229">
                  <c:v>2019</c:v>
                </c:pt>
                <c:pt idx="230">
                  <c:v>#N/A</c:v>
                </c:pt>
                <c:pt idx="231">
                  <c:v>#N/A</c:v>
                </c:pt>
                <c:pt idx="232">
                  <c:v>#N/A</c:v>
                </c:pt>
                <c:pt idx="233">
                  <c:v>#N/A</c:v>
                </c:pt>
                <c:pt idx="234">
                  <c:v>#N/A</c:v>
                </c:pt>
                <c:pt idx="235">
                  <c:v>#N/A</c:v>
                </c:pt>
                <c:pt idx="236">
                  <c:v>2025</c:v>
                </c:pt>
                <c:pt idx="237">
                  <c:v>#N/A</c:v>
                </c:pt>
                <c:pt idx="238">
                  <c:v>#N/A</c:v>
                </c:pt>
                <c:pt idx="239">
                  <c:v>2024</c:v>
                </c:pt>
                <c:pt idx="240">
                  <c:v>#N/A</c:v>
                </c:pt>
                <c:pt idx="241">
                  <c:v>2025</c:v>
                </c:pt>
                <c:pt idx="242">
                  <c:v>2025</c:v>
                </c:pt>
                <c:pt idx="243">
                  <c:v>#N/A</c:v>
                </c:pt>
                <c:pt idx="244">
                  <c:v>#N/A</c:v>
                </c:pt>
                <c:pt idx="245">
                  <c:v>2021</c:v>
                </c:pt>
                <c:pt idx="246">
                  <c:v>#N/A</c:v>
                </c:pt>
                <c:pt idx="247">
                  <c:v>#N/A</c:v>
                </c:pt>
                <c:pt idx="248">
                  <c:v>#N/A</c:v>
                </c:pt>
                <c:pt idx="249">
                  <c:v>2016</c:v>
                </c:pt>
                <c:pt idx="250">
                  <c:v>#N/A</c:v>
                </c:pt>
                <c:pt idx="251">
                  <c:v>#N/A</c:v>
                </c:pt>
                <c:pt idx="252">
                  <c:v>#N/A</c:v>
                </c:pt>
                <c:pt idx="253">
                  <c:v>#N/A</c:v>
                </c:pt>
                <c:pt idx="254">
                  <c:v>#N/A</c:v>
                </c:pt>
                <c:pt idx="255">
                  <c:v>#N/A</c:v>
                </c:pt>
                <c:pt idx="256">
                  <c:v>2006</c:v>
                </c:pt>
                <c:pt idx="257">
                  <c:v>2023</c:v>
                </c:pt>
                <c:pt idx="258">
                  <c:v>#N/A</c:v>
                </c:pt>
                <c:pt idx="259">
                  <c:v>#N/A</c:v>
                </c:pt>
                <c:pt idx="260">
                  <c:v>#N/A</c:v>
                </c:pt>
                <c:pt idx="261">
                  <c:v>#N/A</c:v>
                </c:pt>
                <c:pt idx="262">
                  <c:v>#N/A</c:v>
                </c:pt>
                <c:pt idx="263">
                  <c:v>#N/A</c:v>
                </c:pt>
                <c:pt idx="264">
                  <c:v>#N/A</c:v>
                </c:pt>
                <c:pt idx="265">
                  <c:v>2024</c:v>
                </c:pt>
                <c:pt idx="266">
                  <c:v>#N/A</c:v>
                </c:pt>
                <c:pt idx="267">
                  <c:v>#N/A</c:v>
                </c:pt>
                <c:pt idx="268">
                  <c:v>#N/A</c:v>
                </c:pt>
                <c:pt idx="269">
                  <c:v>2025</c:v>
                </c:pt>
                <c:pt idx="270">
                  <c:v>#N/A</c:v>
                </c:pt>
                <c:pt idx="271">
                  <c:v>#N/A</c:v>
                </c:pt>
                <c:pt idx="272">
                  <c:v>#N/A</c:v>
                </c:pt>
                <c:pt idx="273">
                  <c:v>#N/A</c:v>
                </c:pt>
                <c:pt idx="274">
                  <c:v>#N/A</c:v>
                </c:pt>
                <c:pt idx="275">
                  <c:v>#N/A</c:v>
                </c:pt>
                <c:pt idx="276">
                  <c:v>#N/A</c:v>
                </c:pt>
                <c:pt idx="277">
                  <c:v>#N/A</c:v>
                </c:pt>
                <c:pt idx="278">
                  <c:v>#N/A</c:v>
                </c:pt>
                <c:pt idx="279">
                  <c:v>2018</c:v>
                </c:pt>
                <c:pt idx="280">
                  <c:v>2024</c:v>
                </c:pt>
                <c:pt idx="281">
                  <c:v>#N/A</c:v>
                </c:pt>
                <c:pt idx="282">
                  <c:v>#N/A</c:v>
                </c:pt>
                <c:pt idx="283">
                  <c:v>#N/A</c:v>
                </c:pt>
                <c:pt idx="284">
                  <c:v>#N/A</c:v>
                </c:pt>
                <c:pt idx="285">
                  <c:v>2025</c:v>
                </c:pt>
                <c:pt idx="286">
                  <c:v>#N/A</c:v>
                </c:pt>
                <c:pt idx="287">
                  <c:v>#N/A</c:v>
                </c:pt>
                <c:pt idx="288">
                  <c:v>#N/A</c:v>
                </c:pt>
                <c:pt idx="289">
                  <c:v>2018</c:v>
                </c:pt>
                <c:pt idx="290">
                  <c:v>2023</c:v>
                </c:pt>
                <c:pt idx="291">
                  <c:v>#N/A</c:v>
                </c:pt>
                <c:pt idx="292">
                  <c:v>#N/A</c:v>
                </c:pt>
                <c:pt idx="293">
                  <c:v>2022</c:v>
                </c:pt>
                <c:pt idx="294">
                  <c:v>#N/A</c:v>
                </c:pt>
                <c:pt idx="295">
                  <c:v>#N/A</c:v>
                </c:pt>
                <c:pt idx="296">
                  <c:v>#N/A</c:v>
                </c:pt>
                <c:pt idx="297">
                  <c:v>2012</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2025</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2017</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2025</c:v>
                </c:pt>
                <c:pt idx="367">
                  <c:v>2026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2015</c:v>
                </c:pt>
                <c:pt idx="383">
                  <c:v>#N/A</c:v>
                </c:pt>
                <c:pt idx="384">
                  <c:v>2023</c:v>
                </c:pt>
                <c:pt idx="385">
                  <c:v>2025</c:v>
                </c:pt>
                <c:pt idx="386">
                  <c:v>#N/A</c:v>
                </c:pt>
                <c:pt idx="387">
                  <c:v>#N/A</c:v>
                </c:pt>
                <c:pt idx="388">
                  <c:v>2021</c:v>
                </c:pt>
                <c:pt idx="389">
                  <c:v>2018</c:v>
                </c:pt>
                <c:pt idx="390">
                  <c:v>#N/A</c:v>
                </c:pt>
                <c:pt idx="391">
                  <c:v>2019</c:v>
                </c:pt>
                <c:pt idx="392">
                  <c:v>#N/A</c:v>
                </c:pt>
                <c:pt idx="393">
                  <c:v>#N/A</c:v>
                </c:pt>
                <c:pt idx="394">
                  <c:v>#N/A</c:v>
                </c:pt>
                <c:pt idx="395">
                  <c:v>#N/A</c:v>
                </c:pt>
                <c:pt idx="396">
                  <c:v>#N/A</c:v>
                </c:pt>
                <c:pt idx="397">
                  <c:v>#N/A</c:v>
                </c:pt>
                <c:pt idx="398">
                  <c:v>#N/A</c:v>
                </c:pt>
                <c:pt idx="399">
                  <c:v>2024</c:v>
                </c:pt>
                <c:pt idx="400">
                  <c:v>#N/A</c:v>
                </c:pt>
                <c:pt idx="401">
                  <c:v>#N/A</c:v>
                </c:pt>
                <c:pt idx="402">
                  <c:v>#N/A</c:v>
                </c:pt>
                <c:pt idx="403">
                  <c:v>#N/A</c:v>
                </c:pt>
                <c:pt idx="404">
                  <c:v>2025</c:v>
                </c:pt>
                <c:pt idx="405">
                  <c:v>#N/A</c:v>
                </c:pt>
                <c:pt idx="406">
                  <c:v>2016</c:v>
                </c:pt>
                <c:pt idx="407">
                  <c:v>#N/A</c:v>
                </c:pt>
                <c:pt idx="408">
                  <c:v>2025</c:v>
                </c:pt>
                <c:pt idx="409">
                  <c:v>#N/A</c:v>
                </c:pt>
                <c:pt idx="410">
                  <c:v>#N/A</c:v>
                </c:pt>
                <c:pt idx="411">
                  <c:v>#N/A</c:v>
                </c:pt>
                <c:pt idx="412">
                  <c:v>#N/A</c:v>
                </c:pt>
                <c:pt idx="413">
                  <c:v>#N/A</c:v>
                </c:pt>
                <c:pt idx="414">
                  <c:v>#N/A</c:v>
                </c:pt>
                <c:pt idx="415">
                  <c:v>#N/A</c:v>
                </c:pt>
                <c:pt idx="416">
                  <c:v>2019</c:v>
                </c:pt>
                <c:pt idx="417">
                  <c:v>2026</c:v>
                </c:pt>
                <c:pt idx="418">
                  <c:v>#N/A</c:v>
                </c:pt>
                <c:pt idx="419">
                  <c:v>#N/A</c:v>
                </c:pt>
                <c:pt idx="420">
                  <c:v>2023</c:v>
                </c:pt>
                <c:pt idx="421">
                  <c:v>#N/A</c:v>
                </c:pt>
                <c:pt idx="422">
                  <c:v>#N/A</c:v>
                </c:pt>
                <c:pt idx="423">
                  <c:v>#N/A</c:v>
                </c:pt>
                <c:pt idx="424">
                  <c:v>2024</c:v>
                </c:pt>
                <c:pt idx="425">
                  <c:v>2021</c:v>
                </c:pt>
                <c:pt idx="426">
                  <c:v>2017</c:v>
                </c:pt>
                <c:pt idx="427">
                  <c:v>2022</c:v>
                </c:pt>
                <c:pt idx="428">
                  <c:v>2025</c:v>
                </c:pt>
                <c:pt idx="429">
                  <c:v>#N/A</c:v>
                </c:pt>
                <c:pt idx="430">
                  <c:v>#N/A</c:v>
                </c:pt>
                <c:pt idx="431">
                  <c:v>#N/A</c:v>
                </c:pt>
                <c:pt idx="432">
                  <c:v>#N/A</c:v>
                </c:pt>
                <c:pt idx="433">
                  <c:v>#N/A</c:v>
                </c:pt>
                <c:pt idx="434">
                  <c:v>#N/A</c:v>
                </c:pt>
                <c:pt idx="435">
                  <c:v>#N/A</c:v>
                </c:pt>
                <c:pt idx="436">
                  <c:v>#N/A</c:v>
                </c:pt>
                <c:pt idx="437">
                  <c:v>#N/A</c:v>
                </c:pt>
                <c:pt idx="438">
                  <c:v>#N/A</c:v>
                </c:pt>
                <c:pt idx="439">
                  <c:v>2026</c:v>
                </c:pt>
                <c:pt idx="440">
                  <c:v>#N/A</c:v>
                </c:pt>
                <c:pt idx="441">
                  <c:v>#N/A</c:v>
                </c:pt>
                <c:pt idx="442">
                  <c:v>#N/A</c:v>
                </c:pt>
                <c:pt idx="443">
                  <c:v>#N/A</c:v>
                </c:pt>
                <c:pt idx="444">
                  <c:v>#N/A</c:v>
                </c:pt>
                <c:pt idx="445">
                  <c:v>#N/A</c:v>
                </c:pt>
                <c:pt idx="446">
                  <c:v>#N/A</c:v>
                </c:pt>
                <c:pt idx="447">
                  <c:v>#N/A</c:v>
                </c:pt>
                <c:pt idx="448">
                  <c:v>#N/A</c:v>
                </c:pt>
                <c:pt idx="449">
                  <c:v>2022</c:v>
                </c:pt>
                <c:pt idx="450">
                  <c:v>#N/A</c:v>
                </c:pt>
                <c:pt idx="451">
                  <c:v>#N/A</c:v>
                </c:pt>
                <c:pt idx="452">
                  <c:v>#N/A</c:v>
                </c:pt>
                <c:pt idx="453">
                  <c:v>#N/A</c:v>
                </c:pt>
                <c:pt idx="454">
                  <c:v>#N/A</c:v>
                </c:pt>
                <c:pt idx="455">
                  <c:v>2024</c:v>
                </c:pt>
                <c:pt idx="456">
                  <c:v>#N/A</c:v>
                </c:pt>
                <c:pt idx="457">
                  <c:v>#N/A</c:v>
                </c:pt>
                <c:pt idx="458">
                  <c:v>2026</c:v>
                </c:pt>
                <c:pt idx="459">
                  <c:v>#N/A</c:v>
                </c:pt>
                <c:pt idx="460">
                  <c:v>2024</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2024</c:v>
                </c:pt>
                <c:pt idx="499">
                  <c:v>#N/A</c:v>
                </c:pt>
                <c:pt idx="500">
                  <c:v>#N/A</c:v>
                </c:pt>
                <c:pt idx="501">
                  <c:v>#N/A</c:v>
                </c:pt>
                <c:pt idx="502">
                  <c:v>#N/A</c:v>
                </c:pt>
                <c:pt idx="503">
                  <c:v>#N/A</c:v>
                </c:pt>
                <c:pt idx="504">
                  <c:v>#N/A</c:v>
                </c:pt>
                <c:pt idx="505">
                  <c:v>#N/A</c:v>
                </c:pt>
                <c:pt idx="506">
                  <c:v>#N/A</c:v>
                </c:pt>
                <c:pt idx="507">
                  <c:v>#N/A</c:v>
                </c:pt>
                <c:pt idx="508">
                  <c:v>#N/A</c:v>
                </c:pt>
                <c:pt idx="509">
                  <c:v>#N/A</c:v>
                </c:pt>
                <c:pt idx="510">
                  <c:v>2024</c:v>
                </c:pt>
                <c:pt idx="511">
                  <c:v>#N/A</c:v>
                </c:pt>
                <c:pt idx="512">
                  <c:v>#N/A</c:v>
                </c:pt>
                <c:pt idx="513">
                  <c:v>#N/A</c:v>
                </c:pt>
                <c:pt idx="514">
                  <c:v>#N/A</c:v>
                </c:pt>
                <c:pt idx="515">
                  <c:v>2025</c:v>
                </c:pt>
                <c:pt idx="516">
                  <c:v>#N/A</c:v>
                </c:pt>
                <c:pt idx="517">
                  <c:v>2025</c:v>
                </c:pt>
                <c:pt idx="518">
                  <c:v>#N/A</c:v>
                </c:pt>
                <c:pt idx="519">
                  <c:v>#N/A</c:v>
                </c:pt>
                <c:pt idx="520">
                  <c:v>2024</c:v>
                </c:pt>
                <c:pt idx="521">
                  <c:v>#N/A</c:v>
                </c:pt>
                <c:pt idx="522">
                  <c:v>#N/A</c:v>
                </c:pt>
                <c:pt idx="523">
                  <c:v>2026</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2025</c:v>
                </c:pt>
                <c:pt idx="542">
                  <c:v>#N/A</c:v>
                </c:pt>
                <c:pt idx="543">
                  <c:v>#N/A</c:v>
                </c:pt>
                <c:pt idx="544">
                  <c:v>#N/A</c:v>
                </c:pt>
                <c:pt idx="545">
                  <c:v>#N/A</c:v>
                </c:pt>
                <c:pt idx="546">
                  <c:v>#N/A</c:v>
                </c:pt>
                <c:pt idx="547">
                  <c:v>2025</c:v>
                </c:pt>
                <c:pt idx="548">
                  <c:v>#N/A</c:v>
                </c:pt>
                <c:pt idx="549">
                  <c:v>#N/A</c:v>
                </c:pt>
                <c:pt idx="550">
                  <c:v>#N/A</c:v>
                </c:pt>
                <c:pt idx="551">
                  <c:v>#N/A</c:v>
                </c:pt>
                <c:pt idx="552">
                  <c:v>2021</c:v>
                </c:pt>
                <c:pt idx="553">
                  <c:v>#N/A</c:v>
                </c:pt>
                <c:pt idx="554">
                  <c:v>#N/A</c:v>
                </c:pt>
                <c:pt idx="555">
                  <c:v>#N/A</c:v>
                </c:pt>
                <c:pt idx="556">
                  <c:v>#N/A</c:v>
                </c:pt>
                <c:pt idx="557">
                  <c:v>#N/A</c:v>
                </c:pt>
                <c:pt idx="558">
                  <c:v>#N/A</c:v>
                </c:pt>
                <c:pt idx="559">
                  <c:v>#N/A</c:v>
                </c:pt>
                <c:pt idx="560">
                  <c:v>#N/A</c:v>
                </c:pt>
                <c:pt idx="561">
                  <c:v>2022</c:v>
                </c:pt>
                <c:pt idx="562">
                  <c:v>#N/A</c:v>
                </c:pt>
                <c:pt idx="563">
                  <c:v>#N/A</c:v>
                </c:pt>
                <c:pt idx="564">
                  <c:v>#N/A</c:v>
                </c:pt>
                <c:pt idx="565">
                  <c:v>#N/A</c:v>
                </c:pt>
                <c:pt idx="566">
                  <c:v>#N/A</c:v>
                </c:pt>
                <c:pt idx="567">
                  <c:v>2026</c:v>
                </c:pt>
                <c:pt idx="568">
                  <c:v>2021</c:v>
                </c:pt>
                <c:pt idx="569">
                  <c:v>2026</c:v>
                </c:pt>
                <c:pt idx="570">
                  <c:v>#N/A</c:v>
                </c:pt>
                <c:pt idx="571">
                  <c:v>#N/A</c:v>
                </c:pt>
                <c:pt idx="572">
                  <c:v>#N/A</c:v>
                </c:pt>
                <c:pt idx="573">
                  <c:v>#N/A</c:v>
                </c:pt>
                <c:pt idx="574">
                  <c:v>#N/A</c:v>
                </c:pt>
                <c:pt idx="575">
                  <c:v>#N/A</c:v>
                </c:pt>
                <c:pt idx="576">
                  <c:v>#N/A</c:v>
                </c:pt>
                <c:pt idx="577">
                  <c:v>2024</c:v>
                </c:pt>
                <c:pt idx="578">
                  <c:v>2025</c:v>
                </c:pt>
                <c:pt idx="579">
                  <c:v>2020</c:v>
                </c:pt>
                <c:pt idx="580">
                  <c:v>#N/A</c:v>
                </c:pt>
                <c:pt idx="581">
                  <c:v>#N/A</c:v>
                </c:pt>
                <c:pt idx="582">
                  <c:v>2026</c:v>
                </c:pt>
                <c:pt idx="583">
                  <c:v>#N/A</c:v>
                </c:pt>
                <c:pt idx="584">
                  <c:v>#N/A</c:v>
                </c:pt>
                <c:pt idx="585">
                  <c:v>#N/A</c:v>
                </c:pt>
                <c:pt idx="586">
                  <c:v>#N/A</c:v>
                </c:pt>
                <c:pt idx="587">
                  <c:v>#N/A</c:v>
                </c:pt>
                <c:pt idx="588">
                  <c:v>#N/A</c:v>
                </c:pt>
                <c:pt idx="589">
                  <c:v>2024</c:v>
                </c:pt>
                <c:pt idx="590">
                  <c:v>#N/A</c:v>
                </c:pt>
                <c:pt idx="591">
                  <c:v>#N/A</c:v>
                </c:pt>
                <c:pt idx="592">
                  <c:v>#N/A</c:v>
                </c:pt>
                <c:pt idx="593">
                  <c:v>#N/A</c:v>
                </c:pt>
                <c:pt idx="594">
                  <c:v>#N/A</c:v>
                </c:pt>
                <c:pt idx="595">
                  <c:v>#N/A</c:v>
                </c:pt>
                <c:pt idx="596">
                  <c:v>#N/A</c:v>
                </c:pt>
                <c:pt idx="597">
                  <c:v>#N/A</c:v>
                </c:pt>
                <c:pt idx="598">
                  <c:v>#N/A</c:v>
                </c:pt>
                <c:pt idx="599">
                  <c:v>#N/A</c:v>
                </c:pt>
                <c:pt idx="600">
                  <c:v>#N/A</c:v>
                </c:pt>
                <c:pt idx="601">
                  <c:v>2015</c:v>
                </c:pt>
                <c:pt idx="602">
                  <c:v>#N/A</c:v>
                </c:pt>
                <c:pt idx="603">
                  <c:v>#N/A</c:v>
                </c:pt>
                <c:pt idx="604">
                  <c:v>#N/A</c:v>
                </c:pt>
                <c:pt idx="605">
                  <c:v>#N/A</c:v>
                </c:pt>
                <c:pt idx="606">
                  <c:v>#N/A</c:v>
                </c:pt>
                <c:pt idx="607">
                  <c:v>#N/A</c:v>
                </c:pt>
                <c:pt idx="608">
                  <c:v>#N/A</c:v>
                </c:pt>
                <c:pt idx="609">
                  <c:v>#N/A</c:v>
                </c:pt>
                <c:pt idx="610">
                  <c:v>#N/A</c:v>
                </c:pt>
                <c:pt idx="611">
                  <c:v>#N/A</c:v>
                </c:pt>
                <c:pt idx="612">
                  <c:v>#N/A</c:v>
                </c:pt>
                <c:pt idx="613">
                  <c:v>2020</c:v>
                </c:pt>
                <c:pt idx="614">
                  <c:v>#N/A</c:v>
                </c:pt>
                <c:pt idx="615">
                  <c:v>#N/A</c:v>
                </c:pt>
                <c:pt idx="616">
                  <c:v>#N/A</c:v>
                </c:pt>
                <c:pt idx="617">
                  <c:v>#N/A</c:v>
                </c:pt>
                <c:pt idx="618">
                  <c:v>#N/A</c:v>
                </c:pt>
                <c:pt idx="619">
                  <c:v>2014</c:v>
                </c:pt>
                <c:pt idx="620">
                  <c:v>#N/A</c:v>
                </c:pt>
                <c:pt idx="621">
                  <c:v>#N/A</c:v>
                </c:pt>
                <c:pt idx="622">
                  <c:v>#N/A</c:v>
                </c:pt>
                <c:pt idx="623">
                  <c:v>2024</c:v>
                </c:pt>
                <c:pt idx="624">
                  <c:v>#N/A</c:v>
                </c:pt>
                <c:pt idx="625">
                  <c:v>#N/A</c:v>
                </c:pt>
                <c:pt idx="626">
                  <c:v>#N/A</c:v>
                </c:pt>
                <c:pt idx="627">
                  <c:v>#N/A</c:v>
                </c:pt>
                <c:pt idx="628">
                  <c:v>#N/A</c:v>
                </c:pt>
                <c:pt idx="629">
                  <c:v>#N/A</c:v>
                </c:pt>
                <c:pt idx="630">
                  <c:v>#N/A</c:v>
                </c:pt>
                <c:pt idx="631">
                  <c:v>2021</c:v>
                </c:pt>
                <c:pt idx="632">
                  <c:v>2022</c:v>
                </c:pt>
                <c:pt idx="633">
                  <c:v>#N/A</c:v>
                </c:pt>
                <c:pt idx="634">
                  <c:v>2016</c:v>
                </c:pt>
                <c:pt idx="635">
                  <c:v>#N/A</c:v>
                </c:pt>
                <c:pt idx="636">
                  <c:v>#N/A</c:v>
                </c:pt>
                <c:pt idx="637">
                  <c:v>#N/A</c:v>
                </c:pt>
                <c:pt idx="638">
                  <c:v>#N/A</c:v>
                </c:pt>
                <c:pt idx="639">
                  <c:v>#N/A</c:v>
                </c:pt>
                <c:pt idx="640">
                  <c:v>2022</c:v>
                </c:pt>
                <c:pt idx="641">
                  <c:v>2021</c:v>
                </c:pt>
                <c:pt idx="642">
                  <c:v>2024</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2025</c:v>
                </c:pt>
                <c:pt idx="659">
                  <c:v>#N/A</c:v>
                </c:pt>
                <c:pt idx="660">
                  <c:v>#N/A</c:v>
                </c:pt>
                <c:pt idx="661">
                  <c:v>#N/A</c:v>
                </c:pt>
                <c:pt idx="662">
                  <c:v>#N/A</c:v>
                </c:pt>
                <c:pt idx="663">
                  <c:v>2025</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2023</c:v>
                </c:pt>
                <c:pt idx="678">
                  <c:v>#N/A</c:v>
                </c:pt>
                <c:pt idx="679">
                  <c:v>2022</c:v>
                </c:pt>
                <c:pt idx="680">
                  <c:v>#N/A</c:v>
                </c:pt>
                <c:pt idx="681">
                  <c:v>#N/A</c:v>
                </c:pt>
                <c:pt idx="682">
                  <c:v>#N/A</c:v>
                </c:pt>
                <c:pt idx="683">
                  <c:v>2026</c:v>
                </c:pt>
                <c:pt idx="684">
                  <c:v>#N/A</c:v>
                </c:pt>
                <c:pt idx="685">
                  <c:v>#N/A</c:v>
                </c:pt>
                <c:pt idx="686">
                  <c:v>#N/A</c:v>
                </c:pt>
                <c:pt idx="687">
                  <c:v>#N/A</c:v>
                </c:pt>
                <c:pt idx="688">
                  <c:v>#N/A</c:v>
                </c:pt>
                <c:pt idx="689">
                  <c:v>#N/A</c:v>
                </c:pt>
                <c:pt idx="690">
                  <c:v>#N/A</c:v>
                </c:pt>
                <c:pt idx="691">
                  <c:v>#N/A</c:v>
                </c:pt>
                <c:pt idx="692">
                  <c:v>2018</c:v>
                </c:pt>
                <c:pt idx="693">
                  <c:v>#N/A</c:v>
                </c:pt>
                <c:pt idx="694">
                  <c:v>#N/A</c:v>
                </c:pt>
                <c:pt idx="695">
                  <c:v>#N/A</c:v>
                </c:pt>
                <c:pt idx="696">
                  <c:v>#N/A</c:v>
                </c:pt>
                <c:pt idx="697">
                  <c:v>#N/A</c:v>
                </c:pt>
                <c:pt idx="698">
                  <c:v>#N/A</c:v>
                </c:pt>
                <c:pt idx="699">
                  <c:v>#N/A</c:v>
                </c:pt>
                <c:pt idx="700">
                  <c:v>2025</c:v>
                </c:pt>
                <c:pt idx="701">
                  <c:v>#N/A</c:v>
                </c:pt>
                <c:pt idx="702">
                  <c:v>#N/A</c:v>
                </c:pt>
                <c:pt idx="703">
                  <c:v>#N/A</c:v>
                </c:pt>
                <c:pt idx="704">
                  <c:v>#N/A</c:v>
                </c:pt>
                <c:pt idx="705">
                  <c:v>#N/A</c:v>
                </c:pt>
                <c:pt idx="706">
                  <c:v>#N/A</c:v>
                </c:pt>
                <c:pt idx="707">
                  <c:v>#N/A</c:v>
                </c:pt>
                <c:pt idx="708">
                  <c:v>2024</c:v>
                </c:pt>
                <c:pt idx="709">
                  <c:v>#N/A</c:v>
                </c:pt>
                <c:pt idx="710">
                  <c:v>#N/A</c:v>
                </c:pt>
                <c:pt idx="711">
                  <c:v>2023</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2020</c:v>
                </c:pt>
                <c:pt idx="725">
                  <c:v>#N/A</c:v>
                </c:pt>
                <c:pt idx="726">
                  <c:v>#N/A</c:v>
                </c:pt>
                <c:pt idx="727">
                  <c:v>#N/A</c:v>
                </c:pt>
                <c:pt idx="728">
                  <c:v>#N/A</c:v>
                </c:pt>
                <c:pt idx="729">
                  <c:v>#N/A</c:v>
                </c:pt>
                <c:pt idx="730">
                  <c:v>#N/A</c:v>
                </c:pt>
                <c:pt idx="731">
                  <c:v>#N/A</c:v>
                </c:pt>
                <c:pt idx="732">
                  <c:v>2023</c:v>
                </c:pt>
                <c:pt idx="733">
                  <c:v>#N/A</c:v>
                </c:pt>
                <c:pt idx="734">
                  <c:v>2002</c:v>
                </c:pt>
                <c:pt idx="735">
                  <c:v>#N/A</c:v>
                </c:pt>
                <c:pt idx="736">
                  <c:v>#N/A</c:v>
                </c:pt>
                <c:pt idx="737">
                  <c:v>#N/A</c:v>
                </c:pt>
                <c:pt idx="738">
                  <c:v>2015</c:v>
                </c:pt>
                <c:pt idx="739">
                  <c:v>2021</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2026</c:v>
                </c:pt>
                <c:pt idx="756">
                  <c:v>#N/A</c:v>
                </c:pt>
                <c:pt idx="757">
                  <c:v>#N/A</c:v>
                </c:pt>
                <c:pt idx="758">
                  <c:v>#N/A</c:v>
                </c:pt>
                <c:pt idx="759">
                  <c:v>#N/A</c:v>
                </c:pt>
                <c:pt idx="760">
                  <c:v>#N/A</c:v>
                </c:pt>
                <c:pt idx="761">
                  <c:v>2026</c:v>
                </c:pt>
                <c:pt idx="762">
                  <c:v>#N/A</c:v>
                </c:pt>
                <c:pt idx="763">
                  <c:v>#N/A</c:v>
                </c:pt>
                <c:pt idx="764">
                  <c:v>2019</c:v>
                </c:pt>
                <c:pt idx="765">
                  <c:v>#N/A</c:v>
                </c:pt>
                <c:pt idx="766">
                  <c:v>#N/A</c:v>
                </c:pt>
                <c:pt idx="767">
                  <c:v>#N/A</c:v>
                </c:pt>
                <c:pt idx="768">
                  <c:v>2022</c:v>
                </c:pt>
                <c:pt idx="769">
                  <c:v>#N/A</c:v>
                </c:pt>
                <c:pt idx="770">
                  <c:v>#N/A</c:v>
                </c:pt>
                <c:pt idx="771">
                  <c:v>2025</c:v>
                </c:pt>
                <c:pt idx="772">
                  <c:v>#N/A</c:v>
                </c:pt>
                <c:pt idx="773">
                  <c:v>#N/A</c:v>
                </c:pt>
                <c:pt idx="774">
                  <c:v>#N/A</c:v>
                </c:pt>
                <c:pt idx="775">
                  <c:v>#N/A</c:v>
                </c:pt>
                <c:pt idx="776">
                  <c:v>#N/A</c:v>
                </c:pt>
                <c:pt idx="777">
                  <c:v>#N/A</c:v>
                </c:pt>
                <c:pt idx="778">
                  <c:v>#N/A</c:v>
                </c:pt>
                <c:pt idx="779">
                  <c:v>#N/A</c:v>
                </c:pt>
                <c:pt idx="780">
                  <c:v>2025</c:v>
                </c:pt>
                <c:pt idx="781">
                  <c:v>2024</c:v>
                </c:pt>
                <c:pt idx="782">
                  <c:v>#N/A</c:v>
                </c:pt>
                <c:pt idx="783">
                  <c:v>2021</c:v>
                </c:pt>
                <c:pt idx="784">
                  <c:v>2019</c:v>
                </c:pt>
                <c:pt idx="785">
                  <c:v>#N/A</c:v>
                </c:pt>
                <c:pt idx="786">
                  <c:v>#N/A</c:v>
                </c:pt>
                <c:pt idx="787">
                  <c:v>#N/A</c:v>
                </c:pt>
                <c:pt idx="788">
                  <c:v>2023</c:v>
                </c:pt>
                <c:pt idx="789">
                  <c:v>#N/A</c:v>
                </c:pt>
                <c:pt idx="790">
                  <c:v>#N/A</c:v>
                </c:pt>
                <c:pt idx="791">
                  <c:v>#N/A</c:v>
                </c:pt>
                <c:pt idx="792">
                  <c:v>#N/A</c:v>
                </c:pt>
                <c:pt idx="793">
                  <c:v>#N/A</c:v>
                </c:pt>
                <c:pt idx="794">
                  <c:v>#N/A</c:v>
                </c:pt>
                <c:pt idx="795">
                  <c:v>#N/A</c:v>
                </c:pt>
                <c:pt idx="796">
                  <c:v>2025</c:v>
                </c:pt>
                <c:pt idx="797">
                  <c:v>#N/A</c:v>
                </c:pt>
                <c:pt idx="798">
                  <c:v>#N/A</c:v>
                </c:pt>
                <c:pt idx="799">
                  <c:v>#N/A</c:v>
                </c:pt>
                <c:pt idx="800">
                  <c:v>#N/A</c:v>
                </c:pt>
                <c:pt idx="801">
                  <c:v>#N/A</c:v>
                </c:pt>
                <c:pt idx="802">
                  <c:v>#N/A</c:v>
                </c:pt>
                <c:pt idx="803">
                  <c:v>2022</c:v>
                </c:pt>
                <c:pt idx="804">
                  <c:v>#N/A</c:v>
                </c:pt>
                <c:pt idx="805">
                  <c:v>#N/A</c:v>
                </c:pt>
                <c:pt idx="806">
                  <c:v>#N/A</c:v>
                </c:pt>
                <c:pt idx="807">
                  <c:v>#N/A</c:v>
                </c:pt>
                <c:pt idx="808">
                  <c:v>#N/A</c:v>
                </c:pt>
                <c:pt idx="809">
                  <c:v>#N/A</c:v>
                </c:pt>
                <c:pt idx="810">
                  <c:v>#N/A</c:v>
                </c:pt>
                <c:pt idx="811">
                  <c:v>#N/A</c:v>
                </c:pt>
                <c:pt idx="812">
                  <c:v>#N/A</c:v>
                </c:pt>
                <c:pt idx="813">
                  <c:v>#N/A</c:v>
                </c:pt>
                <c:pt idx="814">
                  <c:v>2025</c:v>
                </c:pt>
                <c:pt idx="815">
                  <c:v>#N/A</c:v>
                </c:pt>
                <c:pt idx="816">
                  <c:v>2024</c:v>
                </c:pt>
                <c:pt idx="817">
                  <c:v>#N/A</c:v>
                </c:pt>
                <c:pt idx="818">
                  <c:v>#N/A</c:v>
                </c:pt>
                <c:pt idx="819">
                  <c:v>#N/A</c:v>
                </c:pt>
                <c:pt idx="820">
                  <c:v>#N/A</c:v>
                </c:pt>
                <c:pt idx="821">
                  <c:v>2024</c:v>
                </c:pt>
                <c:pt idx="822">
                  <c:v>#N/A</c:v>
                </c:pt>
                <c:pt idx="823">
                  <c:v>#N/A</c:v>
                </c:pt>
                <c:pt idx="824">
                  <c:v>#N/A</c:v>
                </c:pt>
                <c:pt idx="825">
                  <c:v>#N/A</c:v>
                </c:pt>
                <c:pt idx="826">
                  <c:v>#N/A</c:v>
                </c:pt>
                <c:pt idx="827">
                  <c:v>#N/A</c:v>
                </c:pt>
                <c:pt idx="828">
                  <c:v>#N/A</c:v>
                </c:pt>
                <c:pt idx="829">
                  <c:v>2021</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2024</c:v>
                </c:pt>
                <c:pt idx="849">
                  <c:v>#N/A</c:v>
                </c:pt>
                <c:pt idx="850">
                  <c:v>#N/A</c:v>
                </c:pt>
                <c:pt idx="851">
                  <c:v>#N/A</c:v>
                </c:pt>
                <c:pt idx="852">
                  <c:v>#N/A</c:v>
                </c:pt>
                <c:pt idx="853">
                  <c:v>2023</c:v>
                </c:pt>
                <c:pt idx="854">
                  <c:v>2025</c:v>
                </c:pt>
                <c:pt idx="855">
                  <c:v>#N/A</c:v>
                </c:pt>
                <c:pt idx="856">
                  <c:v>#N/A</c:v>
                </c:pt>
                <c:pt idx="857">
                  <c:v>#N/A</c:v>
                </c:pt>
                <c:pt idx="858">
                  <c:v>#N/A</c:v>
                </c:pt>
                <c:pt idx="859">
                  <c:v>2017</c:v>
                </c:pt>
                <c:pt idx="860">
                  <c:v>#N/A</c:v>
                </c:pt>
                <c:pt idx="861">
                  <c:v>2012</c:v>
                </c:pt>
                <c:pt idx="862">
                  <c:v>#N/A</c:v>
                </c:pt>
                <c:pt idx="863">
                  <c:v>2005</c:v>
                </c:pt>
                <c:pt idx="864">
                  <c:v>#N/A</c:v>
                </c:pt>
                <c:pt idx="865">
                  <c:v>#N/A</c:v>
                </c:pt>
                <c:pt idx="866">
                  <c:v>#N/A</c:v>
                </c:pt>
                <c:pt idx="867">
                  <c:v>#N/A</c:v>
                </c:pt>
                <c:pt idx="868">
                  <c:v>2019</c:v>
                </c:pt>
                <c:pt idx="869">
                  <c:v>#N/A</c:v>
                </c:pt>
                <c:pt idx="870">
                  <c:v>#N/A</c:v>
                </c:pt>
                <c:pt idx="871">
                  <c:v>#N/A</c:v>
                </c:pt>
                <c:pt idx="872">
                  <c:v>2026</c:v>
                </c:pt>
                <c:pt idx="873">
                  <c:v>#N/A</c:v>
                </c:pt>
                <c:pt idx="874">
                  <c:v>#N/A</c:v>
                </c:pt>
                <c:pt idx="875">
                  <c:v>#N/A</c:v>
                </c:pt>
                <c:pt idx="876">
                  <c:v>#N/A</c:v>
                </c:pt>
                <c:pt idx="877">
                  <c:v>2021</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2.2989999999999999</c:v>
                </c:pt>
                <c:pt idx="81">
                  <c:v>2.3220000000000001</c:v>
                </c:pt>
                <c:pt idx="82">
                  <c:v>#N/A</c:v>
                </c:pt>
                <c:pt idx="83">
                  <c:v>#N/A</c:v>
                </c:pt>
                <c:pt idx="84">
                  <c:v>2.391</c:v>
                </c:pt>
                <c:pt idx="85">
                  <c:v>2.4140000000000001</c:v>
                </c:pt>
                <c:pt idx="86">
                  <c:v>#N/A</c:v>
                </c:pt>
                <c:pt idx="87">
                  <c:v>#N/A</c:v>
                </c:pt>
                <c:pt idx="88">
                  <c:v>#N/A</c:v>
                </c:pt>
                <c:pt idx="89">
                  <c:v>#N/A</c:v>
                </c:pt>
                <c:pt idx="90">
                  <c:v>#N/A</c:v>
                </c:pt>
                <c:pt idx="91">
                  <c:v>#N/A</c:v>
                </c:pt>
                <c:pt idx="92">
                  <c:v>#N/A</c:v>
                </c:pt>
                <c:pt idx="93">
                  <c:v>#N/A</c:v>
                </c:pt>
                <c:pt idx="94">
                  <c:v>#N/A</c:v>
                </c:pt>
                <c:pt idx="95">
                  <c:v>#N/A</c:v>
                </c:pt>
                <c:pt idx="96">
                  <c:v>2.6669999999999998</c:v>
                </c:pt>
                <c:pt idx="97">
                  <c:v>#N/A</c:v>
                </c:pt>
                <c:pt idx="98">
                  <c:v>2.7130000000000001</c:v>
                </c:pt>
                <c:pt idx="99">
                  <c:v>2.7359999999999998</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2.391</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2.7130000000000001</c:v>
                </c:pt>
                <c:pt idx="133">
                  <c:v>2.7359999999999998</c:v>
                </c:pt>
                <c:pt idx="134">
                  <c:v>#N/A</c:v>
                </c:pt>
                <c:pt idx="135">
                  <c:v>2</c:v>
                </c:pt>
                <c:pt idx="136">
                  <c:v>#N/A</c:v>
                </c:pt>
                <c:pt idx="137">
                  <c:v>#N/A</c:v>
                </c:pt>
                <c:pt idx="138">
                  <c:v>#N/A</c:v>
                </c:pt>
                <c:pt idx="139">
                  <c:v>#N/A</c:v>
                </c:pt>
                <c:pt idx="140">
                  <c:v>2.1150000000000002</c:v>
                </c:pt>
                <c:pt idx="141">
                  <c:v>#N/A</c:v>
                </c:pt>
                <c:pt idx="142">
                  <c:v>#N/A</c:v>
                </c:pt>
                <c:pt idx="143">
                  <c:v>2.1840000000000002</c:v>
                </c:pt>
                <c:pt idx="144">
                  <c:v>2.2069999999999999</c:v>
                </c:pt>
                <c:pt idx="145">
                  <c:v>#N/A</c:v>
                </c:pt>
                <c:pt idx="146">
                  <c:v>#N/A</c:v>
                </c:pt>
                <c:pt idx="147">
                  <c:v>#N/A</c:v>
                </c:pt>
                <c:pt idx="148">
                  <c:v>#N/A</c:v>
                </c:pt>
                <c:pt idx="149">
                  <c:v>#N/A</c:v>
                </c:pt>
                <c:pt idx="150">
                  <c:v>#N/A</c:v>
                </c:pt>
                <c:pt idx="151">
                  <c:v>#N/A</c:v>
                </c:pt>
                <c:pt idx="152">
                  <c:v>#N/A</c:v>
                </c:pt>
                <c:pt idx="153">
                  <c:v>2.4140000000000001</c:v>
                </c:pt>
                <c:pt idx="154">
                  <c:v>#N/A</c:v>
                </c:pt>
                <c:pt idx="155">
                  <c:v>2.46</c:v>
                </c:pt>
                <c:pt idx="156">
                  <c:v>#N/A</c:v>
                </c:pt>
                <c:pt idx="157">
                  <c:v>#N/A</c:v>
                </c:pt>
                <c:pt idx="158">
                  <c:v>#N/A</c:v>
                </c:pt>
                <c:pt idx="159">
                  <c:v>#N/A</c:v>
                </c:pt>
                <c:pt idx="160">
                  <c:v>#N/A</c:v>
                </c:pt>
                <c:pt idx="161">
                  <c:v>#N/A</c:v>
                </c:pt>
                <c:pt idx="162">
                  <c:v>#N/A</c:v>
                </c:pt>
                <c:pt idx="163">
                  <c:v>2.6440000000000001</c:v>
                </c:pt>
                <c:pt idx="164">
                  <c:v>#N/A</c:v>
                </c:pt>
                <c:pt idx="165">
                  <c:v>2.69</c:v>
                </c:pt>
                <c:pt idx="166">
                  <c:v>2.7130000000000001</c:v>
                </c:pt>
                <c:pt idx="167">
                  <c:v>#N/A</c:v>
                </c:pt>
                <c:pt idx="168">
                  <c:v>#N/A</c:v>
                </c:pt>
                <c:pt idx="169">
                  <c:v>2</c:v>
                </c:pt>
                <c:pt idx="170">
                  <c:v>#N/A</c:v>
                </c:pt>
                <c:pt idx="171">
                  <c:v>#N/A</c:v>
                </c:pt>
                <c:pt idx="172">
                  <c:v>#N/A</c:v>
                </c:pt>
                <c:pt idx="173">
                  <c:v>#N/A</c:v>
                </c:pt>
                <c:pt idx="174">
                  <c:v>2.1150000000000002</c:v>
                </c:pt>
                <c:pt idx="175">
                  <c:v>2.1379999999999999</c:v>
                </c:pt>
                <c:pt idx="176">
                  <c:v>#N/A</c:v>
                </c:pt>
                <c:pt idx="177">
                  <c:v>#N/A</c:v>
                </c:pt>
                <c:pt idx="178">
                  <c:v>#N/A</c:v>
                </c:pt>
                <c:pt idx="179">
                  <c:v>#N/A</c:v>
                </c:pt>
                <c:pt idx="180">
                  <c:v>2.2530000000000001</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2.6440000000000001</c:v>
                </c:pt>
                <c:pt idx="198">
                  <c:v>#N/A</c:v>
                </c:pt>
                <c:pt idx="199">
                  <c:v>2.69</c:v>
                </c:pt>
                <c:pt idx="200">
                  <c:v>#N/A</c:v>
                </c:pt>
                <c:pt idx="201">
                  <c:v>#N/A</c:v>
                </c:pt>
                <c:pt idx="202">
                  <c:v>2.7589999999999999</c:v>
                </c:pt>
                <c:pt idx="203">
                  <c:v>#N/A</c:v>
                </c:pt>
                <c:pt idx="204">
                  <c:v>#N/A</c:v>
                </c:pt>
                <c:pt idx="205">
                  <c:v>#N/A</c:v>
                </c:pt>
                <c:pt idx="206">
                  <c:v>#N/A</c:v>
                </c:pt>
                <c:pt idx="207">
                  <c:v>#N/A</c:v>
                </c:pt>
                <c:pt idx="208">
                  <c:v>#N/A</c:v>
                </c:pt>
                <c:pt idx="209">
                  <c:v>2.1379999999999999</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2.4830000000000001</c:v>
                </c:pt>
                <c:pt idx="225">
                  <c:v>2.5060000000000002</c:v>
                </c:pt>
                <c:pt idx="226">
                  <c:v>#N/A</c:v>
                </c:pt>
                <c:pt idx="227">
                  <c:v>#N/A</c:v>
                </c:pt>
                <c:pt idx="228">
                  <c:v>#N/A</c:v>
                </c:pt>
                <c:pt idx="229">
                  <c:v>#N/A</c:v>
                </c:pt>
                <c:pt idx="230">
                  <c:v>2.621</c:v>
                </c:pt>
                <c:pt idx="231">
                  <c:v>#N/A</c:v>
                </c:pt>
                <c:pt idx="232">
                  <c:v>#N/A</c:v>
                </c:pt>
                <c:pt idx="233">
                  <c:v>#N/A</c:v>
                </c:pt>
                <c:pt idx="234">
                  <c:v>#N/A</c:v>
                </c:pt>
                <c:pt idx="235">
                  <c:v>#N/A</c:v>
                </c:pt>
                <c:pt idx="236">
                  <c:v>#N/A</c:v>
                </c:pt>
                <c:pt idx="237">
                  <c:v>2</c:v>
                </c:pt>
                <c:pt idx="238">
                  <c:v>#N/A</c:v>
                </c:pt>
                <c:pt idx="239">
                  <c:v>#N/A</c:v>
                </c:pt>
                <c:pt idx="240">
                  <c:v>2.069</c:v>
                </c:pt>
                <c:pt idx="241">
                  <c:v>#N/A</c:v>
                </c:pt>
                <c:pt idx="242">
                  <c:v>2.1150000000000002</c:v>
                </c:pt>
                <c:pt idx="243">
                  <c:v>2.1379999999999999</c:v>
                </c:pt>
                <c:pt idx="244">
                  <c:v>#N/A</c:v>
                </c:pt>
                <c:pt idx="245">
                  <c:v>#N/A</c:v>
                </c:pt>
                <c:pt idx="246">
                  <c:v>2.2069999999999999</c:v>
                </c:pt>
                <c:pt idx="247">
                  <c:v>#N/A</c:v>
                </c:pt>
                <c:pt idx="248">
                  <c:v>#N/A</c:v>
                </c:pt>
                <c:pt idx="249">
                  <c:v>#N/A</c:v>
                </c:pt>
                <c:pt idx="250">
                  <c:v>2.2989999999999999</c:v>
                </c:pt>
                <c:pt idx="251">
                  <c:v>#N/A</c:v>
                </c:pt>
                <c:pt idx="252">
                  <c:v>#N/A</c:v>
                </c:pt>
                <c:pt idx="253">
                  <c:v>#N/A</c:v>
                </c:pt>
                <c:pt idx="254">
                  <c:v>#N/A</c:v>
                </c:pt>
                <c:pt idx="255">
                  <c:v>#N/A</c:v>
                </c:pt>
                <c:pt idx="256">
                  <c:v>#N/A</c:v>
                </c:pt>
                <c:pt idx="257">
                  <c:v>2.46</c:v>
                </c:pt>
                <c:pt idx="258">
                  <c:v>2.4830000000000001</c:v>
                </c:pt>
                <c:pt idx="259">
                  <c:v>#N/A</c:v>
                </c:pt>
                <c:pt idx="260">
                  <c:v>#N/A</c:v>
                </c:pt>
                <c:pt idx="261">
                  <c:v>#N/A</c:v>
                </c:pt>
                <c:pt idx="262">
                  <c:v>#N/A</c:v>
                </c:pt>
                <c:pt idx="263">
                  <c:v>#N/A</c:v>
                </c:pt>
                <c:pt idx="264">
                  <c:v>#N/A</c:v>
                </c:pt>
                <c:pt idx="265">
                  <c:v>#N/A</c:v>
                </c:pt>
                <c:pt idx="266">
                  <c:v>2.6669999999999998</c:v>
                </c:pt>
                <c:pt idx="267">
                  <c:v>#N/A</c:v>
                </c:pt>
                <c:pt idx="268">
                  <c:v>#N/A</c:v>
                </c:pt>
                <c:pt idx="269">
                  <c:v>#N/A</c:v>
                </c:pt>
                <c:pt idx="270">
                  <c:v>2.7589999999999999</c:v>
                </c:pt>
                <c:pt idx="271">
                  <c:v>#N/A</c:v>
                </c:pt>
                <c:pt idx="272">
                  <c:v>#N/A</c:v>
                </c:pt>
                <c:pt idx="273">
                  <c:v>#N/A</c:v>
                </c:pt>
                <c:pt idx="274">
                  <c:v>#N/A</c:v>
                </c:pt>
                <c:pt idx="275">
                  <c:v>#N/A</c:v>
                </c:pt>
                <c:pt idx="276">
                  <c:v>#N/A</c:v>
                </c:pt>
                <c:pt idx="277">
                  <c:v>#N/A</c:v>
                </c:pt>
                <c:pt idx="278">
                  <c:v>#N/A</c:v>
                </c:pt>
                <c:pt idx="279">
                  <c:v>#N/A</c:v>
                </c:pt>
                <c:pt idx="280">
                  <c:v>2.2069999999999999</c:v>
                </c:pt>
                <c:pt idx="281">
                  <c:v>2.23</c:v>
                </c:pt>
                <c:pt idx="282">
                  <c:v>#N/A</c:v>
                </c:pt>
                <c:pt idx="283">
                  <c:v>#N/A</c:v>
                </c:pt>
                <c:pt idx="284">
                  <c:v>#N/A</c:v>
                </c:pt>
                <c:pt idx="285">
                  <c:v>#N/A</c:v>
                </c:pt>
                <c:pt idx="286">
                  <c:v>2.3449999999999998</c:v>
                </c:pt>
                <c:pt idx="287">
                  <c:v>#N/A</c:v>
                </c:pt>
                <c:pt idx="288">
                  <c:v>#N/A</c:v>
                </c:pt>
                <c:pt idx="289">
                  <c:v>#N/A</c:v>
                </c:pt>
                <c:pt idx="290">
                  <c:v>2.4369999999999998</c:v>
                </c:pt>
                <c:pt idx="291">
                  <c:v>2.46</c:v>
                </c:pt>
                <c:pt idx="292">
                  <c:v>#N/A</c:v>
                </c:pt>
                <c:pt idx="293">
                  <c:v>#N/A</c:v>
                </c:pt>
                <c:pt idx="294">
                  <c:v>2.5289999999999999</c:v>
                </c:pt>
                <c:pt idx="295">
                  <c:v>#N/A</c:v>
                </c:pt>
                <c:pt idx="296">
                  <c:v>#N/A</c:v>
                </c:pt>
                <c:pt idx="297">
                  <c:v>#N/A</c:v>
                </c:pt>
                <c:pt idx="298">
                  <c:v>2.621</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2.2530000000000001</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2.69</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2.6440000000000001</c:v>
                </c:pt>
                <c:pt idx="368">
                  <c:v>2.6669999999999998</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2.23</c:v>
                </c:pt>
                <c:pt idx="384">
                  <c:v>#N/A</c:v>
                </c:pt>
                <c:pt idx="385">
                  <c:v>2.2759999999999998</c:v>
                </c:pt>
                <c:pt idx="386">
                  <c:v>2.2989999999999999</c:v>
                </c:pt>
                <c:pt idx="387">
                  <c:v>#N/A</c:v>
                </c:pt>
                <c:pt idx="388">
                  <c:v>#N/A</c:v>
                </c:pt>
                <c:pt idx="389">
                  <c:v>2.3679999999999999</c:v>
                </c:pt>
                <c:pt idx="390">
                  <c:v>2.391</c:v>
                </c:pt>
                <c:pt idx="391">
                  <c:v>#N/A</c:v>
                </c:pt>
                <c:pt idx="392">
                  <c:v>2.4369999999999998</c:v>
                </c:pt>
                <c:pt idx="393">
                  <c:v>#N/A</c:v>
                </c:pt>
                <c:pt idx="394">
                  <c:v>#N/A</c:v>
                </c:pt>
                <c:pt idx="395">
                  <c:v>#N/A</c:v>
                </c:pt>
                <c:pt idx="396">
                  <c:v>#N/A</c:v>
                </c:pt>
                <c:pt idx="397">
                  <c:v>#N/A</c:v>
                </c:pt>
                <c:pt idx="398">
                  <c:v>#N/A</c:v>
                </c:pt>
                <c:pt idx="399">
                  <c:v>#N/A</c:v>
                </c:pt>
                <c:pt idx="400">
                  <c:v>2.621</c:v>
                </c:pt>
                <c:pt idx="401">
                  <c:v>#N/A</c:v>
                </c:pt>
                <c:pt idx="402">
                  <c:v>#N/A</c:v>
                </c:pt>
                <c:pt idx="403">
                  <c:v>#N/A</c:v>
                </c:pt>
                <c:pt idx="404">
                  <c:v>#N/A</c:v>
                </c:pt>
                <c:pt idx="405">
                  <c:v>2.7359999999999998</c:v>
                </c:pt>
                <c:pt idx="406">
                  <c:v>#N/A</c:v>
                </c:pt>
                <c:pt idx="407">
                  <c:v>2</c:v>
                </c:pt>
                <c:pt idx="408">
                  <c:v>#N/A</c:v>
                </c:pt>
                <c:pt idx="409">
                  <c:v>2.0459999999999998</c:v>
                </c:pt>
                <c:pt idx="410">
                  <c:v>#N/A</c:v>
                </c:pt>
                <c:pt idx="411">
                  <c:v>#N/A</c:v>
                </c:pt>
                <c:pt idx="412">
                  <c:v>#N/A</c:v>
                </c:pt>
                <c:pt idx="413">
                  <c:v>#N/A</c:v>
                </c:pt>
                <c:pt idx="414">
                  <c:v>#N/A</c:v>
                </c:pt>
                <c:pt idx="415">
                  <c:v>#N/A</c:v>
                </c:pt>
                <c:pt idx="416">
                  <c:v>#N/A</c:v>
                </c:pt>
                <c:pt idx="417">
                  <c:v>2.23</c:v>
                </c:pt>
                <c:pt idx="418">
                  <c:v>2.2530000000000001</c:v>
                </c:pt>
                <c:pt idx="419">
                  <c:v>#N/A</c:v>
                </c:pt>
                <c:pt idx="420">
                  <c:v>#N/A</c:v>
                </c:pt>
                <c:pt idx="421">
                  <c:v>2.3220000000000001</c:v>
                </c:pt>
                <c:pt idx="422">
                  <c:v>#N/A</c:v>
                </c:pt>
                <c:pt idx="423">
                  <c:v>#N/A</c:v>
                </c:pt>
                <c:pt idx="424">
                  <c:v>#N/A</c:v>
                </c:pt>
                <c:pt idx="425">
                  <c:v>2.4140000000000001</c:v>
                </c:pt>
                <c:pt idx="426">
                  <c:v>2.4369999999999998</c:v>
                </c:pt>
                <c:pt idx="427">
                  <c:v>2.46</c:v>
                </c:pt>
                <c:pt idx="428">
                  <c:v>2.4830000000000001</c:v>
                </c:pt>
                <c:pt idx="429">
                  <c:v>2.5060000000000002</c:v>
                </c:pt>
                <c:pt idx="430">
                  <c:v>#N/A</c:v>
                </c:pt>
                <c:pt idx="431">
                  <c:v>#N/A</c:v>
                </c:pt>
                <c:pt idx="432">
                  <c:v>#N/A</c:v>
                </c:pt>
                <c:pt idx="433">
                  <c:v>#N/A</c:v>
                </c:pt>
                <c:pt idx="434">
                  <c:v>#N/A</c:v>
                </c:pt>
                <c:pt idx="435">
                  <c:v>#N/A</c:v>
                </c:pt>
                <c:pt idx="436">
                  <c:v>#N/A</c:v>
                </c:pt>
                <c:pt idx="437">
                  <c:v>#N/A</c:v>
                </c:pt>
                <c:pt idx="438">
                  <c:v>#N/A</c:v>
                </c:pt>
                <c:pt idx="439">
                  <c:v>#N/A</c:v>
                </c:pt>
                <c:pt idx="440">
                  <c:v>2.7589999999999999</c:v>
                </c:pt>
                <c:pt idx="441">
                  <c:v>#N/A</c:v>
                </c:pt>
                <c:pt idx="442">
                  <c:v>#N/A</c:v>
                </c:pt>
                <c:pt idx="443">
                  <c:v>#N/A</c:v>
                </c:pt>
                <c:pt idx="444">
                  <c:v>#N/A</c:v>
                </c:pt>
                <c:pt idx="445">
                  <c:v>#N/A</c:v>
                </c:pt>
                <c:pt idx="446">
                  <c:v>#N/A</c:v>
                </c:pt>
                <c:pt idx="447">
                  <c:v>#N/A</c:v>
                </c:pt>
                <c:pt idx="448">
                  <c:v>#N/A</c:v>
                </c:pt>
                <c:pt idx="449">
                  <c:v>#N/A</c:v>
                </c:pt>
                <c:pt idx="450">
                  <c:v>2.2069999999999999</c:v>
                </c:pt>
                <c:pt idx="451">
                  <c:v>#N/A</c:v>
                </c:pt>
                <c:pt idx="452">
                  <c:v>#N/A</c:v>
                </c:pt>
                <c:pt idx="453">
                  <c:v>#N/A</c:v>
                </c:pt>
                <c:pt idx="454">
                  <c:v>#N/A</c:v>
                </c:pt>
                <c:pt idx="455">
                  <c:v>#N/A</c:v>
                </c:pt>
                <c:pt idx="456">
                  <c:v>2.3449999999999998</c:v>
                </c:pt>
                <c:pt idx="457">
                  <c:v>#N/A</c:v>
                </c:pt>
                <c:pt idx="458">
                  <c:v>#N/A</c:v>
                </c:pt>
                <c:pt idx="459">
                  <c:v>2.4140000000000001</c:v>
                </c:pt>
                <c:pt idx="460">
                  <c:v>#N/A</c:v>
                </c:pt>
                <c:pt idx="461">
                  <c:v>2.46</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2.552</c:v>
                </c:pt>
                <c:pt idx="500">
                  <c:v>#N/A</c:v>
                </c:pt>
                <c:pt idx="501">
                  <c:v>#N/A</c:v>
                </c:pt>
                <c:pt idx="502">
                  <c:v>#N/A</c:v>
                </c:pt>
                <c:pt idx="503">
                  <c:v>#N/A</c:v>
                </c:pt>
                <c:pt idx="504">
                  <c:v>#N/A</c:v>
                </c:pt>
                <c:pt idx="505">
                  <c:v>#N/A</c:v>
                </c:pt>
                <c:pt idx="506">
                  <c:v>#N/A</c:v>
                </c:pt>
                <c:pt idx="507">
                  <c:v>#N/A</c:v>
                </c:pt>
                <c:pt idx="508">
                  <c:v>#N/A</c:v>
                </c:pt>
                <c:pt idx="509">
                  <c:v>#N/A</c:v>
                </c:pt>
                <c:pt idx="510">
                  <c:v>#N/A</c:v>
                </c:pt>
                <c:pt idx="511">
                  <c:v>2.0459999999999998</c:v>
                </c:pt>
                <c:pt idx="512">
                  <c:v>#N/A</c:v>
                </c:pt>
                <c:pt idx="513">
                  <c:v>#N/A</c:v>
                </c:pt>
                <c:pt idx="514">
                  <c:v>#N/A</c:v>
                </c:pt>
                <c:pt idx="515">
                  <c:v>#N/A</c:v>
                </c:pt>
                <c:pt idx="516">
                  <c:v>2.161</c:v>
                </c:pt>
                <c:pt idx="517">
                  <c:v>#N/A</c:v>
                </c:pt>
                <c:pt idx="518">
                  <c:v>2.2069999999999999</c:v>
                </c:pt>
                <c:pt idx="519">
                  <c:v>#N/A</c:v>
                </c:pt>
                <c:pt idx="520">
                  <c:v>#N/A</c:v>
                </c:pt>
                <c:pt idx="521">
                  <c:v>2.2759999999999998</c:v>
                </c:pt>
                <c:pt idx="522">
                  <c:v>#N/A</c:v>
                </c:pt>
                <c:pt idx="523">
                  <c:v>#N/A</c:v>
                </c:pt>
                <c:pt idx="524">
                  <c:v>2.3449999999999998</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2.7589999999999999</c:v>
                </c:pt>
                <c:pt idx="543">
                  <c:v>#N/A</c:v>
                </c:pt>
                <c:pt idx="544">
                  <c:v>#N/A</c:v>
                </c:pt>
                <c:pt idx="545">
                  <c:v>#N/A</c:v>
                </c:pt>
                <c:pt idx="546">
                  <c:v>#N/A</c:v>
                </c:pt>
                <c:pt idx="547">
                  <c:v>#N/A</c:v>
                </c:pt>
                <c:pt idx="548">
                  <c:v>2.1150000000000002</c:v>
                </c:pt>
                <c:pt idx="549">
                  <c:v>#N/A</c:v>
                </c:pt>
                <c:pt idx="550">
                  <c:v>#N/A</c:v>
                </c:pt>
                <c:pt idx="551">
                  <c:v>#N/A</c:v>
                </c:pt>
                <c:pt idx="552">
                  <c:v>#N/A</c:v>
                </c:pt>
                <c:pt idx="553">
                  <c:v>2.23</c:v>
                </c:pt>
                <c:pt idx="554">
                  <c:v>#N/A</c:v>
                </c:pt>
                <c:pt idx="555">
                  <c:v>#N/A</c:v>
                </c:pt>
                <c:pt idx="556">
                  <c:v>#N/A</c:v>
                </c:pt>
                <c:pt idx="557">
                  <c:v>#N/A</c:v>
                </c:pt>
                <c:pt idx="558">
                  <c:v>#N/A</c:v>
                </c:pt>
                <c:pt idx="559">
                  <c:v>#N/A</c:v>
                </c:pt>
                <c:pt idx="560">
                  <c:v>#N/A</c:v>
                </c:pt>
                <c:pt idx="561">
                  <c:v>#N/A</c:v>
                </c:pt>
                <c:pt idx="562">
                  <c:v>2.4369999999999998</c:v>
                </c:pt>
                <c:pt idx="563">
                  <c:v>#N/A</c:v>
                </c:pt>
                <c:pt idx="564">
                  <c:v>#N/A</c:v>
                </c:pt>
                <c:pt idx="565">
                  <c:v>#N/A</c:v>
                </c:pt>
                <c:pt idx="566">
                  <c:v>#N/A</c:v>
                </c:pt>
                <c:pt idx="567">
                  <c:v>#N/A</c:v>
                </c:pt>
                <c:pt idx="568">
                  <c:v>2.5750000000000002</c:v>
                </c:pt>
                <c:pt idx="569">
                  <c:v>2.5979999999999999</c:v>
                </c:pt>
                <c:pt idx="570">
                  <c:v>2.621</c:v>
                </c:pt>
                <c:pt idx="571">
                  <c:v>#N/A</c:v>
                </c:pt>
                <c:pt idx="572">
                  <c:v>#N/A</c:v>
                </c:pt>
                <c:pt idx="573">
                  <c:v>#N/A</c:v>
                </c:pt>
                <c:pt idx="574">
                  <c:v>#N/A</c:v>
                </c:pt>
                <c:pt idx="575">
                  <c:v>#N/A</c:v>
                </c:pt>
                <c:pt idx="576">
                  <c:v>#N/A</c:v>
                </c:pt>
                <c:pt idx="577">
                  <c:v>#N/A</c:v>
                </c:pt>
                <c:pt idx="578">
                  <c:v>2.0230000000000001</c:v>
                </c:pt>
                <c:pt idx="579">
                  <c:v>2.0459999999999998</c:v>
                </c:pt>
                <c:pt idx="580">
                  <c:v>2.069</c:v>
                </c:pt>
                <c:pt idx="581">
                  <c:v>#N/A</c:v>
                </c:pt>
                <c:pt idx="582">
                  <c:v>#N/A</c:v>
                </c:pt>
                <c:pt idx="583">
                  <c:v>2.1379999999999999</c:v>
                </c:pt>
                <c:pt idx="584">
                  <c:v>#N/A</c:v>
                </c:pt>
                <c:pt idx="585">
                  <c:v>#N/A</c:v>
                </c:pt>
                <c:pt idx="586">
                  <c:v>#N/A</c:v>
                </c:pt>
                <c:pt idx="587">
                  <c:v>#N/A</c:v>
                </c:pt>
                <c:pt idx="588">
                  <c:v>#N/A</c:v>
                </c:pt>
                <c:pt idx="589">
                  <c:v>#N/A</c:v>
                </c:pt>
                <c:pt idx="590">
                  <c:v>2.2989999999999999</c:v>
                </c:pt>
                <c:pt idx="591">
                  <c:v>#N/A</c:v>
                </c:pt>
                <c:pt idx="592">
                  <c:v>#N/A</c:v>
                </c:pt>
                <c:pt idx="593">
                  <c:v>#N/A</c:v>
                </c:pt>
                <c:pt idx="594">
                  <c:v>#N/A</c:v>
                </c:pt>
                <c:pt idx="595">
                  <c:v>#N/A</c:v>
                </c:pt>
                <c:pt idx="596">
                  <c:v>#N/A</c:v>
                </c:pt>
                <c:pt idx="597">
                  <c:v>#N/A</c:v>
                </c:pt>
                <c:pt idx="598">
                  <c:v>#N/A</c:v>
                </c:pt>
                <c:pt idx="599">
                  <c:v>#N/A</c:v>
                </c:pt>
                <c:pt idx="600">
                  <c:v>#N/A</c:v>
                </c:pt>
                <c:pt idx="601">
                  <c:v>#N/A</c:v>
                </c:pt>
                <c:pt idx="602">
                  <c:v>2.5750000000000002</c:v>
                </c:pt>
                <c:pt idx="603">
                  <c:v>#N/A</c:v>
                </c:pt>
                <c:pt idx="604">
                  <c:v>#N/A</c:v>
                </c:pt>
                <c:pt idx="605">
                  <c:v>#N/A</c:v>
                </c:pt>
                <c:pt idx="606">
                  <c:v>#N/A</c:v>
                </c:pt>
                <c:pt idx="607">
                  <c:v>#N/A</c:v>
                </c:pt>
                <c:pt idx="608">
                  <c:v>#N/A</c:v>
                </c:pt>
                <c:pt idx="609">
                  <c:v>#N/A</c:v>
                </c:pt>
                <c:pt idx="610">
                  <c:v>#N/A</c:v>
                </c:pt>
                <c:pt idx="611">
                  <c:v>#N/A</c:v>
                </c:pt>
                <c:pt idx="612">
                  <c:v>#N/A</c:v>
                </c:pt>
                <c:pt idx="613">
                  <c:v>#N/A</c:v>
                </c:pt>
                <c:pt idx="614">
                  <c:v>2.069</c:v>
                </c:pt>
                <c:pt idx="615">
                  <c:v>#N/A</c:v>
                </c:pt>
                <c:pt idx="616">
                  <c:v>#N/A</c:v>
                </c:pt>
                <c:pt idx="617">
                  <c:v>#N/A</c:v>
                </c:pt>
                <c:pt idx="618">
                  <c:v>#N/A</c:v>
                </c:pt>
                <c:pt idx="619">
                  <c:v>#N/A</c:v>
                </c:pt>
                <c:pt idx="620">
                  <c:v>2.2069999999999999</c:v>
                </c:pt>
                <c:pt idx="621">
                  <c:v>#N/A</c:v>
                </c:pt>
                <c:pt idx="622">
                  <c:v>#N/A</c:v>
                </c:pt>
                <c:pt idx="623">
                  <c:v>#N/A</c:v>
                </c:pt>
                <c:pt idx="624">
                  <c:v>2.2989999999999999</c:v>
                </c:pt>
                <c:pt idx="625">
                  <c:v>#N/A</c:v>
                </c:pt>
                <c:pt idx="626">
                  <c:v>#N/A</c:v>
                </c:pt>
                <c:pt idx="627">
                  <c:v>#N/A</c:v>
                </c:pt>
                <c:pt idx="628">
                  <c:v>#N/A</c:v>
                </c:pt>
                <c:pt idx="629">
                  <c:v>#N/A</c:v>
                </c:pt>
                <c:pt idx="630">
                  <c:v>#N/A</c:v>
                </c:pt>
                <c:pt idx="631">
                  <c:v>#N/A</c:v>
                </c:pt>
                <c:pt idx="632">
                  <c:v>2.4830000000000001</c:v>
                </c:pt>
                <c:pt idx="633">
                  <c:v>2.5060000000000002</c:v>
                </c:pt>
                <c:pt idx="634">
                  <c:v>#N/A</c:v>
                </c:pt>
                <c:pt idx="635">
                  <c:v>2.552</c:v>
                </c:pt>
                <c:pt idx="636">
                  <c:v>#N/A</c:v>
                </c:pt>
                <c:pt idx="637">
                  <c:v>#N/A</c:v>
                </c:pt>
                <c:pt idx="638">
                  <c:v>#N/A</c:v>
                </c:pt>
                <c:pt idx="639">
                  <c:v>#N/A</c:v>
                </c:pt>
                <c:pt idx="640">
                  <c:v>#N/A</c:v>
                </c:pt>
                <c:pt idx="641">
                  <c:v>2.69</c:v>
                </c:pt>
                <c:pt idx="642">
                  <c:v>2.7130000000000001</c:v>
                </c:pt>
                <c:pt idx="643">
                  <c:v>2.7359999999999998</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2.3220000000000001</c:v>
                </c:pt>
                <c:pt idx="660">
                  <c:v>#N/A</c:v>
                </c:pt>
                <c:pt idx="661">
                  <c:v>#N/A</c:v>
                </c:pt>
                <c:pt idx="662">
                  <c:v>#N/A</c:v>
                </c:pt>
                <c:pt idx="663">
                  <c:v>#N/A</c:v>
                </c:pt>
                <c:pt idx="664">
                  <c:v>2.4369999999999998</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2.7589999999999999</c:v>
                </c:pt>
                <c:pt idx="679">
                  <c:v>#N/A</c:v>
                </c:pt>
                <c:pt idx="680">
                  <c:v>2.0230000000000001</c:v>
                </c:pt>
                <c:pt idx="681">
                  <c:v>#N/A</c:v>
                </c:pt>
                <c:pt idx="682">
                  <c:v>#N/A</c:v>
                </c:pt>
                <c:pt idx="683">
                  <c:v>#N/A</c:v>
                </c:pt>
                <c:pt idx="684">
                  <c:v>2.1150000000000002</c:v>
                </c:pt>
                <c:pt idx="685">
                  <c:v>#N/A</c:v>
                </c:pt>
                <c:pt idx="686">
                  <c:v>#N/A</c:v>
                </c:pt>
                <c:pt idx="687">
                  <c:v>#N/A</c:v>
                </c:pt>
                <c:pt idx="688">
                  <c:v>#N/A</c:v>
                </c:pt>
                <c:pt idx="689">
                  <c:v>#N/A</c:v>
                </c:pt>
                <c:pt idx="690">
                  <c:v>#N/A</c:v>
                </c:pt>
                <c:pt idx="691">
                  <c:v>#N/A</c:v>
                </c:pt>
                <c:pt idx="692">
                  <c:v>#N/A</c:v>
                </c:pt>
                <c:pt idx="693">
                  <c:v>2.3220000000000001</c:v>
                </c:pt>
                <c:pt idx="694">
                  <c:v>#N/A</c:v>
                </c:pt>
                <c:pt idx="695">
                  <c:v>#N/A</c:v>
                </c:pt>
                <c:pt idx="696">
                  <c:v>#N/A</c:v>
                </c:pt>
                <c:pt idx="697">
                  <c:v>#N/A</c:v>
                </c:pt>
                <c:pt idx="698">
                  <c:v>#N/A</c:v>
                </c:pt>
                <c:pt idx="699">
                  <c:v>#N/A</c:v>
                </c:pt>
                <c:pt idx="700">
                  <c:v>#N/A</c:v>
                </c:pt>
                <c:pt idx="701">
                  <c:v>2.5060000000000002</c:v>
                </c:pt>
                <c:pt idx="702">
                  <c:v>#N/A</c:v>
                </c:pt>
                <c:pt idx="703">
                  <c:v>#N/A</c:v>
                </c:pt>
                <c:pt idx="704">
                  <c:v>#N/A</c:v>
                </c:pt>
                <c:pt idx="705">
                  <c:v>#N/A</c:v>
                </c:pt>
                <c:pt idx="706">
                  <c:v>#N/A</c:v>
                </c:pt>
                <c:pt idx="707">
                  <c:v>#N/A</c:v>
                </c:pt>
                <c:pt idx="708">
                  <c:v>#N/A</c:v>
                </c:pt>
                <c:pt idx="709">
                  <c:v>2.69</c:v>
                </c:pt>
                <c:pt idx="710">
                  <c:v>#N/A</c:v>
                </c:pt>
                <c:pt idx="711">
                  <c:v>#N/A</c:v>
                </c:pt>
                <c:pt idx="712">
                  <c:v>2.7589999999999999</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2.2759999999999998</c:v>
                </c:pt>
                <c:pt idx="726">
                  <c:v>#N/A</c:v>
                </c:pt>
                <c:pt idx="727">
                  <c:v>#N/A</c:v>
                </c:pt>
                <c:pt idx="728">
                  <c:v>#N/A</c:v>
                </c:pt>
                <c:pt idx="729">
                  <c:v>#N/A</c:v>
                </c:pt>
                <c:pt idx="730">
                  <c:v>#N/A</c:v>
                </c:pt>
                <c:pt idx="731">
                  <c:v>#N/A</c:v>
                </c:pt>
                <c:pt idx="732">
                  <c:v>#N/A</c:v>
                </c:pt>
                <c:pt idx="733">
                  <c:v>2.46</c:v>
                </c:pt>
                <c:pt idx="734">
                  <c:v>#N/A</c:v>
                </c:pt>
                <c:pt idx="735">
                  <c:v>2.5060000000000002</c:v>
                </c:pt>
                <c:pt idx="736">
                  <c:v>#N/A</c:v>
                </c:pt>
                <c:pt idx="737">
                  <c:v>#N/A</c:v>
                </c:pt>
                <c:pt idx="738">
                  <c:v>#N/A</c:v>
                </c:pt>
                <c:pt idx="739">
                  <c:v>2.5979999999999999</c:v>
                </c:pt>
                <c:pt idx="740">
                  <c:v>2.621</c:v>
                </c:pt>
                <c:pt idx="741">
                  <c:v>#N/A</c:v>
                </c:pt>
                <c:pt idx="742">
                  <c:v>2.6669999999999998</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2.2069999999999999</c:v>
                </c:pt>
                <c:pt idx="757">
                  <c:v>#N/A</c:v>
                </c:pt>
                <c:pt idx="758">
                  <c:v>#N/A</c:v>
                </c:pt>
                <c:pt idx="759">
                  <c:v>#N/A</c:v>
                </c:pt>
                <c:pt idx="760">
                  <c:v>#N/A</c:v>
                </c:pt>
                <c:pt idx="761">
                  <c:v>#N/A</c:v>
                </c:pt>
                <c:pt idx="762">
                  <c:v>2.3449999999999998</c:v>
                </c:pt>
                <c:pt idx="763">
                  <c:v>#N/A</c:v>
                </c:pt>
                <c:pt idx="764">
                  <c:v>#N/A</c:v>
                </c:pt>
                <c:pt idx="765">
                  <c:v>2.4140000000000001</c:v>
                </c:pt>
                <c:pt idx="766">
                  <c:v>#N/A</c:v>
                </c:pt>
                <c:pt idx="767">
                  <c:v>#N/A</c:v>
                </c:pt>
                <c:pt idx="768">
                  <c:v>#N/A</c:v>
                </c:pt>
                <c:pt idx="769">
                  <c:v>2.5060000000000002</c:v>
                </c:pt>
                <c:pt idx="770">
                  <c:v>#N/A</c:v>
                </c:pt>
                <c:pt idx="771">
                  <c:v>#N/A</c:v>
                </c:pt>
                <c:pt idx="772">
                  <c:v>2.5750000000000002</c:v>
                </c:pt>
                <c:pt idx="773">
                  <c:v>#N/A</c:v>
                </c:pt>
                <c:pt idx="774">
                  <c:v>#N/A</c:v>
                </c:pt>
                <c:pt idx="775">
                  <c:v>#N/A</c:v>
                </c:pt>
                <c:pt idx="776">
                  <c:v>#N/A</c:v>
                </c:pt>
                <c:pt idx="777">
                  <c:v>#N/A</c:v>
                </c:pt>
                <c:pt idx="778">
                  <c:v>#N/A</c:v>
                </c:pt>
                <c:pt idx="779">
                  <c:v>#N/A</c:v>
                </c:pt>
                <c:pt idx="780">
                  <c:v>#N/A</c:v>
                </c:pt>
                <c:pt idx="781">
                  <c:v>2</c:v>
                </c:pt>
                <c:pt idx="782">
                  <c:v>2.0230000000000001</c:v>
                </c:pt>
                <c:pt idx="783">
                  <c:v>#N/A</c:v>
                </c:pt>
                <c:pt idx="784">
                  <c:v>2.069</c:v>
                </c:pt>
                <c:pt idx="785">
                  <c:v>2.0920000000000001</c:v>
                </c:pt>
                <c:pt idx="786">
                  <c:v>#N/A</c:v>
                </c:pt>
                <c:pt idx="787">
                  <c:v>#N/A</c:v>
                </c:pt>
                <c:pt idx="788">
                  <c:v>#N/A</c:v>
                </c:pt>
                <c:pt idx="789">
                  <c:v>2.1840000000000002</c:v>
                </c:pt>
                <c:pt idx="790">
                  <c:v>#N/A</c:v>
                </c:pt>
                <c:pt idx="791">
                  <c:v>#N/A</c:v>
                </c:pt>
                <c:pt idx="792">
                  <c:v>#N/A</c:v>
                </c:pt>
                <c:pt idx="793">
                  <c:v>#N/A</c:v>
                </c:pt>
                <c:pt idx="794">
                  <c:v>#N/A</c:v>
                </c:pt>
                <c:pt idx="795">
                  <c:v>#N/A</c:v>
                </c:pt>
                <c:pt idx="796">
                  <c:v>#N/A</c:v>
                </c:pt>
                <c:pt idx="797">
                  <c:v>2.3679999999999999</c:v>
                </c:pt>
                <c:pt idx="798">
                  <c:v>#N/A</c:v>
                </c:pt>
                <c:pt idx="799">
                  <c:v>#N/A</c:v>
                </c:pt>
                <c:pt idx="800">
                  <c:v>#N/A</c:v>
                </c:pt>
                <c:pt idx="801">
                  <c:v>#N/A</c:v>
                </c:pt>
                <c:pt idx="802">
                  <c:v>#N/A</c:v>
                </c:pt>
                <c:pt idx="803">
                  <c:v>#N/A</c:v>
                </c:pt>
                <c:pt idx="804">
                  <c:v>2.5289999999999999</c:v>
                </c:pt>
                <c:pt idx="805">
                  <c:v>#N/A</c:v>
                </c:pt>
                <c:pt idx="806">
                  <c:v>#N/A</c:v>
                </c:pt>
                <c:pt idx="807">
                  <c:v>#N/A</c:v>
                </c:pt>
                <c:pt idx="808">
                  <c:v>#N/A</c:v>
                </c:pt>
                <c:pt idx="809">
                  <c:v>#N/A</c:v>
                </c:pt>
                <c:pt idx="810">
                  <c:v>#N/A</c:v>
                </c:pt>
                <c:pt idx="811">
                  <c:v>#N/A</c:v>
                </c:pt>
                <c:pt idx="812">
                  <c:v>#N/A</c:v>
                </c:pt>
                <c:pt idx="813">
                  <c:v>#N/A</c:v>
                </c:pt>
                <c:pt idx="814">
                  <c:v>#N/A</c:v>
                </c:pt>
                <c:pt idx="815">
                  <c:v>2</c:v>
                </c:pt>
                <c:pt idx="816">
                  <c:v>#N/A</c:v>
                </c:pt>
                <c:pt idx="817">
                  <c:v>2.0459999999999998</c:v>
                </c:pt>
                <c:pt idx="818">
                  <c:v>#N/A</c:v>
                </c:pt>
                <c:pt idx="819">
                  <c:v>#N/A</c:v>
                </c:pt>
                <c:pt idx="820">
                  <c:v>#N/A</c:v>
                </c:pt>
                <c:pt idx="821">
                  <c:v>#N/A</c:v>
                </c:pt>
                <c:pt idx="822">
                  <c:v>2.161</c:v>
                </c:pt>
                <c:pt idx="823">
                  <c:v>#N/A</c:v>
                </c:pt>
                <c:pt idx="824">
                  <c:v>#N/A</c:v>
                </c:pt>
                <c:pt idx="825">
                  <c:v>#N/A</c:v>
                </c:pt>
                <c:pt idx="826">
                  <c:v>#N/A</c:v>
                </c:pt>
                <c:pt idx="827">
                  <c:v>#N/A</c:v>
                </c:pt>
                <c:pt idx="828">
                  <c:v>#N/A</c:v>
                </c:pt>
                <c:pt idx="829">
                  <c:v>#N/A</c:v>
                </c:pt>
                <c:pt idx="830">
                  <c:v>2.3449999999999998</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2</c:v>
                </c:pt>
                <c:pt idx="850">
                  <c:v>#N/A</c:v>
                </c:pt>
                <c:pt idx="851">
                  <c:v>#N/A</c:v>
                </c:pt>
                <c:pt idx="852">
                  <c:v>#N/A</c:v>
                </c:pt>
                <c:pt idx="853">
                  <c:v>#N/A</c:v>
                </c:pt>
                <c:pt idx="854">
                  <c:v>2.1150000000000002</c:v>
                </c:pt>
                <c:pt idx="855">
                  <c:v>2.1379999999999999</c:v>
                </c:pt>
                <c:pt idx="856">
                  <c:v>#N/A</c:v>
                </c:pt>
                <c:pt idx="857">
                  <c:v>#N/A</c:v>
                </c:pt>
                <c:pt idx="858">
                  <c:v>#N/A</c:v>
                </c:pt>
                <c:pt idx="859">
                  <c:v>#N/A</c:v>
                </c:pt>
                <c:pt idx="860">
                  <c:v>2.2530000000000001</c:v>
                </c:pt>
                <c:pt idx="861">
                  <c:v>#N/A</c:v>
                </c:pt>
                <c:pt idx="862">
                  <c:v>2.2989999999999999</c:v>
                </c:pt>
                <c:pt idx="863">
                  <c:v>#N/A</c:v>
                </c:pt>
                <c:pt idx="864">
                  <c:v>2.3449999999999998</c:v>
                </c:pt>
                <c:pt idx="865">
                  <c:v>#N/A</c:v>
                </c:pt>
                <c:pt idx="866">
                  <c:v>#N/A</c:v>
                </c:pt>
                <c:pt idx="867">
                  <c:v>#N/A</c:v>
                </c:pt>
                <c:pt idx="868">
                  <c:v>#N/A</c:v>
                </c:pt>
                <c:pt idx="869">
                  <c:v>2.46</c:v>
                </c:pt>
                <c:pt idx="870">
                  <c:v>#N/A</c:v>
                </c:pt>
                <c:pt idx="871">
                  <c:v>#N/A</c:v>
                </c:pt>
                <c:pt idx="872">
                  <c:v>#N/A</c:v>
                </c:pt>
                <c:pt idx="873">
                  <c:v>2.552</c:v>
                </c:pt>
                <c:pt idx="874">
                  <c:v>#N/A</c:v>
                </c:pt>
                <c:pt idx="875">
                  <c:v>#N/A</c:v>
                </c:pt>
                <c:pt idx="876">
                  <c:v>#N/A</c:v>
                </c:pt>
                <c:pt idx="877">
                  <c:v>#N/A</c:v>
                </c:pt>
                <c:pt idx="878">
                  <c:v>2.6669999999999998</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2018</c:v>
                </c:pt>
                <c:pt idx="87">
                  <c:v>#N/A</c:v>
                </c:pt>
                <c:pt idx="88">
                  <c:v>#N/A</c:v>
                </c:pt>
                <c:pt idx="89">
                  <c:v>#N/A</c:v>
                </c:pt>
                <c:pt idx="90">
                  <c:v>2023</c:v>
                </c:pt>
                <c:pt idx="91">
                  <c:v>2021</c:v>
                </c:pt>
                <c:pt idx="92">
                  <c:v>2024</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2024</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2025</c:v>
                </c:pt>
                <c:pt idx="120">
                  <c:v>#N/A</c:v>
                </c:pt>
                <c:pt idx="121">
                  <c:v>#N/A</c:v>
                </c:pt>
                <c:pt idx="122">
                  <c:v>#N/A</c:v>
                </c:pt>
                <c:pt idx="123">
                  <c:v>#N/A</c:v>
                </c:pt>
                <c:pt idx="124">
                  <c:v>#N/A</c:v>
                </c:pt>
                <c:pt idx="125">
                  <c:v>#N/A</c:v>
                </c:pt>
                <c:pt idx="126">
                  <c:v>#N/A</c:v>
                </c:pt>
                <c:pt idx="127">
                  <c:v>2026</c:v>
                </c:pt>
                <c:pt idx="128">
                  <c:v>2019</c:v>
                </c:pt>
                <c:pt idx="129">
                  <c:v>#N/A</c:v>
                </c:pt>
                <c:pt idx="130">
                  <c:v>#N/A</c:v>
                </c:pt>
                <c:pt idx="131">
                  <c:v>#N/A</c:v>
                </c:pt>
                <c:pt idx="132">
                  <c:v>#N/A</c:v>
                </c:pt>
                <c:pt idx="133">
                  <c:v>2025</c:v>
                </c:pt>
                <c:pt idx="134">
                  <c:v>#N/A</c:v>
                </c:pt>
                <c:pt idx="135">
                  <c:v>2023</c:v>
                </c:pt>
                <c:pt idx="136">
                  <c:v>#N/A</c:v>
                </c:pt>
                <c:pt idx="137">
                  <c:v>2013</c:v>
                </c:pt>
                <c:pt idx="138">
                  <c:v>#N/A</c:v>
                </c:pt>
                <c:pt idx="139">
                  <c:v>#N/A</c:v>
                </c:pt>
                <c:pt idx="140">
                  <c:v>2025</c:v>
                </c:pt>
                <c:pt idx="141">
                  <c:v>#N/A</c:v>
                </c:pt>
                <c:pt idx="142">
                  <c:v>#N/A</c:v>
                </c:pt>
                <c:pt idx="143">
                  <c:v>#N/A</c:v>
                </c:pt>
                <c:pt idx="144">
                  <c:v>#N/A</c:v>
                </c:pt>
                <c:pt idx="145">
                  <c:v>#N/A</c:v>
                </c:pt>
                <c:pt idx="146">
                  <c:v>#N/A</c:v>
                </c:pt>
                <c:pt idx="147">
                  <c:v>#N/A</c:v>
                </c:pt>
                <c:pt idx="148">
                  <c:v>#N/A</c:v>
                </c:pt>
                <c:pt idx="149">
                  <c:v>2023</c:v>
                </c:pt>
                <c:pt idx="150">
                  <c:v>2026</c:v>
                </c:pt>
                <c:pt idx="151">
                  <c:v>2023</c:v>
                </c:pt>
                <c:pt idx="152">
                  <c:v>#N/A</c:v>
                </c:pt>
                <c:pt idx="153">
                  <c:v>2025</c:v>
                </c:pt>
                <c:pt idx="154">
                  <c:v>#N/A</c:v>
                </c:pt>
                <c:pt idx="155">
                  <c:v>#N/A</c:v>
                </c:pt>
                <c:pt idx="156">
                  <c:v>#N/A</c:v>
                </c:pt>
                <c:pt idx="157">
                  <c:v>#N/A</c:v>
                </c:pt>
                <c:pt idx="158">
                  <c:v>2023</c:v>
                </c:pt>
                <c:pt idx="159">
                  <c:v>2025</c:v>
                </c:pt>
                <c:pt idx="160">
                  <c:v>2026</c:v>
                </c:pt>
                <c:pt idx="161">
                  <c:v>#N/A</c:v>
                </c:pt>
                <c:pt idx="162">
                  <c:v>#N/A</c:v>
                </c:pt>
                <c:pt idx="163">
                  <c:v>2024</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2025</c:v>
                </c:pt>
                <c:pt idx="179">
                  <c:v>#N/A</c:v>
                </c:pt>
                <c:pt idx="180">
                  <c:v>#N/A</c:v>
                </c:pt>
                <c:pt idx="181">
                  <c:v>#N/A</c:v>
                </c:pt>
                <c:pt idx="182">
                  <c:v>#N/A</c:v>
                </c:pt>
                <c:pt idx="183">
                  <c:v>#N/A</c:v>
                </c:pt>
                <c:pt idx="184">
                  <c:v>2023</c:v>
                </c:pt>
                <c:pt idx="185">
                  <c:v>#N/A</c:v>
                </c:pt>
                <c:pt idx="186">
                  <c:v>2019</c:v>
                </c:pt>
                <c:pt idx="187">
                  <c:v>2025</c:v>
                </c:pt>
                <c:pt idx="188">
                  <c:v>2025</c:v>
                </c:pt>
                <c:pt idx="189">
                  <c:v>#N/A</c:v>
                </c:pt>
                <c:pt idx="190">
                  <c:v>#N/A</c:v>
                </c:pt>
                <c:pt idx="191">
                  <c:v>#N/A</c:v>
                </c:pt>
                <c:pt idx="192">
                  <c:v>2018</c:v>
                </c:pt>
                <c:pt idx="193">
                  <c:v>2021</c:v>
                </c:pt>
                <c:pt idx="194">
                  <c:v>#N/A</c:v>
                </c:pt>
                <c:pt idx="195">
                  <c:v>#N/A</c:v>
                </c:pt>
                <c:pt idx="196">
                  <c:v>#N/A</c:v>
                </c:pt>
                <c:pt idx="197">
                  <c:v>2025</c:v>
                </c:pt>
                <c:pt idx="198">
                  <c:v>#N/A</c:v>
                </c:pt>
                <c:pt idx="199">
                  <c:v>#N/A</c:v>
                </c:pt>
                <c:pt idx="200">
                  <c:v>#N/A</c:v>
                </c:pt>
                <c:pt idx="201">
                  <c:v>#N/A</c:v>
                </c:pt>
                <c:pt idx="202">
                  <c:v>#N/A</c:v>
                </c:pt>
                <c:pt idx="203">
                  <c:v>#N/A</c:v>
                </c:pt>
                <c:pt idx="204">
                  <c:v>#N/A</c:v>
                </c:pt>
                <c:pt idx="205">
                  <c:v>2024</c:v>
                </c:pt>
                <c:pt idx="206">
                  <c:v>2026</c:v>
                </c:pt>
                <c:pt idx="207">
                  <c:v>2025</c:v>
                </c:pt>
                <c:pt idx="208">
                  <c:v>#N/A</c:v>
                </c:pt>
                <c:pt idx="209">
                  <c:v>2025</c:v>
                </c:pt>
                <c:pt idx="210">
                  <c:v>2024</c:v>
                </c:pt>
                <c:pt idx="211">
                  <c:v>2024</c:v>
                </c:pt>
                <c:pt idx="212">
                  <c:v>2026</c:v>
                </c:pt>
                <c:pt idx="213">
                  <c:v>2019</c:v>
                </c:pt>
                <c:pt idx="214">
                  <c:v>2025</c:v>
                </c:pt>
                <c:pt idx="215">
                  <c:v>2025</c:v>
                </c:pt>
                <c:pt idx="216">
                  <c:v>#N/A</c:v>
                </c:pt>
                <c:pt idx="217">
                  <c:v>2024</c:v>
                </c:pt>
                <c:pt idx="218">
                  <c:v>#N/A</c:v>
                </c:pt>
                <c:pt idx="219">
                  <c:v>#N/A</c:v>
                </c:pt>
                <c:pt idx="220">
                  <c:v>2024</c:v>
                </c:pt>
                <c:pt idx="221">
                  <c:v>2025</c:v>
                </c:pt>
                <c:pt idx="222">
                  <c:v>2025</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2014</c:v>
                </c:pt>
                <c:pt idx="238">
                  <c:v>#N/A</c:v>
                </c:pt>
                <c:pt idx="239">
                  <c:v>#N/A</c:v>
                </c:pt>
                <c:pt idx="240">
                  <c:v>#N/A</c:v>
                </c:pt>
                <c:pt idx="241">
                  <c:v>#N/A</c:v>
                </c:pt>
                <c:pt idx="242">
                  <c:v>#N/A</c:v>
                </c:pt>
                <c:pt idx="243">
                  <c:v>2024</c:v>
                </c:pt>
                <c:pt idx="244">
                  <c:v>#N/A</c:v>
                </c:pt>
                <c:pt idx="245">
                  <c:v>#N/A</c:v>
                </c:pt>
                <c:pt idx="246">
                  <c:v>#N/A</c:v>
                </c:pt>
                <c:pt idx="247">
                  <c:v>#N/A</c:v>
                </c:pt>
                <c:pt idx="248">
                  <c:v>#N/A</c:v>
                </c:pt>
                <c:pt idx="249">
                  <c:v>#N/A</c:v>
                </c:pt>
                <c:pt idx="250">
                  <c:v>#N/A</c:v>
                </c:pt>
                <c:pt idx="251">
                  <c:v>2024</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2023</c:v>
                </c:pt>
                <c:pt idx="267">
                  <c:v>#N/A</c:v>
                </c:pt>
                <c:pt idx="268">
                  <c:v>#N/A</c:v>
                </c:pt>
                <c:pt idx="269">
                  <c:v>#N/A</c:v>
                </c:pt>
                <c:pt idx="270">
                  <c:v>#N/A</c:v>
                </c:pt>
                <c:pt idx="271">
                  <c:v>#N/A</c:v>
                </c:pt>
                <c:pt idx="272">
                  <c:v>#N/A</c:v>
                </c:pt>
                <c:pt idx="273">
                  <c:v>#N/A</c:v>
                </c:pt>
                <c:pt idx="274">
                  <c:v>#N/A</c:v>
                </c:pt>
                <c:pt idx="275">
                  <c:v>#N/A</c:v>
                </c:pt>
                <c:pt idx="276">
                  <c:v>2024</c:v>
                </c:pt>
                <c:pt idx="277">
                  <c:v>2024</c:v>
                </c:pt>
                <c:pt idx="278">
                  <c:v>#N/A</c:v>
                </c:pt>
                <c:pt idx="279">
                  <c:v>#N/A</c:v>
                </c:pt>
                <c:pt idx="280">
                  <c:v>#N/A</c:v>
                </c:pt>
                <c:pt idx="281">
                  <c:v>2021</c:v>
                </c:pt>
                <c:pt idx="282">
                  <c:v>#N/A</c:v>
                </c:pt>
                <c:pt idx="283">
                  <c:v>#N/A</c:v>
                </c:pt>
                <c:pt idx="284">
                  <c:v>#N/A</c:v>
                </c:pt>
                <c:pt idx="285">
                  <c:v>#N/A</c:v>
                </c:pt>
                <c:pt idx="286">
                  <c:v>#N/A</c:v>
                </c:pt>
                <c:pt idx="287">
                  <c:v>2026</c:v>
                </c:pt>
                <c:pt idx="288">
                  <c:v>#N/A</c:v>
                </c:pt>
                <c:pt idx="289">
                  <c:v>#N/A</c:v>
                </c:pt>
                <c:pt idx="290">
                  <c:v>#N/A</c:v>
                </c:pt>
                <c:pt idx="291">
                  <c:v>2020</c:v>
                </c:pt>
                <c:pt idx="292">
                  <c:v>#N/A</c:v>
                </c:pt>
                <c:pt idx="293">
                  <c:v>#N/A</c:v>
                </c:pt>
                <c:pt idx="294">
                  <c:v>#N/A</c:v>
                </c:pt>
                <c:pt idx="295">
                  <c:v>#N/A</c:v>
                </c:pt>
                <c:pt idx="296">
                  <c:v>#N/A</c:v>
                </c:pt>
                <c:pt idx="297">
                  <c:v>#N/A</c:v>
                </c:pt>
                <c:pt idx="298">
                  <c:v>#N/A</c:v>
                </c:pt>
                <c:pt idx="299">
                  <c:v>#N/A</c:v>
                </c:pt>
                <c:pt idx="300">
                  <c:v>#N/A</c:v>
                </c:pt>
                <c:pt idx="301">
                  <c:v>#N/A</c:v>
                </c:pt>
                <c:pt idx="302">
                  <c:v>#N/A</c:v>
                </c:pt>
                <c:pt idx="303">
                  <c:v>2026</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2026</c:v>
                </c:pt>
                <c:pt idx="318">
                  <c:v>#N/A</c:v>
                </c:pt>
                <c:pt idx="319">
                  <c:v>#N/A</c:v>
                </c:pt>
                <c:pt idx="320">
                  <c:v>#N/A</c:v>
                </c:pt>
                <c:pt idx="321">
                  <c:v>#N/A</c:v>
                </c:pt>
                <c:pt idx="322">
                  <c:v>#N/A</c:v>
                </c:pt>
                <c:pt idx="323">
                  <c:v>#N/A</c:v>
                </c:pt>
                <c:pt idx="324">
                  <c:v>#N/A</c:v>
                </c:pt>
                <c:pt idx="325">
                  <c:v>#N/A</c:v>
                </c:pt>
                <c:pt idx="326">
                  <c:v>#N/A</c:v>
                </c:pt>
                <c:pt idx="327">
                  <c:v>2020</c:v>
                </c:pt>
                <c:pt idx="328">
                  <c:v>#N/A</c:v>
                </c:pt>
                <c:pt idx="329">
                  <c:v>#N/A</c:v>
                </c:pt>
                <c:pt idx="330">
                  <c:v>2020</c:v>
                </c:pt>
                <c:pt idx="331">
                  <c:v>#N/A</c:v>
                </c:pt>
                <c:pt idx="332">
                  <c:v>#N/A</c:v>
                </c:pt>
                <c:pt idx="333">
                  <c:v>2015</c:v>
                </c:pt>
                <c:pt idx="334">
                  <c:v>#N/A</c:v>
                </c:pt>
                <c:pt idx="335">
                  <c:v>#N/A</c:v>
                </c:pt>
                <c:pt idx="336">
                  <c:v>#N/A</c:v>
                </c:pt>
                <c:pt idx="337">
                  <c:v>#N/A</c:v>
                </c:pt>
                <c:pt idx="338">
                  <c:v>#N/A</c:v>
                </c:pt>
                <c:pt idx="339">
                  <c:v>#N/A</c:v>
                </c:pt>
                <c:pt idx="340">
                  <c:v>#N/A</c:v>
                </c:pt>
                <c:pt idx="341">
                  <c:v>2021</c:v>
                </c:pt>
                <c:pt idx="342">
                  <c:v>#N/A</c:v>
                </c:pt>
                <c:pt idx="343">
                  <c:v>#N/A</c:v>
                </c:pt>
                <c:pt idx="344">
                  <c:v>#N/A</c:v>
                </c:pt>
                <c:pt idx="345">
                  <c:v>2014</c:v>
                </c:pt>
                <c:pt idx="346">
                  <c:v>2017</c:v>
                </c:pt>
                <c:pt idx="347">
                  <c:v>#N/A</c:v>
                </c:pt>
                <c:pt idx="348">
                  <c:v>2026</c:v>
                </c:pt>
                <c:pt idx="349">
                  <c:v>#N/A</c:v>
                </c:pt>
                <c:pt idx="350">
                  <c:v>#N/A</c:v>
                </c:pt>
                <c:pt idx="351">
                  <c:v>#N/A</c:v>
                </c:pt>
                <c:pt idx="352">
                  <c:v>#N/A</c:v>
                </c:pt>
                <c:pt idx="353">
                  <c:v>#N/A</c:v>
                </c:pt>
                <c:pt idx="354">
                  <c:v>2025</c:v>
                </c:pt>
                <c:pt idx="355">
                  <c:v>#N/A</c:v>
                </c:pt>
                <c:pt idx="356">
                  <c:v>#N/A</c:v>
                </c:pt>
                <c:pt idx="357">
                  <c:v>#N/A</c:v>
                </c:pt>
                <c:pt idx="358">
                  <c:v>#N/A</c:v>
                </c:pt>
                <c:pt idx="359">
                  <c:v>#N/A</c:v>
                </c:pt>
                <c:pt idx="360">
                  <c:v>#N/A</c:v>
                </c:pt>
                <c:pt idx="361">
                  <c:v>2023</c:v>
                </c:pt>
                <c:pt idx="362">
                  <c:v>#N/A</c:v>
                </c:pt>
                <c:pt idx="363">
                  <c:v>#N/A</c:v>
                </c:pt>
                <c:pt idx="364">
                  <c:v>#N/A</c:v>
                </c:pt>
                <c:pt idx="365">
                  <c:v>#N/A</c:v>
                </c:pt>
                <c:pt idx="366">
                  <c:v>#N/A</c:v>
                </c:pt>
                <c:pt idx="367">
                  <c:v>#N/A</c:v>
                </c:pt>
                <c:pt idx="368">
                  <c:v>#N/A</c:v>
                </c:pt>
                <c:pt idx="369">
                  <c:v>#N/A</c:v>
                </c:pt>
                <c:pt idx="370">
                  <c:v>#N/A</c:v>
                </c:pt>
                <c:pt idx="371">
                  <c:v>#N/A</c:v>
                </c:pt>
                <c:pt idx="372">
                  <c:v>#N/A</c:v>
                </c:pt>
                <c:pt idx="373">
                  <c:v>2026</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2021</c:v>
                </c:pt>
                <c:pt idx="387">
                  <c:v>2026</c:v>
                </c:pt>
                <c:pt idx="388">
                  <c:v>#N/A</c:v>
                </c:pt>
                <c:pt idx="389">
                  <c:v>#N/A</c:v>
                </c:pt>
                <c:pt idx="390">
                  <c:v>2025</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2025</c:v>
                </c:pt>
                <c:pt idx="410">
                  <c:v>2020</c:v>
                </c:pt>
                <c:pt idx="411">
                  <c:v>#N/A</c:v>
                </c:pt>
                <c:pt idx="412">
                  <c:v>#N/A</c:v>
                </c:pt>
                <c:pt idx="413">
                  <c:v>#N/A</c:v>
                </c:pt>
                <c:pt idx="414">
                  <c:v>#N/A</c:v>
                </c:pt>
                <c:pt idx="415">
                  <c:v>#N/A</c:v>
                </c:pt>
                <c:pt idx="416">
                  <c:v>#N/A</c:v>
                </c:pt>
                <c:pt idx="417">
                  <c:v>#N/A</c:v>
                </c:pt>
                <c:pt idx="418">
                  <c:v>#N/A</c:v>
                </c:pt>
                <c:pt idx="419">
                  <c:v>2026</c:v>
                </c:pt>
                <c:pt idx="420">
                  <c:v>#N/A</c:v>
                </c:pt>
                <c:pt idx="421">
                  <c:v>2026</c:v>
                </c:pt>
                <c:pt idx="422">
                  <c:v>#N/A</c:v>
                </c:pt>
                <c:pt idx="423">
                  <c:v>#N/A</c:v>
                </c:pt>
                <c:pt idx="424">
                  <c:v>#N/A</c:v>
                </c:pt>
                <c:pt idx="425">
                  <c:v>#N/A</c:v>
                </c:pt>
                <c:pt idx="426">
                  <c:v>#N/A</c:v>
                </c:pt>
                <c:pt idx="427">
                  <c:v>#N/A</c:v>
                </c:pt>
                <c:pt idx="428">
                  <c:v>#N/A</c:v>
                </c:pt>
                <c:pt idx="429">
                  <c:v>#N/A</c:v>
                </c:pt>
                <c:pt idx="430">
                  <c:v>#N/A</c:v>
                </c:pt>
                <c:pt idx="431">
                  <c:v>2023</c:v>
                </c:pt>
                <c:pt idx="432">
                  <c:v>2022</c:v>
                </c:pt>
                <c:pt idx="433">
                  <c:v>#N/A</c:v>
                </c:pt>
                <c:pt idx="434">
                  <c:v>#N/A</c:v>
                </c:pt>
                <c:pt idx="435">
                  <c:v>2024</c:v>
                </c:pt>
                <c:pt idx="436">
                  <c:v>2021</c:v>
                </c:pt>
                <c:pt idx="437">
                  <c:v>2023</c:v>
                </c:pt>
                <c:pt idx="438">
                  <c:v>#N/A</c:v>
                </c:pt>
                <c:pt idx="439">
                  <c:v>#N/A</c:v>
                </c:pt>
                <c:pt idx="440">
                  <c:v>#N/A</c:v>
                </c:pt>
                <c:pt idx="441">
                  <c:v>#N/A</c:v>
                </c:pt>
                <c:pt idx="442">
                  <c:v>#N/A</c:v>
                </c:pt>
                <c:pt idx="443">
                  <c:v>#N/A</c:v>
                </c:pt>
                <c:pt idx="444">
                  <c:v>#N/A</c:v>
                </c:pt>
                <c:pt idx="445">
                  <c:v>#N/A</c:v>
                </c:pt>
                <c:pt idx="446">
                  <c:v>#N/A</c:v>
                </c:pt>
                <c:pt idx="447">
                  <c:v>2026</c:v>
                </c:pt>
                <c:pt idx="448">
                  <c:v>#N/A</c:v>
                </c:pt>
                <c:pt idx="449">
                  <c:v>#N/A</c:v>
                </c:pt>
                <c:pt idx="450">
                  <c:v>#N/A</c:v>
                </c:pt>
                <c:pt idx="451">
                  <c:v>2024</c:v>
                </c:pt>
                <c:pt idx="452">
                  <c:v>2024</c:v>
                </c:pt>
                <c:pt idx="453">
                  <c:v>2026</c:v>
                </c:pt>
                <c:pt idx="454">
                  <c:v>2025</c:v>
                </c:pt>
                <c:pt idx="455">
                  <c:v>#N/A</c:v>
                </c:pt>
                <c:pt idx="456">
                  <c:v>#N/A</c:v>
                </c:pt>
                <c:pt idx="457">
                  <c:v>#N/A</c:v>
                </c:pt>
                <c:pt idx="458">
                  <c:v>#N/A</c:v>
                </c:pt>
                <c:pt idx="459">
                  <c:v>#N/A</c:v>
                </c:pt>
                <c:pt idx="460">
                  <c:v>#N/A</c:v>
                </c:pt>
                <c:pt idx="461">
                  <c:v>#N/A</c:v>
                </c:pt>
                <c:pt idx="462">
                  <c:v>#N/A</c:v>
                </c:pt>
                <c:pt idx="463">
                  <c:v>#N/A</c:v>
                </c:pt>
                <c:pt idx="464">
                  <c:v>#N/A</c:v>
                </c:pt>
                <c:pt idx="465">
                  <c:v>#N/A</c:v>
                </c:pt>
                <c:pt idx="466">
                  <c:v>2021</c:v>
                </c:pt>
                <c:pt idx="467">
                  <c:v>#N/A</c:v>
                </c:pt>
                <c:pt idx="468">
                  <c:v>#N/A</c:v>
                </c:pt>
                <c:pt idx="469">
                  <c:v>#N/A</c:v>
                </c:pt>
                <c:pt idx="470">
                  <c:v>#N/A</c:v>
                </c:pt>
                <c:pt idx="471">
                  <c:v>2017</c:v>
                </c:pt>
                <c:pt idx="472">
                  <c:v>2020</c:v>
                </c:pt>
                <c:pt idx="473">
                  <c:v>2025</c:v>
                </c:pt>
                <c:pt idx="474">
                  <c:v>#N/A</c:v>
                </c:pt>
                <c:pt idx="475">
                  <c:v>#N/A</c:v>
                </c:pt>
                <c:pt idx="476">
                  <c:v>2026</c:v>
                </c:pt>
                <c:pt idx="477">
                  <c:v>#N/A</c:v>
                </c:pt>
                <c:pt idx="478">
                  <c:v>#N/A</c:v>
                </c:pt>
                <c:pt idx="479">
                  <c:v>#N/A</c:v>
                </c:pt>
                <c:pt idx="480">
                  <c:v>#N/A</c:v>
                </c:pt>
                <c:pt idx="481">
                  <c:v>#N/A</c:v>
                </c:pt>
                <c:pt idx="482">
                  <c:v>#N/A</c:v>
                </c:pt>
                <c:pt idx="483">
                  <c:v>#N/A</c:v>
                </c:pt>
                <c:pt idx="484">
                  <c:v>2024</c:v>
                </c:pt>
                <c:pt idx="485">
                  <c:v>#N/A</c:v>
                </c:pt>
                <c:pt idx="486">
                  <c:v>#N/A</c:v>
                </c:pt>
                <c:pt idx="487">
                  <c:v>#N/A</c:v>
                </c:pt>
                <c:pt idx="488">
                  <c:v>#N/A</c:v>
                </c:pt>
                <c:pt idx="489">
                  <c:v>#N/A</c:v>
                </c:pt>
                <c:pt idx="490">
                  <c:v>#N/A</c:v>
                </c:pt>
                <c:pt idx="491">
                  <c:v>#N/A</c:v>
                </c:pt>
                <c:pt idx="492">
                  <c:v>2025</c:v>
                </c:pt>
                <c:pt idx="493">
                  <c:v>#N/A</c:v>
                </c:pt>
                <c:pt idx="494">
                  <c:v>#N/A</c:v>
                </c:pt>
                <c:pt idx="495">
                  <c:v>#N/A</c:v>
                </c:pt>
                <c:pt idx="496">
                  <c:v>2022</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2026</c:v>
                </c:pt>
                <c:pt idx="510">
                  <c:v>#N/A</c:v>
                </c:pt>
                <c:pt idx="511">
                  <c:v>#N/A</c:v>
                </c:pt>
                <c:pt idx="512">
                  <c:v>#N/A</c:v>
                </c:pt>
                <c:pt idx="513">
                  <c:v>#N/A</c:v>
                </c:pt>
                <c:pt idx="514">
                  <c:v>#N/A</c:v>
                </c:pt>
                <c:pt idx="515">
                  <c:v>#N/A</c:v>
                </c:pt>
                <c:pt idx="516">
                  <c:v>#N/A</c:v>
                </c:pt>
                <c:pt idx="517">
                  <c:v>#N/A</c:v>
                </c:pt>
                <c:pt idx="518">
                  <c:v>#N/A</c:v>
                </c:pt>
                <c:pt idx="519">
                  <c:v>2019</c:v>
                </c:pt>
                <c:pt idx="520">
                  <c:v>#N/A</c:v>
                </c:pt>
                <c:pt idx="521">
                  <c:v>#N/A</c:v>
                </c:pt>
                <c:pt idx="522">
                  <c:v>#N/A</c:v>
                </c:pt>
                <c:pt idx="523">
                  <c:v>#N/A</c:v>
                </c:pt>
                <c:pt idx="524">
                  <c:v>#N/A</c:v>
                </c:pt>
                <c:pt idx="525">
                  <c:v>2021</c:v>
                </c:pt>
                <c:pt idx="526">
                  <c:v>#N/A</c:v>
                </c:pt>
                <c:pt idx="527">
                  <c:v>#N/A</c:v>
                </c:pt>
                <c:pt idx="528">
                  <c:v>#N/A</c:v>
                </c:pt>
                <c:pt idx="529">
                  <c:v>#N/A</c:v>
                </c:pt>
                <c:pt idx="530">
                  <c:v>#N/A</c:v>
                </c:pt>
                <c:pt idx="531">
                  <c:v>#N/A</c:v>
                </c:pt>
                <c:pt idx="532">
                  <c:v>#N/A</c:v>
                </c:pt>
                <c:pt idx="533">
                  <c:v>#N/A</c:v>
                </c:pt>
                <c:pt idx="534">
                  <c:v>2025</c:v>
                </c:pt>
                <c:pt idx="535">
                  <c:v>#N/A</c:v>
                </c:pt>
                <c:pt idx="536">
                  <c:v>#N/A</c:v>
                </c:pt>
                <c:pt idx="537">
                  <c:v>#N/A</c:v>
                </c:pt>
                <c:pt idx="538">
                  <c:v>2026</c:v>
                </c:pt>
                <c:pt idx="539">
                  <c:v>#N/A</c:v>
                </c:pt>
                <c:pt idx="540">
                  <c:v>#N/A</c:v>
                </c:pt>
                <c:pt idx="541">
                  <c:v>#N/A</c:v>
                </c:pt>
                <c:pt idx="542">
                  <c:v>#N/A</c:v>
                </c:pt>
                <c:pt idx="543">
                  <c:v>2025</c:v>
                </c:pt>
                <c:pt idx="544">
                  <c:v>#N/A</c:v>
                </c:pt>
                <c:pt idx="545">
                  <c:v>#N/A</c:v>
                </c:pt>
                <c:pt idx="546">
                  <c:v>#N/A</c:v>
                </c:pt>
                <c:pt idx="547">
                  <c:v>#N/A</c:v>
                </c:pt>
                <c:pt idx="548">
                  <c:v>#N/A</c:v>
                </c:pt>
                <c:pt idx="549">
                  <c:v>#N/A</c:v>
                </c:pt>
                <c:pt idx="550">
                  <c:v>#N/A</c:v>
                </c:pt>
                <c:pt idx="551">
                  <c:v>#N/A</c:v>
                </c:pt>
                <c:pt idx="552">
                  <c:v>#N/A</c:v>
                </c:pt>
                <c:pt idx="553">
                  <c:v>#N/A</c:v>
                </c:pt>
                <c:pt idx="554">
                  <c:v>2022</c:v>
                </c:pt>
                <c:pt idx="555">
                  <c:v>2026</c:v>
                </c:pt>
                <c:pt idx="556">
                  <c:v>#N/A</c:v>
                </c:pt>
                <c:pt idx="557">
                  <c:v>#N/A</c:v>
                </c:pt>
                <c:pt idx="558">
                  <c:v>#N/A</c:v>
                </c:pt>
                <c:pt idx="559">
                  <c:v>2025</c:v>
                </c:pt>
                <c:pt idx="560">
                  <c:v>#N/A</c:v>
                </c:pt>
                <c:pt idx="561">
                  <c:v>#N/A</c:v>
                </c:pt>
                <c:pt idx="562">
                  <c:v>2026</c:v>
                </c:pt>
                <c:pt idx="563">
                  <c:v>2021</c:v>
                </c:pt>
                <c:pt idx="564">
                  <c:v>2026</c:v>
                </c:pt>
                <c:pt idx="565">
                  <c:v>2022</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2024</c:v>
                </c:pt>
                <c:pt idx="585">
                  <c:v>#N/A</c:v>
                </c:pt>
                <c:pt idx="586">
                  <c:v>#N/A</c:v>
                </c:pt>
                <c:pt idx="587">
                  <c:v>#N/A</c:v>
                </c:pt>
                <c:pt idx="588">
                  <c:v>2026</c:v>
                </c:pt>
                <c:pt idx="589">
                  <c:v>#N/A</c:v>
                </c:pt>
                <c:pt idx="590">
                  <c:v>#N/A</c:v>
                </c:pt>
                <c:pt idx="591">
                  <c:v>#N/A</c:v>
                </c:pt>
                <c:pt idx="592">
                  <c:v>#N/A</c:v>
                </c:pt>
                <c:pt idx="593">
                  <c:v>#N/A</c:v>
                </c:pt>
                <c:pt idx="594">
                  <c:v>2019</c:v>
                </c:pt>
                <c:pt idx="595">
                  <c:v>#N/A</c:v>
                </c:pt>
                <c:pt idx="596">
                  <c:v>#N/A</c:v>
                </c:pt>
                <c:pt idx="597">
                  <c:v>#N/A</c:v>
                </c:pt>
                <c:pt idx="598">
                  <c:v>#N/A</c:v>
                </c:pt>
                <c:pt idx="599">
                  <c:v>#N/A</c:v>
                </c:pt>
                <c:pt idx="600">
                  <c:v>#N/A</c:v>
                </c:pt>
                <c:pt idx="601">
                  <c:v>#N/A</c:v>
                </c:pt>
                <c:pt idx="602">
                  <c:v>#N/A</c:v>
                </c:pt>
                <c:pt idx="603">
                  <c:v>2025</c:v>
                </c:pt>
                <c:pt idx="604">
                  <c:v>#N/A</c:v>
                </c:pt>
                <c:pt idx="605">
                  <c:v>#N/A</c:v>
                </c:pt>
                <c:pt idx="606">
                  <c:v>#N/A</c:v>
                </c:pt>
                <c:pt idx="607">
                  <c:v>#N/A</c:v>
                </c:pt>
                <c:pt idx="608">
                  <c:v>#N/A</c:v>
                </c:pt>
                <c:pt idx="609">
                  <c:v>#N/A</c:v>
                </c:pt>
                <c:pt idx="610">
                  <c:v>#N/A</c:v>
                </c:pt>
                <c:pt idx="611">
                  <c:v>#N/A</c:v>
                </c:pt>
                <c:pt idx="612">
                  <c:v>2022</c:v>
                </c:pt>
                <c:pt idx="613">
                  <c:v>#N/A</c:v>
                </c:pt>
                <c:pt idx="614">
                  <c:v>2025</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2024</c:v>
                </c:pt>
                <c:pt idx="634">
                  <c:v>#N/A</c:v>
                </c:pt>
                <c:pt idx="635">
                  <c:v>#N/A</c:v>
                </c:pt>
                <c:pt idx="636">
                  <c:v>2021</c:v>
                </c:pt>
                <c:pt idx="637">
                  <c:v>#N/A</c:v>
                </c:pt>
                <c:pt idx="638">
                  <c:v>2026</c:v>
                </c:pt>
                <c:pt idx="639">
                  <c:v>#N/A</c:v>
                </c:pt>
                <c:pt idx="640">
                  <c:v>#N/A</c:v>
                </c:pt>
                <c:pt idx="641">
                  <c:v>#N/A</c:v>
                </c:pt>
                <c:pt idx="642">
                  <c:v>#N/A</c:v>
                </c:pt>
                <c:pt idx="643">
                  <c:v>2026</c:v>
                </c:pt>
                <c:pt idx="644">
                  <c:v>2025</c:v>
                </c:pt>
                <c:pt idx="645">
                  <c:v>#N/A</c:v>
                </c:pt>
                <c:pt idx="646">
                  <c:v>2026</c:v>
                </c:pt>
                <c:pt idx="647">
                  <c:v>2025</c:v>
                </c:pt>
                <c:pt idx="648">
                  <c:v>2026</c:v>
                </c:pt>
                <c:pt idx="649">
                  <c:v>2023</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2026</c:v>
                </c:pt>
                <c:pt idx="682">
                  <c:v>#N/A</c:v>
                </c:pt>
                <c:pt idx="683">
                  <c:v>#N/A</c:v>
                </c:pt>
                <c:pt idx="684">
                  <c:v>#N/A</c:v>
                </c:pt>
                <c:pt idx="685">
                  <c:v>#N/A</c:v>
                </c:pt>
                <c:pt idx="686">
                  <c:v>#N/A</c:v>
                </c:pt>
                <c:pt idx="687">
                  <c:v>2024</c:v>
                </c:pt>
                <c:pt idx="688">
                  <c:v>#N/A</c:v>
                </c:pt>
                <c:pt idx="689">
                  <c:v>#N/A</c:v>
                </c:pt>
                <c:pt idx="690">
                  <c:v>2017</c:v>
                </c:pt>
                <c:pt idx="691">
                  <c:v>2026</c:v>
                </c:pt>
                <c:pt idx="692">
                  <c:v>#N/A</c:v>
                </c:pt>
                <c:pt idx="693">
                  <c:v>#N/A</c:v>
                </c:pt>
                <c:pt idx="694">
                  <c:v>#N/A</c:v>
                </c:pt>
                <c:pt idx="695">
                  <c:v>2025</c:v>
                </c:pt>
                <c:pt idx="696">
                  <c:v>2026</c:v>
                </c:pt>
                <c:pt idx="697">
                  <c:v>2025</c:v>
                </c:pt>
                <c:pt idx="698">
                  <c:v>#N/A</c:v>
                </c:pt>
                <c:pt idx="699">
                  <c:v>#N/A</c:v>
                </c:pt>
                <c:pt idx="700">
                  <c:v>#N/A</c:v>
                </c:pt>
                <c:pt idx="701">
                  <c:v>2016</c:v>
                </c:pt>
                <c:pt idx="702">
                  <c:v>#N/A</c:v>
                </c:pt>
                <c:pt idx="703">
                  <c:v>#N/A</c:v>
                </c:pt>
                <c:pt idx="704">
                  <c:v>#N/A</c:v>
                </c:pt>
                <c:pt idx="705">
                  <c:v>#N/A</c:v>
                </c:pt>
                <c:pt idx="706">
                  <c:v>#N/A</c:v>
                </c:pt>
                <c:pt idx="707">
                  <c:v>#N/A</c:v>
                </c:pt>
                <c:pt idx="708">
                  <c:v>#N/A</c:v>
                </c:pt>
                <c:pt idx="709">
                  <c:v>#N/A</c:v>
                </c:pt>
                <c:pt idx="710">
                  <c:v>#N/A</c:v>
                </c:pt>
                <c:pt idx="711">
                  <c:v>#N/A</c:v>
                </c:pt>
                <c:pt idx="712">
                  <c:v>2024</c:v>
                </c:pt>
                <c:pt idx="713">
                  <c:v>#N/A</c:v>
                </c:pt>
                <c:pt idx="714">
                  <c:v>#N/A</c:v>
                </c:pt>
                <c:pt idx="715">
                  <c:v>#N/A</c:v>
                </c:pt>
                <c:pt idx="716">
                  <c:v>2024</c:v>
                </c:pt>
                <c:pt idx="717">
                  <c:v>#N/A</c:v>
                </c:pt>
                <c:pt idx="718">
                  <c:v>#N/A</c:v>
                </c:pt>
                <c:pt idx="719">
                  <c:v>#N/A</c:v>
                </c:pt>
                <c:pt idx="720">
                  <c:v>#N/A</c:v>
                </c:pt>
                <c:pt idx="721">
                  <c:v>#N/A</c:v>
                </c:pt>
                <c:pt idx="722">
                  <c:v>2025</c:v>
                </c:pt>
                <c:pt idx="723">
                  <c:v>#N/A</c:v>
                </c:pt>
                <c:pt idx="724">
                  <c:v>#N/A</c:v>
                </c:pt>
                <c:pt idx="725">
                  <c:v>#N/A</c:v>
                </c:pt>
                <c:pt idx="726">
                  <c:v>#N/A</c:v>
                </c:pt>
                <c:pt idx="727">
                  <c:v>2025</c:v>
                </c:pt>
                <c:pt idx="728">
                  <c:v>2025</c:v>
                </c:pt>
                <c:pt idx="729">
                  <c:v>#N/A</c:v>
                </c:pt>
                <c:pt idx="730">
                  <c:v>#N/A</c:v>
                </c:pt>
                <c:pt idx="731">
                  <c:v>#N/A</c:v>
                </c:pt>
                <c:pt idx="732">
                  <c:v>#N/A</c:v>
                </c:pt>
                <c:pt idx="733">
                  <c:v>#N/A</c:v>
                </c:pt>
                <c:pt idx="734">
                  <c:v>#N/A</c:v>
                </c:pt>
                <c:pt idx="735">
                  <c:v>#N/A</c:v>
                </c:pt>
                <c:pt idx="736">
                  <c:v>#N/A</c:v>
                </c:pt>
                <c:pt idx="737">
                  <c:v>#N/A</c:v>
                </c:pt>
                <c:pt idx="738">
                  <c:v>#N/A</c:v>
                </c:pt>
                <c:pt idx="739">
                  <c:v>#N/A</c:v>
                </c:pt>
                <c:pt idx="740">
                  <c:v>2022</c:v>
                </c:pt>
                <c:pt idx="741">
                  <c:v>#N/A</c:v>
                </c:pt>
                <c:pt idx="742">
                  <c:v>#N/A</c:v>
                </c:pt>
                <c:pt idx="743">
                  <c:v>2025</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2020</c:v>
                </c:pt>
                <c:pt idx="757">
                  <c:v>#N/A</c:v>
                </c:pt>
                <c:pt idx="758">
                  <c:v>#N/A</c:v>
                </c:pt>
                <c:pt idx="759">
                  <c:v>2026</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#N/A</c:v>
                </c:pt>
                <c:pt idx="779">
                  <c:v>#N/A</c:v>
                </c:pt>
                <c:pt idx="780">
                  <c:v>#N/A</c:v>
                </c:pt>
                <c:pt idx="781">
                  <c:v>#N/A</c:v>
                </c:pt>
                <c:pt idx="782">
                  <c:v>#N/A</c:v>
                </c:pt>
                <c:pt idx="783">
                  <c:v>#N/A</c:v>
                </c:pt>
                <c:pt idx="784">
                  <c:v>#N/A</c:v>
                </c:pt>
                <c:pt idx="785">
                  <c:v>2026</c:v>
                </c:pt>
                <c:pt idx="786">
                  <c:v>#N/A</c:v>
                </c:pt>
                <c:pt idx="787">
                  <c:v>#N/A</c:v>
                </c:pt>
                <c:pt idx="788">
                  <c:v>#N/A</c:v>
                </c:pt>
                <c:pt idx="789">
                  <c:v>#N/A</c:v>
                </c:pt>
                <c:pt idx="790">
                  <c:v>2025</c:v>
                </c:pt>
                <c:pt idx="791">
                  <c:v>#N/A</c:v>
                </c:pt>
                <c:pt idx="792">
                  <c:v>2026</c:v>
                </c:pt>
                <c:pt idx="793">
                  <c:v>#N/A</c:v>
                </c:pt>
                <c:pt idx="794">
                  <c:v>#N/A</c:v>
                </c:pt>
                <c:pt idx="795">
                  <c:v>#N/A</c:v>
                </c:pt>
                <c:pt idx="796">
                  <c:v>#N/A</c:v>
                </c:pt>
                <c:pt idx="797">
                  <c:v>2025</c:v>
                </c:pt>
                <c:pt idx="798">
                  <c:v>#N/A</c:v>
                </c:pt>
                <c:pt idx="799">
                  <c:v>#N/A</c:v>
                </c:pt>
                <c:pt idx="800">
                  <c:v>2026</c:v>
                </c:pt>
                <c:pt idx="801">
                  <c:v>2025</c:v>
                </c:pt>
                <c:pt idx="802">
                  <c:v>#N/A</c:v>
                </c:pt>
                <c:pt idx="803">
                  <c:v>#N/A</c:v>
                </c:pt>
                <c:pt idx="804">
                  <c:v>#N/A</c:v>
                </c:pt>
                <c:pt idx="805">
                  <c:v>#N/A</c:v>
                </c:pt>
                <c:pt idx="806">
                  <c:v>#N/A</c:v>
                </c:pt>
                <c:pt idx="807">
                  <c:v>#N/A</c:v>
                </c:pt>
                <c:pt idx="808">
                  <c:v>#N/A</c:v>
                </c:pt>
                <c:pt idx="809">
                  <c:v>#N/A</c:v>
                </c:pt>
                <c:pt idx="810">
                  <c:v>#N/A</c:v>
                </c:pt>
                <c:pt idx="811">
                  <c:v>#N/A</c:v>
                </c:pt>
                <c:pt idx="812">
                  <c:v>#N/A</c:v>
                </c:pt>
                <c:pt idx="813">
                  <c:v>2022</c:v>
                </c:pt>
                <c:pt idx="814">
                  <c:v>#N/A</c:v>
                </c:pt>
                <c:pt idx="815">
                  <c:v>2023</c:v>
                </c:pt>
                <c:pt idx="816">
                  <c:v>#N/A</c:v>
                </c:pt>
                <c:pt idx="817">
                  <c:v>#N/A</c:v>
                </c:pt>
                <c:pt idx="818">
                  <c:v>#N/A</c:v>
                </c:pt>
                <c:pt idx="819">
                  <c:v>2021</c:v>
                </c:pt>
                <c:pt idx="820">
                  <c:v>2025</c:v>
                </c:pt>
                <c:pt idx="821">
                  <c:v>#N/A</c:v>
                </c:pt>
                <c:pt idx="822">
                  <c:v>2019</c:v>
                </c:pt>
                <c:pt idx="823">
                  <c:v>#N/A</c:v>
                </c:pt>
                <c:pt idx="824">
                  <c:v>2026</c:v>
                </c:pt>
                <c:pt idx="825">
                  <c:v>#N/A</c:v>
                </c:pt>
                <c:pt idx="826">
                  <c:v>#N/A</c:v>
                </c:pt>
                <c:pt idx="827">
                  <c:v>#N/A</c:v>
                </c:pt>
                <c:pt idx="828">
                  <c:v>2026</c:v>
                </c:pt>
                <c:pt idx="829">
                  <c:v>#N/A</c:v>
                </c:pt>
                <c:pt idx="830">
                  <c:v>#N/A</c:v>
                </c:pt>
                <c:pt idx="831">
                  <c:v>#N/A</c:v>
                </c:pt>
                <c:pt idx="832">
                  <c:v>#N/A</c:v>
                </c:pt>
                <c:pt idx="833">
                  <c:v>#N/A</c:v>
                </c:pt>
                <c:pt idx="834">
                  <c:v>#N/A</c:v>
                </c:pt>
                <c:pt idx="835">
                  <c:v>#N/A</c:v>
                </c:pt>
                <c:pt idx="836">
                  <c:v>#N/A</c:v>
                </c:pt>
                <c:pt idx="837">
                  <c:v>2026</c:v>
                </c:pt>
                <c:pt idx="838">
                  <c:v>#N/A</c:v>
                </c:pt>
                <c:pt idx="839">
                  <c:v>#N/A</c:v>
                </c:pt>
                <c:pt idx="840">
                  <c:v>2020</c:v>
                </c:pt>
                <c:pt idx="841">
                  <c:v>#N/A</c:v>
                </c:pt>
                <c:pt idx="842">
                  <c:v>#N/A</c:v>
                </c:pt>
                <c:pt idx="843">
                  <c:v>2021</c:v>
                </c:pt>
                <c:pt idx="844">
                  <c:v>2025</c:v>
                </c:pt>
                <c:pt idx="845">
                  <c:v>2026</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2023</c:v>
                </c:pt>
                <c:pt idx="870">
                  <c:v>#N/A</c:v>
                </c:pt>
                <c:pt idx="871">
                  <c:v>2026</c:v>
                </c:pt>
                <c:pt idx="872">
                  <c:v>#N/A</c:v>
                </c:pt>
                <c:pt idx="873">
                  <c:v>#N/A</c:v>
                </c:pt>
                <c:pt idx="874">
                  <c:v>2026</c:v>
                </c:pt>
                <c:pt idx="875">
                  <c:v>#N/A</c:v>
                </c:pt>
                <c:pt idx="876">
                  <c:v>#N/A</c:v>
                </c:pt>
                <c:pt idx="877">
                  <c:v>#N/A</c:v>
                </c:pt>
                <c:pt idx="878">
                  <c:v>2025</c:v>
                </c:pt>
                <c:pt idx="879">
                  <c:v>2025</c:v>
                </c:pt>
                <c:pt idx="880">
                  <c:v>2022</c:v>
                </c:pt>
                <c:pt idx="881">
                  <c:v>2026</c:v>
                </c:pt>
                <c:pt idx="882">
                  <c:v>#N/A</c:v>
                </c:pt>
                <c:pt idx="883">
                  <c:v>#N/A</c:v>
                </c:pt>
                <c:pt idx="884">
                  <c:v>2024</c:v>
                </c:pt>
                <c:pt idx="885">
                  <c:v>#N/A</c:v>
                </c:pt>
                <c:pt idx="886">
                  <c:v>#N/A</c:v>
                </c:pt>
                <c:pt idx="887">
                  <c:v>#N/A</c:v>
                </c:pt>
                <c:pt idx="888">
                  <c:v>2024</c:v>
                </c:pt>
                <c:pt idx="889">
                  <c:v>#N/A</c:v>
                </c:pt>
                <c:pt idx="890">
                  <c:v>#N/A</c:v>
                </c:pt>
                <c:pt idx="891">
                  <c:v>#N/A</c:v>
                </c:pt>
                <c:pt idx="892">
                  <c:v>2023</c:v>
                </c:pt>
                <c:pt idx="893">
                  <c:v>2026</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3.46</c:v>
                </c:pt>
                <c:pt idx="88">
                  <c:v>#N/A</c:v>
                </c:pt>
                <c:pt idx="89">
                  <c:v>#N/A</c:v>
                </c:pt>
                <c:pt idx="90">
                  <c:v>#N/A</c:v>
                </c:pt>
                <c:pt idx="91">
                  <c:v>3.552</c:v>
                </c:pt>
                <c:pt idx="92">
                  <c:v>3.5750000000000002</c:v>
                </c:pt>
                <c:pt idx="93">
                  <c:v>3.5979999999999999</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3.1379999999999999</c:v>
                </c:pt>
                <c:pt idx="108">
                  <c:v>#N/A</c:v>
                </c:pt>
                <c:pt idx="109">
                  <c:v>#N/A</c:v>
                </c:pt>
                <c:pt idx="110">
                  <c:v>#N/A</c:v>
                </c:pt>
                <c:pt idx="111">
                  <c:v>#N/A</c:v>
                </c:pt>
                <c:pt idx="112">
                  <c:v>#N/A</c:v>
                </c:pt>
                <c:pt idx="113">
                  <c:v>3.2759999999999998</c:v>
                </c:pt>
                <c:pt idx="114">
                  <c:v>#N/A</c:v>
                </c:pt>
                <c:pt idx="115">
                  <c:v>#N/A</c:v>
                </c:pt>
                <c:pt idx="116">
                  <c:v>#N/A</c:v>
                </c:pt>
                <c:pt idx="117">
                  <c:v>#N/A</c:v>
                </c:pt>
                <c:pt idx="118">
                  <c:v>#N/A</c:v>
                </c:pt>
                <c:pt idx="119">
                  <c:v>#N/A</c:v>
                </c:pt>
                <c:pt idx="120">
                  <c:v>3.4369999999999998</c:v>
                </c:pt>
                <c:pt idx="121">
                  <c:v>#N/A</c:v>
                </c:pt>
                <c:pt idx="122">
                  <c:v>#N/A</c:v>
                </c:pt>
                <c:pt idx="123">
                  <c:v>#N/A</c:v>
                </c:pt>
                <c:pt idx="124">
                  <c:v>#N/A</c:v>
                </c:pt>
                <c:pt idx="125">
                  <c:v>#N/A</c:v>
                </c:pt>
                <c:pt idx="126">
                  <c:v>#N/A</c:v>
                </c:pt>
                <c:pt idx="127">
                  <c:v>#N/A</c:v>
                </c:pt>
                <c:pt idx="128">
                  <c:v>3.621</c:v>
                </c:pt>
                <c:pt idx="129">
                  <c:v>3.6440000000000001</c:v>
                </c:pt>
                <c:pt idx="130">
                  <c:v>#N/A</c:v>
                </c:pt>
                <c:pt idx="131">
                  <c:v>#N/A</c:v>
                </c:pt>
                <c:pt idx="132">
                  <c:v>#N/A</c:v>
                </c:pt>
                <c:pt idx="133">
                  <c:v>#N/A</c:v>
                </c:pt>
                <c:pt idx="134">
                  <c:v>3.7589999999999999</c:v>
                </c:pt>
                <c:pt idx="135">
                  <c:v>#N/A</c:v>
                </c:pt>
                <c:pt idx="136">
                  <c:v>3.0230000000000001</c:v>
                </c:pt>
                <c:pt idx="137">
                  <c:v>#N/A</c:v>
                </c:pt>
                <c:pt idx="138">
                  <c:v>3.069</c:v>
                </c:pt>
                <c:pt idx="139">
                  <c:v>#N/A</c:v>
                </c:pt>
                <c:pt idx="140">
                  <c:v>#N/A</c:v>
                </c:pt>
                <c:pt idx="141">
                  <c:v>3.1379999999999999</c:v>
                </c:pt>
                <c:pt idx="142">
                  <c:v>#N/A</c:v>
                </c:pt>
                <c:pt idx="143">
                  <c:v>#N/A</c:v>
                </c:pt>
                <c:pt idx="144">
                  <c:v>#N/A</c:v>
                </c:pt>
                <c:pt idx="145">
                  <c:v>#N/A</c:v>
                </c:pt>
                <c:pt idx="146">
                  <c:v>#N/A</c:v>
                </c:pt>
                <c:pt idx="147">
                  <c:v>#N/A</c:v>
                </c:pt>
                <c:pt idx="148">
                  <c:v>#N/A</c:v>
                </c:pt>
                <c:pt idx="149">
                  <c:v>#N/A</c:v>
                </c:pt>
                <c:pt idx="150">
                  <c:v>3.3449999999999998</c:v>
                </c:pt>
                <c:pt idx="151">
                  <c:v>3.3679999999999999</c:v>
                </c:pt>
                <c:pt idx="152">
                  <c:v>3.391</c:v>
                </c:pt>
                <c:pt idx="153">
                  <c:v>#N/A</c:v>
                </c:pt>
                <c:pt idx="154">
                  <c:v>3.4369999999999998</c:v>
                </c:pt>
                <c:pt idx="155">
                  <c:v>#N/A</c:v>
                </c:pt>
                <c:pt idx="156">
                  <c:v>#N/A</c:v>
                </c:pt>
                <c:pt idx="157">
                  <c:v>#N/A</c:v>
                </c:pt>
                <c:pt idx="158">
                  <c:v>#N/A</c:v>
                </c:pt>
                <c:pt idx="159">
                  <c:v>3.552</c:v>
                </c:pt>
                <c:pt idx="160">
                  <c:v>3.5750000000000002</c:v>
                </c:pt>
                <c:pt idx="161">
                  <c:v>3.5979999999999999</c:v>
                </c:pt>
                <c:pt idx="162">
                  <c:v>#N/A</c:v>
                </c:pt>
                <c:pt idx="163">
                  <c:v>#N/A</c:v>
                </c:pt>
                <c:pt idx="164">
                  <c:v>3.6669999999999998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3.23</c:v>
                </c:pt>
                <c:pt idx="180">
                  <c:v>#N/A</c:v>
                </c:pt>
                <c:pt idx="181">
                  <c:v>#N/A</c:v>
                </c:pt>
                <c:pt idx="182">
                  <c:v>#N/A</c:v>
                </c:pt>
                <c:pt idx="183">
                  <c:v>#N/A</c:v>
                </c:pt>
                <c:pt idx="184">
                  <c:v>#N/A</c:v>
                </c:pt>
                <c:pt idx="185">
                  <c:v>3.3679999999999999</c:v>
                </c:pt>
                <c:pt idx="186">
                  <c:v>#N/A</c:v>
                </c:pt>
                <c:pt idx="187">
                  <c:v>3.4140000000000001</c:v>
                </c:pt>
                <c:pt idx="188">
                  <c:v>3.4369999999999998</c:v>
                </c:pt>
                <c:pt idx="189">
                  <c:v>3.46</c:v>
                </c:pt>
                <c:pt idx="190">
                  <c:v>#N/A</c:v>
                </c:pt>
                <c:pt idx="191">
                  <c:v>#N/A</c:v>
                </c:pt>
                <c:pt idx="192">
                  <c:v>#N/A</c:v>
                </c:pt>
                <c:pt idx="193">
                  <c:v>3.552</c:v>
                </c:pt>
                <c:pt idx="194">
                  <c:v>3.5750000000000002</c:v>
                </c:pt>
                <c:pt idx="195">
                  <c:v>#N/A</c:v>
                </c:pt>
                <c:pt idx="196">
                  <c:v>#N/A</c:v>
                </c:pt>
                <c:pt idx="197">
                  <c:v>#N/A</c:v>
                </c:pt>
                <c:pt idx="198">
                  <c:v>3.6669999999999998</c:v>
                </c:pt>
                <c:pt idx="199">
                  <c:v>#N/A</c:v>
                </c:pt>
                <c:pt idx="200">
                  <c:v>#N/A</c:v>
                </c:pt>
                <c:pt idx="201">
                  <c:v>#N/A</c:v>
                </c:pt>
                <c:pt idx="202">
                  <c:v>#N/A</c:v>
                </c:pt>
                <c:pt idx="203">
                  <c:v>#N/A</c:v>
                </c:pt>
                <c:pt idx="204">
                  <c:v>#N/A</c:v>
                </c:pt>
                <c:pt idx="205">
                  <c:v>#N/A</c:v>
                </c:pt>
                <c:pt idx="206">
                  <c:v>3.069</c:v>
                </c:pt>
                <c:pt idx="207">
                  <c:v>3.0920000000000001</c:v>
                </c:pt>
                <c:pt idx="208">
                  <c:v>3.1150000000000002</c:v>
                </c:pt>
                <c:pt idx="209">
                  <c:v>#N/A</c:v>
                </c:pt>
                <c:pt idx="210">
                  <c:v>3.161</c:v>
                </c:pt>
                <c:pt idx="211">
                  <c:v>3.1840000000000002</c:v>
                </c:pt>
                <c:pt idx="212">
                  <c:v>3.2069999999999999</c:v>
                </c:pt>
                <c:pt idx="213">
                  <c:v>3.23</c:v>
                </c:pt>
                <c:pt idx="214">
                  <c:v>3.2530000000000001</c:v>
                </c:pt>
                <c:pt idx="215">
                  <c:v>3.2759999999999998</c:v>
                </c:pt>
                <c:pt idx="216">
                  <c:v>3.2989999999999999</c:v>
                </c:pt>
                <c:pt idx="217">
                  <c:v>#N/A</c:v>
                </c:pt>
                <c:pt idx="218">
                  <c:v>3.3449999999999998</c:v>
                </c:pt>
                <c:pt idx="219">
                  <c:v>#N/A</c:v>
                </c:pt>
                <c:pt idx="220">
                  <c:v>#N/A</c:v>
                </c:pt>
                <c:pt idx="221">
                  <c:v>3.4140000000000001</c:v>
                </c:pt>
                <c:pt idx="222">
                  <c:v>3.4369999999999998</c:v>
                </c:pt>
                <c:pt idx="223">
                  <c:v>3.46</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3.0230000000000001</c:v>
                </c:pt>
                <c:pt idx="239">
                  <c:v>#N/A</c:v>
                </c:pt>
                <c:pt idx="240">
                  <c:v>#N/A</c:v>
                </c:pt>
                <c:pt idx="241">
                  <c:v>#N/A</c:v>
                </c:pt>
                <c:pt idx="242">
                  <c:v>#N/A</c:v>
                </c:pt>
                <c:pt idx="243">
                  <c:v>#N/A</c:v>
                </c:pt>
                <c:pt idx="244">
                  <c:v>3.161</c:v>
                </c:pt>
                <c:pt idx="245">
                  <c:v>#N/A</c:v>
                </c:pt>
                <c:pt idx="246">
                  <c:v>#N/A</c:v>
                </c:pt>
                <c:pt idx="247">
                  <c:v>#N/A</c:v>
                </c:pt>
                <c:pt idx="248">
                  <c:v>#N/A</c:v>
                </c:pt>
                <c:pt idx="249">
                  <c:v>#N/A</c:v>
                </c:pt>
                <c:pt idx="250">
                  <c:v>#N/A</c:v>
                </c:pt>
                <c:pt idx="251">
                  <c:v>#N/A</c:v>
                </c:pt>
                <c:pt idx="252">
                  <c:v>3.3449999999999998</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3.69</c:v>
                </c:pt>
                <c:pt idx="268">
                  <c:v>#N/A</c:v>
                </c:pt>
                <c:pt idx="269">
                  <c:v>#N/A</c:v>
                </c:pt>
                <c:pt idx="270">
                  <c:v>#N/A</c:v>
                </c:pt>
                <c:pt idx="271">
                  <c:v>#N/A</c:v>
                </c:pt>
                <c:pt idx="272">
                  <c:v>#N/A</c:v>
                </c:pt>
                <c:pt idx="273">
                  <c:v>#N/A</c:v>
                </c:pt>
                <c:pt idx="274">
                  <c:v>#N/A</c:v>
                </c:pt>
                <c:pt idx="275">
                  <c:v>#N/A</c:v>
                </c:pt>
                <c:pt idx="276">
                  <c:v>#N/A</c:v>
                </c:pt>
                <c:pt idx="277">
                  <c:v>3.1379999999999999</c:v>
                </c:pt>
                <c:pt idx="278">
                  <c:v>3.161</c:v>
                </c:pt>
                <c:pt idx="279">
                  <c:v>#N/A</c:v>
                </c:pt>
                <c:pt idx="280">
                  <c:v>#N/A</c:v>
                </c:pt>
                <c:pt idx="281">
                  <c:v>#N/A</c:v>
                </c:pt>
                <c:pt idx="282">
                  <c:v>3.2530000000000001</c:v>
                </c:pt>
                <c:pt idx="283">
                  <c:v>#N/A</c:v>
                </c:pt>
                <c:pt idx="284">
                  <c:v>#N/A</c:v>
                </c:pt>
                <c:pt idx="285">
                  <c:v>#N/A</c:v>
                </c:pt>
                <c:pt idx="286">
                  <c:v>#N/A</c:v>
                </c:pt>
                <c:pt idx="287">
                  <c:v>#N/A</c:v>
                </c:pt>
                <c:pt idx="288">
                  <c:v>3.391</c:v>
                </c:pt>
                <c:pt idx="289">
                  <c:v>#N/A</c:v>
                </c:pt>
                <c:pt idx="290">
                  <c:v>#N/A</c:v>
                </c:pt>
                <c:pt idx="291">
                  <c:v>#N/A</c:v>
                </c:pt>
                <c:pt idx="292">
                  <c:v>3.4830000000000001</c:v>
                </c:pt>
                <c:pt idx="293">
                  <c:v>#N/A</c:v>
                </c:pt>
                <c:pt idx="294">
                  <c:v>#N/A</c:v>
                </c:pt>
                <c:pt idx="295">
                  <c:v>#N/A</c:v>
                </c:pt>
                <c:pt idx="296">
                  <c:v>#N/A</c:v>
                </c:pt>
                <c:pt idx="297">
                  <c:v>#N/A</c:v>
                </c:pt>
                <c:pt idx="298">
                  <c:v>#N/A</c:v>
                </c:pt>
                <c:pt idx="299">
                  <c:v>#N/A</c:v>
                </c:pt>
                <c:pt idx="300">
                  <c:v>#N/A</c:v>
                </c:pt>
                <c:pt idx="301">
                  <c:v>#N/A</c:v>
                </c:pt>
                <c:pt idx="302">
                  <c:v>#N/A</c:v>
                </c:pt>
                <c:pt idx="303">
                  <c:v>#N/A</c:v>
                </c:pt>
                <c:pt idx="304">
                  <c:v>3.7589999999999999</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3.2989999999999999</c:v>
                </c:pt>
                <c:pt idx="319">
                  <c:v>#N/A</c:v>
                </c:pt>
                <c:pt idx="320">
                  <c:v>#N/A</c:v>
                </c:pt>
                <c:pt idx="321">
                  <c:v>#N/A</c:v>
                </c:pt>
                <c:pt idx="322">
                  <c:v>#N/A</c:v>
                </c:pt>
                <c:pt idx="323">
                  <c:v>#N/A</c:v>
                </c:pt>
                <c:pt idx="324">
                  <c:v>#N/A</c:v>
                </c:pt>
                <c:pt idx="325">
                  <c:v>#N/A</c:v>
                </c:pt>
                <c:pt idx="326">
                  <c:v>#N/A</c:v>
                </c:pt>
                <c:pt idx="327">
                  <c:v>#N/A</c:v>
                </c:pt>
                <c:pt idx="328">
                  <c:v>3.5289999999999999</c:v>
                </c:pt>
                <c:pt idx="329">
                  <c:v>#N/A</c:v>
                </c:pt>
                <c:pt idx="330">
                  <c:v>#N/A</c:v>
                </c:pt>
                <c:pt idx="331">
                  <c:v>3.5979999999999999</c:v>
                </c:pt>
                <c:pt idx="332">
                  <c:v>#N/A</c:v>
                </c:pt>
                <c:pt idx="333">
                  <c:v>#N/A</c:v>
                </c:pt>
                <c:pt idx="334">
                  <c:v>3.6669999999999998</c:v>
                </c:pt>
                <c:pt idx="335">
                  <c:v>#N/A</c:v>
                </c:pt>
                <c:pt idx="336">
                  <c:v>#N/A</c:v>
                </c:pt>
                <c:pt idx="337">
                  <c:v>#N/A</c:v>
                </c:pt>
                <c:pt idx="338">
                  <c:v>#N/A</c:v>
                </c:pt>
                <c:pt idx="339">
                  <c:v>#N/A</c:v>
                </c:pt>
                <c:pt idx="340">
                  <c:v>#N/A</c:v>
                </c:pt>
                <c:pt idx="341">
                  <c:v>#N/A</c:v>
                </c:pt>
                <c:pt idx="342">
                  <c:v>3.069</c:v>
                </c:pt>
                <c:pt idx="343">
                  <c:v>#N/A</c:v>
                </c:pt>
                <c:pt idx="344">
                  <c:v>#N/A</c:v>
                </c:pt>
                <c:pt idx="345">
                  <c:v>#N/A</c:v>
                </c:pt>
                <c:pt idx="346">
                  <c:v>3.161</c:v>
                </c:pt>
                <c:pt idx="347">
                  <c:v>3.1840000000000002</c:v>
                </c:pt>
                <c:pt idx="348">
                  <c:v>#N/A</c:v>
                </c:pt>
                <c:pt idx="349">
                  <c:v>3.23</c:v>
                </c:pt>
                <c:pt idx="350">
                  <c:v>#N/A</c:v>
                </c:pt>
                <c:pt idx="351">
                  <c:v>#N/A</c:v>
                </c:pt>
                <c:pt idx="352">
                  <c:v>#N/A</c:v>
                </c:pt>
                <c:pt idx="353">
                  <c:v>#N/A</c:v>
                </c:pt>
                <c:pt idx="354">
                  <c:v>#N/A</c:v>
                </c:pt>
                <c:pt idx="355">
                  <c:v>3.3679999999999999</c:v>
                </c:pt>
                <c:pt idx="356">
                  <c:v>#N/A</c:v>
                </c:pt>
                <c:pt idx="357">
                  <c:v>#N/A</c:v>
                </c:pt>
                <c:pt idx="358">
                  <c:v>#N/A</c:v>
                </c:pt>
                <c:pt idx="359">
                  <c:v>#N/A</c:v>
                </c:pt>
                <c:pt idx="360">
                  <c:v>#N/A</c:v>
                </c:pt>
                <c:pt idx="361">
                  <c:v>#N/A</c:v>
                </c:pt>
                <c:pt idx="362">
                  <c:v>3.5289999999999999</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3.3220000000000001</c:v>
                </c:pt>
                <c:pt idx="388">
                  <c:v>3.3449999999999998</c:v>
                </c:pt>
                <c:pt idx="389">
                  <c:v>#N/A</c:v>
                </c:pt>
                <c:pt idx="390">
                  <c:v>#N/A</c:v>
                </c:pt>
                <c:pt idx="391">
                  <c:v>3.4140000000000001</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3.069</c:v>
                </c:pt>
                <c:pt idx="411">
                  <c:v>3.0920000000000001</c:v>
                </c:pt>
                <c:pt idx="412">
                  <c:v>#N/A</c:v>
                </c:pt>
                <c:pt idx="413">
                  <c:v>#N/A</c:v>
                </c:pt>
                <c:pt idx="414">
                  <c:v>#N/A</c:v>
                </c:pt>
                <c:pt idx="415">
                  <c:v>#N/A</c:v>
                </c:pt>
                <c:pt idx="416">
                  <c:v>#N/A</c:v>
                </c:pt>
                <c:pt idx="417">
                  <c:v>#N/A</c:v>
                </c:pt>
                <c:pt idx="418">
                  <c:v>#N/A</c:v>
                </c:pt>
                <c:pt idx="419">
                  <c:v>#N/A</c:v>
                </c:pt>
                <c:pt idx="420">
                  <c:v>3.2989999999999999</c:v>
                </c:pt>
                <c:pt idx="421">
                  <c:v>#N/A</c:v>
                </c:pt>
                <c:pt idx="422">
                  <c:v>3.3449999999999998</c:v>
                </c:pt>
                <c:pt idx="423">
                  <c:v>#N/A</c:v>
                </c:pt>
                <c:pt idx="424">
                  <c:v>#N/A</c:v>
                </c:pt>
                <c:pt idx="425">
                  <c:v>#N/A</c:v>
                </c:pt>
                <c:pt idx="426">
                  <c:v>#N/A</c:v>
                </c:pt>
                <c:pt idx="427">
                  <c:v>#N/A</c:v>
                </c:pt>
                <c:pt idx="428">
                  <c:v>#N/A</c:v>
                </c:pt>
                <c:pt idx="429">
                  <c:v>#N/A</c:v>
                </c:pt>
                <c:pt idx="430">
                  <c:v>#N/A</c:v>
                </c:pt>
                <c:pt idx="431">
                  <c:v>#N/A</c:v>
                </c:pt>
                <c:pt idx="432">
                  <c:v>3.5750000000000002</c:v>
                </c:pt>
                <c:pt idx="433">
                  <c:v>3.5979999999999999</c:v>
                </c:pt>
                <c:pt idx="434">
                  <c:v>#N/A</c:v>
                </c:pt>
                <c:pt idx="435">
                  <c:v>#N/A</c:v>
                </c:pt>
                <c:pt idx="436">
                  <c:v>3.6669999999999998</c:v>
                </c:pt>
                <c:pt idx="437">
                  <c:v>3.69</c:v>
                </c:pt>
                <c:pt idx="438">
                  <c:v>3.7130000000000001</c:v>
                </c:pt>
                <c:pt idx="439">
                  <c:v>#N/A</c:v>
                </c:pt>
                <c:pt idx="440">
                  <c:v>#N/A</c:v>
                </c:pt>
                <c:pt idx="441">
                  <c:v>#N/A</c:v>
                </c:pt>
                <c:pt idx="442">
                  <c:v>#N/A</c:v>
                </c:pt>
                <c:pt idx="443">
                  <c:v>#N/A</c:v>
                </c:pt>
                <c:pt idx="444">
                  <c:v>#N/A</c:v>
                </c:pt>
                <c:pt idx="445">
                  <c:v>#N/A</c:v>
                </c:pt>
                <c:pt idx="446">
                  <c:v>#N/A</c:v>
                </c:pt>
                <c:pt idx="447">
                  <c:v>#N/A</c:v>
                </c:pt>
                <c:pt idx="448">
                  <c:v>3.161</c:v>
                </c:pt>
                <c:pt idx="449">
                  <c:v>#N/A</c:v>
                </c:pt>
                <c:pt idx="450">
                  <c:v>#N/A</c:v>
                </c:pt>
                <c:pt idx="451">
                  <c:v>#N/A</c:v>
                </c:pt>
                <c:pt idx="452">
                  <c:v>3.2530000000000001</c:v>
                </c:pt>
                <c:pt idx="453">
                  <c:v>3.2759999999999998</c:v>
                </c:pt>
                <c:pt idx="454">
                  <c:v>3.2989999999999999</c:v>
                </c:pt>
                <c:pt idx="455">
                  <c:v>3.3220000000000001</c:v>
                </c:pt>
                <c:pt idx="456">
                  <c:v>#N/A</c:v>
                </c:pt>
                <c:pt idx="457">
                  <c:v>#N/A</c:v>
                </c:pt>
                <c:pt idx="458">
                  <c:v>#N/A</c:v>
                </c:pt>
                <c:pt idx="459">
                  <c:v>#N/A</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3.7130000000000001</c:v>
                </c:pt>
                <c:pt idx="473">
                  <c:v>3.7359999999999998</c:v>
                </c:pt>
                <c:pt idx="474">
                  <c:v>3.7589999999999999</c:v>
                </c:pt>
                <c:pt idx="475">
                  <c:v>#N/A</c:v>
                </c:pt>
                <c:pt idx="476">
                  <c:v>#N/A</c:v>
                </c:pt>
                <c:pt idx="477">
                  <c:v>3.0459999999999998</c:v>
                </c:pt>
                <c:pt idx="478">
                  <c:v>#N/A</c:v>
                </c:pt>
                <c:pt idx="479">
                  <c:v>#N/A</c:v>
                </c:pt>
                <c:pt idx="480">
                  <c:v>#N/A</c:v>
                </c:pt>
                <c:pt idx="481">
                  <c:v>#N/A</c:v>
                </c:pt>
                <c:pt idx="482">
                  <c:v>#N/A</c:v>
                </c:pt>
                <c:pt idx="483">
                  <c:v>#N/A</c:v>
                </c:pt>
                <c:pt idx="484">
                  <c:v>#N/A</c:v>
                </c:pt>
                <c:pt idx="485">
                  <c:v>3.23</c:v>
                </c:pt>
                <c:pt idx="486">
                  <c:v>#N/A</c:v>
                </c:pt>
                <c:pt idx="487">
                  <c:v>#N/A</c:v>
                </c:pt>
                <c:pt idx="488">
                  <c:v>#N/A</c:v>
                </c:pt>
                <c:pt idx="489">
                  <c:v>#N/A</c:v>
                </c:pt>
                <c:pt idx="490">
                  <c:v>#N/A</c:v>
                </c:pt>
                <c:pt idx="491">
                  <c:v>#N/A</c:v>
                </c:pt>
                <c:pt idx="492">
                  <c:v>#N/A</c:v>
                </c:pt>
                <c:pt idx="493">
                  <c:v>3.4140000000000001</c:v>
                </c:pt>
                <c:pt idx="494">
                  <c:v>#N/A</c:v>
                </c:pt>
                <c:pt idx="495">
                  <c:v>#N/A</c:v>
                </c:pt>
                <c:pt idx="496">
                  <c:v>#N/A</c:v>
                </c:pt>
                <c:pt idx="497">
                  <c:v>3.5060000000000002</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3.0230000000000001</c:v>
                </c:pt>
                <c:pt idx="511">
                  <c:v>#N/A</c:v>
                </c:pt>
                <c:pt idx="512">
                  <c:v>#N/A</c:v>
                </c:pt>
                <c:pt idx="513">
                  <c:v>#N/A</c:v>
                </c:pt>
                <c:pt idx="514">
                  <c:v>#N/A</c:v>
                </c:pt>
                <c:pt idx="515">
                  <c:v>#N/A</c:v>
                </c:pt>
                <c:pt idx="516">
                  <c:v>#N/A</c:v>
                </c:pt>
                <c:pt idx="517">
                  <c:v>#N/A</c:v>
                </c:pt>
                <c:pt idx="518">
                  <c:v>#N/A</c:v>
                </c:pt>
                <c:pt idx="519">
                  <c:v>#N/A</c:v>
                </c:pt>
                <c:pt idx="520">
                  <c:v>3.2530000000000001</c:v>
                </c:pt>
                <c:pt idx="521">
                  <c:v>#N/A</c:v>
                </c:pt>
                <c:pt idx="522">
                  <c:v>#N/A</c:v>
                </c:pt>
                <c:pt idx="523">
                  <c:v>#N/A</c:v>
                </c:pt>
                <c:pt idx="524">
                  <c:v>#N/A</c:v>
                </c:pt>
                <c:pt idx="525">
                  <c:v>#N/A</c:v>
                </c:pt>
                <c:pt idx="526">
                  <c:v>3.391</c:v>
                </c:pt>
                <c:pt idx="527">
                  <c:v>#N/A</c:v>
                </c:pt>
                <c:pt idx="528">
                  <c:v>#N/A</c:v>
                </c:pt>
                <c:pt idx="529">
                  <c:v>#N/A</c:v>
                </c:pt>
                <c:pt idx="530">
                  <c:v>#N/A</c:v>
                </c:pt>
                <c:pt idx="531">
                  <c:v>#N/A</c:v>
                </c:pt>
                <c:pt idx="532">
                  <c:v>#N/A</c:v>
                </c:pt>
                <c:pt idx="533">
                  <c:v>#N/A</c:v>
                </c:pt>
                <c:pt idx="534">
                  <c:v>#N/A</c:v>
                </c:pt>
                <c:pt idx="535">
                  <c:v>3.5979999999999999</c:v>
                </c:pt>
                <c:pt idx="536">
                  <c:v>#N/A</c:v>
                </c:pt>
                <c:pt idx="537">
                  <c:v>#N/A</c:v>
                </c:pt>
                <c:pt idx="538">
                  <c:v>#N/A</c:v>
                </c:pt>
                <c:pt idx="539">
                  <c:v>3.69</c:v>
                </c:pt>
                <c:pt idx="540">
                  <c:v>#N/A</c:v>
                </c:pt>
                <c:pt idx="541">
                  <c:v>#N/A</c:v>
                </c:pt>
                <c:pt idx="542">
                  <c:v>#N/A</c:v>
                </c:pt>
                <c:pt idx="543">
                  <c:v>#N/A</c:v>
                </c:pt>
                <c:pt idx="544">
                  <c:v>3.0230000000000001</c:v>
                </c:pt>
                <c:pt idx="545">
                  <c:v>#N/A</c:v>
                </c:pt>
                <c:pt idx="546">
                  <c:v>#N/A</c:v>
                </c:pt>
                <c:pt idx="547">
                  <c:v>#N/A</c:v>
                </c:pt>
                <c:pt idx="548">
                  <c:v>#N/A</c:v>
                </c:pt>
                <c:pt idx="549">
                  <c:v>#N/A</c:v>
                </c:pt>
                <c:pt idx="550">
                  <c:v>#N/A</c:v>
                </c:pt>
                <c:pt idx="551">
                  <c:v>#N/A</c:v>
                </c:pt>
                <c:pt idx="552">
                  <c:v>#N/A</c:v>
                </c:pt>
                <c:pt idx="553">
                  <c:v>#N/A</c:v>
                </c:pt>
                <c:pt idx="554">
                  <c:v>#N/A</c:v>
                </c:pt>
                <c:pt idx="555">
                  <c:v>3.2759999999999998</c:v>
                </c:pt>
                <c:pt idx="556">
                  <c:v>3.2989999999999999</c:v>
                </c:pt>
                <c:pt idx="557">
                  <c:v>#N/A</c:v>
                </c:pt>
                <c:pt idx="558">
                  <c:v>#N/A</c:v>
                </c:pt>
                <c:pt idx="559">
                  <c:v>#N/A</c:v>
                </c:pt>
                <c:pt idx="560">
                  <c:v>3.391</c:v>
                </c:pt>
                <c:pt idx="561">
                  <c:v>#N/A</c:v>
                </c:pt>
                <c:pt idx="562">
                  <c:v>#N/A</c:v>
                </c:pt>
                <c:pt idx="563">
                  <c:v>3.46</c:v>
                </c:pt>
                <c:pt idx="564">
                  <c:v>3.4830000000000001</c:v>
                </c:pt>
                <c:pt idx="565">
                  <c:v>3.5060000000000002</c:v>
                </c:pt>
                <c:pt idx="566">
                  <c:v>3.5289999999999999</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3.1840000000000002</c:v>
                </c:pt>
                <c:pt idx="586">
                  <c:v>#N/A</c:v>
                </c:pt>
                <c:pt idx="587">
                  <c:v>#N/A</c:v>
                </c:pt>
                <c:pt idx="588">
                  <c:v>#N/A</c:v>
                </c:pt>
                <c:pt idx="589">
                  <c:v>3.2759999999999998</c:v>
                </c:pt>
                <c:pt idx="590">
                  <c:v>#N/A</c:v>
                </c:pt>
                <c:pt idx="591">
                  <c:v>#N/A</c:v>
                </c:pt>
                <c:pt idx="592">
                  <c:v>#N/A</c:v>
                </c:pt>
                <c:pt idx="593">
                  <c:v>#N/A</c:v>
                </c:pt>
                <c:pt idx="594">
                  <c:v>#N/A</c:v>
                </c:pt>
                <c:pt idx="595">
                  <c:v>3.4140000000000001</c:v>
                </c:pt>
                <c:pt idx="596">
                  <c:v>#N/A</c:v>
                </c:pt>
                <c:pt idx="597">
                  <c:v>#N/A</c:v>
                </c:pt>
                <c:pt idx="598">
                  <c:v>#N/A</c:v>
                </c:pt>
                <c:pt idx="599">
                  <c:v>#N/A</c:v>
                </c:pt>
                <c:pt idx="600">
                  <c:v>#N/A</c:v>
                </c:pt>
                <c:pt idx="601">
                  <c:v>#N/A</c:v>
                </c:pt>
                <c:pt idx="602">
                  <c:v>#N/A</c:v>
                </c:pt>
                <c:pt idx="603">
                  <c:v>#N/A</c:v>
                </c:pt>
                <c:pt idx="604">
                  <c:v>3.621</c:v>
                </c:pt>
                <c:pt idx="605">
                  <c:v>#N/A</c:v>
                </c:pt>
                <c:pt idx="606">
                  <c:v>#N/A</c:v>
                </c:pt>
                <c:pt idx="607">
                  <c:v>#N/A</c:v>
                </c:pt>
                <c:pt idx="608">
                  <c:v>#N/A</c:v>
                </c:pt>
                <c:pt idx="609">
                  <c:v>#N/A</c:v>
                </c:pt>
                <c:pt idx="610">
                  <c:v>#N/A</c:v>
                </c:pt>
                <c:pt idx="611">
                  <c:v>#N/A</c:v>
                </c:pt>
                <c:pt idx="612">
                  <c:v>#N/A</c:v>
                </c:pt>
                <c:pt idx="613">
                  <c:v>3.0459999999999998</c:v>
                </c:pt>
                <c:pt idx="614">
                  <c:v>#N/A</c:v>
                </c:pt>
                <c:pt idx="615">
                  <c:v>3.0920000000000001</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3.5289999999999999</c:v>
                </c:pt>
                <c:pt idx="635">
                  <c:v>#N/A</c:v>
                </c:pt>
                <c:pt idx="636">
                  <c:v>#N/A</c:v>
                </c:pt>
                <c:pt idx="637">
                  <c:v>3.5979999999999999</c:v>
                </c:pt>
                <c:pt idx="638">
                  <c:v>#N/A</c:v>
                </c:pt>
                <c:pt idx="639">
                  <c:v>3.6440000000000001</c:v>
                </c:pt>
                <c:pt idx="640">
                  <c:v>#N/A</c:v>
                </c:pt>
                <c:pt idx="641">
                  <c:v>#N/A</c:v>
                </c:pt>
                <c:pt idx="642">
                  <c:v>#N/A</c:v>
                </c:pt>
                <c:pt idx="643">
                  <c:v>#N/A</c:v>
                </c:pt>
                <c:pt idx="644">
                  <c:v>3.7589999999999999</c:v>
                </c:pt>
                <c:pt idx="645">
                  <c:v>3</c:v>
                </c:pt>
                <c:pt idx="646">
                  <c:v>#N/A</c:v>
                </c:pt>
                <c:pt idx="647">
                  <c:v>3.0459999999999998</c:v>
                </c:pt>
                <c:pt idx="648">
                  <c:v>3.069</c:v>
                </c:pt>
                <c:pt idx="649">
                  <c:v>3.0920000000000001</c:v>
                </c:pt>
                <c:pt idx="650">
                  <c:v>3.1150000000000002</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3.069</c:v>
                </c:pt>
                <c:pt idx="683">
                  <c:v>#N/A</c:v>
                </c:pt>
                <c:pt idx="684">
                  <c:v>#N/A</c:v>
                </c:pt>
                <c:pt idx="685">
                  <c:v>#N/A</c:v>
                </c:pt>
                <c:pt idx="686">
                  <c:v>#N/A</c:v>
                </c:pt>
                <c:pt idx="687">
                  <c:v>#N/A</c:v>
                </c:pt>
                <c:pt idx="688">
                  <c:v>3.2069999999999999</c:v>
                </c:pt>
                <c:pt idx="689">
                  <c:v>#N/A</c:v>
                </c:pt>
                <c:pt idx="690">
                  <c:v>#N/A</c:v>
                </c:pt>
                <c:pt idx="691">
                  <c:v>3.2759999999999998</c:v>
                </c:pt>
                <c:pt idx="692">
                  <c:v>3.2989999999999999</c:v>
                </c:pt>
                <c:pt idx="693">
                  <c:v>#N/A</c:v>
                </c:pt>
                <c:pt idx="694">
                  <c:v>#N/A</c:v>
                </c:pt>
                <c:pt idx="695">
                  <c:v>#N/A</c:v>
                </c:pt>
                <c:pt idx="696">
                  <c:v>3.391</c:v>
                </c:pt>
                <c:pt idx="697">
                  <c:v>3.4140000000000001</c:v>
                </c:pt>
                <c:pt idx="698">
                  <c:v>3.4369999999999998</c:v>
                </c:pt>
                <c:pt idx="699">
                  <c:v>#N/A</c:v>
                </c:pt>
                <c:pt idx="700">
                  <c:v>#N/A</c:v>
                </c:pt>
                <c:pt idx="701">
                  <c:v>#N/A</c:v>
                </c:pt>
                <c:pt idx="702">
                  <c:v>3.5289999999999999</c:v>
                </c:pt>
                <c:pt idx="703">
                  <c:v>#N/A</c:v>
                </c:pt>
                <c:pt idx="704">
                  <c:v>#N/A</c:v>
                </c:pt>
                <c:pt idx="705">
                  <c:v>#N/A</c:v>
                </c:pt>
                <c:pt idx="706">
                  <c:v>#N/A</c:v>
                </c:pt>
                <c:pt idx="707">
                  <c:v>#N/A</c:v>
                </c:pt>
                <c:pt idx="708">
                  <c:v>#N/A</c:v>
                </c:pt>
                <c:pt idx="709">
                  <c:v>#N/A</c:v>
                </c:pt>
                <c:pt idx="710">
                  <c:v>#N/A</c:v>
                </c:pt>
                <c:pt idx="711">
                  <c:v>#N/A</c:v>
                </c:pt>
                <c:pt idx="712">
                  <c:v>#N/A</c:v>
                </c:pt>
                <c:pt idx="713">
                  <c:v>3</c:v>
                </c:pt>
                <c:pt idx="714">
                  <c:v>#N/A</c:v>
                </c:pt>
                <c:pt idx="715">
                  <c:v>#N/A</c:v>
                </c:pt>
                <c:pt idx="716">
                  <c:v>#N/A</c:v>
                </c:pt>
                <c:pt idx="717">
                  <c:v>3.0920000000000001</c:v>
                </c:pt>
                <c:pt idx="718">
                  <c:v>#N/A</c:v>
                </c:pt>
                <c:pt idx="719">
                  <c:v>#N/A</c:v>
                </c:pt>
                <c:pt idx="720">
                  <c:v>#N/A</c:v>
                </c:pt>
                <c:pt idx="721">
                  <c:v>#N/A</c:v>
                </c:pt>
                <c:pt idx="722">
                  <c:v>#N/A</c:v>
                </c:pt>
                <c:pt idx="723">
                  <c:v>3.23</c:v>
                </c:pt>
                <c:pt idx="724">
                  <c:v>#N/A</c:v>
                </c:pt>
                <c:pt idx="725">
                  <c:v>#N/A</c:v>
                </c:pt>
                <c:pt idx="726">
                  <c:v>#N/A</c:v>
                </c:pt>
                <c:pt idx="727">
                  <c:v>#N/A</c:v>
                </c:pt>
                <c:pt idx="728">
                  <c:v>3.3449999999999998</c:v>
                </c:pt>
                <c:pt idx="729">
                  <c:v>3.3679999999999999</c:v>
                </c:pt>
                <c:pt idx="730">
                  <c:v>#N/A</c:v>
                </c:pt>
                <c:pt idx="731">
                  <c:v>#N/A</c:v>
                </c:pt>
                <c:pt idx="732">
                  <c:v>#N/A</c:v>
                </c:pt>
                <c:pt idx="733">
                  <c:v>#N/A</c:v>
                </c:pt>
                <c:pt idx="734">
                  <c:v>#N/A</c:v>
                </c:pt>
                <c:pt idx="735">
                  <c:v>#N/A</c:v>
                </c:pt>
                <c:pt idx="736">
                  <c:v>#N/A</c:v>
                </c:pt>
                <c:pt idx="737">
                  <c:v>#N/A</c:v>
                </c:pt>
                <c:pt idx="738">
                  <c:v>#N/A</c:v>
                </c:pt>
                <c:pt idx="739">
                  <c:v>#N/A</c:v>
                </c:pt>
                <c:pt idx="740">
                  <c:v>#N/A</c:v>
                </c:pt>
                <c:pt idx="741">
                  <c:v>3.6440000000000001</c:v>
                </c:pt>
                <c:pt idx="742">
                  <c:v>#N/A</c:v>
                </c:pt>
                <c:pt idx="743">
                  <c:v>#N/A</c:v>
                </c:pt>
                <c:pt idx="744">
                  <c:v>3.7130000000000001</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3.23</c:v>
                </c:pt>
                <c:pt idx="758">
                  <c:v>#N/A</c:v>
                </c:pt>
                <c:pt idx="759">
                  <c:v>#N/A</c:v>
                </c:pt>
                <c:pt idx="760">
                  <c:v>3.2989999999999999</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3.69</c:v>
                </c:pt>
                <c:pt idx="778">
                  <c:v>#N/A</c:v>
                </c:pt>
                <c:pt idx="779">
                  <c:v>#N/A</c:v>
                </c:pt>
                <c:pt idx="780">
                  <c:v>#N/A</c:v>
                </c:pt>
                <c:pt idx="781">
                  <c:v>#N/A</c:v>
                </c:pt>
                <c:pt idx="782">
                  <c:v>#N/A</c:v>
                </c:pt>
                <c:pt idx="783">
                  <c:v>#N/A</c:v>
                </c:pt>
                <c:pt idx="784">
                  <c:v>#N/A</c:v>
                </c:pt>
                <c:pt idx="785">
                  <c:v>#N/A</c:v>
                </c:pt>
                <c:pt idx="786">
                  <c:v>3.1150000000000002</c:v>
                </c:pt>
                <c:pt idx="787">
                  <c:v>#N/A</c:v>
                </c:pt>
                <c:pt idx="788">
                  <c:v>#N/A</c:v>
                </c:pt>
                <c:pt idx="789">
                  <c:v>#N/A</c:v>
                </c:pt>
                <c:pt idx="790">
                  <c:v>#N/A</c:v>
                </c:pt>
                <c:pt idx="791">
                  <c:v>3.23</c:v>
                </c:pt>
                <c:pt idx="792">
                  <c:v>#N/A</c:v>
                </c:pt>
                <c:pt idx="793">
                  <c:v>3.2759999999999998</c:v>
                </c:pt>
                <c:pt idx="794">
                  <c:v>#N/A</c:v>
                </c:pt>
                <c:pt idx="795">
                  <c:v>#N/A</c:v>
                </c:pt>
                <c:pt idx="796">
                  <c:v>#N/A</c:v>
                </c:pt>
                <c:pt idx="797">
                  <c:v>#N/A</c:v>
                </c:pt>
                <c:pt idx="798">
                  <c:v>3.391</c:v>
                </c:pt>
                <c:pt idx="799">
                  <c:v>#N/A</c:v>
                </c:pt>
                <c:pt idx="800">
                  <c:v>#N/A</c:v>
                </c:pt>
                <c:pt idx="801">
                  <c:v>3.46</c:v>
                </c:pt>
                <c:pt idx="802">
                  <c:v>3.4830000000000001</c:v>
                </c:pt>
                <c:pt idx="803">
                  <c:v>#N/A</c:v>
                </c:pt>
                <c:pt idx="804">
                  <c:v>#N/A</c:v>
                </c:pt>
                <c:pt idx="805">
                  <c:v>#N/A</c:v>
                </c:pt>
                <c:pt idx="806">
                  <c:v>#N/A</c:v>
                </c:pt>
                <c:pt idx="807">
                  <c:v>#N/A</c:v>
                </c:pt>
                <c:pt idx="808">
                  <c:v>#N/A</c:v>
                </c:pt>
                <c:pt idx="809">
                  <c:v>#N/A</c:v>
                </c:pt>
                <c:pt idx="810">
                  <c:v>#N/A</c:v>
                </c:pt>
                <c:pt idx="811">
                  <c:v>#N/A</c:v>
                </c:pt>
                <c:pt idx="812">
                  <c:v>#N/A</c:v>
                </c:pt>
                <c:pt idx="813">
                  <c:v>#N/A</c:v>
                </c:pt>
                <c:pt idx="814">
                  <c:v>3.7589999999999999</c:v>
                </c:pt>
                <c:pt idx="815">
                  <c:v>#N/A</c:v>
                </c:pt>
                <c:pt idx="816">
                  <c:v>3.0230000000000001</c:v>
                </c:pt>
                <c:pt idx="817">
                  <c:v>#N/A</c:v>
                </c:pt>
                <c:pt idx="818">
                  <c:v>#N/A</c:v>
                </c:pt>
                <c:pt idx="819">
                  <c:v>#N/A</c:v>
                </c:pt>
                <c:pt idx="820">
                  <c:v>3.1150000000000002</c:v>
                </c:pt>
                <c:pt idx="821">
                  <c:v>3.1379999999999999</c:v>
                </c:pt>
                <c:pt idx="822">
                  <c:v>#N/A</c:v>
                </c:pt>
                <c:pt idx="823">
                  <c:v>3.1840000000000002</c:v>
                </c:pt>
                <c:pt idx="824">
                  <c:v>#N/A</c:v>
                </c:pt>
                <c:pt idx="825">
                  <c:v>3.23</c:v>
                </c:pt>
                <c:pt idx="826">
                  <c:v>#N/A</c:v>
                </c:pt>
                <c:pt idx="827">
                  <c:v>#N/A</c:v>
                </c:pt>
                <c:pt idx="828">
                  <c:v>#N/A</c:v>
                </c:pt>
                <c:pt idx="829">
                  <c:v>3.3220000000000001</c:v>
                </c:pt>
                <c:pt idx="830">
                  <c:v>#N/A</c:v>
                </c:pt>
                <c:pt idx="831">
                  <c:v>#N/A</c:v>
                </c:pt>
                <c:pt idx="832">
                  <c:v>#N/A</c:v>
                </c:pt>
                <c:pt idx="833">
                  <c:v>#N/A</c:v>
                </c:pt>
                <c:pt idx="834">
                  <c:v>#N/A</c:v>
                </c:pt>
                <c:pt idx="835">
                  <c:v>#N/A</c:v>
                </c:pt>
                <c:pt idx="836">
                  <c:v>#N/A</c:v>
                </c:pt>
                <c:pt idx="837">
                  <c:v>#N/A</c:v>
                </c:pt>
                <c:pt idx="838">
                  <c:v>3.5289999999999999</c:v>
                </c:pt>
                <c:pt idx="839">
                  <c:v>#N/A</c:v>
                </c:pt>
                <c:pt idx="840">
                  <c:v>#N/A</c:v>
                </c:pt>
                <c:pt idx="841">
                  <c:v>3.5979999999999999</c:v>
                </c:pt>
                <c:pt idx="842">
                  <c:v>#N/A</c:v>
                </c:pt>
                <c:pt idx="843">
                  <c:v>#N/A</c:v>
                </c:pt>
                <c:pt idx="844">
                  <c:v>3.6669999999999998</c:v>
                </c:pt>
                <c:pt idx="845">
                  <c:v>3.69</c:v>
                </c:pt>
                <c:pt idx="846">
                  <c:v>3.7130000000000001</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3.4830000000000001</c:v>
                </c:pt>
                <c:pt idx="871">
                  <c:v>#N/A</c:v>
                </c:pt>
                <c:pt idx="872">
                  <c:v>3.5289999999999999</c:v>
                </c:pt>
                <c:pt idx="873">
                  <c:v>#N/A</c:v>
                </c:pt>
                <c:pt idx="874">
                  <c:v>#N/A</c:v>
                </c:pt>
                <c:pt idx="875">
                  <c:v>3.5979999999999999</c:v>
                </c:pt>
                <c:pt idx="876">
                  <c:v>#N/A</c:v>
                </c:pt>
                <c:pt idx="877">
                  <c:v>#N/A</c:v>
                </c:pt>
                <c:pt idx="878">
                  <c:v>#N/A</c:v>
                </c:pt>
                <c:pt idx="879">
                  <c:v>3.69</c:v>
                </c:pt>
                <c:pt idx="880">
                  <c:v>3.7130000000000001</c:v>
                </c:pt>
                <c:pt idx="881">
                  <c:v>3.7359999999999998</c:v>
                </c:pt>
                <c:pt idx="882">
                  <c:v>3.7589999999999999</c:v>
                </c:pt>
                <c:pt idx="883">
                  <c:v>#N/A</c:v>
                </c:pt>
                <c:pt idx="884">
                  <c:v>#N/A</c:v>
                </c:pt>
                <c:pt idx="885">
                  <c:v>3.0459999999999998</c:v>
                </c:pt>
                <c:pt idx="886">
                  <c:v>#N/A</c:v>
                </c:pt>
                <c:pt idx="887">
                  <c:v>#N/A</c:v>
                </c:pt>
                <c:pt idx="888">
                  <c:v>#N/A</c:v>
                </c:pt>
                <c:pt idx="889">
                  <c:v>3.1379999999999999</c:v>
                </c:pt>
                <c:pt idx="890">
                  <c:v>#N/A</c:v>
                </c:pt>
                <c:pt idx="891">
                  <c:v>#N/A</c:v>
                </c:pt>
                <c:pt idx="892">
                  <c:v>#N/A</c:v>
                </c:pt>
                <c:pt idx="893">
                  <c:v>3.23</c:v>
                </c:pt>
                <c:pt idx="894">
                  <c:v>3.2530000000000001</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2009</c:v>
                </c:pt>
                <c:pt idx="95">
                  <c:v>#N/A</c:v>
                </c:pt>
                <c:pt idx="96">
                  <c:v>#N/A</c:v>
                </c:pt>
                <c:pt idx="97">
                  <c:v>#N/A</c:v>
                </c:pt>
                <c:pt idx="98">
                  <c:v>#N/A</c:v>
                </c:pt>
                <c:pt idx="99">
                  <c:v>2019</c:v>
                </c:pt>
                <c:pt idx="100">
                  <c:v>#N/A</c:v>
                </c:pt>
                <c:pt idx="101">
                  <c:v>#N/A</c:v>
                </c:pt>
                <c:pt idx="102">
                  <c:v>2010</c:v>
                </c:pt>
                <c:pt idx="103">
                  <c:v>2014</c:v>
                </c:pt>
                <c:pt idx="104">
                  <c:v>1994</c:v>
                </c:pt>
                <c:pt idx="105">
                  <c:v>2005</c:v>
                </c:pt>
                <c:pt idx="106">
                  <c:v>#N/A</c:v>
                </c:pt>
                <c:pt idx="107">
                  <c:v>2010</c:v>
                </c:pt>
                <c:pt idx="108">
                  <c:v>2020</c:v>
                </c:pt>
                <c:pt idx="109">
                  <c:v>2013</c:v>
                </c:pt>
                <c:pt idx="110">
                  <c:v>2025</c:v>
                </c:pt>
                <c:pt idx="111">
                  <c:v>#N/A</c:v>
                </c:pt>
                <c:pt idx="112">
                  <c:v>#N/A</c:v>
                </c:pt>
                <c:pt idx="113">
                  <c:v>1991</c:v>
                </c:pt>
                <c:pt idx="114">
                  <c:v>#N/A</c:v>
                </c:pt>
                <c:pt idx="115">
                  <c:v>2010</c:v>
                </c:pt>
                <c:pt idx="116">
                  <c:v>#N/A</c:v>
                </c:pt>
                <c:pt idx="117">
                  <c:v>#N/A</c:v>
                </c:pt>
                <c:pt idx="118">
                  <c:v>#N/A</c:v>
                </c:pt>
                <c:pt idx="119">
                  <c:v>#N/A</c:v>
                </c:pt>
                <c:pt idx="120">
                  <c:v>#N/A</c:v>
                </c:pt>
                <c:pt idx="121">
                  <c:v>#N/A</c:v>
                </c:pt>
                <c:pt idx="122">
                  <c:v>1998</c:v>
                </c:pt>
                <c:pt idx="123">
                  <c:v>1997</c:v>
                </c:pt>
                <c:pt idx="124">
                  <c:v>2019</c:v>
                </c:pt>
                <c:pt idx="125">
                  <c:v>#N/A</c:v>
                </c:pt>
                <c:pt idx="126">
                  <c:v>#N/A</c:v>
                </c:pt>
                <c:pt idx="127">
                  <c:v>#N/A</c:v>
                </c:pt>
                <c:pt idx="128">
                  <c:v>#N/A</c:v>
                </c:pt>
                <c:pt idx="129">
                  <c:v>#N/A</c:v>
                </c:pt>
                <c:pt idx="130">
                  <c:v>#N/A</c:v>
                </c:pt>
                <c:pt idx="131">
                  <c:v>#N/A</c:v>
                </c:pt>
                <c:pt idx="132">
                  <c:v>#N/A</c:v>
                </c:pt>
                <c:pt idx="133">
                  <c:v>#N/A</c:v>
                </c:pt>
                <c:pt idx="134">
                  <c:v>#N/A</c:v>
                </c:pt>
                <c:pt idx="135">
                  <c:v>#N/A</c:v>
                </c:pt>
                <c:pt idx="136">
                  <c:v>2017</c:v>
                </c:pt>
                <c:pt idx="137">
                  <c:v>#N/A</c:v>
                </c:pt>
                <c:pt idx="138">
                  <c:v>#N/A</c:v>
                </c:pt>
                <c:pt idx="139">
                  <c:v>#N/A</c:v>
                </c:pt>
                <c:pt idx="140">
                  <c:v>#N/A</c:v>
                </c:pt>
                <c:pt idx="141">
                  <c:v>#N/A</c:v>
                </c:pt>
                <c:pt idx="142">
                  <c:v>#N/A</c:v>
                </c:pt>
                <c:pt idx="143">
                  <c:v>#N/A</c:v>
                </c:pt>
                <c:pt idx="144">
                  <c:v>#N/A</c:v>
                </c:pt>
                <c:pt idx="145">
                  <c:v>#N/A</c:v>
                </c:pt>
                <c:pt idx="146">
                  <c:v>2025</c:v>
                </c:pt>
                <c:pt idx="147">
                  <c:v>#N/A</c:v>
                </c:pt>
                <c:pt idx="148">
                  <c:v>#N/A</c:v>
                </c:pt>
                <c:pt idx="149">
                  <c:v>#N/A</c:v>
                </c:pt>
                <c:pt idx="150">
                  <c:v>#N/A</c:v>
                </c:pt>
                <c:pt idx="151">
                  <c:v>#N/A</c:v>
                </c:pt>
                <c:pt idx="152">
                  <c:v>#N/A</c:v>
                </c:pt>
                <c:pt idx="153">
                  <c:v>#N/A</c:v>
                </c:pt>
                <c:pt idx="154">
                  <c:v>#N/A</c:v>
                </c:pt>
                <c:pt idx="155">
                  <c:v>2015</c:v>
                </c:pt>
                <c:pt idx="156">
                  <c:v>#N/A</c:v>
                </c:pt>
                <c:pt idx="157">
                  <c:v>1998</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2026</c:v>
                </c:pt>
                <c:pt idx="196">
                  <c:v>#N/A</c:v>
                </c:pt>
                <c:pt idx="197">
                  <c:v>#N/A</c:v>
                </c:pt>
                <c:pt idx="198">
                  <c:v>#N/A</c:v>
                </c:pt>
                <c:pt idx="199">
                  <c:v>2010</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2002</c:v>
                </c:pt>
                <c:pt idx="229">
                  <c:v>#N/A</c:v>
                </c:pt>
                <c:pt idx="230">
                  <c:v>#N/A</c:v>
                </c:pt>
                <c:pt idx="231">
                  <c:v>#N/A</c:v>
                </c:pt>
                <c:pt idx="232">
                  <c:v>1990</c:v>
                </c:pt>
                <c:pt idx="233">
                  <c:v>2026</c:v>
                </c:pt>
                <c:pt idx="234">
                  <c:v>2006</c:v>
                </c:pt>
                <c:pt idx="235">
                  <c:v>2003</c:v>
                </c:pt>
                <c:pt idx="236">
                  <c:v>#N/A</c:v>
                </c:pt>
                <c:pt idx="237">
                  <c:v>#N/A</c:v>
                </c:pt>
                <c:pt idx="238">
                  <c:v>#N/A</c:v>
                </c:pt>
                <c:pt idx="239">
                  <c:v>#N/A</c:v>
                </c:pt>
                <c:pt idx="240">
                  <c:v>#N/A</c:v>
                </c:pt>
                <c:pt idx="241">
                  <c:v>#N/A</c:v>
                </c:pt>
                <c:pt idx="242">
                  <c:v>#N/A</c:v>
                </c:pt>
                <c:pt idx="243">
                  <c:v>#N/A</c:v>
                </c:pt>
                <c:pt idx="244">
                  <c:v>2006</c:v>
                </c:pt>
                <c:pt idx="245">
                  <c:v>#N/A</c:v>
                </c:pt>
                <c:pt idx="246">
                  <c:v>2023</c:v>
                </c:pt>
                <c:pt idx="247">
                  <c:v>#N/A</c:v>
                </c:pt>
                <c:pt idx="248">
                  <c:v>2008</c:v>
                </c:pt>
                <c:pt idx="249">
                  <c:v>#N/A</c:v>
                </c:pt>
                <c:pt idx="250">
                  <c:v>2010</c:v>
                </c:pt>
                <c:pt idx="251">
                  <c:v>#N/A</c:v>
                </c:pt>
                <c:pt idx="252">
                  <c:v>#N/A</c:v>
                </c:pt>
                <c:pt idx="253">
                  <c:v>2011</c:v>
                </c:pt>
                <c:pt idx="254">
                  <c:v>#N/A</c:v>
                </c:pt>
                <c:pt idx="255">
                  <c:v>#N/A</c:v>
                </c:pt>
                <c:pt idx="256">
                  <c:v>#N/A</c:v>
                </c:pt>
                <c:pt idx="257">
                  <c:v>#N/A</c:v>
                </c:pt>
                <c:pt idx="258">
                  <c:v>#N/A</c:v>
                </c:pt>
                <c:pt idx="259">
                  <c:v>#N/A</c:v>
                </c:pt>
                <c:pt idx="260">
                  <c:v>#N/A</c:v>
                </c:pt>
                <c:pt idx="261">
                  <c:v>#N/A</c:v>
                </c:pt>
                <c:pt idx="262">
                  <c:v>2024</c:v>
                </c:pt>
                <c:pt idx="263">
                  <c:v>2008</c:v>
                </c:pt>
                <c:pt idx="264">
                  <c:v>#N/A</c:v>
                </c:pt>
                <c:pt idx="265">
                  <c:v>#N/A</c:v>
                </c:pt>
                <c:pt idx="266">
                  <c:v>#N/A</c:v>
                </c:pt>
                <c:pt idx="267">
                  <c:v>#N/A</c:v>
                </c:pt>
                <c:pt idx="268">
                  <c:v>#N/A</c:v>
                </c:pt>
                <c:pt idx="269">
                  <c:v>#N/A</c:v>
                </c:pt>
                <c:pt idx="270">
                  <c:v>2004</c:v>
                </c:pt>
                <c:pt idx="271">
                  <c:v>2015</c:v>
                </c:pt>
                <c:pt idx="272">
                  <c:v>2017</c:v>
                </c:pt>
                <c:pt idx="273">
                  <c:v>#N/A</c:v>
                </c:pt>
                <c:pt idx="274">
                  <c:v>#N/A</c:v>
                </c:pt>
                <c:pt idx="275">
                  <c:v>#N/A</c:v>
                </c:pt>
                <c:pt idx="276">
                  <c:v>#N/A</c:v>
                </c:pt>
                <c:pt idx="277">
                  <c:v>#N/A</c:v>
                </c:pt>
                <c:pt idx="278">
                  <c:v>1990</c:v>
                </c:pt>
                <c:pt idx="279">
                  <c:v>#N/A</c:v>
                </c:pt>
                <c:pt idx="280">
                  <c:v>#N/A</c:v>
                </c:pt>
                <c:pt idx="281">
                  <c:v>#N/A</c:v>
                </c:pt>
                <c:pt idx="282">
                  <c:v>2007</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2006</c:v>
                </c:pt>
                <c:pt idx="297">
                  <c:v>#N/A</c:v>
                </c:pt>
                <c:pt idx="298">
                  <c:v>#N/A</c:v>
                </c:pt>
                <c:pt idx="299">
                  <c:v>#N/A</c:v>
                </c:pt>
                <c:pt idx="300">
                  <c:v>2010</c:v>
                </c:pt>
                <c:pt idx="301">
                  <c:v>2014</c:v>
                </c:pt>
                <c:pt idx="302">
                  <c:v>#N/A</c:v>
                </c:pt>
                <c:pt idx="303">
                  <c:v>#N/A</c:v>
                </c:pt>
                <c:pt idx="304">
                  <c:v>#N/A</c:v>
                </c:pt>
                <c:pt idx="305">
                  <c:v>#N/A</c:v>
                </c:pt>
                <c:pt idx="306">
                  <c:v>2002</c:v>
                </c:pt>
                <c:pt idx="307">
                  <c:v>2007</c:v>
                </c:pt>
                <c:pt idx="308">
                  <c:v>2022</c:v>
                </c:pt>
                <c:pt idx="309">
                  <c:v>#N/A</c:v>
                </c:pt>
                <c:pt idx="310">
                  <c:v>#N/A</c:v>
                </c:pt>
                <c:pt idx="311">
                  <c:v>#N/A</c:v>
                </c:pt>
                <c:pt idx="312">
                  <c:v>#N/A</c:v>
                </c:pt>
                <c:pt idx="313">
                  <c:v>#N/A</c:v>
                </c:pt>
                <c:pt idx="314">
                  <c:v>2020</c:v>
                </c:pt>
                <c:pt idx="315">
                  <c:v>#N/A</c:v>
                </c:pt>
                <c:pt idx="316">
                  <c:v>#N/A</c:v>
                </c:pt>
                <c:pt idx="317">
                  <c:v>#N/A</c:v>
                </c:pt>
                <c:pt idx="318">
                  <c:v>#N/A</c:v>
                </c:pt>
                <c:pt idx="319">
                  <c:v>#N/A</c:v>
                </c:pt>
                <c:pt idx="320">
                  <c:v>#N/A</c:v>
                </c:pt>
                <c:pt idx="321">
                  <c:v>2014</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1984</c:v>
                </c:pt>
                <c:pt idx="340">
                  <c:v>2022</c:v>
                </c:pt>
                <c:pt idx="341">
                  <c:v>#N/A</c:v>
                </c:pt>
                <c:pt idx="342">
                  <c:v>#N/A</c:v>
                </c:pt>
                <c:pt idx="343">
                  <c:v>#N/A</c:v>
                </c:pt>
                <c:pt idx="344">
                  <c:v>#N/A</c:v>
                </c:pt>
                <c:pt idx="345">
                  <c:v>#N/A</c:v>
                </c:pt>
                <c:pt idx="346">
                  <c:v>#N/A</c:v>
                </c:pt>
                <c:pt idx="347">
                  <c:v>#N/A</c:v>
                </c:pt>
                <c:pt idx="348">
                  <c:v>#N/A</c:v>
                </c:pt>
                <c:pt idx="349">
                  <c:v>#N/A</c:v>
                </c:pt>
                <c:pt idx="350">
                  <c:v>2017</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2026</c:v>
                </c:pt>
                <c:pt idx="370">
                  <c:v>2013</c:v>
                </c:pt>
                <c:pt idx="371">
                  <c:v>2025</c:v>
                </c:pt>
                <c:pt idx="372">
                  <c:v>#N/A</c:v>
                </c:pt>
                <c:pt idx="373">
                  <c:v>#N/A</c:v>
                </c:pt>
                <c:pt idx="374">
                  <c:v>#N/A</c:v>
                </c:pt>
                <c:pt idx="375">
                  <c:v>2012</c:v>
                </c:pt>
                <c:pt idx="376">
                  <c:v>#N/A</c:v>
                </c:pt>
                <c:pt idx="377">
                  <c:v>2017</c:v>
                </c:pt>
                <c:pt idx="378">
                  <c:v>#N/A</c:v>
                </c:pt>
                <c:pt idx="379">
                  <c:v>#N/A</c:v>
                </c:pt>
                <c:pt idx="380">
                  <c:v>#N/A</c:v>
                </c:pt>
                <c:pt idx="381">
                  <c:v>2007</c:v>
                </c:pt>
                <c:pt idx="382">
                  <c:v>#N/A</c:v>
                </c:pt>
                <c:pt idx="383">
                  <c:v>2011</c:v>
                </c:pt>
                <c:pt idx="384">
                  <c:v>#N/A</c:v>
                </c:pt>
                <c:pt idx="385">
                  <c:v>#N/A</c:v>
                </c:pt>
                <c:pt idx="386">
                  <c:v>#N/A</c:v>
                </c:pt>
                <c:pt idx="387">
                  <c:v>#N/A</c:v>
                </c:pt>
                <c:pt idx="388">
                  <c:v>#N/A</c:v>
                </c:pt>
                <c:pt idx="389">
                  <c:v>#N/A</c:v>
                </c:pt>
                <c:pt idx="390">
                  <c:v>#N/A</c:v>
                </c:pt>
                <c:pt idx="391">
                  <c:v>#N/A</c:v>
                </c:pt>
                <c:pt idx="392">
                  <c:v>2001</c:v>
                </c:pt>
                <c:pt idx="393">
                  <c:v>2007</c:v>
                </c:pt>
                <c:pt idx="394">
                  <c:v>2006</c:v>
                </c:pt>
                <c:pt idx="395">
                  <c:v>#N/A</c:v>
                </c:pt>
                <c:pt idx="396">
                  <c:v>#N/A</c:v>
                </c:pt>
                <c:pt idx="397">
                  <c:v>2019</c:v>
                </c:pt>
                <c:pt idx="398">
                  <c:v>#N/A</c:v>
                </c:pt>
                <c:pt idx="399">
                  <c:v>#N/A</c:v>
                </c:pt>
                <c:pt idx="400">
                  <c:v>#N/A</c:v>
                </c:pt>
                <c:pt idx="401">
                  <c:v>2015</c:v>
                </c:pt>
                <c:pt idx="402">
                  <c:v>#N/A</c:v>
                </c:pt>
                <c:pt idx="403">
                  <c:v>#N/A</c:v>
                </c:pt>
                <c:pt idx="404">
                  <c:v>#N/A</c:v>
                </c:pt>
                <c:pt idx="405">
                  <c:v>#N/A</c:v>
                </c:pt>
                <c:pt idx="406">
                  <c:v>#N/A</c:v>
                </c:pt>
                <c:pt idx="407">
                  <c:v>#N/A</c:v>
                </c:pt>
                <c:pt idx="408">
                  <c:v>#N/A</c:v>
                </c:pt>
                <c:pt idx="409">
                  <c:v>#N/A</c:v>
                </c:pt>
                <c:pt idx="410">
                  <c:v>#N/A</c:v>
                </c:pt>
                <c:pt idx="411">
                  <c:v>2020</c:v>
                </c:pt>
                <c:pt idx="412">
                  <c:v>#N/A</c:v>
                </c:pt>
                <c:pt idx="413">
                  <c:v>2006</c:v>
                </c:pt>
                <c:pt idx="414">
                  <c:v>1986</c:v>
                </c:pt>
                <c:pt idx="415">
                  <c:v>#N/A</c:v>
                </c:pt>
                <c:pt idx="416">
                  <c:v>#N/A</c:v>
                </c:pt>
                <c:pt idx="417">
                  <c:v>#N/A</c:v>
                </c:pt>
                <c:pt idx="418">
                  <c:v>#N/A</c:v>
                </c:pt>
                <c:pt idx="419">
                  <c:v>#N/A</c:v>
                </c:pt>
                <c:pt idx="420">
                  <c:v>#N/A</c:v>
                </c:pt>
                <c:pt idx="421">
                  <c:v>#N/A</c:v>
                </c:pt>
                <c:pt idx="422">
                  <c:v>1995</c:v>
                </c:pt>
                <c:pt idx="423">
                  <c:v>#N/A</c:v>
                </c:pt>
                <c:pt idx="424">
                  <c:v>#N/A</c:v>
                </c:pt>
                <c:pt idx="425">
                  <c:v>#N/A</c:v>
                </c:pt>
                <c:pt idx="426">
                  <c:v>#N/A</c:v>
                </c:pt>
                <c:pt idx="427">
                  <c:v>#N/A</c:v>
                </c:pt>
                <c:pt idx="428">
                  <c:v>#N/A</c:v>
                </c:pt>
                <c:pt idx="429">
                  <c:v>#N/A</c:v>
                </c:pt>
                <c:pt idx="430">
                  <c:v>2019</c:v>
                </c:pt>
                <c:pt idx="431">
                  <c:v>#N/A</c:v>
                </c:pt>
                <c:pt idx="432">
                  <c:v>#N/A</c:v>
                </c:pt>
                <c:pt idx="433">
                  <c:v>#N/A</c:v>
                </c:pt>
                <c:pt idx="434">
                  <c:v>2001</c:v>
                </c:pt>
                <c:pt idx="435">
                  <c:v>#N/A</c:v>
                </c:pt>
                <c:pt idx="436">
                  <c:v>#N/A</c:v>
                </c:pt>
                <c:pt idx="437">
                  <c:v>#N/A</c:v>
                </c:pt>
                <c:pt idx="438">
                  <c:v>#N/A</c:v>
                </c:pt>
                <c:pt idx="439">
                  <c:v>#N/A</c:v>
                </c:pt>
                <c:pt idx="440">
                  <c:v>#N/A</c:v>
                </c:pt>
                <c:pt idx="441">
                  <c:v>#N/A</c:v>
                </c:pt>
                <c:pt idx="442">
                  <c:v>#N/A</c:v>
                </c:pt>
                <c:pt idx="443">
                  <c:v>#N/A</c:v>
                </c:pt>
                <c:pt idx="444">
                  <c:v>2020</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2012</c:v>
                </c:pt>
                <c:pt idx="462">
                  <c:v>2011</c:v>
                </c:pt>
                <c:pt idx="463">
                  <c:v>1987</c:v>
                </c:pt>
                <c:pt idx="464">
                  <c:v>#N/A</c:v>
                </c:pt>
                <c:pt idx="465">
                  <c:v>#N/A</c:v>
                </c:pt>
                <c:pt idx="466">
                  <c:v>#N/A</c:v>
                </c:pt>
                <c:pt idx="467">
                  <c:v>2002</c:v>
                </c:pt>
                <c:pt idx="468">
                  <c:v>2003</c:v>
                </c:pt>
                <c:pt idx="469">
                  <c:v>2020</c:v>
                </c:pt>
                <c:pt idx="470">
                  <c:v>2022</c:v>
                </c:pt>
                <c:pt idx="471">
                  <c:v>#N/A</c:v>
                </c:pt>
                <c:pt idx="472">
                  <c:v>#N/A</c:v>
                </c:pt>
                <c:pt idx="473">
                  <c:v>#N/A</c:v>
                </c:pt>
                <c:pt idx="474">
                  <c:v>#N/A</c:v>
                </c:pt>
                <c:pt idx="475">
                  <c:v>#N/A</c:v>
                </c:pt>
                <c:pt idx="476">
                  <c:v>#N/A</c:v>
                </c:pt>
                <c:pt idx="477">
                  <c:v>#N/A</c:v>
                </c:pt>
                <c:pt idx="478">
                  <c:v>#N/A</c:v>
                </c:pt>
                <c:pt idx="479">
                  <c:v>#N/A</c:v>
                </c:pt>
                <c:pt idx="480">
                  <c:v>#N/A</c:v>
                </c:pt>
                <c:pt idx="481">
                  <c:v>2023</c:v>
                </c:pt>
                <c:pt idx="482">
                  <c:v>#N/A</c:v>
                </c:pt>
                <c:pt idx="483">
                  <c:v>1983</c:v>
                </c:pt>
                <c:pt idx="484">
                  <c:v>#N/A</c:v>
                </c:pt>
                <c:pt idx="485">
                  <c:v>#N/A</c:v>
                </c:pt>
                <c:pt idx="486">
                  <c:v>#N/A</c:v>
                </c:pt>
                <c:pt idx="487">
                  <c:v>#N/A</c:v>
                </c:pt>
                <c:pt idx="488">
                  <c:v>#N/A</c:v>
                </c:pt>
                <c:pt idx="489">
                  <c:v>2011</c:v>
                </c:pt>
                <c:pt idx="490">
                  <c:v>#N/A</c:v>
                </c:pt>
                <c:pt idx="491">
                  <c:v>#N/A</c:v>
                </c:pt>
                <c:pt idx="492">
                  <c:v>#N/A</c:v>
                </c:pt>
                <c:pt idx="493">
                  <c:v>2016</c:v>
                </c:pt>
                <c:pt idx="494">
                  <c:v>1995</c:v>
                </c:pt>
                <c:pt idx="495">
                  <c:v>#N/A</c:v>
                </c:pt>
                <c:pt idx="496">
                  <c:v>#N/A</c:v>
                </c:pt>
                <c:pt idx="497">
                  <c:v>#N/A</c:v>
                </c:pt>
                <c:pt idx="498">
                  <c:v>#N/A</c:v>
                </c:pt>
                <c:pt idx="499">
                  <c:v>#N/A</c:v>
                </c:pt>
                <c:pt idx="500">
                  <c:v>#N/A</c:v>
                </c:pt>
                <c:pt idx="501">
                  <c:v>#N/A</c:v>
                </c:pt>
                <c:pt idx="502">
                  <c:v>#N/A</c:v>
                </c:pt>
                <c:pt idx="503">
                  <c:v>#N/A</c:v>
                </c:pt>
                <c:pt idx="504">
                  <c:v>1987</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1987</c:v>
                </c:pt>
                <c:pt idx="531">
                  <c:v>2015</c:v>
                </c:pt>
                <c:pt idx="532">
                  <c:v>2019</c:v>
                </c:pt>
                <c:pt idx="533">
                  <c:v>2017</c:v>
                </c:pt>
                <c:pt idx="534">
                  <c:v>#N/A</c:v>
                </c:pt>
                <c:pt idx="535">
                  <c:v>#N/A</c:v>
                </c:pt>
                <c:pt idx="536">
                  <c:v>2014</c:v>
                </c:pt>
                <c:pt idx="537">
                  <c:v>2019</c:v>
                </c:pt>
                <c:pt idx="538">
                  <c:v>#N/A</c:v>
                </c:pt>
                <c:pt idx="539">
                  <c:v>#N/A</c:v>
                </c:pt>
                <c:pt idx="540">
                  <c:v>#N/A</c:v>
                </c:pt>
                <c:pt idx="541">
                  <c:v>#N/A</c:v>
                </c:pt>
                <c:pt idx="542">
                  <c:v>2022</c:v>
                </c:pt>
                <c:pt idx="543">
                  <c:v>#N/A</c:v>
                </c:pt>
                <c:pt idx="544">
                  <c:v>2025</c:v>
                </c:pt>
                <c:pt idx="545">
                  <c:v>#N/A</c:v>
                </c:pt>
                <c:pt idx="546">
                  <c:v>#N/A</c:v>
                </c:pt>
                <c:pt idx="547">
                  <c:v>#N/A</c:v>
                </c:pt>
                <c:pt idx="548">
                  <c:v>#N/A</c:v>
                </c:pt>
                <c:pt idx="549">
                  <c:v>2023</c:v>
                </c:pt>
                <c:pt idx="550">
                  <c:v>#N/A</c:v>
                </c:pt>
                <c:pt idx="551">
                  <c:v>2015</c:v>
                </c:pt>
                <c:pt idx="552">
                  <c:v>#N/A</c:v>
                </c:pt>
                <c:pt idx="553">
                  <c:v>#N/A</c:v>
                </c:pt>
                <c:pt idx="554">
                  <c:v>#N/A</c:v>
                </c:pt>
                <c:pt idx="555">
                  <c:v>#N/A</c:v>
                </c:pt>
                <c:pt idx="556">
                  <c:v>#N/A</c:v>
                </c:pt>
                <c:pt idx="557">
                  <c:v>#N/A</c:v>
                </c:pt>
                <c:pt idx="558">
                  <c:v>#N/A</c:v>
                </c:pt>
                <c:pt idx="559">
                  <c:v>#N/A</c:v>
                </c:pt>
                <c:pt idx="560">
                  <c:v>2012</c:v>
                </c:pt>
                <c:pt idx="561">
                  <c:v>#N/A</c:v>
                </c:pt>
                <c:pt idx="562">
                  <c:v>#N/A</c:v>
                </c:pt>
                <c:pt idx="563">
                  <c:v>#N/A</c:v>
                </c:pt>
                <c:pt idx="564">
                  <c:v>#N/A</c:v>
                </c:pt>
                <c:pt idx="565">
                  <c:v>#N/A</c:v>
                </c:pt>
                <c:pt idx="566">
                  <c:v>#N/A</c:v>
                </c:pt>
                <c:pt idx="567">
                  <c:v>#N/A</c:v>
                </c:pt>
                <c:pt idx="568">
                  <c:v>#N/A</c:v>
                </c:pt>
                <c:pt idx="569">
                  <c:v>#N/A</c:v>
                </c:pt>
                <c:pt idx="570">
                  <c:v>2009</c:v>
                </c:pt>
                <c:pt idx="571">
                  <c:v>2007</c:v>
                </c:pt>
                <c:pt idx="572">
                  <c:v>2012</c:v>
                </c:pt>
                <c:pt idx="573">
                  <c:v>2005</c:v>
                </c:pt>
                <c:pt idx="574">
                  <c:v>2020</c:v>
                </c:pt>
                <c:pt idx="575">
                  <c:v>2015</c:v>
                </c:pt>
                <c:pt idx="576">
                  <c:v>#N/A</c:v>
                </c:pt>
                <c:pt idx="577">
                  <c:v>#N/A</c:v>
                </c:pt>
                <c:pt idx="578">
                  <c:v>#N/A</c:v>
                </c:pt>
                <c:pt idx="579">
                  <c:v>#N/A</c:v>
                </c:pt>
                <c:pt idx="580">
                  <c:v>2003</c:v>
                </c:pt>
                <c:pt idx="581">
                  <c:v>#N/A</c:v>
                </c:pt>
                <c:pt idx="582">
                  <c:v>#N/A</c:v>
                </c:pt>
                <c:pt idx="583">
                  <c:v>#N/A</c:v>
                </c:pt>
                <c:pt idx="584">
                  <c:v>#N/A</c:v>
                </c:pt>
                <c:pt idx="585">
                  <c:v>2023</c:v>
                </c:pt>
                <c:pt idx="586">
                  <c:v>2014</c:v>
                </c:pt>
                <c:pt idx="587">
                  <c:v>#N/A</c:v>
                </c:pt>
                <c:pt idx="588">
                  <c:v>#N/A</c:v>
                </c:pt>
                <c:pt idx="589">
                  <c:v>#N/A</c:v>
                </c:pt>
                <c:pt idx="590">
                  <c:v>1992</c:v>
                </c:pt>
                <c:pt idx="591">
                  <c:v>#N/A</c:v>
                </c:pt>
                <c:pt idx="592">
                  <c:v>#N/A</c:v>
                </c:pt>
                <c:pt idx="593">
                  <c:v>2026</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2020</c:v>
                </c:pt>
                <c:pt idx="609">
                  <c:v>2024</c:v>
                </c:pt>
                <c:pt idx="610">
                  <c:v>2026</c:v>
                </c:pt>
                <c:pt idx="611">
                  <c:v>#N/A</c:v>
                </c:pt>
                <c:pt idx="612">
                  <c:v>#N/A</c:v>
                </c:pt>
                <c:pt idx="613">
                  <c:v>#N/A</c:v>
                </c:pt>
                <c:pt idx="614">
                  <c:v>#N/A</c:v>
                </c:pt>
                <c:pt idx="615">
                  <c:v>#N/A</c:v>
                </c:pt>
                <c:pt idx="616">
                  <c:v>#N/A</c:v>
                </c:pt>
                <c:pt idx="617">
                  <c:v>#N/A</c:v>
                </c:pt>
                <c:pt idx="618">
                  <c:v>#N/A</c:v>
                </c:pt>
                <c:pt idx="619">
                  <c:v>#N/A</c:v>
                </c:pt>
                <c:pt idx="620">
                  <c:v>#N/A</c:v>
                </c:pt>
                <c:pt idx="621">
                  <c:v>#N/A</c:v>
                </c:pt>
                <c:pt idx="622">
                  <c:v>1980</c:v>
                </c:pt>
                <c:pt idx="623">
                  <c:v>#N/A</c:v>
                </c:pt>
                <c:pt idx="624">
                  <c:v>2019</c:v>
                </c:pt>
                <c:pt idx="625">
                  <c:v>#N/A</c:v>
                </c:pt>
                <c:pt idx="626">
                  <c:v>#N/A</c:v>
                </c:pt>
                <c:pt idx="627">
                  <c:v>2007</c:v>
                </c:pt>
                <c:pt idx="628">
                  <c:v>#N/A</c:v>
                </c:pt>
                <c:pt idx="629">
                  <c:v>#N/A</c:v>
                </c:pt>
                <c:pt idx="630">
                  <c:v>#N/A</c:v>
                </c:pt>
                <c:pt idx="631">
                  <c:v>#N/A</c:v>
                </c:pt>
                <c:pt idx="632">
                  <c:v>#N/A</c:v>
                </c:pt>
                <c:pt idx="633">
                  <c:v>#N/A</c:v>
                </c:pt>
                <c:pt idx="634">
                  <c:v>#N/A</c:v>
                </c:pt>
                <c:pt idx="635">
                  <c:v>#N/A</c:v>
                </c:pt>
                <c:pt idx="636">
                  <c:v>#N/A</c:v>
                </c:pt>
                <c:pt idx="637">
                  <c:v>2023</c:v>
                </c:pt>
                <c:pt idx="638">
                  <c:v>#N/A</c:v>
                </c:pt>
                <c:pt idx="639">
                  <c:v>2014</c:v>
                </c:pt>
                <c:pt idx="640">
                  <c:v>#N/A</c:v>
                </c:pt>
                <c:pt idx="641">
                  <c:v>#N/A</c:v>
                </c:pt>
                <c:pt idx="642">
                  <c:v>#N/A</c:v>
                </c:pt>
                <c:pt idx="643">
                  <c:v>#N/A</c:v>
                </c:pt>
                <c:pt idx="644">
                  <c:v>#N/A</c:v>
                </c:pt>
                <c:pt idx="645">
                  <c:v>#N/A</c:v>
                </c:pt>
                <c:pt idx="646">
                  <c:v>#N/A</c:v>
                </c:pt>
                <c:pt idx="647">
                  <c:v>#N/A</c:v>
                </c:pt>
                <c:pt idx="648">
                  <c:v>#N/A</c:v>
                </c:pt>
                <c:pt idx="649">
                  <c:v>#N/A</c:v>
                </c:pt>
                <c:pt idx="650">
                  <c:v>#N/A</c:v>
                </c:pt>
                <c:pt idx="651">
                  <c:v>2010</c:v>
                </c:pt>
                <c:pt idx="652">
                  <c:v>#N/A</c:v>
                </c:pt>
                <c:pt idx="653">
                  <c:v>#N/A</c:v>
                </c:pt>
                <c:pt idx="654">
                  <c:v>#N/A</c:v>
                </c:pt>
                <c:pt idx="655">
                  <c:v>#N/A</c:v>
                </c:pt>
                <c:pt idx="656">
                  <c:v>#N/A</c:v>
                </c:pt>
                <c:pt idx="657">
                  <c:v>#N/A</c:v>
                </c:pt>
                <c:pt idx="658">
                  <c:v>#N/A</c:v>
                </c:pt>
                <c:pt idx="659">
                  <c:v>#N/A</c:v>
                </c:pt>
                <c:pt idx="660">
                  <c:v>#N/A</c:v>
                </c:pt>
                <c:pt idx="661">
                  <c:v>#N/A</c:v>
                </c:pt>
                <c:pt idx="662">
                  <c:v>2015</c:v>
                </c:pt>
                <c:pt idx="663">
                  <c:v>#N/A</c:v>
                </c:pt>
                <c:pt idx="664">
                  <c:v>#N/A</c:v>
                </c:pt>
                <c:pt idx="665">
                  <c:v>#N/A</c:v>
                </c:pt>
                <c:pt idx="666">
                  <c:v>#N/A</c:v>
                </c:pt>
                <c:pt idx="667">
                  <c:v>2014</c:v>
                </c:pt>
                <c:pt idx="668">
                  <c:v>#N/A</c:v>
                </c:pt>
                <c:pt idx="669">
                  <c:v>2008</c:v>
                </c:pt>
                <c:pt idx="670">
                  <c:v>2000</c:v>
                </c:pt>
                <c:pt idx="671">
                  <c:v>2010</c:v>
                </c:pt>
                <c:pt idx="672">
                  <c:v>2002</c:v>
                </c:pt>
                <c:pt idx="673">
                  <c:v>1996</c:v>
                </c:pt>
                <c:pt idx="674">
                  <c:v>2001</c:v>
                </c:pt>
                <c:pt idx="675">
                  <c:v>2024</c:v>
                </c:pt>
                <c:pt idx="676">
                  <c:v>2010</c:v>
                </c:pt>
                <c:pt idx="677">
                  <c:v>#N/A</c:v>
                </c:pt>
                <c:pt idx="678">
                  <c:v>#N/A</c:v>
                </c:pt>
                <c:pt idx="679">
                  <c:v>#N/A</c:v>
                </c:pt>
                <c:pt idx="680">
                  <c:v>#N/A</c:v>
                </c:pt>
                <c:pt idx="681">
                  <c:v>#N/A</c:v>
                </c:pt>
                <c:pt idx="682">
                  <c:v>2012</c:v>
                </c:pt>
                <c:pt idx="683">
                  <c:v>#N/A</c:v>
                </c:pt>
                <c:pt idx="684">
                  <c:v>#N/A</c:v>
                </c:pt>
                <c:pt idx="685">
                  <c:v>#N/A</c:v>
                </c:pt>
                <c:pt idx="686">
                  <c:v>#N/A</c:v>
                </c:pt>
                <c:pt idx="687">
                  <c:v>#N/A</c:v>
                </c:pt>
                <c:pt idx="688">
                  <c:v>2006</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2022</c:v>
                </c:pt>
                <c:pt idx="703">
                  <c:v>2023</c:v>
                </c:pt>
                <c:pt idx="704">
                  <c:v>#N/A</c:v>
                </c:pt>
                <c:pt idx="705">
                  <c:v>#N/A</c:v>
                </c:pt>
                <c:pt idx="706">
                  <c:v>#N/A</c:v>
                </c:pt>
                <c:pt idx="707">
                  <c:v>2016</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2014</c:v>
                </c:pt>
                <c:pt idx="721">
                  <c:v>#N/A</c:v>
                </c:pt>
                <c:pt idx="722">
                  <c:v>#N/A</c:v>
                </c:pt>
                <c:pt idx="723">
                  <c:v>#N/A</c:v>
                </c:pt>
                <c:pt idx="724">
                  <c:v>#N/A</c:v>
                </c:pt>
                <c:pt idx="725">
                  <c:v>#N/A</c:v>
                </c:pt>
                <c:pt idx="726">
                  <c:v>#N/A</c:v>
                </c:pt>
                <c:pt idx="727">
                  <c:v>#N/A</c:v>
                </c:pt>
                <c:pt idx="728">
                  <c:v>#N/A</c:v>
                </c:pt>
                <c:pt idx="729">
                  <c:v>#N/A</c:v>
                </c:pt>
                <c:pt idx="730">
                  <c:v>#N/A</c:v>
                </c:pt>
                <c:pt idx="731">
                  <c:v>2020</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1982</c:v>
                </c:pt>
                <c:pt idx="748">
                  <c:v>#N/A</c:v>
                </c:pt>
                <c:pt idx="749">
                  <c:v>#N/A</c:v>
                </c:pt>
                <c:pt idx="750">
                  <c:v>2013</c:v>
                </c:pt>
                <c:pt idx="751">
                  <c:v>#N/A</c:v>
                </c:pt>
                <c:pt idx="752">
                  <c:v>#N/A</c:v>
                </c:pt>
                <c:pt idx="753">
                  <c:v>#N/A</c:v>
                </c:pt>
                <c:pt idx="754">
                  <c:v>#N/A</c:v>
                </c:pt>
                <c:pt idx="755">
                  <c:v>#N/A</c:v>
                </c:pt>
                <c:pt idx="756">
                  <c:v>#N/A</c:v>
                </c:pt>
                <c:pt idx="757">
                  <c:v>#N/A</c:v>
                </c:pt>
                <c:pt idx="758">
                  <c:v>1998</c:v>
                </c:pt>
                <c:pt idx="759">
                  <c:v>#N/A</c:v>
                </c:pt>
                <c:pt idx="760">
                  <c:v>2017</c:v>
                </c:pt>
                <c:pt idx="761">
                  <c:v>#N/A</c:v>
                </c:pt>
                <c:pt idx="762">
                  <c:v>2006</c:v>
                </c:pt>
                <c:pt idx="763">
                  <c:v>#N/A</c:v>
                </c:pt>
                <c:pt idx="764">
                  <c:v>#N/A</c:v>
                </c:pt>
                <c:pt idx="765">
                  <c:v>#N/A</c:v>
                </c:pt>
                <c:pt idx="766">
                  <c:v>#N/A</c:v>
                </c:pt>
                <c:pt idx="767">
                  <c:v>#N/A</c:v>
                </c:pt>
                <c:pt idx="768">
                  <c:v>#N/A</c:v>
                </c:pt>
                <c:pt idx="769">
                  <c:v>#N/A</c:v>
                </c:pt>
                <c:pt idx="770">
                  <c:v>#N/A</c:v>
                </c:pt>
                <c:pt idx="771">
                  <c:v>#N/A</c:v>
                </c:pt>
                <c:pt idx="772">
                  <c:v>#N/A</c:v>
                </c:pt>
                <c:pt idx="773">
                  <c:v>#N/A</c:v>
                </c:pt>
                <c:pt idx="774">
                  <c:v>2021</c:v>
                </c:pt>
                <c:pt idx="775">
                  <c:v>2000</c:v>
                </c:pt>
                <c:pt idx="776">
                  <c:v>#N/A</c:v>
                </c:pt>
                <c:pt idx="777">
                  <c:v>#N/A</c:v>
                </c:pt>
                <c:pt idx="778">
                  <c:v>2014</c:v>
                </c:pt>
                <c:pt idx="779">
                  <c:v>2013</c:v>
                </c:pt>
                <c:pt idx="780">
                  <c:v>#N/A</c:v>
                </c:pt>
                <c:pt idx="781">
                  <c:v>#N/A</c:v>
                </c:pt>
                <c:pt idx="782">
                  <c:v>#N/A</c:v>
                </c:pt>
                <c:pt idx="783">
                  <c:v>#N/A</c:v>
                </c:pt>
                <c:pt idx="784">
                  <c:v>#N/A</c:v>
                </c:pt>
                <c:pt idx="785">
                  <c:v>#N/A</c:v>
                </c:pt>
                <c:pt idx="786">
                  <c:v>#N/A</c:v>
                </c:pt>
                <c:pt idx="787">
                  <c:v>2004</c:v>
                </c:pt>
                <c:pt idx="788">
                  <c:v>#N/A</c:v>
                </c:pt>
                <c:pt idx="789">
                  <c:v>#N/A</c:v>
                </c:pt>
                <c:pt idx="790">
                  <c:v>#N/A</c:v>
                </c:pt>
                <c:pt idx="791">
                  <c:v>#N/A</c:v>
                </c:pt>
                <c:pt idx="792">
                  <c:v>#N/A</c:v>
                </c:pt>
                <c:pt idx="793">
                  <c:v>#N/A</c:v>
                </c:pt>
                <c:pt idx="794">
                  <c:v>#N/A</c:v>
                </c:pt>
                <c:pt idx="795">
                  <c:v>2014</c:v>
                </c:pt>
                <c:pt idx="796">
                  <c:v>#N/A</c:v>
                </c:pt>
                <c:pt idx="797">
                  <c:v>#N/A</c:v>
                </c:pt>
                <c:pt idx="798">
                  <c:v>#N/A</c:v>
                </c:pt>
                <c:pt idx="799">
                  <c:v>#N/A</c:v>
                </c:pt>
                <c:pt idx="800">
                  <c:v>#N/A</c:v>
                </c:pt>
                <c:pt idx="801">
                  <c:v>#N/A</c:v>
                </c:pt>
                <c:pt idx="802">
                  <c:v>#N/A</c:v>
                </c:pt>
                <c:pt idx="803">
                  <c:v>#N/A</c:v>
                </c:pt>
                <c:pt idx="804">
                  <c:v>#N/A</c:v>
                </c:pt>
                <c:pt idx="805">
                  <c:v>#N/A</c:v>
                </c:pt>
                <c:pt idx="806">
                  <c:v>#N/A</c:v>
                </c:pt>
                <c:pt idx="807">
                  <c:v>1999</c:v>
                </c:pt>
                <c:pt idx="808">
                  <c:v>2002</c:v>
                </c:pt>
                <c:pt idx="809">
                  <c:v>1993</c:v>
                </c:pt>
                <c:pt idx="810">
                  <c:v>2025</c:v>
                </c:pt>
                <c:pt idx="811">
                  <c:v>2024</c:v>
                </c:pt>
                <c:pt idx="812">
                  <c:v>2021</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2012</c:v>
                </c:pt>
                <c:pt idx="827">
                  <c:v>2021</c:v>
                </c:pt>
                <c:pt idx="828">
                  <c:v>#N/A</c:v>
                </c:pt>
                <c:pt idx="829">
                  <c:v>#N/A</c:v>
                </c:pt>
                <c:pt idx="830">
                  <c:v>#N/A</c:v>
                </c:pt>
                <c:pt idx="831">
                  <c:v>#N/A</c:v>
                </c:pt>
                <c:pt idx="832">
                  <c:v>#N/A</c:v>
                </c:pt>
                <c:pt idx="833">
                  <c:v>#N/A</c:v>
                </c:pt>
                <c:pt idx="834">
                  <c:v>#N/A</c:v>
                </c:pt>
                <c:pt idx="835">
                  <c:v>1992</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1998</c:v>
                </c:pt>
                <c:pt idx="853">
                  <c:v>#N/A</c:v>
                </c:pt>
                <c:pt idx="854">
                  <c:v>#N/A</c:v>
                </c:pt>
                <c:pt idx="855">
                  <c:v>#N/A</c:v>
                </c:pt>
                <c:pt idx="856">
                  <c:v>#N/A</c:v>
                </c:pt>
                <c:pt idx="857">
                  <c:v>2023</c:v>
                </c:pt>
                <c:pt idx="858">
                  <c:v>#N/A</c:v>
                </c:pt>
                <c:pt idx="859">
                  <c:v>#N/A</c:v>
                </c:pt>
                <c:pt idx="860">
                  <c:v>2011</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2017</c:v>
                </c:pt>
                <c:pt idx="886">
                  <c:v>2010</c:v>
                </c:pt>
                <c:pt idx="887">
                  <c:v>1994</c:v>
                </c:pt>
                <c:pt idx="888">
                  <c:v>#N/A</c:v>
                </c:pt>
                <c:pt idx="889">
                  <c:v>#N/A</c:v>
                </c:pt>
                <c:pt idx="890">
                  <c:v>#N/A</c:v>
                </c:pt>
                <c:pt idx="891">
                  <c:v>2025</c:v>
                </c:pt>
                <c:pt idx="892">
                  <c:v>#N/A</c:v>
                </c:pt>
                <c:pt idx="893">
                  <c:v>#N/A</c:v>
                </c:pt>
                <c:pt idx="894">
                  <c:v>2022</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4.6440000000000001</c:v>
                </c:pt>
                <c:pt idx="96">
                  <c:v>#N/A</c:v>
                </c:pt>
                <c:pt idx="97">
                  <c:v>#N/A</c:v>
                </c:pt>
                <c:pt idx="98">
                  <c:v>#N/A</c:v>
                </c:pt>
                <c:pt idx="99">
                  <c:v>#N/A</c:v>
                </c:pt>
                <c:pt idx="100">
                  <c:v>4.7590000000000003</c:v>
                </c:pt>
                <c:pt idx="101">
                  <c:v>#N/A</c:v>
                </c:pt>
                <c:pt idx="102">
                  <c:v>#N/A</c:v>
                </c:pt>
                <c:pt idx="103">
                  <c:v>4.0460000000000003</c:v>
                </c:pt>
                <c:pt idx="104">
                  <c:v>4.069</c:v>
                </c:pt>
                <c:pt idx="105">
                  <c:v>4.0919999999999996</c:v>
                </c:pt>
                <c:pt idx="106">
                  <c:v>4.1150000000000002</c:v>
                </c:pt>
                <c:pt idx="107">
                  <c:v>#N/A</c:v>
                </c:pt>
                <c:pt idx="108">
                  <c:v>4.1609999999999996</c:v>
                </c:pt>
                <c:pt idx="109">
                  <c:v>4.1840000000000002</c:v>
                </c:pt>
                <c:pt idx="110">
                  <c:v>4.2069999999999999</c:v>
                </c:pt>
                <c:pt idx="111">
                  <c:v>4.2300000000000004</c:v>
                </c:pt>
                <c:pt idx="112">
                  <c:v>#N/A</c:v>
                </c:pt>
                <c:pt idx="113">
                  <c:v>#N/A</c:v>
                </c:pt>
                <c:pt idx="114">
                  <c:v>4.2990000000000004</c:v>
                </c:pt>
                <c:pt idx="115">
                  <c:v>#N/A</c:v>
                </c:pt>
                <c:pt idx="116">
                  <c:v>4.3449999999999998</c:v>
                </c:pt>
                <c:pt idx="117">
                  <c:v>#N/A</c:v>
                </c:pt>
                <c:pt idx="118">
                  <c:v>#N/A</c:v>
                </c:pt>
                <c:pt idx="119">
                  <c:v>#N/A</c:v>
                </c:pt>
                <c:pt idx="120">
                  <c:v>#N/A</c:v>
                </c:pt>
                <c:pt idx="121">
                  <c:v>#N/A</c:v>
                </c:pt>
                <c:pt idx="122">
                  <c:v>#N/A</c:v>
                </c:pt>
                <c:pt idx="123">
                  <c:v>4.5060000000000002</c:v>
                </c:pt>
                <c:pt idx="124">
                  <c:v>4.5289999999999999</c:v>
                </c:pt>
                <c:pt idx="125">
                  <c:v>4.5519999999999996</c:v>
                </c:pt>
                <c:pt idx="126">
                  <c:v>#N/A</c:v>
                </c:pt>
                <c:pt idx="127">
                  <c:v>#N/A</c:v>
                </c:pt>
                <c:pt idx="128">
                  <c:v>#N/A</c:v>
                </c:pt>
                <c:pt idx="129">
                  <c:v>#N/A</c:v>
                </c:pt>
                <c:pt idx="130">
                  <c:v>#N/A</c:v>
                </c:pt>
                <c:pt idx="131">
                  <c:v>#N/A</c:v>
                </c:pt>
                <c:pt idx="132">
                  <c:v>#N/A</c:v>
                </c:pt>
                <c:pt idx="133">
                  <c:v>#N/A</c:v>
                </c:pt>
                <c:pt idx="134">
                  <c:v>#N/A</c:v>
                </c:pt>
                <c:pt idx="135">
                  <c:v>#N/A</c:v>
                </c:pt>
                <c:pt idx="136">
                  <c:v>#N/A</c:v>
                </c:pt>
                <c:pt idx="137">
                  <c:v>4.0460000000000003</c:v>
                </c:pt>
                <c:pt idx="138">
                  <c:v>#N/A</c:v>
                </c:pt>
                <c:pt idx="139">
                  <c:v>#N/A</c:v>
                </c:pt>
                <c:pt idx="140">
                  <c:v>#N/A</c:v>
                </c:pt>
                <c:pt idx="141">
                  <c:v>#N/A</c:v>
                </c:pt>
                <c:pt idx="142">
                  <c:v>#N/A</c:v>
                </c:pt>
                <c:pt idx="143">
                  <c:v>#N/A</c:v>
                </c:pt>
                <c:pt idx="144">
                  <c:v>#N/A</c:v>
                </c:pt>
                <c:pt idx="145">
                  <c:v>#N/A</c:v>
                </c:pt>
                <c:pt idx="146">
                  <c:v>#N/A</c:v>
                </c:pt>
                <c:pt idx="147">
                  <c:v>4.2759999999999998</c:v>
                </c:pt>
                <c:pt idx="148">
                  <c:v>#N/A</c:v>
                </c:pt>
                <c:pt idx="149">
                  <c:v>#N/A</c:v>
                </c:pt>
                <c:pt idx="150">
                  <c:v>#N/A</c:v>
                </c:pt>
                <c:pt idx="151">
                  <c:v>#N/A</c:v>
                </c:pt>
                <c:pt idx="152">
                  <c:v>#N/A</c:v>
                </c:pt>
                <c:pt idx="153">
                  <c:v>#N/A</c:v>
                </c:pt>
                <c:pt idx="154">
                  <c:v>#N/A</c:v>
                </c:pt>
                <c:pt idx="155">
                  <c:v>#N/A</c:v>
                </c:pt>
                <c:pt idx="156">
                  <c:v>4.4829999999999997</c:v>
                </c:pt>
                <c:pt idx="157">
                  <c:v>#N/A</c:v>
                </c:pt>
                <c:pt idx="158">
                  <c:v>4.5289999999999999</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4.6210000000000004</c:v>
                </c:pt>
                <c:pt idx="197">
                  <c:v>#N/A</c:v>
                </c:pt>
                <c:pt idx="198">
                  <c:v>#N/A</c:v>
                </c:pt>
                <c:pt idx="199">
                  <c:v>#N/A</c:v>
                </c:pt>
                <c:pt idx="200">
                  <c:v>4.7130000000000001</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4.5979999999999999</c:v>
                </c:pt>
                <c:pt idx="230">
                  <c:v>#N/A</c:v>
                </c:pt>
                <c:pt idx="231">
                  <c:v>#N/A</c:v>
                </c:pt>
                <c:pt idx="232">
                  <c:v>#N/A</c:v>
                </c:pt>
                <c:pt idx="233">
                  <c:v>4.6899999999999995</c:v>
                </c:pt>
                <c:pt idx="234">
                  <c:v>4.7130000000000001</c:v>
                </c:pt>
                <c:pt idx="235">
                  <c:v>4.7359999999999998</c:v>
                </c:pt>
                <c:pt idx="236">
                  <c:v>4.7590000000000003</c:v>
                </c:pt>
                <c:pt idx="237">
                  <c:v>#N/A</c:v>
                </c:pt>
                <c:pt idx="238">
                  <c:v>#N/A</c:v>
                </c:pt>
                <c:pt idx="239">
                  <c:v>#N/A</c:v>
                </c:pt>
                <c:pt idx="240">
                  <c:v>#N/A</c:v>
                </c:pt>
                <c:pt idx="241">
                  <c:v>#N/A</c:v>
                </c:pt>
                <c:pt idx="242">
                  <c:v>#N/A</c:v>
                </c:pt>
                <c:pt idx="243">
                  <c:v>#N/A</c:v>
                </c:pt>
                <c:pt idx="244">
                  <c:v>#N/A</c:v>
                </c:pt>
                <c:pt idx="245">
                  <c:v>4.1840000000000002</c:v>
                </c:pt>
                <c:pt idx="246">
                  <c:v>#N/A</c:v>
                </c:pt>
                <c:pt idx="247">
                  <c:v>4.2300000000000004</c:v>
                </c:pt>
                <c:pt idx="248">
                  <c:v>#N/A</c:v>
                </c:pt>
                <c:pt idx="249">
                  <c:v>4.2759999999999998</c:v>
                </c:pt>
                <c:pt idx="250">
                  <c:v>#N/A</c:v>
                </c:pt>
                <c:pt idx="251">
                  <c:v>4.3220000000000001</c:v>
                </c:pt>
                <c:pt idx="252">
                  <c:v>#N/A</c:v>
                </c:pt>
                <c:pt idx="253">
                  <c:v>#N/A</c:v>
                </c:pt>
                <c:pt idx="254">
                  <c:v>4.391</c:v>
                </c:pt>
                <c:pt idx="255">
                  <c:v>#N/A</c:v>
                </c:pt>
                <c:pt idx="256">
                  <c:v>#N/A</c:v>
                </c:pt>
                <c:pt idx="257">
                  <c:v>#N/A</c:v>
                </c:pt>
                <c:pt idx="258">
                  <c:v>#N/A</c:v>
                </c:pt>
                <c:pt idx="259">
                  <c:v>#N/A</c:v>
                </c:pt>
                <c:pt idx="260">
                  <c:v>#N/A</c:v>
                </c:pt>
                <c:pt idx="261">
                  <c:v>#N/A</c:v>
                </c:pt>
                <c:pt idx="262">
                  <c:v>#N/A</c:v>
                </c:pt>
                <c:pt idx="263">
                  <c:v>4.5979999999999999</c:v>
                </c:pt>
                <c:pt idx="264">
                  <c:v>4.6210000000000004</c:v>
                </c:pt>
                <c:pt idx="265">
                  <c:v>#N/A</c:v>
                </c:pt>
                <c:pt idx="266">
                  <c:v>#N/A</c:v>
                </c:pt>
                <c:pt idx="267">
                  <c:v>#N/A</c:v>
                </c:pt>
                <c:pt idx="268">
                  <c:v>#N/A</c:v>
                </c:pt>
                <c:pt idx="269">
                  <c:v>#N/A</c:v>
                </c:pt>
                <c:pt idx="270">
                  <c:v>#N/A</c:v>
                </c:pt>
                <c:pt idx="271">
                  <c:v>4</c:v>
                </c:pt>
                <c:pt idx="272">
                  <c:v>4.0229999999999997</c:v>
                </c:pt>
                <c:pt idx="273">
                  <c:v>4.0460000000000003</c:v>
                </c:pt>
                <c:pt idx="274">
                  <c:v>#N/A</c:v>
                </c:pt>
                <c:pt idx="275">
                  <c:v>#N/A</c:v>
                </c:pt>
                <c:pt idx="276">
                  <c:v>#N/A</c:v>
                </c:pt>
                <c:pt idx="277">
                  <c:v>#N/A</c:v>
                </c:pt>
                <c:pt idx="278">
                  <c:v>#N/A</c:v>
                </c:pt>
                <c:pt idx="279">
                  <c:v>4.1840000000000002</c:v>
                </c:pt>
                <c:pt idx="280">
                  <c:v>#N/A</c:v>
                </c:pt>
                <c:pt idx="281">
                  <c:v>#N/A</c:v>
                </c:pt>
                <c:pt idx="282">
                  <c:v>#N/A</c:v>
                </c:pt>
                <c:pt idx="283">
                  <c:v>4.2759999999999998</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4.5979999999999999</c:v>
                </c:pt>
                <c:pt idx="298">
                  <c:v>#N/A</c:v>
                </c:pt>
                <c:pt idx="299">
                  <c:v>#N/A</c:v>
                </c:pt>
                <c:pt idx="300">
                  <c:v>#N/A</c:v>
                </c:pt>
                <c:pt idx="301">
                  <c:v>4.6899999999999995</c:v>
                </c:pt>
                <c:pt idx="302">
                  <c:v>4.7130000000000001</c:v>
                </c:pt>
                <c:pt idx="303">
                  <c:v>#N/A</c:v>
                </c:pt>
                <c:pt idx="304">
                  <c:v>#N/A</c:v>
                </c:pt>
                <c:pt idx="305">
                  <c:v>#N/A</c:v>
                </c:pt>
                <c:pt idx="306">
                  <c:v>#N/A</c:v>
                </c:pt>
                <c:pt idx="307">
                  <c:v>4.0460000000000003</c:v>
                </c:pt>
                <c:pt idx="308">
                  <c:v>4.069</c:v>
                </c:pt>
                <c:pt idx="309">
                  <c:v>4.0919999999999996</c:v>
                </c:pt>
                <c:pt idx="310">
                  <c:v>#N/A</c:v>
                </c:pt>
                <c:pt idx="311">
                  <c:v>#N/A</c:v>
                </c:pt>
                <c:pt idx="312">
                  <c:v>#N/A</c:v>
                </c:pt>
                <c:pt idx="313">
                  <c:v>#N/A</c:v>
                </c:pt>
                <c:pt idx="314">
                  <c:v>#N/A</c:v>
                </c:pt>
                <c:pt idx="315">
                  <c:v>4.2300000000000004</c:v>
                </c:pt>
                <c:pt idx="316">
                  <c:v>#N/A</c:v>
                </c:pt>
                <c:pt idx="317">
                  <c:v>#N/A</c:v>
                </c:pt>
                <c:pt idx="318">
                  <c:v>#N/A</c:v>
                </c:pt>
                <c:pt idx="319">
                  <c:v>#N/A</c:v>
                </c:pt>
                <c:pt idx="320">
                  <c:v>#N/A</c:v>
                </c:pt>
                <c:pt idx="321">
                  <c:v>#N/A</c:v>
                </c:pt>
                <c:pt idx="322">
                  <c:v>4.391</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4.0229999999999997</c:v>
                </c:pt>
                <c:pt idx="341">
                  <c:v>4.0460000000000003</c:v>
                </c:pt>
                <c:pt idx="342">
                  <c:v>#N/A</c:v>
                </c:pt>
                <c:pt idx="343">
                  <c:v>#N/A</c:v>
                </c:pt>
                <c:pt idx="344">
                  <c:v>#N/A</c:v>
                </c:pt>
                <c:pt idx="345">
                  <c:v>#N/A</c:v>
                </c:pt>
                <c:pt idx="346">
                  <c:v>#N/A</c:v>
                </c:pt>
                <c:pt idx="347">
                  <c:v>#N/A</c:v>
                </c:pt>
                <c:pt idx="348">
                  <c:v>#N/A</c:v>
                </c:pt>
                <c:pt idx="349">
                  <c:v>#N/A</c:v>
                </c:pt>
                <c:pt idx="350">
                  <c:v>#N/A</c:v>
                </c:pt>
                <c:pt idx="351">
                  <c:v>4.2759999999999998</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4.7130000000000001</c:v>
                </c:pt>
                <c:pt idx="371">
                  <c:v>4.7359999999999998</c:v>
                </c:pt>
                <c:pt idx="372">
                  <c:v>4.7590000000000003</c:v>
                </c:pt>
                <c:pt idx="373">
                  <c:v>#N/A</c:v>
                </c:pt>
                <c:pt idx="374">
                  <c:v>#N/A</c:v>
                </c:pt>
                <c:pt idx="375">
                  <c:v>#N/A</c:v>
                </c:pt>
                <c:pt idx="376">
                  <c:v>4.069</c:v>
                </c:pt>
                <c:pt idx="377">
                  <c:v>#N/A</c:v>
                </c:pt>
                <c:pt idx="378">
                  <c:v>4.1150000000000002</c:v>
                </c:pt>
                <c:pt idx="379">
                  <c:v>#N/A</c:v>
                </c:pt>
                <c:pt idx="380">
                  <c:v>#N/A</c:v>
                </c:pt>
                <c:pt idx="381">
                  <c:v>#N/A</c:v>
                </c:pt>
                <c:pt idx="382">
                  <c:v>4.2069999999999999</c:v>
                </c:pt>
                <c:pt idx="383">
                  <c:v>#N/A</c:v>
                </c:pt>
                <c:pt idx="384">
                  <c:v>4.2530000000000001</c:v>
                </c:pt>
                <c:pt idx="385">
                  <c:v>#N/A</c:v>
                </c:pt>
                <c:pt idx="386">
                  <c:v>#N/A</c:v>
                </c:pt>
                <c:pt idx="387">
                  <c:v>#N/A</c:v>
                </c:pt>
                <c:pt idx="388">
                  <c:v>#N/A</c:v>
                </c:pt>
                <c:pt idx="389">
                  <c:v>#N/A</c:v>
                </c:pt>
                <c:pt idx="390">
                  <c:v>#N/A</c:v>
                </c:pt>
                <c:pt idx="391">
                  <c:v>#N/A</c:v>
                </c:pt>
                <c:pt idx="392">
                  <c:v>#N/A</c:v>
                </c:pt>
                <c:pt idx="393">
                  <c:v>4.46</c:v>
                </c:pt>
                <c:pt idx="394">
                  <c:v>4.4829999999999997</c:v>
                </c:pt>
                <c:pt idx="395">
                  <c:v>4.5060000000000002</c:v>
                </c:pt>
                <c:pt idx="396">
                  <c:v>#N/A</c:v>
                </c:pt>
                <c:pt idx="397">
                  <c:v>#N/A</c:v>
                </c:pt>
                <c:pt idx="398">
                  <c:v>4.5750000000000002</c:v>
                </c:pt>
                <c:pt idx="399">
                  <c:v>#N/A</c:v>
                </c:pt>
                <c:pt idx="400">
                  <c:v>#N/A</c:v>
                </c:pt>
                <c:pt idx="401">
                  <c:v>#N/A</c:v>
                </c:pt>
                <c:pt idx="402">
                  <c:v>4.6669999999999998</c:v>
                </c:pt>
                <c:pt idx="403">
                  <c:v>#N/A</c:v>
                </c:pt>
                <c:pt idx="404">
                  <c:v>#N/A</c:v>
                </c:pt>
                <c:pt idx="405">
                  <c:v>#N/A</c:v>
                </c:pt>
                <c:pt idx="406">
                  <c:v>#N/A</c:v>
                </c:pt>
                <c:pt idx="407">
                  <c:v>#N/A</c:v>
                </c:pt>
                <c:pt idx="408">
                  <c:v>#N/A</c:v>
                </c:pt>
                <c:pt idx="409">
                  <c:v>#N/A</c:v>
                </c:pt>
                <c:pt idx="410">
                  <c:v>#N/A</c:v>
                </c:pt>
                <c:pt idx="411">
                  <c:v>#N/A</c:v>
                </c:pt>
                <c:pt idx="412">
                  <c:v>4.1150000000000002</c:v>
                </c:pt>
                <c:pt idx="413">
                  <c:v>#N/A</c:v>
                </c:pt>
                <c:pt idx="414">
                  <c:v>4.1609999999999996</c:v>
                </c:pt>
                <c:pt idx="415">
                  <c:v>4.1840000000000002</c:v>
                </c:pt>
                <c:pt idx="416">
                  <c:v>#N/A</c:v>
                </c:pt>
                <c:pt idx="417">
                  <c:v>#N/A</c:v>
                </c:pt>
                <c:pt idx="418">
                  <c:v>#N/A</c:v>
                </c:pt>
                <c:pt idx="419">
                  <c:v>#N/A</c:v>
                </c:pt>
                <c:pt idx="420">
                  <c:v>#N/A</c:v>
                </c:pt>
                <c:pt idx="421">
                  <c:v>#N/A</c:v>
                </c:pt>
                <c:pt idx="422">
                  <c:v>#N/A</c:v>
                </c:pt>
                <c:pt idx="423">
                  <c:v>4.3680000000000003</c:v>
                </c:pt>
                <c:pt idx="424">
                  <c:v>#N/A</c:v>
                </c:pt>
                <c:pt idx="425">
                  <c:v>#N/A</c:v>
                </c:pt>
                <c:pt idx="426">
                  <c:v>#N/A</c:v>
                </c:pt>
                <c:pt idx="427">
                  <c:v>#N/A</c:v>
                </c:pt>
                <c:pt idx="428">
                  <c:v>#N/A</c:v>
                </c:pt>
                <c:pt idx="429">
                  <c:v>#N/A</c:v>
                </c:pt>
                <c:pt idx="430">
                  <c:v>#N/A</c:v>
                </c:pt>
                <c:pt idx="431">
                  <c:v>4.5519999999999996</c:v>
                </c:pt>
                <c:pt idx="432">
                  <c:v>#N/A</c:v>
                </c:pt>
                <c:pt idx="433">
                  <c:v>#N/A</c:v>
                </c:pt>
                <c:pt idx="434">
                  <c:v>#N/A</c:v>
                </c:pt>
                <c:pt idx="435">
                  <c:v>4.6440000000000001</c:v>
                </c:pt>
                <c:pt idx="436">
                  <c:v>#N/A</c:v>
                </c:pt>
                <c:pt idx="437">
                  <c:v>#N/A</c:v>
                </c:pt>
                <c:pt idx="438">
                  <c:v>#N/A</c:v>
                </c:pt>
                <c:pt idx="439">
                  <c:v>#N/A</c:v>
                </c:pt>
                <c:pt idx="440">
                  <c:v>#N/A</c:v>
                </c:pt>
                <c:pt idx="441">
                  <c:v>#N/A</c:v>
                </c:pt>
                <c:pt idx="442">
                  <c:v>#N/A</c:v>
                </c:pt>
                <c:pt idx="443">
                  <c:v>#N/A</c:v>
                </c:pt>
                <c:pt idx="444">
                  <c:v>#N/A</c:v>
                </c:pt>
                <c:pt idx="445">
                  <c:v>4.0919999999999996</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4.4829999999999997</c:v>
                </c:pt>
                <c:pt idx="463">
                  <c:v>4.5060000000000002</c:v>
                </c:pt>
                <c:pt idx="464">
                  <c:v>4.5289999999999999</c:v>
                </c:pt>
                <c:pt idx="465">
                  <c:v>#N/A</c:v>
                </c:pt>
                <c:pt idx="466">
                  <c:v>#N/A</c:v>
                </c:pt>
                <c:pt idx="467">
                  <c:v>#N/A</c:v>
                </c:pt>
                <c:pt idx="468">
                  <c:v>4.6210000000000004</c:v>
                </c:pt>
                <c:pt idx="469">
                  <c:v>4.6440000000000001</c:v>
                </c:pt>
                <c:pt idx="470">
                  <c:v>4.6669999999999998</c:v>
                </c:pt>
                <c:pt idx="471">
                  <c:v>4.6899999999999995</c:v>
                </c:pt>
                <c:pt idx="472">
                  <c:v>#N/A</c:v>
                </c:pt>
                <c:pt idx="473">
                  <c:v>#N/A</c:v>
                </c:pt>
                <c:pt idx="474">
                  <c:v>#N/A</c:v>
                </c:pt>
                <c:pt idx="475">
                  <c:v>#N/A</c:v>
                </c:pt>
                <c:pt idx="476">
                  <c:v>#N/A</c:v>
                </c:pt>
                <c:pt idx="477">
                  <c:v>#N/A</c:v>
                </c:pt>
                <c:pt idx="478">
                  <c:v>#N/A</c:v>
                </c:pt>
                <c:pt idx="479">
                  <c:v>#N/A</c:v>
                </c:pt>
                <c:pt idx="480">
                  <c:v>#N/A</c:v>
                </c:pt>
                <c:pt idx="481">
                  <c:v>#N/A</c:v>
                </c:pt>
                <c:pt idx="482">
                  <c:v>4.1609999999999996</c:v>
                </c:pt>
                <c:pt idx="483">
                  <c:v>#N/A</c:v>
                </c:pt>
                <c:pt idx="484">
                  <c:v>4.2069999999999999</c:v>
                </c:pt>
                <c:pt idx="485">
                  <c:v>#N/A</c:v>
                </c:pt>
                <c:pt idx="486">
                  <c:v>#N/A</c:v>
                </c:pt>
                <c:pt idx="487">
                  <c:v>#N/A</c:v>
                </c:pt>
                <c:pt idx="488">
                  <c:v>#N/A</c:v>
                </c:pt>
                <c:pt idx="489">
                  <c:v>#N/A</c:v>
                </c:pt>
                <c:pt idx="490">
                  <c:v>4.3449999999999998</c:v>
                </c:pt>
                <c:pt idx="491">
                  <c:v>#N/A</c:v>
                </c:pt>
                <c:pt idx="492">
                  <c:v>#N/A</c:v>
                </c:pt>
                <c:pt idx="493">
                  <c:v>#N/A</c:v>
                </c:pt>
                <c:pt idx="494">
                  <c:v>4.4370000000000003</c:v>
                </c:pt>
                <c:pt idx="495">
                  <c:v>4.46</c:v>
                </c:pt>
                <c:pt idx="496">
                  <c:v>#N/A</c:v>
                </c:pt>
                <c:pt idx="497">
                  <c:v>#N/A</c:v>
                </c:pt>
                <c:pt idx="498">
                  <c:v>#N/A</c:v>
                </c:pt>
                <c:pt idx="499">
                  <c:v>#N/A</c:v>
                </c:pt>
                <c:pt idx="500">
                  <c:v>#N/A</c:v>
                </c:pt>
                <c:pt idx="501">
                  <c:v>#N/A</c:v>
                </c:pt>
                <c:pt idx="502">
                  <c:v>#N/A</c:v>
                </c:pt>
                <c:pt idx="503">
                  <c:v>#N/A</c:v>
                </c:pt>
                <c:pt idx="504">
                  <c:v>#N/A</c:v>
                </c:pt>
                <c:pt idx="505">
                  <c:v>4.6899999999999995</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4.5060000000000002</c:v>
                </c:pt>
                <c:pt idx="532">
                  <c:v>4.5289999999999999</c:v>
                </c:pt>
                <c:pt idx="533">
                  <c:v>4.5519999999999996</c:v>
                </c:pt>
                <c:pt idx="534">
                  <c:v>4.5750000000000002</c:v>
                </c:pt>
                <c:pt idx="535">
                  <c:v>#N/A</c:v>
                </c:pt>
                <c:pt idx="536">
                  <c:v>#N/A</c:v>
                </c:pt>
                <c:pt idx="537">
                  <c:v>4.6440000000000001</c:v>
                </c:pt>
                <c:pt idx="538">
                  <c:v>4.6669999999999998</c:v>
                </c:pt>
                <c:pt idx="539">
                  <c:v>#N/A</c:v>
                </c:pt>
                <c:pt idx="540">
                  <c:v>#N/A</c:v>
                </c:pt>
                <c:pt idx="541">
                  <c:v>#N/A</c:v>
                </c:pt>
                <c:pt idx="542">
                  <c:v>#N/A</c:v>
                </c:pt>
                <c:pt idx="543">
                  <c:v>4</c:v>
                </c:pt>
                <c:pt idx="544">
                  <c:v>#N/A</c:v>
                </c:pt>
                <c:pt idx="545">
                  <c:v>4.0460000000000003</c:v>
                </c:pt>
                <c:pt idx="546">
                  <c:v>#N/A</c:v>
                </c:pt>
                <c:pt idx="547">
                  <c:v>#N/A</c:v>
                </c:pt>
                <c:pt idx="548">
                  <c:v>#N/A</c:v>
                </c:pt>
                <c:pt idx="549">
                  <c:v>#N/A</c:v>
                </c:pt>
                <c:pt idx="550">
                  <c:v>4.1609999999999996</c:v>
                </c:pt>
                <c:pt idx="551">
                  <c:v>#N/A</c:v>
                </c:pt>
                <c:pt idx="552">
                  <c:v>4.2069999999999999</c:v>
                </c:pt>
                <c:pt idx="553">
                  <c:v>#N/A</c:v>
                </c:pt>
                <c:pt idx="554">
                  <c:v>#N/A</c:v>
                </c:pt>
                <c:pt idx="555">
                  <c:v>#N/A</c:v>
                </c:pt>
                <c:pt idx="556">
                  <c:v>#N/A</c:v>
                </c:pt>
                <c:pt idx="557">
                  <c:v>#N/A</c:v>
                </c:pt>
                <c:pt idx="558">
                  <c:v>#N/A</c:v>
                </c:pt>
                <c:pt idx="559">
                  <c:v>#N/A</c:v>
                </c:pt>
                <c:pt idx="560">
                  <c:v>#N/A</c:v>
                </c:pt>
                <c:pt idx="561">
                  <c:v>4.4139999999999997</c:v>
                </c:pt>
                <c:pt idx="562">
                  <c:v>#N/A</c:v>
                </c:pt>
                <c:pt idx="563">
                  <c:v>#N/A</c:v>
                </c:pt>
                <c:pt idx="564">
                  <c:v>#N/A</c:v>
                </c:pt>
                <c:pt idx="565">
                  <c:v>#N/A</c:v>
                </c:pt>
                <c:pt idx="566">
                  <c:v>#N/A</c:v>
                </c:pt>
                <c:pt idx="567">
                  <c:v>#N/A</c:v>
                </c:pt>
                <c:pt idx="568">
                  <c:v>#N/A</c:v>
                </c:pt>
                <c:pt idx="569">
                  <c:v>#N/A</c:v>
                </c:pt>
                <c:pt idx="570">
                  <c:v>#N/A</c:v>
                </c:pt>
                <c:pt idx="571">
                  <c:v>4.6440000000000001</c:v>
                </c:pt>
                <c:pt idx="572">
                  <c:v>4.6669999999999998</c:v>
                </c:pt>
                <c:pt idx="573">
                  <c:v>4.6899999999999995</c:v>
                </c:pt>
                <c:pt idx="574">
                  <c:v>4.7130000000000001</c:v>
                </c:pt>
                <c:pt idx="575">
                  <c:v>4.7359999999999998</c:v>
                </c:pt>
                <c:pt idx="576">
                  <c:v>4.7590000000000003</c:v>
                </c:pt>
                <c:pt idx="577">
                  <c:v>#N/A</c:v>
                </c:pt>
                <c:pt idx="578">
                  <c:v>#N/A</c:v>
                </c:pt>
                <c:pt idx="579">
                  <c:v>#N/A</c:v>
                </c:pt>
                <c:pt idx="580">
                  <c:v>#N/A</c:v>
                </c:pt>
                <c:pt idx="581">
                  <c:v>4.0919999999999996</c:v>
                </c:pt>
                <c:pt idx="582">
                  <c:v>#N/A</c:v>
                </c:pt>
                <c:pt idx="583">
                  <c:v>#N/A</c:v>
                </c:pt>
                <c:pt idx="584">
                  <c:v>#N/A</c:v>
                </c:pt>
                <c:pt idx="585">
                  <c:v>#N/A</c:v>
                </c:pt>
                <c:pt idx="586">
                  <c:v>4.2069999999999999</c:v>
                </c:pt>
                <c:pt idx="587">
                  <c:v>4.2300000000000004</c:v>
                </c:pt>
                <c:pt idx="588">
                  <c:v>#N/A</c:v>
                </c:pt>
                <c:pt idx="589">
                  <c:v>#N/A</c:v>
                </c:pt>
                <c:pt idx="590">
                  <c:v>#N/A</c:v>
                </c:pt>
                <c:pt idx="591">
                  <c:v>4.3220000000000001</c:v>
                </c:pt>
                <c:pt idx="592">
                  <c:v>#N/A</c:v>
                </c:pt>
                <c:pt idx="593">
                  <c:v>#N/A</c:v>
                </c:pt>
                <c:pt idx="594">
                  <c:v>4.391</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4.7359999999999998</c:v>
                </c:pt>
                <c:pt idx="610">
                  <c:v>4.7590000000000003</c:v>
                </c:pt>
                <c:pt idx="611">
                  <c:v>4</c:v>
                </c:pt>
                <c:pt idx="612">
                  <c:v>#N/A</c:v>
                </c:pt>
                <c:pt idx="613">
                  <c:v>#N/A</c:v>
                </c:pt>
                <c:pt idx="614">
                  <c:v>#N/A</c:v>
                </c:pt>
                <c:pt idx="615">
                  <c:v>#N/A</c:v>
                </c:pt>
                <c:pt idx="616">
                  <c:v>#N/A</c:v>
                </c:pt>
                <c:pt idx="617">
                  <c:v>#N/A</c:v>
                </c:pt>
                <c:pt idx="618">
                  <c:v>#N/A</c:v>
                </c:pt>
                <c:pt idx="619">
                  <c:v>#N/A</c:v>
                </c:pt>
                <c:pt idx="620">
                  <c:v>#N/A</c:v>
                </c:pt>
                <c:pt idx="621">
                  <c:v>#N/A</c:v>
                </c:pt>
                <c:pt idx="622">
                  <c:v>#N/A</c:v>
                </c:pt>
                <c:pt idx="623">
                  <c:v>4.2759999999999998</c:v>
                </c:pt>
                <c:pt idx="624">
                  <c:v>#N/A</c:v>
                </c:pt>
                <c:pt idx="625">
                  <c:v>4.3220000000000001</c:v>
                </c:pt>
                <c:pt idx="626">
                  <c:v>#N/A</c:v>
                </c:pt>
                <c:pt idx="627">
                  <c:v>#N/A</c:v>
                </c:pt>
                <c:pt idx="628">
                  <c:v>4.391</c:v>
                </c:pt>
                <c:pt idx="629">
                  <c:v>#N/A</c:v>
                </c:pt>
                <c:pt idx="630">
                  <c:v>#N/A</c:v>
                </c:pt>
                <c:pt idx="631">
                  <c:v>#N/A</c:v>
                </c:pt>
                <c:pt idx="632">
                  <c:v>#N/A</c:v>
                </c:pt>
                <c:pt idx="633">
                  <c:v>#N/A</c:v>
                </c:pt>
                <c:pt idx="634">
                  <c:v>#N/A</c:v>
                </c:pt>
                <c:pt idx="635">
                  <c:v>#N/A</c:v>
                </c:pt>
                <c:pt idx="636">
                  <c:v>#N/A</c:v>
                </c:pt>
                <c:pt idx="637">
                  <c:v>#N/A</c:v>
                </c:pt>
                <c:pt idx="638">
                  <c:v>4.6210000000000004</c:v>
                </c:pt>
                <c:pt idx="639">
                  <c:v>#N/A</c:v>
                </c:pt>
                <c:pt idx="640">
                  <c:v>4.6669999999999998</c:v>
                </c:pt>
                <c:pt idx="641">
                  <c:v>#N/A</c:v>
                </c:pt>
                <c:pt idx="642">
                  <c:v>#N/A</c:v>
                </c:pt>
                <c:pt idx="643">
                  <c:v>#N/A</c:v>
                </c:pt>
                <c:pt idx="644">
                  <c:v>#N/A</c:v>
                </c:pt>
                <c:pt idx="645">
                  <c:v>#N/A</c:v>
                </c:pt>
                <c:pt idx="646">
                  <c:v>#N/A</c:v>
                </c:pt>
                <c:pt idx="647">
                  <c:v>#N/A</c:v>
                </c:pt>
                <c:pt idx="648">
                  <c:v>#N/A</c:v>
                </c:pt>
                <c:pt idx="649">
                  <c:v>#N/A</c:v>
                </c:pt>
                <c:pt idx="650">
                  <c:v>#N/A</c:v>
                </c:pt>
                <c:pt idx="651">
                  <c:v>#N/A</c:v>
                </c:pt>
                <c:pt idx="652">
                  <c:v>4.1609999999999996</c:v>
                </c:pt>
                <c:pt idx="653">
                  <c:v>#N/A</c:v>
                </c:pt>
                <c:pt idx="654">
                  <c:v>#N/A</c:v>
                </c:pt>
                <c:pt idx="655">
                  <c:v>#N/A</c:v>
                </c:pt>
                <c:pt idx="656">
                  <c:v>#N/A</c:v>
                </c:pt>
                <c:pt idx="657">
                  <c:v>#N/A</c:v>
                </c:pt>
                <c:pt idx="658">
                  <c:v>#N/A</c:v>
                </c:pt>
                <c:pt idx="659">
                  <c:v>#N/A</c:v>
                </c:pt>
                <c:pt idx="660">
                  <c:v>#N/A</c:v>
                </c:pt>
                <c:pt idx="661">
                  <c:v>#N/A</c:v>
                </c:pt>
                <c:pt idx="662">
                  <c:v>#N/A</c:v>
                </c:pt>
                <c:pt idx="663">
                  <c:v>4.4139999999999997</c:v>
                </c:pt>
                <c:pt idx="664">
                  <c:v>#N/A</c:v>
                </c:pt>
                <c:pt idx="665">
                  <c:v>#N/A</c:v>
                </c:pt>
                <c:pt idx="666">
                  <c:v>#N/A</c:v>
                </c:pt>
                <c:pt idx="667">
                  <c:v>#N/A</c:v>
                </c:pt>
                <c:pt idx="668">
                  <c:v>4.5289999999999999</c:v>
                </c:pt>
                <c:pt idx="669">
                  <c:v>#N/A</c:v>
                </c:pt>
                <c:pt idx="670">
                  <c:v>4.5750000000000002</c:v>
                </c:pt>
                <c:pt idx="671">
                  <c:v>4.5979999999999999</c:v>
                </c:pt>
                <c:pt idx="672">
                  <c:v>4.6210000000000004</c:v>
                </c:pt>
                <c:pt idx="673">
                  <c:v>4.6440000000000001</c:v>
                </c:pt>
                <c:pt idx="674">
                  <c:v>4.6669999999999998</c:v>
                </c:pt>
                <c:pt idx="675">
                  <c:v>4.6899999999999995</c:v>
                </c:pt>
                <c:pt idx="676">
                  <c:v>4.7130000000000001</c:v>
                </c:pt>
                <c:pt idx="677">
                  <c:v>4.7359999999999998</c:v>
                </c:pt>
                <c:pt idx="678">
                  <c:v>#N/A</c:v>
                </c:pt>
                <c:pt idx="679">
                  <c:v>#N/A</c:v>
                </c:pt>
                <c:pt idx="680">
                  <c:v>#N/A</c:v>
                </c:pt>
                <c:pt idx="681">
                  <c:v>#N/A</c:v>
                </c:pt>
                <c:pt idx="682">
                  <c:v>#N/A</c:v>
                </c:pt>
                <c:pt idx="683">
                  <c:v>4.0919999999999996</c:v>
                </c:pt>
                <c:pt idx="684">
                  <c:v>#N/A</c:v>
                </c:pt>
                <c:pt idx="685">
                  <c:v>#N/A</c:v>
                </c:pt>
                <c:pt idx="686">
                  <c:v>#N/A</c:v>
                </c:pt>
                <c:pt idx="687">
                  <c:v>#N/A</c:v>
                </c:pt>
                <c:pt idx="688">
                  <c:v>#N/A</c:v>
                </c:pt>
                <c:pt idx="689">
                  <c:v>4.2300000000000004</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4.5519999999999996</c:v>
                </c:pt>
                <c:pt idx="704">
                  <c:v>4.5750000000000002</c:v>
                </c:pt>
                <c:pt idx="705">
                  <c:v>#N/A</c:v>
                </c:pt>
                <c:pt idx="706">
                  <c:v>#N/A</c:v>
                </c:pt>
                <c:pt idx="707">
                  <c:v>#N/A</c:v>
                </c:pt>
                <c:pt idx="708">
                  <c:v>4.6669999999999998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4.1840000000000002</c:v>
                </c:pt>
                <c:pt idx="722">
                  <c:v>#N/A</c:v>
                </c:pt>
                <c:pt idx="723">
                  <c:v>#N/A</c:v>
                </c:pt>
                <c:pt idx="724">
                  <c:v>#N/A</c:v>
                </c:pt>
                <c:pt idx="725">
                  <c:v>#N/A</c:v>
                </c:pt>
                <c:pt idx="726">
                  <c:v>#N/A</c:v>
                </c:pt>
                <c:pt idx="727">
                  <c:v>#N/A</c:v>
                </c:pt>
                <c:pt idx="728">
                  <c:v>#N/A</c:v>
                </c:pt>
                <c:pt idx="729">
                  <c:v>#N/A</c:v>
                </c:pt>
                <c:pt idx="730">
                  <c:v>#N/A</c:v>
                </c:pt>
                <c:pt idx="731">
                  <c:v>#N/A</c:v>
                </c:pt>
                <c:pt idx="732">
                  <c:v>4.4370000000000003</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4.0229999999999997</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4.3220000000000001</c:v>
                </c:pt>
                <c:pt idx="762">
                  <c:v>#N/A</c:v>
                </c:pt>
                <c:pt idx="763">
                  <c:v>4.3680000000000003</c:v>
                </c:pt>
                <c:pt idx="764">
                  <c:v>#N/A</c:v>
                </c:pt>
                <c:pt idx="765">
                  <c:v>#N/A</c:v>
                </c:pt>
                <c:pt idx="766">
                  <c:v>#N/A</c:v>
                </c:pt>
                <c:pt idx="767">
                  <c:v>#N/A</c:v>
                </c:pt>
                <c:pt idx="768">
                  <c:v>#N/A</c:v>
                </c:pt>
                <c:pt idx="769">
                  <c:v>#N/A</c:v>
                </c:pt>
                <c:pt idx="770">
                  <c:v>#N/A</c:v>
                </c:pt>
                <c:pt idx="771">
                  <c:v>#N/A</c:v>
                </c:pt>
                <c:pt idx="772">
                  <c:v>#N/A</c:v>
                </c:pt>
                <c:pt idx="773">
                  <c:v>#N/A</c:v>
                </c:pt>
                <c:pt idx="774">
                  <c:v>#N/A</c:v>
                </c:pt>
                <c:pt idx="775">
                  <c:v>4.6440000000000001</c:v>
                </c:pt>
                <c:pt idx="776">
                  <c:v>4.6669999999999998</c:v>
                </c:pt>
                <c:pt idx="777">
                  <c:v>#N/A</c:v>
                </c:pt>
                <c:pt idx="778">
                  <c:v>#N/A</c:v>
                </c:pt>
                <c:pt idx="779">
                  <c:v>4.7359999999999998</c:v>
                </c:pt>
                <c:pt idx="780">
                  <c:v>4.7590000000000003</c:v>
                </c:pt>
                <c:pt idx="781">
                  <c:v>#N/A</c:v>
                </c:pt>
                <c:pt idx="782">
                  <c:v>#N/A</c:v>
                </c:pt>
                <c:pt idx="783">
                  <c:v>#N/A</c:v>
                </c:pt>
                <c:pt idx="784">
                  <c:v>#N/A</c:v>
                </c:pt>
                <c:pt idx="785">
                  <c:v>#N/A</c:v>
                </c:pt>
                <c:pt idx="786">
                  <c:v>#N/A</c:v>
                </c:pt>
                <c:pt idx="787">
                  <c:v>#N/A</c:v>
                </c:pt>
                <c:pt idx="788">
                  <c:v>4.1609999999999996</c:v>
                </c:pt>
                <c:pt idx="789">
                  <c:v>#N/A</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4.6210000000000004</c:v>
                </c:pt>
                <c:pt idx="809">
                  <c:v>4.6440000000000001</c:v>
                </c:pt>
                <c:pt idx="810">
                  <c:v>4.6669999999999998</c:v>
                </c:pt>
                <c:pt idx="811">
                  <c:v>4.6899999999999995</c:v>
                </c:pt>
                <c:pt idx="812">
                  <c:v>4.7130000000000001</c:v>
                </c:pt>
                <c:pt idx="813">
                  <c:v>4.7359999999999998</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4.2759999999999998</c:v>
                </c:pt>
                <c:pt idx="828">
                  <c:v>4.2990000000000004</c:v>
                </c:pt>
                <c:pt idx="829">
                  <c:v>#N/A</c:v>
                </c:pt>
                <c:pt idx="830">
                  <c:v>#N/A</c:v>
                </c:pt>
                <c:pt idx="831">
                  <c:v>#N/A</c:v>
                </c:pt>
                <c:pt idx="832">
                  <c:v>#N/A</c:v>
                </c:pt>
                <c:pt idx="833">
                  <c:v>#N/A</c:v>
                </c:pt>
                <c:pt idx="834">
                  <c:v>#N/A</c:v>
                </c:pt>
                <c:pt idx="835">
                  <c:v>#N/A</c:v>
                </c:pt>
                <c:pt idx="836">
                  <c:v>4.4829999999999997</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4.0919999999999996</c:v>
                </c:pt>
                <c:pt idx="854">
                  <c:v>#N/A</c:v>
                </c:pt>
                <c:pt idx="855">
                  <c:v>#N/A</c:v>
                </c:pt>
                <c:pt idx="856">
                  <c:v>#N/A</c:v>
                </c:pt>
                <c:pt idx="857">
                  <c:v>#N/A</c:v>
                </c:pt>
                <c:pt idx="858">
                  <c:v>4.2069999999999999</c:v>
                </c:pt>
                <c:pt idx="859">
                  <c:v>#N/A</c:v>
                </c:pt>
                <c:pt idx="860">
                  <c:v>#N/A</c:v>
                </c:pt>
                <c:pt idx="861">
                  <c:v>4.2759999999999998</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4.069</c:v>
                </c:pt>
                <c:pt idx="887">
                  <c:v>4.0919999999999996</c:v>
                </c:pt>
                <c:pt idx="888">
                  <c:v>4.1150000000000002</c:v>
                </c:pt>
                <c:pt idx="889">
                  <c:v>#N/A</c:v>
                </c:pt>
                <c:pt idx="890">
                  <c:v>#N/A</c:v>
                </c:pt>
                <c:pt idx="891">
                  <c:v>#N/A</c:v>
                </c:pt>
                <c:pt idx="892">
                  <c:v>4.2069999999999999</c:v>
                </c:pt>
                <c:pt idx="893">
                  <c:v>#N/A</c:v>
                </c:pt>
                <c:pt idx="894">
                  <c:v>#N/A</c:v>
                </c:pt>
                <c:pt idx="895">
                  <c:v>4.2759999999999998</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96" totalsRowShown="0">
  <autoFilter ref="A1:J896" xr:uid="{00000000-0009-0000-0100-000001000000}"/>
  <sortState xmlns:xlrd2="http://schemas.microsoft.com/office/spreadsheetml/2017/richdata2" ref="A2:J896">
    <sortCondition ref="A884:A89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F1460" totalsRowShown="0">
  <autoFilter ref="A1:F1460" xr:uid="{00000000-0009-0000-0100-000002000000}"/>
  <sortState xmlns:xlrd2="http://schemas.microsoft.com/office/spreadsheetml/2017/richdata2" ref="A2:F1445">
    <sortCondition ref="A15:A1445"/>
  </sortState>
  <tableColumns count="6">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1" totalsRowShown="0">
  <autoFilter ref="A1:J61" xr:uid="{00000000-0009-0000-0100-000004000000}"/>
  <sortState xmlns:xlrd2="http://schemas.microsoft.com/office/spreadsheetml/2017/richdata2" ref="A2:J61">
    <sortCondition ref="A48:A61"/>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1" totalsRowShown="0">
  <autoFilter ref="A1:I21"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9" totalsRowShown="0">
  <autoFilter ref="A1:I9"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9" totalsRowShown="0">
  <autoFilter ref="A1:I19" xr:uid="{1092B8EE-14AD-44C2-B11E-A3053582A1BC}"/>
  <sortState xmlns:xlrd2="http://schemas.microsoft.com/office/spreadsheetml/2017/richdata2" ref="A2:I19">
    <sortCondition ref="A10:A19"/>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1" totalsRowShown="0">
  <autoFilter ref="A1:N11"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45" totalsRowShown="0">
  <autoFilter ref="A1:J145"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table" Target="../tables/table1.xm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www.reddit.com/r/Games/comments/196wldd/swarm_grinder_last_bite_games_a_roguelite_game/" TargetMode="External"/><Relationship Id="rId769" Type="http://schemas.openxmlformats.org/officeDocument/2006/relationships/hyperlink" Target="https://www.pentadact.com/2015-09-25-natural-numbers-in-game-design/"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steamcommunity.com/app/2821800/discussions/0/4346617656894336061/" TargetMode="External"/><Relationship Id="rId531" Type="http://schemas.openxmlformats.org/officeDocument/2006/relationships/hyperlink" Target="https://www.reddit.com/r/godot/comments/1lo0rfm/14_months_of_work_on_my_1st_game_demo_is_now/" TargetMode="External"/><Relationship Id="rId629" Type="http://schemas.openxmlformats.org/officeDocument/2006/relationships/hyperlink" Target="https://podcasts.apple.com/us/podcast/slay-the-spire-with-anthony-giovannetti/id1435365252?i=1000447140877" TargetMode="External"/><Relationship Id="rId170" Type="http://schemas.openxmlformats.org/officeDocument/2006/relationships/hyperlink" Target="https://x.com/cleanfallgame/status/1958500517597876299?s=20" TargetMode="External"/><Relationship Id="rId836" Type="http://schemas.openxmlformats.org/officeDocument/2006/relationships/hyperlink" Target="https://www.gamespark.jp/article/2026/05/10/166209.html" TargetMode="External"/><Relationship Id="rId268" Type="http://schemas.openxmlformats.org/officeDocument/2006/relationships/hyperlink" Target="https://roguebasin.com/index.php/GearHead" TargetMode="External"/><Relationship Id="rId475" Type="http://schemas.openxmlformats.org/officeDocument/2006/relationships/hyperlink" Target="https://arcanium-rise-of-akhan.xsollasitebuilder.com/" TargetMode="External"/><Relationship Id="rId682" Type="http://schemas.openxmlformats.org/officeDocument/2006/relationships/hyperlink" Target="https://bsky.app/profile/vfqd.itch.io/post/3mjfbk36e6k22" TargetMode="External"/><Relationship Id="rId903" Type="http://schemas.openxmlformats.org/officeDocument/2006/relationships/hyperlink" Target="https://tech4gamers.com/heading-out-interview/"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www.reddit.com/r/indiegames/comments/1b21ga6/we_are_developing_a_strategy_deckbuilding_game/" TargetMode="External"/><Relationship Id="rId542" Type="http://schemas.openxmlformats.org/officeDocument/2006/relationships/hyperlink" Target="https://www.reddit.com/r/slaythespire/comments/173zdvp/i_am_a_solo_developer_working_on_the_last_flame_a/"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s://www.reddit.com/r/Games/comments/10uappd/the_ouroboros_king_oriol_cosp_chess_based/" TargetMode="External"/><Relationship Id="rId847" Type="http://schemas.openxmlformats.org/officeDocument/2006/relationships/hyperlink" Target="https://www.gamespark.jp/article/2023/02/15/127110.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steamcommunity.com/app/2118810/discussions/1/3980680532379147080/" TargetMode="External"/><Relationship Id="rId693" Type="http://schemas.openxmlformats.org/officeDocument/2006/relationships/hyperlink" Target="https://store.steampowered.com/app/4195110/Ultrapool/" TargetMode="External"/><Relationship Id="rId707" Type="http://schemas.openxmlformats.org/officeDocument/2006/relationships/hyperlink" Target="https://steamcommunity.com/app/1721110/discussions/0/600775708393865281/"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steamcommunity.com/app/1016730/discussions/0/1814296907961762044/" TargetMode="External"/><Relationship Id="rId553" Type="http://schemas.openxmlformats.org/officeDocument/2006/relationships/hyperlink" Target="https://www.reddit.com/r/Games/comments/r4a4sv/words_can_kill_typing_monkey_slay_the_spire/" TargetMode="External"/><Relationship Id="rId760" Type="http://schemas.openxmlformats.org/officeDocument/2006/relationships/hyperlink" Target="https://youtu.be/_Ner8cAfsBg"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creators.spotify.com/pod/show/the-indie-diarist/episodes/Indie-Diary-5-Enrique-Dryere-Triple-B-Titles---Creativity-as-Sacrifice--Secrets-of-Inspiration--DnD-and----Poker-e207m5b" TargetMode="External"/><Relationship Id="rId858" Type="http://schemas.openxmlformats.org/officeDocument/2006/relationships/hyperlink" Target="https://web.archive.org/web/20250319160658/https:/www.whatsitlike.com.au/interview-with-tiago-zaidan-vampire-hunters/" TargetMode="External"/><Relationship Id="rId497" Type="http://schemas.openxmlformats.org/officeDocument/2006/relationships/hyperlink" Target="https://x.com/dicefold/status/1805536239212544285" TargetMode="External"/><Relationship Id="rId620" Type="http://schemas.openxmlformats.org/officeDocument/2006/relationships/hyperlink" Target="https://store.steampowered.com/app/2225960/Noobs_Are_Coming/" TargetMode="External"/><Relationship Id="rId718" Type="http://schemas.openxmlformats.org/officeDocument/2006/relationships/hyperlink" Target="https://www.pokecommunity.com/threads/pok%C3%A9mon-survivor-burst-multi-languages.543514/" TargetMode="External"/><Relationship Id="rId357" Type="http://schemas.openxmlformats.org/officeDocument/2006/relationships/hyperlink" Target="https://www.gamedeveloper.com/business/marketing-on-the-app-store-the-cautionary-tale-of-i-100-rogues-i-"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en.wikipedia.org/wiki/Downwell_(video_game)" TargetMode="External"/><Relationship Id="rId771" Type="http://schemas.openxmlformats.org/officeDocument/2006/relationships/hyperlink" Target="https://steamcommunity.com/games/3123120/announcements/detail/502834694432228039" TargetMode="External"/><Relationship Id="rId869" Type="http://schemas.openxmlformats.org/officeDocument/2006/relationships/hyperlink" Target="https://newsletter.gamediscover.co/p/how-sulfur-sold-50k-real-fast-and" TargetMode="External"/><Relationship Id="rId424" Type="http://schemas.openxmlformats.org/officeDocument/2006/relationships/hyperlink" Target="https://screenrant.com/shape-of-dreams-eunseop-shim-interview/" TargetMode="External"/><Relationship Id="rId631" Type="http://schemas.openxmlformats.org/officeDocument/2006/relationships/hyperlink" Target="https://github.com/ScottBurger/going_rogue_podcast/blob/master/docs/providence.md" TargetMode="External"/><Relationship Id="rId729" Type="http://schemas.openxmlformats.org/officeDocument/2006/relationships/hyperlink" Target="https://x.com/CodeRed_dev/status/1925987988565074114?s=20"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darkrpgs.home.blog/2019/03/08/interview-with-miro-haverinen-the-creator-of-the-dark-rpg-fear-hunger/" TargetMode="External"/><Relationship Id="rId575" Type="http://schemas.openxmlformats.org/officeDocument/2006/relationships/hyperlink" Target="https://store.steampowered.com/app/1078200/Spirits_Abyss/" TargetMode="External"/><Relationship Id="rId782" Type="http://schemas.openxmlformats.org/officeDocument/2006/relationships/hyperlink" Target="https://www.gamesradar.com/modern-roguelikes-are-in-great-shape-but-where-does-the-genre-go-next/"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reddit.com/r/pcgaming/comments/1f9y4d8/weve_been_making_our_totally_normal_coop_shooter/" TargetMode="External"/><Relationship Id="rId642" Type="http://schemas.openxmlformats.org/officeDocument/2006/relationships/hyperlink" Target="https://store.steampowered.com/news/app/3618850/view/527612739964633653?l=english"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store.steampowered.com/app/3548520/DOG_WITCH/"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roguebasin.com/index.php/Sword_of_the_Stars:_The_Pit" TargetMode="External"/><Relationship Id="rId586" Type="http://schemas.openxmlformats.org/officeDocument/2006/relationships/hyperlink" Target="https://x.com/mumpitzgames/status/1925572756806017381" TargetMode="External"/><Relationship Id="rId793" Type="http://schemas.openxmlformats.org/officeDocument/2006/relationships/hyperlink" Target="https://www.nintendolife.com/news/2021/02/feature_curse_of_the_dead_gods_devs_on_early_access_switch_challenges_and_hades_comparisons" TargetMode="External"/><Relationship Id="rId807" Type="http://schemas.openxmlformats.org/officeDocument/2006/relationships/hyperlink" Target="https://store.steampowered.com/app/2088840/Picayune_Dreams/"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reddit.com/r/JRPG/comments/1k54nny/lets_discover_rogue_hearts_dungeon_jun_ota_and/" TargetMode="External"/><Relationship Id="rId653" Type="http://schemas.openxmlformats.org/officeDocument/2006/relationships/hyperlink" Target="https://www.moguragames.com/smokingwolfinterview/"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steamcommunity.com/app/3585160/discussions/0/663844088186935277/" TargetMode="External"/><Relationship Id="rId860" Type="http://schemas.openxmlformats.org/officeDocument/2006/relationships/hyperlink" Target="https://valleesdeletrange.wordpress.com/2026/03/09/sol-cesto-le-bandit-manchot-et-ses-deux-tetes-entretien-avec-chariospirale-et-docgeraud/"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steamcommunity.com/app/1266430/discussions/0/3194745319517826630/" TargetMode="External"/><Relationship Id="rId597" Type="http://schemas.openxmlformats.org/officeDocument/2006/relationships/hyperlink" Target="https://forum.godotengine.org/t/seedborne-soldiers-an-auto-battler-roguelike-demo-now-available-on-steam/83974" TargetMode="External"/><Relationship Id="rId720" Type="http://schemas.openxmlformats.org/officeDocument/2006/relationships/hyperlink" Target="https://www.youtube.com/watch?v=L0Yg-sCCPEo" TargetMode="External"/><Relationship Id="rId818" Type="http://schemas.openxmlformats.org/officeDocument/2006/relationships/hyperlink" Target="https://store.steampowered.com/app/2060750/Star_Survivor/"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gamerheadquarters.com/articles/immortal-redneck-interview.html" TargetMode="External"/><Relationship Id="rId664" Type="http://schemas.openxmlformats.org/officeDocument/2006/relationships/hyperlink" Target="https://www.reddit.com/r/IndieGaming/comments/1dnw8jb/been_working_on_an_experimental_survivorslike/" TargetMode="External"/><Relationship Id="rId871" Type="http://schemas.openxmlformats.org/officeDocument/2006/relationships/hyperlink" Target="https://howtomarketagame.com/2025/08/13/gnomes-tower-defense-with-10-month-dev-time-hits-367484/"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thegamer.com/metal-slug-tactics-interview/" TargetMode="External"/><Relationship Id="rId524" Type="http://schemas.openxmlformats.org/officeDocument/2006/relationships/hyperlink" Target="https://en.wikipedia.org/wiki/Peglin" TargetMode="External"/><Relationship Id="rId731" Type="http://schemas.openxmlformats.org/officeDocument/2006/relationships/hyperlink" Target="https://www.youtube.com/shorts/VHSBsCiZ148"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zenorogue.blogspot.com/search/label/sources" TargetMode="External"/><Relationship Id="rId829" Type="http://schemas.openxmlformats.org/officeDocument/2006/relationships/hyperlink" Target="https://steamcommunity.com/app/3228590/discussions/0/591779267908673222/"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www.youtube.com/watch?v=dfLSGkKC2ug" TargetMode="External"/><Relationship Id="rId675" Type="http://schemas.openxmlformats.org/officeDocument/2006/relationships/hyperlink" Target="https://80.lv/articles/making-hack-and-slash-action-rpg-voin-as-solo-developer" TargetMode="External"/><Relationship Id="rId882" Type="http://schemas.openxmlformats.org/officeDocument/2006/relationships/hyperlink" Target="https://store.steampowered.com/app/2348610/Slime_3K_Rise_Against_Despot/" TargetMode="External"/><Relationship Id="rId25" Type="http://schemas.openxmlformats.org/officeDocument/2006/relationships/hyperlink" Target="https://roguebasin.com/index.php/Zangband" TargetMode="External"/><Relationship Id="rId328" Type="http://schemas.openxmlformats.org/officeDocument/2006/relationships/hyperlink" Target="https://www.gamedeveloper.com/design/making-a-case-for-short-games" TargetMode="External"/><Relationship Id="rId535" Type="http://schemas.openxmlformats.org/officeDocument/2006/relationships/hyperlink" Target="https://forum.godotengine.org/t/seedborne-soldiers-an-auto-battler-roguelike-demo-now-available-on-steam/83974" TargetMode="External"/><Relationship Id="rId742" Type="http://schemas.openxmlformats.org/officeDocument/2006/relationships/hyperlink" Target="https://www.indiedb.com/news/dev-blog-10-references-and-pop-culture-in-space-prison"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s://www.reddit.com/r/WazHack/comments/2dgp8s/question_is_wazhack_based_of_of_nethack/" TargetMode="External"/><Relationship Id="rId602" Type="http://schemas.openxmlformats.org/officeDocument/2006/relationships/hyperlink" Target="https://youtu.be/wJ2cgBoxsi4"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indiecator.org/2022/09/26/astrea-six-sided-oracles-interview/" TargetMode="External"/><Relationship Id="rId686" Type="http://schemas.openxmlformats.org/officeDocument/2006/relationships/hyperlink" Target="https://store.epicgames.com/news/pengpong-s-hockey-pinball-chaos-was-the-result-of-a-game-jam?lang=vi" TargetMode="External"/><Relationship Id="rId893" Type="http://schemas.openxmlformats.org/officeDocument/2006/relationships/hyperlink" Target="https://www.indiegamemag.com/ido-yehieli-interview-nephews-and-niches/" TargetMode="External"/><Relationship Id="rId907" Type="http://schemas.openxmlformats.org/officeDocument/2006/relationships/table" Target="../tables/table2.xm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eamcommunity.com/app/1794400/discussions/0/3409803709049368658/" TargetMode="External"/><Relationship Id="rId546" Type="http://schemas.openxmlformats.org/officeDocument/2006/relationships/hyperlink" Target="https://www.shacknews.com/article/110700/undermine-dev-unearths-roguelike-rpg-info-in-interview" TargetMode="External"/><Relationship Id="rId753" Type="http://schemas.openxmlformats.org/officeDocument/2006/relationships/hyperlink" Target="https://www.youtube.com/watch?v=uKyeo6l_pAQ"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x.com/MrMorrisGames/status/2030327854383190254" TargetMode="External"/><Relationship Id="rId392" Type="http://schemas.openxmlformats.org/officeDocument/2006/relationships/hyperlink" Target="http://www.roguelikeradio.com/2019/02/episode-151-haque.html" TargetMode="External"/><Relationship Id="rId613" Type="http://schemas.openxmlformats.org/officeDocument/2006/relationships/hyperlink" Target="https://www.reddit.com/r/gamedev/comments/o8bzkt/one_year_into_early_access_for_golden_light_lets/" TargetMode="External"/><Relationship Id="rId697" Type="http://schemas.openxmlformats.org/officeDocument/2006/relationships/hyperlink" Target="https://store.steampowered.com/app/3484940/Curse_of_Pirates/" TargetMode="External"/><Relationship Id="rId820" Type="http://schemas.openxmlformats.org/officeDocument/2006/relationships/hyperlink" Target="https://store.steampowered.com/app/2060750/Star_Survivor/"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gamerant.com/lone-ruin-interview-roguelike-indie-game-design-inspirations-visuals-coding/" TargetMode="External"/><Relationship Id="rId764" Type="http://schemas.openxmlformats.org/officeDocument/2006/relationships/hyperlink" Target="https://rogueliker.com/footgun-underground-interview/"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The_Ground_Gives_Way" TargetMode="External"/><Relationship Id="rId624" Type="http://schemas.openxmlformats.org/officeDocument/2006/relationships/hyperlink" Target="https://youtu.be/G_Oc86mFc8A" TargetMode="External"/><Relationship Id="rId831" Type="http://schemas.openxmlformats.org/officeDocument/2006/relationships/hyperlink" Target="https://v.daum.net/v/pIwu8NNfMg?f=p"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rogueliker.com/realm-of-ink-interview/"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epicgames.com/en-US/news/super-fantasy-kingdom-city-builder-next-vampire-survivors-obsession" TargetMode="External"/><Relationship Id="rId568" Type="http://schemas.openxmlformats.org/officeDocument/2006/relationships/hyperlink" Target="https://monstervine.com/ic/IC-LR-Interview.mp3" TargetMode="External"/><Relationship Id="rId775" Type="http://schemas.openxmlformats.org/officeDocument/2006/relationships/hyperlink" Target="https://cliqist.com/2015/01/30/children-morta-interview/" TargetMode="External"/><Relationship Id="rId428" Type="http://schemas.openxmlformats.org/officeDocument/2006/relationships/hyperlink" Target="https://www.reddit.com/r/pcgaming/comments/1p30oqw/were_big_distraction_an_indie_studio_founded_by/" TargetMode="External"/><Relationship Id="rId635" Type="http://schemas.openxmlformats.org/officeDocument/2006/relationships/hyperlink" Target="https://www.terribleposture.com/tower-of-guns/" TargetMode="External"/><Relationship Id="rId842" Type="http://schemas.openxmlformats.org/officeDocument/2006/relationships/hyperlink" Target="https://reviewfix.com/2018/08/review-fix-exclusive-inside-caves-of-qud/"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x.com/Mudita_Games/status/1988179400454500794" TargetMode="External"/><Relationship Id="rId702" Type="http://schemas.openxmlformats.org/officeDocument/2006/relationships/hyperlink" Target="https://nintendoeverything.com/interview-sparklite-dev-on-zelda-inspirations-art-style-possible-post-launch-additions-more/"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reddit.com/r/nintendo/comments/691a58/we_are_team_tumbleseed_and_we_launched_tumbleseed/" TargetMode="External"/><Relationship Id="rId786" Type="http://schemas.openxmlformats.org/officeDocument/2006/relationships/hyperlink" Target="https://steamcommunity.com/games/3066570/announcements/detail/4356754561281185320" TargetMode="External"/><Relationship Id="rId341" Type="http://schemas.openxmlformats.org/officeDocument/2006/relationships/hyperlink" Target="https://www.kxan.com/business/press-releases/ein-presswire/785406016/idream-interactive-unveils-runeborn-a-dark-fantasy-roguelike-deckbuilder-at-steam-next-fest/" TargetMode="External"/><Relationship Id="rId439" Type="http://schemas.openxmlformats.org/officeDocument/2006/relationships/hyperlink" Target="https://www.reddit.com/r/Games/comments/2e7eti/hello_rgames_we_are_the_creators_of_the_roguelike/" TargetMode="External"/><Relationship Id="rId646" Type="http://schemas.openxmlformats.org/officeDocument/2006/relationships/hyperlink" Target="https://www.dualshockers.com/touhou-genso-wanderer-interview-director-jyunya-talks-about-the-best-rouge-like-game-in-japan/"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twotinydice.itch.io/forward/devlog/355393/development-update-2-new-game-mode-cool-features" TargetMode="External"/><Relationship Id="rId853" Type="http://schemas.openxmlformats.org/officeDocument/2006/relationships/hyperlink" Target="https://reviewfix.com/2018/03/review-fix-exclusive-inside-immortal-redneck/" TargetMode="External"/><Relationship Id="rId492" Type="http://schemas.openxmlformats.org/officeDocument/2006/relationships/hyperlink" Target="https://store.steampowered.com/app/3035330/Dicealot/" TargetMode="External"/><Relationship Id="rId713" Type="http://schemas.openxmlformats.org/officeDocument/2006/relationships/hyperlink" Target="https://www.youtube.com/watch?v=4M-9B0RWQF8" TargetMode="External"/><Relationship Id="rId797" Type="http://schemas.openxmlformats.org/officeDocument/2006/relationships/hyperlink" Target="https://store.steampowered.com/app/2420510/HoloCure__Save_the_Fans/"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x.com/MasksOfTheVoid/status/2084174185505448157?s=20"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ArturSmiarowski/status/1870390372389597210" TargetMode="External"/><Relationship Id="rId864" Type="http://schemas.openxmlformats.org/officeDocument/2006/relationships/hyperlink" Target="https://www.quartertothree.com/fp/2013/07/30/ten-things-you-should-know-about-sunless-sea/"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store.steampowered.com/app/3035330/Dicealot/" TargetMode="External"/><Relationship Id="rId724" Type="http://schemas.openxmlformats.org/officeDocument/2006/relationships/hyperlink" Target="https://www.gamereactor.eu/trading-rock-and-stone-for-rogue-and-like-deep-rock-galactic-rogue-core-interview-with-ghost-ship-games-1721543/"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indiegraph.wordpress.com/2013/12/11/interview-with-the-creator-of-barony/" TargetMode="External"/><Relationship Id="rId570" Type="http://schemas.openxmlformats.org/officeDocument/2006/relationships/hyperlink" Target="https://forums.tigsource.com/index.php?topic=41609.0"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www.reddit.com/r/Games/comments/16x0fkk/shape_shifter_formations_castec_studios_an_action/" TargetMode="External"/><Relationship Id="rId668" Type="http://schemas.openxmlformats.org/officeDocument/2006/relationships/hyperlink" Target="https://www.reddit.com/r/shmups/comments/y3uhl5/i_just_released_my_game_icewall_an_action/" TargetMode="External"/><Relationship Id="rId875" Type="http://schemas.openxmlformats.org/officeDocument/2006/relationships/hyperlink" Target="https://steamcommunity.com/games/981430/announcements/detail/3728349046587300862"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NintendoSwitch/comments/10q0wez/ama_the_roguelike_that_is_played_using_only_two/" TargetMode="External"/><Relationship Id="rId735" Type="http://schemas.openxmlformats.org/officeDocument/2006/relationships/hyperlink" Target="https://www.youtube.com/shorts/VHSBsCiZ148"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www.roguebasin.com/index.php/Pathos:_NetHack_Codex" TargetMode="External"/><Relationship Id="rId581" Type="http://schemas.openxmlformats.org/officeDocument/2006/relationships/hyperlink" Target="https://www.reddit.com/r/roguelikes/comments/5zi6kq/y&#333;danji_coffeebreak_mobile_roguelike_themed_after/"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roguebasin.com/index.php/PernAngband" TargetMode="External"/><Relationship Id="rId802" Type="http://schemas.openxmlformats.org/officeDocument/2006/relationships/hyperlink" Target="https://steamcommunity.com/games/2105840/announcements/detail/670626757615813587" TargetMode="External"/><Relationship Id="rId886" Type="http://schemas.openxmlformats.org/officeDocument/2006/relationships/hyperlink" Target="https://store.steampowered.com/app/2348610/Slime_3K_Rise_Against_Despot/"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gamedev/comments/o8bzkt/one_year_into_early_access_for_golden_light_lets/" TargetMode="External"/><Relationship Id="rId539" Type="http://schemas.openxmlformats.org/officeDocument/2006/relationships/hyperlink" Target="https://x.com/tjgamedev/status/1850115152118796296" TargetMode="External"/><Relationship Id="rId746" Type="http://schemas.openxmlformats.org/officeDocument/2006/relationships/hyperlink" Target="https://www.facebook.com/groups/132728896890594/posts/2551615688335224/"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82" Type="http://schemas.openxmlformats.org/officeDocument/2006/relationships/hyperlink" Target="https://www.youtube.com/watch?v=G8e_zxWb3QA" TargetMode="External"/><Relationship Id="rId385" Type="http://schemas.openxmlformats.org/officeDocument/2006/relationships/hyperlink" Target="https://www.youtube.com/watch?v=7SjRhK9wdEE" TargetMode="External"/><Relationship Id="rId592" Type="http://schemas.openxmlformats.org/officeDocument/2006/relationships/hyperlink" Target="https://www.youtube.com/watch?v=xsmbVWflwpw" TargetMode="External"/><Relationship Id="rId606" Type="http://schemas.openxmlformats.org/officeDocument/2006/relationships/hyperlink" Target="https://steamcommunity.com/app/1734320/discussions/0/598515896185532848/" TargetMode="External"/><Relationship Id="rId813" Type="http://schemas.openxmlformats.org/officeDocument/2006/relationships/hyperlink" Target="https://store.steampowered.com/app/1271280/Rift_Wizard/" TargetMode="External"/><Relationship Id="rId245" Type="http://schemas.openxmlformats.org/officeDocument/2006/relationships/hyperlink" Target="https://switchplayer.net/2017/05/08/grabbing-a-frozenbyte-with-some-has-been-heroes/" TargetMode="External"/><Relationship Id="rId452" Type="http://schemas.openxmlformats.org/officeDocument/2006/relationships/hyperlink" Target="https://en.wikipedia.org/wiki/Torneko%27s_Great_Adventure" TargetMode="External"/><Relationship Id="rId897" Type="http://schemas.openxmlformats.org/officeDocument/2006/relationships/hyperlink" Target="https://turnbasedlovers.com/10-turns-interview/with-cobalt-core-devs/"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en.wikipedia.org/wiki/Backpack_Hero" TargetMode="External"/><Relationship Id="rId757" Type="http://schemas.openxmlformats.org/officeDocument/2006/relationships/hyperlink" Target="https://www.youtube.com/watch?v=uKyeo6l_pAQ"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x.com/AntennaGames/status/2062052913199956449" TargetMode="External"/><Relationship Id="rId617" Type="http://schemas.openxmlformats.org/officeDocument/2006/relationships/hyperlink" Target="https://x.com/MasksOfTheVoid/status/2084174185505448157?s=20" TargetMode="External"/><Relationship Id="rId824" Type="http://schemas.openxmlformats.org/officeDocument/2006/relationships/hyperlink" Target="https://steamcommunity.com/games/1732090/announcements/detail/3328736922033412095" TargetMode="External"/><Relationship Id="rId256" Type="http://schemas.openxmlformats.org/officeDocument/2006/relationships/hyperlink" Target="https://medium.com/@alexiskennedy/q-a-with-alexis-kennedy-co-founder-of-weather-factory-dd35393c66f3" TargetMode="External"/><Relationship Id="rId463" Type="http://schemas.openxmlformats.org/officeDocument/2006/relationships/hyperlink" Target="https://youtu.be/MgSjfLOYMXg" TargetMode="External"/><Relationship Id="rId670" Type="http://schemas.openxmlformats.org/officeDocument/2006/relationships/hyperlink" Target="https://store.steampowered.com/app/2479320/Pesticide_Not_Required/" TargetMode="External"/><Relationship Id="rId116" Type="http://schemas.openxmlformats.org/officeDocument/2006/relationships/hyperlink" Target="https://www.scousegamer88.com/2021/03/31/astral-ascent-hibernian-workshop-interview/" TargetMode="External"/><Relationship Id="rId323" Type="http://schemas.openxmlformats.org/officeDocument/2006/relationships/hyperlink" Target="https://www.siliconera.com/catacomb-kids-interview-spelunky-comparisons-and-the-early-access-gamble/" TargetMode="External"/><Relationship Id="rId530" Type="http://schemas.openxmlformats.org/officeDocument/2006/relationships/hyperlink" Target="https://steamcommunity.com/app/1494560/discussions/0/4335355681660890217/" TargetMode="External"/><Relationship Id="rId768" Type="http://schemas.openxmlformats.org/officeDocument/2006/relationships/hyperlink" Target="https://toogytime.wordpress.com/2014/12/16/toogy-talk-crawl-an-interview-with-barney-cumming-of-powerhoof/" TargetMode="External"/><Relationship Id="rId20" Type="http://schemas.openxmlformats.org/officeDocument/2006/relationships/hyperlink" Target="https://www.youtube.com/watch?v=JXv8hQguGCI" TargetMode="External"/><Relationship Id="rId628" Type="http://schemas.openxmlformats.org/officeDocument/2006/relationships/hyperlink" Target="https://en.wikipedia.org/wiki/Rogue_Legacy" TargetMode="External"/><Relationship Id="rId835" Type="http://schemas.openxmlformats.org/officeDocument/2006/relationships/hyperlink" Target="https://dtf.ru/gamedev/141739-otzyvy-i-obshenie-na-meropriyatiyah-uchat-luchshe-lyubyh-kursov-beseda-s-avtorom-rogalika-despots-game" TargetMode="External"/><Relationship Id="rId267" Type="http://schemas.openxmlformats.org/officeDocument/2006/relationships/hyperlink" Target="https://roguebasin.com/index.php/Slaves_to_Armok_II:_Dwarf_Fortress" TargetMode="External"/><Relationship Id="rId474" Type="http://schemas.openxmlformats.org/officeDocument/2006/relationships/hyperlink" Target="https://store.steampowered.com/app/1668690/Alina_of_the_Arena/"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rogueliker.com/vellum-inspirations/" TargetMode="External"/><Relationship Id="rId779" Type="http://schemas.openxmlformats.org/officeDocument/2006/relationships/hyperlink" Target="https://www.gamesradar.com/modern-roguelikes-are-in-great-shape-but-where-does-the-genre-go-next/" TargetMode="External"/><Relationship Id="rId902" Type="http://schemas.openxmlformats.org/officeDocument/2006/relationships/hyperlink" Target="https://www.demonlore.com/"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en.wikipedia.org/wiki/Balatro" TargetMode="External"/><Relationship Id="rId541" Type="http://schemas.openxmlformats.org/officeDocument/2006/relationships/hyperlink" Target="https://x.com/Talespinner_/status/1925872666474401877?s=20" TargetMode="External"/><Relationship Id="rId639" Type="http://schemas.openxmlformats.org/officeDocument/2006/relationships/hyperlink" Target="https://www.reddit.com/r/JRPG/comments/1k54nny/lets_discover_rogue_hearts_dungeon_jun_ota_and/" TargetMode="External"/><Relationship Id="rId180" Type="http://schemas.openxmlformats.org/officeDocument/2006/relationships/hyperlink" Target="https://steamcommunity.com/app/371430/discussions/0/494631967651210890/"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www.roguelikeradio.com/2013/09/this-is-episode-80-of-roguelike-radio.html" TargetMode="External"/><Relationship Id="rId846" Type="http://schemas.openxmlformats.org/officeDocument/2006/relationships/hyperlink" Target="https://www.gamegrin.com/articles/developer-interview-neon-abyss-2-veewo-games/" TargetMode="External"/><Relationship Id="rId485" Type="http://schemas.openxmlformats.org/officeDocument/2006/relationships/hyperlink" Target="https://www.reddit.com/r/Games/comments/s5izbt/breach_wanderers_baronnerie_games_roguelike/" TargetMode="External"/><Relationship Id="rId692" Type="http://schemas.openxmlformats.org/officeDocument/2006/relationships/hyperlink" Target="https://store.steampowered.com/app/4195110/Ultrapool/" TargetMode="External"/><Relationship Id="rId706" Type="http://schemas.openxmlformats.org/officeDocument/2006/relationships/hyperlink" Target="https://steamcommunity.com/app/1721110/discussions/0/600775708393865281/"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en.wikipedia.org/wiki/Vampire_Survivors" TargetMode="External"/><Relationship Id="rId552" Type="http://schemas.openxmlformats.org/officeDocument/2006/relationships/hyperlink" Target="https://www.reddit.com/r/IndieGame/comments/1s28b5c/we_have_such_a_game_do_you_think_people_will_lik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412" Type="http://schemas.openxmlformats.org/officeDocument/2006/relationships/hyperlink" Target="https://pokevoid.com/" TargetMode="External"/><Relationship Id="rId857" Type="http://schemas.openxmlformats.org/officeDocument/2006/relationships/hyperlink" Target="https://web.archive.org/web/20250319160658/https:/www.whatsitlike.com.au/interview-with-tiago-zaidan-vampire-hunters/" TargetMode="External"/><Relationship Id="rId289" Type="http://schemas.openxmlformats.org/officeDocument/2006/relationships/hyperlink" Target="https://steamcommunity.com/app/2735580/discussions/0/595152144826392997/" TargetMode="External"/><Relationship Id="rId496" Type="http://schemas.openxmlformats.org/officeDocument/2006/relationships/hyperlink" Target="https://indiegamepicks.wordpress.com/2023/10/18/deepest-chamber-resurrection-interview/" TargetMode="External"/><Relationship Id="rId717" Type="http://schemas.openxmlformats.org/officeDocument/2006/relationships/hyperlink" Target="https://www.reddit.com/r/IndieDev/comments/1ow9lo4/my_first_game_on_steam_is_finally_out_shard_squad/"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56" Type="http://schemas.openxmlformats.org/officeDocument/2006/relationships/hyperlink" Target="https://www.reddit.com/r/pcgaming/comments/1p30oqw/were_big_distraction_an_indie_studio_founded_by/" TargetMode="External"/><Relationship Id="rId563" Type="http://schemas.openxmlformats.org/officeDocument/2006/relationships/hyperlink" Target="https://www.reddit.com/r/Games/comments/2e7eti/hello_rgames_we_are_the_creators_of_the_roguelike/" TargetMode="External"/><Relationship Id="rId770" Type="http://schemas.openxmlformats.org/officeDocument/2006/relationships/hyperlink" Target="https://steamcommunity.com/games/1000010/announcements/detail/1712958942358263915"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julianedisonart.com/icov" TargetMode="External"/><Relationship Id="rId868" Type="http://schemas.openxmlformats.org/officeDocument/2006/relationships/hyperlink" Target="https://newsletter.gamediscover.co/p/how-sulfur-sold-50k-real-fast-and" TargetMode="External"/><Relationship Id="rId630" Type="http://schemas.openxmlformats.org/officeDocument/2006/relationships/hyperlink" Target="https://www.reddit.com/r/roguelites/comments/m2341u/space_gladiators_my_isaac_inspired_grotesque/" TargetMode="External"/><Relationship Id="rId728" Type="http://schemas.openxmlformats.org/officeDocument/2006/relationships/hyperlink" Target="https://steamcommunity.com/app/4283360/discussions/0/842879193508271024/"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s://www.roguebasin.com/index.php/Dungeons_of_Dredmor" TargetMode="External"/><Relationship Id="rId574" Type="http://schemas.openxmlformats.org/officeDocument/2006/relationships/hyperlink" Target="https://www.fanbyte.com/legacy/shovel-knight-dig-interview" TargetMode="External"/><Relationship Id="rId227" Type="http://schemas.openxmlformats.org/officeDocument/2006/relationships/hyperlink" Target="https://fextralife.com/odinfall-a-new-viking-themed-roguelite-coming-to-early-access/" TargetMode="External"/><Relationship Id="rId781" Type="http://schemas.openxmlformats.org/officeDocument/2006/relationships/hyperlink" Target="https://www.gamesradar.com/modern-roguelikes-are-in-great-shape-but-where-does-the-genre-go-next/" TargetMode="External"/><Relationship Id="rId879" Type="http://schemas.openxmlformats.org/officeDocument/2006/relationships/hyperlink" Target="https://www.thegamer.com/moonlighter-2-the-endless-vault-preview-inteview-hades-inspired/" TargetMode="External"/><Relationship Id="rId434" Type="http://schemas.openxmlformats.org/officeDocument/2006/relationships/hyperlink" Target="https://www.gamingfurever.com/news/editorials/brew-interview-with-ceo-of-snow-leaf-studios-isak-wahl" TargetMode="External"/><Relationship Id="rId641" Type="http://schemas.openxmlformats.org/officeDocument/2006/relationships/hyperlink" Target="https://steamcommunity.com/app/1734320/discussions/0/598515896185532848/" TargetMode="External"/><Relationship Id="rId739" Type="http://schemas.openxmlformats.org/officeDocument/2006/relationships/hyperlink" Target="https://www.reddit.com/r/roguelikes/comments/13qgts/new_roguelike_legend_of_dungeon_inspired_by_my/" TargetMode="External"/><Relationship Id="rId280" Type="http://schemas.openxmlformats.org/officeDocument/2006/relationships/hyperlink" Target="https://www.reddit.com/r/IndieGaming/comments/1pji5gu/dunjungle_the_monkey_action_roguelite_is_out_on/" TargetMode="External"/><Relationship Id="rId501" Type="http://schemas.openxmlformats.org/officeDocument/2006/relationships/hyperlink" Target="https://x.com/dieinthedungeon/status/1829950757699010949"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378" Type="http://schemas.openxmlformats.org/officeDocument/2006/relationships/hyperlink" Target="https://www.gamedeveloper.com/design/making-a-case-for-short-games" TargetMode="External"/><Relationship Id="rId585" Type="http://schemas.openxmlformats.org/officeDocument/2006/relationships/hyperlink" Target="https://x.com/CLLC_studio/status/1925866594078453892" TargetMode="External"/><Relationship Id="rId792" Type="http://schemas.openxmlformats.org/officeDocument/2006/relationships/hyperlink" Target="https://steamcommunity.com/games/1123770/announcements/detail/1697231221626410268" TargetMode="External"/><Relationship Id="rId806" Type="http://schemas.openxmlformats.org/officeDocument/2006/relationships/hyperlink" Target="https://steamcommunity.com/games/262790/announcements/detail/1694779751808309596"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www.youtube.com/watch?v=DASCE8BbvOI&amp;t=1s" TargetMode="External"/><Relationship Id="rId652" Type="http://schemas.openxmlformats.org/officeDocument/2006/relationships/hyperlink" Target="https://www.youtube.com/watch?v=txv0XsRrFwo"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youtube.com/watch?v=7SjRhK9wdEE" TargetMode="External"/><Relationship Id="rId512" Type="http://schemas.openxmlformats.org/officeDocument/2006/relationships/hyperlink" Target="https://www.reddit.com/r/iosgaming/comments/1hjehh9/lost_for_swords_a_dungeon_crawler_focusing_on/"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milkbar-lads.itch.io/dead-estate" TargetMode="External"/><Relationship Id="rId596" Type="http://schemas.openxmlformats.org/officeDocument/2006/relationships/hyperlink" Target="https://www.reddit.com/r/IndieGaming/comments/1iooyqr/roguelike_autobattler_cute_creatures_what_do_you/" TargetMode="External"/><Relationship Id="rId817" Type="http://schemas.openxmlformats.org/officeDocument/2006/relationships/hyperlink" Target="https://store.steampowered.com/app/2060750/Star_Survivor/" TargetMode="External"/><Relationship Id="rId249" Type="http://schemas.openxmlformats.org/officeDocument/2006/relationships/hyperlink" Target="https://www.polygon.com/2013/6/20/4439320/our-darker-purpose-kickstarter-avidly-wild-games/" TargetMode="External"/><Relationship Id="rId456" Type="http://schemas.openxmlformats.org/officeDocument/2006/relationships/hyperlink" Target="https://store.steampowered.com/app/465200/Fury_Unleashed/" TargetMode="External"/><Relationship Id="rId663" Type="http://schemas.openxmlformats.org/officeDocument/2006/relationships/hyperlink" Target="https://www.youtube.com/watch?v=mGVNTEOoBXc" TargetMode="External"/><Relationship Id="rId870" Type="http://schemas.openxmlformats.org/officeDocument/2006/relationships/hyperlink" Target="https://www.gamedeveloper.com/design/building-i-enter-the-gungeon-i-s-dungeon-climbing-spin-off-i-exit-the-gungeon-i-"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316" Type="http://schemas.openxmlformats.org/officeDocument/2006/relationships/hyperlink" Target="https://x.com/imgame_official/status/1925464077654249724" TargetMode="External"/><Relationship Id="rId523" Type="http://schemas.openxmlformats.org/officeDocument/2006/relationships/hyperlink" Target="https://www.reddit.com/r/Games/comments/vftn02/pawnbarian_j4nw_a_chessinspired_tactical_puzzle/" TargetMode="External"/><Relationship Id="rId97" Type="http://schemas.openxmlformats.org/officeDocument/2006/relationships/hyperlink" Target="https://roguebasin.com/index.php/CataclysmDDA" TargetMode="External"/><Relationship Id="rId730" Type="http://schemas.openxmlformats.org/officeDocument/2006/relationships/hyperlink" Target="https://x.com/CodeRed_dev/status/1925987988565074114?s=20" TargetMode="External"/><Relationship Id="rId828" Type="http://schemas.openxmlformats.org/officeDocument/2006/relationships/hyperlink" Target="https://steamcommunity.com/games/2066020/announcements/detail/538872373928001896" TargetMode="External"/><Relationship Id="rId162" Type="http://schemas.openxmlformats.org/officeDocument/2006/relationships/hyperlink" Target="https://x.com/edmundmcmillen/status/2073665726712614938?s=20" TargetMode="External"/><Relationship Id="rId467" Type="http://schemas.openxmlformats.org/officeDocument/2006/relationships/hyperlink" Target="https://steamcommunity.com/app/242680/discussions/0/648811852292061582/" TargetMode="External"/><Relationship Id="rId674" Type="http://schemas.openxmlformats.org/officeDocument/2006/relationships/hyperlink" Target="https://tonemadison.com/articles/whisker-squadron-survivor-takes-aim-at-its-pain-points/" TargetMode="External"/><Relationship Id="rId881"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www.zincland.com/powder/?pagename=about" TargetMode="External"/><Relationship Id="rId534" Type="http://schemas.openxmlformats.org/officeDocument/2006/relationships/hyperlink" Target="https://store.steampowered.com/app/2113040/RUNGORE/" TargetMode="External"/><Relationship Id="rId741" Type="http://schemas.openxmlformats.org/officeDocument/2006/relationships/hyperlink" Target="https://www.reddit.com/r/roguelites/comments/1t6eumj/we_spent_2_years_making_a_coop_action_roguelite/" TargetMode="External"/><Relationship Id="rId839" Type="http://schemas.openxmlformats.org/officeDocument/2006/relationships/hyperlink" Target="https://www.gamedeveloper.com/design/road-to-the-igf-spry-fox-s-and-wild-shadow-studios-i-realm-of-the-mad-god-i-" TargetMode="External"/><Relationship Id="rId173" Type="http://schemas.openxmlformats.org/officeDocument/2006/relationships/hyperlink" Target="https://www.youtube.com/watch?v=txv0XsRrFwo" TargetMode="External"/><Relationship Id="rId380" Type="http://schemas.openxmlformats.org/officeDocument/2006/relationships/hyperlink" Target="http://www.roguelikeradio.com/2013/09/this-is-episode-80-of-roguelike-radio.html" TargetMode="External"/><Relationship Id="rId601" Type="http://schemas.openxmlformats.org/officeDocument/2006/relationships/hyperlink" Target="https://www.reddit.com/r/IAmA/comments/4po4pn/i_am_the_developer_of_20xx_the_megaman_xinspired/"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kickstarter.com/projects/hibernian-workshop/astral-ascent" TargetMode="External"/><Relationship Id="rId685" Type="http://schemas.openxmlformats.org/officeDocument/2006/relationships/hyperlink" Target="https://store.epicgames.com/news/pengpong-s-hockey-pinball-chaos-was-the-result-of-a-game-jam?lang=vi" TargetMode="External"/><Relationship Id="rId892" Type="http://schemas.openxmlformats.org/officeDocument/2006/relationships/hyperlink" Target="https://www.indiegamemag.com/ido-yehieli-interview-nephews-and-niches/" TargetMode="External"/><Relationship Id="rId906" Type="http://schemas.openxmlformats.org/officeDocument/2006/relationships/hyperlink" Target="https://turtlefoxgames.itch.io/talented/devlog/354683/devlog-17-experimentation" TargetMode="External"/><Relationship Id="rId35" Type="http://schemas.openxmlformats.org/officeDocument/2006/relationships/hyperlink" Target="https://youtu.be/DY-KwfFTU9g" TargetMode="External"/><Relationship Id="rId100" Type="http://schemas.openxmlformats.org/officeDocument/2006/relationships/hyperlink" Target="https://www.reddit.com/r/roguelikes/comments/fwbx5g/mainframe_defenders_cogmind_inspired_tactics/" TargetMode="External"/><Relationship Id="rId338" Type="http://schemas.openxmlformats.org/officeDocument/2006/relationships/hyperlink" Target="https://store.steampowered.com/app/3205380/Omelet_You_Cook/" TargetMode="External"/><Relationship Id="rId545" Type="http://schemas.openxmlformats.org/officeDocument/2006/relationships/hyperlink" Target="https://en.touhouwiki.net/wiki/Touhou:_Lost_Branch_of_Legend%20%20(also%20just%20look%20at%20it)" TargetMode="External"/><Relationship Id="rId752" Type="http://schemas.openxmlformats.org/officeDocument/2006/relationships/hyperlink" Target="https://www.youtube.com/watch?v=uKyeo6l_pAQ"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gamingbolt.com/gonner-interview-a-colorful-and-challenging-ride" TargetMode="External"/><Relationship Id="rId405" Type="http://schemas.openxmlformats.org/officeDocument/2006/relationships/hyperlink" Target="https://www.facebook.com/reel/931892201606258" TargetMode="External"/><Relationship Id="rId612" Type="http://schemas.openxmlformats.org/officeDocument/2006/relationships/hyperlink" Target="https://steamcommunity.com/app/225280/discussions/0/846961716374404705/"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caifuhao.eastmoney.com/news/20260725235351583816280" TargetMode="External"/><Relationship Id="rId696" Type="http://schemas.openxmlformats.org/officeDocument/2006/relationships/hyperlink" Target="https://x.com/Mickanio/status/1555411757409001472"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imgame_official/status/1925464077654249724" TargetMode="External"/><Relationship Id="rId556" Type="http://schemas.openxmlformats.org/officeDocument/2006/relationships/hyperlink" Target="https://store.steampowered.com/app/2308000/Centipede_Gun/" TargetMode="External"/><Relationship Id="rId763" Type="http://schemas.openxmlformats.org/officeDocument/2006/relationships/hyperlink" Target="https://rogueliker.com/footgun-underground-interview/" TargetMode="External"/><Relationship Id="rId111" Type="http://schemas.openxmlformats.org/officeDocument/2006/relationships/hyperlink" Target="https://caifuhao.eastmoney.com/news/20260725235351583816280"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416" Type="http://schemas.openxmlformats.org/officeDocument/2006/relationships/hyperlink" Target="https://roguebasin.com/index.php/Haque" TargetMode="External"/><Relationship Id="rId623" Type="http://schemas.openxmlformats.org/officeDocument/2006/relationships/hyperlink" Target="https://www.polygon.com/2013/6/20/4439320/our-darker-purpose-kickstarter-avidly-wild-games/" TargetMode="External"/><Relationship Id="rId830" Type="http://schemas.openxmlformats.org/officeDocument/2006/relationships/hyperlink" Target="https://www.gamespark.jp/article/2025/07/24/155340.html"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567" Type="http://schemas.openxmlformats.org/officeDocument/2006/relationships/hyperlink" Target="https://gamingbolt.com/gonner-interview-a-colorful-and-challenging-ride" TargetMode="External"/><Relationship Id="rId122" Type="http://schemas.openxmlformats.org/officeDocument/2006/relationships/hyperlink" Target="https://www.gamespress.com/Die-For-The-Lich-is-coming-to-Early-Access-on-November-10th-2025" TargetMode="External"/><Relationship Id="rId774" Type="http://schemas.openxmlformats.org/officeDocument/2006/relationships/hyperlink" Target="https://cliqist.com/2015/01/30/children-morta-interview/" TargetMode="External"/><Relationship Id="rId427" Type="http://schemas.openxmlformats.org/officeDocument/2006/relationships/hyperlink" Target="https://steamcommunity.com/app/1425000/discussions/0/595137684887848950/" TargetMode="External"/><Relationship Id="rId634" Type="http://schemas.openxmlformats.org/officeDocument/2006/relationships/hyperlink" Target="https://www.nme.com/news/gaming-news/crossy-road-creator-announces-space-western-shooter-tombstar-3258744" TargetMode="External"/><Relationship Id="rId841" Type="http://schemas.openxmlformats.org/officeDocument/2006/relationships/hyperlink" Target="https://rpgcodex.net/content.php?id=8133" TargetMode="External"/><Relationship Id="rId273" Type="http://schemas.openxmlformats.org/officeDocument/2006/relationships/hyperlink" Target="https://www.reddit.com/r/survivorslikes/comments/1jvtb6m/we_released_asgards_fall_on_steam/" TargetMode="External"/><Relationship Id="rId480" Type="http://schemas.openxmlformats.org/officeDocument/2006/relationships/hyperlink" Target="https://www.reddit.com/r/Games/comments/czn9i5/were_the_developers_of_atomicrops_an_action/" TargetMode="External"/><Relationship Id="rId701" Type="http://schemas.openxmlformats.org/officeDocument/2006/relationships/hyperlink" Target="https://nintendoeverything.com/interview-sparklite-dev-on-zelda-inspirations-art-style-possible-post-launch-additions-more/"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340" Type="http://schemas.openxmlformats.org/officeDocument/2006/relationships/hyperlink" Target="https://x.com/CLLC_studio/status/1925866594078453892" TargetMode="External"/><Relationship Id="rId578" Type="http://schemas.openxmlformats.org/officeDocument/2006/relationships/hyperlink" Target="https://www.emuglx.org/reportaze/interview/exclusive-switchcars-interview/" TargetMode="External"/><Relationship Id="rId785" Type="http://schemas.openxmlformats.org/officeDocument/2006/relationships/hyperlink" Target="https://steamcommunity.com/games/3066570/announcements/detail/4356754561281185320" TargetMode="External"/><Relationship Id="rId200" Type="http://schemas.openxmlformats.org/officeDocument/2006/relationships/hyperlink" Target="https://www.youtube.com/watch?v=xsmbVWflwpw" TargetMode="External"/><Relationship Id="rId438" Type="http://schemas.openxmlformats.org/officeDocument/2006/relationships/hyperlink" Target="https://www.honestgamers.com/15273/game-boy/cave-noire/review.html%20(not%20an%20actual%20source,%20just%20an%20informed%20speculation)" TargetMode="External"/><Relationship Id="rId645" Type="http://schemas.openxmlformats.org/officeDocument/2006/relationships/hyperlink" Target="https://baldis-basics-in-education-and-learning.fandom.com/wiki/Inspiration_and_reference" TargetMode="External"/><Relationship Id="rId852" Type="http://schemas.openxmlformats.org/officeDocument/2006/relationships/hyperlink" Target="https://reviewfix.com/2018/03/review-fix-exclusive-inside-immortal-redneck/"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www.reddit.com/r/TowerDefense/comments/epx1qr/ive_just_released_core_defense_a_very_difficult/" TargetMode="External"/><Relationship Id="rId505" Type="http://schemas.openxmlformats.org/officeDocument/2006/relationships/hyperlink" Target="https://www.reddit.com/r/NintendoSwitch/comments/trax0e/hi_im_the_developer_of_for_the_warp_a_scifi/" TargetMode="External"/><Relationship Id="rId712" Type="http://schemas.openxmlformats.org/officeDocument/2006/relationships/hyperlink" Target="https://www.youtube.com/watch?v=4M-9B0RWQF8" TargetMode="External"/><Relationship Id="rId894" Type="http://schemas.openxmlformats.org/officeDocument/2006/relationships/hyperlink" Target="https://turnbasedlovers.com/10-turns-interview/with-cobalt-core-devs/"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reddit.com/r/roguelites/comments/1djfzyz/started_as_a_solodev_with_no_programming/" TargetMode="External"/><Relationship Id="rId589" Type="http://schemas.openxmlformats.org/officeDocument/2006/relationships/hyperlink" Target="https://www.roguelikeradio.com/2011/10/interview-with-ido-yehieli.html" TargetMode="External"/><Relationship Id="rId754" Type="http://schemas.openxmlformats.org/officeDocument/2006/relationships/hyperlink" Target="https://www.youtube.com/watch?v=uKyeo6l_pAQ" TargetMode="External"/><Relationship Id="rId796" Type="http://schemas.openxmlformats.org/officeDocument/2006/relationships/hyperlink" Target="https://steamcommunity.com/games/2342950/announcements/detail/524208404882784298"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ore.steampowered.com/app/3333700/The_Royal_Writ/" TargetMode="External"/><Relationship Id="rId393" Type="http://schemas.openxmlformats.org/officeDocument/2006/relationships/hyperlink" Target="https://gamerant.com/lone-ruin-interview-roguelike-indie-game-design-inspirations-visuals-coding/" TargetMode="External"/><Relationship Id="rId407" Type="http://schemas.openxmlformats.org/officeDocument/2006/relationships/hyperlink" Target="https://www.reddit.com/r/Games/comments/1ker0jk/rune_dice_smart_raven_studio_peglininspired/" TargetMode="External"/><Relationship Id="rId449" Type="http://schemas.openxmlformats.org/officeDocument/2006/relationships/hyperlink" Target="https://www.roguebasin.com/index.php/Sword_of_the_Stars:_The_Pit" TargetMode="External"/><Relationship Id="rId614" Type="http://schemas.openxmlformats.org/officeDocument/2006/relationships/hyperlink" Target="https://switchplayer.net/2017/05/08/grabbing-a-frozenbyte-with-some-has-been-heroes/" TargetMode="External"/><Relationship Id="rId656" Type="http://schemas.openxmlformats.org/officeDocument/2006/relationships/hyperlink" Target="https://www.youtube.com/watch?v=5fR9VYTfm2A&amp;t=1s" TargetMode="External"/><Relationship Id="rId821" Type="http://schemas.openxmlformats.org/officeDocument/2006/relationships/hyperlink" Target="https://store.steampowered.com/app/2060750/Star_Survivor/" TargetMode="External"/><Relationship Id="rId863" Type="http://schemas.openxmlformats.org/officeDocument/2006/relationships/hyperlink" Target="https://www.rpgsite.net/interview/20000-brian-bucklew-caves-of-qud-interview-expansions-switch-port-unity-controller-support-coffee"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pokevoid.com/" TargetMode="External"/><Relationship Id="rId460" Type="http://schemas.openxmlformats.org/officeDocument/2006/relationships/hyperlink" Target="https://www.reddit.com/r/roguelites/comments/m2341u/space_gladiators_my_isaac_inspired_grotesque/" TargetMode="External"/><Relationship Id="rId516" Type="http://schemas.openxmlformats.org/officeDocument/2006/relationships/hyperlink" Target="https://x.com/imgame_official/status/1925464077654249724" TargetMode="External"/><Relationship Id="rId698" Type="http://schemas.openxmlformats.org/officeDocument/2006/relationships/hyperlink" Target="https://store.steampowered.com/app/3484940/Curse_of_Pirates/"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www.reddit.com/r/IndieGaming/comments/1m9tpw9/a_whole_25_years_after_release_my_spellcrafting/" TargetMode="External"/><Relationship Id="rId558" Type="http://schemas.openxmlformats.org/officeDocument/2006/relationships/hyperlink" Target="https://indiegraph.wordpress.com/2013/12/11/interview-with-the-creator-of-barony/" TargetMode="External"/><Relationship Id="rId723" Type="http://schemas.openxmlformats.org/officeDocument/2006/relationships/hyperlink" Target="https://www.gamereactor.eu/trading-rock-and-stone-for-rogue-and-like-deep-rock-galactic-rogue-core-interview-with-ghost-ship-games-1721543/" TargetMode="External"/><Relationship Id="rId765" Type="http://schemas.openxmlformats.org/officeDocument/2006/relationships/hyperlink" Target="https://rogueliker.com/footgun-underground-interview/"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youtu.be/VGMszILvj78" TargetMode="External"/><Relationship Id="rId418" Type="http://schemas.openxmlformats.org/officeDocument/2006/relationships/hyperlink" Target="https://roguebasin.com/index.php?title=Wayward" TargetMode="External"/><Relationship Id="rId625" Type="http://schemas.openxmlformats.org/officeDocument/2006/relationships/hyperlink" Target="https://www.reddit.com/r/Spore/comments/1uz4aye/just_released_my_game_pathogenic_its_basically/" TargetMode="External"/><Relationship Id="rId832" Type="http://schemas.openxmlformats.org/officeDocument/2006/relationships/hyperlink" Target="https://www.gamecast-blog.com/archives/66001023.html"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www.youtube.com/watch?v=9fxnPkfyHuA" TargetMode="External"/><Relationship Id="rId667" Type="http://schemas.openxmlformats.org/officeDocument/2006/relationships/hyperlink" Target="https://www.indie-games.eu/hell-maiden-touhou-meets-vampire-survivors-interview/" TargetMode="External"/><Relationship Id="rId874" Type="http://schemas.openxmlformats.org/officeDocument/2006/relationships/hyperlink" Target="https://steamcommunity.com/games/981430/announcements/detail/3728349046587300862"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x.com/brainoidgames/status/1925653290278121609" TargetMode="External"/><Relationship Id="rId569" Type="http://schemas.openxmlformats.org/officeDocument/2006/relationships/hyperlink" Target="https://wesleyjkurtz.wixsite.com/orangedrop/post/mana-spark-kishimoto-studios-indie-devs-behemutt-an-in-depth-interview" TargetMode="External"/><Relationship Id="rId734" Type="http://schemas.openxmlformats.org/officeDocument/2006/relationships/hyperlink" Target="https://youtu.be/O8FIzwdfuzs" TargetMode="External"/><Relationship Id="rId776" Type="http://schemas.openxmlformats.org/officeDocument/2006/relationships/hyperlink" Target="https://www.gamesradar.com/modern-roguelikes-are-in-great-shape-but-where-does-the-genre-go-next/"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youtu.be/DpEmpx4isOQ" TargetMode="External"/><Relationship Id="rId373" Type="http://schemas.openxmlformats.org/officeDocument/2006/relationships/hyperlink" Target="https://roguebasin.com/index.php/Linley%27s_Dungeon_Crawl" TargetMode="External"/><Relationship Id="rId429" Type="http://schemas.openxmlformats.org/officeDocument/2006/relationships/hyperlink" Target="https://youtu.be/GWc7QppCPHM" TargetMode="External"/><Relationship Id="rId580" Type="http://schemas.openxmlformats.org/officeDocument/2006/relationships/hyperlink" Target="https://www.gamedeveloper.com/game-platforms/eugene-paik-talks-about-vagante-a-roguelite-8-years-in-the-making" TargetMode="External"/><Relationship Id="rId636" Type="http://schemas.openxmlformats.org/officeDocument/2006/relationships/hyperlink" Target="https://www.reddit.com/r/nintendo/comments/691a58/we_are_team_tumbleseed_and_we_launched_tumbleseed/" TargetMode="External"/><Relationship Id="rId801" Type="http://schemas.openxmlformats.org/officeDocument/2006/relationships/hyperlink" Target="https://steamcommunity.com/games/2068280/announcements/detail/5301322539098227375"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segadoes.com/2017/06/16/fatal-labyrinth/" TargetMode="External"/><Relationship Id="rId678" Type="http://schemas.openxmlformats.org/officeDocument/2006/relationships/hyperlink" Target="https://www.roguebasin.com/index.php/Cthangband" TargetMode="External"/><Relationship Id="rId843" Type="http://schemas.openxmlformats.org/officeDocument/2006/relationships/hyperlink" Target="https://www.theyoungfolks.com/video-games/154551/interview-joris-dormans-details-the-gameplay-and-story-of-unexplored-2/" TargetMode="External"/><Relationship Id="rId885" Type="http://schemas.openxmlformats.org/officeDocument/2006/relationships/hyperlink" Target="https://store.steampowered.com/app/2348610/Slime_3K_Rise_Against_Despot/"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www.gamingonlinux.com/2024/07/bite-sized-roguelike-tower-defense-game-bella-wants-blood-releases-july-24/" TargetMode="External"/><Relationship Id="rId538" Type="http://schemas.openxmlformats.org/officeDocument/2006/relationships/hyperlink" Target="https://www.reddit.com/r/slaythespire/comments/1g25q6g/design_lessons_from_sts_or_how_i_got_inspired_to/" TargetMode="External"/><Relationship Id="rId703" Type="http://schemas.openxmlformats.org/officeDocument/2006/relationships/hyperlink" Target="https://store.steampowered.com/app/943140/Sparklite/" TargetMode="External"/><Relationship Id="rId745" Type="http://schemas.openxmlformats.org/officeDocument/2006/relationships/hyperlink" Target="https://www.indiedb.com/news/dev-blog-10-references-and-pop-culture-in-space-prison"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x.com/sparklewing925/status/1926056500113346640" TargetMode="External"/><Relationship Id="rId384" Type="http://schemas.openxmlformats.org/officeDocument/2006/relationships/hyperlink" Target="https://youtu.be/3C_nZPTNy4E" TargetMode="External"/><Relationship Id="rId591" Type="http://schemas.openxmlformats.org/officeDocument/2006/relationships/hyperlink" Target="https://roguebasin.com/index.php/Labyrinth_of_Legendary_Loot" TargetMode="External"/><Relationship Id="rId605" Type="http://schemas.openxmlformats.org/officeDocument/2006/relationships/hyperlink" Target="https://web.archive.org/web/20220130212105/https:/www.indiegameoftheweek.com/BeyondTheLongNight" TargetMode="External"/><Relationship Id="rId787" Type="http://schemas.openxmlformats.org/officeDocument/2006/relationships/hyperlink" Target="https://steamcommunity.com/games/3066570/announcements/detail/4356754561281185320" TargetMode="External"/><Relationship Id="rId812" Type="http://schemas.openxmlformats.org/officeDocument/2006/relationships/hyperlink" Target="https://steamcommunity.com/games/2067920/announcements/detail/3908626109457877555"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youtube.com/watch?v=txv0XsRrFwo" TargetMode="External"/><Relationship Id="rId689" Type="http://schemas.openxmlformats.org/officeDocument/2006/relationships/hyperlink" Target="https://store.epicgames.com/news/pengpong-s-hockey-pinball-chaos-was-the-result-of-a-game-jam?lang=vi" TargetMode="External"/><Relationship Id="rId854" Type="http://schemas.openxmlformats.org/officeDocument/2006/relationships/hyperlink" Target="https://www.engadget.com/2013-08-15-wasteland-kings-is-vlambeers-next-big-little-game.html" TargetMode="External"/><Relationship Id="rId896" Type="http://schemas.openxmlformats.org/officeDocument/2006/relationships/hyperlink" Target="https://turnbasedlovers.com/10-turns-interview/with-cobalt-core-devs/"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en.wikipedia.org/wiki/ToeJam_%26_Earl" TargetMode="External"/><Relationship Id="rId493" Type="http://schemas.openxmlformats.org/officeDocument/2006/relationships/hyperlink" Target="https://www.youtube.com/watch?v=7SjRhK9wdEE" TargetMode="External"/><Relationship Id="rId507" Type="http://schemas.openxmlformats.org/officeDocument/2006/relationships/hyperlink" Target="https://www.pocketgamer.com/gordian-quest/interview/" TargetMode="External"/><Relationship Id="rId549" Type="http://schemas.openxmlformats.org/officeDocument/2006/relationships/hyperlink" Target="https://automaton-media.com/en/interviews/interview-koei-tecmos-warriors-abyss-is-a-major-japanese-developers-take-on-the-roguelite-genre-made-by-a-hardcore-roguelite-lover/" TargetMode="External"/><Relationship Id="rId714" Type="http://schemas.openxmlformats.org/officeDocument/2006/relationships/hyperlink" Target="https://www.reddit.com/r/roguelikedev/comments/1tbz50j/hello_made_a_3d_asciisprite_roguelike_called/" TargetMode="External"/><Relationship Id="rId756" Type="http://schemas.openxmlformats.org/officeDocument/2006/relationships/hyperlink" Target="https://www.youtube.com/watch?v=uKyeo6l_pAQ"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1668690/Alina_of_the_Arena/" TargetMode="External"/><Relationship Id="rId353" Type="http://schemas.openxmlformats.org/officeDocument/2006/relationships/hyperlink" Target="https://roguebasin.com/index.php/Angband" TargetMode="External"/><Relationship Id="rId395" Type="http://schemas.openxmlformats.org/officeDocument/2006/relationships/hyperlink" Target="https://fextralife.com/odinfall-a-new-viking-themed-roguelite-coming-to-early-access/" TargetMode="External"/><Relationship Id="rId409" Type="http://schemas.openxmlformats.org/officeDocument/2006/relationships/hyperlink" Target="https://youtu.be/ShnrIAmnN8I" TargetMode="External"/><Relationship Id="rId560" Type="http://schemas.openxmlformats.org/officeDocument/2006/relationships/hyperlink" Target="https://en.wikipedia.org/wiki/Caveblazers" TargetMode="External"/><Relationship Id="rId798" Type="http://schemas.openxmlformats.org/officeDocument/2006/relationships/hyperlink" Target="https://store.steampowered.com/app/2420510/HoloCure__Save_the_Fans/"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screenrant.com/shape-of-dreams-eunseop-shim-interview/" TargetMode="External"/><Relationship Id="rId616" Type="http://schemas.openxmlformats.org/officeDocument/2006/relationships/hyperlink" Target="https://wesleyjkurtz.wixsite.com/orangedrop/post/mana-spark-kishimoto-studios-indie-devs-behemutt-an-in-depth-interview" TargetMode="External"/><Relationship Id="rId658" Type="http://schemas.openxmlformats.org/officeDocument/2006/relationships/hyperlink" Target="https://steamcommunity.com/app/3100310/discussions/0/735910198043224446/" TargetMode="External"/><Relationship Id="rId823" Type="http://schemas.openxmlformats.org/officeDocument/2006/relationships/hyperlink" Target="https://store.steampowered.com/app/2060750/Star_Survivor/" TargetMode="External"/><Relationship Id="rId865" Type="http://schemas.openxmlformats.org/officeDocument/2006/relationships/hyperlink" Target="https://www.gamedeveloper.com/game-platforms/playing-catch-up-i-castle-of-the-winds-i-rick-saada"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3226530/discussions/0/592890533790115891/" TargetMode="External"/><Relationship Id="rId518" Type="http://schemas.openxmlformats.org/officeDocument/2006/relationships/hyperlink" Target="https://youtu.be/VGMszILvj78" TargetMode="External"/><Relationship Id="rId725" Type="http://schemas.openxmlformats.org/officeDocument/2006/relationships/hyperlink" Target="https://www.gamereactor.eu/trading-rock-and-stone-for-rogue-and-like-deep-rock-galactic-rogue-core-interview-with-ghost-ship-games-1721543/"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www.reddit.com/r/Games/comments/10uappd/the_ouroboros_king_oriol_cosp_chess_based/" TargetMode="External"/><Relationship Id="rId364" Type="http://schemas.openxmlformats.org/officeDocument/2006/relationships/hyperlink" Target="https://forums.tigsource.com/index.php?topic=25392.0" TargetMode="External"/><Relationship Id="rId767" Type="http://schemas.openxmlformats.org/officeDocument/2006/relationships/hyperlink" Target="https://toogytime.wordpress.com/2014/12/16/toogy-talk-crawl-an-interview-with-barney-cumming-of-powerhoof/"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www.gamedeveloper.com/business/road-to-the-igf-2023-kenny-sun-s-mr-sun-s-hatbox" TargetMode="External"/><Relationship Id="rId627" Type="http://schemas.openxmlformats.org/officeDocument/2006/relationships/hyperlink" Target="https://games.tiscali.cz/novinky/cesky-tym-rake-in-grass-se-hlasi-se-slibnou-arkadou-rampage-knights-240475" TargetMode="External"/><Relationship Id="rId669" Type="http://schemas.openxmlformats.org/officeDocument/2006/relationships/hyperlink" Target="https://store.steampowered.com/news/app/2934220/view/698764742929416235?l=english" TargetMode="External"/><Relationship Id="rId834" Type="http://schemas.openxmlformats.org/officeDocument/2006/relationships/hyperlink" Target="https://bbs.ruliweb.com/news/read/152932" TargetMode="External"/><Relationship Id="rId876" Type="http://schemas.openxmlformats.org/officeDocument/2006/relationships/hyperlink" Target="https://rubberchickengames.com/2014/10/14/entrevista-a-terri-vellmann-criador-de-heavy-bullets/"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pcgaming/comments/1f9y4d8/weve_been_making_our_totally_normal_coop_shooter/" TargetMode="External"/><Relationship Id="rId473" Type="http://schemas.openxmlformats.org/officeDocument/2006/relationships/hyperlink" Target="https://creators.spotify.com/pod/show/the-indie-diarist/episodes/Indie-Diary-5-Enrique-Dryere-Triple-B-Titles---Creativity-as-Sacrifice--Secrets-of-Inspiration--DnD-and----Poker-e207m5b" TargetMode="External"/><Relationship Id="rId529" Type="http://schemas.openxmlformats.org/officeDocument/2006/relationships/hyperlink" Target="https://steamcommunity.com/app/1461910/discussions/0/3363649332031630216/?l=finnish" TargetMode="External"/><Relationship Id="rId680" Type="http://schemas.openxmlformats.org/officeDocument/2006/relationships/hyperlink" Target="https://roguebasin.com/index.php/ZMAngband" TargetMode="External"/><Relationship Id="rId736" Type="http://schemas.openxmlformats.org/officeDocument/2006/relationships/hyperlink" Target="https://x.com/DrivingRogue/status/2084622846303625448?s=20" TargetMode="External"/><Relationship Id="rId901" Type="http://schemas.openxmlformats.org/officeDocument/2006/relationships/hyperlink" Target="https://www.reddit.com/r/roguelites/comments/1t6eumj/we_spent_2_years_making_a_coop_action_roguelite/"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www.roguebasin.com/index.php/I_Am_Overburdened" TargetMode="External"/><Relationship Id="rId540" Type="http://schemas.openxmlformats.org/officeDocument/2006/relationships/hyperlink" Target="https://steamcommunity.com/app/1199030/discussions/0/5011908545188375361/?ctp=2" TargetMode="External"/><Relationship Id="rId778" Type="http://schemas.openxmlformats.org/officeDocument/2006/relationships/hyperlink" Target="https://www.gamesradar.com/modern-roguelikes-are-in-great-shape-but-where-does-the-genre-go-next/"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roguebasin.com/index.php/POWDER" TargetMode="External"/><Relationship Id="rId582" Type="http://schemas.openxmlformats.org/officeDocument/2006/relationships/hyperlink" Target="https://steamcommunity.com/app/1823390/discussions/2/6893400166994423780/" TargetMode="External"/><Relationship Id="rId638" Type="http://schemas.openxmlformats.org/officeDocument/2006/relationships/hyperlink" Target="https://www.shacknews.com/article/110700/undermine-dev-unearths-roguelike-rpg-info-in-interview" TargetMode="External"/><Relationship Id="rId803" Type="http://schemas.openxmlformats.org/officeDocument/2006/relationships/hyperlink" Target="https://steamcommunity.com/games/2105840/announcements/detail/526488742956893954" TargetMode="External"/><Relationship Id="rId845" Type="http://schemas.openxmlformats.org/officeDocument/2006/relationships/hyperlink" Target="https://www.gamegrin.com/articles/developer-interview-neon-abyss-2-veewo-games/"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www.shadowofthewyrm.org/about.html" TargetMode="External"/><Relationship Id="rId442" Type="http://schemas.openxmlformats.org/officeDocument/2006/relationships/hyperlink" Target="https://zenorogue.blogspot.com/search/label/sources" TargetMode="External"/><Relationship Id="rId484" Type="http://schemas.openxmlformats.org/officeDocument/2006/relationships/hyperlink" Target="https://youtu.be/HyhYA69y62c" TargetMode="External"/><Relationship Id="rId705" Type="http://schemas.openxmlformats.org/officeDocument/2006/relationships/hyperlink" Target="https://steamcommunity.com/app/1721110/discussions/0/600775708393865281/" TargetMode="External"/><Relationship Id="rId887" Type="http://schemas.openxmlformats.org/officeDocument/2006/relationships/hyperlink" Target="https://www.screenhype.co.uk/undermine-2-interview-thorium-entertainment-exclusiv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x.com/SoramameKoubou/status/1786329686978777095" TargetMode="External"/><Relationship Id="rId691" Type="http://schemas.openxmlformats.org/officeDocument/2006/relationships/hyperlink" Target="https://www.ign.com/articles/city-of-balls-was-the-original-title-and-somehow-ball-x-pit-got-even-weirder-from-there" TargetMode="External"/><Relationship Id="rId747" Type="http://schemas.openxmlformats.org/officeDocument/2006/relationships/hyperlink" Target="https://www.facebook.com/groups/132728896890594/posts/2551615688335224/" TargetMode="External"/><Relationship Id="rId789" Type="http://schemas.openxmlformats.org/officeDocument/2006/relationships/hyperlink" Target="https://store.steampowered.com/app/3494210/Choo_Choo_Survivor_2/"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x.com/MrMorrisGames/status/2030327854383190254" TargetMode="External"/><Relationship Id="rId551" Type="http://schemas.openxmlformats.org/officeDocument/2006/relationships/hyperlink" Target="https://youtu.be/cX-tottt9i0" TargetMode="External"/><Relationship Id="rId593" Type="http://schemas.openxmlformats.org/officeDocument/2006/relationships/hyperlink" Target="https://www.patreon.com/roguempire/about" TargetMode="External"/><Relationship Id="rId607" Type="http://schemas.openxmlformats.org/officeDocument/2006/relationships/hyperlink" Target="https://www.reddit.com/r/bindingofisaac/comments/icvtkc/cavity_busters_toothpunk_roguelite_with_some/" TargetMode="External"/><Relationship Id="rId649" Type="http://schemas.openxmlformats.org/officeDocument/2006/relationships/hyperlink" Target="https://www.reddit.com/r/roguelikes/comments/1iyzkws/house_of_necrosis_demo_is_out_now_on_steam/"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www.engadget.com/2013-08-15-wasteland-kings-is-vlambeers-next-big-little-game.html"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akuparagames.com/2026/06/09/meeting-mankibo-the-team-behind-montabi/" TargetMode="External"/><Relationship Id="rId453" Type="http://schemas.openxmlformats.org/officeDocument/2006/relationships/hyperlink" Target="https://www.reddit.com/r/Games/comments/2e7eti/hello_rgames_we_are_the_creators_of_the_roguelike/" TargetMode="External"/><Relationship Id="rId509" Type="http://schemas.openxmlformats.org/officeDocument/2006/relationships/hyperlink" Target="https://www.ign.com/articles/claim-a-key-for-hellcard-the-turn-based-deckbuilding-rogue-lite-from-book-of-demons-developer" TargetMode="External"/><Relationship Id="rId660" Type="http://schemas.openxmlformats.org/officeDocument/2006/relationships/hyperlink" Target="https://youtu.be/HyhYA69y62c" TargetMode="External"/><Relationship Id="rId898" Type="http://schemas.openxmlformats.org/officeDocument/2006/relationships/hyperlink" Target="https://rpgcodex.net/content.php?id=102"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x.com/Klukva_Games/status/1750485532868522090" TargetMode="External"/><Relationship Id="rId495" Type="http://schemas.openxmlformats.org/officeDocument/2006/relationships/hyperlink" Target="https://youtu.be/VGMszILvj78" TargetMode="External"/><Relationship Id="rId716" Type="http://schemas.openxmlformats.org/officeDocument/2006/relationships/hyperlink" Target="https://youtu.be/pkhzUQ39ts4" TargetMode="External"/><Relationship Id="rId758" Type="http://schemas.openxmlformats.org/officeDocument/2006/relationships/hyperlink" Target="https://www.youtube.com/watch?v=uKyeo6l_pAQ"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www.zincland.com/powder/?pagename=about" TargetMode="External"/><Relationship Id="rId397" Type="http://schemas.openxmlformats.org/officeDocument/2006/relationships/hyperlink" Target="https://www.gamedeveloper.com/design/ram-random-access-mayhem-s-body-swapping-mechanic-was-born-from-challenges-playing-roguelikes" TargetMode="External"/><Relationship Id="rId520" Type="http://schemas.openxmlformats.org/officeDocument/2006/relationships/hyperlink" Target="https://youtu.be/-Vsd5hUMAT8" TargetMode="External"/><Relationship Id="rId562" Type="http://schemas.openxmlformats.org/officeDocument/2006/relationships/hyperlink" Target="https://dumbandfat.com/coincrypt/" TargetMode="External"/><Relationship Id="rId618" Type="http://schemas.openxmlformats.org/officeDocument/2006/relationships/hyperlink" Target="https://forums.tigsource.com/index.php?topic=41609.0" TargetMode="External"/><Relationship Id="rId825" Type="http://schemas.openxmlformats.org/officeDocument/2006/relationships/hyperlink" Target="https://steamcommunity.com/games/1227280/announcements/detail/4522268823003961902"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www.reddit.com/r/pcgaming/comments/1f9y4d8/weve_been_making_our_totally_normal_coop_shooter/" TargetMode="External"/><Relationship Id="rId464" Type="http://schemas.openxmlformats.org/officeDocument/2006/relationships/hyperlink" Target="https://steamcommunity.com/games/2904290/announcements/detail/4185610799649293674" TargetMode="External"/><Relationship Id="rId867" Type="http://schemas.openxmlformats.org/officeDocument/2006/relationships/hyperlink" Target="https://www.gamedeveloper.com/game-platforms/playing-catch-up-i-castle-of-the-winds-i-rick-saada" TargetMode="External"/><Relationship Id="rId299" Type="http://schemas.openxmlformats.org/officeDocument/2006/relationships/hyperlink" Target="https://www.indie-games.eu/hell-maiden-touhou-meets-vampire-survivors-interview/" TargetMode="External"/><Relationship Id="rId727" Type="http://schemas.openxmlformats.org/officeDocument/2006/relationships/hyperlink" Target="https://www.theastronauts.com/2022/10/redesigning-one-witchfire-feature/"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www.roguebasin.com/index.php/Dragonslayer" TargetMode="External"/><Relationship Id="rId573" Type="http://schemas.openxmlformats.org/officeDocument/2006/relationships/hyperlink" Target="https://en.wikipedia.org/wiki/Rogue_Legacy" TargetMode="External"/><Relationship Id="rId780" Type="http://schemas.openxmlformats.org/officeDocument/2006/relationships/hyperlink" Target="https://www.gamesradar.com/modern-roguelikes-are-in-great-shape-but-where-does-the-genre-go-next/"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rogueliker.com/vellum-inspirations/" TargetMode="External"/><Relationship Id="rId878" Type="http://schemas.openxmlformats.org/officeDocument/2006/relationships/hyperlink" Target="https://www.gamedeveloper.com/production/prototyping-i-let-s-revolution-i-transforming-i-minesweeper-i-into-a-turn-based-strategy-roguelike" TargetMode="External"/><Relationship Id="rId640" Type="http://schemas.openxmlformats.org/officeDocument/2006/relationships/hyperlink" Target="https://roguebasin.com/index.php/ZMAngband" TargetMode="External"/><Relationship Id="rId738" Type="http://schemas.openxmlformats.org/officeDocument/2006/relationships/hyperlink" Target="https://youtu.be/O8FIzwdfuzs" TargetMode="External"/><Relationship Id="rId74" Type="http://schemas.openxmlformats.org/officeDocument/2006/relationships/hyperlink" Target="https://youtu.be/VGMszILvj78" TargetMode="External"/><Relationship Id="rId377" Type="http://schemas.openxmlformats.org/officeDocument/2006/relationships/hyperlink" Target="https://www.youtube.com/watch?v=xsmbVWflwpw" TargetMode="External"/><Relationship Id="rId500" Type="http://schemas.openxmlformats.org/officeDocument/2006/relationships/hyperlink" Target="https://www.gamespress.com/Die-For-The-Lich-is-coming-to-Early-Access-on-November-10th-2025" TargetMode="External"/><Relationship Id="rId584" Type="http://schemas.openxmlformats.org/officeDocument/2006/relationships/hyperlink" Target="https://www.reddit.com/r/IndieGaming/comments/1iooyqr/roguelike_autobattler_cute_creatures_what_do_you/" TargetMode="External"/><Relationship Id="rId805" Type="http://schemas.openxmlformats.org/officeDocument/2006/relationships/hyperlink" Target="https://steamcommunity.com/games/262790/announcements/detail/1694779751808309596"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791" Type="http://schemas.openxmlformats.org/officeDocument/2006/relationships/hyperlink" Target="https://steamcommunity.com/games/1123770/announcements/detail/1697231221626410268" TargetMode="External"/><Relationship Id="rId889" Type="http://schemas.openxmlformats.org/officeDocument/2006/relationships/hyperlink" Target="https://nervetower.neocities.org/int_yonemitsu_ps" TargetMode="External"/><Relationship Id="rId444" Type="http://schemas.openxmlformats.org/officeDocument/2006/relationships/hyperlink" Target="https://roguebasin.com/index.php/Moria" TargetMode="External"/><Relationship Id="rId651" Type="http://schemas.openxmlformats.org/officeDocument/2006/relationships/hyperlink" Target="https://store.steampowered.com/app/1229260/Monster_Girls_and_the_Mysterious_Adventure/" TargetMode="External"/><Relationship Id="rId749" Type="http://schemas.openxmlformats.org/officeDocument/2006/relationships/hyperlink" Target="https://www.reddit.com/r/IndieGaming/comments/1h0xiwq/been_working_on_pebble_knights_a_mix_of_survival/"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czn9i5/were_the_developers_of_atomicrops_an_action/" TargetMode="External"/><Relationship Id="rId511" Type="http://schemas.openxmlformats.org/officeDocument/2006/relationships/hyperlink" Target="https://iratus.org/faq" TargetMode="External"/><Relationship Id="rId609" Type="http://schemas.openxmlformats.org/officeDocument/2006/relationships/hyperlink" Target="https://conanchopchop.fandom.com/wiki/Conan_Chop_Chop"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roguebasin.com/index.php/Labyrinth_of_Legendary_Loot" TargetMode="External"/><Relationship Id="rId816" Type="http://schemas.openxmlformats.org/officeDocument/2006/relationships/hyperlink" Target="https://store.steampowered.com/app/2060750/Star_Survivor/"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www.reddit.com/r/IndieGaming/comments/1pji5gu/dunjungle_the_monkey_action_roguelite_is_out_on/" TargetMode="External"/><Relationship Id="rId662" Type="http://schemas.openxmlformats.org/officeDocument/2006/relationships/hyperlink" Target="https://steamcommunity.com/app/3088070/discussions/0/562532756309055685/"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www.reddit.com/r/Games/comments/1kjulpf/fogpiercer_mad_cookies_train_building_roguelike/" TargetMode="External"/><Relationship Id="rId522" Type="http://schemas.openxmlformats.org/officeDocument/2006/relationships/hyperlink" Target="https://youtu.be/lr9xu3YNwZE"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store.steampowered.com/app/512900/Streets_of_Rogue/" TargetMode="External"/><Relationship Id="rId827" Type="http://schemas.openxmlformats.org/officeDocument/2006/relationships/hyperlink" Target="https://steamcommunity.com/games/2088570/announcements/detail/6770639657665738311" TargetMode="External"/><Relationship Id="rId259" Type="http://schemas.openxmlformats.org/officeDocument/2006/relationships/hyperlink" Target="https://youtu.be/-I__TxhbQgw" TargetMode="External"/><Relationship Id="rId466" Type="http://schemas.openxmlformats.org/officeDocument/2006/relationships/hyperlink" Target="https://www.reddit.com/r/iosgaming/comments/1hjehh9/lost_for_swords_a_dungeon_crawler_focusing_on/" TargetMode="External"/><Relationship Id="rId673" Type="http://schemas.openxmlformats.org/officeDocument/2006/relationships/hyperlink" Target="https://www.reddit.com/r/DestroyMyGame/comments/119wet3/looking_for_feedback_on_this_vs_inspired/" TargetMode="External"/><Relationship Id="rId880" Type="http://schemas.openxmlformats.org/officeDocument/2006/relationships/hyperlink" Target="https://gamingbolt.com/morbid-metal-interview-shapeshifting-level-design-combat-and-more"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frozendepths.net/roguelike/info.php" TargetMode="External"/><Relationship Id="rId533" Type="http://schemas.openxmlformats.org/officeDocument/2006/relationships/hyperlink" Target="https://www.reddit.com/r/deckbuildingroguelike/comments/1qszp8o/runeveil_sts_meets_balatro_is_on_steam/" TargetMode="External"/><Relationship Id="rId740" Type="http://schemas.openxmlformats.org/officeDocument/2006/relationships/hyperlink" Target="https://www.reddit.com/r/roguelites/comments/1t6eumj/we_spent_2_years_making_a_coop_action_roguelite/" TargetMode="External"/><Relationship Id="rId838" Type="http://schemas.openxmlformats.org/officeDocument/2006/relationships/hyperlink" Target="https://www.gamedeveloper.com/business/paper-heroes-colm-larkin-and-guild-of-dungeoneering"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roguelites/comments/1ic44r5/my_angry_bird_roguelike_is_finally_out_on_steam/" TargetMode="External"/><Relationship Id="rId600" Type="http://schemas.openxmlformats.org/officeDocument/2006/relationships/hyperlink" Target="https://youtu.be/DY-KwfFTU9g" TargetMode="External"/><Relationship Id="rId684" Type="http://schemas.openxmlformats.org/officeDocument/2006/relationships/hyperlink" Target="https://store.epicgames.com/news/pengpong-s-hockey-pinball-chaos-was-the-result-of-a-game-jam?lang=vi" TargetMode="External"/><Relationship Id="rId337" Type="http://schemas.openxmlformats.org/officeDocument/2006/relationships/hyperlink" Target="https://www.reddit.com/r/indiegames/comments/1gg9w9m/the_new_luck_be_a_landlordstyle_game_dog_and/" TargetMode="External"/><Relationship Id="rId891" Type="http://schemas.openxmlformats.org/officeDocument/2006/relationships/hyperlink" Target="https://www.indiegamemag.com/ido-yehieli-interview-nephews-and-niches/" TargetMode="External"/><Relationship Id="rId905" Type="http://schemas.openxmlformats.org/officeDocument/2006/relationships/hyperlink" Target="https://www.gamedeveloper.com/game-platforms/eugene-paik-talks-about-vagante-a-roguelite-8-years-in-the-making"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333700/The_Royal_Writ/" TargetMode="External"/><Relationship Id="rId751" Type="http://schemas.openxmlformats.org/officeDocument/2006/relationships/hyperlink" Target="https://store.steampowered.com/app/2796640/The_Magus_Circle/" TargetMode="External"/><Relationship Id="rId849" Type="http://schemas.openxmlformats.org/officeDocument/2006/relationships/hyperlink" Target="https://www.gamedeveloper.com/design/-play-86-interview-with-adom-creator-dr-thomas-biskup"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en.wikipedia.org/wiki/Enter_the_Gungeon" TargetMode="External"/><Relationship Id="rId404" Type="http://schemas.openxmlformats.org/officeDocument/2006/relationships/hyperlink" Target="https://www.reddit.com/r/roguelites/comments/1u78c4e/2_years_later_my_solo_pinball_roguelike_project/" TargetMode="External"/><Relationship Id="rId611" Type="http://schemas.openxmlformats.org/officeDocument/2006/relationships/hyperlink" Target="https://x.com/2_left_thumbs/status/1625686255093813249?s=20"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www.youtube.com/watch?v=SI0_xHvFIKM" TargetMode="External"/><Relationship Id="rId695" Type="http://schemas.openxmlformats.org/officeDocument/2006/relationships/hyperlink" Target="https://x.com/Mickanio/status/1555411757409001472" TargetMode="External"/><Relationship Id="rId709" Type="http://schemas.openxmlformats.org/officeDocument/2006/relationships/hyperlink" Target="https://www.youtube.com/watch?v=5xuW5r3ww6Y"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www.digitallydownloaded.net/2021/10/four-quick-questions-for-developer-of.html" TargetMode="External"/><Relationship Id="rId555" Type="http://schemas.openxmlformats.org/officeDocument/2006/relationships/hyperlink" Target="https://forum.gamemaker.io/index.php?threads/cats-dice-a-big-number-dice-building-roguelike-inspired-by-games-such-as-balatro-and-slice-dice.114871/" TargetMode="External"/><Relationship Id="rId762" Type="http://schemas.openxmlformats.org/officeDocument/2006/relationships/hyperlink" Target="https://www.inven.co.kr/webzine/news/?news=19498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siliconera.com/catacomb-kids-interview-spelunky-comparisons-and-the-early-access-gamble/" TargetMode="External"/><Relationship Id="rId622" Type="http://schemas.openxmlformats.org/officeDocument/2006/relationships/hyperlink" Target="https://youtu.be/lr9xu3YNwZE"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nintendolife.com/features/only-pokemon-can-make-pokemon-dicefolk-devs-on-finding-a-voice-in-a-crowded-genr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moguragames.com/smokingwolfinterview/" TargetMode="External"/><Relationship Id="rId566" Type="http://schemas.openxmlformats.org/officeDocument/2006/relationships/hyperlink" Target="https://bsky.app/profile/dphrygian.com/post/3mgga4hmbg22r" TargetMode="External"/><Relationship Id="rId773" Type="http://schemas.openxmlformats.org/officeDocument/2006/relationships/hyperlink" Target="https://cliqist.com/2015/01/30/children-morta-interview/"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x.com/MirariRelics/status/2083184893182489017?s=20" TargetMode="External"/><Relationship Id="rId633" Type="http://schemas.openxmlformats.org/officeDocument/2006/relationships/hyperlink" Target="https://steamcommunity.com/app/2563800/discussions/0/4756451565242385846/" TargetMode="External"/><Relationship Id="rId840" Type="http://schemas.openxmlformats.org/officeDocument/2006/relationships/hyperlink" Target="https://www.gamedeveloper.com/design/road-to-the-igf-spry-fox-s-and-wild-shadow-studios-i-realm-of-the-mad-god-i-"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en.wikipedia.org/wiki/Streets_of_Rogue" TargetMode="External"/><Relationship Id="rId700" Type="http://schemas.openxmlformats.org/officeDocument/2006/relationships/hyperlink" Target="https://games.gg/news/wanderburg-trailers-drive-150k-steam-wishlists/" TargetMode="External"/><Relationship Id="rId132" Type="http://schemas.openxmlformats.org/officeDocument/2006/relationships/hyperlink" Target="https://www.reddit.com/r/indiegames/comments/171yt60/our_first_gamevoice_of_belldonademo_release/" TargetMode="External"/><Relationship Id="rId784" Type="http://schemas.openxmlformats.org/officeDocument/2006/relationships/hyperlink" Target="https://steamcommunity.com/games/3066570/announcements/detail/4356754561281185320" TargetMode="External"/><Relationship Id="rId437" Type="http://schemas.openxmlformats.org/officeDocument/2006/relationships/hyperlink" Target="https://roguebasin.com/index.php/Brogue" TargetMode="External"/><Relationship Id="rId644" Type="http://schemas.openxmlformats.org/officeDocument/2006/relationships/hyperlink" Target="https://steamcommunity.com/app/2563800/discussions/0/4756451565242385846/" TargetMode="External"/><Relationship Id="rId851" Type="http://schemas.openxmlformats.org/officeDocument/2006/relationships/hyperlink" Target="https://itch.io/t/9805/immortal-redneck-the-definitive-redneck-fps-roguelite"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store.steampowered.com/app/3035330/Dicealot/" TargetMode="External"/><Relationship Id="rId504" Type="http://schemas.openxmlformats.org/officeDocument/2006/relationships/hyperlink" Target="https://www.reddit.com/r/Games/comments/1kjulpf/fogpiercer_mad_cookies_train_building_roguelike/" TargetMode="External"/><Relationship Id="rId711" Type="http://schemas.openxmlformats.org/officeDocument/2006/relationships/hyperlink" Target="https://www.youtube.com/watch?v=4M-9B0RWQF8"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steamcommunity.com/app/1461910/discussions/0/3363649332031630216/?l=finnish" TargetMode="External"/><Relationship Id="rId588" Type="http://schemas.openxmlformats.org/officeDocument/2006/relationships/hyperlink" Target="https://www.gameskinny.com/culture/interview-with-colin-day-creator-of-rogue-wizards-and-founder-of-spellbind-studios/" TargetMode="External"/><Relationship Id="rId795" Type="http://schemas.openxmlformats.org/officeDocument/2006/relationships/hyperlink" Target="https://steamcommunity.com/games/2342950/announcements/detail/3801662447199262264" TargetMode="External"/><Relationship Id="rId809" Type="http://schemas.openxmlformats.org/officeDocument/2006/relationships/hyperlink" Target="https://steamcommunity.com/games/1494560/announcements/detail/4187858160655360600"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www.roguebasin.com/index.php/Rogue's_Tale" TargetMode="External"/><Relationship Id="rId655" Type="http://schemas.openxmlformats.org/officeDocument/2006/relationships/hyperlink" Target="https://x.com/kagaya_wqy/status/1152559201945677825" TargetMode="External"/><Relationship Id="rId862" Type="http://schemas.openxmlformats.org/officeDocument/2006/relationships/hyperlink" Target="https://spacemyfriend.itch.io/cavity-busters"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moodytail.itch.io/pocket-crystal-league" TargetMode="External"/><Relationship Id="rId515" Type="http://schemas.openxmlformats.org/officeDocument/2006/relationships/hyperlink" Target="https://www.sohu.com/a/740136808_204824" TargetMode="External"/><Relationship Id="rId722" Type="http://schemas.openxmlformats.org/officeDocument/2006/relationships/hyperlink" Target="https://www.gamereactor.eu/trading-rock-and-stone-for-rogue-and-like-deep-rock-galactic-rogue-core-interview-with-ghost-ship-games-1721543/"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www.pcgamer.com/how-a-videogame-composer-designed-the-tangledeep-rpg/" TargetMode="External"/><Relationship Id="rId599" Type="http://schemas.openxmlformats.org/officeDocument/2006/relationships/hyperlink" Target="https://x.com/mumpitzgames/status/1925572756806017381" TargetMode="External"/><Relationship Id="rId459" Type="http://schemas.openxmlformats.org/officeDocument/2006/relationships/hyperlink" Target="https://www.facebook.com/DreamHack/videos/rogue-heroes-ruins-of-tasos-developers-explain-how-why-the-game-came-together-go/440879170356208/" TargetMode="External"/><Relationship Id="rId666" Type="http://schemas.openxmlformats.org/officeDocument/2006/relationships/hyperlink" Target="https://store.steampowered.com/app/2218400/Greedland/" TargetMode="External"/><Relationship Id="rId873" Type="http://schemas.openxmlformats.org/officeDocument/2006/relationships/hyperlink" Target="https://howtomarketagame.com/2025/08/13/gnomes-tower-defense-with-10-month-dev-time-hits-367484/"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steamcommunity.com/app/1494560/discussions/0/4335355681660890217/" TargetMode="External"/><Relationship Id="rId526" Type="http://schemas.openxmlformats.org/officeDocument/2006/relationships/hyperlink" Target="https://pokevoid.com/" TargetMode="External"/><Relationship Id="rId733" Type="http://schemas.openxmlformats.org/officeDocument/2006/relationships/hyperlink" Target="https://x.com/NaiiveStudio/status/1986888642565193932?s=20"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s://roguebasin.com/index.php/LambdaRogue" TargetMode="External"/><Relationship Id="rId677" Type="http://schemas.openxmlformats.org/officeDocument/2006/relationships/hyperlink" Target="https://www.scousegamer88.com/2021/03/31/astral-ascent-hibernian-workshop-interview/" TargetMode="External"/><Relationship Id="rId800" Type="http://schemas.openxmlformats.org/officeDocument/2006/relationships/hyperlink" Target="https://steamcommunity.com/games/2068280/announcements/detail/5301322539098227375" TargetMode="External"/><Relationship Id="rId232" Type="http://schemas.openxmlformats.org/officeDocument/2006/relationships/hyperlink" Target="https://www.reddit.com/r/JRPG/comments/1h4umpj/lets_talk_about_dragon_crystal_segas_own_early/" TargetMode="External"/><Relationship Id="rId884" Type="http://schemas.openxmlformats.org/officeDocument/2006/relationships/hyperlink" Target="https://store.steampowered.com/app/2348610/Slime_3K_Rise_Against_Despot/"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store.steampowered.com/app/3496890/Slot_or_Not/" TargetMode="External"/><Relationship Id="rId744" Type="http://schemas.openxmlformats.org/officeDocument/2006/relationships/hyperlink" Target="https://www.indiedb.com/news/dev-blog-10-references-and-pop-culture-in-space-prison"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steamcommunity.com/app/3808690/discussions/0/574921459914426009/" TargetMode="External"/><Relationship Id="rId590" Type="http://schemas.openxmlformats.org/officeDocument/2006/relationships/hyperlink" Target="https://www.youtube.com/watch?v=JXv8hQguGCI" TargetMode="External"/><Relationship Id="rId604" Type="http://schemas.openxmlformats.org/officeDocument/2006/relationships/hyperlink" Target="https://x.com/AnAmazingWizard/status/1489554155597352962?s=20" TargetMode="External"/><Relationship Id="rId811" Type="http://schemas.openxmlformats.org/officeDocument/2006/relationships/hyperlink" Target="https://steamcommunity.com/games/2067920/announcements/detail/3908626109457877555"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eddit.com/r/JRPG/comments/1k54nny/lets_discover_rogue_hearts_dungeon_jun_ota_and/" TargetMode="External"/><Relationship Id="rId688" Type="http://schemas.openxmlformats.org/officeDocument/2006/relationships/hyperlink" Target="https://store.epicgames.com/news/pengpong-s-hockey-pinball-chaos-was-the-result-of-a-game-jam?lang=vi" TargetMode="External"/><Relationship Id="rId895" Type="http://schemas.openxmlformats.org/officeDocument/2006/relationships/hyperlink" Target="https://turnbasedlovers.com/10-turns-interview/with-cobalt-core-devs/"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store.steampowered.com/app/3333700/The_Royal_Writ/" TargetMode="External"/><Relationship Id="rId548" Type="http://schemas.openxmlformats.org/officeDocument/2006/relationships/hyperlink" Target="https://youtu.be/VGMszILvj78" TargetMode="External"/><Relationship Id="rId755" Type="http://schemas.openxmlformats.org/officeDocument/2006/relationships/hyperlink" Target="https://www.youtube.com/watch?v=uKyeo6l_pAQ"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www.reddit.com/r/Games/comments/ziyl7m/this_is_alchemy_sheep_the_studio_behind_a/" TargetMode="External"/><Relationship Id="rId408" Type="http://schemas.openxmlformats.org/officeDocument/2006/relationships/hyperlink" Target="https://store.steampowered.com/app/2902440/Steves_Warehouse_Physics_Roguelike_Chaos/" TargetMode="External"/><Relationship Id="rId615" Type="http://schemas.openxmlformats.org/officeDocument/2006/relationships/hyperlink" Target="https://www.sohu.com/a/740136808_204824" TargetMode="External"/><Relationship Id="rId822" Type="http://schemas.openxmlformats.org/officeDocument/2006/relationships/hyperlink" Target="https://store.steampowered.com/app/2060750/Star_Survivor/"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games.gg/news/wanderburg-trailers-drive-150k-steam-wishlists/"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steamcommunity.com/app/535480/discussions/0/1693785035806645807/" TargetMode="External"/><Relationship Id="rId559" Type="http://schemas.openxmlformats.org/officeDocument/2006/relationships/hyperlink" Target="https://www.siliconera.com/catacomb-kids-interview-spelunky-comparisons-and-the-early-access-gamble/" TargetMode="External"/><Relationship Id="rId766" Type="http://schemas.openxmlformats.org/officeDocument/2006/relationships/hyperlink" Target="https://cheerfulghost.com/jdodson/posts/1590/interview-with-death-road-to-canada-s-kepa-auwae"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gamerant.com/the-last-spell-game-interview-launch-dlc/" TargetMode="External"/><Relationship Id="rId419" Type="http://schemas.openxmlformats.org/officeDocument/2006/relationships/hyperlink" Target="https://zenorogue.blogspot.com/search/label/sources" TargetMode="External"/><Relationship Id="rId626" Type="http://schemas.openxmlformats.org/officeDocument/2006/relationships/hyperlink" Target="https://store.steampowered.com/news/app/3618850/view/527614642864786784?l=english" TargetMode="External"/><Relationship Id="rId833" Type="http://schemas.openxmlformats.org/officeDocument/2006/relationships/hyperlink" Target="https://www.gamespark.jp/article/2025/12/23/160936.html"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youtu.be/VGMszILvj78" TargetMode="External"/><Relationship Id="rId900" Type="http://schemas.openxmlformats.org/officeDocument/2006/relationships/hyperlink" Target="https://rogueliker.com/shadowveil-legend-of-the-five-rings-interview/" TargetMode="External"/><Relationship Id="rId125" Type="http://schemas.openxmlformats.org/officeDocument/2006/relationships/hyperlink" Target="https://www.youtube.com/watch?v=ZqMZqQ-wrko" TargetMode="External"/><Relationship Id="rId332" Type="http://schemas.openxmlformats.org/officeDocument/2006/relationships/hyperlink" Target="https://x.com/sparklewing925/status/1926056500113346640" TargetMode="External"/><Relationship Id="rId777" Type="http://schemas.openxmlformats.org/officeDocument/2006/relationships/hyperlink" Target="https://www.gamesradar.com/modern-roguelikes-are-in-great-shape-but-where-does-the-genre-go-next/" TargetMode="External"/><Relationship Id="rId637" Type="http://schemas.openxmlformats.org/officeDocument/2006/relationships/hyperlink" Target="https://www.youtube.com/watch?v=giIIoIKntnw" TargetMode="External"/><Relationship Id="rId844" Type="http://schemas.openxmlformats.org/officeDocument/2006/relationships/hyperlink" Target="https://www.theyoungfolks.com/video-games/154551/interview-joris-dormans-details-the-gameplay-and-story-of-unexplored-2/"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steamcommunity.com/app/1803400/discussions/0/3883848697076653164/?l=hungarian"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x.com/Handmancers/status/2038942935211798568?s=20"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343" Type="http://schemas.openxmlformats.org/officeDocument/2006/relationships/hyperlink" Target="https://store.steampowered.com/app/2902440/Steves_Warehouse_Physics_Roguelike_Chaos/" TargetMode="External"/><Relationship Id="rId550" Type="http://schemas.openxmlformats.org/officeDocument/2006/relationships/hyperlink" Target="https://mcvuk.com/business-news/when-we-made-wildfrost/" TargetMode="External"/><Relationship Id="rId788" Type="http://schemas.openxmlformats.org/officeDocument/2006/relationships/hyperlink" Target="https://steamcommunity.com/games/3923750/announcements/detail/503962497384974869" TargetMode="External"/><Relationship Id="rId203" Type="http://schemas.openxmlformats.org/officeDocument/2006/relationships/hyperlink" Target="https://roguebasin.com/index.php/ZMAngband" TargetMode="External"/><Relationship Id="rId648" Type="http://schemas.openxmlformats.org/officeDocument/2006/relationships/hyperlink" Target="https://www.youtube.com/watch?v=txv0XsRrFwo" TargetMode="External"/><Relationship Id="rId855" Type="http://schemas.openxmlformats.org/officeDocument/2006/relationships/hyperlink" Target="https://www.engadget.com/2013-08-15-wasteland-kings-is-vlambeers-next-big-little-game.html"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www.reddit.com/r/indiegames/comments/1kfcwzq/i_worked_4_years_fulltime_on_my_dream_game/" TargetMode="External"/><Relationship Id="rId494" Type="http://schemas.openxmlformats.org/officeDocument/2006/relationships/hyperlink" Target="https://steamcommunity.com/app/1016730/discussions/0/1814296907961762044/" TargetMode="External"/><Relationship Id="rId508" Type="http://schemas.openxmlformats.org/officeDocument/2006/relationships/hyperlink" Target="https://x.com/hellmaidengame/status/1929946431311241324" TargetMode="External"/><Relationship Id="rId715" Type="http://schemas.openxmlformats.org/officeDocument/2006/relationships/hyperlink" Target="https://youtu.be/pkhzUQ39ts4" TargetMode="External"/><Relationship Id="rId147" Type="http://schemas.openxmlformats.org/officeDocument/2006/relationships/hyperlink" Target="https://en.wikipedia.org/wiki/Windblown" TargetMode="External"/><Relationship Id="rId354" Type="http://schemas.openxmlformats.org/officeDocument/2006/relationships/hyperlink" Target="https://roguebasin.com/index.php?title=Diablo" TargetMode="External"/><Relationship Id="rId799" Type="http://schemas.openxmlformats.org/officeDocument/2006/relationships/hyperlink" Target="https://steamcommunity.com/games/1914580/announcements/detail/3096792662638547858"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x.com/cleanfallgame/status/1958500517597876299?s=20" TargetMode="External"/><Relationship Id="rId659" Type="http://schemas.openxmlformats.org/officeDocument/2006/relationships/hyperlink" Target="https://youtu.be/VGMszILvj78" TargetMode="External"/><Relationship Id="rId866" Type="http://schemas.openxmlformats.org/officeDocument/2006/relationships/hyperlink" Target="https://www.gamedeveloper.com/game-platforms/playing-catch-up-i-castle-of-the-winds-i-rick-saada" TargetMode="External"/><Relationship Id="rId214" Type="http://schemas.openxmlformats.org/officeDocument/2006/relationships/hyperlink" Target="http://www.bay12forums.com/smf/index.php?topic=173000.0" TargetMode="External"/><Relationship Id="rId298" Type="http://schemas.openxmlformats.org/officeDocument/2006/relationships/hyperlink" Target="https://youtu.be/VGMszILvj78" TargetMode="External"/><Relationship Id="rId421" Type="http://schemas.openxmlformats.org/officeDocument/2006/relationships/hyperlink" Target="https://x.com/search?q=from%3AMiraricogames%20survivors&amp;src=typed_query" TargetMode="External"/><Relationship Id="rId519" Type="http://schemas.openxmlformats.org/officeDocument/2006/relationships/hyperlink" Target="https://x.com/PlayMontabi/status/2084484478647595121?s=20" TargetMode="External"/><Relationship Id="rId158" Type="http://schemas.openxmlformats.org/officeDocument/2006/relationships/hyperlink" Target="https://www.w4games.com/blog/w4-games-news-1/interview-with-chasing-carrots-developer-of-halls-of-torment-120" TargetMode="External"/><Relationship Id="rId726" Type="http://schemas.openxmlformats.org/officeDocument/2006/relationships/hyperlink" Target="https://80.lv/articles/making-hack-and-slash-action-rpg-voin-as-solo-developer"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roguebasin.com/index.php?title=Diablo" TargetMode="External"/><Relationship Id="rId572" Type="http://schemas.openxmlformats.org/officeDocument/2006/relationships/hyperlink" Target="https://www.youtube.com/watch?v=DASCE8BbvOI&amp;t=1s" TargetMode="External"/><Relationship Id="rId225" Type="http://schemas.openxmlformats.org/officeDocument/2006/relationships/hyperlink" Target="https://en.wikipedia.org/wiki/Gunfire_Reborn" TargetMode="External"/><Relationship Id="rId432" Type="http://schemas.openxmlformats.org/officeDocument/2006/relationships/hyperlink" Target="https://youtu.be/Jn9yS2eSJzg" TargetMode="External"/><Relationship Id="rId877" Type="http://schemas.openxmlformats.org/officeDocument/2006/relationships/hyperlink" Target="https://www.gamedeveloper.com/production/prototyping-i-let-s-revolution-i-transforming-i-minesweeper-i-into-a-turn-based-strategy-roguelike" TargetMode="External"/><Relationship Id="rId737" Type="http://schemas.openxmlformats.org/officeDocument/2006/relationships/hyperlink" Target="https://x.com/NaiiveStudio/status/1986888642565193932?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76" Type="http://schemas.openxmlformats.org/officeDocument/2006/relationships/hyperlink" Target="https://crpgaddict.blogspot.com/2020/02/game-354-ragnarok-1992.html" TargetMode="External"/><Relationship Id="rId583" Type="http://schemas.openxmlformats.org/officeDocument/2006/relationships/hyperlink" Target="https://www.youtube.com/watch?v=7SjRhK9wdEE" TargetMode="External"/><Relationship Id="rId790" Type="http://schemas.openxmlformats.org/officeDocument/2006/relationships/hyperlink" Target="https://steamcommunity.com/games/1619520/announcements/detail/3692434297316940519" TargetMode="External"/><Relationship Id="rId804" Type="http://schemas.openxmlformats.org/officeDocument/2006/relationships/hyperlink" Target="https://steamcommunity.com/games/2105840/announcements/detail/526488742956893954"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arcanium-rise-of-akhan.xsollasitebuilder.com/" TargetMode="External"/><Relationship Id="rId443" Type="http://schemas.openxmlformats.org/officeDocument/2006/relationships/hyperlink" Target="https://roguebasin.com/index.php/Larn" TargetMode="External"/><Relationship Id="rId650" Type="http://schemas.openxmlformats.org/officeDocument/2006/relationships/hyperlink" Target="https://store.steampowered.com/app/2102320/MISTROGUE_Mist_and_the_Living_Dungeons/" TargetMode="External"/><Relationship Id="rId888" Type="http://schemas.openxmlformats.org/officeDocument/2006/relationships/hyperlink" Target="https://steamcommunity.com/games/2400160/announcements/detail/4686648941196507636" TargetMode="External"/><Relationship Id="rId303" Type="http://schemas.openxmlformats.org/officeDocument/2006/relationships/hyperlink" Target="https://roguebasin.com/index.php/The_Ground_Gives_Way" TargetMode="External"/><Relationship Id="rId748" Type="http://schemas.openxmlformats.org/officeDocument/2006/relationships/hyperlink" Target="https://www.reddit.com/r/Games/comments/17dw9zh/trash_of_the_titans_tabagain_its_into_the_breach/" TargetMode="External"/><Relationship Id="rId84" Type="http://schemas.openxmlformats.org/officeDocument/2006/relationships/hyperlink" Target="https://caifuhao.eastmoney.com/news/20260725235351583816280" TargetMode="External"/><Relationship Id="rId387" Type="http://schemas.openxmlformats.org/officeDocument/2006/relationships/hyperlink" Target="https://www.reddit.com/r/Games/comments/v2kcsr/ama_were_the_team_behind_akxolotl_a_cute_but/" TargetMode="External"/><Relationship Id="rId510" Type="http://schemas.openxmlformats.org/officeDocument/2006/relationships/hyperlink" Target="https://www.digitallydownloaded.net/2021/10/four-quick-questions-for-developer-of.html" TargetMode="External"/><Relationship Id="rId594" Type="http://schemas.openxmlformats.org/officeDocument/2006/relationships/hyperlink" Target="https://www.reddit.com/r/Games/comments/7ukbl1/im_the_lead_developer_of_tangledeep_a_roguelike/" TargetMode="External"/><Relationship Id="rId608" Type="http://schemas.openxmlformats.org/officeDocument/2006/relationships/hyperlink" Target="https://caifuhao.eastmoney.com/news/20260725235351583816280"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forums.tigsource.com/index.php?topic=41609.0" TargetMode="External"/><Relationship Id="rId899" Type="http://schemas.openxmlformats.org/officeDocument/2006/relationships/hyperlink" Target="https://shmuplations.com/chunsoft30th/" TargetMode="External"/><Relationship Id="rId107" Type="http://schemas.openxmlformats.org/officeDocument/2006/relationships/hyperlink" Target="https://www.reddit.com/r/Games/comments/1syyjc8/ama_demon_lord_just_a_block_the_gridbased/" TargetMode="External"/><Relationship Id="rId454" Type="http://schemas.openxmlformats.org/officeDocument/2006/relationships/hyperlink" Target="https://youtu.be/0MY03yNkuFI" TargetMode="External"/><Relationship Id="rId661" Type="http://schemas.openxmlformats.org/officeDocument/2006/relationships/hyperlink" Target="https://www.youtube.com/watch?v=dfLSGkKC2ug" TargetMode="External"/><Relationship Id="rId759" Type="http://schemas.openxmlformats.org/officeDocument/2006/relationships/hyperlink" Target="https://youtu.be/_Ner8cAfsBg"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youtu.be/zLmdMjZtDs4" TargetMode="External"/><Relationship Id="rId398" Type="http://schemas.openxmlformats.org/officeDocument/2006/relationships/hyperlink" Target="https://www.thecgview.com/p/roboquest-developer-interview" TargetMode="External"/><Relationship Id="rId521" Type="http://schemas.openxmlformats.org/officeDocument/2006/relationships/hyperlink" Target="https://x.com/NadirTheGame/status/1585925975115702273?s=20" TargetMode="External"/><Relationship Id="rId619" Type="http://schemas.openxmlformats.org/officeDocument/2006/relationships/hyperlink" Target="https://mcvuk.com/development-news/when-we-made-moonlighter/"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826" Type="http://schemas.openxmlformats.org/officeDocument/2006/relationships/hyperlink" Target="https://steamcommunity.com/games/1105670/announcements/detail/2996568545566483264"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x.com/AntennaGames/status/2062052913199956449" TargetMode="External"/><Relationship Id="rId672" Type="http://schemas.openxmlformats.org/officeDocument/2006/relationships/hyperlink" Target="https://store.epicgames.com/news/terratech-legion-interview-russ-clark-car-building-freedom-bullet-heaven?lang=hi"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roguebasin.com/index.php/Dungeon_Crawl_Stone_Soup" TargetMode="External"/><Relationship Id="rId532" Type="http://schemas.openxmlformats.org/officeDocument/2006/relationships/hyperlink" Target="https://x.com/CLLC_studio/status/1925866594078453892" TargetMode="External"/><Relationship Id="rId171" Type="http://schemas.openxmlformats.org/officeDocument/2006/relationships/hyperlink" Target="https://store.steampowered.com/news/app/2934220/view/698764742929416235?l=english" TargetMode="External"/><Relationship Id="rId837" Type="http://schemas.openxmlformats.org/officeDocument/2006/relationships/hyperlink" Target="https://www.gamedeveloper.com/business/paper-heroes-colm-larkin-and-guild-of-dungeoneering" TargetMode="External"/><Relationship Id="rId269" Type="http://schemas.openxmlformats.org/officeDocument/2006/relationships/hyperlink" Target="https://roguebasin.com/index.php/GearHead_Caramel" TargetMode="External"/><Relationship Id="rId476" Type="http://schemas.openxmlformats.org/officeDocument/2006/relationships/hyperlink" Target="https://www.reddit.com/r/WebGames/comments/1m6esqf/archon_soul_its_been_a_year_and_a_half_of_hard/" TargetMode="External"/><Relationship Id="rId683" Type="http://schemas.openxmlformats.org/officeDocument/2006/relationships/hyperlink" Target="https://bsky.app/profile/vfqd.itch.io/post/3mjfbk36e6k22" TargetMode="External"/><Relationship Id="rId890" Type="http://schemas.openxmlformats.org/officeDocument/2006/relationships/hyperlink" Target="https://nervetower.neocities.org/int_yonemitsu_ps" TargetMode="External"/><Relationship Id="rId904" Type="http://schemas.openxmlformats.org/officeDocument/2006/relationships/hyperlink" Target="https://crpgaddict.blogspot.com/2011/05/omega-everything-is-reference.html"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336" Type="http://schemas.openxmlformats.org/officeDocument/2006/relationships/hyperlink" Target="https://x.com/Typin_/status/2033598772677140518?s=20" TargetMode="External"/><Relationship Id="rId543" Type="http://schemas.openxmlformats.org/officeDocument/2006/relationships/hyperlink" Target="https://store.steampowered.com/app/3035330/Dicealot/" TargetMode="External"/><Relationship Id="rId182" Type="http://schemas.openxmlformats.org/officeDocument/2006/relationships/hyperlink" Target="https://en.wikipedia.org/wiki/Teamfight_Tactics" TargetMode="External"/><Relationship Id="rId403" Type="http://schemas.openxmlformats.org/officeDocument/2006/relationships/hyperlink" Target="https://www.reddit.com/r/roguelites/comments/1ic44r5/my_angry_bird_roguelike_is_finally_out_on_steam/" TargetMode="External"/><Relationship Id="rId750" Type="http://schemas.openxmlformats.org/officeDocument/2006/relationships/hyperlink" Target="https://www.reddit.com/r/IndieGaming/comments/1h0xiwq/been_working_on_pebble_knights_a_mix_of_survival/" TargetMode="External"/><Relationship Id="rId848" Type="http://schemas.openxmlformats.org/officeDocument/2006/relationships/hyperlink" Target="https://www.gamespark.jp/article/2023/02/15/127110.html" TargetMode="External"/><Relationship Id="rId487" Type="http://schemas.openxmlformats.org/officeDocument/2006/relationships/hyperlink" Target="https://hardcoregamer.com/chaos-zero-nightmare-director-interview-tgs-2025/" TargetMode="External"/><Relationship Id="rId610" Type="http://schemas.openxmlformats.org/officeDocument/2006/relationships/hyperlink" Target="https://www.reddit.com/r/Games/comments/2e7eti/hello_rgames_we_are_the_creators_of_the_roguelike/" TargetMode="External"/><Relationship Id="rId694" Type="http://schemas.openxmlformats.org/officeDocument/2006/relationships/hyperlink" Target="https://rogueliker.com/guntouchables-interview/%20and%20also%20talked%20about%20nuclear%20throne%20in%20the%20discord" TargetMode="External"/><Relationship Id="rId708" Type="http://schemas.openxmlformats.org/officeDocument/2006/relationships/hyperlink" Target="https://www.youtube.com/watch?v=5xuW5r3ww6Y" TargetMode="External"/><Relationship Id="rId347" Type="http://schemas.openxmlformats.org/officeDocument/2006/relationships/hyperlink" Target="https://store.steampowered.com/app/3035330/Dicealot/"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store.steampowered.com/news/app/1434540/view/2939150821227809707" TargetMode="External"/><Relationship Id="rId761" Type="http://schemas.openxmlformats.org/officeDocument/2006/relationships/hyperlink" Target="https://youtu.be/_Ner8cAfsBg" TargetMode="External"/><Relationship Id="rId859" Type="http://schemas.openxmlformats.org/officeDocument/2006/relationships/hyperlink" Target="https://nichegamer.com/patch-quest-interview/"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414" Type="http://schemas.openxmlformats.org/officeDocument/2006/relationships/hyperlink" Target="https://www.gamedeveloper.com/business/marketing-on-the-app-store-the-cautionary-tale-of-i-100-rogues-i-" TargetMode="External"/><Relationship Id="rId498" Type="http://schemas.openxmlformats.org/officeDocument/2006/relationships/hyperlink" Target="https://www.reddit.com/r/slaythespire/comments/1mqcqmg/dice_legends_a_love_letter_and_homage_to_slay_the/" TargetMode="External"/><Relationship Id="rId621" Type="http://schemas.openxmlformats.org/officeDocument/2006/relationships/hyperlink" Target="https://blog.novadrift.io/nova-drift-frequently-asked-questions/" TargetMode="External"/><Relationship Id="rId260" Type="http://schemas.openxmlformats.org/officeDocument/2006/relationships/hyperlink" Target="https://www.youtube.com/watch?v=G8e_zxWb3QA" TargetMode="External"/><Relationship Id="rId719" Type="http://schemas.openxmlformats.org/officeDocument/2006/relationships/hyperlink" Target="https://www.youtube.com/watch?v=L0Yg-sCCPEo"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reddit.com/r/roguelikes/comments/1iyzkws/house_of_necrosis_demo_is_out_now_on_steam/" TargetMode="External"/><Relationship Id="rId565" Type="http://schemas.openxmlformats.org/officeDocument/2006/relationships/hyperlink" Target="https://www.reddit.com/r/IndieGaming/comments/1pji5gu/dunjungle_the_monkey_action_roguelite_is_out_on/" TargetMode="External"/><Relationship Id="rId772" Type="http://schemas.openxmlformats.org/officeDocument/2006/relationships/hyperlink" Target="https://steamcommunity.com/games/2835570/announcements/detail/4181107834755509907"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www.reddit.com/r/IAmA/comments/9m53vr/after_a_failed_kickstarter_and_3_years_of_working/" TargetMode="External"/><Relationship Id="rId632" Type="http://schemas.openxmlformats.org/officeDocument/2006/relationships/hyperlink" Target="https://www.emuglx.org/reportaze/interview/exclusive-switchcars-interview/" TargetMode="External"/><Relationship Id="rId271" Type="http://schemas.openxmlformats.org/officeDocument/2006/relationships/hyperlink" Target="https://roguebasin.com/index.php/ZMAngband"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69" Type="http://schemas.openxmlformats.org/officeDocument/2006/relationships/hyperlink" Target="https://frozendepths.net/roguelike/info.php" TargetMode="External"/><Relationship Id="rId576" Type="http://schemas.openxmlformats.org/officeDocument/2006/relationships/hyperlink" Target="https://youtu.be/zKQl9Xp3dxo" TargetMode="External"/><Relationship Id="rId783" Type="http://schemas.openxmlformats.org/officeDocument/2006/relationships/hyperlink" Target="https://www.gamesradar.com/modern-roguelikes-are-in-great-shape-but-where-does-the-genre-go-next/" TargetMode="External"/><Relationship Id="rId229" Type="http://schemas.openxmlformats.org/officeDocument/2006/relationships/hyperlink" Target="https://www.gamedeveloper.com/design/ram-random-access-mayhem-s-body-swapping-mechanic-was-born-from-challenges-playing-roguelikes" TargetMode="External"/><Relationship Id="rId436" Type="http://schemas.openxmlformats.org/officeDocument/2006/relationships/hyperlink" Target="https://www.gamedeveloper.com/design/how-michael-brough-s-love-of-exploring-a-single-game-mechanic-beget-i-cinco-paus-i-" TargetMode="External"/><Relationship Id="rId643" Type="http://schemas.openxmlformats.org/officeDocument/2006/relationships/hyperlink" Target="https://youtu.be/VGMszILvj78" TargetMode="External"/><Relationship Id="rId850" Type="http://schemas.openxmlformats.org/officeDocument/2006/relationships/hyperlink" Target="https://www.gamedeveloper.com/design/-play-86-interview-with-adom-creator-dr-thomas-biskup" TargetMode="External"/><Relationship Id="rId77" Type="http://schemas.openxmlformats.org/officeDocument/2006/relationships/hyperlink" Target="https://roguebasin.com/index.php/Labyrinth_of_Legendary_Loot" TargetMode="External"/><Relationship Id="rId282" Type="http://schemas.openxmlformats.org/officeDocument/2006/relationships/hyperlink" Target="https://www.nettosgameroom.com/2025/09/interview-with-team-tapas-creators-of.html" TargetMode="External"/><Relationship Id="rId503" Type="http://schemas.openxmlformats.org/officeDocument/2006/relationships/hyperlink" Target="https://youtu.be/zLmdMjZtDs4" TargetMode="External"/><Relationship Id="rId587" Type="http://schemas.openxmlformats.org/officeDocument/2006/relationships/hyperlink" Target="https://gamingbolt.com/gonner-interview-a-colorful-and-challenging-ride" TargetMode="External"/><Relationship Id="rId710" Type="http://schemas.openxmlformats.org/officeDocument/2006/relationships/hyperlink" Target="https://www.reddit.com/r/Games/comments/1v0h3jp/pass_the_fear_playmud_studio_gungeonlike_with/" TargetMode="External"/><Relationship Id="rId808" Type="http://schemas.openxmlformats.org/officeDocument/2006/relationships/hyperlink" Target="https://steamcommunity.com/games/692890/announcements/detail/4599817768902300278"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447" Type="http://schemas.openxmlformats.org/officeDocument/2006/relationships/hyperlink" Target="https://roguebasin.com/index.php/ROGUE-FP" TargetMode="External"/><Relationship Id="rId794" Type="http://schemas.openxmlformats.org/officeDocument/2006/relationships/hyperlink" Target="https://steamcommunity.com/games/1637320/announcements/detail/4673137508062083951" TargetMode="External"/><Relationship Id="rId654" Type="http://schemas.openxmlformats.org/officeDocument/2006/relationships/hyperlink" Target="https://www.simplelove.co/entry/20141209/1418122763" TargetMode="External"/><Relationship Id="rId861" Type="http://schemas.openxmlformats.org/officeDocument/2006/relationships/hyperlink" Target="https://valleesdeletrange.wordpress.com/2026/03/09/sol-cesto-le-bandit-manchot-et-ses-deux-tetes-entretien-avec-chariospirale-et-docgeraud/"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x.com/imgame_official/status/1925464077654249724" TargetMode="External"/><Relationship Id="rId514" Type="http://schemas.openxmlformats.org/officeDocument/2006/relationships/hyperlink" Target="https://en.wikipedia.org/wiki/Luck_Be_a_Landlord" TargetMode="External"/><Relationship Id="rId721" Type="http://schemas.openxmlformats.org/officeDocument/2006/relationships/hyperlink" Target="https://www.reddit.com/r/indiegames/comments/1sc54y5/batomon_showdown_a_casual_autobattler_inspired_by/" TargetMode="External"/><Relationship Id="rId88" Type="http://schemas.openxmlformats.org/officeDocument/2006/relationships/hyperlink" Target="https://store.steampowered.com/app/2225960/Noobs_Are_Coming/" TargetMode="External"/><Relationship Id="rId153" Type="http://schemas.openxmlformats.org/officeDocument/2006/relationships/hyperlink" Target="https://x.com/tametick/status/1202248124221272064" TargetMode="External"/><Relationship Id="rId360" Type="http://schemas.openxmlformats.org/officeDocument/2006/relationships/hyperlink" Target="https://x.com/sparklewing925/status/1926056500113346640" TargetMode="External"/><Relationship Id="rId598" Type="http://schemas.openxmlformats.org/officeDocument/2006/relationships/hyperlink" Target="https://gamestudio.n-ix.com/case-study/the-bazaar-game-development-story/" TargetMode="External"/><Relationship Id="rId819" Type="http://schemas.openxmlformats.org/officeDocument/2006/relationships/hyperlink" Target="https://store.steampowered.com/app/2060750/Star_Survivor/"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mcvuk.com/development-news/when-we-made-moonlighter/" TargetMode="External"/><Relationship Id="rId665" Type="http://schemas.openxmlformats.org/officeDocument/2006/relationships/hyperlink" Target="https://xuanmingzhou.com/blog/glyphica-a-solo-dev-retrospective/" TargetMode="External"/><Relationship Id="rId872" Type="http://schemas.openxmlformats.org/officeDocument/2006/relationships/hyperlink" Target="https://howtomarketagame.com/2025/08/13/gnomes-tower-defense-with-10-month-dev-time-hits-367484/"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www.reddit.com/r/Games/comments/vftn02/pawnbarian_j4nw_a_chessinspired_tactical_puzzle/" TargetMode="External"/><Relationship Id="rId525" Type="http://schemas.openxmlformats.org/officeDocument/2006/relationships/hyperlink" Target="https://www.reddit.com/r/pokemon/comments/1rp0vq7/i_made_a_roguelike_pokemon_autobattler/" TargetMode="External"/><Relationship Id="rId732" Type="http://schemas.openxmlformats.org/officeDocument/2006/relationships/hyperlink" Target="https://x.com/DrivingRogue/status/2084622846303625448?s=20" TargetMode="External"/><Relationship Id="rId99" Type="http://schemas.openxmlformats.org/officeDocument/2006/relationships/hyperlink" Target="https://gonintendo.com/contents/37637-tmnt-splintered-fate-devs-say-they-were-inspired-by-hades-dead-cells-and-more" TargetMode="External"/><Relationship Id="rId164" Type="http://schemas.openxmlformats.org/officeDocument/2006/relationships/hyperlink" Target="https://www.youtube.com/watch?v=xsmbVWflwpw" TargetMode="External"/><Relationship Id="rId371" Type="http://schemas.openxmlformats.org/officeDocument/2006/relationships/hyperlink" Target="http://roguebasin.com/index.php/IVAN" TargetMode="External"/><Relationship Id="rId469" Type="http://schemas.openxmlformats.org/officeDocument/2006/relationships/hyperlink" Target="https://www.reddit.com/r/Games/comments/10uappd/the_ouroboros_king_oriol_cosp_chess_based/" TargetMode="External"/><Relationship Id="rId676" Type="http://schemas.openxmlformats.org/officeDocument/2006/relationships/hyperlink" Target="https://www.reddit.com/r/playmygame/comments/sqb852/our_spellcasting_roguelike_abandoned_archive_now/" TargetMode="External"/><Relationship Id="rId883" Type="http://schemas.openxmlformats.org/officeDocument/2006/relationships/hyperlink" Target="https://store.steampowered.com/app/2348610/Slime_3K_Rise_Against_Despot/"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329" Type="http://schemas.openxmlformats.org/officeDocument/2006/relationships/hyperlink" Target="https://store.steampowered.com/app/2113040/RUNGORE/" TargetMode="External"/><Relationship Id="rId536" Type="http://schemas.openxmlformats.org/officeDocument/2006/relationships/hyperlink" Target="https://x.com/sparklewing925/status/1926056500113346640" TargetMode="External"/><Relationship Id="rId175" Type="http://schemas.openxmlformats.org/officeDocument/2006/relationships/hyperlink" Target="https://www.reddit.com/r/NintendoSwitch/comments/75yryq/hi_we_are_the_molasses_flood_creators_of_the/" TargetMode="External"/><Relationship Id="rId743" Type="http://schemas.openxmlformats.org/officeDocument/2006/relationships/hyperlink" Target="https://www.indiedb.com/news/dev-blog-10-references-and-pop-culture-in-space-prison" TargetMode="External"/><Relationship Id="rId382" Type="http://schemas.openxmlformats.org/officeDocument/2006/relationships/hyperlink" Target="https://www.sohu.com/a/740136808_204824" TargetMode="External"/><Relationship Id="rId603" Type="http://schemas.openxmlformats.org/officeDocument/2006/relationships/hyperlink" Target="https://www.reddit.com/r/NintendoSwitch/comments/8jv8rd/im_matt_bitner_sole_developer_of_a_robot_named/" TargetMode="External"/><Relationship Id="rId687" Type="http://schemas.openxmlformats.org/officeDocument/2006/relationships/hyperlink" Target="https://store.epicgames.com/news/pengpong-s-hockey-pinball-chaos-was-the-result-of-a-game-jam?lang=vi" TargetMode="External"/><Relationship Id="rId810" Type="http://schemas.openxmlformats.org/officeDocument/2006/relationships/hyperlink" Target="https://steamcommunity.com/games/1494560/announcements/detail/4187858160655360600"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96"/>
  <sheetViews>
    <sheetView topLeftCell="A416" zoomScaleNormal="100" workbookViewId="0">
      <selection activeCell="I445" sqref="I445"/>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8358</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7916</v>
      </c>
      <c r="B18">
        <v>2025</v>
      </c>
      <c r="C18" t="s">
        <v>176</v>
      </c>
      <c r="D18" t="b">
        <f>TRUE()</f>
        <v>1</v>
      </c>
      <c r="E18" t="b">
        <f>COUNTIF(connections!A:A, A18) &gt; 0</f>
        <v>0</v>
      </c>
      <c r="G18" t="s">
        <v>7917</v>
      </c>
      <c r="H18" t="s">
        <v>187</v>
      </c>
      <c r="I18" t="s">
        <v>7923</v>
      </c>
      <c r="J18" s="10" t="s">
        <v>7918</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8122</v>
      </c>
      <c r="B27">
        <v>2024</v>
      </c>
      <c r="C27" t="s">
        <v>222</v>
      </c>
      <c r="D27" t="b">
        <f>TRUE()</f>
        <v>1</v>
      </c>
      <c r="E27" t="b">
        <f>COUNTIF(connections!A:A, A27) &gt; 0</f>
        <v>0</v>
      </c>
      <c r="G27" t="s">
        <v>8123</v>
      </c>
      <c r="J27" s="10" t="s">
        <v>8124</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8331</v>
      </c>
      <c r="J38" s="10" t="s">
        <v>8332</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8148</v>
      </c>
      <c r="J53" s="10" t="s">
        <v>8149</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7954</v>
      </c>
      <c r="B65">
        <v>2026</v>
      </c>
      <c r="C65" t="s">
        <v>222</v>
      </c>
      <c r="D65" t="b">
        <f>TRUE()</f>
        <v>1</v>
      </c>
      <c r="E65" t="b">
        <f>COUNTIF(connections!A:A, A65) &gt; 0</f>
        <v>0</v>
      </c>
      <c r="G65" t="s">
        <v>7955</v>
      </c>
      <c r="H65" t="s">
        <v>187</v>
      </c>
      <c r="I65" t="s">
        <v>8147</v>
      </c>
      <c r="J65" s="10" t="s">
        <v>7956</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431</v>
      </c>
      <c r="B79">
        <v>2019</v>
      </c>
      <c r="C79" t="s">
        <v>176</v>
      </c>
      <c r="D79" t="b">
        <f>TRUE()</f>
        <v>1</v>
      </c>
      <c r="E79" t="b">
        <f>COUNTIF(connections!A:A, A79) &gt; 0</f>
        <v>0</v>
      </c>
      <c r="G79" t="s">
        <v>432</v>
      </c>
      <c r="H79" t="s">
        <v>187</v>
      </c>
      <c r="I79" t="s">
        <v>433</v>
      </c>
      <c r="J79" s="1" t="s">
        <v>434</v>
      </c>
    </row>
    <row r="80" spans="1:10" ht="15" customHeight="1" x14ac:dyDescent="0.25">
      <c r="A80" t="s">
        <v>435</v>
      </c>
      <c r="B80">
        <v>2019</v>
      </c>
      <c r="C80" t="s">
        <v>176</v>
      </c>
      <c r="D80" t="b">
        <f>TRUE()</f>
        <v>1</v>
      </c>
      <c r="E80" t="b">
        <f>COUNTIF(connections!A:A, A80) &gt; 0</f>
        <v>1</v>
      </c>
      <c r="G80" t="s">
        <v>436</v>
      </c>
      <c r="H80" t="s">
        <v>187</v>
      </c>
      <c r="I80" t="s">
        <v>437</v>
      </c>
      <c r="J80" s="1" t="s">
        <v>438</v>
      </c>
    </row>
    <row r="81" spans="1:10" ht="15" customHeight="1" x14ac:dyDescent="0.25">
      <c r="A81" t="s">
        <v>439</v>
      </c>
      <c r="B81">
        <v>2023</v>
      </c>
      <c r="C81" t="s">
        <v>222</v>
      </c>
      <c r="D81" t="b">
        <f>FALSE()</f>
        <v>0</v>
      </c>
      <c r="E81" t="b">
        <f>COUNTIF(connections!A:A, A81) &gt; 0</f>
        <v>1</v>
      </c>
      <c r="F81" t="s">
        <v>404</v>
      </c>
      <c r="G81" t="s">
        <v>440</v>
      </c>
      <c r="H81" t="s">
        <v>187</v>
      </c>
      <c r="I81" t="s">
        <v>441</v>
      </c>
      <c r="J81" s="1" t="s">
        <v>442</v>
      </c>
    </row>
    <row r="82" spans="1:10" ht="15" customHeight="1" x14ac:dyDescent="0.25">
      <c r="A82" t="s">
        <v>443</v>
      </c>
      <c r="B82">
        <v>2024</v>
      </c>
      <c r="C82" t="s">
        <v>222</v>
      </c>
      <c r="D82" t="b">
        <f>FALSE()</f>
        <v>0</v>
      </c>
      <c r="E82" t="b">
        <f>COUNTIF(connections!A:A, A82) &gt; 0</f>
        <v>0</v>
      </c>
      <c r="F82" t="s">
        <v>404</v>
      </c>
      <c r="G82" t="s">
        <v>444</v>
      </c>
      <c r="H82" t="s">
        <v>187</v>
      </c>
      <c r="I82" t="s">
        <v>445</v>
      </c>
      <c r="J82" s="1" t="s">
        <v>446</v>
      </c>
    </row>
    <row r="83" spans="1:10" ht="15" customHeight="1" x14ac:dyDescent="0.25">
      <c r="A83" t="s">
        <v>447</v>
      </c>
      <c r="B83">
        <v>2023</v>
      </c>
      <c r="C83" t="s">
        <v>176</v>
      </c>
      <c r="D83" t="b">
        <f>TRUE()</f>
        <v>1</v>
      </c>
      <c r="E83" t="b">
        <f>COUNTIF(connections!A:A, A83) &gt; 0</f>
        <v>0</v>
      </c>
      <c r="G83" t="s">
        <v>448</v>
      </c>
    </row>
    <row r="84" spans="1:10" ht="15" customHeight="1" x14ac:dyDescent="0.25">
      <c r="A84" t="s">
        <v>449</v>
      </c>
      <c r="B84">
        <v>2024</v>
      </c>
      <c r="C84" t="s">
        <v>176</v>
      </c>
      <c r="D84" t="b">
        <f>TRUE()</f>
        <v>1</v>
      </c>
      <c r="E84" t="b">
        <f>COUNTIF(connections!A:A, A84) &gt; 0</f>
        <v>0</v>
      </c>
      <c r="G84" t="s">
        <v>450</v>
      </c>
      <c r="H84" t="s">
        <v>187</v>
      </c>
      <c r="I84" t="s">
        <v>451</v>
      </c>
      <c r="J84" s="1" t="s">
        <v>452</v>
      </c>
    </row>
    <row r="85" spans="1:10" ht="15" customHeight="1" x14ac:dyDescent="0.25">
      <c r="A85" t="s">
        <v>453</v>
      </c>
      <c r="B85">
        <v>2025</v>
      </c>
      <c r="C85" t="s">
        <v>222</v>
      </c>
      <c r="D85" t="b">
        <f>FALSE()</f>
        <v>0</v>
      </c>
      <c r="E85" t="b">
        <f>COUNTIF(connections!A:A, A85) &gt; 0</f>
        <v>0</v>
      </c>
      <c r="F85" t="s">
        <v>404</v>
      </c>
      <c r="G85" t="s">
        <v>454</v>
      </c>
    </row>
    <row r="86" spans="1:10" ht="15" customHeight="1" x14ac:dyDescent="0.25">
      <c r="A86" t="s">
        <v>455</v>
      </c>
      <c r="B86">
        <v>2025</v>
      </c>
      <c r="C86" t="s">
        <v>222</v>
      </c>
      <c r="D86" t="b">
        <f>FALSE()</f>
        <v>0</v>
      </c>
      <c r="E86" t="b">
        <f>COUNTIF(connections!A:A, A86) &gt; 0</f>
        <v>0</v>
      </c>
      <c r="G86" t="s">
        <v>456</v>
      </c>
    </row>
    <row r="87" spans="1:10" ht="15" customHeight="1" x14ac:dyDescent="0.25">
      <c r="A87" t="s">
        <v>457</v>
      </c>
      <c r="B87">
        <v>2022</v>
      </c>
      <c r="C87" t="s">
        <v>176</v>
      </c>
      <c r="D87" t="b">
        <f>TRUE()</f>
        <v>1</v>
      </c>
      <c r="E87" t="b">
        <f>COUNTIF(connections!A:A, A87) &gt; 0</f>
        <v>1</v>
      </c>
      <c r="F87" t="s">
        <v>458</v>
      </c>
      <c r="G87" t="s">
        <v>459</v>
      </c>
      <c r="H87" t="s">
        <v>187</v>
      </c>
      <c r="I87" t="s">
        <v>460</v>
      </c>
      <c r="J87" s="1" t="s">
        <v>461</v>
      </c>
    </row>
    <row r="88" spans="1:10" ht="15" customHeight="1" x14ac:dyDescent="0.25">
      <c r="A88" t="s">
        <v>462</v>
      </c>
      <c r="B88">
        <v>2018</v>
      </c>
      <c r="C88" t="s">
        <v>182</v>
      </c>
      <c r="D88" t="b">
        <f>TRUE()</f>
        <v>1</v>
      </c>
      <c r="E88" t="b">
        <f>COUNTIF(connections!A:A, A88) &gt; 0</f>
        <v>1</v>
      </c>
      <c r="G88" t="s">
        <v>463</v>
      </c>
    </row>
    <row r="89" spans="1:10" ht="15" customHeight="1" x14ac:dyDescent="0.25">
      <c r="A89" t="s">
        <v>464</v>
      </c>
      <c r="B89">
        <v>2022</v>
      </c>
      <c r="C89" t="s">
        <v>176</v>
      </c>
      <c r="D89" t="b">
        <f>TRUE()</f>
        <v>1</v>
      </c>
      <c r="E89" t="b">
        <f>COUNTIF(connections!A:A, A89) &gt; 0</f>
        <v>1</v>
      </c>
      <c r="F89" t="s">
        <v>465</v>
      </c>
      <c r="G89" t="s">
        <v>466</v>
      </c>
      <c r="H89" t="s">
        <v>187</v>
      </c>
      <c r="I89" t="s">
        <v>467</v>
      </c>
      <c r="J89" s="1" t="s">
        <v>468</v>
      </c>
    </row>
    <row r="90" spans="1:10" ht="15" customHeight="1" x14ac:dyDescent="0.25">
      <c r="A90" t="s">
        <v>469</v>
      </c>
      <c r="B90">
        <v>2021</v>
      </c>
      <c r="C90" t="s">
        <v>176</v>
      </c>
      <c r="D90" t="b">
        <f>FALSE()</f>
        <v>0</v>
      </c>
      <c r="E90" t="b">
        <f>COUNTIF(connections!A:A, A90) &gt; 0</f>
        <v>0</v>
      </c>
      <c r="G90" t="s">
        <v>470</v>
      </c>
      <c r="H90" t="s">
        <v>187</v>
      </c>
      <c r="I90" t="s">
        <v>471</v>
      </c>
      <c r="J90" s="1" t="s">
        <v>472</v>
      </c>
    </row>
    <row r="91" spans="1:10" ht="15" customHeight="1" x14ac:dyDescent="0.25">
      <c r="A91" t="s">
        <v>473</v>
      </c>
      <c r="B91">
        <v>2020</v>
      </c>
      <c r="C91" t="s">
        <v>176</v>
      </c>
      <c r="D91" t="b">
        <f>TRUE()</f>
        <v>1</v>
      </c>
      <c r="E91" t="b">
        <f>COUNTIF(connections!A:A, A91) &gt; 0</f>
        <v>0</v>
      </c>
      <c r="F91" t="s">
        <v>399</v>
      </c>
      <c r="G91" t="s">
        <v>474</v>
      </c>
      <c r="H91" t="s">
        <v>187</v>
      </c>
      <c r="I91" t="s">
        <v>475</v>
      </c>
      <c r="J91" s="1" t="s">
        <v>476</v>
      </c>
    </row>
    <row r="92" spans="1:10" ht="15" customHeight="1" x14ac:dyDescent="0.25">
      <c r="A92" t="s">
        <v>477</v>
      </c>
      <c r="B92">
        <v>2023</v>
      </c>
      <c r="C92" t="s">
        <v>182</v>
      </c>
      <c r="D92" t="b">
        <f>TRUE()</f>
        <v>1</v>
      </c>
      <c r="E92" t="b">
        <f>COUNTIF(connections!A:A, A92) &gt; 0</f>
        <v>0</v>
      </c>
      <c r="G92" t="s">
        <v>478</v>
      </c>
      <c r="J92" s="1" t="s">
        <v>479</v>
      </c>
    </row>
    <row r="93" spans="1:10" ht="15" customHeight="1" x14ac:dyDescent="0.25">
      <c r="A93" t="s">
        <v>480</v>
      </c>
      <c r="B93">
        <v>2021</v>
      </c>
      <c r="C93" t="s">
        <v>182</v>
      </c>
      <c r="D93" t="b">
        <f>TRUE()</f>
        <v>1</v>
      </c>
      <c r="E93" t="b">
        <f>COUNTIF(connections!A:A, A93) &gt; 0</f>
        <v>0</v>
      </c>
      <c r="G93" t="s">
        <v>481</v>
      </c>
      <c r="H93" t="s">
        <v>187</v>
      </c>
      <c r="I93" t="s">
        <v>482</v>
      </c>
      <c r="J93" s="1" t="s">
        <v>483</v>
      </c>
    </row>
    <row r="94" spans="1:10" ht="15" customHeight="1" x14ac:dyDescent="0.25">
      <c r="A94" t="s">
        <v>484</v>
      </c>
      <c r="B94">
        <v>2024</v>
      </c>
      <c r="C94" t="s">
        <v>182</v>
      </c>
      <c r="D94" t="b">
        <f>TRUE()</f>
        <v>1</v>
      </c>
      <c r="E94" t="b">
        <f>COUNTIF(connections!A:A, A94) &gt; 0</f>
        <v>0</v>
      </c>
      <c r="F94" t="s">
        <v>274</v>
      </c>
      <c r="G94" t="s">
        <v>485</v>
      </c>
      <c r="H94" t="s">
        <v>187</v>
      </c>
      <c r="I94" t="s">
        <v>486</v>
      </c>
      <c r="J94" s="1" t="s">
        <v>487</v>
      </c>
    </row>
    <row r="95" spans="1:10" ht="15" customHeight="1" x14ac:dyDescent="0.25">
      <c r="A95" t="s">
        <v>488</v>
      </c>
      <c r="B95">
        <v>2025</v>
      </c>
      <c r="C95" t="s">
        <v>176</v>
      </c>
      <c r="D95" t="b">
        <f>TRUE()</f>
        <v>1</v>
      </c>
      <c r="E95" t="b">
        <f>COUNTIF(connections!A:A, A95) &gt; 0</f>
        <v>0</v>
      </c>
      <c r="G95" t="s">
        <v>489</v>
      </c>
    </row>
    <row r="96" spans="1:10" ht="15" customHeight="1" x14ac:dyDescent="0.25">
      <c r="A96" t="s">
        <v>490</v>
      </c>
      <c r="B96">
        <v>2009</v>
      </c>
      <c r="C96" t="s">
        <v>179</v>
      </c>
      <c r="D96" t="b">
        <f>TRUE()</f>
        <v>1</v>
      </c>
      <c r="E96" t="b">
        <f>COUNTIF(connections!A:A, A96) &gt; 0</f>
        <v>1</v>
      </c>
      <c r="G96" t="s">
        <v>491</v>
      </c>
      <c r="H96" t="s">
        <v>187</v>
      </c>
      <c r="I96" t="s">
        <v>492</v>
      </c>
    </row>
    <row r="97" spans="1:10" ht="15" customHeight="1" x14ac:dyDescent="0.25">
      <c r="A97" t="s">
        <v>493</v>
      </c>
      <c r="B97">
        <v>2026</v>
      </c>
      <c r="C97" t="s">
        <v>222</v>
      </c>
      <c r="D97" t="b">
        <f>TRUE()</f>
        <v>1</v>
      </c>
      <c r="E97" t="b">
        <f>COUNTIF(connections!A:A, A97) &gt; 0</f>
        <v>0</v>
      </c>
      <c r="G97" t="s">
        <v>494</v>
      </c>
      <c r="H97" t="s">
        <v>187</v>
      </c>
      <c r="I97" t="s">
        <v>495</v>
      </c>
      <c r="J97" s="1" t="s">
        <v>496</v>
      </c>
    </row>
    <row r="98" spans="1:10" ht="15" customHeight="1" x14ac:dyDescent="0.25">
      <c r="A98" t="s">
        <v>497</v>
      </c>
      <c r="B98">
        <v>2022</v>
      </c>
      <c r="C98" t="s">
        <v>176</v>
      </c>
      <c r="D98" t="b">
        <f>TRUE()</f>
        <v>1</v>
      </c>
      <c r="E98" t="b">
        <f>COUNTIF(connections!A:A, A98) &gt; 0</f>
        <v>1</v>
      </c>
      <c r="G98" t="s">
        <v>498</v>
      </c>
      <c r="H98" t="s">
        <v>187</v>
      </c>
      <c r="I98" t="s">
        <v>499</v>
      </c>
      <c r="J98" s="1" t="s">
        <v>500</v>
      </c>
    </row>
    <row r="99" spans="1:10" ht="15" customHeight="1" x14ac:dyDescent="0.25">
      <c r="A99" t="s">
        <v>501</v>
      </c>
      <c r="B99">
        <v>2021</v>
      </c>
      <c r="C99" t="s">
        <v>222</v>
      </c>
      <c r="D99" t="b">
        <f>TRUE()</f>
        <v>1</v>
      </c>
      <c r="E99" t="b">
        <f>COUNTIF(connections!A:A, A99) &gt; 0</f>
        <v>0</v>
      </c>
      <c r="G99" t="s">
        <v>502</v>
      </c>
      <c r="H99" t="s">
        <v>187</v>
      </c>
      <c r="I99" t="s">
        <v>503</v>
      </c>
      <c r="J99" s="1" t="s">
        <v>504</v>
      </c>
    </row>
    <row r="100" spans="1:10" ht="15" customHeight="1" x14ac:dyDescent="0.25">
      <c r="A100" t="s">
        <v>505</v>
      </c>
      <c r="B100">
        <v>2023</v>
      </c>
      <c r="C100" t="s">
        <v>222</v>
      </c>
      <c r="D100" t="b">
        <f>TRUE()</f>
        <v>1</v>
      </c>
      <c r="E100" t="b">
        <f>COUNTIF(connections!A:A, A100) &gt; 0</f>
        <v>1</v>
      </c>
      <c r="F100" t="s">
        <v>506</v>
      </c>
      <c r="G100" t="s">
        <v>507</v>
      </c>
      <c r="H100" t="s">
        <v>187</v>
      </c>
      <c r="I100" t="s">
        <v>508</v>
      </c>
      <c r="J100" s="1" t="s">
        <v>509</v>
      </c>
    </row>
    <row r="101" spans="1:10" ht="15" customHeight="1" x14ac:dyDescent="0.25">
      <c r="A101" t="s">
        <v>7832</v>
      </c>
      <c r="B101">
        <v>2019</v>
      </c>
      <c r="C101" t="s">
        <v>179</v>
      </c>
      <c r="D101" t="b">
        <f>TRUE()</f>
        <v>1</v>
      </c>
      <c r="E101" t="b">
        <f>COUNTIF(connections!A:A, A101) &gt; 0</f>
        <v>0</v>
      </c>
      <c r="G101" t="s">
        <v>7833</v>
      </c>
    </row>
    <row r="102" spans="1:10" ht="15" customHeight="1" x14ac:dyDescent="0.25">
      <c r="A102" t="s">
        <v>510</v>
      </c>
      <c r="B102">
        <v>2018</v>
      </c>
      <c r="C102" t="s">
        <v>176</v>
      </c>
      <c r="D102" t="b">
        <f>TRUE()</f>
        <v>1</v>
      </c>
      <c r="E102" t="b">
        <f>COUNTIF(connections!A:A, A102) &gt; 0</f>
        <v>1</v>
      </c>
      <c r="G102" t="s">
        <v>511</v>
      </c>
      <c r="H102" t="s">
        <v>187</v>
      </c>
      <c r="I102" t="s">
        <v>512</v>
      </c>
    </row>
    <row r="103" spans="1:10" ht="15" customHeight="1" x14ac:dyDescent="0.25">
      <c r="A103" t="s">
        <v>513</v>
      </c>
      <c r="B103">
        <v>2016</v>
      </c>
      <c r="C103" t="s">
        <v>176</v>
      </c>
      <c r="D103" t="b">
        <f>FALSE()</f>
        <v>0</v>
      </c>
      <c r="E103" t="b">
        <f>COUNTIF(connections!A:A, A103) &gt; 0</f>
        <v>0</v>
      </c>
      <c r="G103" t="s">
        <v>514</v>
      </c>
      <c r="H103" t="s">
        <v>187</v>
      </c>
      <c r="I103" t="s">
        <v>515</v>
      </c>
      <c r="J103" s="1" t="s">
        <v>516</v>
      </c>
    </row>
    <row r="104" spans="1:10" ht="15" customHeight="1" x14ac:dyDescent="0.25">
      <c r="A104" t="s">
        <v>517</v>
      </c>
      <c r="B104">
        <v>2010</v>
      </c>
      <c r="C104" t="s">
        <v>179</v>
      </c>
      <c r="D104" t="b">
        <f>TRUE()</f>
        <v>1</v>
      </c>
      <c r="E104" t="b">
        <f>COUNTIF(connections!A:A, A104) &gt; 0</f>
        <v>1</v>
      </c>
      <c r="G104" t="s">
        <v>518</v>
      </c>
    </row>
    <row r="105" spans="1:10" ht="15" customHeight="1" x14ac:dyDescent="0.25">
      <c r="A105" t="s">
        <v>519</v>
      </c>
      <c r="B105">
        <v>2014</v>
      </c>
      <c r="C105" t="s">
        <v>179</v>
      </c>
      <c r="D105" t="b">
        <f>TRUE()</f>
        <v>1</v>
      </c>
      <c r="E105" t="b">
        <f>COUNTIF(connections!A:A, A105) &gt; 0</f>
        <v>0</v>
      </c>
      <c r="G105" t="s">
        <v>520</v>
      </c>
      <c r="J105" s="10" t="s">
        <v>521</v>
      </c>
    </row>
    <row r="106" spans="1:10" ht="15" customHeight="1" x14ac:dyDescent="0.25">
      <c r="A106" t="s">
        <v>522</v>
      </c>
      <c r="B106">
        <v>1994</v>
      </c>
      <c r="C106" t="s">
        <v>179</v>
      </c>
      <c r="D106" t="b">
        <f>TRUE()</f>
        <v>1</v>
      </c>
      <c r="E106" t="b">
        <f>COUNTIF(connections!A:A, A106) &gt; 0</f>
        <v>1</v>
      </c>
      <c r="G106" t="s">
        <v>523</v>
      </c>
      <c r="H106" t="s">
        <v>187</v>
      </c>
      <c r="I106" t="s">
        <v>524</v>
      </c>
    </row>
    <row r="107" spans="1:10" ht="15" customHeight="1" x14ac:dyDescent="0.25">
      <c r="A107" t="s">
        <v>525</v>
      </c>
      <c r="B107">
        <v>2005</v>
      </c>
      <c r="C107" t="s">
        <v>179</v>
      </c>
      <c r="D107" t="b">
        <f>TRUE()</f>
        <v>1</v>
      </c>
      <c r="E107" t="b">
        <f>COUNTIF(connections!A:A, A107) &gt; 0</f>
        <v>1</v>
      </c>
      <c r="G107" t="s">
        <v>526</v>
      </c>
      <c r="H107" t="s">
        <v>187</v>
      </c>
      <c r="I107" t="s">
        <v>527</v>
      </c>
    </row>
    <row r="108" spans="1:10" ht="15" customHeight="1" x14ac:dyDescent="0.25">
      <c r="A108" t="s">
        <v>528</v>
      </c>
      <c r="B108">
        <v>2024</v>
      </c>
      <c r="C108" t="s">
        <v>182</v>
      </c>
      <c r="D108" t="b">
        <f>TRUE()</f>
        <v>1</v>
      </c>
      <c r="E108" t="b">
        <f>COUNTIF(connections!A:A, A108) &gt; 0</f>
        <v>0</v>
      </c>
      <c r="F108" t="s">
        <v>529</v>
      </c>
      <c r="G108" t="s">
        <v>530</v>
      </c>
    </row>
    <row r="109" spans="1:10" ht="15" customHeight="1" x14ac:dyDescent="0.25">
      <c r="A109" t="s">
        <v>531</v>
      </c>
      <c r="B109">
        <v>2010</v>
      </c>
      <c r="C109" t="s">
        <v>179</v>
      </c>
      <c r="D109" t="b">
        <f>TRUE()</f>
        <v>1</v>
      </c>
      <c r="E109" t="b">
        <f>COUNTIF(connections!A:A, A109) &gt; 0</f>
        <v>1</v>
      </c>
      <c r="F109" t="s">
        <v>458</v>
      </c>
      <c r="G109" t="s">
        <v>532</v>
      </c>
      <c r="H109" t="s">
        <v>187</v>
      </c>
      <c r="I109" t="s">
        <v>533</v>
      </c>
    </row>
    <row r="110" spans="1:10" ht="15" customHeight="1" x14ac:dyDescent="0.25">
      <c r="A110" t="s">
        <v>534</v>
      </c>
      <c r="B110">
        <v>2020</v>
      </c>
      <c r="C110" t="s">
        <v>179</v>
      </c>
      <c r="D110" t="b">
        <f>TRUE()</f>
        <v>1</v>
      </c>
      <c r="E110" t="b">
        <f>COUNTIF(connections!A:A, A110) &gt; 0</f>
        <v>0</v>
      </c>
      <c r="F110" t="s">
        <v>458</v>
      </c>
      <c r="G110" t="s">
        <v>535</v>
      </c>
      <c r="H110" t="s">
        <v>187</v>
      </c>
      <c r="I110" t="s">
        <v>7478</v>
      </c>
    </row>
    <row r="111" spans="1:10" ht="15" customHeight="1" x14ac:dyDescent="0.25">
      <c r="A111" t="s">
        <v>536</v>
      </c>
      <c r="B111">
        <v>2013</v>
      </c>
      <c r="C111" t="s">
        <v>179</v>
      </c>
      <c r="D111" t="b">
        <f>TRUE()</f>
        <v>1</v>
      </c>
      <c r="E111" t="b">
        <f>COUNTIF(connections!A:A, A111) &gt; 0</f>
        <v>1</v>
      </c>
      <c r="F111" t="s">
        <v>458</v>
      </c>
      <c r="G111" t="s">
        <v>537</v>
      </c>
      <c r="H111" t="s">
        <v>187</v>
      </c>
      <c r="I111" t="s">
        <v>7479</v>
      </c>
    </row>
    <row r="112" spans="1:10" ht="15" customHeight="1" x14ac:dyDescent="0.25">
      <c r="A112" t="s">
        <v>538</v>
      </c>
      <c r="B112">
        <v>2025</v>
      </c>
      <c r="C112" t="s">
        <v>179</v>
      </c>
      <c r="D112" t="b">
        <f>TRUE()</f>
        <v>1</v>
      </c>
      <c r="E112" t="b">
        <f>COUNTIF(connections!A:A, A112) &gt; 0</f>
        <v>0</v>
      </c>
      <c r="F112" t="s">
        <v>458</v>
      </c>
      <c r="G112" t="s">
        <v>539</v>
      </c>
      <c r="H112" t="s">
        <v>187</v>
      </c>
      <c r="I112" t="s">
        <v>7480</v>
      </c>
    </row>
    <row r="113" spans="1:10" ht="15" customHeight="1" x14ac:dyDescent="0.25">
      <c r="A113" t="s">
        <v>540</v>
      </c>
      <c r="B113">
        <v>2015</v>
      </c>
      <c r="C113" t="s">
        <v>176</v>
      </c>
      <c r="D113" t="b">
        <v>1</v>
      </c>
      <c r="E113" t="b">
        <f>COUNTIF(connections!A:A, A113) &gt; 0</f>
        <v>1</v>
      </c>
      <c r="G113" t="s">
        <v>541</v>
      </c>
      <c r="J113" s="10" t="s">
        <v>542</v>
      </c>
    </row>
    <row r="114" spans="1:10" ht="15" customHeight="1" x14ac:dyDescent="0.25">
      <c r="A114" t="s">
        <v>543</v>
      </c>
      <c r="B114">
        <v>2025</v>
      </c>
      <c r="C114" t="s">
        <v>182</v>
      </c>
      <c r="D114" t="b">
        <f>TRUE()</f>
        <v>1</v>
      </c>
      <c r="E114" t="b">
        <f>COUNTIF(connections!A:A, A114) &gt; 0</f>
        <v>0</v>
      </c>
      <c r="F114" t="s">
        <v>529</v>
      </c>
      <c r="G114" t="s">
        <v>544</v>
      </c>
      <c r="H114" t="s">
        <v>187</v>
      </c>
      <c r="I114" t="s">
        <v>8355</v>
      </c>
      <c r="J114" s="1" t="s">
        <v>545</v>
      </c>
    </row>
    <row r="115" spans="1:10" ht="15" customHeight="1" x14ac:dyDescent="0.25">
      <c r="A115" t="s">
        <v>546</v>
      </c>
      <c r="B115">
        <v>1991</v>
      </c>
      <c r="C115" t="s">
        <v>179</v>
      </c>
      <c r="D115" t="b">
        <f>TRUE()</f>
        <v>1</v>
      </c>
      <c r="E115" t="b">
        <f>COUNTIF(connections!A:A, A115) &gt; 0</f>
        <v>0</v>
      </c>
      <c r="G115" t="s">
        <v>547</v>
      </c>
      <c r="H115" t="s">
        <v>187</v>
      </c>
      <c r="I115" t="s">
        <v>548</v>
      </c>
    </row>
    <row r="116" spans="1:10" ht="15" customHeight="1" x14ac:dyDescent="0.25">
      <c r="A116" t="s">
        <v>549</v>
      </c>
      <c r="B116">
        <v>2017</v>
      </c>
      <c r="C116" t="s">
        <v>176</v>
      </c>
      <c r="D116" t="b">
        <f>TRUE()</f>
        <v>1</v>
      </c>
      <c r="E116" t="b">
        <f>COUNTIF(connections!A:A, A116) &gt; 0</f>
        <v>1</v>
      </c>
      <c r="G116" t="s">
        <v>550</v>
      </c>
      <c r="H116" t="s">
        <v>187</v>
      </c>
      <c r="I116" t="s">
        <v>551</v>
      </c>
      <c r="J116" s="1" t="s">
        <v>552</v>
      </c>
    </row>
    <row r="117" spans="1:10" ht="15" customHeight="1" x14ac:dyDescent="0.25">
      <c r="A117" t="s">
        <v>553</v>
      </c>
      <c r="B117">
        <v>2010</v>
      </c>
      <c r="C117" t="s">
        <v>179</v>
      </c>
      <c r="D117" t="b">
        <f>TRUE()</f>
        <v>1</v>
      </c>
      <c r="E117" t="b">
        <f>COUNTIF(connections!A:A, A117) &gt; 0</f>
        <v>1</v>
      </c>
      <c r="G117" t="s">
        <v>554</v>
      </c>
      <c r="H117" t="s">
        <v>187</v>
      </c>
      <c r="I117" t="s">
        <v>555</v>
      </c>
      <c r="J117" s="1" t="s">
        <v>556</v>
      </c>
    </row>
    <row r="118" spans="1:10" ht="15" customHeight="1" x14ac:dyDescent="0.25">
      <c r="A118" t="s">
        <v>557</v>
      </c>
      <c r="B118">
        <v>2020</v>
      </c>
      <c r="C118" t="s">
        <v>176</v>
      </c>
      <c r="D118" t="b">
        <f>TRUE()</f>
        <v>1</v>
      </c>
      <c r="E118" t="b">
        <f>COUNTIF(connections!A:A, A118) &gt; 0</f>
        <v>0</v>
      </c>
      <c r="G118" t="s">
        <v>558</v>
      </c>
      <c r="H118" t="s">
        <v>187</v>
      </c>
      <c r="I118" t="s">
        <v>559</v>
      </c>
      <c r="J118" s="1" t="s">
        <v>560</v>
      </c>
    </row>
    <row r="119" spans="1:10" ht="15" customHeight="1" x14ac:dyDescent="0.25">
      <c r="A119" t="s">
        <v>561</v>
      </c>
      <c r="B119">
        <v>2025</v>
      </c>
      <c r="C119" t="s">
        <v>222</v>
      </c>
      <c r="D119" t="b">
        <f>FALSE()</f>
        <v>0</v>
      </c>
      <c r="E119" t="b">
        <f>COUNTIF(connections!A:A, A119) &gt; 0</f>
        <v>0</v>
      </c>
      <c r="G119" t="s">
        <v>562</v>
      </c>
    </row>
    <row r="120" spans="1:10" ht="15" customHeight="1" x14ac:dyDescent="0.25">
      <c r="A120" t="s">
        <v>563</v>
      </c>
      <c r="B120">
        <v>2023</v>
      </c>
      <c r="C120" t="s">
        <v>176</v>
      </c>
      <c r="D120" t="b">
        <f>TRUE()</f>
        <v>1</v>
      </c>
      <c r="E120" t="b">
        <f>COUNTIF(connections!A:A, A120) &gt; 0</f>
        <v>0</v>
      </c>
      <c r="G120" t="s">
        <v>564</v>
      </c>
      <c r="H120" t="s">
        <v>187</v>
      </c>
      <c r="I120" t="s">
        <v>565</v>
      </c>
      <c r="J120" s="1" t="s">
        <v>566</v>
      </c>
    </row>
    <row r="121" spans="1:10" ht="15" customHeight="1" x14ac:dyDescent="0.25">
      <c r="A121" t="s">
        <v>567</v>
      </c>
      <c r="B121">
        <v>2025</v>
      </c>
      <c r="C121" t="s">
        <v>182</v>
      </c>
      <c r="D121" t="b">
        <f>TRUE()</f>
        <v>1</v>
      </c>
      <c r="E121" t="b">
        <f>COUNTIF(connections!A:A, A121) &gt; 0</f>
        <v>0</v>
      </c>
      <c r="F121" t="s">
        <v>568</v>
      </c>
      <c r="G121" t="s">
        <v>569</v>
      </c>
      <c r="H121" t="s">
        <v>187</v>
      </c>
      <c r="I121" t="s">
        <v>570</v>
      </c>
    </row>
    <row r="122" spans="1:10" ht="15" customHeight="1" x14ac:dyDescent="0.25">
      <c r="A122" t="s">
        <v>571</v>
      </c>
      <c r="B122">
        <v>2022</v>
      </c>
      <c r="C122" t="s">
        <v>176</v>
      </c>
      <c r="D122" t="b">
        <f>TRUE()</f>
        <v>1</v>
      </c>
      <c r="E122" t="b">
        <f>COUNTIF(connections!A:A, A122) &gt; 0</f>
        <v>1</v>
      </c>
      <c r="G122" t="s">
        <v>572</v>
      </c>
      <c r="H122" t="s">
        <v>187</v>
      </c>
      <c r="I122" t="s">
        <v>8333</v>
      </c>
      <c r="J122" s="10" t="s">
        <v>573</v>
      </c>
    </row>
    <row r="123" spans="1:10" ht="15" customHeight="1" x14ac:dyDescent="0.25">
      <c r="A123" t="s">
        <v>574</v>
      </c>
      <c r="B123">
        <v>2019</v>
      </c>
      <c r="C123" t="s">
        <v>176</v>
      </c>
      <c r="D123" t="b">
        <f>TRUE()</f>
        <v>1</v>
      </c>
      <c r="E123" t="b">
        <f>COUNTIF(connections!A:A, A123) &gt; 0</f>
        <v>1</v>
      </c>
      <c r="G123" t="s">
        <v>575</v>
      </c>
      <c r="H123" t="s">
        <v>187</v>
      </c>
      <c r="I123" t="s">
        <v>576</v>
      </c>
      <c r="J123" s="1" t="s">
        <v>577</v>
      </c>
    </row>
    <row r="124" spans="1:10" ht="15" customHeight="1" x14ac:dyDescent="0.25">
      <c r="A124" t="s">
        <v>578</v>
      </c>
      <c r="B124">
        <v>1998</v>
      </c>
      <c r="C124" t="s">
        <v>179</v>
      </c>
      <c r="D124" t="b">
        <f>TRUE()</f>
        <v>1</v>
      </c>
      <c r="E124" t="b">
        <f>COUNTIF(connections!A:A, A124) &gt; 0</f>
        <v>1</v>
      </c>
      <c r="G124" t="s">
        <v>579</v>
      </c>
      <c r="H124" t="s">
        <v>187</v>
      </c>
      <c r="I124" t="s">
        <v>580</v>
      </c>
    </row>
    <row r="125" spans="1:10" ht="15" customHeight="1" x14ac:dyDescent="0.25">
      <c r="A125" t="s">
        <v>581</v>
      </c>
      <c r="B125">
        <v>1997</v>
      </c>
      <c r="C125" t="s">
        <v>179</v>
      </c>
      <c r="D125" t="b">
        <f>TRUE()</f>
        <v>1</v>
      </c>
      <c r="E125" t="b">
        <f>COUNTIF(connections!A:A, A125) &gt; 0</f>
        <v>1</v>
      </c>
      <c r="G125" t="s">
        <v>582</v>
      </c>
      <c r="H125" t="s">
        <v>187</v>
      </c>
      <c r="I125" t="s">
        <v>583</v>
      </c>
    </row>
    <row r="126" spans="1:10" ht="15" customHeight="1" x14ac:dyDescent="0.25">
      <c r="A126" t="s">
        <v>584</v>
      </c>
      <c r="B126">
        <v>2019</v>
      </c>
      <c r="C126" t="s">
        <v>179</v>
      </c>
      <c r="D126" t="b">
        <f>TRUE()</f>
        <v>1</v>
      </c>
      <c r="E126" t="b">
        <f>COUNTIF(connections!A:A, A126) &gt; 0</f>
        <v>0</v>
      </c>
      <c r="G126" t="s">
        <v>585</v>
      </c>
    </row>
    <row r="127" spans="1:10" ht="15" customHeight="1" x14ac:dyDescent="0.25">
      <c r="A127" t="s">
        <v>586</v>
      </c>
      <c r="B127">
        <v>2023</v>
      </c>
      <c r="C127" t="s">
        <v>176</v>
      </c>
      <c r="D127" t="b">
        <f>TRUE()</f>
        <v>1</v>
      </c>
      <c r="E127" t="b">
        <f>COUNTIF(connections!A:A, A127) &gt; 0</f>
        <v>1</v>
      </c>
      <c r="F127" t="s">
        <v>587</v>
      </c>
      <c r="G127" t="s">
        <v>588</v>
      </c>
      <c r="H127" t="s">
        <v>187</v>
      </c>
      <c r="I127" t="s">
        <v>589</v>
      </c>
      <c r="J127" s="1" t="s">
        <v>590</v>
      </c>
    </row>
    <row r="128" spans="1:10" ht="15" customHeight="1" x14ac:dyDescent="0.25">
      <c r="A128" t="s">
        <v>591</v>
      </c>
      <c r="B128">
        <v>2025</v>
      </c>
      <c r="C128" t="s">
        <v>176</v>
      </c>
      <c r="D128" t="b">
        <f>TRUE()</f>
        <v>1</v>
      </c>
      <c r="E128" t="b">
        <f>COUNTIF(connections!A:A, A128) &gt; 0</f>
        <v>0</v>
      </c>
      <c r="F128" t="s">
        <v>587</v>
      </c>
      <c r="G128" t="s">
        <v>592</v>
      </c>
      <c r="H128" t="s">
        <v>187</v>
      </c>
      <c r="I128" t="s">
        <v>593</v>
      </c>
      <c r="J128" s="1" t="s">
        <v>594</v>
      </c>
    </row>
    <row r="129" spans="1:10" ht="15" customHeight="1" x14ac:dyDescent="0.25">
      <c r="A129" t="s">
        <v>595</v>
      </c>
      <c r="B129">
        <v>2026</v>
      </c>
      <c r="C129" t="s">
        <v>182</v>
      </c>
      <c r="D129" t="b">
        <f>TRUE()</f>
        <v>1</v>
      </c>
      <c r="E129" t="b">
        <f>COUNTIF(connections!A:A, A129) &gt; 0</f>
        <v>0</v>
      </c>
      <c r="G129" t="s">
        <v>596</v>
      </c>
      <c r="J129" s="10" t="s">
        <v>597</v>
      </c>
    </row>
    <row r="130" spans="1:10" ht="15" customHeight="1" x14ac:dyDescent="0.25">
      <c r="A130" t="s">
        <v>598</v>
      </c>
      <c r="B130">
        <v>2019</v>
      </c>
      <c r="C130" t="s">
        <v>182</v>
      </c>
      <c r="D130" t="b">
        <f>TRUE()</f>
        <v>1</v>
      </c>
      <c r="E130" t="b">
        <f>COUNTIF(connections!A:A, A130) &gt; 0</f>
        <v>0</v>
      </c>
      <c r="G130" t="s">
        <v>599</v>
      </c>
      <c r="H130" t="s">
        <v>187</v>
      </c>
      <c r="I130" t="s">
        <v>600</v>
      </c>
      <c r="J130" s="1" t="s">
        <v>601</v>
      </c>
    </row>
    <row r="131" spans="1:10" ht="15" customHeight="1" x14ac:dyDescent="0.25">
      <c r="A131" t="s">
        <v>602</v>
      </c>
      <c r="B131">
        <v>2026</v>
      </c>
      <c r="C131" t="s">
        <v>176</v>
      </c>
      <c r="D131" t="b">
        <f>TRUE()</f>
        <v>1</v>
      </c>
      <c r="E131" t="b">
        <f>COUNTIF(connections!A:A, A131) &gt; 0</f>
        <v>0</v>
      </c>
      <c r="G131" t="s">
        <v>603</v>
      </c>
    </row>
    <row r="132" spans="1:10" ht="15" customHeight="1" x14ac:dyDescent="0.25">
      <c r="A132" t="s">
        <v>604</v>
      </c>
      <c r="B132">
        <v>2025</v>
      </c>
      <c r="C132" t="s">
        <v>176</v>
      </c>
      <c r="D132" t="b">
        <f>TRUE()</f>
        <v>1</v>
      </c>
      <c r="E132" t="b">
        <f>COUNTIF(connections!A:A, A132) &gt; 0</f>
        <v>0</v>
      </c>
      <c r="G132" t="s">
        <v>605</v>
      </c>
      <c r="H132" t="s">
        <v>187</v>
      </c>
      <c r="I132" t="s">
        <v>8138</v>
      </c>
      <c r="J132" s="10" t="s">
        <v>8139</v>
      </c>
    </row>
    <row r="133" spans="1:10" ht="15" customHeight="1" x14ac:dyDescent="0.25">
      <c r="A133" t="s">
        <v>606</v>
      </c>
      <c r="B133">
        <v>2025</v>
      </c>
      <c r="C133" t="s">
        <v>222</v>
      </c>
      <c r="D133" t="b">
        <f>TRUE()</f>
        <v>1</v>
      </c>
      <c r="E133" t="b">
        <f>COUNTIF(connections!A:A, A133) &gt; 0</f>
        <v>1</v>
      </c>
      <c r="F133" t="s">
        <v>354</v>
      </c>
      <c r="G133" t="s">
        <v>607</v>
      </c>
      <c r="H133" t="s">
        <v>187</v>
      </c>
      <c r="I133" t="s">
        <v>608</v>
      </c>
      <c r="J133" s="1" t="s">
        <v>609</v>
      </c>
    </row>
    <row r="134" spans="1:10" ht="15" customHeight="1" x14ac:dyDescent="0.25">
      <c r="A134" t="s">
        <v>610</v>
      </c>
      <c r="B134">
        <v>2024</v>
      </c>
      <c r="C134" t="s">
        <v>222</v>
      </c>
      <c r="D134" t="b">
        <f>TRUE()</f>
        <v>1</v>
      </c>
      <c r="E134" t="b">
        <f>COUNTIF(connections!A:A, A134) &gt; 0</f>
        <v>0</v>
      </c>
      <c r="F134" t="s">
        <v>277</v>
      </c>
      <c r="G134" t="s">
        <v>611</v>
      </c>
      <c r="J134" s="10" t="s">
        <v>612</v>
      </c>
    </row>
    <row r="135" spans="1:10" ht="15" customHeight="1" x14ac:dyDescent="0.25">
      <c r="A135" t="s">
        <v>613</v>
      </c>
      <c r="B135">
        <v>2025</v>
      </c>
      <c r="C135" t="s">
        <v>182</v>
      </c>
      <c r="D135" t="b">
        <f>TRUE()</f>
        <v>1</v>
      </c>
      <c r="E135" t="b">
        <f>COUNTIF(connections!A:A, A135) &gt; 0</f>
        <v>0</v>
      </c>
      <c r="F135" t="s">
        <v>614</v>
      </c>
      <c r="G135" t="s">
        <v>615</v>
      </c>
    </row>
    <row r="136" spans="1:10" ht="15" customHeight="1" x14ac:dyDescent="0.25">
      <c r="A136" t="s">
        <v>616</v>
      </c>
      <c r="B136">
        <v>2025</v>
      </c>
      <c r="C136" t="s">
        <v>222</v>
      </c>
      <c r="D136" t="b">
        <f>FALSE()</f>
        <v>0</v>
      </c>
      <c r="E136" t="b">
        <f>COUNTIF(connections!A:A, A136) &gt; 0</f>
        <v>0</v>
      </c>
      <c r="F136" t="s">
        <v>617</v>
      </c>
      <c r="G136" t="s">
        <v>618</v>
      </c>
    </row>
    <row r="137" spans="1:10" ht="15" customHeight="1" x14ac:dyDescent="0.25">
      <c r="A137" t="s">
        <v>619</v>
      </c>
      <c r="B137">
        <v>2023</v>
      </c>
      <c r="C137" t="s">
        <v>182</v>
      </c>
      <c r="D137" t="b">
        <f>TRUE()</f>
        <v>1</v>
      </c>
      <c r="E137" t="b">
        <f>COUNTIF(connections!A:A, A137) &gt; 0</f>
        <v>0</v>
      </c>
      <c r="F137" t="s">
        <v>274</v>
      </c>
      <c r="G137" t="s">
        <v>620</v>
      </c>
      <c r="H137" t="s">
        <v>187</v>
      </c>
      <c r="I137" t="s">
        <v>621</v>
      </c>
      <c r="J137" s="1" t="s">
        <v>622</v>
      </c>
    </row>
    <row r="138" spans="1:10" ht="15" customHeight="1" x14ac:dyDescent="0.25">
      <c r="A138" t="s">
        <v>623</v>
      </c>
      <c r="B138">
        <v>2017</v>
      </c>
      <c r="C138" t="s">
        <v>179</v>
      </c>
      <c r="D138" t="b">
        <f>TRUE()</f>
        <v>1</v>
      </c>
      <c r="E138" t="b">
        <f>COUNTIF(connections!A:A, A138) &gt; 0</f>
        <v>1</v>
      </c>
      <c r="G138" t="s">
        <v>624</v>
      </c>
    </row>
    <row r="139" spans="1:10" ht="15" customHeight="1" x14ac:dyDescent="0.25">
      <c r="A139" t="s">
        <v>625</v>
      </c>
      <c r="B139">
        <v>2013</v>
      </c>
      <c r="C139" t="s">
        <v>182</v>
      </c>
      <c r="D139" t="b">
        <f>TRUE()</f>
        <v>1</v>
      </c>
      <c r="E139" t="b">
        <f>COUNTIF(connections!A:A, A139) &gt; 0</f>
        <v>0</v>
      </c>
      <c r="G139" t="s">
        <v>626</v>
      </c>
      <c r="H139" t="s">
        <v>187</v>
      </c>
      <c r="I139" t="s">
        <v>627</v>
      </c>
      <c r="J139" s="1" t="s">
        <v>628</v>
      </c>
    </row>
    <row r="140" spans="1:10" ht="15" customHeight="1" x14ac:dyDescent="0.25">
      <c r="A140" t="s">
        <v>629</v>
      </c>
      <c r="B140">
        <v>2020</v>
      </c>
      <c r="C140" t="s">
        <v>176</v>
      </c>
      <c r="D140" t="b">
        <f>TRUE()</f>
        <v>1</v>
      </c>
      <c r="E140" t="b">
        <f>COUNTIF(connections!A:A, A140) &gt; 0</f>
        <v>0</v>
      </c>
      <c r="F140" t="s">
        <v>465</v>
      </c>
      <c r="G140" t="s">
        <v>630</v>
      </c>
      <c r="H140" t="s">
        <v>187</v>
      </c>
      <c r="I140" t="s">
        <v>631</v>
      </c>
      <c r="J140" s="1" t="s">
        <v>632</v>
      </c>
    </row>
    <row r="141" spans="1:10" ht="15" customHeight="1" x14ac:dyDescent="0.25">
      <c r="A141" t="s">
        <v>7653</v>
      </c>
      <c r="B141">
        <v>2026</v>
      </c>
      <c r="C141" t="s">
        <v>222</v>
      </c>
      <c r="D141" t="b">
        <f>TRUE()</f>
        <v>1</v>
      </c>
      <c r="E141" t="b">
        <f>COUNTIF(connections!A:A, A141) &gt; 0</f>
        <v>0</v>
      </c>
      <c r="G141" t="s">
        <v>7652</v>
      </c>
      <c r="J141" s="10" t="s">
        <v>7651</v>
      </c>
    </row>
    <row r="142" spans="1:10" ht="15" customHeight="1" x14ac:dyDescent="0.25">
      <c r="A142" t="s">
        <v>633</v>
      </c>
      <c r="B142">
        <v>2025</v>
      </c>
      <c r="C142" t="s">
        <v>182</v>
      </c>
      <c r="D142" t="b">
        <f>TRUE()</f>
        <v>1</v>
      </c>
      <c r="E142" t="b">
        <f>COUNTIF(connections!A:A, A142) &gt; 0</f>
        <v>0</v>
      </c>
      <c r="G142" t="s">
        <v>634</v>
      </c>
    </row>
    <row r="143" spans="1:10" ht="15" customHeight="1" x14ac:dyDescent="0.25">
      <c r="A143" t="s">
        <v>635</v>
      </c>
      <c r="B143">
        <v>2022</v>
      </c>
      <c r="C143" t="s">
        <v>176</v>
      </c>
      <c r="D143" t="b">
        <f>TRUE()</f>
        <v>1</v>
      </c>
      <c r="E143" t="b">
        <f>COUNTIF(connections!A:A, A143) &gt; 0</f>
        <v>0</v>
      </c>
      <c r="G143" t="s">
        <v>636</v>
      </c>
      <c r="H143" t="s">
        <v>187</v>
      </c>
      <c r="I143" t="s">
        <v>637</v>
      </c>
      <c r="J143" s="1" t="s">
        <v>638</v>
      </c>
    </row>
    <row r="144" spans="1:10" ht="15" customHeight="1" x14ac:dyDescent="0.25">
      <c r="A144" t="s">
        <v>639</v>
      </c>
      <c r="B144">
        <v>2015</v>
      </c>
      <c r="C144" t="s">
        <v>222</v>
      </c>
      <c r="D144" t="b">
        <f>TRUE()</f>
        <v>1</v>
      </c>
      <c r="E144" t="b">
        <f>COUNTIF(connections!A:A, A144) &gt; 0</f>
        <v>0</v>
      </c>
      <c r="G144" t="s">
        <v>640</v>
      </c>
      <c r="H144" t="s">
        <v>187</v>
      </c>
      <c r="I144" t="s">
        <v>641</v>
      </c>
      <c r="J144" s="1" t="s">
        <v>642</v>
      </c>
    </row>
    <row r="145" spans="1:10" ht="15" customHeight="1" x14ac:dyDescent="0.25">
      <c r="A145" t="s">
        <v>643</v>
      </c>
      <c r="B145">
        <v>2020</v>
      </c>
      <c r="C145" t="s">
        <v>222</v>
      </c>
      <c r="D145" t="b">
        <f>TRUE()</f>
        <v>1</v>
      </c>
      <c r="E145" t="b">
        <f>COUNTIF(connections!A:A, A145) &gt; 0</f>
        <v>1</v>
      </c>
      <c r="F145" t="s">
        <v>404</v>
      </c>
      <c r="G145" t="s">
        <v>644</v>
      </c>
      <c r="H145" t="s">
        <v>187</v>
      </c>
      <c r="I145" t="s">
        <v>645</v>
      </c>
      <c r="J145" s="1" t="s">
        <v>646</v>
      </c>
    </row>
    <row r="146" spans="1:10" ht="15" customHeight="1" x14ac:dyDescent="0.25">
      <c r="A146" t="s">
        <v>647</v>
      </c>
      <c r="B146">
        <v>2023</v>
      </c>
      <c r="C146" t="s">
        <v>176</v>
      </c>
      <c r="D146" t="b">
        <f>TRUE()</f>
        <v>1</v>
      </c>
      <c r="E146" t="b">
        <f>COUNTIF(connections!A:A, A146) &gt; 0</f>
        <v>0</v>
      </c>
      <c r="G146" t="s">
        <v>648</v>
      </c>
      <c r="H146" t="s">
        <v>187</v>
      </c>
      <c r="I146" t="s">
        <v>649</v>
      </c>
      <c r="J146" s="1" t="s">
        <v>650</v>
      </c>
    </row>
    <row r="147" spans="1:10" ht="15" customHeight="1" x14ac:dyDescent="0.25">
      <c r="A147" t="s">
        <v>651</v>
      </c>
      <c r="B147">
        <v>2023</v>
      </c>
      <c r="C147" t="s">
        <v>176</v>
      </c>
      <c r="D147" t="b">
        <f>TRUE()</f>
        <v>1</v>
      </c>
      <c r="E147" t="b">
        <f>COUNTIF(connections!A:A, A147) &gt; 0</f>
        <v>1</v>
      </c>
      <c r="F147" t="s">
        <v>652</v>
      </c>
      <c r="G147" t="s">
        <v>653</v>
      </c>
      <c r="H147" t="s">
        <v>187</v>
      </c>
      <c r="I147" t="s">
        <v>654</v>
      </c>
      <c r="J147" s="1" t="s">
        <v>655</v>
      </c>
    </row>
    <row r="148" spans="1:10" ht="15" customHeight="1" x14ac:dyDescent="0.25">
      <c r="A148" t="s">
        <v>656</v>
      </c>
      <c r="B148">
        <v>2025</v>
      </c>
      <c r="C148" t="s">
        <v>179</v>
      </c>
      <c r="D148" t="b">
        <f>TRUE()</f>
        <v>1</v>
      </c>
      <c r="E148" t="b">
        <f>COUNTIF(connections!A:A, A148) &gt; 0</f>
        <v>0</v>
      </c>
      <c r="G148" t="s">
        <v>657</v>
      </c>
      <c r="H148" t="s">
        <v>187</v>
      </c>
      <c r="I148" t="s">
        <v>658</v>
      </c>
    </row>
    <row r="149" spans="1:10" ht="15" customHeight="1" x14ac:dyDescent="0.25">
      <c r="A149" t="s">
        <v>659</v>
      </c>
      <c r="B149">
        <v>2023</v>
      </c>
      <c r="C149" t="s">
        <v>176</v>
      </c>
      <c r="D149" t="b">
        <f>TRUE()</f>
        <v>1</v>
      </c>
      <c r="E149" t="b">
        <f>COUNTIF(connections!A:A, A149) &gt; 0</f>
        <v>0</v>
      </c>
      <c r="G149" t="s">
        <v>660</v>
      </c>
      <c r="H149" t="s">
        <v>187</v>
      </c>
      <c r="I149" t="s">
        <v>661</v>
      </c>
      <c r="J149" s="1" t="s">
        <v>662</v>
      </c>
    </row>
    <row r="150" spans="1:10" ht="15" customHeight="1" x14ac:dyDescent="0.25">
      <c r="A150" t="s">
        <v>663</v>
      </c>
      <c r="B150">
        <v>2017</v>
      </c>
      <c r="C150" t="s">
        <v>176</v>
      </c>
      <c r="D150" t="b">
        <f>TRUE()</f>
        <v>1</v>
      </c>
      <c r="E150" t="b">
        <f>COUNTIF(connections!A:A, A150) &gt; 0</f>
        <v>0</v>
      </c>
      <c r="G150" t="s">
        <v>664</v>
      </c>
      <c r="H150" t="s">
        <v>187</v>
      </c>
      <c r="I150" t="s">
        <v>665</v>
      </c>
      <c r="J150" s="1" t="s">
        <v>666</v>
      </c>
    </row>
    <row r="151" spans="1:10" ht="15" customHeight="1" x14ac:dyDescent="0.25">
      <c r="A151" t="s">
        <v>667</v>
      </c>
      <c r="B151">
        <v>2023</v>
      </c>
      <c r="C151" t="s">
        <v>182</v>
      </c>
      <c r="D151" t="b">
        <f>TRUE()</f>
        <v>1</v>
      </c>
      <c r="E151" t="b">
        <f>COUNTIF(connections!A:A, A151) &gt; 0</f>
        <v>0</v>
      </c>
      <c r="F151" t="s">
        <v>264</v>
      </c>
      <c r="G151" t="s">
        <v>668</v>
      </c>
      <c r="H151" t="s">
        <v>187</v>
      </c>
      <c r="I151" t="s">
        <v>669</v>
      </c>
      <c r="J151" s="1" t="s">
        <v>670</v>
      </c>
    </row>
    <row r="152" spans="1:10" ht="15" customHeight="1" x14ac:dyDescent="0.25">
      <c r="A152" t="s">
        <v>671</v>
      </c>
      <c r="B152">
        <v>2026</v>
      </c>
      <c r="C152" t="s">
        <v>182</v>
      </c>
      <c r="D152" t="b">
        <f>TRUE()</f>
        <v>1</v>
      </c>
      <c r="E152" t="b">
        <f>COUNTIF(connections!A:A, A152) &gt; 0</f>
        <v>0</v>
      </c>
      <c r="F152" t="s">
        <v>264</v>
      </c>
      <c r="G152" t="s">
        <v>672</v>
      </c>
    </row>
    <row r="153" spans="1:10" ht="15" customHeight="1" x14ac:dyDescent="0.25">
      <c r="A153" t="s">
        <v>673</v>
      </c>
      <c r="B153">
        <v>2023</v>
      </c>
      <c r="C153" t="s">
        <v>182</v>
      </c>
      <c r="D153" t="b">
        <f>TRUE()</f>
        <v>1</v>
      </c>
      <c r="E153" t="b">
        <f>COUNTIF(connections!A:A, A153) &gt; 0</f>
        <v>0</v>
      </c>
      <c r="G153" t="s">
        <v>674</v>
      </c>
      <c r="H153" t="s">
        <v>187</v>
      </c>
      <c r="I153" t="s">
        <v>675</v>
      </c>
      <c r="J153" s="1" t="s">
        <v>676</v>
      </c>
    </row>
    <row r="154" spans="1:10" ht="15" customHeight="1" x14ac:dyDescent="0.25">
      <c r="A154" t="s">
        <v>677</v>
      </c>
      <c r="B154">
        <v>2020</v>
      </c>
      <c r="C154" t="s">
        <v>222</v>
      </c>
      <c r="D154" t="b">
        <v>1</v>
      </c>
      <c r="E154" t="b">
        <f>COUNTIF(connections!A:A, A154) &gt; 0</f>
        <v>0</v>
      </c>
      <c r="G154" t="s">
        <v>678</v>
      </c>
      <c r="H154" t="s">
        <v>187</v>
      </c>
      <c r="I154" t="s">
        <v>679</v>
      </c>
      <c r="J154" s="1" t="s">
        <v>680</v>
      </c>
    </row>
    <row r="155" spans="1:10" ht="15" customHeight="1" x14ac:dyDescent="0.25">
      <c r="A155" t="s">
        <v>681</v>
      </c>
      <c r="B155">
        <v>2025</v>
      </c>
      <c r="C155" t="s">
        <v>182</v>
      </c>
      <c r="D155" t="b">
        <f>TRUE()</f>
        <v>1</v>
      </c>
      <c r="E155" t="b">
        <f>COUNTIF(connections!A:A, A155) &gt; 0</f>
        <v>0</v>
      </c>
      <c r="G155" t="s">
        <v>682</v>
      </c>
      <c r="H155" t="s">
        <v>187</v>
      </c>
      <c r="I155" t="s">
        <v>683</v>
      </c>
      <c r="J155" s="1" t="s">
        <v>684</v>
      </c>
    </row>
    <row r="156" spans="1:10" ht="15" customHeight="1" x14ac:dyDescent="0.25">
      <c r="A156" t="s">
        <v>685</v>
      </c>
      <c r="B156">
        <v>2019</v>
      </c>
      <c r="C156" t="s">
        <v>222</v>
      </c>
      <c r="D156" t="b">
        <f>TRUE()</f>
        <v>1</v>
      </c>
      <c r="E156" t="b">
        <f>COUNTIF(connections!A:A, A156) &gt; 0</f>
        <v>0</v>
      </c>
      <c r="G156" t="s">
        <v>686</v>
      </c>
      <c r="H156" t="s">
        <v>187</v>
      </c>
      <c r="I156" t="s">
        <v>687</v>
      </c>
      <c r="J156" s="1" t="s">
        <v>688</v>
      </c>
    </row>
    <row r="157" spans="1:10" ht="15" customHeight="1" x14ac:dyDescent="0.25">
      <c r="A157" t="s">
        <v>689</v>
      </c>
      <c r="B157">
        <v>2015</v>
      </c>
      <c r="C157" t="s">
        <v>179</v>
      </c>
      <c r="D157" t="b">
        <f>TRUE()</f>
        <v>1</v>
      </c>
      <c r="E157" t="b">
        <f>COUNTIF(connections!A:A, A157) &gt; 0</f>
        <v>1</v>
      </c>
      <c r="F157" t="s">
        <v>399</v>
      </c>
      <c r="G157" t="s">
        <v>690</v>
      </c>
      <c r="H157" t="s">
        <v>187</v>
      </c>
      <c r="I157" t="s">
        <v>691</v>
      </c>
      <c r="J157" s="1" t="s">
        <v>692</v>
      </c>
    </row>
    <row r="158" spans="1:10" ht="15" customHeight="1" x14ac:dyDescent="0.25">
      <c r="A158" t="s">
        <v>693</v>
      </c>
      <c r="B158">
        <v>2017</v>
      </c>
      <c r="C158" t="s">
        <v>176</v>
      </c>
      <c r="D158" t="b">
        <f>FALSE()</f>
        <v>0</v>
      </c>
      <c r="E158" t="b">
        <f>COUNTIF(connections!A:A, A158) &gt; 0</f>
        <v>0</v>
      </c>
      <c r="F158" t="s">
        <v>694</v>
      </c>
      <c r="G158" t="s">
        <v>695</v>
      </c>
      <c r="H158" t="s">
        <v>187</v>
      </c>
      <c r="I158" t="s">
        <v>696</v>
      </c>
      <c r="J158" s="1" t="s">
        <v>697</v>
      </c>
    </row>
    <row r="159" spans="1:10" ht="15" customHeight="1" x14ac:dyDescent="0.25">
      <c r="A159" t="s">
        <v>698</v>
      </c>
      <c r="B159">
        <v>1998</v>
      </c>
      <c r="C159" t="s">
        <v>179</v>
      </c>
      <c r="D159" t="b">
        <f>TRUE()</f>
        <v>1</v>
      </c>
      <c r="E159" t="b">
        <f>COUNTIF(connections!A:A, A159) &gt; 0</f>
        <v>0</v>
      </c>
      <c r="G159" t="s">
        <v>699</v>
      </c>
      <c r="H159" t="s">
        <v>187</v>
      </c>
      <c r="I159" t="s">
        <v>700</v>
      </c>
    </row>
    <row r="160" spans="1:10" ht="15" customHeight="1" x14ac:dyDescent="0.25">
      <c r="A160" t="s">
        <v>701</v>
      </c>
      <c r="B160">
        <v>2023</v>
      </c>
      <c r="C160" t="s">
        <v>182</v>
      </c>
      <c r="D160" t="b">
        <f>FALSE()</f>
        <v>0</v>
      </c>
      <c r="E160" t="b">
        <f>COUNTIF(connections!A:A, A160) &gt; 0</f>
        <v>0</v>
      </c>
      <c r="G160" t="s">
        <v>702</v>
      </c>
    </row>
    <row r="161" spans="1:10" ht="15" customHeight="1" x14ac:dyDescent="0.25">
      <c r="A161" t="s">
        <v>703</v>
      </c>
      <c r="B161">
        <v>2025</v>
      </c>
      <c r="C161" t="s">
        <v>182</v>
      </c>
      <c r="D161" t="b">
        <f>FALSE()</f>
        <v>0</v>
      </c>
      <c r="E161" t="b">
        <f>COUNTIF(connections!A:A, A161) &gt; 0</f>
        <v>0</v>
      </c>
      <c r="G161" t="s">
        <v>704</v>
      </c>
      <c r="J161" s="1" t="s">
        <v>705</v>
      </c>
    </row>
    <row r="162" spans="1:10" ht="15" customHeight="1" x14ac:dyDescent="0.25">
      <c r="A162" t="s">
        <v>706</v>
      </c>
      <c r="B162">
        <v>2026</v>
      </c>
      <c r="C162" t="s">
        <v>182</v>
      </c>
      <c r="D162" t="b">
        <f>TRUE()</f>
        <v>1</v>
      </c>
      <c r="E162" t="b">
        <f>COUNTIF(connections!A:A, A162) &gt; 0</f>
        <v>0</v>
      </c>
      <c r="G162" t="s">
        <v>707</v>
      </c>
      <c r="J162" s="10" t="s">
        <v>708</v>
      </c>
    </row>
    <row r="163" spans="1:10" ht="15" customHeight="1" x14ac:dyDescent="0.25">
      <c r="A163" t="s">
        <v>709</v>
      </c>
      <c r="B163">
        <v>2022</v>
      </c>
      <c r="C163" t="s">
        <v>176</v>
      </c>
      <c r="D163" t="b">
        <f>TRUE()</f>
        <v>1</v>
      </c>
      <c r="E163" t="b">
        <f>COUNTIF(connections!A:A, A163) &gt; 0</f>
        <v>1</v>
      </c>
      <c r="G163" t="s">
        <v>710</v>
      </c>
      <c r="H163" t="s">
        <v>187</v>
      </c>
      <c r="I163" t="s">
        <v>711</v>
      </c>
      <c r="J163" s="1" t="s">
        <v>712</v>
      </c>
    </row>
    <row r="164" spans="1:10" ht="15" customHeight="1" x14ac:dyDescent="0.25">
      <c r="A164" t="s">
        <v>713</v>
      </c>
      <c r="B164">
        <v>2018</v>
      </c>
      <c r="C164" t="s">
        <v>222</v>
      </c>
      <c r="D164" t="b">
        <f>TRUE()</f>
        <v>1</v>
      </c>
      <c r="E164" t="b">
        <f>COUNTIF(connections!A:A, A164) &gt; 0</f>
        <v>0</v>
      </c>
      <c r="G164" t="s">
        <v>714</v>
      </c>
      <c r="H164" t="s">
        <v>187</v>
      </c>
      <c r="I164" t="s">
        <v>715</v>
      </c>
      <c r="J164" s="1" t="s">
        <v>716</v>
      </c>
    </row>
    <row r="165" spans="1:10" ht="15" customHeight="1" x14ac:dyDescent="0.25">
      <c r="A165" t="s">
        <v>717</v>
      </c>
      <c r="B165">
        <v>2024</v>
      </c>
      <c r="C165" t="s">
        <v>182</v>
      </c>
      <c r="D165" t="b">
        <f>TRUE()</f>
        <v>1</v>
      </c>
      <c r="E165" t="b">
        <f>COUNTIF(connections!A:A, A165) &gt; 0</f>
        <v>1</v>
      </c>
      <c r="F165" t="s">
        <v>354</v>
      </c>
      <c r="G165" t="s">
        <v>718</v>
      </c>
      <c r="J165" s="10" t="s">
        <v>719</v>
      </c>
    </row>
    <row r="166" spans="1:10" ht="15" customHeight="1" x14ac:dyDescent="0.25">
      <c r="A166" t="s">
        <v>720</v>
      </c>
      <c r="B166">
        <v>2016</v>
      </c>
      <c r="C166" t="s">
        <v>222</v>
      </c>
      <c r="D166" t="b">
        <f>TRUE()</f>
        <v>1</v>
      </c>
      <c r="E166" t="b">
        <f>COUNTIF(connections!A:A, A166) &gt; 0</f>
        <v>1</v>
      </c>
      <c r="G166" t="s">
        <v>721</v>
      </c>
      <c r="H166" t="s">
        <v>187</v>
      </c>
      <c r="I166" t="s">
        <v>722</v>
      </c>
      <c r="J166" s="1" t="s">
        <v>723</v>
      </c>
    </row>
    <row r="167" spans="1:10" ht="15" customHeight="1" x14ac:dyDescent="0.25">
      <c r="A167" t="s">
        <v>724</v>
      </c>
      <c r="B167">
        <v>2020</v>
      </c>
      <c r="C167" t="s">
        <v>222</v>
      </c>
      <c r="D167" t="b">
        <f>TRUE()</f>
        <v>1</v>
      </c>
      <c r="E167" t="b">
        <f>COUNTIF(connections!A:A, A167) &gt; 0</f>
        <v>0</v>
      </c>
      <c r="G167" t="s">
        <v>725</v>
      </c>
    </row>
    <row r="168" spans="1:10" ht="15" customHeight="1" x14ac:dyDescent="0.25">
      <c r="A168" t="s">
        <v>7836</v>
      </c>
      <c r="B168">
        <v>2026</v>
      </c>
      <c r="C168" t="s">
        <v>176</v>
      </c>
      <c r="D168" t="b">
        <f>TRUE()</f>
        <v>1</v>
      </c>
      <c r="E168" t="b">
        <f>COUNTIF(connections!A:A, A168) &gt; 0</f>
        <v>0</v>
      </c>
      <c r="G168" t="s">
        <v>7837</v>
      </c>
      <c r="J168" s="10" t="s">
        <v>7838</v>
      </c>
    </row>
    <row r="169" spans="1:10" ht="15" customHeight="1" x14ac:dyDescent="0.25">
      <c r="A169" t="s">
        <v>726</v>
      </c>
      <c r="B169">
        <v>2020</v>
      </c>
      <c r="C169" t="s">
        <v>176</v>
      </c>
      <c r="D169" t="b">
        <f>TRUE()</f>
        <v>1</v>
      </c>
      <c r="E169" t="b">
        <f>COUNTIF(connections!A:A, A169) &gt; 0</f>
        <v>1</v>
      </c>
      <c r="G169" t="s">
        <v>727</v>
      </c>
      <c r="H169" t="s">
        <v>187</v>
      </c>
      <c r="I169" t="s">
        <v>728</v>
      </c>
      <c r="J169" s="1" t="s">
        <v>729</v>
      </c>
    </row>
    <row r="170" spans="1:10" ht="15" customHeight="1" x14ac:dyDescent="0.25">
      <c r="A170" t="s">
        <v>730</v>
      </c>
      <c r="B170">
        <v>2026</v>
      </c>
      <c r="C170" t="s">
        <v>222</v>
      </c>
      <c r="D170" t="b">
        <f>TRUE()</f>
        <v>1</v>
      </c>
      <c r="E170" t="b">
        <f>COUNTIF(connections!A:A, A170) &gt; 0</f>
        <v>0</v>
      </c>
      <c r="F170" t="s">
        <v>731</v>
      </c>
      <c r="G170" t="s">
        <v>732</v>
      </c>
    </row>
    <row r="171" spans="1:10" ht="15" customHeight="1" x14ac:dyDescent="0.25">
      <c r="A171" t="s">
        <v>733</v>
      </c>
      <c r="B171">
        <v>2023</v>
      </c>
      <c r="C171" t="s">
        <v>176</v>
      </c>
      <c r="D171" t="b">
        <f>FALSE()</f>
        <v>0</v>
      </c>
      <c r="E171" t="b">
        <f>COUNTIF(connections!A:A, A171) &gt; 0</f>
        <v>0</v>
      </c>
      <c r="G171" t="s">
        <v>734</v>
      </c>
      <c r="H171" t="s">
        <v>187</v>
      </c>
      <c r="I171" t="s">
        <v>735</v>
      </c>
      <c r="J171" s="1" t="s">
        <v>736</v>
      </c>
    </row>
    <row r="172" spans="1:10" ht="15" customHeight="1" x14ac:dyDescent="0.25">
      <c r="A172" t="s">
        <v>737</v>
      </c>
      <c r="B172">
        <v>2019</v>
      </c>
      <c r="C172" t="s">
        <v>176</v>
      </c>
      <c r="D172" t="b">
        <f>TRUE()</f>
        <v>1</v>
      </c>
      <c r="E172" t="b">
        <f>COUNTIF(connections!A:A, A172) &gt; 0</f>
        <v>1</v>
      </c>
      <c r="G172" t="s">
        <v>738</v>
      </c>
      <c r="H172" t="s">
        <v>187</v>
      </c>
      <c r="I172" t="s">
        <v>739</v>
      </c>
      <c r="J172" s="1" t="s">
        <v>740</v>
      </c>
    </row>
    <row r="173" spans="1:10" ht="15" customHeight="1" x14ac:dyDescent="0.25">
      <c r="A173" t="s">
        <v>741</v>
      </c>
      <c r="B173">
        <v>2026</v>
      </c>
      <c r="C173" t="s">
        <v>176</v>
      </c>
      <c r="D173" t="b">
        <f>TRUE()</f>
        <v>1</v>
      </c>
      <c r="E173" t="b">
        <f>COUNTIF(connections!A:A, A173) &gt; 0</f>
        <v>0</v>
      </c>
      <c r="G173" t="s">
        <v>742</v>
      </c>
      <c r="J173" s="10" t="s">
        <v>743</v>
      </c>
    </row>
    <row r="174" spans="1:10" ht="15" customHeight="1" x14ac:dyDescent="0.25">
      <c r="A174" t="s">
        <v>744</v>
      </c>
      <c r="B174">
        <v>2025</v>
      </c>
      <c r="C174" t="s">
        <v>176</v>
      </c>
      <c r="D174" t="b">
        <f>TRUE()</f>
        <v>1</v>
      </c>
      <c r="E174" t="b">
        <f>COUNTIF(connections!A:A, A174) &gt; 0</f>
        <v>0</v>
      </c>
      <c r="G174" t="s">
        <v>745</v>
      </c>
    </row>
    <row r="175" spans="1:10" ht="15" customHeight="1" x14ac:dyDescent="0.25">
      <c r="A175" t="s">
        <v>746</v>
      </c>
      <c r="B175">
        <v>2015</v>
      </c>
      <c r="C175" t="s">
        <v>222</v>
      </c>
      <c r="D175" t="b">
        <f>TRUE()</f>
        <v>1</v>
      </c>
      <c r="E175" t="b">
        <f>COUNTIF(connections!A:A, A175) &gt; 0</f>
        <v>1</v>
      </c>
      <c r="G175" t="s">
        <v>747</v>
      </c>
      <c r="H175" t="s">
        <v>187</v>
      </c>
      <c r="I175" t="s">
        <v>748</v>
      </c>
      <c r="J175" s="1" t="s">
        <v>749</v>
      </c>
    </row>
    <row r="176" spans="1:10" ht="15" customHeight="1" x14ac:dyDescent="0.25">
      <c r="A176" t="s">
        <v>750</v>
      </c>
      <c r="B176">
        <v>2023</v>
      </c>
      <c r="C176" t="s">
        <v>222</v>
      </c>
      <c r="D176" t="b">
        <f>TRUE()</f>
        <v>1</v>
      </c>
      <c r="E176" t="b">
        <f>COUNTIF(connections!A:A, A176) &gt; 0</f>
        <v>0</v>
      </c>
      <c r="G176" t="s">
        <v>751</v>
      </c>
      <c r="H176" t="s">
        <v>187</v>
      </c>
      <c r="I176" t="s">
        <v>752</v>
      </c>
      <c r="J176" s="1" t="s">
        <v>753</v>
      </c>
    </row>
    <row r="177" spans="1:10" ht="15" customHeight="1" x14ac:dyDescent="0.25">
      <c r="A177" t="s">
        <v>754</v>
      </c>
      <c r="B177">
        <v>2022</v>
      </c>
      <c r="C177" t="s">
        <v>176</v>
      </c>
      <c r="D177" t="b">
        <f>TRUE()</f>
        <v>1</v>
      </c>
      <c r="E177" t="b">
        <f>COUNTIF(connections!A:A, A177) &gt; 0</f>
        <v>1</v>
      </c>
      <c r="F177" t="s">
        <v>755</v>
      </c>
      <c r="G177" t="s">
        <v>756</v>
      </c>
      <c r="H177" t="s">
        <v>187</v>
      </c>
      <c r="I177" t="s">
        <v>757</v>
      </c>
      <c r="J177" s="1" t="s">
        <v>758</v>
      </c>
    </row>
    <row r="178" spans="1:10" ht="15" customHeight="1" x14ac:dyDescent="0.25">
      <c r="A178" t="s">
        <v>759</v>
      </c>
      <c r="B178">
        <v>2018</v>
      </c>
      <c r="C178" t="s">
        <v>176</v>
      </c>
      <c r="D178" t="b">
        <f>TRUE()</f>
        <v>1</v>
      </c>
      <c r="E178" t="b">
        <f>COUNTIF(connections!A:A, A178) &gt; 0</f>
        <v>1</v>
      </c>
      <c r="G178" t="s">
        <v>760</v>
      </c>
      <c r="H178" t="s">
        <v>187</v>
      </c>
      <c r="I178" t="s">
        <v>761</v>
      </c>
      <c r="J178" s="1" t="s">
        <v>762</v>
      </c>
    </row>
    <row r="179" spans="1:10" ht="15" customHeight="1" x14ac:dyDescent="0.25">
      <c r="A179" t="s">
        <v>763</v>
      </c>
      <c r="B179">
        <v>2020</v>
      </c>
      <c r="C179" t="s">
        <v>176</v>
      </c>
      <c r="D179" t="b">
        <f>TRUE()</f>
        <v>1</v>
      </c>
      <c r="E179" t="b">
        <f>COUNTIF(connections!A:A, A179) &gt; 0</f>
        <v>0</v>
      </c>
      <c r="F179" t="s">
        <v>458</v>
      </c>
      <c r="G179" t="s">
        <v>764</v>
      </c>
      <c r="H179" t="s">
        <v>187</v>
      </c>
      <c r="I179" t="s">
        <v>765</v>
      </c>
      <c r="J179" s="1" t="s">
        <v>766</v>
      </c>
    </row>
    <row r="180" spans="1:10" ht="15" customHeight="1" x14ac:dyDescent="0.25">
      <c r="A180" t="s">
        <v>767</v>
      </c>
      <c r="B180">
        <v>2025</v>
      </c>
      <c r="C180" t="s">
        <v>182</v>
      </c>
      <c r="D180" t="b">
        <f>TRUE()</f>
        <v>1</v>
      </c>
      <c r="E180" t="b">
        <f>COUNTIF(connections!A:A, A180) &gt; 0</f>
        <v>0</v>
      </c>
      <c r="F180" t="s">
        <v>315</v>
      </c>
      <c r="G180" t="s">
        <v>768</v>
      </c>
      <c r="H180" t="s">
        <v>187</v>
      </c>
      <c r="I180" t="s">
        <v>769</v>
      </c>
      <c r="J180" s="1" t="s">
        <v>770</v>
      </c>
    </row>
    <row r="181" spans="1:10" ht="15" customHeight="1" x14ac:dyDescent="0.25">
      <c r="A181" t="s">
        <v>771</v>
      </c>
      <c r="B181">
        <v>2026</v>
      </c>
      <c r="C181" t="s">
        <v>222</v>
      </c>
      <c r="D181" t="b">
        <f>TRUE()</f>
        <v>1</v>
      </c>
      <c r="E181" t="b">
        <f>COUNTIF(connections!A:A, A181) &gt; 0</f>
        <v>0</v>
      </c>
      <c r="G181" t="s">
        <v>772</v>
      </c>
      <c r="J181" s="10" t="s">
        <v>773</v>
      </c>
    </row>
    <row r="182" spans="1:10" ht="15" customHeight="1" x14ac:dyDescent="0.25">
      <c r="A182" t="s">
        <v>774</v>
      </c>
      <c r="B182">
        <v>2025</v>
      </c>
      <c r="C182" t="s">
        <v>176</v>
      </c>
      <c r="D182" t="b">
        <v>1</v>
      </c>
      <c r="E182" t="b">
        <f>COUNTIF(connections!A:A, A182) &gt; 0</f>
        <v>0</v>
      </c>
      <c r="F182" t="s">
        <v>458</v>
      </c>
      <c r="G182" t="s">
        <v>775</v>
      </c>
    </row>
    <row r="183" spans="1:10" ht="15" customHeight="1" x14ac:dyDescent="0.25">
      <c r="A183" t="s">
        <v>776</v>
      </c>
      <c r="B183">
        <v>2025</v>
      </c>
      <c r="C183" t="s">
        <v>176</v>
      </c>
      <c r="D183" t="b">
        <f>FALSE()</f>
        <v>0</v>
      </c>
      <c r="E183" t="b">
        <f>COUNTIF(connections!A:A, A183) &gt; 0</f>
        <v>0</v>
      </c>
      <c r="G183" t="s">
        <v>777</v>
      </c>
    </row>
    <row r="184" spans="1:10" ht="15" customHeight="1" x14ac:dyDescent="0.25">
      <c r="A184" t="s">
        <v>778</v>
      </c>
      <c r="B184">
        <v>2023</v>
      </c>
      <c r="C184" t="s">
        <v>176</v>
      </c>
      <c r="D184" t="b">
        <f>TRUE()</f>
        <v>1</v>
      </c>
      <c r="E184" t="b">
        <f>COUNTIF(connections!A:A, A184) &gt; 0</f>
        <v>1</v>
      </c>
      <c r="F184" t="s">
        <v>199</v>
      </c>
      <c r="G184" t="s">
        <v>779</v>
      </c>
      <c r="H184" t="s">
        <v>187</v>
      </c>
      <c r="I184" t="s">
        <v>780</v>
      </c>
      <c r="J184" s="1" t="s">
        <v>781</v>
      </c>
    </row>
    <row r="185" spans="1:10" ht="15" customHeight="1" x14ac:dyDescent="0.25">
      <c r="A185" t="s">
        <v>782</v>
      </c>
      <c r="B185">
        <v>2016</v>
      </c>
      <c r="C185" t="s">
        <v>176</v>
      </c>
      <c r="D185" t="b">
        <f>TRUE()</f>
        <v>1</v>
      </c>
      <c r="E185" t="b">
        <f>COUNTIF(connections!A:A, A185) &gt; 0</f>
        <v>0</v>
      </c>
      <c r="F185" t="s">
        <v>458</v>
      </c>
      <c r="G185" t="s">
        <v>783</v>
      </c>
      <c r="H185" t="s">
        <v>187</v>
      </c>
      <c r="I185" t="s">
        <v>784</v>
      </c>
      <c r="J185" s="1" t="s">
        <v>785</v>
      </c>
    </row>
    <row r="186" spans="1:10" ht="15" customHeight="1" x14ac:dyDescent="0.25">
      <c r="A186" t="s">
        <v>786</v>
      </c>
      <c r="B186">
        <v>2023</v>
      </c>
      <c r="C186" t="s">
        <v>182</v>
      </c>
      <c r="D186" t="b">
        <f>TRUE()</f>
        <v>1</v>
      </c>
      <c r="E186" t="b">
        <f>COUNTIF(connections!A:A, A186) &gt; 0</f>
        <v>1</v>
      </c>
      <c r="F186" t="s">
        <v>787</v>
      </c>
      <c r="G186" t="s">
        <v>788</v>
      </c>
      <c r="H186" t="s">
        <v>187</v>
      </c>
      <c r="I186" t="s">
        <v>789</v>
      </c>
      <c r="J186" s="1" t="s">
        <v>790</v>
      </c>
    </row>
    <row r="187" spans="1:10" ht="15" customHeight="1" x14ac:dyDescent="0.25">
      <c r="A187" t="s">
        <v>791</v>
      </c>
      <c r="B187">
        <v>2014</v>
      </c>
      <c r="C187" t="s">
        <v>176</v>
      </c>
      <c r="D187" t="b">
        <v>1</v>
      </c>
      <c r="E187" t="b">
        <f>COUNTIF(connections!A:A, A187) &gt; 0</f>
        <v>0</v>
      </c>
      <c r="G187" t="s">
        <v>792</v>
      </c>
      <c r="H187" t="s">
        <v>187</v>
      </c>
      <c r="I187" t="s">
        <v>793</v>
      </c>
      <c r="J187" s="10" t="s">
        <v>794</v>
      </c>
    </row>
    <row r="188" spans="1:10" ht="15" customHeight="1" x14ac:dyDescent="0.25">
      <c r="A188" t="s">
        <v>795</v>
      </c>
      <c r="B188">
        <v>2019</v>
      </c>
      <c r="C188" t="s">
        <v>182</v>
      </c>
      <c r="D188" t="b">
        <f>TRUE()</f>
        <v>1</v>
      </c>
      <c r="E188" t="b">
        <f>COUNTIF(connections!A:A, A188) &gt; 0</f>
        <v>0</v>
      </c>
      <c r="G188" t="s">
        <v>796</v>
      </c>
      <c r="H188" t="s">
        <v>187</v>
      </c>
      <c r="I188" t="s">
        <v>797</v>
      </c>
      <c r="J188" s="1" t="s">
        <v>798</v>
      </c>
    </row>
    <row r="189" spans="1:10" ht="15" customHeight="1" x14ac:dyDescent="0.25">
      <c r="A189" t="s">
        <v>799</v>
      </c>
      <c r="B189">
        <v>2025</v>
      </c>
      <c r="C189" t="s">
        <v>182</v>
      </c>
      <c r="D189" t="b">
        <f>TRUE()</f>
        <v>1</v>
      </c>
      <c r="E189" t="b">
        <f>COUNTIF(connections!A:A, A189) &gt; 0</f>
        <v>0</v>
      </c>
      <c r="G189" t="s">
        <v>800</v>
      </c>
      <c r="H189" t="s">
        <v>187</v>
      </c>
      <c r="I189" t="s">
        <v>801</v>
      </c>
      <c r="J189" s="1" t="s">
        <v>802</v>
      </c>
    </row>
    <row r="190" spans="1:10" ht="15" customHeight="1" x14ac:dyDescent="0.25">
      <c r="A190" t="s">
        <v>803</v>
      </c>
      <c r="B190">
        <v>2025</v>
      </c>
      <c r="C190" t="s">
        <v>182</v>
      </c>
      <c r="D190" t="b">
        <f>TRUE()</f>
        <v>1</v>
      </c>
      <c r="E190" t="b">
        <f>COUNTIF(connections!A:A, A190) &gt; 0</f>
        <v>0</v>
      </c>
      <c r="G190" t="s">
        <v>804</v>
      </c>
      <c r="H190" t="s">
        <v>187</v>
      </c>
      <c r="I190" t="s">
        <v>805</v>
      </c>
      <c r="J190" s="1" t="s">
        <v>806</v>
      </c>
    </row>
    <row r="191" spans="1:10" ht="15" customHeight="1" x14ac:dyDescent="0.25">
      <c r="A191" t="s">
        <v>807</v>
      </c>
      <c r="B191">
        <v>2014</v>
      </c>
      <c r="C191" t="s">
        <v>176</v>
      </c>
      <c r="D191" t="b">
        <f>TRUE()</f>
        <v>1</v>
      </c>
      <c r="E191" t="b">
        <f>COUNTIF(connections!A:A, A191) &gt; 0</f>
        <v>0</v>
      </c>
      <c r="G191" t="s">
        <v>808</v>
      </c>
      <c r="H191" t="s">
        <v>187</v>
      </c>
      <c r="I191" t="s">
        <v>809</v>
      </c>
      <c r="J191" s="1" t="s">
        <v>810</v>
      </c>
    </row>
    <row r="192" spans="1:10" ht="15" customHeight="1" x14ac:dyDescent="0.25">
      <c r="A192" t="s">
        <v>7957</v>
      </c>
      <c r="B192">
        <v>2026</v>
      </c>
      <c r="C192" t="s">
        <v>176</v>
      </c>
      <c r="D192" t="b">
        <f>TRUE()</f>
        <v>1</v>
      </c>
      <c r="E192" t="b">
        <f>COUNTIF(connections!A:A, A192) &gt; 0</f>
        <v>0</v>
      </c>
      <c r="F192" t="s">
        <v>617</v>
      </c>
      <c r="G192" t="s">
        <v>7958</v>
      </c>
      <c r="J192" s="10" t="s">
        <v>7959</v>
      </c>
    </row>
    <row r="193" spans="1:10" ht="15" customHeight="1" x14ac:dyDescent="0.25">
      <c r="A193" t="s">
        <v>811</v>
      </c>
      <c r="B193">
        <v>2024</v>
      </c>
      <c r="C193" t="s">
        <v>176</v>
      </c>
      <c r="D193" t="b">
        <f>TRUE()</f>
        <v>1</v>
      </c>
      <c r="E193" t="b">
        <f>COUNTIF(connections!A:A, A193) &gt; 0</f>
        <v>1</v>
      </c>
      <c r="F193" t="s">
        <v>617</v>
      </c>
      <c r="G193" t="s">
        <v>812</v>
      </c>
    </row>
    <row r="194" spans="1:10" ht="15" customHeight="1" x14ac:dyDescent="0.25">
      <c r="A194" t="s">
        <v>813</v>
      </c>
      <c r="B194">
        <v>2018</v>
      </c>
      <c r="C194" t="s">
        <v>182</v>
      </c>
      <c r="D194" t="b">
        <f>TRUE()</f>
        <v>1</v>
      </c>
      <c r="E194" t="b">
        <f>COUNTIF(connections!A:A, A194) &gt; 0</f>
        <v>1</v>
      </c>
      <c r="G194" t="s">
        <v>814</v>
      </c>
    </row>
    <row r="195" spans="1:10" ht="15" customHeight="1" x14ac:dyDescent="0.25">
      <c r="A195" t="s">
        <v>815</v>
      </c>
      <c r="B195">
        <v>2021</v>
      </c>
      <c r="C195" t="s">
        <v>182</v>
      </c>
      <c r="D195" t="b">
        <f>TRUE()</f>
        <v>1</v>
      </c>
      <c r="E195" t="b">
        <f>COUNTIF(connections!A:A, A195) &gt; 0</f>
        <v>0</v>
      </c>
      <c r="G195" t="s">
        <v>816</v>
      </c>
      <c r="H195" t="s">
        <v>187</v>
      </c>
      <c r="I195" t="s">
        <v>817</v>
      </c>
      <c r="J195" s="1" t="s">
        <v>818</v>
      </c>
    </row>
    <row r="196" spans="1:10" ht="15" customHeight="1" x14ac:dyDescent="0.25">
      <c r="A196" t="s">
        <v>819</v>
      </c>
      <c r="B196">
        <v>2012</v>
      </c>
      <c r="C196" t="s">
        <v>176</v>
      </c>
      <c r="D196" t="b">
        <f>TRUE()</f>
        <v>1</v>
      </c>
      <c r="E196" t="b">
        <f>COUNTIF(connections!A:A, A196) &gt; 0</f>
        <v>1</v>
      </c>
      <c r="G196" t="s">
        <v>820</v>
      </c>
    </row>
    <row r="197" spans="1:10" ht="15" customHeight="1" x14ac:dyDescent="0.25">
      <c r="A197" t="s">
        <v>821</v>
      </c>
      <c r="B197">
        <v>2026</v>
      </c>
      <c r="C197" t="s">
        <v>179</v>
      </c>
      <c r="D197" t="b">
        <f>TRUE()</f>
        <v>1</v>
      </c>
      <c r="E197" t="b">
        <f>COUNTIF(connections!A:A, A197) &gt; 0</f>
        <v>0</v>
      </c>
      <c r="F197" t="s">
        <v>822</v>
      </c>
      <c r="G197" t="s">
        <v>823</v>
      </c>
      <c r="H197" t="s">
        <v>187</v>
      </c>
      <c r="I197" t="s">
        <v>824</v>
      </c>
      <c r="J197" s="1" t="s">
        <v>825</v>
      </c>
    </row>
    <row r="198" spans="1:10" ht="15" customHeight="1" x14ac:dyDescent="0.25">
      <c r="A198" t="s">
        <v>826</v>
      </c>
      <c r="B198">
        <v>2019</v>
      </c>
      <c r="C198" t="s">
        <v>222</v>
      </c>
      <c r="D198" t="b">
        <f>TRUE()</f>
        <v>1</v>
      </c>
      <c r="E198" t="b">
        <f>COUNTIF(connections!A:A, A198) &gt; 0</f>
        <v>1</v>
      </c>
      <c r="G198" t="s">
        <v>827</v>
      </c>
    </row>
    <row r="199" spans="1:10" ht="15" customHeight="1" x14ac:dyDescent="0.25">
      <c r="A199" t="s">
        <v>828</v>
      </c>
      <c r="B199">
        <v>2025</v>
      </c>
      <c r="C199" t="s">
        <v>182</v>
      </c>
      <c r="D199" t="b">
        <f>TRUE()</f>
        <v>1</v>
      </c>
      <c r="E199" t="b">
        <f>COUNTIF(connections!A:A, A199) &gt; 0</f>
        <v>0</v>
      </c>
      <c r="F199" t="s">
        <v>271</v>
      </c>
      <c r="G199" t="s">
        <v>829</v>
      </c>
      <c r="H199" t="s">
        <v>187</v>
      </c>
      <c r="I199" t="s">
        <v>830</v>
      </c>
      <c r="J199" s="1" t="s">
        <v>831</v>
      </c>
    </row>
    <row r="200" spans="1:10" ht="15" customHeight="1" x14ac:dyDescent="0.25">
      <c r="A200" t="s">
        <v>832</v>
      </c>
      <c r="B200">
        <v>2022</v>
      </c>
      <c r="C200" t="s">
        <v>222</v>
      </c>
      <c r="D200" t="b">
        <v>1</v>
      </c>
      <c r="E200" t="b">
        <f>COUNTIF(connections!A:A, A200) &gt; 0</f>
        <v>0</v>
      </c>
      <c r="G200" t="s">
        <v>833</v>
      </c>
      <c r="H200" t="s">
        <v>187</v>
      </c>
      <c r="I200" t="s">
        <v>834</v>
      </c>
      <c r="J200" s="1" t="s">
        <v>835</v>
      </c>
    </row>
    <row r="201" spans="1:10" ht="15" customHeight="1" x14ac:dyDescent="0.25">
      <c r="A201" t="s">
        <v>836</v>
      </c>
      <c r="B201">
        <v>2010</v>
      </c>
      <c r="C201" t="s">
        <v>179</v>
      </c>
      <c r="D201" t="b">
        <f>TRUE()</f>
        <v>1</v>
      </c>
      <c r="E201" t="b">
        <f>COUNTIF(connections!A:A, A201) &gt; 0</f>
        <v>1</v>
      </c>
      <c r="G201" t="s">
        <v>837</v>
      </c>
    </row>
    <row r="202" spans="1:10" ht="15" customHeight="1" x14ac:dyDescent="0.25">
      <c r="A202" t="s">
        <v>838</v>
      </c>
      <c r="B202">
        <v>2025</v>
      </c>
      <c r="C202" t="s">
        <v>176</v>
      </c>
      <c r="D202" t="b">
        <f>TRUE()</f>
        <v>1</v>
      </c>
      <c r="E202" t="b">
        <f>COUNTIF(connections!A:A, A202) &gt; 0</f>
        <v>0</v>
      </c>
      <c r="G202" t="s">
        <v>839</v>
      </c>
      <c r="H202" t="s">
        <v>187</v>
      </c>
      <c r="I202" t="s">
        <v>840</v>
      </c>
      <c r="J202" s="1" t="s">
        <v>841</v>
      </c>
    </row>
    <row r="203" spans="1:10" ht="15" customHeight="1" x14ac:dyDescent="0.25">
      <c r="A203" t="s">
        <v>8404</v>
      </c>
      <c r="B203">
        <v>2018</v>
      </c>
      <c r="C203" t="s">
        <v>222</v>
      </c>
      <c r="D203" t="b">
        <v>1</v>
      </c>
      <c r="E203" t="b">
        <f>COUNTIF(connections!A:A, A203) &gt; 0</f>
        <v>1</v>
      </c>
      <c r="G203" t="s">
        <v>8406</v>
      </c>
      <c r="J203" s="10" t="s">
        <v>8405</v>
      </c>
    </row>
    <row r="204" spans="1:10" ht="15" customHeight="1" x14ac:dyDescent="0.25">
      <c r="A204" t="s">
        <v>8403</v>
      </c>
      <c r="B204">
        <v>2021</v>
      </c>
      <c r="C204" t="s">
        <v>176</v>
      </c>
      <c r="D204" t="b">
        <f>TRUE()</f>
        <v>1</v>
      </c>
      <c r="E204" t="b">
        <f>COUNTIF(connections!A:A, A204) &gt; 0</f>
        <v>1</v>
      </c>
      <c r="G204" t="s">
        <v>842</v>
      </c>
      <c r="H204" t="s">
        <v>187</v>
      </c>
      <c r="I204" t="s">
        <v>843</v>
      </c>
      <c r="J204" s="1" t="s">
        <v>844</v>
      </c>
    </row>
    <row r="205" spans="1:10" ht="15" customHeight="1" x14ac:dyDescent="0.25">
      <c r="A205" t="s">
        <v>845</v>
      </c>
      <c r="B205">
        <v>2019</v>
      </c>
      <c r="C205" t="s">
        <v>176</v>
      </c>
      <c r="D205" t="b">
        <f>TRUE()</f>
        <v>1</v>
      </c>
      <c r="E205" t="b">
        <f>COUNTIF(connections!A:A, A205) &gt; 0</f>
        <v>0</v>
      </c>
      <c r="G205" t="s">
        <v>846</v>
      </c>
    </row>
    <row r="206" spans="1:10" ht="15" customHeight="1" x14ac:dyDescent="0.25">
      <c r="A206" t="s">
        <v>847</v>
      </c>
      <c r="B206">
        <v>1996</v>
      </c>
      <c r="C206" t="s">
        <v>176</v>
      </c>
      <c r="D206" t="b">
        <f>TRUE()</f>
        <v>1</v>
      </c>
      <c r="E206" t="b">
        <f>COUNTIF(connections!A:A, A206) &gt; 0</f>
        <v>1</v>
      </c>
      <c r="G206" t="s">
        <v>848</v>
      </c>
      <c r="H206" t="s">
        <v>187</v>
      </c>
      <c r="I206" t="s">
        <v>849</v>
      </c>
    </row>
    <row r="207" spans="1:10" ht="15" customHeight="1" x14ac:dyDescent="0.25">
      <c r="A207" t="s">
        <v>850</v>
      </c>
      <c r="B207">
        <v>2024</v>
      </c>
      <c r="C207" t="s">
        <v>182</v>
      </c>
      <c r="D207" t="b">
        <f>TRUE()</f>
        <v>1</v>
      </c>
      <c r="E207" t="b">
        <f>COUNTIF(connections!A:A, A207) &gt; 0</f>
        <v>0</v>
      </c>
      <c r="F207" t="s">
        <v>315</v>
      </c>
      <c r="G207" t="s">
        <v>851</v>
      </c>
      <c r="H207" t="s">
        <v>187</v>
      </c>
      <c r="I207" t="s">
        <v>852</v>
      </c>
      <c r="J207" s="1" t="s">
        <v>853</v>
      </c>
    </row>
    <row r="208" spans="1:10" ht="15" customHeight="1" x14ac:dyDescent="0.25">
      <c r="A208" t="s">
        <v>854</v>
      </c>
      <c r="B208">
        <v>2026</v>
      </c>
      <c r="C208" t="s">
        <v>182</v>
      </c>
      <c r="D208" t="b">
        <f>TRUE()</f>
        <v>1</v>
      </c>
      <c r="E208" t="b">
        <f>COUNTIF(connections!A:A, A208) &gt; 0</f>
        <v>0</v>
      </c>
      <c r="F208" t="s">
        <v>315</v>
      </c>
      <c r="G208" t="s">
        <v>855</v>
      </c>
    </row>
    <row r="209" spans="1:10" ht="15" customHeight="1" x14ac:dyDescent="0.25">
      <c r="A209" t="s">
        <v>856</v>
      </c>
      <c r="B209">
        <v>2025</v>
      </c>
      <c r="C209" t="s">
        <v>182</v>
      </c>
      <c r="D209" t="b">
        <f>TRUE()</f>
        <v>1</v>
      </c>
      <c r="E209" t="b">
        <f>COUNTIF(connections!A:A, A209) &gt; 0</f>
        <v>0</v>
      </c>
      <c r="G209" t="s">
        <v>857</v>
      </c>
      <c r="J209" s="10" t="s">
        <v>858</v>
      </c>
    </row>
    <row r="210" spans="1:10" ht="15" customHeight="1" x14ac:dyDescent="0.25">
      <c r="A210" t="s">
        <v>859</v>
      </c>
      <c r="B210">
        <v>2025</v>
      </c>
      <c r="C210" t="s">
        <v>222</v>
      </c>
      <c r="D210" t="b">
        <f>FALSE()</f>
        <v>0</v>
      </c>
      <c r="E210" t="b">
        <f>COUNTIF(connections!A:A, A210) &gt; 0</f>
        <v>0</v>
      </c>
      <c r="F210" t="s">
        <v>315</v>
      </c>
      <c r="G210" t="s">
        <v>860</v>
      </c>
      <c r="H210" t="s">
        <v>187</v>
      </c>
      <c r="I210" t="s">
        <v>861</v>
      </c>
      <c r="J210" s="10" t="s">
        <v>862</v>
      </c>
    </row>
    <row r="211" spans="1:10" ht="15" customHeight="1" x14ac:dyDescent="0.25">
      <c r="A211" t="s">
        <v>863</v>
      </c>
      <c r="B211">
        <v>2025</v>
      </c>
      <c r="C211" t="s">
        <v>182</v>
      </c>
      <c r="D211" t="b">
        <f>TRUE()</f>
        <v>1</v>
      </c>
      <c r="E211" t="b">
        <f>COUNTIF(connections!A:A, A211) &gt; 0</f>
        <v>0</v>
      </c>
      <c r="F211" t="s">
        <v>315</v>
      </c>
      <c r="G211" t="s">
        <v>864</v>
      </c>
    </row>
    <row r="212" spans="1:10" ht="15" customHeight="1" x14ac:dyDescent="0.25">
      <c r="A212" t="s">
        <v>865</v>
      </c>
      <c r="B212">
        <v>2024</v>
      </c>
      <c r="C212" t="s">
        <v>182</v>
      </c>
      <c r="D212" t="b">
        <f>TRUE()</f>
        <v>1</v>
      </c>
      <c r="E212" t="b">
        <f>COUNTIF(connections!A:A, A212) &gt; 0</f>
        <v>0</v>
      </c>
      <c r="F212" t="s">
        <v>315</v>
      </c>
      <c r="G212" t="s">
        <v>866</v>
      </c>
      <c r="H212" t="s">
        <v>187</v>
      </c>
      <c r="I212" t="s">
        <v>867</v>
      </c>
      <c r="J212" s="10" t="s">
        <v>868</v>
      </c>
    </row>
    <row r="213" spans="1:10" ht="15" customHeight="1" x14ac:dyDescent="0.25">
      <c r="A213" t="s">
        <v>869</v>
      </c>
      <c r="B213">
        <v>2024</v>
      </c>
      <c r="C213" t="s">
        <v>182</v>
      </c>
      <c r="D213" t="b">
        <f>FALSE()</f>
        <v>0</v>
      </c>
      <c r="E213" t="b">
        <f>COUNTIF(connections!A:A, A213) &gt; 0</f>
        <v>0</v>
      </c>
      <c r="F213" t="s">
        <v>315</v>
      </c>
      <c r="G213" t="s">
        <v>870</v>
      </c>
      <c r="H213" t="s">
        <v>187</v>
      </c>
      <c r="I213" t="s">
        <v>871</v>
      </c>
      <c r="J213" s="1" t="s">
        <v>872</v>
      </c>
    </row>
    <row r="214" spans="1:10" ht="15" customHeight="1" x14ac:dyDescent="0.25">
      <c r="A214" t="s">
        <v>8322</v>
      </c>
      <c r="B214">
        <v>2026</v>
      </c>
      <c r="C214" t="s">
        <v>182</v>
      </c>
      <c r="D214" t="b">
        <f>TRUE()</f>
        <v>1</v>
      </c>
      <c r="E214" t="b">
        <f>COUNTIF(connections!A:A, A214) &gt; 0</f>
        <v>0</v>
      </c>
      <c r="F214" t="s">
        <v>315</v>
      </c>
      <c r="G214" t="s">
        <v>8323</v>
      </c>
      <c r="J214" s="10" t="s">
        <v>8324</v>
      </c>
    </row>
    <row r="215" spans="1:10" ht="15" customHeight="1" x14ac:dyDescent="0.25">
      <c r="A215" t="s">
        <v>873</v>
      </c>
      <c r="B215">
        <v>2019</v>
      </c>
      <c r="C215" t="s">
        <v>182</v>
      </c>
      <c r="D215" t="b">
        <f>TRUE()</f>
        <v>1</v>
      </c>
      <c r="E215" t="b">
        <f>COUNTIF(connections!A:A, A215) &gt; 0</f>
        <v>1</v>
      </c>
      <c r="F215" t="s">
        <v>315</v>
      </c>
      <c r="G215" t="s">
        <v>874</v>
      </c>
      <c r="H215" t="s">
        <v>187</v>
      </c>
      <c r="I215" t="s">
        <v>875</v>
      </c>
      <c r="J215" s="1" t="s">
        <v>876</v>
      </c>
    </row>
    <row r="216" spans="1:10" ht="15" customHeight="1" x14ac:dyDescent="0.25">
      <c r="A216" t="s">
        <v>877</v>
      </c>
      <c r="B216">
        <v>2025</v>
      </c>
      <c r="C216" t="s">
        <v>182</v>
      </c>
      <c r="D216" t="b">
        <f>TRUE()</f>
        <v>1</v>
      </c>
      <c r="E216" t="b">
        <f>COUNTIF(connections!A:A, A216) &gt; 0</f>
        <v>0</v>
      </c>
      <c r="F216" t="s">
        <v>315</v>
      </c>
      <c r="G216" t="s">
        <v>878</v>
      </c>
    </row>
    <row r="217" spans="1:10" ht="15" customHeight="1" x14ac:dyDescent="0.25">
      <c r="A217" t="s">
        <v>879</v>
      </c>
      <c r="B217">
        <v>2025</v>
      </c>
      <c r="C217" t="s">
        <v>182</v>
      </c>
      <c r="D217" t="b">
        <f>TRUE()</f>
        <v>1</v>
      </c>
      <c r="E217" t="b">
        <f>COUNTIF(connections!A:A, A217) &gt; 0</f>
        <v>0</v>
      </c>
      <c r="F217" t="s">
        <v>315</v>
      </c>
      <c r="G217" t="s">
        <v>880</v>
      </c>
      <c r="H217" t="s">
        <v>187</v>
      </c>
      <c r="I217" t="s">
        <v>881</v>
      </c>
      <c r="J217" s="1" t="s">
        <v>882</v>
      </c>
    </row>
    <row r="218" spans="1:10" ht="15" customHeight="1" x14ac:dyDescent="0.25">
      <c r="A218" t="s">
        <v>883</v>
      </c>
      <c r="B218">
        <v>2021</v>
      </c>
      <c r="C218" t="s">
        <v>176</v>
      </c>
      <c r="D218" t="b">
        <f>FALSE()</f>
        <v>0</v>
      </c>
      <c r="E218" t="b">
        <f>COUNTIF(connections!A:A, A218) &gt; 0</f>
        <v>0</v>
      </c>
      <c r="G218" t="s">
        <v>884</v>
      </c>
      <c r="H218" t="s">
        <v>187</v>
      </c>
      <c r="I218" t="s">
        <v>885</v>
      </c>
      <c r="J218" s="1" t="s">
        <v>886</v>
      </c>
    </row>
    <row r="219" spans="1:10" ht="15" customHeight="1" x14ac:dyDescent="0.25">
      <c r="A219" t="s">
        <v>887</v>
      </c>
      <c r="B219">
        <v>2024</v>
      </c>
      <c r="C219" t="s">
        <v>182</v>
      </c>
      <c r="D219" t="b">
        <f>TRUE()</f>
        <v>1</v>
      </c>
      <c r="E219" t="b">
        <f>COUNTIF(connections!A:A, A219) &gt; 0</f>
        <v>0</v>
      </c>
      <c r="G219" t="s">
        <v>888</v>
      </c>
    </row>
    <row r="220" spans="1:10" ht="15" customHeight="1" x14ac:dyDescent="0.25">
      <c r="A220" t="s">
        <v>889</v>
      </c>
      <c r="B220">
        <v>2023</v>
      </c>
      <c r="C220" t="s">
        <v>176</v>
      </c>
      <c r="D220" t="b">
        <f>TRUE()</f>
        <v>1</v>
      </c>
      <c r="E220" t="b">
        <f>COUNTIF(connections!A:A, A220) &gt; 0</f>
        <v>0</v>
      </c>
      <c r="G220" t="s">
        <v>890</v>
      </c>
      <c r="H220" t="s">
        <v>187</v>
      </c>
      <c r="I220" t="s">
        <v>891</v>
      </c>
      <c r="J220" s="1" t="s">
        <v>892</v>
      </c>
    </row>
    <row r="221" spans="1:10" ht="15" customHeight="1" x14ac:dyDescent="0.25">
      <c r="A221" t="s">
        <v>893</v>
      </c>
      <c r="B221">
        <v>2026</v>
      </c>
      <c r="C221" t="s">
        <v>176</v>
      </c>
      <c r="D221" t="b">
        <f>TRUE()</f>
        <v>1</v>
      </c>
      <c r="E221" t="b">
        <f>COUNTIF(connections!A:A, A221) &gt; 0</f>
        <v>0</v>
      </c>
      <c r="G221" t="s">
        <v>894</v>
      </c>
      <c r="J221" s="10" t="s">
        <v>895</v>
      </c>
    </row>
    <row r="222" spans="1:10" ht="15" customHeight="1" x14ac:dyDescent="0.25">
      <c r="A222" t="s">
        <v>896</v>
      </c>
      <c r="B222">
        <v>2024</v>
      </c>
      <c r="C222" t="s">
        <v>182</v>
      </c>
      <c r="D222" t="b">
        <f>TRUE()</f>
        <v>1</v>
      </c>
      <c r="E222" t="b">
        <f>COUNTIF(connections!A:A, A222) &gt; 0</f>
        <v>0</v>
      </c>
      <c r="G222" t="s">
        <v>897</v>
      </c>
    </row>
    <row r="223" spans="1:10" ht="15" customHeight="1" x14ac:dyDescent="0.25">
      <c r="A223" t="s">
        <v>898</v>
      </c>
      <c r="B223">
        <v>2025</v>
      </c>
      <c r="C223" t="s">
        <v>182</v>
      </c>
      <c r="D223" t="b">
        <f>TRUE()</f>
        <v>1</v>
      </c>
      <c r="E223" t="b">
        <f>COUNTIF(connections!A:A, A223) &gt; 0</f>
        <v>0</v>
      </c>
      <c r="G223" t="s">
        <v>899</v>
      </c>
    </row>
    <row r="224" spans="1:10" ht="15" customHeight="1" x14ac:dyDescent="0.25">
      <c r="A224" t="s">
        <v>900</v>
      </c>
      <c r="B224">
        <v>2025</v>
      </c>
      <c r="C224" t="s">
        <v>182</v>
      </c>
      <c r="D224" t="b">
        <f>TRUE()</f>
        <v>1</v>
      </c>
      <c r="E224" t="b">
        <f>COUNTIF(connections!A:A, A224) &gt; 0</f>
        <v>0</v>
      </c>
      <c r="G224" t="s">
        <v>901</v>
      </c>
      <c r="H224" t="s">
        <v>187</v>
      </c>
      <c r="I224" t="s">
        <v>902</v>
      </c>
      <c r="J224" s="1" t="s">
        <v>903</v>
      </c>
    </row>
    <row r="225" spans="1:10" ht="15" customHeight="1" x14ac:dyDescent="0.25">
      <c r="A225" t="s">
        <v>904</v>
      </c>
      <c r="B225">
        <v>2022</v>
      </c>
      <c r="C225" t="s">
        <v>222</v>
      </c>
      <c r="D225" t="b">
        <f>TRUE()</f>
        <v>1</v>
      </c>
      <c r="E225" t="b">
        <f>COUNTIF(connections!A:A, A225) &gt; 0</f>
        <v>1</v>
      </c>
      <c r="F225" t="s">
        <v>905</v>
      </c>
      <c r="G225" t="s">
        <v>906</v>
      </c>
      <c r="H225" t="s">
        <v>187</v>
      </c>
      <c r="I225" t="s">
        <v>907</v>
      </c>
      <c r="J225" s="1" t="s">
        <v>908</v>
      </c>
    </row>
    <row r="226" spans="1:10" ht="15" customHeight="1" x14ac:dyDescent="0.25">
      <c r="A226" t="s">
        <v>909</v>
      </c>
      <c r="B226">
        <v>2026</v>
      </c>
      <c r="C226" t="s">
        <v>222</v>
      </c>
      <c r="D226" t="b">
        <f>TRUE()</f>
        <v>1</v>
      </c>
      <c r="E226" t="b">
        <f>COUNTIF(connections!A:A, A226) &gt; 0</f>
        <v>0</v>
      </c>
      <c r="G226" t="s">
        <v>910</v>
      </c>
      <c r="J226" s="10" t="s">
        <v>911</v>
      </c>
    </row>
    <row r="227" spans="1:10" ht="15" customHeight="1" x14ac:dyDescent="0.25">
      <c r="A227" t="s">
        <v>912</v>
      </c>
      <c r="B227">
        <v>2026</v>
      </c>
      <c r="C227" t="s">
        <v>176</v>
      </c>
      <c r="D227" t="b">
        <f>FALSE()</f>
        <v>0</v>
      </c>
      <c r="E227" t="b">
        <f>COUNTIF(connections!A:A, A227) &gt; 0</f>
        <v>0</v>
      </c>
      <c r="G227" t="s">
        <v>913</v>
      </c>
    </row>
    <row r="228" spans="1:10" ht="15" customHeight="1" x14ac:dyDescent="0.25">
      <c r="A228" t="s">
        <v>914</v>
      </c>
      <c r="B228">
        <v>2013</v>
      </c>
      <c r="C228" t="s">
        <v>176</v>
      </c>
      <c r="D228" t="b">
        <f>TRUE()</f>
        <v>1</v>
      </c>
      <c r="E228" t="b">
        <f>COUNTIF(connections!A:A, A228) &gt; 0</f>
        <v>1</v>
      </c>
      <c r="G228" t="s">
        <v>915</v>
      </c>
      <c r="H228" t="s">
        <v>187</v>
      </c>
      <c r="I228" t="s">
        <v>916</v>
      </c>
      <c r="J228" s="1" t="s">
        <v>917</v>
      </c>
    </row>
    <row r="229" spans="1:10" ht="15" customHeight="1" x14ac:dyDescent="0.25">
      <c r="A229" t="s">
        <v>918</v>
      </c>
      <c r="B229">
        <v>2014</v>
      </c>
      <c r="C229" t="s">
        <v>176</v>
      </c>
      <c r="D229" t="b">
        <f>TRUE()</f>
        <v>1</v>
      </c>
      <c r="E229" t="b">
        <f>COUNTIF(connections!A:A, A229) &gt; 0</f>
        <v>0</v>
      </c>
      <c r="G229" t="s">
        <v>919</v>
      </c>
      <c r="H229" t="s">
        <v>187</v>
      </c>
      <c r="I229" t="s">
        <v>920</v>
      </c>
      <c r="J229" s="1" t="s">
        <v>921</v>
      </c>
    </row>
    <row r="230" spans="1:10" ht="15" customHeight="1" x14ac:dyDescent="0.25">
      <c r="A230" t="s">
        <v>922</v>
      </c>
      <c r="B230">
        <v>2002</v>
      </c>
      <c r="C230" t="s">
        <v>179</v>
      </c>
      <c r="D230" t="b">
        <f>TRUE()</f>
        <v>1</v>
      </c>
      <c r="E230" t="b">
        <f>COUNTIF(connections!A:A, A230) &gt; 0</f>
        <v>1</v>
      </c>
      <c r="G230" t="s">
        <v>923</v>
      </c>
    </row>
    <row r="231" spans="1:10" ht="15" customHeight="1" x14ac:dyDescent="0.25">
      <c r="A231" t="s">
        <v>924</v>
      </c>
      <c r="B231">
        <v>2019</v>
      </c>
      <c r="C231" t="s">
        <v>222</v>
      </c>
      <c r="D231" t="b">
        <f>TRUE()</f>
        <v>1</v>
      </c>
      <c r="E231" t="b">
        <f>COUNTIF(connections!A:A, A231) &gt; 0</f>
        <v>1</v>
      </c>
      <c r="G231" t="s">
        <v>925</v>
      </c>
    </row>
    <row r="232" spans="1:10" ht="15" customHeight="1" x14ac:dyDescent="0.25">
      <c r="A232" t="s">
        <v>926</v>
      </c>
      <c r="B232">
        <v>2023</v>
      </c>
      <c r="C232" t="s">
        <v>176</v>
      </c>
      <c r="D232" t="b">
        <f>FALSE()</f>
        <v>0</v>
      </c>
      <c r="E232" t="b">
        <f>COUNTIF(connections!A:A, A232) &gt; 0</f>
        <v>0</v>
      </c>
      <c r="F232" t="s">
        <v>229</v>
      </c>
      <c r="G232" t="s">
        <v>927</v>
      </c>
      <c r="H232" t="s">
        <v>187</v>
      </c>
      <c r="I232" t="s">
        <v>928</v>
      </c>
      <c r="J232" s="1" t="s">
        <v>929</v>
      </c>
    </row>
    <row r="233" spans="1:10" ht="15" customHeight="1" x14ac:dyDescent="0.25">
      <c r="A233" t="s">
        <v>930</v>
      </c>
      <c r="B233">
        <v>2015</v>
      </c>
      <c r="C233" t="s">
        <v>176</v>
      </c>
      <c r="D233" t="b">
        <f>TRUE()</f>
        <v>1</v>
      </c>
      <c r="E233" t="b">
        <f>COUNTIF(connections!A:A, A233) &gt; 0</f>
        <v>1</v>
      </c>
      <c r="G233" t="s">
        <v>931</v>
      </c>
      <c r="H233" t="s">
        <v>187</v>
      </c>
      <c r="I233" t="s">
        <v>932</v>
      </c>
      <c r="J233" s="1" t="s">
        <v>933</v>
      </c>
    </row>
    <row r="234" spans="1:10" ht="15" customHeight="1" x14ac:dyDescent="0.25">
      <c r="A234" t="s">
        <v>934</v>
      </c>
      <c r="B234">
        <v>1990</v>
      </c>
      <c r="C234" t="s">
        <v>179</v>
      </c>
      <c r="D234" t="b">
        <f>TRUE()</f>
        <v>1</v>
      </c>
      <c r="E234" t="b">
        <f>COUNTIF(connections!A:A, A234) &gt; 0</f>
        <v>0</v>
      </c>
      <c r="G234" t="s">
        <v>935</v>
      </c>
      <c r="H234" t="s">
        <v>187</v>
      </c>
      <c r="I234" t="s">
        <v>936</v>
      </c>
    </row>
    <row r="235" spans="1:10" ht="15" customHeight="1" x14ac:dyDescent="0.25">
      <c r="A235" t="s">
        <v>7851</v>
      </c>
      <c r="B235">
        <v>2026</v>
      </c>
      <c r="C235" t="s">
        <v>179</v>
      </c>
      <c r="D235" t="b">
        <f>TRUE()</f>
        <v>1</v>
      </c>
      <c r="E235" t="b">
        <f>COUNTIF(connections!A:A, A235) &gt; 0</f>
        <v>0</v>
      </c>
      <c r="G235" t="s">
        <v>7865</v>
      </c>
      <c r="J235" s="10" t="s">
        <v>7852</v>
      </c>
    </row>
    <row r="236" spans="1:10" ht="15" customHeight="1" x14ac:dyDescent="0.25">
      <c r="A236" t="s">
        <v>937</v>
      </c>
      <c r="B236">
        <v>2006</v>
      </c>
      <c r="C236" t="s">
        <v>179</v>
      </c>
      <c r="D236" t="b">
        <f>TRUE()</f>
        <v>1</v>
      </c>
      <c r="E236" t="b">
        <f>COUNTIF(connections!A:A, A236) &gt; 0</f>
        <v>0</v>
      </c>
      <c r="G236" t="s">
        <v>938</v>
      </c>
      <c r="H236" t="s">
        <v>187</v>
      </c>
      <c r="I236" t="s">
        <v>939</v>
      </c>
    </row>
    <row r="237" spans="1:10" ht="15" customHeight="1" x14ac:dyDescent="0.25">
      <c r="A237" t="s">
        <v>940</v>
      </c>
      <c r="B237">
        <v>2003</v>
      </c>
      <c r="C237" t="s">
        <v>179</v>
      </c>
      <c r="D237" t="b">
        <f>TRUE()</f>
        <v>1</v>
      </c>
      <c r="E237" t="b">
        <f>COUNTIF(connections!A:A, A237) &gt; 0</f>
        <v>0</v>
      </c>
      <c r="G237" t="s">
        <v>941</v>
      </c>
    </row>
    <row r="238" spans="1:10" ht="15" customHeight="1" x14ac:dyDescent="0.25">
      <c r="A238" t="s">
        <v>942</v>
      </c>
      <c r="B238">
        <v>2025</v>
      </c>
      <c r="C238" t="s">
        <v>222</v>
      </c>
      <c r="D238" t="b">
        <v>0</v>
      </c>
      <c r="E238" t="b">
        <v>0</v>
      </c>
      <c r="G238" t="s">
        <v>943</v>
      </c>
      <c r="H238" t="s">
        <v>187</v>
      </c>
      <c r="I238" t="s">
        <v>944</v>
      </c>
      <c r="J238" s="10" t="s">
        <v>945</v>
      </c>
    </row>
    <row r="239" spans="1:10" ht="15" customHeight="1" x14ac:dyDescent="0.25">
      <c r="A239" t="s">
        <v>946</v>
      </c>
      <c r="B239">
        <v>2014</v>
      </c>
      <c r="C239" t="s">
        <v>182</v>
      </c>
      <c r="D239" t="b">
        <f>TRUE()</f>
        <v>1</v>
      </c>
      <c r="E239" t="b">
        <f>COUNTIF(connections!A:A, A239) &gt; 0</f>
        <v>1</v>
      </c>
      <c r="G239" t="s">
        <v>947</v>
      </c>
    </row>
    <row r="240" spans="1:10" ht="15" customHeight="1" x14ac:dyDescent="0.25">
      <c r="A240" t="s">
        <v>948</v>
      </c>
      <c r="B240">
        <v>2020</v>
      </c>
      <c r="C240" t="s">
        <v>176</v>
      </c>
      <c r="D240" t="b">
        <f>TRUE()</f>
        <v>1</v>
      </c>
      <c r="E240" t="b">
        <f>COUNTIF(connections!A:A, A240) &gt; 0</f>
        <v>0</v>
      </c>
      <c r="G240" t="s">
        <v>949</v>
      </c>
      <c r="H240" t="s">
        <v>187</v>
      </c>
      <c r="I240" t="s">
        <v>950</v>
      </c>
      <c r="J240" s="1" t="s">
        <v>951</v>
      </c>
    </row>
    <row r="241" spans="1:10" ht="15" customHeight="1" x14ac:dyDescent="0.25">
      <c r="A241" t="s">
        <v>952</v>
      </c>
      <c r="B241">
        <v>2024</v>
      </c>
      <c r="C241" t="s">
        <v>222</v>
      </c>
      <c r="D241" t="b">
        <f>TRUE()</f>
        <v>1</v>
      </c>
      <c r="E241" t="b">
        <f>COUNTIF(connections!A:A, A241) &gt; 0</f>
        <v>0</v>
      </c>
      <c r="F241" t="s">
        <v>617</v>
      </c>
      <c r="G241" t="s">
        <v>953</v>
      </c>
    </row>
    <row r="242" spans="1:10" ht="15" customHeight="1" x14ac:dyDescent="0.25">
      <c r="A242" t="s">
        <v>7993</v>
      </c>
      <c r="B242">
        <v>2026</v>
      </c>
      <c r="C242" t="s">
        <v>176</v>
      </c>
      <c r="D242" t="b">
        <f>TRUE()</f>
        <v>1</v>
      </c>
      <c r="E242" t="b">
        <f>COUNTIF(connections!A:A, A242) &gt; 0</f>
        <v>0</v>
      </c>
      <c r="G242" t="s">
        <v>7994</v>
      </c>
      <c r="J242" s="10" t="s">
        <v>7995</v>
      </c>
    </row>
    <row r="243" spans="1:10" ht="15" customHeight="1" x14ac:dyDescent="0.25">
      <c r="A243" t="s">
        <v>954</v>
      </c>
      <c r="B243">
        <v>2025</v>
      </c>
      <c r="C243" t="s">
        <v>222</v>
      </c>
      <c r="D243" t="b">
        <f>TRUE()</f>
        <v>1</v>
      </c>
      <c r="E243" t="b">
        <f>COUNTIF(connections!A:A, A243) &gt; 0</f>
        <v>0</v>
      </c>
      <c r="G243" t="s">
        <v>955</v>
      </c>
      <c r="H243" t="s">
        <v>187</v>
      </c>
      <c r="I243" t="s">
        <v>956</v>
      </c>
      <c r="J243" s="10" t="s">
        <v>957</v>
      </c>
    </row>
    <row r="244" spans="1:10" ht="15" customHeight="1" x14ac:dyDescent="0.25">
      <c r="A244" t="s">
        <v>958</v>
      </c>
      <c r="B244">
        <v>2025</v>
      </c>
      <c r="C244" t="s">
        <v>222</v>
      </c>
      <c r="D244" t="b">
        <f>TRUE()</f>
        <v>1</v>
      </c>
      <c r="E244" t="b">
        <f>COUNTIF(connections!A:A, A244) &gt; 0</f>
        <v>0</v>
      </c>
      <c r="G244" t="s">
        <v>959</v>
      </c>
    </row>
    <row r="245" spans="1:10" ht="15" customHeight="1" x14ac:dyDescent="0.25">
      <c r="A245" t="s">
        <v>960</v>
      </c>
      <c r="B245">
        <v>2024</v>
      </c>
      <c r="C245" t="s">
        <v>182</v>
      </c>
      <c r="D245" t="b">
        <f>TRUE()</f>
        <v>1</v>
      </c>
      <c r="E245" t="b">
        <f>COUNTIF(connections!A:A, A245) &gt; 0</f>
        <v>1</v>
      </c>
      <c r="F245" t="s">
        <v>354</v>
      </c>
      <c r="G245" t="s">
        <v>961</v>
      </c>
      <c r="H245" t="s">
        <v>187</v>
      </c>
      <c r="I245" t="s">
        <v>962</v>
      </c>
      <c r="J245" s="1" t="s">
        <v>963</v>
      </c>
    </row>
    <row r="246" spans="1:10" ht="15" customHeight="1" x14ac:dyDescent="0.25">
      <c r="A246" t="s">
        <v>964</v>
      </c>
      <c r="B246">
        <v>2006</v>
      </c>
      <c r="C246" t="s">
        <v>179</v>
      </c>
      <c r="D246" t="b">
        <f>TRUE()</f>
        <v>1</v>
      </c>
      <c r="E246" t="b">
        <f>COUNTIF(connections!A:A, A246) &gt; 0</f>
        <v>1</v>
      </c>
      <c r="G246" t="s">
        <v>965</v>
      </c>
      <c r="H246" t="s">
        <v>187</v>
      </c>
      <c r="I246" t="s">
        <v>966</v>
      </c>
    </row>
    <row r="247" spans="1:10" ht="15" customHeight="1" x14ac:dyDescent="0.25">
      <c r="A247" t="s">
        <v>967</v>
      </c>
      <c r="B247">
        <v>2021</v>
      </c>
      <c r="C247" t="s">
        <v>222</v>
      </c>
      <c r="D247" t="b">
        <f>FALSE()</f>
        <v>0</v>
      </c>
      <c r="E247" t="b">
        <f>COUNTIF(connections!A:A, A247) &gt; 0</f>
        <v>0</v>
      </c>
      <c r="F247" t="s">
        <v>614</v>
      </c>
      <c r="G247" t="s">
        <v>968</v>
      </c>
      <c r="H247" t="s">
        <v>187</v>
      </c>
      <c r="I247" t="s">
        <v>969</v>
      </c>
      <c r="J247" s="1" t="s">
        <v>970</v>
      </c>
    </row>
    <row r="248" spans="1:10" ht="15" customHeight="1" x14ac:dyDescent="0.25">
      <c r="A248" t="s">
        <v>971</v>
      </c>
      <c r="B248">
        <v>2023</v>
      </c>
      <c r="C248" t="s">
        <v>179</v>
      </c>
      <c r="D248" t="b">
        <f>TRUE()</f>
        <v>1</v>
      </c>
      <c r="E248" t="b">
        <f>COUNTIF(connections!A:A, A248) &gt; 0</f>
        <v>0</v>
      </c>
      <c r="G248" t="s">
        <v>972</v>
      </c>
      <c r="H248" t="s">
        <v>187</v>
      </c>
      <c r="I248" t="s">
        <v>973</v>
      </c>
      <c r="J248" s="10" t="s">
        <v>974</v>
      </c>
    </row>
    <row r="249" spans="1:10" ht="15" customHeight="1" x14ac:dyDescent="0.25">
      <c r="A249" t="s">
        <v>975</v>
      </c>
      <c r="B249">
        <v>1993</v>
      </c>
      <c r="C249" t="s">
        <v>176</v>
      </c>
      <c r="D249" t="b">
        <f>FALSE()</f>
        <v>0</v>
      </c>
      <c r="E249" t="b">
        <f>COUNTIF(connections!A:A, A249) &gt; 0</f>
        <v>0</v>
      </c>
      <c r="G249" t="s">
        <v>976</v>
      </c>
    </row>
    <row r="250" spans="1:10" ht="15" customHeight="1" x14ac:dyDescent="0.25">
      <c r="A250" t="s">
        <v>977</v>
      </c>
      <c r="B250">
        <v>2008</v>
      </c>
      <c r="C250" t="s">
        <v>179</v>
      </c>
      <c r="D250" t="b">
        <f>TRUE()</f>
        <v>1</v>
      </c>
      <c r="E250" t="b">
        <f>COUNTIF(connections!A:A, A250) &gt; 0</f>
        <v>0</v>
      </c>
      <c r="G250" t="s">
        <v>978</v>
      </c>
      <c r="H250" t="s">
        <v>187</v>
      </c>
      <c r="I250" t="s">
        <v>979</v>
      </c>
    </row>
    <row r="251" spans="1:10" ht="15" customHeight="1" x14ac:dyDescent="0.25">
      <c r="A251" t="s">
        <v>980</v>
      </c>
      <c r="B251">
        <v>2016</v>
      </c>
      <c r="C251" t="s">
        <v>222</v>
      </c>
      <c r="D251" t="b">
        <f>TRUE()</f>
        <v>1</v>
      </c>
      <c r="E251" t="b">
        <f>COUNTIF(connections!A:A, A251) &gt; 0</f>
        <v>0</v>
      </c>
      <c r="G251" t="s">
        <v>981</v>
      </c>
      <c r="H251" t="s">
        <v>187</v>
      </c>
      <c r="I251" t="s">
        <v>982</v>
      </c>
      <c r="J251" s="10" t="s">
        <v>983</v>
      </c>
    </row>
    <row r="252" spans="1:10" ht="15" customHeight="1" x14ac:dyDescent="0.25">
      <c r="A252" t="s">
        <v>984</v>
      </c>
      <c r="B252">
        <v>2010</v>
      </c>
      <c r="C252" t="s">
        <v>179</v>
      </c>
      <c r="D252" t="b">
        <f>TRUE()</f>
        <v>1</v>
      </c>
      <c r="E252" t="b">
        <f>COUNTIF(connections!A:A, A252) &gt; 0</f>
        <v>1</v>
      </c>
      <c r="G252" t="s">
        <v>985</v>
      </c>
      <c r="H252" t="s">
        <v>187</v>
      </c>
      <c r="I252" t="s">
        <v>986</v>
      </c>
      <c r="J252" s="1" t="s">
        <v>987</v>
      </c>
    </row>
    <row r="253" spans="1:10" ht="15" customHeight="1" x14ac:dyDescent="0.25">
      <c r="A253" t="s">
        <v>988</v>
      </c>
      <c r="B253">
        <v>2024</v>
      </c>
      <c r="C253" t="s">
        <v>182</v>
      </c>
      <c r="D253" t="b">
        <f>TRUE()</f>
        <v>1</v>
      </c>
      <c r="E253" t="b">
        <f>COUNTIF(connections!A:A, A253) &gt; 0</f>
        <v>0</v>
      </c>
      <c r="F253" t="s">
        <v>354</v>
      </c>
      <c r="G253" t="s">
        <v>989</v>
      </c>
      <c r="H253" t="s">
        <v>187</v>
      </c>
      <c r="I253" t="s">
        <v>990</v>
      </c>
      <c r="J253" s="1" t="s">
        <v>991</v>
      </c>
    </row>
    <row r="254" spans="1:10" ht="15" customHeight="1" x14ac:dyDescent="0.25">
      <c r="A254" t="s">
        <v>992</v>
      </c>
      <c r="B254">
        <v>2024</v>
      </c>
      <c r="C254" t="s">
        <v>176</v>
      </c>
      <c r="D254" t="b">
        <f>TRUE()</f>
        <v>1</v>
      </c>
      <c r="E254" t="b">
        <f>COUNTIF(connections!A:A, A254) &gt; 0</f>
        <v>0</v>
      </c>
      <c r="G254" t="s">
        <v>993</v>
      </c>
      <c r="H254" t="s">
        <v>187</v>
      </c>
      <c r="I254" t="s">
        <v>7876</v>
      </c>
      <c r="J254" s="10" t="s">
        <v>7877</v>
      </c>
    </row>
    <row r="255" spans="1:10" ht="15" customHeight="1" x14ac:dyDescent="0.25">
      <c r="A255" t="s">
        <v>994</v>
      </c>
      <c r="B255">
        <v>2011</v>
      </c>
      <c r="C255" t="s">
        <v>179</v>
      </c>
      <c r="D255" t="b">
        <f>TRUE()</f>
        <v>1</v>
      </c>
      <c r="E255" t="b">
        <f>COUNTIF(connections!A:A, A255) &gt; 0</f>
        <v>1</v>
      </c>
      <c r="G255" t="s">
        <v>995</v>
      </c>
      <c r="H255" t="s">
        <v>187</v>
      </c>
      <c r="I255" t="s">
        <v>996</v>
      </c>
      <c r="J255" s="1" t="s">
        <v>997</v>
      </c>
    </row>
    <row r="256" spans="1:10" ht="15" customHeight="1" x14ac:dyDescent="0.25">
      <c r="A256" t="s">
        <v>998</v>
      </c>
      <c r="B256">
        <v>2018</v>
      </c>
      <c r="C256" t="s">
        <v>176</v>
      </c>
      <c r="D256" t="b">
        <f>TRUE()</f>
        <v>1</v>
      </c>
      <c r="E256" t="b">
        <f>COUNTIF(connections!A:A, A256) &gt; 0</f>
        <v>1</v>
      </c>
      <c r="G256" t="s">
        <v>999</v>
      </c>
      <c r="H256" t="s">
        <v>187</v>
      </c>
      <c r="I256" t="s">
        <v>1000</v>
      </c>
      <c r="J256" s="1" t="s">
        <v>1001</v>
      </c>
    </row>
    <row r="257" spans="1:10" ht="15" customHeight="1" x14ac:dyDescent="0.25">
      <c r="A257" t="s">
        <v>1002</v>
      </c>
      <c r="B257">
        <v>2025</v>
      </c>
      <c r="C257" t="s">
        <v>176</v>
      </c>
      <c r="D257" t="b">
        <f>TRUE()</f>
        <v>1</v>
      </c>
      <c r="E257" t="b">
        <f>COUNTIF(connections!A:A, A257) &gt; 0</f>
        <v>0</v>
      </c>
      <c r="G257" t="s">
        <v>1003</v>
      </c>
    </row>
    <row r="258" spans="1:10" ht="15" customHeight="1" x14ac:dyDescent="0.25">
      <c r="A258" t="s">
        <v>1004</v>
      </c>
      <c r="B258">
        <v>2006</v>
      </c>
      <c r="C258" t="s">
        <v>222</v>
      </c>
      <c r="D258" t="b">
        <f>TRUE()</f>
        <v>1</v>
      </c>
      <c r="E258" t="b">
        <f>COUNTIF(connections!A:A, A258) &gt; 0</f>
        <v>1</v>
      </c>
      <c r="G258" t="s">
        <v>1005</v>
      </c>
      <c r="H258" t="s">
        <v>187</v>
      </c>
      <c r="I258" t="s">
        <v>1006</v>
      </c>
      <c r="J258" s="1" t="s">
        <v>1007</v>
      </c>
    </row>
    <row r="259" spans="1:10" ht="15" customHeight="1" x14ac:dyDescent="0.25">
      <c r="A259" t="s">
        <v>1008</v>
      </c>
      <c r="B259">
        <v>2023</v>
      </c>
      <c r="C259" t="s">
        <v>222</v>
      </c>
      <c r="D259" t="b">
        <f>TRUE()</f>
        <v>1</v>
      </c>
      <c r="E259" t="b">
        <f>COUNTIF(connections!A:A, A259) &gt; 0</f>
        <v>0</v>
      </c>
      <c r="G259" t="s">
        <v>1009</v>
      </c>
    </row>
    <row r="260" spans="1:10" ht="15" customHeight="1" x14ac:dyDescent="0.25">
      <c r="A260" t="s">
        <v>1010</v>
      </c>
      <c r="B260">
        <v>2025</v>
      </c>
      <c r="C260" t="s">
        <v>176</v>
      </c>
      <c r="D260" t="b">
        <f>TRUE()</f>
        <v>1</v>
      </c>
      <c r="E260" t="b">
        <f>COUNTIF(connections!A:A, A260) &gt; 0</f>
        <v>1</v>
      </c>
      <c r="G260" t="s">
        <v>1011</v>
      </c>
      <c r="H260" t="s">
        <v>187</v>
      </c>
      <c r="I260" t="s">
        <v>1012</v>
      </c>
      <c r="J260" s="1" t="s">
        <v>1013</v>
      </c>
    </row>
    <row r="261" spans="1:10" ht="15" customHeight="1" x14ac:dyDescent="0.25">
      <c r="A261" t="s">
        <v>1014</v>
      </c>
      <c r="B261">
        <v>2013</v>
      </c>
      <c r="C261" t="s">
        <v>176</v>
      </c>
      <c r="D261" t="b">
        <f>TRUE()</f>
        <v>1</v>
      </c>
      <c r="E261" t="b">
        <f>COUNTIF(connections!A:A, A261) &gt; 0</f>
        <v>0</v>
      </c>
      <c r="G261" t="s">
        <v>1015</v>
      </c>
      <c r="H261" t="s">
        <v>187</v>
      </c>
      <c r="I261" t="s">
        <v>8334</v>
      </c>
      <c r="J261" s="10" t="s">
        <v>1016</v>
      </c>
    </row>
    <row r="262" spans="1:10" ht="15" customHeight="1" x14ac:dyDescent="0.25">
      <c r="A262" t="s">
        <v>1017</v>
      </c>
      <c r="B262">
        <v>2023</v>
      </c>
      <c r="C262" t="s">
        <v>176</v>
      </c>
      <c r="D262" t="b">
        <f>TRUE()</f>
        <v>1</v>
      </c>
      <c r="E262" t="b">
        <f>COUNTIF(connections!A:A, A262) &gt; 0</f>
        <v>0</v>
      </c>
      <c r="G262" t="s">
        <v>1018</v>
      </c>
      <c r="H262" t="s">
        <v>187</v>
      </c>
      <c r="I262" t="s">
        <v>1019</v>
      </c>
      <c r="J262" s="1" t="s">
        <v>1020</v>
      </c>
    </row>
    <row r="263" spans="1:10" ht="15" customHeight="1" x14ac:dyDescent="0.25">
      <c r="A263" t="s">
        <v>1021</v>
      </c>
      <c r="B263">
        <v>2023</v>
      </c>
      <c r="C263" t="s">
        <v>176</v>
      </c>
      <c r="D263" t="b">
        <f>TRUE()</f>
        <v>1</v>
      </c>
      <c r="E263" t="b">
        <f>COUNTIF(connections!A:A, A263) &gt; 0</f>
        <v>0</v>
      </c>
      <c r="G263" t="s">
        <v>1022</v>
      </c>
      <c r="H263" t="s">
        <v>187</v>
      </c>
      <c r="I263" t="s">
        <v>1023</v>
      </c>
      <c r="J263" s="10" t="s">
        <v>1024</v>
      </c>
    </row>
    <row r="264" spans="1:10" ht="15" customHeight="1" x14ac:dyDescent="0.25">
      <c r="A264" t="s">
        <v>1025</v>
      </c>
      <c r="B264">
        <v>2024</v>
      </c>
      <c r="C264" t="s">
        <v>179</v>
      </c>
      <c r="D264" t="b">
        <f>TRUE()</f>
        <v>1</v>
      </c>
      <c r="E264" t="b">
        <f>COUNTIF(connections!A:A, A264) &gt; 0</f>
        <v>0</v>
      </c>
      <c r="G264" t="s">
        <v>1026</v>
      </c>
    </row>
    <row r="265" spans="1:10" ht="15" customHeight="1" x14ac:dyDescent="0.25">
      <c r="A265" t="s">
        <v>1027</v>
      </c>
      <c r="B265">
        <v>2008</v>
      </c>
      <c r="C265" t="s">
        <v>179</v>
      </c>
      <c r="D265" t="b">
        <f>TRUE()</f>
        <v>1</v>
      </c>
      <c r="E265" t="b">
        <f>COUNTIF(connections!A:A, A265) &gt; 0</f>
        <v>1</v>
      </c>
      <c r="G265" t="s">
        <v>1028</v>
      </c>
    </row>
    <row r="266" spans="1:10" ht="15" customHeight="1" x14ac:dyDescent="0.25">
      <c r="A266" t="s">
        <v>1029</v>
      </c>
      <c r="B266">
        <v>2022</v>
      </c>
      <c r="C266" t="s">
        <v>176</v>
      </c>
      <c r="D266" t="b">
        <f>TRUE()</f>
        <v>1</v>
      </c>
      <c r="E266" t="b">
        <f>COUNTIF(connections!A:A, A266) &gt; 0</f>
        <v>1</v>
      </c>
      <c r="F266" t="s">
        <v>1030</v>
      </c>
      <c r="G266" t="s">
        <v>1031</v>
      </c>
      <c r="H266" t="s">
        <v>187</v>
      </c>
      <c r="I266" t="s">
        <v>1032</v>
      </c>
      <c r="J266" s="1" t="s">
        <v>1033</v>
      </c>
    </row>
    <row r="267" spans="1:10" ht="15" customHeight="1" x14ac:dyDescent="0.25">
      <c r="A267" t="s">
        <v>1034</v>
      </c>
      <c r="B267">
        <v>2024</v>
      </c>
      <c r="C267" t="s">
        <v>222</v>
      </c>
      <c r="D267" t="b">
        <f>TRUE()</f>
        <v>1</v>
      </c>
      <c r="E267" t="b">
        <f>COUNTIF(connections!A:A, A267) &gt; 0</f>
        <v>0</v>
      </c>
      <c r="F267" t="s">
        <v>404</v>
      </c>
      <c r="G267" t="s">
        <v>1035</v>
      </c>
      <c r="H267" t="s">
        <v>187</v>
      </c>
      <c r="I267" t="s">
        <v>1036</v>
      </c>
      <c r="J267" s="1" t="s">
        <v>1037</v>
      </c>
    </row>
    <row r="268" spans="1:10" ht="15" customHeight="1" x14ac:dyDescent="0.25">
      <c r="A268" t="s">
        <v>1038</v>
      </c>
      <c r="B268">
        <v>2023</v>
      </c>
      <c r="C268" t="s">
        <v>182</v>
      </c>
      <c r="D268" t="b">
        <f>TRUE()</f>
        <v>1</v>
      </c>
      <c r="E268" t="b">
        <f>COUNTIF(connections!A:A, A268) &gt; 0</f>
        <v>1</v>
      </c>
      <c r="G268" t="s">
        <v>1039</v>
      </c>
      <c r="H268" t="s">
        <v>187</v>
      </c>
      <c r="I268" t="s">
        <v>1040</v>
      </c>
      <c r="J268" s="1" t="s">
        <v>1041</v>
      </c>
    </row>
    <row r="269" spans="1:10" ht="15" customHeight="1" x14ac:dyDescent="0.25">
      <c r="A269" t="s">
        <v>1042</v>
      </c>
      <c r="B269">
        <v>2025</v>
      </c>
      <c r="C269" t="s">
        <v>176</v>
      </c>
      <c r="D269" t="b">
        <f>TRUE()</f>
        <v>1</v>
      </c>
      <c r="E269" t="b">
        <f>COUNTIF(connections!A:A, A269) &gt; 0</f>
        <v>0</v>
      </c>
      <c r="G269" t="s">
        <v>1043</v>
      </c>
      <c r="H269" t="s">
        <v>187</v>
      </c>
      <c r="I269" t="s">
        <v>1044</v>
      </c>
      <c r="J269" s="1" t="s">
        <v>1045</v>
      </c>
    </row>
    <row r="270" spans="1:10" ht="15" customHeight="1" x14ac:dyDescent="0.25">
      <c r="A270" t="s">
        <v>1046</v>
      </c>
      <c r="B270">
        <v>2016</v>
      </c>
      <c r="C270" t="s">
        <v>176</v>
      </c>
      <c r="D270" t="b">
        <f>TRUE()</f>
        <v>1</v>
      </c>
      <c r="E270" t="b">
        <f>COUNTIF(connections!A:A, A270) &gt; 0</f>
        <v>1</v>
      </c>
      <c r="G270" t="s">
        <v>1047</v>
      </c>
      <c r="H270" t="s">
        <v>187</v>
      </c>
      <c r="I270" t="s">
        <v>1048</v>
      </c>
      <c r="J270" s="1" t="s">
        <v>1049</v>
      </c>
    </row>
    <row r="271" spans="1:10" ht="15" customHeight="1" x14ac:dyDescent="0.25">
      <c r="A271" t="s">
        <v>1050</v>
      </c>
      <c r="B271">
        <v>2025</v>
      </c>
      <c r="C271" t="s">
        <v>222</v>
      </c>
      <c r="D271" t="b">
        <f>TRUE()</f>
        <v>1</v>
      </c>
      <c r="E271" t="b">
        <f>COUNTIF(connections!A:A, A271) &gt; 0</f>
        <v>0</v>
      </c>
      <c r="G271" t="s">
        <v>1051</v>
      </c>
    </row>
    <row r="272" spans="1:10" ht="15" customHeight="1" x14ac:dyDescent="0.25">
      <c r="A272" t="s">
        <v>1052</v>
      </c>
      <c r="B272">
        <v>2004</v>
      </c>
      <c r="C272" t="s">
        <v>179</v>
      </c>
      <c r="D272" t="b">
        <f>TRUE()</f>
        <v>1</v>
      </c>
      <c r="E272" t="b">
        <f>COUNTIF(connections!A:A, A272) &gt; 0</f>
        <v>0</v>
      </c>
      <c r="G272" t="s">
        <v>1053</v>
      </c>
      <c r="H272" t="s">
        <v>187</v>
      </c>
      <c r="I272" t="s">
        <v>1054</v>
      </c>
    </row>
    <row r="273" spans="1:10" ht="15" customHeight="1" x14ac:dyDescent="0.25">
      <c r="A273" t="s">
        <v>1055</v>
      </c>
      <c r="B273">
        <v>2015</v>
      </c>
      <c r="C273" t="s">
        <v>179</v>
      </c>
      <c r="D273" t="b">
        <f>TRUE()</f>
        <v>1</v>
      </c>
      <c r="E273" t="b">
        <f>COUNTIF(connections!A:A, A273) &gt; 0</f>
        <v>1</v>
      </c>
      <c r="G273" t="s">
        <v>1056</v>
      </c>
    </row>
    <row r="274" spans="1:10" ht="15" customHeight="1" x14ac:dyDescent="0.25">
      <c r="A274" t="s">
        <v>1057</v>
      </c>
      <c r="B274">
        <v>2017</v>
      </c>
      <c r="C274" t="s">
        <v>179</v>
      </c>
      <c r="D274" t="b">
        <f>TRUE()</f>
        <v>1</v>
      </c>
      <c r="E274" t="b">
        <f>COUNTIF(connections!A:A, A274) &gt; 0</f>
        <v>0</v>
      </c>
      <c r="G274" t="s">
        <v>1058</v>
      </c>
    </row>
    <row r="275" spans="1:10" ht="15" customHeight="1" x14ac:dyDescent="0.25">
      <c r="A275" t="s">
        <v>1059</v>
      </c>
      <c r="B275">
        <v>2026</v>
      </c>
      <c r="C275" t="s">
        <v>176</v>
      </c>
      <c r="D275" t="b">
        <f>TRUE()</f>
        <v>1</v>
      </c>
      <c r="E275" t="b">
        <f>COUNTIF(connections!A:A, A275) &gt; 0</f>
        <v>0</v>
      </c>
      <c r="G275" t="s">
        <v>1060</v>
      </c>
      <c r="H275" t="s">
        <v>187</v>
      </c>
      <c r="I275" t="s">
        <v>1061</v>
      </c>
      <c r="J275" s="1" t="s">
        <v>1062</v>
      </c>
    </row>
    <row r="276" spans="1:10" ht="15" customHeight="1" x14ac:dyDescent="0.25">
      <c r="A276" t="s">
        <v>1063</v>
      </c>
      <c r="B276">
        <v>2023</v>
      </c>
      <c r="C276" t="s">
        <v>176</v>
      </c>
      <c r="D276" t="b">
        <f>FALSE()</f>
        <v>0</v>
      </c>
      <c r="E276" t="b">
        <f>COUNTIF(connections!A:A, A276) &gt; 0</f>
        <v>0</v>
      </c>
      <c r="G276" t="s">
        <v>1064</v>
      </c>
      <c r="H276" t="s">
        <v>187</v>
      </c>
      <c r="I276" t="s">
        <v>1065</v>
      </c>
      <c r="J276" s="1" t="s">
        <v>1066</v>
      </c>
    </row>
    <row r="277" spans="1:10" ht="15" customHeight="1" x14ac:dyDescent="0.25">
      <c r="A277" t="s">
        <v>1067</v>
      </c>
      <c r="B277">
        <v>2020</v>
      </c>
      <c r="C277" t="s">
        <v>176</v>
      </c>
      <c r="D277" t="b">
        <f>TRUE()</f>
        <v>1</v>
      </c>
      <c r="E277" t="b">
        <f>COUNTIF(connections!A:A, A277) &gt; 0</f>
        <v>0</v>
      </c>
      <c r="G277" t="s">
        <v>1068</v>
      </c>
      <c r="H277" t="s">
        <v>187</v>
      </c>
      <c r="I277" t="s">
        <v>1069</v>
      </c>
      <c r="J277" s="1" t="s">
        <v>1070</v>
      </c>
    </row>
    <row r="278" spans="1:10" ht="15" customHeight="1" x14ac:dyDescent="0.25">
      <c r="A278" t="s">
        <v>1071</v>
      </c>
      <c r="B278">
        <v>2024</v>
      </c>
      <c r="C278" t="s">
        <v>182</v>
      </c>
      <c r="D278" t="b">
        <f>TRUE()</f>
        <v>1</v>
      </c>
      <c r="E278" t="b">
        <f>COUNTIF(connections!A:A, A278) &gt; 0</f>
        <v>0</v>
      </c>
      <c r="G278" t="s">
        <v>1072</v>
      </c>
      <c r="H278" t="s">
        <v>187</v>
      </c>
      <c r="I278" t="s">
        <v>1073</v>
      </c>
      <c r="J278" s="1" t="s">
        <v>1074</v>
      </c>
    </row>
    <row r="279" spans="1:10" ht="15" customHeight="1" x14ac:dyDescent="0.25">
      <c r="A279" t="s">
        <v>1075</v>
      </c>
      <c r="B279">
        <v>2024</v>
      </c>
      <c r="C279" t="s">
        <v>182</v>
      </c>
      <c r="D279" t="b">
        <f>FALSE()</f>
        <v>0</v>
      </c>
      <c r="E279" t="b">
        <f>COUNTIF(connections!A:A, A279) &gt; 0</f>
        <v>0</v>
      </c>
      <c r="F279" t="s">
        <v>1076</v>
      </c>
      <c r="G279" t="s">
        <v>1077</v>
      </c>
      <c r="H279" t="s">
        <v>187</v>
      </c>
      <c r="I279" t="s">
        <v>1078</v>
      </c>
      <c r="J279" s="1" t="s">
        <v>1079</v>
      </c>
    </row>
    <row r="280" spans="1:10" ht="15" customHeight="1" x14ac:dyDescent="0.25">
      <c r="A280" t="s">
        <v>1080</v>
      </c>
      <c r="B280">
        <v>1990</v>
      </c>
      <c r="C280" t="s">
        <v>179</v>
      </c>
      <c r="D280" t="b">
        <f>TRUE()</f>
        <v>1</v>
      </c>
      <c r="E280" t="b">
        <f>COUNTIF(connections!A:A, A280) &gt; 0</f>
        <v>1</v>
      </c>
      <c r="G280" t="s">
        <v>1081</v>
      </c>
      <c r="H280" t="s">
        <v>187</v>
      </c>
      <c r="I280" t="s">
        <v>1082</v>
      </c>
    </row>
    <row r="281" spans="1:10" ht="15" customHeight="1" x14ac:dyDescent="0.25">
      <c r="A281" t="s">
        <v>1083</v>
      </c>
      <c r="B281">
        <v>2018</v>
      </c>
      <c r="C281" t="s">
        <v>222</v>
      </c>
      <c r="D281" t="b">
        <f>TRUE()</f>
        <v>1</v>
      </c>
      <c r="E281" t="b">
        <f>COUNTIF(connections!A:A, A281) &gt; 0</f>
        <v>0</v>
      </c>
      <c r="G281" t="s">
        <v>1084</v>
      </c>
    </row>
    <row r="282" spans="1:10" ht="15" customHeight="1" x14ac:dyDescent="0.25">
      <c r="A282" t="s">
        <v>1085</v>
      </c>
      <c r="B282">
        <v>2024</v>
      </c>
      <c r="C282" t="s">
        <v>222</v>
      </c>
      <c r="D282" t="b">
        <f>TRUE()</f>
        <v>1</v>
      </c>
      <c r="E282" t="b">
        <f>COUNTIF(connections!A:A, A282) &gt; 0</f>
        <v>0</v>
      </c>
      <c r="F282" t="s">
        <v>652</v>
      </c>
      <c r="G282" t="s">
        <v>1086</v>
      </c>
      <c r="H282" t="s">
        <v>187</v>
      </c>
      <c r="I282" t="s">
        <v>1087</v>
      </c>
      <c r="J282" s="1" t="s">
        <v>1088</v>
      </c>
    </row>
    <row r="283" spans="1:10" ht="15" customHeight="1" x14ac:dyDescent="0.25">
      <c r="A283" t="s">
        <v>1089</v>
      </c>
      <c r="B283">
        <v>2021</v>
      </c>
      <c r="C283" t="s">
        <v>182</v>
      </c>
      <c r="D283" t="b">
        <f>TRUE()</f>
        <v>1</v>
      </c>
      <c r="E283" t="b">
        <f>COUNTIF(connections!A:A, A283) &gt; 0</f>
        <v>1</v>
      </c>
      <c r="G283" t="s">
        <v>1090</v>
      </c>
      <c r="H283" t="s">
        <v>187</v>
      </c>
      <c r="I283" t="s">
        <v>1091</v>
      </c>
      <c r="J283" s="1" t="s">
        <v>1092</v>
      </c>
    </row>
    <row r="284" spans="1:10" ht="15" customHeight="1" x14ac:dyDescent="0.25">
      <c r="A284" t="s">
        <v>1093</v>
      </c>
      <c r="B284">
        <v>2007</v>
      </c>
      <c r="C284" t="s">
        <v>179</v>
      </c>
      <c r="D284" t="b">
        <f>TRUE()</f>
        <v>1</v>
      </c>
      <c r="E284" t="b">
        <f>COUNTIF(connections!A:A, A284) &gt; 0</f>
        <v>1</v>
      </c>
      <c r="G284" t="s">
        <v>1094</v>
      </c>
      <c r="H284" t="s">
        <v>187</v>
      </c>
      <c r="I284" t="s">
        <v>1095</v>
      </c>
    </row>
    <row r="285" spans="1:10" ht="15" customHeight="1" x14ac:dyDescent="0.25">
      <c r="A285" t="s">
        <v>1096</v>
      </c>
      <c r="B285">
        <v>2024</v>
      </c>
      <c r="C285" t="s">
        <v>176</v>
      </c>
      <c r="D285" t="b">
        <f>TRUE()</f>
        <v>1</v>
      </c>
      <c r="E285" t="b">
        <f>COUNTIF(connections!A:A, A285) &gt; 0</f>
        <v>0</v>
      </c>
      <c r="F285" t="s">
        <v>652</v>
      </c>
      <c r="G285" t="s">
        <v>1097</v>
      </c>
      <c r="H285" t="s">
        <v>187</v>
      </c>
      <c r="I285" t="s">
        <v>1098</v>
      </c>
      <c r="J285" s="1" t="s">
        <v>1099</v>
      </c>
    </row>
    <row r="286" spans="1:10" ht="15" customHeight="1" x14ac:dyDescent="0.25">
      <c r="A286" t="s">
        <v>1100</v>
      </c>
      <c r="B286">
        <v>2022</v>
      </c>
      <c r="C286" t="s">
        <v>176</v>
      </c>
      <c r="D286" t="b">
        <f>TRUE()</f>
        <v>1</v>
      </c>
      <c r="E286" t="b">
        <f>COUNTIF(connections!A:A, A286) &gt; 0</f>
        <v>1</v>
      </c>
      <c r="G286" t="s">
        <v>1101</v>
      </c>
    </row>
    <row r="287" spans="1:10" ht="15" customHeight="1" x14ac:dyDescent="0.25">
      <c r="A287" t="s">
        <v>1102</v>
      </c>
      <c r="B287">
        <v>2025</v>
      </c>
      <c r="C287" t="s">
        <v>222</v>
      </c>
      <c r="D287" t="b">
        <f>FALSE()</f>
        <v>0</v>
      </c>
      <c r="E287" t="b">
        <f>COUNTIF(connections!A:A, A287) &gt; 0</f>
        <v>0</v>
      </c>
      <c r="G287" t="s">
        <v>1103</v>
      </c>
      <c r="H287" t="s">
        <v>187</v>
      </c>
      <c r="I287" t="s">
        <v>8335</v>
      </c>
      <c r="J287" s="10" t="s">
        <v>8336</v>
      </c>
    </row>
    <row r="288" spans="1:10" ht="15" customHeight="1" x14ac:dyDescent="0.25">
      <c r="A288" t="s">
        <v>1104</v>
      </c>
      <c r="B288">
        <v>2017</v>
      </c>
      <c r="C288" t="s">
        <v>176</v>
      </c>
      <c r="D288" t="b">
        <f>TRUE()</f>
        <v>1</v>
      </c>
      <c r="E288" t="b">
        <f>COUNTIF(connections!A:A, A288) &gt; 0</f>
        <v>0</v>
      </c>
      <c r="F288" t="s">
        <v>274</v>
      </c>
      <c r="G288" t="s">
        <v>1105</v>
      </c>
      <c r="H288" t="s">
        <v>187</v>
      </c>
      <c r="I288" t="s">
        <v>1106</v>
      </c>
      <c r="J288" s="1" t="s">
        <v>1107</v>
      </c>
    </row>
    <row r="289" spans="1:10" ht="15" customHeight="1" x14ac:dyDescent="0.25">
      <c r="A289" t="s">
        <v>1108</v>
      </c>
      <c r="B289">
        <v>2026</v>
      </c>
      <c r="C289" t="s">
        <v>182</v>
      </c>
      <c r="D289" t="b">
        <v>1</v>
      </c>
      <c r="E289" t="b">
        <v>0</v>
      </c>
      <c r="F289" t="s">
        <v>587</v>
      </c>
      <c r="G289" t="s">
        <v>1109</v>
      </c>
      <c r="J289" s="10" t="s">
        <v>1110</v>
      </c>
    </row>
    <row r="290" spans="1:10" ht="15" customHeight="1" x14ac:dyDescent="0.25">
      <c r="A290" t="s">
        <v>1111</v>
      </c>
      <c r="B290">
        <v>2024</v>
      </c>
      <c r="C290" t="s">
        <v>176</v>
      </c>
      <c r="D290" t="b">
        <v>1</v>
      </c>
      <c r="E290" t="b">
        <v>0</v>
      </c>
      <c r="F290" t="s">
        <v>614</v>
      </c>
      <c r="G290" t="s">
        <v>1112</v>
      </c>
      <c r="H290" t="s">
        <v>187</v>
      </c>
      <c r="I290" t="s">
        <v>1113</v>
      </c>
      <c r="J290" s="1" t="s">
        <v>1114</v>
      </c>
    </row>
    <row r="291" spans="1:10" ht="15" customHeight="1" x14ac:dyDescent="0.25">
      <c r="A291" t="s">
        <v>1115</v>
      </c>
      <c r="B291">
        <v>2018</v>
      </c>
      <c r="C291" t="s">
        <v>222</v>
      </c>
      <c r="D291" t="b">
        <f>TRUE()</f>
        <v>1</v>
      </c>
      <c r="E291" t="b">
        <f>COUNTIF(connections!A:A, A291) &gt; 0</f>
        <v>1</v>
      </c>
      <c r="G291" t="s">
        <v>1116</v>
      </c>
      <c r="H291" t="s">
        <v>187</v>
      </c>
      <c r="I291" t="s">
        <v>1117</v>
      </c>
      <c r="J291" s="1" t="s">
        <v>1118</v>
      </c>
    </row>
    <row r="292" spans="1:10" ht="15" customHeight="1" x14ac:dyDescent="0.25">
      <c r="A292" t="s">
        <v>1119</v>
      </c>
      <c r="B292">
        <v>2023</v>
      </c>
      <c r="C292" t="s">
        <v>222</v>
      </c>
      <c r="D292" t="b">
        <f>TRUE()</f>
        <v>1</v>
      </c>
      <c r="E292" t="b">
        <f>COUNTIF(connections!A:A, A292) &gt; 0</f>
        <v>0</v>
      </c>
      <c r="G292" t="s">
        <v>1120</v>
      </c>
      <c r="H292" t="s">
        <v>187</v>
      </c>
      <c r="I292" t="s">
        <v>1121</v>
      </c>
      <c r="J292" s="1" t="s">
        <v>1122</v>
      </c>
    </row>
    <row r="293" spans="1:10" ht="15" customHeight="1" x14ac:dyDescent="0.25">
      <c r="A293" t="s">
        <v>1123</v>
      </c>
      <c r="B293">
        <v>2020</v>
      </c>
      <c r="C293" t="s">
        <v>182</v>
      </c>
      <c r="D293" t="b">
        <f>TRUE()</f>
        <v>1</v>
      </c>
      <c r="E293" t="b">
        <f>COUNTIF(connections!A:A, A293) &gt; 0</f>
        <v>1</v>
      </c>
      <c r="F293" t="s">
        <v>274</v>
      </c>
      <c r="G293" t="s">
        <v>1124</v>
      </c>
      <c r="H293" t="s">
        <v>187</v>
      </c>
      <c r="I293" t="s">
        <v>1125</v>
      </c>
      <c r="J293" s="10" t="s">
        <v>1126</v>
      </c>
    </row>
    <row r="294" spans="1:10" ht="15" customHeight="1" x14ac:dyDescent="0.25">
      <c r="A294" t="s">
        <v>1127</v>
      </c>
      <c r="B294">
        <v>2025</v>
      </c>
      <c r="C294" t="s">
        <v>176</v>
      </c>
      <c r="D294" t="b">
        <f>FALSE()</f>
        <v>0</v>
      </c>
      <c r="E294" t="b">
        <f>COUNTIF(connections!A:A, A294) &gt; 0</f>
        <v>0</v>
      </c>
      <c r="G294" t="s">
        <v>1128</v>
      </c>
    </row>
    <row r="295" spans="1:10" ht="15" customHeight="1" x14ac:dyDescent="0.25">
      <c r="A295" t="s">
        <v>1129</v>
      </c>
      <c r="B295">
        <v>2022</v>
      </c>
      <c r="C295" t="s">
        <v>222</v>
      </c>
      <c r="D295" t="b">
        <f>TRUE()</f>
        <v>1</v>
      </c>
      <c r="E295" t="b">
        <f>COUNTIF(connections!A:A, A295) &gt; 0</f>
        <v>1</v>
      </c>
      <c r="G295" t="s">
        <v>1130</v>
      </c>
      <c r="H295" t="s">
        <v>187</v>
      </c>
      <c r="I295" t="s">
        <v>1131</v>
      </c>
      <c r="J295" s="1" t="s">
        <v>1132</v>
      </c>
    </row>
    <row r="296" spans="1:10" ht="15" customHeight="1" x14ac:dyDescent="0.25">
      <c r="A296" t="s">
        <v>1133</v>
      </c>
      <c r="B296">
        <v>2017</v>
      </c>
      <c r="C296" t="s">
        <v>176</v>
      </c>
      <c r="D296" t="b">
        <f>TRUE()</f>
        <v>1</v>
      </c>
      <c r="E296" t="b">
        <f>COUNTIF(connections!A:A, A296) &gt; 0</f>
        <v>0</v>
      </c>
      <c r="G296" t="s">
        <v>1134</v>
      </c>
      <c r="H296" t="s">
        <v>187</v>
      </c>
      <c r="I296" t="s">
        <v>1135</v>
      </c>
      <c r="J296" s="1" t="s">
        <v>1136</v>
      </c>
    </row>
    <row r="297" spans="1:10" ht="15" customHeight="1" x14ac:dyDescent="0.25">
      <c r="A297" t="s">
        <v>1137</v>
      </c>
      <c r="B297">
        <v>2025</v>
      </c>
      <c r="C297" t="s">
        <v>176</v>
      </c>
      <c r="D297" t="b">
        <f>TRUE()</f>
        <v>1</v>
      </c>
      <c r="E297" t="b">
        <f>COUNTIF(connections!A:A, A297) &gt; 0</f>
        <v>0</v>
      </c>
      <c r="G297" t="s">
        <v>1138</v>
      </c>
      <c r="H297" t="s">
        <v>187</v>
      </c>
      <c r="I297" t="s">
        <v>1139</v>
      </c>
      <c r="J297" s="1" t="s">
        <v>1140</v>
      </c>
    </row>
    <row r="298" spans="1:10" ht="15" customHeight="1" x14ac:dyDescent="0.25">
      <c r="A298" t="s">
        <v>1141</v>
      </c>
      <c r="B298">
        <v>2006</v>
      </c>
      <c r="C298" t="s">
        <v>179</v>
      </c>
      <c r="D298" t="b">
        <f>TRUE()</f>
        <v>1</v>
      </c>
      <c r="E298" t="b">
        <f>COUNTIF(connections!A:A, A298) &gt; 0</f>
        <v>0</v>
      </c>
      <c r="G298" t="s">
        <v>1142</v>
      </c>
      <c r="H298" t="s">
        <v>187</v>
      </c>
      <c r="I298" t="s">
        <v>1143</v>
      </c>
    </row>
    <row r="299" spans="1:10" ht="15" customHeight="1" x14ac:dyDescent="0.25">
      <c r="A299" t="s">
        <v>1144</v>
      </c>
      <c r="B299">
        <v>2012</v>
      </c>
      <c r="C299" t="s">
        <v>222</v>
      </c>
      <c r="D299" t="b">
        <f>TRUE()</f>
        <v>1</v>
      </c>
      <c r="E299" t="b">
        <f>COUNTIF(connections!A:A, A299) &gt; 0</f>
        <v>1</v>
      </c>
      <c r="F299" t="s">
        <v>274</v>
      </c>
      <c r="G299" t="s">
        <v>1145</v>
      </c>
      <c r="H299" t="s">
        <v>187</v>
      </c>
      <c r="I299" t="s">
        <v>1146</v>
      </c>
      <c r="J299" s="1" t="s">
        <v>1147</v>
      </c>
    </row>
    <row r="300" spans="1:10" ht="15" customHeight="1" x14ac:dyDescent="0.25">
      <c r="A300" t="s">
        <v>1148</v>
      </c>
      <c r="B300">
        <v>2013</v>
      </c>
      <c r="C300" t="s">
        <v>176</v>
      </c>
      <c r="D300" t="b">
        <f>TRUE()</f>
        <v>1</v>
      </c>
      <c r="E300" t="b">
        <f>COUNTIF(connections!A:A, A300) &gt; 0</f>
        <v>0</v>
      </c>
      <c r="G300" t="s">
        <v>1149</v>
      </c>
      <c r="J300" s="10" t="s">
        <v>1150</v>
      </c>
    </row>
    <row r="301" spans="1:10" ht="15" customHeight="1" x14ac:dyDescent="0.25">
      <c r="A301" t="s">
        <v>1151</v>
      </c>
      <c r="B301">
        <v>2020</v>
      </c>
      <c r="C301" t="s">
        <v>176</v>
      </c>
      <c r="D301" t="b">
        <f>TRUE()</f>
        <v>1</v>
      </c>
      <c r="E301" t="b">
        <f>COUNTIF(connections!A:A, A301) &gt; 0</f>
        <v>0</v>
      </c>
      <c r="G301" t="s">
        <v>1152</v>
      </c>
      <c r="H301" t="s">
        <v>187</v>
      </c>
      <c r="I301" t="s">
        <v>1153</v>
      </c>
      <c r="J301" s="1" t="s">
        <v>1154</v>
      </c>
    </row>
    <row r="302" spans="1:10" ht="15" customHeight="1" x14ac:dyDescent="0.25">
      <c r="A302" t="s">
        <v>1155</v>
      </c>
      <c r="B302">
        <v>2010</v>
      </c>
      <c r="C302" t="s">
        <v>179</v>
      </c>
      <c r="D302" t="b">
        <f>TRUE()</f>
        <v>1</v>
      </c>
      <c r="E302" t="b">
        <f>COUNTIF(connections!A:A, A302) &gt; 0</f>
        <v>1</v>
      </c>
      <c r="F302" t="s">
        <v>328</v>
      </c>
      <c r="G302" t="s">
        <v>1156</v>
      </c>
    </row>
    <row r="303" spans="1:10" ht="15" customHeight="1" x14ac:dyDescent="0.25">
      <c r="A303" t="s">
        <v>1157</v>
      </c>
      <c r="B303">
        <v>2014</v>
      </c>
      <c r="C303" t="s">
        <v>179</v>
      </c>
      <c r="D303" t="b">
        <f>TRUE()</f>
        <v>1</v>
      </c>
      <c r="E303" t="b">
        <f>COUNTIF(connections!A:A, A303) &gt; 0</f>
        <v>1</v>
      </c>
      <c r="F303" t="s">
        <v>328</v>
      </c>
      <c r="G303" t="s">
        <v>1158</v>
      </c>
    </row>
    <row r="304" spans="1:10" ht="15" customHeight="1" x14ac:dyDescent="0.25">
      <c r="A304" t="s">
        <v>1159</v>
      </c>
      <c r="B304">
        <v>2024</v>
      </c>
      <c r="C304" t="s">
        <v>176</v>
      </c>
      <c r="D304" t="b">
        <f>TRUE()</f>
        <v>1</v>
      </c>
      <c r="E304" t="b">
        <f>COUNTIF(connections!A:A, A304) &gt; 0</f>
        <v>0</v>
      </c>
      <c r="F304" t="s">
        <v>274</v>
      </c>
      <c r="G304" t="s">
        <v>1160</v>
      </c>
      <c r="H304" t="s">
        <v>187</v>
      </c>
      <c r="I304" t="s">
        <v>1161</v>
      </c>
      <c r="J304" s="1" t="s">
        <v>1162</v>
      </c>
    </row>
    <row r="305" spans="1:10" ht="15" customHeight="1" x14ac:dyDescent="0.25">
      <c r="A305" t="s">
        <v>1163</v>
      </c>
      <c r="B305">
        <v>2026</v>
      </c>
      <c r="C305" t="s">
        <v>182</v>
      </c>
      <c r="D305" t="b">
        <f>TRUE()</f>
        <v>1</v>
      </c>
      <c r="E305" t="b">
        <f>COUNTIF(connections!A:A, A305) &gt; 0</f>
        <v>0</v>
      </c>
      <c r="F305" t="s">
        <v>1164</v>
      </c>
      <c r="G305" t="s">
        <v>1165</v>
      </c>
    </row>
    <row r="306" spans="1:10" ht="15" customHeight="1" x14ac:dyDescent="0.25">
      <c r="A306" t="s">
        <v>1166</v>
      </c>
      <c r="B306">
        <v>2025</v>
      </c>
      <c r="C306" t="s">
        <v>176</v>
      </c>
      <c r="D306" t="b">
        <f>TRUE()</f>
        <v>1</v>
      </c>
      <c r="E306" t="b">
        <f>COUNTIF(connections!A:A, A306) &gt; 0</f>
        <v>0</v>
      </c>
      <c r="G306" t="s">
        <v>1167</v>
      </c>
    </row>
    <row r="307" spans="1:10" ht="15" customHeight="1" x14ac:dyDescent="0.25">
      <c r="A307" t="s">
        <v>1168</v>
      </c>
      <c r="B307">
        <v>2024</v>
      </c>
      <c r="C307" t="s">
        <v>176</v>
      </c>
      <c r="D307" t="b">
        <f>TRUE()</f>
        <v>1</v>
      </c>
      <c r="E307" t="b">
        <f>COUNTIF(connections!A:A, A307) &gt; 0</f>
        <v>0</v>
      </c>
      <c r="G307" t="s">
        <v>1169</v>
      </c>
      <c r="H307" t="s">
        <v>187</v>
      </c>
      <c r="I307" t="s">
        <v>1170</v>
      </c>
    </row>
    <row r="308" spans="1:10" ht="15" customHeight="1" x14ac:dyDescent="0.25">
      <c r="A308" t="s">
        <v>1171</v>
      </c>
      <c r="B308">
        <v>2002</v>
      </c>
      <c r="C308" t="s">
        <v>179</v>
      </c>
      <c r="D308" t="b">
        <f>TRUE()</f>
        <v>1</v>
      </c>
      <c r="E308" t="b">
        <f>COUNTIF(connections!A:A, A308) &gt; 0</f>
        <v>1</v>
      </c>
      <c r="F308" t="s">
        <v>277</v>
      </c>
      <c r="G308" t="s">
        <v>1172</v>
      </c>
      <c r="H308" t="s">
        <v>187</v>
      </c>
      <c r="I308" t="s">
        <v>1173</v>
      </c>
    </row>
    <row r="309" spans="1:10" ht="15" customHeight="1" x14ac:dyDescent="0.25">
      <c r="A309" t="s">
        <v>1174</v>
      </c>
      <c r="B309">
        <v>2007</v>
      </c>
      <c r="C309" t="s">
        <v>179</v>
      </c>
      <c r="D309" t="b">
        <f>TRUE()</f>
        <v>1</v>
      </c>
      <c r="E309" t="b">
        <f>COUNTIF(connections!A:A, A309) &gt; 0</f>
        <v>1</v>
      </c>
      <c r="F309" t="s">
        <v>277</v>
      </c>
      <c r="G309" t="s">
        <v>1175</v>
      </c>
      <c r="H309" t="s">
        <v>187</v>
      </c>
      <c r="I309" t="s">
        <v>1176</v>
      </c>
    </row>
    <row r="310" spans="1:10" ht="15" customHeight="1" x14ac:dyDescent="0.25">
      <c r="A310" t="s">
        <v>1177</v>
      </c>
      <c r="B310">
        <v>2022</v>
      </c>
      <c r="C310" t="s">
        <v>179</v>
      </c>
      <c r="D310" t="b">
        <f>TRUE()</f>
        <v>1</v>
      </c>
      <c r="E310" t="b">
        <f>COUNTIF(connections!A:A, A310) &gt; 0</f>
        <v>0</v>
      </c>
      <c r="F310" t="s">
        <v>277</v>
      </c>
      <c r="G310" t="s">
        <v>1178</v>
      </c>
      <c r="J310" s="10" t="s">
        <v>1179</v>
      </c>
    </row>
    <row r="311" spans="1:10" ht="15" customHeight="1" x14ac:dyDescent="0.25">
      <c r="A311" t="s">
        <v>1180</v>
      </c>
      <c r="B311">
        <v>2024</v>
      </c>
      <c r="C311" t="s">
        <v>176</v>
      </c>
      <c r="D311" t="b">
        <f>FALSE()</f>
        <v>0</v>
      </c>
      <c r="E311" t="b">
        <f>COUNTIF(connections!A:A, A311) &gt; 0</f>
        <v>1</v>
      </c>
      <c r="G311" t="s">
        <v>1181</v>
      </c>
      <c r="H311" t="s">
        <v>187</v>
      </c>
      <c r="I311" t="s">
        <v>1182</v>
      </c>
      <c r="J311" s="1" t="s">
        <v>1183</v>
      </c>
    </row>
    <row r="312" spans="1:10" ht="15" customHeight="1" x14ac:dyDescent="0.25">
      <c r="A312" t="s">
        <v>1184</v>
      </c>
      <c r="B312">
        <v>2026</v>
      </c>
      <c r="C312" t="s">
        <v>176</v>
      </c>
      <c r="D312" t="b">
        <f>TRUE()</f>
        <v>1</v>
      </c>
      <c r="E312" t="b">
        <f>COUNTIF(connections!A:A, A312) &gt; 0</f>
        <v>0</v>
      </c>
      <c r="G312" t="s">
        <v>1185</v>
      </c>
      <c r="J312" s="10" t="s">
        <v>1186</v>
      </c>
    </row>
    <row r="313" spans="1:10" ht="15" customHeight="1" x14ac:dyDescent="0.25">
      <c r="A313" t="s">
        <v>1187</v>
      </c>
      <c r="B313">
        <v>2020</v>
      </c>
      <c r="C313" t="s">
        <v>176</v>
      </c>
      <c r="D313" t="b">
        <f>FALSE()</f>
        <v>0</v>
      </c>
      <c r="E313" t="b">
        <f>COUNTIF(connections!A:A, A313) &gt; 0</f>
        <v>1</v>
      </c>
      <c r="G313" t="s">
        <v>1188</v>
      </c>
      <c r="H313" t="s">
        <v>187</v>
      </c>
      <c r="I313" t="s">
        <v>1189</v>
      </c>
      <c r="J313" s="1" t="s">
        <v>1190</v>
      </c>
    </row>
    <row r="314" spans="1:10" ht="15" customHeight="1" x14ac:dyDescent="0.25">
      <c r="A314" t="s">
        <v>1191</v>
      </c>
      <c r="B314">
        <v>2023</v>
      </c>
      <c r="C314" t="s">
        <v>176</v>
      </c>
      <c r="D314" t="b">
        <f>FALSE()</f>
        <v>0</v>
      </c>
      <c r="E314" t="b">
        <f>COUNTIF(connections!A:A, A314) &gt; 0</f>
        <v>0</v>
      </c>
      <c r="G314" t="s">
        <v>1192</v>
      </c>
      <c r="H314" t="s">
        <v>187</v>
      </c>
      <c r="I314" t="s">
        <v>1193</v>
      </c>
      <c r="J314" s="1" t="s">
        <v>1194</v>
      </c>
    </row>
    <row r="315" spans="1:10" ht="15" customHeight="1" x14ac:dyDescent="0.25">
      <c r="A315" t="s">
        <v>1195</v>
      </c>
      <c r="B315">
        <v>2024</v>
      </c>
      <c r="C315" t="s">
        <v>176</v>
      </c>
      <c r="D315" t="b">
        <f>TRUE()</f>
        <v>1</v>
      </c>
      <c r="E315" t="b">
        <f>COUNTIF(connections!A:A, A315) &gt; 0</f>
        <v>0</v>
      </c>
      <c r="G315" t="s">
        <v>1196</v>
      </c>
    </row>
    <row r="316" spans="1:10" ht="15" customHeight="1" x14ac:dyDescent="0.25">
      <c r="A316" t="s">
        <v>1197</v>
      </c>
      <c r="B316">
        <v>2020</v>
      </c>
      <c r="C316" t="s">
        <v>179</v>
      </c>
      <c r="D316" t="b">
        <f>TRUE()</f>
        <v>1</v>
      </c>
      <c r="E316" t="b">
        <f>COUNTIF(connections!A:A, A316) &gt; 0</f>
        <v>0</v>
      </c>
      <c r="G316" t="s">
        <v>1198</v>
      </c>
      <c r="H316" t="s">
        <v>187</v>
      </c>
      <c r="I316" t="s">
        <v>1199</v>
      </c>
      <c r="J316" s="1" t="s">
        <v>1200</v>
      </c>
    </row>
    <row r="317" spans="1:10" ht="15" customHeight="1" x14ac:dyDescent="0.25">
      <c r="A317" t="s">
        <v>1201</v>
      </c>
      <c r="B317">
        <v>2025</v>
      </c>
      <c r="C317" t="s">
        <v>222</v>
      </c>
      <c r="D317" t="b">
        <v>1</v>
      </c>
      <c r="E317" t="b">
        <f>COUNTIF(connections!A:A, A317) &gt; 0</f>
        <v>0</v>
      </c>
      <c r="F317" t="s">
        <v>404</v>
      </c>
      <c r="G317" t="s">
        <v>1202</v>
      </c>
      <c r="H317" t="s">
        <v>187</v>
      </c>
      <c r="I317" t="s">
        <v>1203</v>
      </c>
      <c r="J317" s="1" t="s">
        <v>1204</v>
      </c>
    </row>
    <row r="318" spans="1:10" ht="15" customHeight="1" x14ac:dyDescent="0.25">
      <c r="A318" t="s">
        <v>1205</v>
      </c>
      <c r="B318">
        <v>2024</v>
      </c>
      <c r="C318" t="s">
        <v>176</v>
      </c>
      <c r="D318" t="b">
        <f>FALSE()</f>
        <v>0</v>
      </c>
      <c r="E318" t="b">
        <f>COUNTIF(connections!A:A, A318) &gt; 0</f>
        <v>0</v>
      </c>
      <c r="F318" t="s">
        <v>277</v>
      </c>
      <c r="G318" t="s">
        <v>1206</v>
      </c>
      <c r="H318" t="s">
        <v>187</v>
      </c>
      <c r="I318" t="s">
        <v>1207</v>
      </c>
      <c r="J318" s="1" t="s">
        <v>1208</v>
      </c>
    </row>
    <row r="319" spans="1:10" ht="15" customHeight="1" x14ac:dyDescent="0.25">
      <c r="A319" t="s">
        <v>1209</v>
      </c>
      <c r="B319">
        <v>2026</v>
      </c>
      <c r="C319" t="s">
        <v>182</v>
      </c>
      <c r="D319" t="b">
        <f>FALSE()</f>
        <v>0</v>
      </c>
      <c r="E319" t="b">
        <f>COUNTIF(connections!A:A, A319) &gt; 0</f>
        <v>0</v>
      </c>
      <c r="F319" t="s">
        <v>264</v>
      </c>
      <c r="G319" t="s">
        <v>1210</v>
      </c>
    </row>
    <row r="320" spans="1:10" ht="15" customHeight="1" x14ac:dyDescent="0.25">
      <c r="A320" t="s">
        <v>1211</v>
      </c>
      <c r="B320">
        <v>2023</v>
      </c>
      <c r="C320" t="s">
        <v>176</v>
      </c>
      <c r="D320" t="b">
        <f>TRUE()</f>
        <v>1</v>
      </c>
      <c r="E320" t="b">
        <f>COUNTIF(connections!A:A, A320) &gt; 0</f>
        <v>0</v>
      </c>
      <c r="G320" t="s">
        <v>1212</v>
      </c>
      <c r="H320" t="s">
        <v>187</v>
      </c>
      <c r="I320" t="s">
        <v>1213</v>
      </c>
      <c r="J320" s="1" t="s">
        <v>1214</v>
      </c>
    </row>
    <row r="321" spans="1:10" ht="15" customHeight="1" x14ac:dyDescent="0.25">
      <c r="A321" t="s">
        <v>1215</v>
      </c>
      <c r="B321">
        <v>2025</v>
      </c>
      <c r="C321" t="s">
        <v>176</v>
      </c>
      <c r="D321" t="b">
        <f>FALSE()</f>
        <v>0</v>
      </c>
      <c r="E321" t="b">
        <f>COUNTIF(connections!A:A, A321) &gt; 0</f>
        <v>0</v>
      </c>
      <c r="G321" t="s">
        <v>1216</v>
      </c>
      <c r="H321" t="s">
        <v>187</v>
      </c>
      <c r="I321" t="s">
        <v>1217</v>
      </c>
      <c r="J321" s="1" t="s">
        <v>1218</v>
      </c>
    </row>
    <row r="322" spans="1:10" ht="15" customHeight="1" x14ac:dyDescent="0.25">
      <c r="A322" t="s">
        <v>1219</v>
      </c>
      <c r="B322">
        <v>2020</v>
      </c>
      <c r="C322" t="s">
        <v>176</v>
      </c>
      <c r="D322" t="b">
        <f>TRUE()</f>
        <v>1</v>
      </c>
      <c r="E322" t="b">
        <f>COUNTIF(connections!A:A, A322) &gt; 0</f>
        <v>0</v>
      </c>
      <c r="G322" t="s">
        <v>1220</v>
      </c>
      <c r="H322" t="s">
        <v>187</v>
      </c>
      <c r="I322" t="s">
        <v>1221</v>
      </c>
      <c r="J322" s="1" t="s">
        <v>1222</v>
      </c>
    </row>
    <row r="323" spans="1:10" ht="15" customHeight="1" x14ac:dyDescent="0.25">
      <c r="A323" t="s">
        <v>1223</v>
      </c>
      <c r="B323">
        <v>2014</v>
      </c>
      <c r="C323" t="s">
        <v>179</v>
      </c>
      <c r="D323" t="b">
        <f>TRUE()</f>
        <v>1</v>
      </c>
      <c r="E323" t="b">
        <f>COUNTIF(connections!A:A, A323) &gt; 0</f>
        <v>0</v>
      </c>
      <c r="G323" t="s">
        <v>1224</v>
      </c>
      <c r="H323" t="s">
        <v>187</v>
      </c>
      <c r="I323" t="s">
        <v>1225</v>
      </c>
      <c r="J323" s="1" t="s">
        <v>1226</v>
      </c>
    </row>
    <row r="324" spans="1:10" ht="15" customHeight="1" x14ac:dyDescent="0.25">
      <c r="A324" t="s">
        <v>1227</v>
      </c>
      <c r="B324">
        <v>2020</v>
      </c>
      <c r="C324" t="s">
        <v>176</v>
      </c>
      <c r="D324" t="b">
        <f>TRUE()</f>
        <v>1</v>
      </c>
      <c r="E324" t="b">
        <f>COUNTIF(connections!A:A, A324) &gt; 0</f>
        <v>0</v>
      </c>
      <c r="G324" t="s">
        <v>1228</v>
      </c>
      <c r="H324" t="s">
        <v>187</v>
      </c>
      <c r="I324" t="s">
        <v>1229</v>
      </c>
      <c r="J324" s="1" t="s">
        <v>1230</v>
      </c>
    </row>
    <row r="325" spans="1:10" ht="15" customHeight="1" x14ac:dyDescent="0.25">
      <c r="A325" t="s">
        <v>1231</v>
      </c>
      <c r="B325">
        <v>2022</v>
      </c>
      <c r="C325" t="s">
        <v>176</v>
      </c>
      <c r="D325" t="b">
        <f>TRUE()</f>
        <v>1</v>
      </c>
      <c r="E325" t="b">
        <f>COUNTIF(connections!A:A, A325) &gt; 0</f>
        <v>0</v>
      </c>
      <c r="G325" t="s">
        <v>1232</v>
      </c>
      <c r="H325" t="s">
        <v>187</v>
      </c>
      <c r="I325" t="s">
        <v>1233</v>
      </c>
      <c r="J325" s="1" t="s">
        <v>1234</v>
      </c>
    </row>
    <row r="326" spans="1:10" ht="15" customHeight="1" x14ac:dyDescent="0.25">
      <c r="A326" t="s">
        <v>1235</v>
      </c>
      <c r="B326">
        <v>2016</v>
      </c>
      <c r="C326" t="s">
        <v>176</v>
      </c>
      <c r="D326" t="b">
        <f>TRUE()</f>
        <v>1</v>
      </c>
      <c r="E326" t="b">
        <f>COUNTIF(connections!A:A, A326) &gt; 0</f>
        <v>1</v>
      </c>
      <c r="G326" t="s">
        <v>1236</v>
      </c>
      <c r="H326" t="s">
        <v>187</v>
      </c>
      <c r="I326" t="s">
        <v>1237</v>
      </c>
      <c r="J326" s="1" t="s">
        <v>1238</v>
      </c>
    </row>
    <row r="327" spans="1:10" ht="15" customHeight="1" x14ac:dyDescent="0.25">
      <c r="A327" t="s">
        <v>1239</v>
      </c>
      <c r="B327">
        <v>2020</v>
      </c>
      <c r="C327" t="s">
        <v>176</v>
      </c>
      <c r="D327" t="b">
        <f>TRUE()</f>
        <v>1</v>
      </c>
      <c r="E327" t="b">
        <f>COUNTIF(connections!A:A, A327) &gt; 0</f>
        <v>0</v>
      </c>
      <c r="G327" t="s">
        <v>1240</v>
      </c>
      <c r="H327" t="s">
        <v>187</v>
      </c>
      <c r="I327" t="s">
        <v>1241</v>
      </c>
      <c r="J327" s="1" t="s">
        <v>1242</v>
      </c>
    </row>
    <row r="328" spans="1:10" ht="15" customHeight="1" x14ac:dyDescent="0.25">
      <c r="A328" t="s">
        <v>1243</v>
      </c>
      <c r="B328">
        <v>2023</v>
      </c>
      <c r="C328" t="s">
        <v>176</v>
      </c>
      <c r="D328" t="b">
        <f>TRUE()</f>
        <v>1</v>
      </c>
      <c r="E328" t="b">
        <f>COUNTIF(connections!A:A, A328) &gt; 0</f>
        <v>0</v>
      </c>
      <c r="G328" t="s">
        <v>1244</v>
      </c>
    </row>
    <row r="329" spans="1:10" ht="15" customHeight="1" x14ac:dyDescent="0.25">
      <c r="A329" t="s">
        <v>1245</v>
      </c>
      <c r="B329">
        <v>2020</v>
      </c>
      <c r="C329" t="s">
        <v>182</v>
      </c>
      <c r="D329" t="b">
        <f>TRUE()</f>
        <v>1</v>
      </c>
      <c r="E329" t="b">
        <f>COUNTIF(connections!A:A, A329) &gt; 0</f>
        <v>0</v>
      </c>
      <c r="G329" t="s">
        <v>1246</v>
      </c>
      <c r="H329" t="s">
        <v>187</v>
      </c>
      <c r="I329" t="s">
        <v>1247</v>
      </c>
      <c r="J329" s="10" t="s">
        <v>1248</v>
      </c>
    </row>
    <row r="330" spans="1:10" ht="15" customHeight="1" x14ac:dyDescent="0.25">
      <c r="A330" t="s">
        <v>1249</v>
      </c>
      <c r="B330">
        <v>2025</v>
      </c>
      <c r="C330" t="s">
        <v>176</v>
      </c>
      <c r="D330" t="b">
        <f>FALSE()</f>
        <v>0</v>
      </c>
      <c r="E330" t="b">
        <f>COUNTIF(connections!A:A, A330) &gt; 0</f>
        <v>0</v>
      </c>
      <c r="F330" t="s">
        <v>277</v>
      </c>
      <c r="G330" t="s">
        <v>1250</v>
      </c>
    </row>
    <row r="331" spans="1:10" ht="15" customHeight="1" x14ac:dyDescent="0.25">
      <c r="A331" t="s">
        <v>1251</v>
      </c>
      <c r="B331">
        <v>2023</v>
      </c>
      <c r="C331" t="s">
        <v>176</v>
      </c>
      <c r="D331" t="b">
        <f>TRUE()</f>
        <v>1</v>
      </c>
      <c r="E331" t="b">
        <f>COUNTIF(connections!A:A, A331) &gt; 0</f>
        <v>0</v>
      </c>
      <c r="G331" t="s">
        <v>1252</v>
      </c>
      <c r="H331" t="s">
        <v>187</v>
      </c>
      <c r="I331" t="s">
        <v>1253</v>
      </c>
      <c r="J331" s="1" t="s">
        <v>1254</v>
      </c>
    </row>
    <row r="332" spans="1:10" ht="15" customHeight="1" x14ac:dyDescent="0.25">
      <c r="A332" t="s">
        <v>1255</v>
      </c>
      <c r="B332">
        <v>2020</v>
      </c>
      <c r="C332" t="s">
        <v>182</v>
      </c>
      <c r="D332" t="b">
        <f>TRUE()</f>
        <v>1</v>
      </c>
      <c r="E332" t="b">
        <f>COUNTIF(connections!A:A, A332) &gt; 0</f>
        <v>1</v>
      </c>
      <c r="G332" t="s">
        <v>1256</v>
      </c>
      <c r="H332" t="s">
        <v>187</v>
      </c>
      <c r="I332" t="s">
        <v>1257</v>
      </c>
      <c r="J332" s="1" t="s">
        <v>1258</v>
      </c>
    </row>
    <row r="333" spans="1:10" ht="15" customHeight="1" x14ac:dyDescent="0.25">
      <c r="A333" t="s">
        <v>1259</v>
      </c>
      <c r="B333">
        <v>2021</v>
      </c>
      <c r="C333" t="s">
        <v>176</v>
      </c>
      <c r="D333" t="b">
        <f>TRUE()</f>
        <v>1</v>
      </c>
      <c r="E333" t="b">
        <f>COUNTIF(connections!A:A, A333) &gt; 0</f>
        <v>1</v>
      </c>
      <c r="G333" t="s">
        <v>1260</v>
      </c>
      <c r="H333" t="s">
        <v>187</v>
      </c>
      <c r="I333" t="s">
        <v>1261</v>
      </c>
    </row>
    <row r="334" spans="1:10" ht="15" customHeight="1" x14ac:dyDescent="0.25">
      <c r="A334" t="s">
        <v>1262</v>
      </c>
      <c r="B334">
        <v>2024</v>
      </c>
      <c r="C334" t="s">
        <v>176</v>
      </c>
      <c r="D334" t="b">
        <f>TRUE()</f>
        <v>1</v>
      </c>
      <c r="E334" t="b">
        <f>COUNTIF(connections!A:A, A334) &gt; 0</f>
        <v>0</v>
      </c>
      <c r="G334" t="s">
        <v>1263</v>
      </c>
      <c r="J334" s="10" t="s">
        <v>1264</v>
      </c>
    </row>
    <row r="335" spans="1:10" ht="15" customHeight="1" x14ac:dyDescent="0.25">
      <c r="A335" t="s">
        <v>1265</v>
      </c>
      <c r="B335">
        <v>2015</v>
      </c>
      <c r="C335" t="s">
        <v>182</v>
      </c>
      <c r="D335" t="b">
        <f>TRUE()</f>
        <v>1</v>
      </c>
      <c r="E335" t="b">
        <f>COUNTIF(connections!A:A, A335) &gt; 0</f>
        <v>1</v>
      </c>
      <c r="G335" t="s">
        <v>1266</v>
      </c>
      <c r="J335" s="1" t="s">
        <v>1267</v>
      </c>
    </row>
    <row r="336" spans="1:10" ht="15" customHeight="1" x14ac:dyDescent="0.25">
      <c r="A336" t="s">
        <v>1268</v>
      </c>
      <c r="B336">
        <v>2017</v>
      </c>
      <c r="C336" t="s">
        <v>222</v>
      </c>
      <c r="D336" t="b">
        <f>FALSE()</f>
        <v>0</v>
      </c>
      <c r="E336" t="b">
        <f>COUNTIF(connections!A:A, A336) &gt; 0</f>
        <v>0</v>
      </c>
      <c r="G336" t="s">
        <v>1269</v>
      </c>
      <c r="H336" t="s">
        <v>187</v>
      </c>
      <c r="I336" t="s">
        <v>1270</v>
      </c>
      <c r="J336" s="1" t="s">
        <v>1271</v>
      </c>
    </row>
    <row r="337" spans="1:10" ht="15" customHeight="1" x14ac:dyDescent="0.25">
      <c r="A337" t="s">
        <v>1272</v>
      </c>
      <c r="B337">
        <v>2020</v>
      </c>
      <c r="C337" t="s">
        <v>176</v>
      </c>
      <c r="D337" t="b">
        <f>TRUE()</f>
        <v>1</v>
      </c>
      <c r="E337" t="b">
        <f>COUNTIF(connections!A:A, A337) &gt; 0</f>
        <v>1</v>
      </c>
      <c r="G337" t="s">
        <v>1273</v>
      </c>
      <c r="H337" t="s">
        <v>187</v>
      </c>
      <c r="I337" t="s">
        <v>1274</v>
      </c>
      <c r="J337" s="1" t="s">
        <v>1275</v>
      </c>
    </row>
    <row r="338" spans="1:10" ht="15" customHeight="1" x14ac:dyDescent="0.25">
      <c r="A338" t="s">
        <v>1276</v>
      </c>
      <c r="B338">
        <v>2022</v>
      </c>
      <c r="C338" t="s">
        <v>176</v>
      </c>
      <c r="D338" t="b">
        <f>TRUE()</f>
        <v>1</v>
      </c>
      <c r="E338" t="b">
        <f>COUNTIF(connections!A:A, A338) &gt; 0</f>
        <v>1</v>
      </c>
      <c r="F338" t="s">
        <v>274</v>
      </c>
      <c r="G338" t="s">
        <v>1277</v>
      </c>
      <c r="H338" t="s">
        <v>187</v>
      </c>
      <c r="I338" t="s">
        <v>1278</v>
      </c>
      <c r="J338" s="1" t="s">
        <v>1279</v>
      </c>
    </row>
    <row r="339" spans="1:10" ht="15" customHeight="1" x14ac:dyDescent="0.25">
      <c r="A339" t="s">
        <v>1280</v>
      </c>
      <c r="B339">
        <v>2025</v>
      </c>
      <c r="C339" t="s">
        <v>176</v>
      </c>
      <c r="D339" t="b">
        <f>TRUE()</f>
        <v>1</v>
      </c>
      <c r="E339" t="b">
        <f>COUNTIF(connections!A:A, A339) &gt; 0</f>
        <v>0</v>
      </c>
      <c r="F339" t="s">
        <v>274</v>
      </c>
      <c r="G339" t="s">
        <v>1281</v>
      </c>
      <c r="H339" t="s">
        <v>187</v>
      </c>
      <c r="I339" t="s">
        <v>1282</v>
      </c>
      <c r="J339" s="1" t="s">
        <v>1283</v>
      </c>
    </row>
    <row r="340" spans="1:10" ht="15" customHeight="1" x14ac:dyDescent="0.25">
      <c r="A340" t="s">
        <v>7709</v>
      </c>
      <c r="B340">
        <v>2025</v>
      </c>
      <c r="C340" t="s">
        <v>176</v>
      </c>
      <c r="D340" t="b">
        <f>TRUE()</f>
        <v>1</v>
      </c>
      <c r="E340" t="b">
        <f>COUNTIF(connections!A:A, A340) &gt; 0</f>
        <v>0</v>
      </c>
      <c r="G340" t="s">
        <v>7710</v>
      </c>
      <c r="H340" t="s">
        <v>187</v>
      </c>
      <c r="I340" t="s">
        <v>7713</v>
      </c>
      <c r="J340" s="10" t="s">
        <v>7711</v>
      </c>
    </row>
    <row r="341" spans="1:10" ht="15" customHeight="1" x14ac:dyDescent="0.25">
      <c r="A341" t="s">
        <v>1284</v>
      </c>
      <c r="B341">
        <v>1984</v>
      </c>
      <c r="C341" t="s">
        <v>179</v>
      </c>
      <c r="D341" t="b">
        <f>TRUE()</f>
        <v>1</v>
      </c>
      <c r="E341" t="b">
        <f>COUNTIF(connections!A:A, A341) &gt; 0</f>
        <v>1</v>
      </c>
      <c r="G341" t="s">
        <v>1285</v>
      </c>
      <c r="H341" t="s">
        <v>187</v>
      </c>
      <c r="I341" t="s">
        <v>1286</v>
      </c>
    </row>
    <row r="342" spans="1:10" ht="15" customHeight="1" x14ac:dyDescent="0.25">
      <c r="A342" t="s">
        <v>1287</v>
      </c>
      <c r="B342">
        <v>2022</v>
      </c>
      <c r="C342" t="s">
        <v>179</v>
      </c>
      <c r="D342" t="b">
        <f>TRUE()</f>
        <v>1</v>
      </c>
      <c r="E342" t="b">
        <f>COUNTIF(connections!A:A, A342) &gt; 0</f>
        <v>1</v>
      </c>
      <c r="G342" t="s">
        <v>1288</v>
      </c>
      <c r="H342" t="s">
        <v>187</v>
      </c>
      <c r="I342" t="s">
        <v>1289</v>
      </c>
    </row>
    <row r="343" spans="1:10" ht="15" customHeight="1" x14ac:dyDescent="0.25">
      <c r="A343" t="s">
        <v>1290</v>
      </c>
      <c r="B343">
        <v>2021</v>
      </c>
      <c r="C343" t="s">
        <v>182</v>
      </c>
      <c r="D343" t="b">
        <f>TRUE()</f>
        <v>1</v>
      </c>
      <c r="E343" t="b">
        <f>COUNTIF(connections!A:A, A343) &gt; 0</f>
        <v>0</v>
      </c>
      <c r="F343" t="s">
        <v>199</v>
      </c>
      <c r="G343" t="s">
        <v>1291</v>
      </c>
      <c r="H343" t="s">
        <v>187</v>
      </c>
      <c r="I343" t="s">
        <v>1292</v>
      </c>
      <c r="J343" s="1" t="s">
        <v>1293</v>
      </c>
    </row>
    <row r="344" spans="1:10" ht="15" customHeight="1" x14ac:dyDescent="0.25">
      <c r="A344" t="s">
        <v>1294</v>
      </c>
      <c r="B344">
        <v>2019</v>
      </c>
      <c r="C344" t="s">
        <v>176</v>
      </c>
      <c r="D344" t="b">
        <f>TRUE()</f>
        <v>1</v>
      </c>
      <c r="E344" t="b">
        <f>COUNTIF(connections!A:A, A344) &gt; 0</f>
        <v>1</v>
      </c>
      <c r="F344" t="s">
        <v>199</v>
      </c>
      <c r="G344" t="s">
        <v>1295</v>
      </c>
      <c r="H344" t="s">
        <v>187</v>
      </c>
      <c r="I344" t="s">
        <v>1296</v>
      </c>
      <c r="J344" s="1" t="s">
        <v>1297</v>
      </c>
    </row>
    <row r="345" spans="1:10" ht="15" customHeight="1" x14ac:dyDescent="0.25">
      <c r="A345" t="s">
        <v>1298</v>
      </c>
      <c r="B345">
        <v>2024</v>
      </c>
      <c r="C345" t="s">
        <v>176</v>
      </c>
      <c r="D345" t="b">
        <f>TRUE()</f>
        <v>1</v>
      </c>
      <c r="E345" t="b">
        <f>COUNTIF(connections!A:A, A345) &gt; 0</f>
        <v>0</v>
      </c>
      <c r="F345" t="s">
        <v>199</v>
      </c>
      <c r="G345" t="s">
        <v>1299</v>
      </c>
      <c r="H345" t="s">
        <v>187</v>
      </c>
      <c r="I345" t="s">
        <v>1300</v>
      </c>
      <c r="J345" s="1" t="s">
        <v>1301</v>
      </c>
    </row>
    <row r="346" spans="1:10" ht="15" customHeight="1" x14ac:dyDescent="0.25">
      <c r="A346" t="s">
        <v>1302</v>
      </c>
      <c r="B346">
        <v>2023</v>
      </c>
      <c r="C346" t="s">
        <v>176</v>
      </c>
      <c r="D346" t="b">
        <f>TRUE()</f>
        <v>1</v>
      </c>
      <c r="E346" t="b">
        <f>COUNTIF(connections!A:A, A346) &gt; 0</f>
        <v>1</v>
      </c>
      <c r="F346" t="s">
        <v>199</v>
      </c>
      <c r="G346" t="s">
        <v>1303</v>
      </c>
      <c r="H346" t="s">
        <v>187</v>
      </c>
      <c r="I346" t="s">
        <v>1304</v>
      </c>
      <c r="J346" s="1" t="s">
        <v>1305</v>
      </c>
    </row>
    <row r="347" spans="1:10" ht="15" customHeight="1" x14ac:dyDescent="0.25">
      <c r="A347" t="s">
        <v>1306</v>
      </c>
      <c r="B347">
        <v>2014</v>
      </c>
      <c r="C347" t="s">
        <v>182</v>
      </c>
      <c r="D347" t="b">
        <f>TRUE()</f>
        <v>1</v>
      </c>
      <c r="E347" t="b">
        <f>COUNTIF(connections!A:A, A347) &gt; 0</f>
        <v>1</v>
      </c>
      <c r="G347" t="s">
        <v>1307</v>
      </c>
      <c r="H347" t="s">
        <v>187</v>
      </c>
      <c r="I347" t="s">
        <v>1308</v>
      </c>
      <c r="J347" s="1" t="s">
        <v>1309</v>
      </c>
    </row>
    <row r="348" spans="1:10" ht="15" customHeight="1" x14ac:dyDescent="0.25">
      <c r="A348" t="s">
        <v>1310</v>
      </c>
      <c r="B348">
        <v>2017</v>
      </c>
      <c r="C348" t="s">
        <v>182</v>
      </c>
      <c r="D348" t="b">
        <f>TRUE()</f>
        <v>1</v>
      </c>
      <c r="E348" t="b">
        <f>COUNTIF(connections!A:A, A348) &gt; 0</f>
        <v>0</v>
      </c>
      <c r="G348" t="s">
        <v>1311</v>
      </c>
      <c r="H348" t="s">
        <v>187</v>
      </c>
      <c r="I348" t="s">
        <v>8144</v>
      </c>
      <c r="J348" s="10" t="s">
        <v>8145</v>
      </c>
    </row>
    <row r="349" spans="1:10" ht="15" customHeight="1" x14ac:dyDescent="0.25">
      <c r="A349" t="s">
        <v>1312</v>
      </c>
      <c r="B349">
        <v>2026</v>
      </c>
      <c r="C349" t="s">
        <v>176</v>
      </c>
      <c r="D349" t="b">
        <v>1</v>
      </c>
      <c r="E349" t="b">
        <f>COUNTIF(connections!A:A, A349) &gt; 0</f>
        <v>0</v>
      </c>
      <c r="G349" t="s">
        <v>1313</v>
      </c>
      <c r="J349" s="10" t="s">
        <v>1314</v>
      </c>
    </row>
    <row r="350" spans="1:10" ht="15" customHeight="1" x14ac:dyDescent="0.25">
      <c r="A350" t="s">
        <v>7862</v>
      </c>
      <c r="B350">
        <v>2026</v>
      </c>
      <c r="C350" t="s">
        <v>182</v>
      </c>
      <c r="D350" t="b">
        <f>TRUE()</f>
        <v>1</v>
      </c>
      <c r="E350" t="b">
        <f>COUNTIF(connections!A:A, A350) &gt; 0</f>
        <v>0</v>
      </c>
      <c r="G350" t="s">
        <v>7863</v>
      </c>
      <c r="J350" s="10" t="s">
        <v>7864</v>
      </c>
    </row>
    <row r="351" spans="1:10" ht="15" customHeight="1" x14ac:dyDescent="0.25">
      <c r="A351" t="s">
        <v>1315</v>
      </c>
      <c r="B351">
        <v>2025</v>
      </c>
      <c r="C351" t="s">
        <v>176</v>
      </c>
      <c r="D351" t="b">
        <f>FALSE()</f>
        <v>0</v>
      </c>
      <c r="E351" t="b">
        <f>COUNTIF(connections!A:A, A351) &gt; 0</f>
        <v>0</v>
      </c>
      <c r="F351" t="s">
        <v>614</v>
      </c>
      <c r="G351" t="s">
        <v>1316</v>
      </c>
    </row>
    <row r="352" spans="1:10" ht="15" customHeight="1" x14ac:dyDescent="0.25">
      <c r="A352" t="s">
        <v>1317</v>
      </c>
      <c r="B352">
        <v>2017</v>
      </c>
      <c r="C352" t="s">
        <v>179</v>
      </c>
      <c r="D352" t="b">
        <f>TRUE()</f>
        <v>1</v>
      </c>
      <c r="E352" t="b">
        <f>COUNTIF(connections!A:A, A352) &gt; 0</f>
        <v>0</v>
      </c>
      <c r="G352" t="s">
        <v>1318</v>
      </c>
      <c r="J352" s="1" t="s">
        <v>1319</v>
      </c>
    </row>
    <row r="353" spans="1:10" ht="15" customHeight="1" x14ac:dyDescent="0.25">
      <c r="A353" t="s">
        <v>1320</v>
      </c>
      <c r="B353">
        <v>2017</v>
      </c>
      <c r="C353" t="s">
        <v>176</v>
      </c>
      <c r="D353" t="b">
        <f>TRUE()</f>
        <v>1</v>
      </c>
      <c r="E353" t="b">
        <f>COUNTIF(connections!A:A, A353) &gt; 0</f>
        <v>0</v>
      </c>
      <c r="G353" t="s">
        <v>1321</v>
      </c>
    </row>
    <row r="354" spans="1:10" ht="15" customHeight="1" x14ac:dyDescent="0.25">
      <c r="A354" t="s">
        <v>1322</v>
      </c>
      <c r="B354">
        <v>2025</v>
      </c>
      <c r="C354" t="s">
        <v>176</v>
      </c>
      <c r="D354" t="b">
        <f>FALSE()</f>
        <v>0</v>
      </c>
      <c r="E354" t="b">
        <f>COUNTIF(connections!A:A, A354) &gt; 0</f>
        <v>0</v>
      </c>
      <c r="G354" t="s">
        <v>1323</v>
      </c>
      <c r="H354" t="s">
        <v>187</v>
      </c>
      <c r="I354" t="s">
        <v>1324</v>
      </c>
      <c r="J354" s="1" t="s">
        <v>1325</v>
      </c>
    </row>
    <row r="355" spans="1:10" ht="15" customHeight="1" x14ac:dyDescent="0.25">
      <c r="A355" t="s">
        <v>1326</v>
      </c>
      <c r="B355">
        <v>2022</v>
      </c>
      <c r="C355" t="s">
        <v>176</v>
      </c>
      <c r="D355" t="b">
        <f>TRUE()</f>
        <v>1</v>
      </c>
      <c r="E355" t="b">
        <f>COUNTIF(connections!A:A, A355) &gt; 0</f>
        <v>0</v>
      </c>
      <c r="F355" t="s">
        <v>199</v>
      </c>
      <c r="G355" t="s">
        <v>1327</v>
      </c>
      <c r="H355" t="s">
        <v>187</v>
      </c>
      <c r="I355" t="s">
        <v>1328</v>
      </c>
      <c r="J355" s="1" t="s">
        <v>1329</v>
      </c>
    </row>
    <row r="356" spans="1:10" ht="15" customHeight="1" x14ac:dyDescent="0.25">
      <c r="A356" t="s">
        <v>1330</v>
      </c>
      <c r="B356">
        <v>2025</v>
      </c>
      <c r="C356" t="s">
        <v>182</v>
      </c>
      <c r="D356" t="b">
        <f>TRUE()</f>
        <v>1</v>
      </c>
      <c r="E356" t="b">
        <f>COUNTIF(connections!A:A, A356) &gt; 0</f>
        <v>0</v>
      </c>
      <c r="G356" t="s">
        <v>1331</v>
      </c>
      <c r="H356" t="s">
        <v>187</v>
      </c>
      <c r="I356" t="s">
        <v>1332</v>
      </c>
      <c r="J356" s="1" t="s">
        <v>1333</v>
      </c>
    </row>
    <row r="357" spans="1:10" ht="15" customHeight="1" x14ac:dyDescent="0.25">
      <c r="A357" t="s">
        <v>1334</v>
      </c>
      <c r="B357">
        <v>2023</v>
      </c>
      <c r="C357" t="s">
        <v>176</v>
      </c>
      <c r="D357" t="b">
        <v>1</v>
      </c>
      <c r="E357" t="b">
        <f>COUNTIF(connections!A:A, A357) &gt; 0</f>
        <v>0</v>
      </c>
      <c r="G357" t="s">
        <v>1335</v>
      </c>
    </row>
    <row r="358" spans="1:10" ht="15" customHeight="1" x14ac:dyDescent="0.25">
      <c r="A358" t="s">
        <v>1336</v>
      </c>
      <c r="B358">
        <v>2017</v>
      </c>
      <c r="C358" t="s">
        <v>176</v>
      </c>
      <c r="D358" t="b">
        <v>1</v>
      </c>
      <c r="E358" t="b">
        <f>COUNTIF(connections!A:A, A358) &gt; 0</f>
        <v>0</v>
      </c>
      <c r="G358" t="s">
        <v>1337</v>
      </c>
      <c r="H358" t="s">
        <v>187</v>
      </c>
      <c r="I358" t="s">
        <v>1338</v>
      </c>
      <c r="J358" s="1" t="s">
        <v>1339</v>
      </c>
    </row>
    <row r="359" spans="1:10" ht="15" customHeight="1" x14ac:dyDescent="0.25">
      <c r="A359" t="s">
        <v>1340</v>
      </c>
      <c r="B359">
        <v>2014</v>
      </c>
      <c r="C359" t="s">
        <v>176</v>
      </c>
      <c r="D359" t="b">
        <v>1</v>
      </c>
      <c r="E359" t="b">
        <f>COUNTIF(connections!A:A, A359) &gt; 0</f>
        <v>0</v>
      </c>
      <c r="G359" t="s">
        <v>1341</v>
      </c>
      <c r="H359" t="s">
        <v>187</v>
      </c>
      <c r="I359" t="s">
        <v>1342</v>
      </c>
      <c r="J359" s="1" t="s">
        <v>1343</v>
      </c>
    </row>
    <row r="360" spans="1:10" ht="15" customHeight="1" x14ac:dyDescent="0.25">
      <c r="A360" t="s">
        <v>1344</v>
      </c>
      <c r="B360">
        <v>2025</v>
      </c>
      <c r="C360" t="s">
        <v>176</v>
      </c>
      <c r="D360" t="b">
        <f>TRUE()</f>
        <v>1</v>
      </c>
      <c r="E360" t="b">
        <f>COUNTIF(connections!A:A, A360) &gt; 0</f>
        <v>0</v>
      </c>
      <c r="G360" t="s">
        <v>1345</v>
      </c>
      <c r="H360" t="s">
        <v>187</v>
      </c>
      <c r="I360" t="s">
        <v>1346</v>
      </c>
      <c r="J360" s="1" t="s">
        <v>1347</v>
      </c>
    </row>
    <row r="361" spans="1:10" ht="15" customHeight="1" x14ac:dyDescent="0.25">
      <c r="A361" t="s">
        <v>1348</v>
      </c>
      <c r="B361">
        <v>2026</v>
      </c>
      <c r="C361" t="s">
        <v>176</v>
      </c>
      <c r="D361" t="b">
        <f>TRUE()</f>
        <v>1</v>
      </c>
      <c r="E361" t="b">
        <f>COUNTIF(connections!A:A, A361) &gt; 0</f>
        <v>0</v>
      </c>
      <c r="F361" t="s">
        <v>199</v>
      </c>
      <c r="G361" t="s">
        <v>1349</v>
      </c>
      <c r="J361" s="10" t="s">
        <v>1350</v>
      </c>
    </row>
    <row r="362" spans="1:10" ht="15" customHeight="1" x14ac:dyDescent="0.25">
      <c r="A362" t="s">
        <v>1351</v>
      </c>
      <c r="B362">
        <v>2023</v>
      </c>
      <c r="C362" t="s">
        <v>176</v>
      </c>
      <c r="D362" t="b">
        <f>FALSE()</f>
        <v>0</v>
      </c>
      <c r="E362" t="b">
        <f>COUNTIF(connections!A:A, A362) &gt; 0</f>
        <v>0</v>
      </c>
      <c r="G362" t="s">
        <v>1352</v>
      </c>
    </row>
    <row r="363" spans="1:10" ht="15" customHeight="1" x14ac:dyDescent="0.25">
      <c r="A363" t="s">
        <v>1353</v>
      </c>
      <c r="B363">
        <v>2023</v>
      </c>
      <c r="C363" t="s">
        <v>182</v>
      </c>
      <c r="D363" t="b">
        <f>TRUE()</f>
        <v>1</v>
      </c>
      <c r="E363" t="b">
        <f>COUNTIF(connections!A:A, A363) &gt; 0</f>
        <v>0</v>
      </c>
      <c r="G363" t="s">
        <v>1354</v>
      </c>
      <c r="H363" t="s">
        <v>187</v>
      </c>
      <c r="I363" t="s">
        <v>1355</v>
      </c>
      <c r="J363" s="1" t="s">
        <v>1356</v>
      </c>
    </row>
    <row r="364" spans="1:10" ht="15" customHeight="1" x14ac:dyDescent="0.25">
      <c r="A364" t="s">
        <v>1357</v>
      </c>
      <c r="B364">
        <v>2025</v>
      </c>
      <c r="C364" t="s">
        <v>176</v>
      </c>
      <c r="D364" t="b">
        <f>TRUE()</f>
        <v>1</v>
      </c>
      <c r="E364" t="b">
        <f>COUNTIF(connections!A:A, A364) &gt; 0</f>
        <v>0</v>
      </c>
      <c r="G364" t="s">
        <v>1358</v>
      </c>
      <c r="H364" t="s">
        <v>187</v>
      </c>
      <c r="I364" t="s">
        <v>1359</v>
      </c>
      <c r="J364" s="1" t="s">
        <v>1360</v>
      </c>
    </row>
    <row r="365" spans="1:10" ht="15" customHeight="1" x14ac:dyDescent="0.25">
      <c r="A365" t="s">
        <v>1361</v>
      </c>
      <c r="B365">
        <v>2023</v>
      </c>
      <c r="C365" t="s">
        <v>176</v>
      </c>
      <c r="D365" t="b">
        <f>TRUE()</f>
        <v>1</v>
      </c>
      <c r="E365" t="b">
        <f>COUNTIF(connections!A:A, A365) &gt; 0</f>
        <v>0</v>
      </c>
      <c r="F365" t="s">
        <v>199</v>
      </c>
      <c r="G365" t="s">
        <v>1362</v>
      </c>
      <c r="H365" t="s">
        <v>187</v>
      </c>
      <c r="I365" t="s">
        <v>1363</v>
      </c>
      <c r="J365" s="1" t="s">
        <v>1364</v>
      </c>
    </row>
    <row r="366" spans="1:10" ht="15" customHeight="1" x14ac:dyDescent="0.25">
      <c r="A366" t="s">
        <v>1365</v>
      </c>
      <c r="B366">
        <v>2018</v>
      </c>
      <c r="C366" t="s">
        <v>176</v>
      </c>
      <c r="D366" t="b">
        <f>TRUE()</f>
        <v>1</v>
      </c>
      <c r="E366" t="b">
        <f>COUNTIF(connections!A:A, A366) &gt; 0</f>
        <v>1</v>
      </c>
      <c r="G366" t="s">
        <v>1366</v>
      </c>
      <c r="H366" t="s">
        <v>187</v>
      </c>
      <c r="I366" t="s">
        <v>1367</v>
      </c>
      <c r="J366" s="1" t="s">
        <v>1368</v>
      </c>
    </row>
    <row r="367" spans="1:10" ht="15" customHeight="1" x14ac:dyDescent="0.25">
      <c r="A367" t="s">
        <v>1369</v>
      </c>
      <c r="B367">
        <v>2025</v>
      </c>
      <c r="C367" t="s">
        <v>176</v>
      </c>
      <c r="D367" t="b">
        <f>TRUE()</f>
        <v>1</v>
      </c>
      <c r="E367" t="b">
        <f>COUNTIF(connections!A:A, A367) &gt; 0</f>
        <v>0</v>
      </c>
      <c r="G367" t="s">
        <v>1370</v>
      </c>
      <c r="H367" t="s">
        <v>187</v>
      </c>
      <c r="I367" t="s">
        <v>1371</v>
      </c>
      <c r="J367" s="1" t="s">
        <v>1372</v>
      </c>
    </row>
    <row r="368" spans="1:10" ht="15" customHeight="1" x14ac:dyDescent="0.25">
      <c r="A368" t="s">
        <v>1373</v>
      </c>
      <c r="B368">
        <v>2025</v>
      </c>
      <c r="C368" t="s">
        <v>222</v>
      </c>
      <c r="D368" t="b">
        <f>TRUE()</f>
        <v>1</v>
      </c>
      <c r="E368" t="b">
        <f>COUNTIF(connections!A:A, A368) &gt; 0</f>
        <v>0</v>
      </c>
      <c r="G368" t="s">
        <v>1374</v>
      </c>
      <c r="J368" s="10" t="s">
        <v>1375</v>
      </c>
    </row>
    <row r="369" spans="1:10" ht="15" customHeight="1" x14ac:dyDescent="0.25">
      <c r="A369" t="s">
        <v>1376</v>
      </c>
      <c r="B369">
        <v>2026</v>
      </c>
      <c r="C369" t="s">
        <v>222</v>
      </c>
      <c r="D369" t="b">
        <f>TRUE()</f>
        <v>1</v>
      </c>
      <c r="E369" t="b">
        <f>COUNTIF(connections!A:A, A369) &gt; 0</f>
        <v>0</v>
      </c>
      <c r="G369" t="s">
        <v>1377</v>
      </c>
    </row>
    <row r="370" spans="1:10" ht="15" customHeight="1" x14ac:dyDescent="0.25">
      <c r="A370" t="s">
        <v>1378</v>
      </c>
      <c r="B370">
        <v>2023</v>
      </c>
      <c r="C370" t="s">
        <v>176</v>
      </c>
      <c r="D370" t="b">
        <f>TRUE()</f>
        <v>1</v>
      </c>
      <c r="E370" t="b">
        <f>COUNTIF(connections!A:A, A370) &gt; 0</f>
        <v>0</v>
      </c>
      <c r="G370" t="s">
        <v>1379</v>
      </c>
      <c r="H370" t="s">
        <v>187</v>
      </c>
      <c r="I370" t="s">
        <v>1380</v>
      </c>
      <c r="J370" s="1" t="s">
        <v>1381</v>
      </c>
    </row>
    <row r="371" spans="1:10" ht="15" customHeight="1" x14ac:dyDescent="0.25">
      <c r="A371" t="s">
        <v>1382</v>
      </c>
      <c r="B371">
        <v>2026</v>
      </c>
      <c r="C371" t="s">
        <v>179</v>
      </c>
      <c r="D371" t="b">
        <f>TRUE()</f>
        <v>1</v>
      </c>
      <c r="E371" t="b">
        <f>COUNTIF(connections!A:A, A371) &gt; 0</f>
        <v>0</v>
      </c>
      <c r="G371" t="s">
        <v>1383</v>
      </c>
      <c r="J371" s="10" t="s">
        <v>1384</v>
      </c>
    </row>
    <row r="372" spans="1:10" ht="15" customHeight="1" x14ac:dyDescent="0.25">
      <c r="A372" t="s">
        <v>1385</v>
      </c>
      <c r="B372">
        <v>2013</v>
      </c>
      <c r="C372" t="s">
        <v>179</v>
      </c>
      <c r="D372" t="b">
        <f>TRUE()</f>
        <v>1</v>
      </c>
      <c r="E372" t="b">
        <f>COUNTIF(connections!A:A, A372) &gt; 0</f>
        <v>1</v>
      </c>
      <c r="G372" t="s">
        <v>1386</v>
      </c>
      <c r="H372" t="s">
        <v>187</v>
      </c>
      <c r="I372" t="s">
        <v>1387</v>
      </c>
    </row>
    <row r="373" spans="1:10" ht="15" customHeight="1" x14ac:dyDescent="0.25">
      <c r="A373" t="s">
        <v>1388</v>
      </c>
      <c r="B373">
        <v>2025</v>
      </c>
      <c r="C373" t="s">
        <v>179</v>
      </c>
      <c r="D373" t="b">
        <f>TRUE()</f>
        <v>1</v>
      </c>
      <c r="E373" t="b">
        <f>COUNTIF(connections!A:A, A373) &gt; 0</f>
        <v>0</v>
      </c>
      <c r="F373" t="s">
        <v>1389</v>
      </c>
      <c r="G373" t="s">
        <v>1390</v>
      </c>
    </row>
    <row r="374" spans="1:10" ht="15" customHeight="1" x14ac:dyDescent="0.25">
      <c r="A374" t="s">
        <v>1391</v>
      </c>
      <c r="B374">
        <v>2026</v>
      </c>
      <c r="C374" t="s">
        <v>176</v>
      </c>
      <c r="D374" t="b">
        <f>TRUE()</f>
        <v>1</v>
      </c>
      <c r="E374" t="b">
        <f>COUNTIF(connections!A:A, A374) &gt; 0</f>
        <v>0</v>
      </c>
      <c r="G374" t="s">
        <v>1392</v>
      </c>
      <c r="J374" s="10" t="s">
        <v>1393</v>
      </c>
    </row>
    <row r="375" spans="1:10" ht="15" customHeight="1" x14ac:dyDescent="0.25">
      <c r="A375" t="s">
        <v>1394</v>
      </c>
      <c r="B375">
        <v>2026</v>
      </c>
      <c r="C375" t="s">
        <v>182</v>
      </c>
      <c r="D375" t="b">
        <f>TRUE()</f>
        <v>1</v>
      </c>
      <c r="E375" t="b">
        <f>COUNTIF(connections!A:A, A375) &gt; 0</f>
        <v>0</v>
      </c>
      <c r="G375" t="s">
        <v>1395</v>
      </c>
    </row>
    <row r="376" spans="1:10" ht="15" customHeight="1" x14ac:dyDescent="0.25">
      <c r="A376" t="s">
        <v>1396</v>
      </c>
      <c r="B376">
        <v>2026</v>
      </c>
      <c r="C376" t="s">
        <v>176</v>
      </c>
      <c r="D376" t="b">
        <f>TRUE()</f>
        <v>1</v>
      </c>
      <c r="E376" t="b">
        <f>COUNTIF(connections!A:A, A376) &gt; 0</f>
        <v>0</v>
      </c>
      <c r="F376" t="s">
        <v>1397</v>
      </c>
      <c r="G376" t="s">
        <v>1398</v>
      </c>
      <c r="H376" t="s">
        <v>187</v>
      </c>
      <c r="I376" t="s">
        <v>1399</v>
      </c>
    </row>
    <row r="377" spans="1:10" ht="15" customHeight="1" x14ac:dyDescent="0.25">
      <c r="A377" t="s">
        <v>1400</v>
      </c>
      <c r="B377">
        <v>2012</v>
      </c>
      <c r="C377" t="s">
        <v>179</v>
      </c>
      <c r="D377" t="b">
        <f>TRUE()</f>
        <v>1</v>
      </c>
      <c r="E377" t="b">
        <f>COUNTIF(connections!A:A, A377) &gt; 0</f>
        <v>0</v>
      </c>
      <c r="G377" t="s">
        <v>1401</v>
      </c>
      <c r="J377" s="10" t="s">
        <v>1402</v>
      </c>
    </row>
    <row r="378" spans="1:10" ht="15" customHeight="1" x14ac:dyDescent="0.25">
      <c r="A378" t="s">
        <v>1403</v>
      </c>
      <c r="B378">
        <v>2025</v>
      </c>
      <c r="C378" t="s">
        <v>176</v>
      </c>
      <c r="D378" t="b">
        <f>TRUE()</f>
        <v>1</v>
      </c>
      <c r="E378" t="b">
        <f>COUNTIF(connections!A:A, A378) &gt; 0</f>
        <v>0</v>
      </c>
      <c r="G378" t="s">
        <v>1404</v>
      </c>
      <c r="H378" t="s">
        <v>187</v>
      </c>
      <c r="I378" t="s">
        <v>1405</v>
      </c>
      <c r="J378" s="1" t="s">
        <v>1406</v>
      </c>
    </row>
    <row r="379" spans="1:10" ht="15" customHeight="1" x14ac:dyDescent="0.25">
      <c r="A379" t="s">
        <v>1407</v>
      </c>
      <c r="B379">
        <v>2017</v>
      </c>
      <c r="C379" t="s">
        <v>179</v>
      </c>
      <c r="D379" t="b">
        <f>TRUE()</f>
        <v>1</v>
      </c>
      <c r="E379" t="b">
        <f>COUNTIF(connections!A:A, A379) &gt; 0</f>
        <v>0</v>
      </c>
      <c r="G379" t="s">
        <v>1408</v>
      </c>
    </row>
    <row r="380" spans="1:10" ht="15" customHeight="1" x14ac:dyDescent="0.25">
      <c r="A380" t="s">
        <v>1409</v>
      </c>
      <c r="B380">
        <v>2022</v>
      </c>
      <c r="C380" t="s">
        <v>176</v>
      </c>
      <c r="D380" t="b">
        <f>TRUE()</f>
        <v>1</v>
      </c>
      <c r="E380" t="b">
        <f>COUNTIF(connections!A:A, A380) &gt; 0</f>
        <v>0</v>
      </c>
      <c r="G380" t="s">
        <v>1410</v>
      </c>
      <c r="H380" t="s">
        <v>187</v>
      </c>
      <c r="I380" t="s">
        <v>1411</v>
      </c>
      <c r="J380" s="1" t="s">
        <v>1412</v>
      </c>
    </row>
    <row r="381" spans="1:10" ht="15" customHeight="1" x14ac:dyDescent="0.25">
      <c r="A381" t="s">
        <v>1413</v>
      </c>
      <c r="B381">
        <v>2017</v>
      </c>
      <c r="C381" t="s">
        <v>176</v>
      </c>
      <c r="D381" t="b">
        <f>TRUE()</f>
        <v>1</v>
      </c>
      <c r="E381" t="b">
        <f>COUNTIF(connections!A:A, A381) &gt; 0</f>
        <v>0</v>
      </c>
      <c r="G381" t="s">
        <v>1414</v>
      </c>
      <c r="H381" t="s">
        <v>187</v>
      </c>
      <c r="I381" t="s">
        <v>1415</v>
      </c>
      <c r="J381" s="1" t="s">
        <v>1416</v>
      </c>
    </row>
    <row r="382" spans="1:10" ht="15" customHeight="1" x14ac:dyDescent="0.25">
      <c r="A382" t="s">
        <v>1417</v>
      </c>
      <c r="B382">
        <v>2016</v>
      </c>
      <c r="C382" t="s">
        <v>176</v>
      </c>
      <c r="D382" t="b">
        <v>1</v>
      </c>
      <c r="E382" t="b">
        <f>COUNTIF(connections!A:A, A382) &gt; 0</f>
        <v>0</v>
      </c>
      <c r="G382" t="s">
        <v>1418</v>
      </c>
      <c r="J382" s="10" t="s">
        <v>1419</v>
      </c>
    </row>
    <row r="383" spans="1:10" ht="15" customHeight="1" x14ac:dyDescent="0.25">
      <c r="A383" t="s">
        <v>1420</v>
      </c>
      <c r="B383">
        <v>2007</v>
      </c>
      <c r="C383" t="s">
        <v>179</v>
      </c>
      <c r="D383" t="b">
        <f>TRUE()</f>
        <v>1</v>
      </c>
      <c r="E383" t="b">
        <f>COUNTIF(connections!A:A, A383) &gt; 0</f>
        <v>1</v>
      </c>
      <c r="G383" t="s">
        <v>1421</v>
      </c>
      <c r="H383" t="s">
        <v>187</v>
      </c>
      <c r="I383" t="s">
        <v>1422</v>
      </c>
    </row>
    <row r="384" spans="1:10" ht="15" customHeight="1" x14ac:dyDescent="0.25">
      <c r="A384" t="s">
        <v>1423</v>
      </c>
      <c r="B384">
        <v>2015</v>
      </c>
      <c r="C384" t="s">
        <v>222</v>
      </c>
      <c r="D384" t="b">
        <f>TRUE()</f>
        <v>1</v>
      </c>
      <c r="E384" t="b">
        <f>COUNTIF(connections!A:A, A384) &gt; 0</f>
        <v>0</v>
      </c>
      <c r="G384" t="s">
        <v>1424</v>
      </c>
      <c r="H384" t="s">
        <v>187</v>
      </c>
      <c r="I384" t="s">
        <v>8429</v>
      </c>
    </row>
    <row r="385" spans="1:10" ht="15" customHeight="1" x14ac:dyDescent="0.25">
      <c r="A385" t="s">
        <v>1425</v>
      </c>
      <c r="B385">
        <v>2011</v>
      </c>
      <c r="C385" t="s">
        <v>179</v>
      </c>
      <c r="D385" t="b">
        <f>TRUE()</f>
        <v>1</v>
      </c>
      <c r="E385" t="b">
        <f>COUNTIF(connections!A:A, A385) &gt; 0</f>
        <v>0</v>
      </c>
      <c r="F385" t="s">
        <v>274</v>
      </c>
      <c r="G385" t="s">
        <v>1426</v>
      </c>
      <c r="H385" t="s">
        <v>187</v>
      </c>
      <c r="I385" t="s">
        <v>1427</v>
      </c>
    </row>
    <row r="386" spans="1:10" ht="15" customHeight="1" x14ac:dyDescent="0.25">
      <c r="A386" t="s">
        <v>1428</v>
      </c>
      <c r="B386">
        <v>2023</v>
      </c>
      <c r="C386" t="s">
        <v>222</v>
      </c>
      <c r="D386" t="b">
        <f>TRUE()</f>
        <v>1</v>
      </c>
      <c r="E386" t="b">
        <f>COUNTIF(connections!A:A, A386) &gt; 0</f>
        <v>0</v>
      </c>
      <c r="G386" t="s">
        <v>1429</v>
      </c>
      <c r="H386" t="s">
        <v>187</v>
      </c>
      <c r="I386" t="s">
        <v>1430</v>
      </c>
      <c r="J386" s="10" t="s">
        <v>1431</v>
      </c>
    </row>
    <row r="387" spans="1:10" ht="15" customHeight="1" x14ac:dyDescent="0.25">
      <c r="A387" t="s">
        <v>1432</v>
      </c>
      <c r="B387">
        <v>2025</v>
      </c>
      <c r="C387" t="s">
        <v>222</v>
      </c>
      <c r="D387" t="b">
        <f>TRUE()</f>
        <v>1</v>
      </c>
      <c r="E387" t="b">
        <f>COUNTIF(connections!A:A, A387) &gt; 0</f>
        <v>0</v>
      </c>
      <c r="G387" t="s">
        <v>1433</v>
      </c>
      <c r="J387" s="10" t="s">
        <v>1434</v>
      </c>
    </row>
    <row r="388" spans="1:10" ht="15" customHeight="1" x14ac:dyDescent="0.25">
      <c r="A388" t="s">
        <v>1435</v>
      </c>
      <c r="B388">
        <v>2021</v>
      </c>
      <c r="C388" t="s">
        <v>182</v>
      </c>
      <c r="D388" t="b">
        <f>TRUE()</f>
        <v>1</v>
      </c>
      <c r="E388" t="b">
        <f>COUNTIF(connections!A:A, A388) &gt; 0</f>
        <v>1</v>
      </c>
      <c r="G388" t="s">
        <v>1436</v>
      </c>
      <c r="H388" t="s">
        <v>187</v>
      </c>
      <c r="I388" t="s">
        <v>1437</v>
      </c>
      <c r="J388" s="1" t="s">
        <v>1438</v>
      </c>
    </row>
    <row r="389" spans="1:10" ht="15" customHeight="1" x14ac:dyDescent="0.25">
      <c r="A389" t="s">
        <v>7997</v>
      </c>
      <c r="B389">
        <v>2026</v>
      </c>
      <c r="C389" t="s">
        <v>182</v>
      </c>
      <c r="D389" t="b">
        <f>TRUE()</f>
        <v>1</v>
      </c>
      <c r="E389" t="b">
        <f>COUNTIF(connections!A:A, A389) &gt; 0</f>
        <v>0</v>
      </c>
      <c r="G389" t="s">
        <v>7998</v>
      </c>
      <c r="J389" s="10" t="s">
        <v>7999</v>
      </c>
    </row>
    <row r="390" spans="1:10" ht="15" customHeight="1" x14ac:dyDescent="0.25">
      <c r="A390" t="s">
        <v>1439</v>
      </c>
      <c r="B390">
        <v>2021</v>
      </c>
      <c r="C390" t="s">
        <v>222</v>
      </c>
      <c r="D390" t="b">
        <f>TRUE()</f>
        <v>1</v>
      </c>
      <c r="E390" t="b">
        <f>COUNTIF(connections!A:A, A390) &gt; 0</f>
        <v>0</v>
      </c>
      <c r="G390" t="s">
        <v>1440</v>
      </c>
      <c r="H390" t="s">
        <v>187</v>
      </c>
      <c r="I390" t="s">
        <v>1441</v>
      </c>
      <c r="J390" s="1" t="s">
        <v>1442</v>
      </c>
    </row>
    <row r="391" spans="1:10" ht="15" customHeight="1" x14ac:dyDescent="0.25">
      <c r="A391" t="s">
        <v>1443</v>
      </c>
      <c r="B391">
        <v>2018</v>
      </c>
      <c r="C391" t="s">
        <v>222</v>
      </c>
      <c r="D391" t="b">
        <f>TRUE()</f>
        <v>1</v>
      </c>
      <c r="E391" t="b">
        <f>COUNTIF(connections!A:A, A391) &gt; 0</f>
        <v>1</v>
      </c>
      <c r="F391" t="s">
        <v>274</v>
      </c>
      <c r="G391" t="s">
        <v>1444</v>
      </c>
      <c r="H391" t="s">
        <v>187</v>
      </c>
      <c r="I391" t="s">
        <v>1445</v>
      </c>
      <c r="J391" s="1" t="s">
        <v>1446</v>
      </c>
    </row>
    <row r="392" spans="1:10" ht="15" customHeight="1" x14ac:dyDescent="0.25">
      <c r="A392" t="s">
        <v>1447</v>
      </c>
      <c r="B392">
        <v>2025</v>
      </c>
      <c r="C392" t="s">
        <v>182</v>
      </c>
      <c r="D392" t="b">
        <f>TRUE()</f>
        <v>1</v>
      </c>
      <c r="E392" t="b">
        <f>COUNTIF(connections!A:A, A392) &gt; 0</f>
        <v>0</v>
      </c>
      <c r="G392" t="s">
        <v>1448</v>
      </c>
      <c r="J392" s="10" t="s">
        <v>1449</v>
      </c>
    </row>
    <row r="393" spans="1:10" ht="15" customHeight="1" x14ac:dyDescent="0.25">
      <c r="A393" t="s">
        <v>1450</v>
      </c>
      <c r="B393">
        <v>2019</v>
      </c>
      <c r="C393" t="s">
        <v>222</v>
      </c>
      <c r="D393" t="b">
        <f>TRUE()</f>
        <v>1</v>
      </c>
      <c r="E393" t="b">
        <f>COUNTIF(connections!A:A, A393) &gt; 0</f>
        <v>0</v>
      </c>
      <c r="G393" t="s">
        <v>1451</v>
      </c>
      <c r="H393" t="s">
        <v>187</v>
      </c>
      <c r="I393" t="s">
        <v>1452</v>
      </c>
      <c r="J393" s="1" t="s">
        <v>1453</v>
      </c>
    </row>
    <row r="394" spans="1:10" ht="15" customHeight="1" x14ac:dyDescent="0.25">
      <c r="A394" t="s">
        <v>1454</v>
      </c>
      <c r="B394">
        <v>2001</v>
      </c>
      <c r="C394" t="s">
        <v>179</v>
      </c>
      <c r="D394" t="b">
        <f>TRUE()</f>
        <v>1</v>
      </c>
      <c r="E394" t="b">
        <f>COUNTIF(connections!A:A, A394) &gt; 0</f>
        <v>1</v>
      </c>
      <c r="G394" t="s">
        <v>1455</v>
      </c>
      <c r="H394" t="s">
        <v>187</v>
      </c>
      <c r="I394" t="s">
        <v>1456</v>
      </c>
    </row>
    <row r="395" spans="1:10" ht="15" customHeight="1" x14ac:dyDescent="0.25">
      <c r="A395" t="s">
        <v>1457</v>
      </c>
      <c r="B395">
        <v>2007</v>
      </c>
      <c r="C395" t="s">
        <v>179</v>
      </c>
      <c r="D395" t="b">
        <f>TRUE()</f>
        <v>1</v>
      </c>
      <c r="E395" t="b">
        <f>COUNTIF(connections!A:A, A395) &gt; 0</f>
        <v>0</v>
      </c>
      <c r="G395" t="s">
        <v>1458</v>
      </c>
      <c r="H395" t="s">
        <v>187</v>
      </c>
      <c r="I395" t="s">
        <v>1459</v>
      </c>
    </row>
    <row r="396" spans="1:10" ht="15" customHeight="1" x14ac:dyDescent="0.25">
      <c r="A396" t="s">
        <v>1460</v>
      </c>
      <c r="B396">
        <v>2006</v>
      </c>
      <c r="C396" t="s">
        <v>179</v>
      </c>
      <c r="D396" t="b">
        <f>TRUE()</f>
        <v>1</v>
      </c>
      <c r="E396" t="b">
        <f>COUNTIF(connections!A:A, A396) &gt; 0</f>
        <v>1</v>
      </c>
      <c r="G396" t="s">
        <v>1461</v>
      </c>
      <c r="H396" t="s">
        <v>187</v>
      </c>
      <c r="I396" t="s">
        <v>1462</v>
      </c>
    </row>
    <row r="397" spans="1:10" ht="15" customHeight="1" x14ac:dyDescent="0.25">
      <c r="A397" t="s">
        <v>1463</v>
      </c>
      <c r="B397">
        <v>2025</v>
      </c>
      <c r="C397" t="s">
        <v>176</v>
      </c>
      <c r="D397" t="b">
        <f>TRUE()</f>
        <v>1</v>
      </c>
      <c r="E397" t="b">
        <f>COUNTIF(connections!A:A, A397) &gt; 0</f>
        <v>0</v>
      </c>
      <c r="G397" t="s">
        <v>1464</v>
      </c>
    </row>
    <row r="398" spans="1:10" ht="15" customHeight="1" x14ac:dyDescent="0.25">
      <c r="A398" t="s">
        <v>1465</v>
      </c>
      <c r="B398">
        <v>2018</v>
      </c>
      <c r="C398" t="s">
        <v>176</v>
      </c>
      <c r="D398" t="b">
        <f>FALSE()</f>
        <v>0</v>
      </c>
      <c r="E398" t="b">
        <f>COUNTIF(connections!A:A, A398) &gt; 0</f>
        <v>0</v>
      </c>
      <c r="F398" t="s">
        <v>264</v>
      </c>
      <c r="G398" t="s">
        <v>1466</v>
      </c>
    </row>
    <row r="399" spans="1:10" ht="15" customHeight="1" x14ac:dyDescent="0.25">
      <c r="A399" t="s">
        <v>1467</v>
      </c>
      <c r="B399">
        <v>2019</v>
      </c>
      <c r="C399" t="s">
        <v>179</v>
      </c>
      <c r="D399" t="b">
        <f>TRUE()</f>
        <v>1</v>
      </c>
      <c r="E399" t="b">
        <f>COUNTIF(connections!A:A, A399) &gt; 0</f>
        <v>0</v>
      </c>
      <c r="F399" t="s">
        <v>274</v>
      </c>
      <c r="G399" t="s">
        <v>1468</v>
      </c>
      <c r="H399" t="s">
        <v>187</v>
      </c>
      <c r="I399" t="s">
        <v>1469</v>
      </c>
      <c r="J399" s="1" t="s">
        <v>1470</v>
      </c>
    </row>
    <row r="400" spans="1:10" ht="15" customHeight="1" x14ac:dyDescent="0.25">
      <c r="A400" t="s">
        <v>1471</v>
      </c>
      <c r="B400">
        <v>2023</v>
      </c>
      <c r="C400" t="s">
        <v>176</v>
      </c>
      <c r="D400" t="b">
        <f>TRUE()</f>
        <v>1</v>
      </c>
      <c r="E400" t="b">
        <f>COUNTIF(connections!A:A, A400) &gt; 0</f>
        <v>0</v>
      </c>
      <c r="G400" t="s">
        <v>1472</v>
      </c>
      <c r="H400" t="s">
        <v>187</v>
      </c>
      <c r="I400" t="s">
        <v>1473</v>
      </c>
      <c r="J400" s="1" t="s">
        <v>1474</v>
      </c>
    </row>
    <row r="401" spans="1:10" ht="15" customHeight="1" x14ac:dyDescent="0.25">
      <c r="A401" t="s">
        <v>1475</v>
      </c>
      <c r="B401">
        <v>2024</v>
      </c>
      <c r="C401" t="s">
        <v>222</v>
      </c>
      <c r="D401" t="b">
        <f>TRUE()</f>
        <v>1</v>
      </c>
      <c r="E401" t="b">
        <f>COUNTIF(connections!A:A, A401) &gt; 0</f>
        <v>0</v>
      </c>
      <c r="G401" t="s">
        <v>1476</v>
      </c>
      <c r="H401" t="s">
        <v>187</v>
      </c>
      <c r="I401" t="s">
        <v>1477</v>
      </c>
      <c r="J401" s="1" t="s">
        <v>1478</v>
      </c>
    </row>
    <row r="402" spans="1:10" ht="15" customHeight="1" x14ac:dyDescent="0.25">
      <c r="A402" t="s">
        <v>1479</v>
      </c>
      <c r="B402">
        <v>2025</v>
      </c>
      <c r="C402" t="s">
        <v>176</v>
      </c>
      <c r="D402" t="b">
        <f>TRUE()</f>
        <v>1</v>
      </c>
      <c r="E402" t="b">
        <f>COUNTIF(connections!A:A, A402) &gt; 0</f>
        <v>0</v>
      </c>
      <c r="G402" t="s">
        <v>1480</v>
      </c>
      <c r="J402" s="10" t="s">
        <v>1481</v>
      </c>
    </row>
    <row r="403" spans="1:10" ht="15" customHeight="1" x14ac:dyDescent="0.25">
      <c r="A403" t="s">
        <v>1482</v>
      </c>
      <c r="B403">
        <v>2015</v>
      </c>
      <c r="C403" t="s">
        <v>179</v>
      </c>
      <c r="D403" t="b">
        <f>TRUE()</f>
        <v>1</v>
      </c>
      <c r="E403" t="b">
        <f>COUNTIF(connections!A:A, A403) &gt; 0</f>
        <v>0</v>
      </c>
      <c r="G403" t="s">
        <v>1483</v>
      </c>
      <c r="H403" t="s">
        <v>187</v>
      </c>
      <c r="I403" t="s">
        <v>1484</v>
      </c>
      <c r="J403" s="1" t="s">
        <v>1485</v>
      </c>
    </row>
    <row r="404" spans="1:10" ht="15" customHeight="1" x14ac:dyDescent="0.25">
      <c r="A404" t="s">
        <v>1486</v>
      </c>
      <c r="B404">
        <v>2023</v>
      </c>
      <c r="C404" t="s">
        <v>176</v>
      </c>
      <c r="D404" t="b">
        <f>TRUE()</f>
        <v>1</v>
      </c>
      <c r="E404" t="b">
        <f>COUNTIF(connections!A:A, A404) &gt; 0</f>
        <v>0</v>
      </c>
      <c r="G404" t="s">
        <v>1487</v>
      </c>
      <c r="H404" t="s">
        <v>187</v>
      </c>
      <c r="I404" t="s">
        <v>1488</v>
      </c>
      <c r="J404" s="1" t="s">
        <v>1489</v>
      </c>
    </row>
    <row r="405" spans="1:10" ht="15" customHeight="1" x14ac:dyDescent="0.25">
      <c r="A405" t="s">
        <v>7988</v>
      </c>
      <c r="B405">
        <v>2026</v>
      </c>
      <c r="C405" t="s">
        <v>176</v>
      </c>
      <c r="D405" t="b">
        <f>TRUE()</f>
        <v>1</v>
      </c>
      <c r="E405" t="b">
        <f>COUNTIF(connections!A:A, A405) &gt; 0</f>
        <v>0</v>
      </c>
      <c r="G405" t="s">
        <v>7989</v>
      </c>
      <c r="J405" s="10" t="s">
        <v>7990</v>
      </c>
    </row>
    <row r="406" spans="1:10" ht="15" customHeight="1" x14ac:dyDescent="0.25">
      <c r="A406" t="s">
        <v>1490</v>
      </c>
      <c r="B406">
        <v>2025</v>
      </c>
      <c r="C406" t="s">
        <v>222</v>
      </c>
      <c r="D406" t="b">
        <v>1</v>
      </c>
      <c r="E406" t="b">
        <f>COUNTIF(connections!A:A, A406) &gt; 0</f>
        <v>0</v>
      </c>
      <c r="G406" t="s">
        <v>1491</v>
      </c>
    </row>
    <row r="407" spans="1:10" ht="15" customHeight="1" x14ac:dyDescent="0.25">
      <c r="A407" t="s">
        <v>1492</v>
      </c>
      <c r="B407">
        <v>2025</v>
      </c>
      <c r="C407" t="s">
        <v>176</v>
      </c>
      <c r="D407" t="b">
        <f>TRUE()</f>
        <v>1</v>
      </c>
      <c r="E407" t="b">
        <f>COUNTIF(connections!A:A, A407) &gt; 0</f>
        <v>0</v>
      </c>
      <c r="F407" t="s">
        <v>399</v>
      </c>
      <c r="G407" t="s">
        <v>1493</v>
      </c>
      <c r="H407" t="s">
        <v>187</v>
      </c>
      <c r="I407" t="s">
        <v>1494</v>
      </c>
      <c r="J407" s="1" t="s">
        <v>1495</v>
      </c>
    </row>
    <row r="408" spans="1:10" ht="15" customHeight="1" x14ac:dyDescent="0.25">
      <c r="A408" t="s">
        <v>1496</v>
      </c>
      <c r="B408">
        <v>2016</v>
      </c>
      <c r="C408" t="s">
        <v>222</v>
      </c>
      <c r="D408" t="b">
        <f>TRUE()</f>
        <v>1</v>
      </c>
      <c r="E408" t="b">
        <f>COUNTIF(connections!A:A, A408) &gt; 0</f>
        <v>1</v>
      </c>
      <c r="G408" t="s">
        <v>1497</v>
      </c>
      <c r="H408" t="s">
        <v>187</v>
      </c>
      <c r="I408" t="s">
        <v>1498</v>
      </c>
      <c r="J408" s="1" t="s">
        <v>1499</v>
      </c>
    </row>
    <row r="409" spans="1:10" ht="15" customHeight="1" x14ac:dyDescent="0.25">
      <c r="A409" t="s">
        <v>1500</v>
      </c>
      <c r="B409">
        <v>2023</v>
      </c>
      <c r="C409" t="s">
        <v>176</v>
      </c>
      <c r="D409" t="b">
        <f>TRUE()</f>
        <v>1</v>
      </c>
      <c r="E409" t="b">
        <f>COUNTIF(connections!A:A, A409) &gt; 0</f>
        <v>0</v>
      </c>
      <c r="F409" t="s">
        <v>529</v>
      </c>
      <c r="G409" t="s">
        <v>1501</v>
      </c>
      <c r="H409" t="s">
        <v>187</v>
      </c>
      <c r="I409" t="s">
        <v>1502</v>
      </c>
      <c r="J409" s="1" t="s">
        <v>1020</v>
      </c>
    </row>
    <row r="410" spans="1:10" ht="15" customHeight="1" x14ac:dyDescent="0.25">
      <c r="A410" t="s">
        <v>1503</v>
      </c>
      <c r="B410">
        <v>2025</v>
      </c>
      <c r="C410" t="s">
        <v>222</v>
      </c>
      <c r="D410" t="b">
        <f>TRUE()</f>
        <v>1</v>
      </c>
      <c r="E410" t="b">
        <f>COUNTIF(connections!A:A, A410) &gt; 0</f>
        <v>0</v>
      </c>
      <c r="F410" t="s">
        <v>1030</v>
      </c>
      <c r="G410" t="s">
        <v>1504</v>
      </c>
      <c r="H410" t="s">
        <v>187</v>
      </c>
      <c r="I410" t="s">
        <v>1505</v>
      </c>
      <c r="J410" s="1" t="s">
        <v>1506</v>
      </c>
    </row>
    <row r="411" spans="1:10" ht="15" customHeight="1" x14ac:dyDescent="0.25">
      <c r="A411" t="s">
        <v>1507</v>
      </c>
      <c r="B411">
        <v>2025</v>
      </c>
      <c r="C411" t="s">
        <v>182</v>
      </c>
      <c r="D411" t="b">
        <f>TRUE()</f>
        <v>1</v>
      </c>
      <c r="E411" t="b">
        <f>COUNTIF(connections!A:A, A411) &gt; 0</f>
        <v>0</v>
      </c>
      <c r="F411" t="s">
        <v>1030</v>
      </c>
      <c r="G411" t="s">
        <v>1508</v>
      </c>
      <c r="H411" t="s">
        <v>187</v>
      </c>
      <c r="I411" t="s">
        <v>1509</v>
      </c>
      <c r="J411" s="1" t="s">
        <v>1510</v>
      </c>
    </row>
    <row r="412" spans="1:10" ht="15" customHeight="1" x14ac:dyDescent="0.25">
      <c r="A412" t="s">
        <v>1511</v>
      </c>
      <c r="B412">
        <v>2020</v>
      </c>
      <c r="C412" t="s">
        <v>182</v>
      </c>
      <c r="D412" t="b">
        <f>TRUE()</f>
        <v>1</v>
      </c>
      <c r="E412" t="b">
        <f>COUNTIF(connections!A:A, A412) &gt; 0</f>
        <v>0</v>
      </c>
      <c r="G412" t="s">
        <v>1512</v>
      </c>
    </row>
    <row r="413" spans="1:10" ht="15" customHeight="1" x14ac:dyDescent="0.25">
      <c r="A413" t="s">
        <v>1513</v>
      </c>
      <c r="B413">
        <v>2020</v>
      </c>
      <c r="C413" t="s">
        <v>179</v>
      </c>
      <c r="D413" t="b">
        <f>TRUE()</f>
        <v>1</v>
      </c>
      <c r="E413" t="b">
        <f>COUNTIF(connections!A:A, A413) &gt; 0</f>
        <v>0</v>
      </c>
      <c r="G413" t="s">
        <v>1514</v>
      </c>
      <c r="H413" t="s">
        <v>187</v>
      </c>
      <c r="I413" t="s">
        <v>1515</v>
      </c>
    </row>
    <row r="414" spans="1:10" ht="15" customHeight="1" x14ac:dyDescent="0.25">
      <c r="A414" t="s">
        <v>1516</v>
      </c>
      <c r="B414">
        <v>2024</v>
      </c>
      <c r="C414" t="s">
        <v>176</v>
      </c>
      <c r="D414" t="b">
        <f>TRUE()</f>
        <v>1</v>
      </c>
      <c r="E414" t="b">
        <f>COUNTIF(connections!A:A, A414) &gt; 0</f>
        <v>1</v>
      </c>
      <c r="F414" t="s">
        <v>652</v>
      </c>
      <c r="G414" t="s">
        <v>1517</v>
      </c>
      <c r="H414" t="s">
        <v>187</v>
      </c>
      <c r="I414" t="s">
        <v>1518</v>
      </c>
      <c r="J414" s="1" t="s">
        <v>1519</v>
      </c>
    </row>
    <row r="415" spans="1:10" ht="15" customHeight="1" x14ac:dyDescent="0.25">
      <c r="A415" t="s">
        <v>1520</v>
      </c>
      <c r="B415">
        <v>2006</v>
      </c>
      <c r="C415" t="s">
        <v>179</v>
      </c>
      <c r="D415" t="b">
        <f>TRUE()</f>
        <v>1</v>
      </c>
      <c r="E415" t="b">
        <f>COUNTIF(connections!A:A, A415) &gt; 0</f>
        <v>0</v>
      </c>
      <c r="G415" t="s">
        <v>1521</v>
      </c>
      <c r="H415" t="s">
        <v>187</v>
      </c>
      <c r="I415" t="s">
        <v>1522</v>
      </c>
    </row>
    <row r="416" spans="1:10" ht="15" customHeight="1" x14ac:dyDescent="0.25">
      <c r="A416" t="s">
        <v>1523</v>
      </c>
      <c r="B416">
        <v>1986</v>
      </c>
      <c r="C416" t="s">
        <v>179</v>
      </c>
      <c r="D416" t="b">
        <f>TRUE()</f>
        <v>1</v>
      </c>
      <c r="E416" t="b">
        <f>COUNTIF(connections!A:A, A416) &gt; 0</f>
        <v>1</v>
      </c>
      <c r="G416" t="s">
        <v>1524</v>
      </c>
      <c r="H416" t="s">
        <v>187</v>
      </c>
      <c r="I416" t="s">
        <v>1525</v>
      </c>
    </row>
    <row r="417" spans="1:10" ht="15" customHeight="1" x14ac:dyDescent="0.25">
      <c r="A417" t="s">
        <v>8110</v>
      </c>
      <c r="B417">
        <v>2013</v>
      </c>
      <c r="C417" t="s">
        <v>176</v>
      </c>
      <c r="D417" t="b">
        <f>TRUE()</f>
        <v>1</v>
      </c>
      <c r="E417" t="b">
        <f>COUNTIF(connections!A:A, A417) &gt; 0</f>
        <v>0</v>
      </c>
      <c r="G417" t="s">
        <v>8111</v>
      </c>
      <c r="J417" s="10" t="s">
        <v>8112</v>
      </c>
    </row>
    <row r="418" spans="1:10" ht="15" customHeight="1" x14ac:dyDescent="0.25">
      <c r="A418" t="s">
        <v>1526</v>
      </c>
      <c r="B418">
        <v>2019</v>
      </c>
      <c r="C418" t="s">
        <v>222</v>
      </c>
      <c r="D418" t="b">
        <f>TRUE()</f>
        <v>1</v>
      </c>
      <c r="E418" t="b">
        <f>COUNTIF(connections!A:A, A418) &gt; 0</f>
        <v>0</v>
      </c>
      <c r="G418" t="s">
        <v>1527</v>
      </c>
      <c r="H418" t="s">
        <v>187</v>
      </c>
      <c r="I418" t="s">
        <v>1528</v>
      </c>
      <c r="J418" s="1" t="s">
        <v>1529</v>
      </c>
    </row>
    <row r="419" spans="1:10" ht="15" customHeight="1" x14ac:dyDescent="0.25">
      <c r="A419" t="s">
        <v>7963</v>
      </c>
      <c r="B419">
        <v>2026</v>
      </c>
      <c r="C419" t="s">
        <v>222</v>
      </c>
      <c r="D419" t="b">
        <f>TRUE()</f>
        <v>1</v>
      </c>
      <c r="E419" t="b">
        <f>COUNTIF(connections!A:A, A419) &gt; 0</f>
        <v>0</v>
      </c>
      <c r="G419" t="s">
        <v>7964</v>
      </c>
      <c r="J419" s="10" t="s">
        <v>7965</v>
      </c>
    </row>
    <row r="420" spans="1:10" ht="15" customHeight="1" x14ac:dyDescent="0.25">
      <c r="A420" t="s">
        <v>1530</v>
      </c>
      <c r="B420">
        <v>2024</v>
      </c>
      <c r="C420" t="s">
        <v>176</v>
      </c>
      <c r="D420" t="b">
        <f>TRUE()</f>
        <v>1</v>
      </c>
      <c r="E420" t="b">
        <f>COUNTIF(connections!A:A, A420) &gt; 0</f>
        <v>0</v>
      </c>
      <c r="F420" t="s">
        <v>264</v>
      </c>
      <c r="G420" t="s">
        <v>1531</v>
      </c>
    </row>
    <row r="421" spans="1:10" ht="15" customHeight="1" x14ac:dyDescent="0.25">
      <c r="A421" t="s">
        <v>1532</v>
      </c>
      <c r="B421">
        <v>2026</v>
      </c>
      <c r="C421" t="s">
        <v>182</v>
      </c>
      <c r="D421" t="b">
        <v>1</v>
      </c>
      <c r="E421" t="b">
        <f>COUNTIF(connections!A:A, A421) &gt; 0</f>
        <v>0</v>
      </c>
      <c r="G421" t="s">
        <v>1533</v>
      </c>
    </row>
    <row r="422" spans="1:10" ht="15" customHeight="1" x14ac:dyDescent="0.25">
      <c r="A422" t="s">
        <v>1534</v>
      </c>
      <c r="B422">
        <v>2023</v>
      </c>
      <c r="C422" t="s">
        <v>222</v>
      </c>
      <c r="D422" t="b">
        <v>1</v>
      </c>
      <c r="E422" t="b">
        <f>COUNTIF(connections!A:A, A422) &gt; 0</f>
        <v>0</v>
      </c>
      <c r="G422" t="s">
        <v>1535</v>
      </c>
      <c r="H422" t="s">
        <v>187</v>
      </c>
      <c r="I422" t="s">
        <v>1536</v>
      </c>
      <c r="J422" s="1" t="s">
        <v>1537</v>
      </c>
    </row>
    <row r="423" spans="1:10" ht="15" customHeight="1" x14ac:dyDescent="0.25">
      <c r="A423" t="s">
        <v>8001</v>
      </c>
      <c r="B423">
        <v>2026</v>
      </c>
      <c r="C423" t="s">
        <v>182</v>
      </c>
      <c r="D423" t="b">
        <f>TRUE()</f>
        <v>1</v>
      </c>
      <c r="E423" t="b">
        <f>COUNTIF(connections!A:A, A423) &gt; 0</f>
        <v>0</v>
      </c>
      <c r="G423" t="s">
        <v>8002</v>
      </c>
      <c r="J423" s="10" t="s">
        <v>8003</v>
      </c>
    </row>
    <row r="424" spans="1:10" ht="16.5" customHeight="1" x14ac:dyDescent="0.25">
      <c r="A424" t="s">
        <v>1538</v>
      </c>
      <c r="B424">
        <v>1995</v>
      </c>
      <c r="C424" t="s">
        <v>179</v>
      </c>
      <c r="D424" t="b">
        <f>TRUE()</f>
        <v>1</v>
      </c>
      <c r="E424" t="b">
        <f>COUNTIF(connections!A:A, A424) &gt; 0</f>
        <v>1</v>
      </c>
      <c r="G424" t="s">
        <v>1539</v>
      </c>
      <c r="H424" t="s">
        <v>187</v>
      </c>
      <c r="I424" t="s">
        <v>1540</v>
      </c>
    </row>
    <row r="425" spans="1:10" ht="15" customHeight="1" x14ac:dyDescent="0.25">
      <c r="A425" t="s">
        <v>1541</v>
      </c>
      <c r="B425">
        <v>2023</v>
      </c>
      <c r="C425" t="s">
        <v>176</v>
      </c>
      <c r="D425" t="b">
        <f>TRUE()</f>
        <v>1</v>
      </c>
      <c r="E425" t="b">
        <f>COUNTIF(connections!A:A, A425) &gt; 0</f>
        <v>0</v>
      </c>
      <c r="G425" t="s">
        <v>1542</v>
      </c>
      <c r="H425" t="s">
        <v>187</v>
      </c>
      <c r="I425" t="s">
        <v>1543</v>
      </c>
      <c r="J425" s="1" t="s">
        <v>1544</v>
      </c>
    </row>
    <row r="426" spans="1:10" ht="15" customHeight="1" x14ac:dyDescent="0.25">
      <c r="A426" t="s">
        <v>1545</v>
      </c>
      <c r="B426">
        <v>2024</v>
      </c>
      <c r="C426" t="s">
        <v>222</v>
      </c>
      <c r="D426" t="b">
        <f>TRUE()</f>
        <v>1</v>
      </c>
      <c r="E426" t="b">
        <f>COUNTIF(connections!A:A, A426) &gt; 0</f>
        <v>0</v>
      </c>
      <c r="F426" t="s">
        <v>274</v>
      </c>
      <c r="G426" t="s">
        <v>1546</v>
      </c>
      <c r="H426" t="s">
        <v>187</v>
      </c>
      <c r="I426" t="s">
        <v>1547</v>
      </c>
      <c r="J426" s="1" t="s">
        <v>1548</v>
      </c>
    </row>
    <row r="427" spans="1:10" ht="15" customHeight="1" x14ac:dyDescent="0.25">
      <c r="A427" t="s">
        <v>1549</v>
      </c>
      <c r="B427">
        <v>2021</v>
      </c>
      <c r="C427" t="s">
        <v>222</v>
      </c>
      <c r="D427" t="b">
        <f>TRUE()</f>
        <v>1</v>
      </c>
      <c r="E427" t="b">
        <f>COUNTIF(connections!A:A, A427) &gt; 0</f>
        <v>1</v>
      </c>
      <c r="G427" t="s">
        <v>1550</v>
      </c>
      <c r="H427" t="s">
        <v>187</v>
      </c>
      <c r="I427" t="s">
        <v>1551</v>
      </c>
      <c r="J427" s="1" t="s">
        <v>1552</v>
      </c>
    </row>
    <row r="428" spans="1:10" ht="15" customHeight="1" x14ac:dyDescent="0.25">
      <c r="A428" t="s">
        <v>1553</v>
      </c>
      <c r="B428">
        <v>2017</v>
      </c>
      <c r="C428" t="s">
        <v>222</v>
      </c>
      <c r="D428" t="b">
        <f>TRUE()</f>
        <v>1</v>
      </c>
      <c r="E428" t="b">
        <f>COUNTIF(connections!A:A, A428) &gt; 0</f>
        <v>1</v>
      </c>
      <c r="G428" t="s">
        <v>1554</v>
      </c>
    </row>
    <row r="429" spans="1:10" ht="15" customHeight="1" x14ac:dyDescent="0.25">
      <c r="A429" t="s">
        <v>1555</v>
      </c>
      <c r="B429">
        <v>2022</v>
      </c>
      <c r="C429" t="s">
        <v>222</v>
      </c>
      <c r="D429" t="b">
        <f>FALSE()</f>
        <v>0</v>
      </c>
      <c r="E429" t="b">
        <f>COUNTIF(connections!A:A, A429) &gt; 0</f>
        <v>0</v>
      </c>
      <c r="F429" t="s">
        <v>652</v>
      </c>
      <c r="G429" t="s">
        <v>1556</v>
      </c>
      <c r="H429" t="s">
        <v>187</v>
      </c>
      <c r="I429" t="s">
        <v>1557</v>
      </c>
      <c r="J429" s="1" t="s">
        <v>1558</v>
      </c>
    </row>
    <row r="430" spans="1:10" ht="15" customHeight="1" x14ac:dyDescent="0.25">
      <c r="A430" t="s">
        <v>1559</v>
      </c>
      <c r="B430">
        <v>2025</v>
      </c>
      <c r="C430" t="s">
        <v>222</v>
      </c>
      <c r="D430" t="b">
        <f>TRUE()</f>
        <v>1</v>
      </c>
      <c r="E430" t="b">
        <f>COUNTIF(connections!A:A, A430) &gt; 0</f>
        <v>0</v>
      </c>
      <c r="G430" t="s">
        <v>1560</v>
      </c>
    </row>
    <row r="431" spans="1:10" ht="15" customHeight="1" x14ac:dyDescent="0.25">
      <c r="A431" t="s">
        <v>1561</v>
      </c>
      <c r="B431">
        <v>2026</v>
      </c>
      <c r="C431" t="s">
        <v>176</v>
      </c>
      <c r="D431" t="b">
        <f>TRUE()</f>
        <v>1</v>
      </c>
      <c r="E431" t="b">
        <f>COUNTIF(connections!A:A, A431) &gt; 0</f>
        <v>0</v>
      </c>
      <c r="G431" t="s">
        <v>1562</v>
      </c>
    </row>
    <row r="432" spans="1:10" ht="15" customHeight="1" x14ac:dyDescent="0.25">
      <c r="A432" t="s">
        <v>1563</v>
      </c>
      <c r="B432">
        <v>2019</v>
      </c>
      <c r="C432" t="s">
        <v>179</v>
      </c>
      <c r="D432" t="b">
        <f>TRUE()</f>
        <v>1</v>
      </c>
      <c r="E432" t="b">
        <f>COUNTIF(connections!A:A, A432) &gt; 0</f>
        <v>0</v>
      </c>
      <c r="G432" t="s">
        <v>1564</v>
      </c>
    </row>
    <row r="433" spans="1:10" ht="15" customHeight="1" x14ac:dyDescent="0.25">
      <c r="A433" t="s">
        <v>1565</v>
      </c>
      <c r="B433">
        <v>2023</v>
      </c>
      <c r="C433" t="s">
        <v>182</v>
      </c>
      <c r="D433" t="b">
        <f>TRUE()</f>
        <v>1</v>
      </c>
      <c r="E433" t="b">
        <f>COUNTIF(connections!A:A, A433) &gt; 0</f>
        <v>1</v>
      </c>
      <c r="G433" t="s">
        <v>1566</v>
      </c>
      <c r="J433" s="10" t="s">
        <v>1567</v>
      </c>
    </row>
    <row r="434" spans="1:10" ht="15" customHeight="1" x14ac:dyDescent="0.25">
      <c r="A434" t="s">
        <v>1568</v>
      </c>
      <c r="B434">
        <v>2022</v>
      </c>
      <c r="C434" t="s">
        <v>182</v>
      </c>
      <c r="D434" t="b">
        <f>TRUE()</f>
        <v>1</v>
      </c>
      <c r="E434" t="b">
        <f>COUNTIF(connections!A:A, A434) &gt; 0</f>
        <v>0</v>
      </c>
      <c r="G434" t="s">
        <v>1569</v>
      </c>
    </row>
    <row r="435" spans="1:10" ht="15" customHeight="1" x14ac:dyDescent="0.25">
      <c r="A435" t="s">
        <v>1570</v>
      </c>
      <c r="B435">
        <v>2025</v>
      </c>
      <c r="C435" t="s">
        <v>176</v>
      </c>
      <c r="D435" t="b">
        <f>TRUE()</f>
        <v>1</v>
      </c>
      <c r="E435" t="b">
        <f>COUNTIF(connections!A:A, A435) &gt; 0</f>
        <v>0</v>
      </c>
      <c r="G435" t="s">
        <v>1571</v>
      </c>
      <c r="H435" t="s">
        <v>187</v>
      </c>
      <c r="I435" t="s">
        <v>7874</v>
      </c>
      <c r="J435" s="10" t="s">
        <v>7875</v>
      </c>
    </row>
    <row r="436" spans="1:10" ht="15" customHeight="1" x14ac:dyDescent="0.25">
      <c r="A436" t="s">
        <v>1572</v>
      </c>
      <c r="B436">
        <v>2001</v>
      </c>
      <c r="C436" t="s">
        <v>179</v>
      </c>
      <c r="D436" t="b">
        <f>TRUE()</f>
        <v>1</v>
      </c>
      <c r="E436" t="b">
        <f>COUNTIF(connections!A:A, A436) &gt; 0</f>
        <v>1</v>
      </c>
      <c r="G436" t="s">
        <v>1573</v>
      </c>
    </row>
    <row r="437" spans="1:10" ht="15" customHeight="1" x14ac:dyDescent="0.25">
      <c r="A437" t="s">
        <v>1574</v>
      </c>
      <c r="B437">
        <v>2024</v>
      </c>
      <c r="C437" t="s">
        <v>182</v>
      </c>
      <c r="D437" t="b">
        <f>TRUE()</f>
        <v>1</v>
      </c>
      <c r="E437" t="b">
        <f>COUNTIF(connections!A:A, A437) &gt; 0</f>
        <v>0</v>
      </c>
      <c r="G437" t="s">
        <v>1575</v>
      </c>
    </row>
    <row r="438" spans="1:10" ht="15" customHeight="1" x14ac:dyDescent="0.25">
      <c r="A438" t="s">
        <v>1576</v>
      </c>
      <c r="B438">
        <v>2021</v>
      </c>
      <c r="C438" t="s">
        <v>182</v>
      </c>
      <c r="D438" t="b">
        <f>TRUE()</f>
        <v>1</v>
      </c>
      <c r="E438" t="b">
        <f>COUNTIF(connections!A:A, A438) &gt; 0</f>
        <v>1</v>
      </c>
      <c r="F438" t="s">
        <v>354</v>
      </c>
      <c r="G438" t="s">
        <v>1577</v>
      </c>
      <c r="H438" t="s">
        <v>187</v>
      </c>
      <c r="I438" t="s">
        <v>1578</v>
      </c>
      <c r="J438" s="1" t="s">
        <v>1579</v>
      </c>
    </row>
    <row r="439" spans="1:10" ht="15" customHeight="1" x14ac:dyDescent="0.25">
      <c r="A439" t="s">
        <v>1580</v>
      </c>
      <c r="B439">
        <v>2023</v>
      </c>
      <c r="C439" t="s">
        <v>182</v>
      </c>
      <c r="D439" t="b">
        <f>TRUE()</f>
        <v>1</v>
      </c>
      <c r="E439" t="b">
        <f>COUNTIF(connections!A:A, A439) &gt; 0</f>
        <v>0</v>
      </c>
      <c r="F439" t="s">
        <v>354</v>
      </c>
      <c r="G439" t="s">
        <v>1581</v>
      </c>
      <c r="H439" t="s">
        <v>187</v>
      </c>
      <c r="I439" t="s">
        <v>1582</v>
      </c>
      <c r="J439" s="1" t="s">
        <v>1583</v>
      </c>
    </row>
    <row r="440" spans="1:10" ht="15" customHeight="1" x14ac:dyDescent="0.25">
      <c r="A440" t="s">
        <v>1584</v>
      </c>
      <c r="B440">
        <v>2026</v>
      </c>
      <c r="C440" t="s">
        <v>176</v>
      </c>
      <c r="D440" t="b">
        <f>TRUE()</f>
        <v>1</v>
      </c>
      <c r="E440" t="b">
        <f>COUNTIF(connections!A:A, A440) &gt; 0</f>
        <v>0</v>
      </c>
      <c r="G440" t="s">
        <v>1585</v>
      </c>
      <c r="J440" s="10" t="s">
        <v>1586</v>
      </c>
    </row>
    <row r="441" spans="1:10" ht="15" customHeight="1" x14ac:dyDescent="0.25">
      <c r="A441" t="s">
        <v>1587</v>
      </c>
      <c r="B441">
        <v>2026</v>
      </c>
      <c r="C441" t="s">
        <v>222</v>
      </c>
      <c r="D441" t="b">
        <f>TRUE()</f>
        <v>1</v>
      </c>
      <c r="E441" t="b">
        <f>COUNTIF(connections!A:A, A441) &gt; 0</f>
        <v>0</v>
      </c>
      <c r="F441" t="s">
        <v>264</v>
      </c>
      <c r="G441" t="s">
        <v>1588</v>
      </c>
    </row>
    <row r="442" spans="1:10" ht="15" customHeight="1" x14ac:dyDescent="0.25">
      <c r="A442" t="s">
        <v>1589</v>
      </c>
      <c r="B442">
        <v>2026</v>
      </c>
      <c r="C442" t="s">
        <v>176</v>
      </c>
      <c r="D442" t="b">
        <f>FALSE()</f>
        <v>0</v>
      </c>
      <c r="E442" t="b">
        <f>COUNTIF(connections!A:A, A442) &gt; 0</f>
        <v>0</v>
      </c>
      <c r="G442" t="s">
        <v>1590</v>
      </c>
      <c r="J442" s="1" t="s">
        <v>1591</v>
      </c>
    </row>
    <row r="443" spans="1:10" ht="15" customHeight="1" x14ac:dyDescent="0.25">
      <c r="A443" t="s">
        <v>1592</v>
      </c>
      <c r="B443">
        <v>2019</v>
      </c>
      <c r="C443" t="s">
        <v>176</v>
      </c>
      <c r="D443" t="b">
        <f>TRUE()</f>
        <v>1</v>
      </c>
      <c r="E443" t="b">
        <f>COUNTIF(connections!A:A, A443) &gt; 0</f>
        <v>1</v>
      </c>
      <c r="G443" t="s">
        <v>1593</v>
      </c>
    </row>
    <row r="444" spans="1:10" ht="15" customHeight="1" x14ac:dyDescent="0.25">
      <c r="A444" t="s">
        <v>1594</v>
      </c>
      <c r="B444">
        <v>2023</v>
      </c>
      <c r="C444" t="s">
        <v>176</v>
      </c>
      <c r="D444" t="b">
        <f>TRUE()</f>
        <v>1</v>
      </c>
      <c r="E444" t="b">
        <f>COUNTIF(connections!A:A, A444) &gt; 0</f>
        <v>1</v>
      </c>
      <c r="G444" t="s">
        <v>1595</v>
      </c>
    </row>
    <row r="445" spans="1:10" ht="15" customHeight="1" x14ac:dyDescent="0.25">
      <c r="A445" t="s">
        <v>1596</v>
      </c>
      <c r="B445">
        <v>2025</v>
      </c>
      <c r="C445" t="s">
        <v>176</v>
      </c>
      <c r="D445" t="b">
        <f>TRUE()</f>
        <v>1</v>
      </c>
      <c r="E445" t="b">
        <f>COUNTIF(connections!A:A, A445) &gt; 0</f>
        <v>0</v>
      </c>
      <c r="G445" t="s">
        <v>1597</v>
      </c>
    </row>
    <row r="446" spans="1:10" ht="15" customHeight="1" x14ac:dyDescent="0.25">
      <c r="A446" t="s">
        <v>1598</v>
      </c>
      <c r="B446">
        <v>2020</v>
      </c>
      <c r="C446" t="s">
        <v>179</v>
      </c>
      <c r="D446" t="b">
        <f>TRUE()</f>
        <v>1</v>
      </c>
      <c r="E446" t="b">
        <f>COUNTIF(connections!A:A, A446) &gt; 0</f>
        <v>0</v>
      </c>
      <c r="G446" t="s">
        <v>1599</v>
      </c>
      <c r="H446" t="s">
        <v>187</v>
      </c>
      <c r="I446" t="s">
        <v>1600</v>
      </c>
      <c r="J446" s="1" t="s">
        <v>1601</v>
      </c>
    </row>
    <row r="447" spans="1:10" ht="15" customHeight="1" x14ac:dyDescent="0.25">
      <c r="A447" t="s">
        <v>1602</v>
      </c>
      <c r="B447">
        <v>2018</v>
      </c>
      <c r="C447" t="s">
        <v>176</v>
      </c>
      <c r="D447" t="b">
        <f>TRUE()</f>
        <v>1</v>
      </c>
      <c r="E447" t="b">
        <f>COUNTIF(connections!A:A, A447) &gt; 0</f>
        <v>0</v>
      </c>
      <c r="G447" t="s">
        <v>1603</v>
      </c>
      <c r="H447" t="s">
        <v>187</v>
      </c>
      <c r="I447" t="s">
        <v>1604</v>
      </c>
      <c r="J447" s="1" t="s">
        <v>1605</v>
      </c>
    </row>
    <row r="448" spans="1:10" ht="15" customHeight="1" x14ac:dyDescent="0.25">
      <c r="A448" t="s">
        <v>1606</v>
      </c>
      <c r="B448">
        <v>2025</v>
      </c>
      <c r="C448" t="s">
        <v>176</v>
      </c>
      <c r="D448" t="b">
        <f>TRUE()</f>
        <v>1</v>
      </c>
      <c r="E448" t="b">
        <f>COUNTIF(connections!A:A, A448) &gt; 0</f>
        <v>0</v>
      </c>
      <c r="G448" t="s">
        <v>1607</v>
      </c>
      <c r="H448" t="s">
        <v>187</v>
      </c>
      <c r="I448" t="s">
        <v>1608</v>
      </c>
      <c r="J448" s="10" t="s">
        <v>1609</v>
      </c>
    </row>
    <row r="449" spans="1:10" ht="15" customHeight="1" x14ac:dyDescent="0.25">
      <c r="A449" t="s">
        <v>1610</v>
      </c>
      <c r="B449">
        <v>2026</v>
      </c>
      <c r="C449" t="s">
        <v>182</v>
      </c>
      <c r="D449" t="b">
        <f>TRUE()</f>
        <v>1</v>
      </c>
      <c r="E449" t="b">
        <f>COUNTIF(connections!A:A, A449) &gt; 0</f>
        <v>0</v>
      </c>
      <c r="G449" t="s">
        <v>1611</v>
      </c>
      <c r="J449" s="10" t="s">
        <v>1612</v>
      </c>
    </row>
    <row r="450" spans="1:10" ht="15" customHeight="1" x14ac:dyDescent="0.25">
      <c r="A450" t="s">
        <v>1613</v>
      </c>
      <c r="B450">
        <v>2025</v>
      </c>
      <c r="C450" t="s">
        <v>176</v>
      </c>
      <c r="D450" t="b">
        <f>TRUE()</f>
        <v>1</v>
      </c>
      <c r="E450" t="b">
        <f>COUNTIF(connections!A:A, A450) &gt; 0</f>
        <v>0</v>
      </c>
      <c r="G450" t="s">
        <v>1614</v>
      </c>
      <c r="H450" t="s">
        <v>187</v>
      </c>
      <c r="I450" t="s">
        <v>1615</v>
      </c>
      <c r="J450" s="1" t="s">
        <v>1616</v>
      </c>
    </row>
    <row r="451" spans="1:10" ht="15" customHeight="1" x14ac:dyDescent="0.25">
      <c r="A451" t="s">
        <v>1617</v>
      </c>
      <c r="B451">
        <v>2022</v>
      </c>
      <c r="C451" t="s">
        <v>222</v>
      </c>
      <c r="D451" t="b">
        <f>FALSE()</f>
        <v>0</v>
      </c>
      <c r="E451" t="b">
        <f>COUNTIF(connections!A:A, A451) &gt; 0</f>
        <v>0</v>
      </c>
      <c r="G451" t="s">
        <v>1618</v>
      </c>
      <c r="H451" t="s">
        <v>187</v>
      </c>
      <c r="I451" t="s">
        <v>1619</v>
      </c>
      <c r="J451" s="1" t="s">
        <v>1620</v>
      </c>
    </row>
    <row r="452" spans="1:10" ht="15" customHeight="1" x14ac:dyDescent="0.25">
      <c r="A452" t="s">
        <v>1621</v>
      </c>
      <c r="B452">
        <v>2025</v>
      </c>
      <c r="C452" t="s">
        <v>176</v>
      </c>
      <c r="D452" t="b">
        <f>TRUE()</f>
        <v>1</v>
      </c>
      <c r="E452" t="b">
        <f>COUNTIF(connections!A:A, A452) &gt; 0</f>
        <v>1</v>
      </c>
      <c r="G452" t="s">
        <v>1622</v>
      </c>
      <c r="H452" t="s">
        <v>187</v>
      </c>
      <c r="I452" t="s">
        <v>1623</v>
      </c>
      <c r="J452" s="1" t="s">
        <v>1624</v>
      </c>
    </row>
    <row r="453" spans="1:10" ht="15" customHeight="1" x14ac:dyDescent="0.25">
      <c r="A453" t="s">
        <v>1625</v>
      </c>
      <c r="B453">
        <v>2024</v>
      </c>
      <c r="C453" t="s">
        <v>182</v>
      </c>
      <c r="D453" t="b">
        <f>TRUE()</f>
        <v>1</v>
      </c>
      <c r="E453" t="b">
        <f>COUNTIF(connections!A:A, A453) &gt; 0</f>
        <v>0</v>
      </c>
      <c r="G453" t="s">
        <v>1626</v>
      </c>
    </row>
    <row r="454" spans="1:10" ht="15" customHeight="1" x14ac:dyDescent="0.25">
      <c r="A454" t="s">
        <v>1627</v>
      </c>
      <c r="B454">
        <v>2024</v>
      </c>
      <c r="C454" t="s">
        <v>182</v>
      </c>
      <c r="D454" t="b">
        <f>TRUE()</f>
        <v>1</v>
      </c>
      <c r="E454" t="b">
        <f>COUNTIF(connections!A:A, A454) &gt; 0</f>
        <v>0</v>
      </c>
      <c r="G454" t="s">
        <v>1628</v>
      </c>
      <c r="H454" t="s">
        <v>187</v>
      </c>
      <c r="I454" t="s">
        <v>1629</v>
      </c>
      <c r="J454" s="1" t="s">
        <v>1630</v>
      </c>
    </row>
    <row r="455" spans="1:10" ht="15" customHeight="1" x14ac:dyDescent="0.25">
      <c r="A455" t="s">
        <v>1631</v>
      </c>
      <c r="B455">
        <v>2026</v>
      </c>
      <c r="C455" t="s">
        <v>182</v>
      </c>
      <c r="D455" t="b">
        <f>TRUE()</f>
        <v>1</v>
      </c>
      <c r="E455" t="b">
        <f>COUNTIF(connections!A:A, A455) &gt; 0</f>
        <v>0</v>
      </c>
      <c r="G455" t="s">
        <v>1632</v>
      </c>
    </row>
    <row r="456" spans="1:10" ht="15" customHeight="1" x14ac:dyDescent="0.25">
      <c r="A456" t="s">
        <v>1633</v>
      </c>
      <c r="B456">
        <v>2025</v>
      </c>
      <c r="C456" t="s">
        <v>182</v>
      </c>
      <c r="D456" t="b">
        <f>TRUE()</f>
        <v>1</v>
      </c>
      <c r="E456" t="b">
        <f>COUNTIF(connections!A:A, A456) &gt; 0</f>
        <v>0</v>
      </c>
      <c r="G456" t="s">
        <v>1634</v>
      </c>
      <c r="H456" t="s">
        <v>187</v>
      </c>
      <c r="I456" t="s">
        <v>1635</v>
      </c>
      <c r="J456" s="1" t="s">
        <v>1636</v>
      </c>
    </row>
    <row r="457" spans="1:10" ht="15" customHeight="1" x14ac:dyDescent="0.25">
      <c r="A457" t="s">
        <v>1637</v>
      </c>
      <c r="B457">
        <v>2024</v>
      </c>
      <c r="C457" t="s">
        <v>222</v>
      </c>
      <c r="D457" t="b">
        <f>TRUE()</f>
        <v>1</v>
      </c>
      <c r="E457" t="b">
        <f>COUNTIF(connections!A:A, A457) &gt; 0</f>
        <v>0</v>
      </c>
      <c r="G457" t="s">
        <v>1638</v>
      </c>
      <c r="H457" t="s">
        <v>187</v>
      </c>
      <c r="I457" t="s">
        <v>1639</v>
      </c>
      <c r="J457" s="1" t="s">
        <v>1640</v>
      </c>
    </row>
    <row r="458" spans="1:10" ht="15" customHeight="1" x14ac:dyDescent="0.25">
      <c r="A458" t="s">
        <v>1641</v>
      </c>
      <c r="B458">
        <v>2020</v>
      </c>
      <c r="C458" t="s">
        <v>176</v>
      </c>
      <c r="D458" t="b">
        <f>TRUE()</f>
        <v>1</v>
      </c>
      <c r="E458" t="b">
        <f>COUNTIF(connections!A:A, A458) &gt; 0</f>
        <v>0</v>
      </c>
      <c r="G458" t="s">
        <v>1642</v>
      </c>
      <c r="H458" t="s">
        <v>187</v>
      </c>
      <c r="I458" t="s">
        <v>1643</v>
      </c>
      <c r="J458" s="1" t="s">
        <v>1644</v>
      </c>
    </row>
    <row r="459" spans="1:10" ht="15" customHeight="1" x14ac:dyDescent="0.25">
      <c r="A459" t="s">
        <v>1645</v>
      </c>
      <c r="B459">
        <v>2021</v>
      </c>
      <c r="C459" t="s">
        <v>176</v>
      </c>
      <c r="D459" t="b">
        <v>1</v>
      </c>
      <c r="E459" t="b">
        <f>COUNTIF(connections!A:A, A459) &gt; 0</f>
        <v>0</v>
      </c>
      <c r="G459" t="s">
        <v>1646</v>
      </c>
      <c r="H459" t="s">
        <v>187</v>
      </c>
      <c r="I459" t="s">
        <v>1647</v>
      </c>
      <c r="J459" s="1" t="s">
        <v>1648</v>
      </c>
    </row>
    <row r="460" spans="1:10" ht="15" customHeight="1" x14ac:dyDescent="0.25">
      <c r="A460" t="s">
        <v>1649</v>
      </c>
      <c r="B460">
        <v>2026</v>
      </c>
      <c r="C460" t="s">
        <v>222</v>
      </c>
      <c r="D460" t="b">
        <f>TRUE()</f>
        <v>1</v>
      </c>
      <c r="E460" t="b">
        <f>COUNTIF(connections!A:A, A460) &gt; 0</f>
        <v>0</v>
      </c>
      <c r="F460" t="s">
        <v>529</v>
      </c>
      <c r="G460" t="s">
        <v>1650</v>
      </c>
      <c r="H460" t="s">
        <v>187</v>
      </c>
      <c r="I460" t="s">
        <v>1651</v>
      </c>
      <c r="J460" s="1" t="s">
        <v>1652</v>
      </c>
    </row>
    <row r="461" spans="1:10" ht="15" customHeight="1" x14ac:dyDescent="0.25">
      <c r="A461" t="s">
        <v>1653</v>
      </c>
      <c r="B461">
        <v>2025</v>
      </c>
      <c r="C461" t="s">
        <v>176</v>
      </c>
      <c r="D461" t="b">
        <v>1</v>
      </c>
      <c r="E461" t="b">
        <f>COUNTIF(connections!A:A, A461) &gt; 0</f>
        <v>0</v>
      </c>
      <c r="G461" t="s">
        <v>1654</v>
      </c>
    </row>
    <row r="462" spans="1:10" ht="15" customHeight="1" x14ac:dyDescent="0.25">
      <c r="A462" t="s">
        <v>1655</v>
      </c>
      <c r="B462">
        <v>2024</v>
      </c>
      <c r="C462" t="s">
        <v>222</v>
      </c>
      <c r="D462" t="b">
        <v>1</v>
      </c>
      <c r="E462" t="b">
        <f>COUNTIF(connections!A:A, A462) &gt; 0</f>
        <v>1</v>
      </c>
      <c r="G462" t="s">
        <v>1656</v>
      </c>
      <c r="H462" t="s">
        <v>187</v>
      </c>
      <c r="I462" t="s">
        <v>1657</v>
      </c>
      <c r="J462" s="1" t="s">
        <v>1658</v>
      </c>
    </row>
    <row r="463" spans="1:10" ht="15" customHeight="1" x14ac:dyDescent="0.25">
      <c r="A463" t="s">
        <v>1659</v>
      </c>
      <c r="B463">
        <v>2012</v>
      </c>
      <c r="C463" t="s">
        <v>179</v>
      </c>
      <c r="D463" t="b">
        <f>TRUE()</f>
        <v>1</v>
      </c>
      <c r="E463" t="b">
        <f>COUNTIF(connections!A:A, A463) &gt; 0</f>
        <v>1</v>
      </c>
      <c r="F463" t="s">
        <v>328</v>
      </c>
      <c r="G463" t="s">
        <v>1660</v>
      </c>
    </row>
    <row r="464" spans="1:10" ht="15" customHeight="1" x14ac:dyDescent="0.25">
      <c r="A464" t="s">
        <v>1661</v>
      </c>
      <c r="B464">
        <v>2011</v>
      </c>
      <c r="C464" t="s">
        <v>179</v>
      </c>
      <c r="D464" t="b">
        <f>TRUE()</f>
        <v>1</v>
      </c>
      <c r="E464" t="b">
        <f>COUNTIF(connections!A:A, A464) &gt; 0</f>
        <v>1</v>
      </c>
      <c r="F464" t="s">
        <v>328</v>
      </c>
      <c r="G464" t="s">
        <v>1662</v>
      </c>
    </row>
    <row r="465" spans="1:10" ht="15" customHeight="1" x14ac:dyDescent="0.25">
      <c r="A465" t="s">
        <v>1663</v>
      </c>
      <c r="B465">
        <v>1987</v>
      </c>
      <c r="C465" t="s">
        <v>179</v>
      </c>
      <c r="D465" t="b">
        <v>1</v>
      </c>
      <c r="E465" t="b">
        <f>COUNTIF(connections!A:A, A465) &gt; 0</f>
        <v>0</v>
      </c>
      <c r="G465" t="s">
        <v>1664</v>
      </c>
      <c r="H465" t="s">
        <v>187</v>
      </c>
      <c r="I465" t="s">
        <v>1665</v>
      </c>
    </row>
    <row r="466" spans="1:10" ht="15" customHeight="1" x14ac:dyDescent="0.25">
      <c r="A466" t="s">
        <v>1666</v>
      </c>
      <c r="B466">
        <v>2023</v>
      </c>
      <c r="C466" t="s">
        <v>176</v>
      </c>
      <c r="D466" t="b">
        <f>TRUE()</f>
        <v>1</v>
      </c>
      <c r="E466" t="b">
        <f>COUNTIF(connections!A:A, A466) &gt; 0</f>
        <v>0</v>
      </c>
      <c r="G466" t="s">
        <v>1667</v>
      </c>
      <c r="H466" t="s">
        <v>187</v>
      </c>
      <c r="I466" t="s">
        <v>1668</v>
      </c>
      <c r="J466" s="1" t="s">
        <v>1669</v>
      </c>
    </row>
    <row r="467" spans="1:10" ht="15" customHeight="1" x14ac:dyDescent="0.25">
      <c r="A467" t="s">
        <v>1670</v>
      </c>
      <c r="B467">
        <v>2022</v>
      </c>
      <c r="C467" t="s">
        <v>176</v>
      </c>
      <c r="D467" t="b">
        <f>TRUE()</f>
        <v>1</v>
      </c>
      <c r="E467" t="b">
        <f>COUNTIF(connections!A:A, A467) &gt; 0</f>
        <v>0</v>
      </c>
      <c r="G467" t="s">
        <v>1671</v>
      </c>
    </row>
    <row r="468" spans="1:10" ht="15" customHeight="1" x14ac:dyDescent="0.25">
      <c r="A468" t="s">
        <v>1672</v>
      </c>
      <c r="B468">
        <v>2021</v>
      </c>
      <c r="C468" t="s">
        <v>182</v>
      </c>
      <c r="D468" t="b">
        <f>TRUE()</f>
        <v>1</v>
      </c>
      <c r="E468" t="b">
        <f>COUNTIF(connections!A:A, A468) &gt; 0</f>
        <v>0</v>
      </c>
      <c r="G468" t="s">
        <v>1673</v>
      </c>
      <c r="H468" t="s">
        <v>187</v>
      </c>
      <c r="I468" t="s">
        <v>1674</v>
      </c>
      <c r="J468" s="1" t="s">
        <v>1675</v>
      </c>
    </row>
    <row r="469" spans="1:10" ht="15" customHeight="1" x14ac:dyDescent="0.25">
      <c r="A469" t="s">
        <v>1676</v>
      </c>
      <c r="B469">
        <v>2002</v>
      </c>
      <c r="C469" t="s">
        <v>179</v>
      </c>
      <c r="D469" t="b">
        <f>TRUE()</f>
        <v>1</v>
      </c>
      <c r="E469" t="b">
        <f>COUNTIF(connections!A:A, A469) &gt; 0</f>
        <v>1</v>
      </c>
      <c r="G469" t="s">
        <v>1677</v>
      </c>
      <c r="H469" t="s">
        <v>187</v>
      </c>
      <c r="I469" t="s">
        <v>1678</v>
      </c>
    </row>
    <row r="470" spans="1:10" ht="15" customHeight="1" x14ac:dyDescent="0.25">
      <c r="A470" t="s">
        <v>1679</v>
      </c>
      <c r="B470">
        <v>2003</v>
      </c>
      <c r="C470" t="s">
        <v>179</v>
      </c>
      <c r="D470" t="b">
        <f>TRUE()</f>
        <v>1</v>
      </c>
      <c r="E470" t="b">
        <f>COUNTIF(connections!A:A, A470) &gt; 0</f>
        <v>0</v>
      </c>
      <c r="G470" t="s">
        <v>1680</v>
      </c>
      <c r="H470" t="s">
        <v>187</v>
      </c>
      <c r="I470" t="s">
        <v>1681</v>
      </c>
    </row>
    <row r="471" spans="1:10" ht="15" customHeight="1" x14ac:dyDescent="0.25">
      <c r="A471" t="s">
        <v>1682</v>
      </c>
      <c r="B471">
        <v>2020</v>
      </c>
      <c r="C471" t="s">
        <v>179</v>
      </c>
      <c r="D471" t="b">
        <f>TRUE()</f>
        <v>1</v>
      </c>
      <c r="E471" t="b">
        <f>COUNTIF(connections!A:A, A471) &gt; 0</f>
        <v>1</v>
      </c>
      <c r="G471" t="s">
        <v>1683</v>
      </c>
    </row>
    <row r="472" spans="1:10" ht="15" customHeight="1" x14ac:dyDescent="0.25">
      <c r="A472" t="s">
        <v>1684</v>
      </c>
      <c r="B472">
        <v>2022</v>
      </c>
      <c r="C472" t="s">
        <v>179</v>
      </c>
      <c r="D472" t="b">
        <f>TRUE()</f>
        <v>1</v>
      </c>
      <c r="E472" t="b">
        <f>COUNTIF(connections!A:A, A472) &gt; 0</f>
        <v>0</v>
      </c>
      <c r="G472" t="s">
        <v>1685</v>
      </c>
    </row>
    <row r="473" spans="1:10" ht="15" customHeight="1" x14ac:dyDescent="0.25">
      <c r="A473" t="s">
        <v>1686</v>
      </c>
      <c r="B473">
        <v>2017</v>
      </c>
      <c r="C473" t="s">
        <v>182</v>
      </c>
      <c r="D473" t="b">
        <f>TRUE()</f>
        <v>1</v>
      </c>
      <c r="E473" t="b">
        <f>COUNTIF(connections!A:A, A473) &gt; 0</f>
        <v>1</v>
      </c>
      <c r="G473" t="s">
        <v>1687</v>
      </c>
      <c r="H473" t="s">
        <v>187</v>
      </c>
      <c r="I473" t="s">
        <v>1688</v>
      </c>
      <c r="J473" s="1" t="s">
        <v>1689</v>
      </c>
    </row>
    <row r="474" spans="1:10" ht="15" customHeight="1" x14ac:dyDescent="0.25">
      <c r="A474" t="s">
        <v>1690</v>
      </c>
      <c r="B474">
        <v>2020</v>
      </c>
      <c r="C474" t="s">
        <v>182</v>
      </c>
      <c r="D474" t="b">
        <f>TRUE()</f>
        <v>1</v>
      </c>
      <c r="E474" t="b">
        <f>COUNTIF(connections!A:A, A474) &gt; 0</f>
        <v>1</v>
      </c>
      <c r="G474" t="s">
        <v>1691</v>
      </c>
      <c r="H474" t="s">
        <v>187</v>
      </c>
      <c r="I474" t="s">
        <v>1692</v>
      </c>
      <c r="J474" s="1" t="s">
        <v>1693</v>
      </c>
    </row>
    <row r="475" spans="1:10" ht="15" customHeight="1" x14ac:dyDescent="0.25">
      <c r="A475" t="s">
        <v>1694</v>
      </c>
      <c r="B475">
        <v>2025</v>
      </c>
      <c r="C475" t="s">
        <v>182</v>
      </c>
      <c r="D475" t="b">
        <f>TRUE()</f>
        <v>1</v>
      </c>
      <c r="E475" t="b">
        <f>COUNTIF(connections!A:A, A475) &gt; 0</f>
        <v>0</v>
      </c>
      <c r="G475" t="s">
        <v>1695</v>
      </c>
    </row>
    <row r="476" spans="1:10" ht="15" customHeight="1" x14ac:dyDescent="0.25">
      <c r="A476" t="s">
        <v>1696</v>
      </c>
      <c r="B476">
        <v>2025</v>
      </c>
      <c r="C476" t="s">
        <v>176</v>
      </c>
      <c r="D476" t="b">
        <f>TRUE()</f>
        <v>1</v>
      </c>
      <c r="E476" t="b">
        <f>COUNTIF(connections!A:A, A476) &gt; 0</f>
        <v>0</v>
      </c>
      <c r="G476" t="s">
        <v>1697</v>
      </c>
      <c r="H476" t="s">
        <v>187</v>
      </c>
      <c r="I476" t="s">
        <v>1698</v>
      </c>
      <c r="J476" s="1" t="s">
        <v>1699</v>
      </c>
    </row>
    <row r="477" spans="1:10" ht="15" customHeight="1" x14ac:dyDescent="0.25">
      <c r="A477" t="s">
        <v>1700</v>
      </c>
      <c r="B477">
        <v>2015</v>
      </c>
      <c r="C477" t="s">
        <v>176</v>
      </c>
      <c r="D477" t="b">
        <f>TRUE()</f>
        <v>1</v>
      </c>
      <c r="E477" t="b">
        <f>COUNTIF(connections!A:A, A477) &gt; 0</f>
        <v>0</v>
      </c>
      <c r="G477" t="s">
        <v>1701</v>
      </c>
      <c r="H477" t="s">
        <v>187</v>
      </c>
      <c r="I477" t="s">
        <v>1702</v>
      </c>
      <c r="J477" s="1" t="s">
        <v>1703</v>
      </c>
    </row>
    <row r="478" spans="1:10" ht="15" customHeight="1" x14ac:dyDescent="0.25">
      <c r="A478" t="s">
        <v>1704</v>
      </c>
      <c r="B478">
        <v>2026</v>
      </c>
      <c r="C478" t="s">
        <v>182</v>
      </c>
      <c r="D478" t="b">
        <f>TRUE()</f>
        <v>1</v>
      </c>
      <c r="E478" t="b">
        <f>COUNTIF(connections!A:A, A478) &gt; 0</f>
        <v>0</v>
      </c>
      <c r="G478" t="s">
        <v>1705</v>
      </c>
      <c r="J478" s="10" t="s">
        <v>1706</v>
      </c>
    </row>
    <row r="479" spans="1:10" ht="15" customHeight="1" x14ac:dyDescent="0.25">
      <c r="A479" t="s">
        <v>1707</v>
      </c>
      <c r="B479">
        <v>2016</v>
      </c>
      <c r="C479" t="s">
        <v>176</v>
      </c>
      <c r="D479" t="b">
        <f>FALSE()</f>
        <v>0</v>
      </c>
      <c r="E479" t="b">
        <f>COUNTIF(connections!A:A, A479) &gt; 0</f>
        <v>1</v>
      </c>
      <c r="G479" t="s">
        <v>1708</v>
      </c>
      <c r="H479" t="s">
        <v>187</v>
      </c>
      <c r="I479" t="s">
        <v>1709</v>
      </c>
      <c r="J479" s="1" t="s">
        <v>1710</v>
      </c>
    </row>
    <row r="480" spans="1:10" ht="15" customHeight="1" x14ac:dyDescent="0.25">
      <c r="A480" t="s">
        <v>1711</v>
      </c>
      <c r="B480">
        <v>2024</v>
      </c>
      <c r="C480" t="s">
        <v>176</v>
      </c>
      <c r="D480" t="b">
        <f>TRUE()</f>
        <v>1</v>
      </c>
      <c r="E480" t="b">
        <f>COUNTIF(connections!A:A, A480) &gt; 0</f>
        <v>0</v>
      </c>
      <c r="G480" t="s">
        <v>1712</v>
      </c>
    </row>
    <row r="481" spans="1:10" ht="15" customHeight="1" x14ac:dyDescent="0.25">
      <c r="A481" t="s">
        <v>1713</v>
      </c>
      <c r="B481">
        <v>2018</v>
      </c>
      <c r="C481" t="s">
        <v>176</v>
      </c>
      <c r="D481" t="b">
        <f>TRUE()</f>
        <v>1</v>
      </c>
      <c r="E481" t="b">
        <f>COUNTIF(connections!A:A, A481) &gt; 0</f>
        <v>1</v>
      </c>
      <c r="G481" t="s">
        <v>1714</v>
      </c>
      <c r="H481" t="s">
        <v>187</v>
      </c>
      <c r="I481" t="s">
        <v>1715</v>
      </c>
      <c r="J481" s="1" t="s">
        <v>1716</v>
      </c>
    </row>
    <row r="482" spans="1:10" ht="15" customHeight="1" x14ac:dyDescent="0.25">
      <c r="A482" t="s">
        <v>1717</v>
      </c>
      <c r="B482">
        <v>2025</v>
      </c>
      <c r="C482" t="s">
        <v>176</v>
      </c>
      <c r="D482" t="b">
        <f>TRUE()</f>
        <v>1</v>
      </c>
      <c r="E482" t="b">
        <f>COUNTIF(connections!A:A, A482) &gt; 0</f>
        <v>0</v>
      </c>
      <c r="G482" t="s">
        <v>1718</v>
      </c>
    </row>
    <row r="483" spans="1:10" ht="15" customHeight="1" x14ac:dyDescent="0.25">
      <c r="A483" t="s">
        <v>1719</v>
      </c>
      <c r="B483">
        <v>2023</v>
      </c>
      <c r="C483" t="s">
        <v>179</v>
      </c>
      <c r="D483" t="b">
        <f>TRUE()</f>
        <v>1</v>
      </c>
      <c r="E483" t="b">
        <f>COUNTIF(connections!A:A, A483) &gt; 0</f>
        <v>0</v>
      </c>
      <c r="G483" t="s">
        <v>1720</v>
      </c>
      <c r="H483" t="s">
        <v>187</v>
      </c>
      <c r="I483" t="s">
        <v>1721</v>
      </c>
      <c r="J483" s="1" t="s">
        <v>1722</v>
      </c>
    </row>
    <row r="484" spans="1:10" ht="15" customHeight="1" x14ac:dyDescent="0.25">
      <c r="A484" t="s">
        <v>1723</v>
      </c>
      <c r="B484">
        <v>2026</v>
      </c>
      <c r="C484" t="s">
        <v>176</v>
      </c>
      <c r="D484" t="b">
        <f>TRUE()</f>
        <v>1</v>
      </c>
      <c r="E484" t="b">
        <f>COUNTIF(connections!A:A, A484) &gt; 0</f>
        <v>0</v>
      </c>
      <c r="G484" t="s">
        <v>1724</v>
      </c>
    </row>
    <row r="485" spans="1:10" ht="15" customHeight="1" x14ac:dyDescent="0.25">
      <c r="A485" t="s">
        <v>1725</v>
      </c>
      <c r="B485">
        <v>1983</v>
      </c>
      <c r="C485" t="s">
        <v>179</v>
      </c>
      <c r="D485" t="b">
        <f>TRUE()</f>
        <v>1</v>
      </c>
      <c r="E485" t="b">
        <f>COUNTIF(connections!A:A, A485) &gt; 0</f>
        <v>1</v>
      </c>
      <c r="G485" t="s">
        <v>1726</v>
      </c>
      <c r="H485" t="s">
        <v>187</v>
      </c>
      <c r="I485" t="s">
        <v>1727</v>
      </c>
    </row>
    <row r="486" spans="1:10" ht="15" customHeight="1" x14ac:dyDescent="0.25">
      <c r="A486" t="s">
        <v>1728</v>
      </c>
      <c r="B486">
        <v>2024</v>
      </c>
      <c r="C486" t="s">
        <v>182</v>
      </c>
      <c r="D486" t="b">
        <f>TRUE()</f>
        <v>1</v>
      </c>
      <c r="E486" t="b">
        <f>COUNTIF(connections!A:A, A486) &gt; 0</f>
        <v>0</v>
      </c>
      <c r="F486" t="s">
        <v>568</v>
      </c>
      <c r="G486" t="s">
        <v>1729</v>
      </c>
      <c r="H486" t="s">
        <v>187</v>
      </c>
      <c r="I486" t="s">
        <v>1730</v>
      </c>
      <c r="J486" s="1" t="s">
        <v>1731</v>
      </c>
    </row>
    <row r="487" spans="1:10" ht="15" customHeight="1" x14ac:dyDescent="0.25">
      <c r="A487" t="s">
        <v>1732</v>
      </c>
      <c r="B487">
        <v>2025</v>
      </c>
      <c r="C487" t="s">
        <v>176</v>
      </c>
      <c r="D487" t="b">
        <f>FALSE()</f>
        <v>0</v>
      </c>
      <c r="E487" t="b">
        <f>COUNTIF(connections!A:A, A487) &gt; 0</f>
        <v>0</v>
      </c>
      <c r="G487" t="s">
        <v>1733</v>
      </c>
    </row>
    <row r="488" spans="1:10" ht="15" customHeight="1" x14ac:dyDescent="0.25">
      <c r="A488" t="s">
        <v>1734</v>
      </c>
      <c r="B488">
        <v>2023</v>
      </c>
      <c r="C488" t="s">
        <v>176</v>
      </c>
      <c r="D488" t="b">
        <f>TRUE()</f>
        <v>1</v>
      </c>
      <c r="E488" t="b">
        <f>COUNTIF(connections!A:A, A488) &gt; 0</f>
        <v>0</v>
      </c>
      <c r="G488" t="s">
        <v>1735</v>
      </c>
      <c r="H488" t="s">
        <v>187</v>
      </c>
      <c r="I488" t="s">
        <v>1736</v>
      </c>
      <c r="J488" s="1" t="s">
        <v>1737</v>
      </c>
    </row>
    <row r="489" spans="1:10" ht="15" customHeight="1" x14ac:dyDescent="0.25">
      <c r="A489" t="s">
        <v>1738</v>
      </c>
      <c r="B489">
        <v>2018</v>
      </c>
      <c r="C489" t="s">
        <v>176</v>
      </c>
      <c r="D489" t="b">
        <f>TRUE()</f>
        <v>1</v>
      </c>
      <c r="E489" t="b">
        <f>COUNTIF(connections!A:A, A489) &gt; 0</f>
        <v>1</v>
      </c>
      <c r="F489" t="s">
        <v>277</v>
      </c>
      <c r="G489" t="s">
        <v>1739</v>
      </c>
      <c r="H489" t="s">
        <v>187</v>
      </c>
      <c r="I489" t="s">
        <v>1740</v>
      </c>
      <c r="J489" s="1" t="s">
        <v>1741</v>
      </c>
    </row>
    <row r="490" spans="1:10" ht="15" customHeight="1" x14ac:dyDescent="0.25">
      <c r="A490" t="s">
        <v>1742</v>
      </c>
      <c r="B490">
        <v>2022</v>
      </c>
      <c r="C490" t="s">
        <v>176</v>
      </c>
      <c r="D490" t="b">
        <f>TRUE()</f>
        <v>1</v>
      </c>
      <c r="E490" t="b">
        <f>COUNTIF(connections!A:A, A490) &gt; 0</f>
        <v>0</v>
      </c>
      <c r="F490" t="s">
        <v>277</v>
      </c>
      <c r="G490" t="s">
        <v>1743</v>
      </c>
      <c r="H490" t="s">
        <v>187</v>
      </c>
      <c r="I490" t="s">
        <v>1744</v>
      </c>
      <c r="J490" s="1" t="s">
        <v>1745</v>
      </c>
    </row>
    <row r="491" spans="1:10" ht="15" customHeight="1" x14ac:dyDescent="0.25">
      <c r="A491" t="s">
        <v>1746</v>
      </c>
      <c r="B491">
        <v>2011</v>
      </c>
      <c r="C491" t="s">
        <v>179</v>
      </c>
      <c r="D491" t="b">
        <f>TRUE()</f>
        <v>1</v>
      </c>
      <c r="E491" t="b">
        <f>COUNTIF(connections!A:A, A491) &gt; 0</f>
        <v>1</v>
      </c>
      <c r="F491" t="s">
        <v>328</v>
      </c>
      <c r="G491" t="s">
        <v>1747</v>
      </c>
    </row>
    <row r="492" spans="1:10" ht="16.5" customHeight="1" x14ac:dyDescent="0.25">
      <c r="A492" t="s">
        <v>1748</v>
      </c>
      <c r="B492">
        <v>2023</v>
      </c>
      <c r="C492" t="s">
        <v>176</v>
      </c>
      <c r="D492" t="b">
        <f>TRUE()</f>
        <v>1</v>
      </c>
      <c r="E492" t="b">
        <f>COUNTIF(connections!A:A, A492) &gt; 0</f>
        <v>0</v>
      </c>
      <c r="G492" t="s">
        <v>1749</v>
      </c>
      <c r="H492" t="s">
        <v>187</v>
      </c>
      <c r="I492" t="s">
        <v>1750</v>
      </c>
      <c r="J492" s="1" t="s">
        <v>1751</v>
      </c>
    </row>
    <row r="493" spans="1:10" ht="15" customHeight="1" x14ac:dyDescent="0.25">
      <c r="A493" t="s">
        <v>1752</v>
      </c>
      <c r="B493">
        <v>2021</v>
      </c>
      <c r="C493" t="s">
        <v>176</v>
      </c>
      <c r="D493" t="b">
        <f>TRUE()</f>
        <v>1</v>
      </c>
      <c r="E493" t="b">
        <f>COUNTIF(connections!A:A, A493) &gt; 0</f>
        <v>1</v>
      </c>
      <c r="G493" t="s">
        <v>1753</v>
      </c>
      <c r="H493" t="s">
        <v>187</v>
      </c>
      <c r="I493" t="s">
        <v>1754</v>
      </c>
      <c r="J493" s="1" t="s">
        <v>1755</v>
      </c>
    </row>
    <row r="494" spans="1:10" ht="15" customHeight="1" x14ac:dyDescent="0.25">
      <c r="A494" t="s">
        <v>1756</v>
      </c>
      <c r="B494">
        <v>2025</v>
      </c>
      <c r="C494" t="s">
        <v>182</v>
      </c>
      <c r="D494" t="b">
        <f>TRUE()</f>
        <v>1</v>
      </c>
      <c r="E494" t="b">
        <f>COUNTIF(connections!A:A, A494) &gt; 0</f>
        <v>0</v>
      </c>
      <c r="G494" t="s">
        <v>1757</v>
      </c>
    </row>
    <row r="495" spans="1:10" ht="15" customHeight="1" x14ac:dyDescent="0.25">
      <c r="A495" t="s">
        <v>1758</v>
      </c>
      <c r="B495">
        <v>2016</v>
      </c>
      <c r="C495" t="s">
        <v>179</v>
      </c>
      <c r="D495" t="b">
        <f>TRUE()</f>
        <v>1</v>
      </c>
      <c r="E495" t="b">
        <f>COUNTIF(connections!A:A, A495) &gt; 0</f>
        <v>0</v>
      </c>
      <c r="G495" t="s">
        <v>1759</v>
      </c>
      <c r="H495" t="s">
        <v>187</v>
      </c>
      <c r="I495" t="s">
        <v>7825</v>
      </c>
      <c r="J495" s="10" t="s">
        <v>1760</v>
      </c>
    </row>
    <row r="496" spans="1:10" ht="15" customHeight="1" x14ac:dyDescent="0.25">
      <c r="A496" t="s">
        <v>1761</v>
      </c>
      <c r="B496">
        <v>1995</v>
      </c>
      <c r="C496" t="s">
        <v>179</v>
      </c>
      <c r="D496" t="b">
        <f>TRUE()</f>
        <v>1</v>
      </c>
      <c r="E496" t="b">
        <f>COUNTIF(connections!A:A, A496) &gt; 0</f>
        <v>1</v>
      </c>
      <c r="G496" t="s">
        <v>1762</v>
      </c>
      <c r="H496" t="s">
        <v>187</v>
      </c>
      <c r="I496" t="s">
        <v>1763</v>
      </c>
    </row>
    <row r="497" spans="1:10" ht="15" customHeight="1" x14ac:dyDescent="0.25">
      <c r="A497" t="s">
        <v>1764</v>
      </c>
      <c r="B497">
        <v>2024</v>
      </c>
      <c r="C497" t="s">
        <v>176</v>
      </c>
      <c r="D497" t="b">
        <f>TRUE()</f>
        <v>1</v>
      </c>
      <c r="E497" t="b">
        <f>COUNTIF(connections!A:A, A497) &gt; 0</f>
        <v>0</v>
      </c>
      <c r="G497" t="s">
        <v>1765</v>
      </c>
      <c r="H497" t="s">
        <v>187</v>
      </c>
      <c r="I497" t="s">
        <v>1766</v>
      </c>
      <c r="J497" s="1" t="s">
        <v>1767</v>
      </c>
    </row>
    <row r="498" spans="1:10" ht="15" customHeight="1" x14ac:dyDescent="0.25">
      <c r="A498" t="s">
        <v>1768</v>
      </c>
      <c r="B498">
        <v>2022</v>
      </c>
      <c r="C498" t="s">
        <v>182</v>
      </c>
      <c r="D498" t="b">
        <f>TRUE()</f>
        <v>1</v>
      </c>
      <c r="E498" t="b">
        <f>COUNTIF(connections!A:A, A498) &gt; 0</f>
        <v>0</v>
      </c>
      <c r="G498" t="s">
        <v>1769</v>
      </c>
      <c r="J498" s="10" t="s">
        <v>1770</v>
      </c>
    </row>
    <row r="499" spans="1:10" ht="15" customHeight="1" x14ac:dyDescent="0.25">
      <c r="A499" t="s">
        <v>1771</v>
      </c>
      <c r="B499">
        <v>2022</v>
      </c>
      <c r="C499" t="s">
        <v>176</v>
      </c>
      <c r="D499" t="b">
        <f>TRUE()</f>
        <v>1</v>
      </c>
      <c r="E499" t="b">
        <f>COUNTIF(connections!A:A, A499) &gt; 0</f>
        <v>0</v>
      </c>
      <c r="F499" t="s">
        <v>458</v>
      </c>
      <c r="G499" t="s">
        <v>1772</v>
      </c>
      <c r="H499" t="s">
        <v>187</v>
      </c>
      <c r="I499" t="s">
        <v>1773</v>
      </c>
      <c r="J499" s="1" t="s">
        <v>1774</v>
      </c>
    </row>
    <row r="500" spans="1:10" ht="15" customHeight="1" x14ac:dyDescent="0.25">
      <c r="A500" t="s">
        <v>1775</v>
      </c>
      <c r="B500">
        <v>2024</v>
      </c>
      <c r="C500" t="s">
        <v>222</v>
      </c>
      <c r="D500" t="b">
        <f>FALSE()</f>
        <v>0</v>
      </c>
      <c r="E500" t="b">
        <f>COUNTIF(connections!A:A, A500) &gt; 0</f>
        <v>0</v>
      </c>
      <c r="F500" t="s">
        <v>458</v>
      </c>
      <c r="G500" t="s">
        <v>1776</v>
      </c>
      <c r="H500" t="s">
        <v>187</v>
      </c>
      <c r="I500" t="s">
        <v>1777</v>
      </c>
      <c r="J500" s="1" t="s">
        <v>1778</v>
      </c>
    </row>
    <row r="501" spans="1:10" ht="15" customHeight="1" x14ac:dyDescent="0.25">
      <c r="A501" t="s">
        <v>1779</v>
      </c>
      <c r="B501">
        <v>2022</v>
      </c>
      <c r="C501" t="s">
        <v>176</v>
      </c>
      <c r="D501" t="b">
        <f>TRUE()</f>
        <v>1</v>
      </c>
      <c r="E501" t="b">
        <f>COUNTIF(connections!A:A, A501) &gt; 0</f>
        <v>1</v>
      </c>
      <c r="F501" t="s">
        <v>458</v>
      </c>
      <c r="G501" t="s">
        <v>1780</v>
      </c>
      <c r="H501" t="s">
        <v>187</v>
      </c>
      <c r="I501" t="s">
        <v>1781</v>
      </c>
      <c r="J501" s="1" t="s">
        <v>1782</v>
      </c>
    </row>
    <row r="502" spans="1:10" ht="15" customHeight="1" x14ac:dyDescent="0.25">
      <c r="A502" t="s">
        <v>1783</v>
      </c>
      <c r="B502">
        <v>2024</v>
      </c>
      <c r="C502" t="s">
        <v>176</v>
      </c>
      <c r="D502" t="b">
        <f>TRUE()</f>
        <v>1</v>
      </c>
      <c r="E502" t="b">
        <f>COUNTIF(connections!A:A, A502) &gt; 0</f>
        <v>0</v>
      </c>
      <c r="F502" t="s">
        <v>458</v>
      </c>
      <c r="G502" t="s">
        <v>1784</v>
      </c>
      <c r="H502" t="s">
        <v>187</v>
      </c>
      <c r="I502" t="s">
        <v>1785</v>
      </c>
      <c r="J502" s="1" t="s">
        <v>1786</v>
      </c>
    </row>
    <row r="503" spans="1:10" ht="15" customHeight="1" x14ac:dyDescent="0.25">
      <c r="A503" t="s">
        <v>1787</v>
      </c>
      <c r="B503">
        <v>2019</v>
      </c>
      <c r="C503" t="s">
        <v>176</v>
      </c>
      <c r="D503" t="b">
        <f>TRUE()</f>
        <v>1</v>
      </c>
      <c r="E503" t="b">
        <f>COUNTIF(connections!A:A, A503) &gt; 0</f>
        <v>1</v>
      </c>
      <c r="G503" t="s">
        <v>1788</v>
      </c>
      <c r="H503" t="s">
        <v>187</v>
      </c>
      <c r="I503" t="s">
        <v>1789</v>
      </c>
      <c r="J503" s="1" t="s">
        <v>1790</v>
      </c>
    </row>
    <row r="504" spans="1:10" ht="15" customHeight="1" x14ac:dyDescent="0.25">
      <c r="A504" t="s">
        <v>1791</v>
      </c>
      <c r="B504">
        <v>2025</v>
      </c>
      <c r="C504" t="s">
        <v>176</v>
      </c>
      <c r="D504" t="b">
        <f>TRUE()</f>
        <v>1</v>
      </c>
      <c r="E504" t="b">
        <f>COUNTIF(connections!A:A, A504) &gt; 0</f>
        <v>0</v>
      </c>
      <c r="G504" t="s">
        <v>1792</v>
      </c>
    </row>
    <row r="505" spans="1:10" ht="15" customHeight="1" x14ac:dyDescent="0.25">
      <c r="A505" t="s">
        <v>1793</v>
      </c>
      <c r="B505">
        <v>2022</v>
      </c>
      <c r="C505" t="s">
        <v>176</v>
      </c>
      <c r="D505" t="b">
        <f>TRUE()</f>
        <v>1</v>
      </c>
      <c r="E505" t="b">
        <f>COUNTIF(connections!A:A, A505) &gt; 0</f>
        <v>0</v>
      </c>
      <c r="G505" t="s">
        <v>1794</v>
      </c>
    </row>
    <row r="506" spans="1:10" ht="15" customHeight="1" x14ac:dyDescent="0.25">
      <c r="A506" t="s">
        <v>1795</v>
      </c>
      <c r="B506">
        <v>1987</v>
      </c>
      <c r="C506" t="s">
        <v>179</v>
      </c>
      <c r="D506" t="b">
        <f>TRUE()</f>
        <v>1</v>
      </c>
      <c r="E506" t="b">
        <f>COUNTIF(connections!A:A, A506) &gt; 0</f>
        <v>1</v>
      </c>
      <c r="G506" t="s">
        <v>1796</v>
      </c>
      <c r="H506" t="s">
        <v>187</v>
      </c>
      <c r="I506" t="s">
        <v>1797</v>
      </c>
    </row>
    <row r="507" spans="1:10" ht="15" customHeight="1" x14ac:dyDescent="0.25">
      <c r="A507" t="s">
        <v>1798</v>
      </c>
      <c r="B507">
        <v>2025</v>
      </c>
      <c r="C507" t="s">
        <v>176</v>
      </c>
      <c r="D507" t="b">
        <f>TRUE()</f>
        <v>1</v>
      </c>
      <c r="E507" t="b">
        <f>COUNTIF(connections!A:A, A507) &gt; 0</f>
        <v>0</v>
      </c>
      <c r="G507" t="s">
        <v>1799</v>
      </c>
      <c r="J507" s="10" t="s">
        <v>1800</v>
      </c>
    </row>
    <row r="508" spans="1:10" ht="15" customHeight="1" x14ac:dyDescent="0.25">
      <c r="A508" t="s">
        <v>1801</v>
      </c>
      <c r="B508">
        <v>2021</v>
      </c>
      <c r="C508" t="s">
        <v>176</v>
      </c>
      <c r="D508" t="b">
        <f>TRUE()</f>
        <v>1</v>
      </c>
      <c r="E508" t="b">
        <f>COUNTIF(connections!A:A, A508) &gt; 0</f>
        <v>0</v>
      </c>
      <c r="G508" t="s">
        <v>1802</v>
      </c>
      <c r="J508" s="10" t="s">
        <v>1803</v>
      </c>
    </row>
    <row r="509" spans="1:10" ht="15" customHeight="1" x14ac:dyDescent="0.25">
      <c r="A509" t="s">
        <v>1804</v>
      </c>
      <c r="B509">
        <v>2025</v>
      </c>
      <c r="C509" t="s">
        <v>176</v>
      </c>
      <c r="D509" t="b">
        <f>TRUE()</f>
        <v>1</v>
      </c>
      <c r="E509" t="b">
        <f>COUNTIF(connections!A:A, A509) &gt; 0</f>
        <v>0</v>
      </c>
      <c r="F509" t="s">
        <v>1805</v>
      </c>
      <c r="G509" t="s">
        <v>1806</v>
      </c>
      <c r="H509" t="s">
        <v>187</v>
      </c>
      <c r="I509" t="s">
        <v>1807</v>
      </c>
      <c r="J509" s="1" t="s">
        <v>1808</v>
      </c>
    </row>
    <row r="510" spans="1:10" ht="15" customHeight="1" x14ac:dyDescent="0.25">
      <c r="A510" t="s">
        <v>1809</v>
      </c>
      <c r="B510">
        <v>2024</v>
      </c>
      <c r="C510" t="s">
        <v>176</v>
      </c>
      <c r="D510" t="b">
        <f>TRUE()</f>
        <v>1</v>
      </c>
      <c r="E510" t="b">
        <f>COUNTIF(connections!A:A, A510) &gt; 0</f>
        <v>0</v>
      </c>
      <c r="G510" t="s">
        <v>1810</v>
      </c>
    </row>
    <row r="511" spans="1:10" ht="15" customHeight="1" x14ac:dyDescent="0.25">
      <c r="A511" t="s">
        <v>1811</v>
      </c>
      <c r="B511">
        <v>2026</v>
      </c>
      <c r="C511" t="s">
        <v>182</v>
      </c>
      <c r="D511" t="b">
        <f>TRUE()</f>
        <v>1</v>
      </c>
      <c r="E511" t="b">
        <f>COUNTIF(connections!A:A, A511) &gt; 0</f>
        <v>0</v>
      </c>
      <c r="G511" t="s">
        <v>1812</v>
      </c>
    </row>
    <row r="512" spans="1:10" ht="15" customHeight="1" x14ac:dyDescent="0.25">
      <c r="A512" t="s">
        <v>1813</v>
      </c>
      <c r="B512">
        <v>2024</v>
      </c>
      <c r="C512" t="s">
        <v>222</v>
      </c>
      <c r="D512" t="b">
        <f>TRUE()</f>
        <v>1</v>
      </c>
      <c r="E512" t="b">
        <f>COUNTIF(connections!A:A, A512) &gt; 0</f>
        <v>1</v>
      </c>
      <c r="G512" t="s">
        <v>1814</v>
      </c>
      <c r="H512" t="s">
        <v>187</v>
      </c>
      <c r="I512" t="s">
        <v>1815</v>
      </c>
      <c r="J512" s="10" t="s">
        <v>1816</v>
      </c>
    </row>
    <row r="513" spans="1:10" ht="15" customHeight="1" x14ac:dyDescent="0.25">
      <c r="A513" t="s">
        <v>1817</v>
      </c>
      <c r="B513">
        <v>2019</v>
      </c>
      <c r="C513" t="s">
        <v>176</v>
      </c>
      <c r="D513" t="b">
        <f>TRUE()</f>
        <v>1</v>
      </c>
      <c r="E513" t="b">
        <f>COUNTIF(connections!A:A, A513) &gt; 0</f>
        <v>1</v>
      </c>
      <c r="G513" t="s">
        <v>1818</v>
      </c>
      <c r="H513" t="s">
        <v>187</v>
      </c>
      <c r="I513" t="s">
        <v>1819</v>
      </c>
      <c r="J513" s="1" t="s">
        <v>1820</v>
      </c>
    </row>
    <row r="514" spans="1:10" ht="15" customHeight="1" x14ac:dyDescent="0.25">
      <c r="A514" t="s">
        <v>1821</v>
      </c>
      <c r="B514">
        <v>2022</v>
      </c>
      <c r="C514" t="s">
        <v>176</v>
      </c>
      <c r="D514" t="b">
        <f>TRUE()</f>
        <v>1</v>
      </c>
      <c r="E514" t="b">
        <f>COUNTIF(connections!A:A, A514) &gt; 0</f>
        <v>0</v>
      </c>
      <c r="G514" t="s">
        <v>1822</v>
      </c>
      <c r="H514" t="s">
        <v>187</v>
      </c>
      <c r="I514" t="s">
        <v>1823</v>
      </c>
      <c r="J514" s="1" t="s">
        <v>1824</v>
      </c>
    </row>
    <row r="515" spans="1:10" ht="15" customHeight="1" x14ac:dyDescent="0.25">
      <c r="A515" t="s">
        <v>1825</v>
      </c>
      <c r="B515">
        <v>2025</v>
      </c>
      <c r="C515" t="s">
        <v>176</v>
      </c>
      <c r="D515" t="b">
        <f>TRUE()</f>
        <v>1</v>
      </c>
      <c r="E515" t="b">
        <f>COUNTIF(connections!A:A, A515) &gt; 0</f>
        <v>0</v>
      </c>
      <c r="G515" t="s">
        <v>1826</v>
      </c>
      <c r="H515" t="s">
        <v>187</v>
      </c>
      <c r="I515" t="s">
        <v>1827</v>
      </c>
      <c r="J515" s="1" t="s">
        <v>1828</v>
      </c>
    </row>
    <row r="516" spans="1:10" ht="15" customHeight="1" x14ac:dyDescent="0.25">
      <c r="A516" t="s">
        <v>1829</v>
      </c>
      <c r="B516">
        <v>2023</v>
      </c>
      <c r="C516" t="s">
        <v>176</v>
      </c>
      <c r="D516" t="b">
        <f>TRUE()</f>
        <v>1</v>
      </c>
      <c r="E516" t="b">
        <f>COUNTIF(connections!A:A, A516) &gt; 0</f>
        <v>0</v>
      </c>
      <c r="G516" t="s">
        <v>1830</v>
      </c>
      <c r="H516" t="s">
        <v>187</v>
      </c>
      <c r="I516" t="s">
        <v>1831</v>
      </c>
      <c r="J516" s="1" t="s">
        <v>1832</v>
      </c>
    </row>
    <row r="517" spans="1:10" ht="15" customHeight="1" x14ac:dyDescent="0.25">
      <c r="A517" t="s">
        <v>1833</v>
      </c>
      <c r="B517">
        <v>2025</v>
      </c>
      <c r="C517" t="s">
        <v>222</v>
      </c>
      <c r="D517" t="b">
        <f>TRUE()</f>
        <v>1</v>
      </c>
      <c r="E517" t="b">
        <f>COUNTIF(connections!A:A, A517) &gt; 0</f>
        <v>0</v>
      </c>
      <c r="G517" t="s">
        <v>1834</v>
      </c>
      <c r="H517" t="s">
        <v>187</v>
      </c>
      <c r="I517" t="s">
        <v>1835</v>
      </c>
      <c r="J517" s="1" t="s">
        <v>1836</v>
      </c>
    </row>
    <row r="518" spans="1:10" ht="15" customHeight="1" x14ac:dyDescent="0.25">
      <c r="A518" t="s">
        <v>1837</v>
      </c>
      <c r="B518">
        <v>2022</v>
      </c>
      <c r="C518" t="s">
        <v>176</v>
      </c>
      <c r="D518" t="b">
        <f>TRUE()</f>
        <v>1</v>
      </c>
      <c r="E518" t="b">
        <f>COUNTIF(connections!A:A, A518) &gt; 0</f>
        <v>0</v>
      </c>
      <c r="G518" t="s">
        <v>1838</v>
      </c>
      <c r="H518" t="s">
        <v>187</v>
      </c>
      <c r="I518" t="s">
        <v>1839</v>
      </c>
      <c r="J518" s="1" t="s">
        <v>1840</v>
      </c>
    </row>
    <row r="519" spans="1:10" ht="15" customHeight="1" x14ac:dyDescent="0.25">
      <c r="A519" t="s">
        <v>1841</v>
      </c>
      <c r="B519">
        <v>2025</v>
      </c>
      <c r="C519" t="s">
        <v>222</v>
      </c>
      <c r="D519" t="b">
        <f>FALSE()</f>
        <v>0</v>
      </c>
      <c r="E519" t="b">
        <f>COUNTIF(connections!A:A, A519) &gt; 0</f>
        <v>0</v>
      </c>
      <c r="F519" t="s">
        <v>506</v>
      </c>
      <c r="G519" t="s">
        <v>1842</v>
      </c>
    </row>
    <row r="520" spans="1:10" ht="15" customHeight="1" x14ac:dyDescent="0.25">
      <c r="A520" t="s">
        <v>1843</v>
      </c>
      <c r="B520">
        <v>2019</v>
      </c>
      <c r="C520" t="s">
        <v>176</v>
      </c>
      <c r="D520" t="b">
        <f>TRUE()</f>
        <v>1</v>
      </c>
      <c r="E520" t="b">
        <f>COUNTIF(connections!A:A, A520) &gt; 0</f>
        <v>1</v>
      </c>
      <c r="F520" t="s">
        <v>274</v>
      </c>
      <c r="G520" t="s">
        <v>1844</v>
      </c>
      <c r="H520" t="s">
        <v>187</v>
      </c>
      <c r="I520" t="s">
        <v>1845</v>
      </c>
      <c r="J520" s="1" t="s">
        <v>1846</v>
      </c>
    </row>
    <row r="521" spans="1:10" ht="15" customHeight="1" x14ac:dyDescent="0.25">
      <c r="A521" t="s">
        <v>1847</v>
      </c>
      <c r="B521">
        <v>2019</v>
      </c>
      <c r="C521" t="s">
        <v>182</v>
      </c>
      <c r="D521" t="b">
        <f>TRUE()</f>
        <v>1</v>
      </c>
      <c r="E521" t="b">
        <f>COUNTIF(connections!A:A, A521) &gt; 0</f>
        <v>0</v>
      </c>
      <c r="G521" t="s">
        <v>1848</v>
      </c>
      <c r="H521" t="s">
        <v>187</v>
      </c>
      <c r="I521" t="s">
        <v>1849</v>
      </c>
      <c r="J521" s="1" t="s">
        <v>1850</v>
      </c>
    </row>
    <row r="522" spans="1:10" ht="15" customHeight="1" x14ac:dyDescent="0.25">
      <c r="A522" t="s">
        <v>1851</v>
      </c>
      <c r="B522">
        <v>2024</v>
      </c>
      <c r="C522" t="s">
        <v>222</v>
      </c>
      <c r="D522" t="b">
        <f>TRUE()</f>
        <v>1</v>
      </c>
      <c r="E522" t="b">
        <f>COUNTIF(connections!A:A, A522) &gt; 0</f>
        <v>1</v>
      </c>
      <c r="G522" t="s">
        <v>1852</v>
      </c>
      <c r="H522" t="s">
        <v>187</v>
      </c>
      <c r="I522" t="s">
        <v>1853</v>
      </c>
      <c r="J522" s="1" t="s">
        <v>1854</v>
      </c>
    </row>
    <row r="523" spans="1:10" ht="15" customHeight="1" x14ac:dyDescent="0.25">
      <c r="A523" t="s">
        <v>1855</v>
      </c>
      <c r="B523">
        <v>2015</v>
      </c>
      <c r="C523" t="s">
        <v>176</v>
      </c>
      <c r="D523" t="b">
        <f>TRUE()</f>
        <v>1</v>
      </c>
      <c r="E523" t="b">
        <f>COUNTIF(connections!A:A, A523) &gt; 0</f>
        <v>1</v>
      </c>
      <c r="G523" t="s">
        <v>1856</v>
      </c>
      <c r="H523" t="s">
        <v>187</v>
      </c>
      <c r="I523" t="s">
        <v>1857</v>
      </c>
      <c r="J523" s="1" t="s">
        <v>1858</v>
      </c>
    </row>
    <row r="524" spans="1:10" ht="15" customHeight="1" x14ac:dyDescent="0.25">
      <c r="A524" t="s">
        <v>1859</v>
      </c>
      <c r="B524">
        <v>2025</v>
      </c>
      <c r="C524" t="s">
        <v>176</v>
      </c>
      <c r="D524" t="b">
        <f>TRUE()</f>
        <v>1</v>
      </c>
      <c r="E524" t="b">
        <f>COUNTIF(connections!A:A, A524) &gt; 0</f>
        <v>0</v>
      </c>
      <c r="G524" t="s">
        <v>1860</v>
      </c>
      <c r="H524" t="s">
        <v>187</v>
      </c>
      <c r="I524" t="s">
        <v>1861</v>
      </c>
      <c r="J524" s="1" t="s">
        <v>1862</v>
      </c>
    </row>
    <row r="525" spans="1:10" ht="15" customHeight="1" x14ac:dyDescent="0.25">
      <c r="A525" t="s">
        <v>1863</v>
      </c>
      <c r="B525">
        <v>2026</v>
      </c>
      <c r="C525" t="s">
        <v>222</v>
      </c>
      <c r="D525" t="b">
        <f>TRUE()</f>
        <v>1</v>
      </c>
      <c r="E525" t="b">
        <f>COUNTIF(connections!A:A, A525) &gt; 0</f>
        <v>1</v>
      </c>
      <c r="G525" t="s">
        <v>1864</v>
      </c>
    </row>
    <row r="526" spans="1:10" ht="15" customHeight="1" x14ac:dyDescent="0.25">
      <c r="A526" t="s">
        <v>1865</v>
      </c>
      <c r="B526">
        <v>2023</v>
      </c>
      <c r="C526" t="s">
        <v>176</v>
      </c>
      <c r="D526" t="b">
        <f>TRUE()</f>
        <v>1</v>
      </c>
      <c r="E526" t="b">
        <f>COUNTIF(connections!A:A, A526) &gt; 0</f>
        <v>0</v>
      </c>
      <c r="G526" t="s">
        <v>1866</v>
      </c>
    </row>
    <row r="527" spans="1:10" ht="15" customHeight="1" x14ac:dyDescent="0.25">
      <c r="A527" t="s">
        <v>1867</v>
      </c>
      <c r="B527">
        <v>2021</v>
      </c>
      <c r="C527" t="s">
        <v>182</v>
      </c>
      <c r="D527" t="b">
        <v>1</v>
      </c>
      <c r="E527" t="b">
        <f>COUNTIF(connections!A:A, A527) &gt; 0</f>
        <v>0</v>
      </c>
      <c r="G527" t="s">
        <v>1868</v>
      </c>
      <c r="H527" t="s">
        <v>187</v>
      </c>
      <c r="I527" t="s">
        <v>1869</v>
      </c>
      <c r="J527" s="10" t="s">
        <v>1870</v>
      </c>
    </row>
    <row r="528" spans="1:10" ht="15" customHeight="1" x14ac:dyDescent="0.25">
      <c r="A528" t="s">
        <v>1871</v>
      </c>
      <c r="B528">
        <v>2018</v>
      </c>
      <c r="C528" t="s">
        <v>176</v>
      </c>
      <c r="D528" t="b">
        <f>FALSE()</f>
        <v>0</v>
      </c>
      <c r="E528" t="b">
        <f>COUNTIF(connections!A:A, A528) &gt; 0</f>
        <v>0</v>
      </c>
      <c r="G528" t="s">
        <v>1872</v>
      </c>
      <c r="H528" t="s">
        <v>187</v>
      </c>
      <c r="I528" t="s">
        <v>1873</v>
      </c>
      <c r="J528" s="1" t="s">
        <v>1874</v>
      </c>
    </row>
    <row r="529" spans="1:10" ht="15" customHeight="1" x14ac:dyDescent="0.25">
      <c r="A529" t="s">
        <v>1875</v>
      </c>
      <c r="B529">
        <v>2026</v>
      </c>
      <c r="C529" t="s">
        <v>176</v>
      </c>
      <c r="D529" t="b">
        <f>TRUE()</f>
        <v>1</v>
      </c>
      <c r="E529" t="b">
        <f>COUNTIF(connections!A:A, A529) &gt; 0</f>
        <v>0</v>
      </c>
      <c r="G529" t="s">
        <v>1876</v>
      </c>
    </row>
    <row r="530" spans="1:10" ht="15" customHeight="1" x14ac:dyDescent="0.25">
      <c r="A530" t="s">
        <v>1877</v>
      </c>
      <c r="B530">
        <v>2025</v>
      </c>
      <c r="C530" t="s">
        <v>176</v>
      </c>
      <c r="D530" t="b">
        <f>TRUE()</f>
        <v>1</v>
      </c>
      <c r="E530" t="b">
        <f>COUNTIF(connections!A:A, A530) &gt; 0</f>
        <v>0</v>
      </c>
      <c r="G530" t="s">
        <v>1878</v>
      </c>
    </row>
    <row r="531" spans="1:10" ht="15" customHeight="1" x14ac:dyDescent="0.25">
      <c r="A531" t="s">
        <v>1879</v>
      </c>
      <c r="B531">
        <v>2026</v>
      </c>
      <c r="C531" t="s">
        <v>176</v>
      </c>
      <c r="D531" t="b">
        <f>TRUE()</f>
        <v>1</v>
      </c>
      <c r="E531" t="b">
        <f>COUNTIF(connections!A:A, A531) &gt; 0</f>
        <v>0</v>
      </c>
      <c r="G531" t="s">
        <v>1880</v>
      </c>
      <c r="J531" s="10" t="s">
        <v>1881</v>
      </c>
    </row>
    <row r="532" spans="1:10" ht="15" customHeight="1" x14ac:dyDescent="0.25">
      <c r="A532" t="s">
        <v>1882</v>
      </c>
      <c r="B532">
        <v>1987</v>
      </c>
      <c r="C532" t="s">
        <v>179</v>
      </c>
      <c r="D532" t="b">
        <f>TRUE()</f>
        <v>1</v>
      </c>
      <c r="E532" t="b">
        <f>COUNTIF(connections!A:A, A532) &gt; 0</f>
        <v>1</v>
      </c>
      <c r="G532" t="s">
        <v>1883</v>
      </c>
      <c r="H532" t="s">
        <v>187</v>
      </c>
      <c r="I532" t="s">
        <v>1884</v>
      </c>
    </row>
    <row r="533" spans="1:10" ht="15" customHeight="1" x14ac:dyDescent="0.25">
      <c r="A533" t="s">
        <v>1885</v>
      </c>
      <c r="B533">
        <v>2015</v>
      </c>
      <c r="C533" t="s">
        <v>179</v>
      </c>
      <c r="D533" t="b">
        <f>TRUE()</f>
        <v>1</v>
      </c>
      <c r="E533" t="b">
        <f>COUNTIF(connections!A:A, A533) &gt; 0</f>
        <v>1</v>
      </c>
      <c r="G533" t="s">
        <v>1886</v>
      </c>
    </row>
    <row r="534" spans="1:10" ht="15" customHeight="1" x14ac:dyDescent="0.25">
      <c r="A534" t="s">
        <v>1887</v>
      </c>
      <c r="B534">
        <v>2019</v>
      </c>
      <c r="C534" t="s">
        <v>179</v>
      </c>
      <c r="D534" t="b">
        <f>TRUE()</f>
        <v>1</v>
      </c>
      <c r="E534" t="b">
        <f>COUNTIF(connections!A:A, A534) &gt; 0</f>
        <v>0</v>
      </c>
      <c r="G534" t="s">
        <v>1888</v>
      </c>
      <c r="H534" t="s">
        <v>187</v>
      </c>
      <c r="I534" t="s">
        <v>1889</v>
      </c>
      <c r="J534" s="10" t="s">
        <v>1890</v>
      </c>
    </row>
    <row r="535" spans="1:10" ht="15" customHeight="1" x14ac:dyDescent="0.25">
      <c r="A535" t="s">
        <v>1891</v>
      </c>
      <c r="B535">
        <v>2017</v>
      </c>
      <c r="C535" t="s">
        <v>179</v>
      </c>
      <c r="D535" t="b">
        <f>TRUE()</f>
        <v>1</v>
      </c>
      <c r="E535" t="b">
        <f>COUNTIF(connections!A:A, A535) &gt; 0</f>
        <v>1</v>
      </c>
      <c r="G535" t="s">
        <v>1892</v>
      </c>
    </row>
    <row r="536" spans="1:10" ht="15" customHeight="1" x14ac:dyDescent="0.25">
      <c r="A536" t="s">
        <v>1893</v>
      </c>
      <c r="B536">
        <v>2025</v>
      </c>
      <c r="C536" t="s">
        <v>182</v>
      </c>
      <c r="D536" t="b">
        <f>TRUE()</f>
        <v>1</v>
      </c>
      <c r="E536" t="b">
        <f>COUNTIF(connections!A:A, A536) &gt; 0</f>
        <v>0</v>
      </c>
      <c r="F536" t="s">
        <v>264</v>
      </c>
      <c r="G536" t="s">
        <v>1894</v>
      </c>
    </row>
    <row r="537" spans="1:10" ht="15" customHeight="1" x14ac:dyDescent="0.25">
      <c r="A537" t="s">
        <v>1895</v>
      </c>
      <c r="B537">
        <v>2020</v>
      </c>
      <c r="C537" t="s">
        <v>176</v>
      </c>
      <c r="D537" t="b">
        <f>TRUE()</f>
        <v>1</v>
      </c>
      <c r="E537" t="b">
        <f>COUNTIF(connections!A:A, A537) &gt; 0</f>
        <v>0</v>
      </c>
      <c r="G537" t="s">
        <v>1896</v>
      </c>
      <c r="H537" t="s">
        <v>187</v>
      </c>
      <c r="I537" t="s">
        <v>1897</v>
      </c>
      <c r="J537" s="1" t="s">
        <v>1898</v>
      </c>
    </row>
    <row r="538" spans="1:10" ht="15" customHeight="1" x14ac:dyDescent="0.25">
      <c r="A538" t="s">
        <v>1899</v>
      </c>
      <c r="B538">
        <v>2014</v>
      </c>
      <c r="C538" t="s">
        <v>179</v>
      </c>
      <c r="D538" t="b">
        <f>TRUE()</f>
        <v>1</v>
      </c>
      <c r="E538" t="b">
        <f>COUNTIF(connections!A:A, A538) &gt; 0</f>
        <v>1</v>
      </c>
      <c r="G538" t="s">
        <v>1900</v>
      </c>
      <c r="H538" t="s">
        <v>187</v>
      </c>
      <c r="I538" t="s">
        <v>1901</v>
      </c>
      <c r="J538" s="10" t="s">
        <v>1902</v>
      </c>
    </row>
    <row r="539" spans="1:10" ht="15" customHeight="1" x14ac:dyDescent="0.25">
      <c r="A539" t="s">
        <v>1903</v>
      </c>
      <c r="B539">
        <v>2019</v>
      </c>
      <c r="C539" t="s">
        <v>179</v>
      </c>
      <c r="D539" t="b">
        <f>TRUE()</f>
        <v>1</v>
      </c>
      <c r="E539" t="b">
        <f>COUNTIF(connections!A:A, A539) &gt; 0</f>
        <v>0</v>
      </c>
      <c r="G539" t="s">
        <v>1904</v>
      </c>
      <c r="H539" t="s">
        <v>187</v>
      </c>
      <c r="I539" t="s">
        <v>1905</v>
      </c>
      <c r="J539" s="1" t="s">
        <v>1906</v>
      </c>
    </row>
    <row r="540" spans="1:10" ht="15" customHeight="1" x14ac:dyDescent="0.25">
      <c r="A540" t="s">
        <v>7839</v>
      </c>
      <c r="B540">
        <v>2026</v>
      </c>
      <c r="C540" t="s">
        <v>182</v>
      </c>
      <c r="D540" t="b">
        <f>TRUE()</f>
        <v>1</v>
      </c>
      <c r="E540" t="b">
        <f>COUNTIF(connections!A:A, A540) &gt; 0</f>
        <v>0</v>
      </c>
      <c r="G540" t="s">
        <v>7822</v>
      </c>
      <c r="J540" s="10" t="s">
        <v>7823</v>
      </c>
    </row>
    <row r="541" spans="1:10" ht="15" customHeight="1" x14ac:dyDescent="0.25">
      <c r="A541" t="s">
        <v>1907</v>
      </c>
      <c r="B541">
        <v>2023</v>
      </c>
      <c r="C541" t="s">
        <v>176</v>
      </c>
      <c r="D541" t="b">
        <f>FALSE()</f>
        <v>0</v>
      </c>
      <c r="E541" t="b">
        <f>COUNTIF(connections!A:A, A541) &gt; 0</f>
        <v>0</v>
      </c>
      <c r="G541" t="s">
        <v>1908</v>
      </c>
      <c r="H541" t="s">
        <v>187</v>
      </c>
      <c r="I541" t="s">
        <v>1909</v>
      </c>
      <c r="J541" s="1" t="s">
        <v>1910</v>
      </c>
    </row>
    <row r="542" spans="1:10" ht="15" customHeight="1" x14ac:dyDescent="0.25">
      <c r="A542" t="s">
        <v>1911</v>
      </c>
      <c r="B542">
        <v>2014</v>
      </c>
      <c r="C542" t="s">
        <v>176</v>
      </c>
      <c r="D542" t="b">
        <v>1</v>
      </c>
      <c r="E542" t="b">
        <f>COUNTIF(connections!A:A, A542) &gt; 0</f>
        <v>0</v>
      </c>
      <c r="G542" t="s">
        <v>1912</v>
      </c>
      <c r="J542" s="10" t="s">
        <v>1913</v>
      </c>
    </row>
    <row r="543" spans="1:10" ht="15" customHeight="1" x14ac:dyDescent="0.25">
      <c r="A543" t="s">
        <v>1914</v>
      </c>
      <c r="B543">
        <v>2025</v>
      </c>
      <c r="C543" t="s">
        <v>222</v>
      </c>
      <c r="D543" t="b">
        <f>FALSE()</f>
        <v>0</v>
      </c>
      <c r="E543" t="b">
        <f>COUNTIF(connections!A:A, A543) &gt; 0</f>
        <v>0</v>
      </c>
      <c r="G543" t="s">
        <v>1915</v>
      </c>
      <c r="H543" t="s">
        <v>187</v>
      </c>
      <c r="I543" t="s">
        <v>1916</v>
      </c>
      <c r="J543" s="1" t="s">
        <v>1917</v>
      </c>
    </row>
    <row r="544" spans="1:10" ht="15" customHeight="1" x14ac:dyDescent="0.25">
      <c r="A544" t="s">
        <v>1918</v>
      </c>
      <c r="B544">
        <v>2022</v>
      </c>
      <c r="C544" t="s">
        <v>179</v>
      </c>
      <c r="D544" t="b">
        <f>TRUE()</f>
        <v>1</v>
      </c>
      <c r="E544" t="b">
        <f>COUNTIF(connections!A:A, A544) &gt; 0</f>
        <v>0</v>
      </c>
      <c r="G544" t="s">
        <v>1919</v>
      </c>
      <c r="H544" t="s">
        <v>187</v>
      </c>
      <c r="I544" t="s">
        <v>1920</v>
      </c>
    </row>
    <row r="545" spans="1:10" ht="15" customHeight="1" x14ac:dyDescent="0.25">
      <c r="A545" t="s">
        <v>1921</v>
      </c>
      <c r="B545">
        <v>2025</v>
      </c>
      <c r="C545" t="s">
        <v>182</v>
      </c>
      <c r="D545" t="b">
        <f>TRUE()</f>
        <v>1</v>
      </c>
      <c r="E545" t="b">
        <f>COUNTIF(connections!A:A, A545) &gt; 0</f>
        <v>0</v>
      </c>
      <c r="G545" t="s">
        <v>1922</v>
      </c>
      <c r="H545" t="s">
        <v>187</v>
      </c>
      <c r="I545" t="s">
        <v>1923</v>
      </c>
      <c r="J545" s="1" t="s">
        <v>1924</v>
      </c>
    </row>
    <row r="546" spans="1:10" ht="15" customHeight="1" x14ac:dyDescent="0.25">
      <c r="A546" t="s">
        <v>1925</v>
      </c>
      <c r="B546">
        <v>2025</v>
      </c>
      <c r="C546" t="s">
        <v>179</v>
      </c>
      <c r="D546" t="b">
        <f>TRUE()</f>
        <v>1</v>
      </c>
      <c r="E546" t="b">
        <f>COUNTIF(connections!A:A, A546) &gt; 0</f>
        <v>0</v>
      </c>
      <c r="G546" t="s">
        <v>1926</v>
      </c>
    </row>
    <row r="547" spans="1:10" ht="15" customHeight="1" x14ac:dyDescent="0.25">
      <c r="A547" t="s">
        <v>1927</v>
      </c>
      <c r="B547">
        <v>2023</v>
      </c>
      <c r="C547" t="s">
        <v>176</v>
      </c>
      <c r="D547" t="b">
        <f>TRUE()</f>
        <v>1</v>
      </c>
      <c r="E547" t="b">
        <f>COUNTIF(connections!A:A, A547) &gt; 0</f>
        <v>0</v>
      </c>
      <c r="G547" t="s">
        <v>1928</v>
      </c>
      <c r="H547" t="s">
        <v>187</v>
      </c>
      <c r="I547" t="s">
        <v>1929</v>
      </c>
      <c r="J547" s="1" t="s">
        <v>1930</v>
      </c>
    </row>
    <row r="548" spans="1:10" ht="15" customHeight="1" x14ac:dyDescent="0.25">
      <c r="A548" t="s">
        <v>7926</v>
      </c>
      <c r="B548">
        <v>2026</v>
      </c>
      <c r="C548" t="s">
        <v>176</v>
      </c>
      <c r="D548" t="b">
        <f>TRUE()</f>
        <v>1</v>
      </c>
      <c r="E548" t="b">
        <f>COUNTIF(connections!A:A, A548) &gt; 0</f>
        <v>0</v>
      </c>
      <c r="G548" t="s">
        <v>7927</v>
      </c>
      <c r="J548" s="10" t="s">
        <v>7928</v>
      </c>
    </row>
    <row r="549" spans="1:10" ht="15" customHeight="1" x14ac:dyDescent="0.25">
      <c r="A549" t="s">
        <v>1931</v>
      </c>
      <c r="B549">
        <v>2025</v>
      </c>
      <c r="C549" t="s">
        <v>222</v>
      </c>
      <c r="D549" t="b">
        <f>TRUE()</f>
        <v>1</v>
      </c>
      <c r="E549" t="b">
        <f>COUNTIF(connections!A:A, A549) &gt; 0</f>
        <v>0</v>
      </c>
      <c r="F549" t="s">
        <v>1164</v>
      </c>
      <c r="G549" t="s">
        <v>1932</v>
      </c>
    </row>
    <row r="550" spans="1:10" ht="15" customHeight="1" x14ac:dyDescent="0.25">
      <c r="A550" t="s">
        <v>1933</v>
      </c>
      <c r="B550">
        <v>2021</v>
      </c>
      <c r="C550" t="s">
        <v>176</v>
      </c>
      <c r="D550" t="b">
        <f>TRUE()</f>
        <v>1</v>
      </c>
      <c r="E550" t="b">
        <f>COUNTIF(connections!A:A, A550) &gt; 0</f>
        <v>1</v>
      </c>
      <c r="G550" t="s">
        <v>1934</v>
      </c>
      <c r="H550" t="s">
        <v>187</v>
      </c>
      <c r="I550" t="s">
        <v>1935</v>
      </c>
      <c r="J550" s="1" t="s">
        <v>1936</v>
      </c>
    </row>
    <row r="551" spans="1:10" ht="15" customHeight="1" x14ac:dyDescent="0.25">
      <c r="A551" t="s">
        <v>1937</v>
      </c>
      <c r="B551">
        <v>2023</v>
      </c>
      <c r="C551" t="s">
        <v>179</v>
      </c>
      <c r="D551" t="b">
        <f>TRUE()</f>
        <v>1</v>
      </c>
      <c r="E551" t="b">
        <f>COUNTIF(connections!A:A, A551) &gt; 0</f>
        <v>0</v>
      </c>
      <c r="G551" t="s">
        <v>1938</v>
      </c>
      <c r="H551" t="s">
        <v>187</v>
      </c>
      <c r="I551" t="s">
        <v>1939</v>
      </c>
      <c r="J551" s="1" t="s">
        <v>1940</v>
      </c>
    </row>
    <row r="552" spans="1:10" ht="15" customHeight="1" x14ac:dyDescent="0.25">
      <c r="A552" t="s">
        <v>1941</v>
      </c>
      <c r="B552">
        <v>2026</v>
      </c>
      <c r="C552" t="s">
        <v>176</v>
      </c>
      <c r="D552" t="b">
        <v>1</v>
      </c>
      <c r="E552" t="b">
        <f>COUNTIF(connections!A:A, A552) &gt; 0</f>
        <v>0</v>
      </c>
      <c r="G552" t="s">
        <v>1942</v>
      </c>
      <c r="J552" s="10" t="s">
        <v>1943</v>
      </c>
    </row>
    <row r="553" spans="1:10" ht="15" customHeight="1" x14ac:dyDescent="0.25">
      <c r="A553" t="s">
        <v>1944</v>
      </c>
      <c r="B553">
        <v>2015</v>
      </c>
      <c r="C553" t="s">
        <v>179</v>
      </c>
      <c r="D553" t="b">
        <f>TRUE()</f>
        <v>1</v>
      </c>
      <c r="E553" t="b">
        <f>COUNTIF(connections!A:A, A553) &gt; 0</f>
        <v>0</v>
      </c>
      <c r="G553" t="s">
        <v>1945</v>
      </c>
      <c r="H553" t="s">
        <v>187</v>
      </c>
      <c r="I553" t="s">
        <v>1946</v>
      </c>
    </row>
    <row r="554" spans="1:10" ht="15" customHeight="1" x14ac:dyDescent="0.25">
      <c r="A554" t="s">
        <v>1947</v>
      </c>
      <c r="B554">
        <v>2021</v>
      </c>
      <c r="C554" t="s">
        <v>222</v>
      </c>
      <c r="D554" t="b">
        <f>TRUE()</f>
        <v>1</v>
      </c>
      <c r="E554" t="b">
        <f>COUNTIF(connections!A:A, A554) &gt; 0</f>
        <v>1</v>
      </c>
      <c r="F554" t="s">
        <v>1164</v>
      </c>
      <c r="G554" t="s">
        <v>1948</v>
      </c>
      <c r="H554" t="s">
        <v>187</v>
      </c>
      <c r="I554" t="s">
        <v>1949</v>
      </c>
      <c r="J554" s="1" t="s">
        <v>1950</v>
      </c>
    </row>
    <row r="555" spans="1:10" ht="15" customHeight="1" x14ac:dyDescent="0.25">
      <c r="A555" t="s">
        <v>8128</v>
      </c>
      <c r="B555">
        <v>2026</v>
      </c>
      <c r="C555" t="s">
        <v>176</v>
      </c>
      <c r="D555" t="b">
        <f>TRUE()</f>
        <v>1</v>
      </c>
      <c r="E555" t="b">
        <f>COUNTIF(connections!A:A, A555) &gt; 0</f>
        <v>0</v>
      </c>
      <c r="F555" t="s">
        <v>1030</v>
      </c>
      <c r="G555" t="s">
        <v>8129</v>
      </c>
      <c r="J555" s="10" t="s">
        <v>8130</v>
      </c>
    </row>
    <row r="556" spans="1:10" ht="15" customHeight="1" x14ac:dyDescent="0.25">
      <c r="A556" t="s">
        <v>1951</v>
      </c>
      <c r="B556">
        <v>2022</v>
      </c>
      <c r="C556" t="s">
        <v>182</v>
      </c>
      <c r="D556" t="b">
        <f>TRUE()</f>
        <v>1</v>
      </c>
      <c r="E556" t="b">
        <f>COUNTIF(connections!A:A, A556) &gt; 0</f>
        <v>1</v>
      </c>
      <c r="F556" t="s">
        <v>354</v>
      </c>
      <c r="G556" t="s">
        <v>1952</v>
      </c>
      <c r="H556" t="s">
        <v>187</v>
      </c>
      <c r="I556" t="s">
        <v>1953</v>
      </c>
      <c r="J556" s="1" t="s">
        <v>1954</v>
      </c>
    </row>
    <row r="557" spans="1:10" ht="15" customHeight="1" x14ac:dyDescent="0.25">
      <c r="A557" t="s">
        <v>1955</v>
      </c>
      <c r="B557">
        <v>2026</v>
      </c>
      <c r="C557" t="s">
        <v>182</v>
      </c>
      <c r="D557" t="b">
        <f>TRUE()</f>
        <v>1</v>
      </c>
      <c r="E557" t="b">
        <f>COUNTIF(connections!A:A, A557) &gt; 0</f>
        <v>0</v>
      </c>
      <c r="G557" t="s">
        <v>1956</v>
      </c>
      <c r="J557" s="10" t="s">
        <v>1957</v>
      </c>
    </row>
    <row r="558" spans="1:10" ht="15" customHeight="1" x14ac:dyDescent="0.25">
      <c r="A558" t="s">
        <v>7654</v>
      </c>
      <c r="B558">
        <v>2026</v>
      </c>
      <c r="C558" t="s">
        <v>176</v>
      </c>
      <c r="D558" t="b">
        <f>TRUE()</f>
        <v>1</v>
      </c>
      <c r="E558" t="b">
        <f>COUNTIF(connections!A:A, A558) &gt; 0</f>
        <v>0</v>
      </c>
      <c r="G558" t="s">
        <v>7655</v>
      </c>
      <c r="J558" s="10" t="s">
        <v>7656</v>
      </c>
    </row>
    <row r="559" spans="1:10" ht="15" customHeight="1" x14ac:dyDescent="0.25">
      <c r="A559" t="s">
        <v>1958</v>
      </c>
      <c r="B559">
        <v>2024</v>
      </c>
      <c r="C559" t="s">
        <v>176</v>
      </c>
      <c r="D559" t="b">
        <f>TRUE()</f>
        <v>1</v>
      </c>
      <c r="E559" t="b">
        <f>COUNTIF(connections!A:A, A559) &gt; 0</f>
        <v>0</v>
      </c>
      <c r="G559" t="s">
        <v>1959</v>
      </c>
      <c r="H559" t="s">
        <v>187</v>
      </c>
      <c r="I559" t="s">
        <v>1960</v>
      </c>
      <c r="J559" s="1" t="s">
        <v>1961</v>
      </c>
    </row>
    <row r="560" spans="1:10" ht="15" customHeight="1" x14ac:dyDescent="0.25">
      <c r="A560" t="s">
        <v>1962</v>
      </c>
      <c r="B560">
        <v>2023</v>
      </c>
      <c r="C560" t="s">
        <v>176</v>
      </c>
      <c r="D560" t="b">
        <f>TRUE()</f>
        <v>1</v>
      </c>
      <c r="E560" t="b">
        <f>COUNTIF(connections!A:A, A560) &gt; 0</f>
        <v>0</v>
      </c>
      <c r="G560" t="s">
        <v>1963</v>
      </c>
      <c r="H560" t="s">
        <v>187</v>
      </c>
      <c r="I560" t="s">
        <v>1964</v>
      </c>
      <c r="J560" s="1" t="s">
        <v>1965</v>
      </c>
    </row>
    <row r="561" spans="1:10" ht="15" customHeight="1" x14ac:dyDescent="0.25">
      <c r="A561" t="s">
        <v>1966</v>
      </c>
      <c r="B561">
        <v>2025</v>
      </c>
      <c r="C561" t="s">
        <v>182</v>
      </c>
      <c r="D561" t="b">
        <f>TRUE()</f>
        <v>1</v>
      </c>
      <c r="E561" t="b">
        <f>COUNTIF(connections!A:A, A561) &gt; 0</f>
        <v>0</v>
      </c>
      <c r="F561" t="s">
        <v>315</v>
      </c>
      <c r="G561" t="s">
        <v>1967</v>
      </c>
      <c r="H561" t="s">
        <v>187</v>
      </c>
      <c r="I561" t="s">
        <v>1968</v>
      </c>
      <c r="J561" s="1" t="s">
        <v>1969</v>
      </c>
    </row>
    <row r="562" spans="1:10" ht="15" customHeight="1" x14ac:dyDescent="0.25">
      <c r="A562" t="s">
        <v>1970</v>
      </c>
      <c r="B562">
        <v>2012</v>
      </c>
      <c r="C562" t="s">
        <v>179</v>
      </c>
      <c r="D562" t="b">
        <f>TRUE()</f>
        <v>1</v>
      </c>
      <c r="E562" t="b">
        <f>COUNTIF(connections!A:A, A562) &gt; 0</f>
        <v>1</v>
      </c>
      <c r="G562" t="s">
        <v>1971</v>
      </c>
      <c r="H562" t="s">
        <v>187</v>
      </c>
      <c r="I562" t="s">
        <v>8337</v>
      </c>
      <c r="J562" s="10" t="s">
        <v>1972</v>
      </c>
    </row>
    <row r="563" spans="1:10" ht="15" customHeight="1" x14ac:dyDescent="0.25">
      <c r="A563" t="s">
        <v>1973</v>
      </c>
      <c r="B563">
        <v>2022</v>
      </c>
      <c r="C563" t="s">
        <v>222</v>
      </c>
      <c r="D563" t="b">
        <f>FALSE()</f>
        <v>0</v>
      </c>
      <c r="E563" t="b">
        <f>COUNTIF(connections!A:A, A563) &gt; 0</f>
        <v>0</v>
      </c>
      <c r="F563" t="s">
        <v>264</v>
      </c>
      <c r="G563" t="s">
        <v>1974</v>
      </c>
      <c r="H563" t="s">
        <v>187</v>
      </c>
      <c r="I563" t="s">
        <v>1975</v>
      </c>
      <c r="J563" s="1" t="s">
        <v>1976</v>
      </c>
    </row>
    <row r="564" spans="1:10" ht="15" customHeight="1" x14ac:dyDescent="0.25">
      <c r="A564" t="s">
        <v>1977</v>
      </c>
      <c r="B564">
        <v>2026</v>
      </c>
      <c r="C564" t="s">
        <v>182</v>
      </c>
      <c r="D564" t="b">
        <f>TRUE()</f>
        <v>1</v>
      </c>
      <c r="E564" t="b">
        <f>COUNTIF(connections!A:A, A564) &gt; 0</f>
        <v>0</v>
      </c>
      <c r="G564" t="s">
        <v>1978</v>
      </c>
      <c r="H564" t="s">
        <v>187</v>
      </c>
      <c r="I564" t="s">
        <v>8338</v>
      </c>
      <c r="J564" s="1" t="s">
        <v>1979</v>
      </c>
    </row>
    <row r="565" spans="1:10" ht="15" customHeight="1" x14ac:dyDescent="0.25">
      <c r="A565" t="s">
        <v>1980</v>
      </c>
      <c r="B565">
        <v>2021</v>
      </c>
      <c r="C565" t="s">
        <v>182</v>
      </c>
      <c r="D565" t="b">
        <f>TRUE()</f>
        <v>1</v>
      </c>
      <c r="E565" t="b">
        <f>COUNTIF(connections!A:A, A565) &gt; 0</f>
        <v>0</v>
      </c>
      <c r="F565" t="s">
        <v>354</v>
      </c>
      <c r="G565" t="s">
        <v>1981</v>
      </c>
    </row>
    <row r="566" spans="1:10" ht="15" customHeight="1" x14ac:dyDescent="0.25">
      <c r="A566" t="s">
        <v>1982</v>
      </c>
      <c r="B566">
        <v>2026</v>
      </c>
      <c r="C566" t="s">
        <v>182</v>
      </c>
      <c r="D566" t="b">
        <f>TRUE()</f>
        <v>1</v>
      </c>
      <c r="E566" t="b">
        <f>COUNTIF(connections!A:A, A566) &gt; 0</f>
        <v>0</v>
      </c>
      <c r="G566" t="s">
        <v>1983</v>
      </c>
    </row>
    <row r="567" spans="1:10" ht="15" customHeight="1" x14ac:dyDescent="0.25">
      <c r="A567" t="s">
        <v>1984</v>
      </c>
      <c r="B567">
        <v>2022</v>
      </c>
      <c r="C567" t="s">
        <v>182</v>
      </c>
      <c r="D567" t="b">
        <f>TRUE()</f>
        <v>1</v>
      </c>
      <c r="E567" t="b">
        <f>COUNTIF(connections!A:A, A567) &gt; 0</f>
        <v>0</v>
      </c>
      <c r="F567" t="s">
        <v>1985</v>
      </c>
      <c r="G567" t="s">
        <v>1986</v>
      </c>
      <c r="H567" t="s">
        <v>187</v>
      </c>
      <c r="I567" t="s">
        <v>1987</v>
      </c>
    </row>
    <row r="568" spans="1:10" ht="15" customHeight="1" x14ac:dyDescent="0.25">
      <c r="A568" t="s">
        <v>1988</v>
      </c>
      <c r="B568">
        <v>2024</v>
      </c>
      <c r="C568" t="s">
        <v>176</v>
      </c>
      <c r="D568" t="b">
        <f>FALSE()</f>
        <v>0</v>
      </c>
      <c r="E568" t="b">
        <f>COUNTIF(connections!A:A, A568) &gt; 0</f>
        <v>0</v>
      </c>
      <c r="G568" t="s">
        <v>1989</v>
      </c>
      <c r="H568" t="s">
        <v>187</v>
      </c>
      <c r="I568" t="s">
        <v>1990</v>
      </c>
      <c r="J568" s="1" t="s">
        <v>1991</v>
      </c>
    </row>
    <row r="569" spans="1:10" ht="15" customHeight="1" x14ac:dyDescent="0.25">
      <c r="A569" t="s">
        <v>1992</v>
      </c>
      <c r="B569">
        <v>2026</v>
      </c>
      <c r="C569" t="s">
        <v>222</v>
      </c>
      <c r="D569" t="b">
        <f>TRUE()</f>
        <v>1</v>
      </c>
      <c r="E569" t="b">
        <f>COUNTIF(connections!A:A, A569) &gt; 0</f>
        <v>0</v>
      </c>
      <c r="F569" t="s">
        <v>1985</v>
      </c>
      <c r="G569" t="s">
        <v>1993</v>
      </c>
      <c r="H569" t="s">
        <v>187</v>
      </c>
      <c r="I569" t="s">
        <v>1994</v>
      </c>
    </row>
    <row r="570" spans="1:10" ht="15" customHeight="1" x14ac:dyDescent="0.25">
      <c r="A570" t="s">
        <v>1995</v>
      </c>
      <c r="B570">
        <v>2021</v>
      </c>
      <c r="C570" t="s">
        <v>222</v>
      </c>
      <c r="D570" t="b">
        <f>TRUE()</f>
        <v>1</v>
      </c>
      <c r="E570" t="b">
        <f>COUNTIF(connections!A:A, A570) &gt; 0</f>
        <v>1</v>
      </c>
      <c r="F570" t="s">
        <v>1985</v>
      </c>
      <c r="G570" t="s">
        <v>1996</v>
      </c>
      <c r="H570" t="s">
        <v>187</v>
      </c>
      <c r="I570" t="s">
        <v>1997</v>
      </c>
    </row>
    <row r="571" spans="1:10" ht="15" customHeight="1" x14ac:dyDescent="0.25">
      <c r="A571" t="s">
        <v>1998</v>
      </c>
      <c r="B571">
        <v>2026</v>
      </c>
      <c r="C571" t="s">
        <v>222</v>
      </c>
      <c r="D571" t="b">
        <f>TRUE()</f>
        <v>1</v>
      </c>
      <c r="E571" t="b">
        <f>COUNTIF(connections!A:A, A571) &gt; 0</f>
        <v>0</v>
      </c>
      <c r="F571" t="s">
        <v>1985</v>
      </c>
      <c r="G571" t="s">
        <v>1999</v>
      </c>
      <c r="H571" t="s">
        <v>187</v>
      </c>
      <c r="I571" t="s">
        <v>2000</v>
      </c>
    </row>
    <row r="572" spans="1:10" ht="15" customHeight="1" x14ac:dyDescent="0.25">
      <c r="A572" t="s">
        <v>2001</v>
      </c>
      <c r="B572">
        <v>2009</v>
      </c>
      <c r="C572" t="s">
        <v>179</v>
      </c>
      <c r="D572" t="b">
        <f>TRUE()</f>
        <v>1</v>
      </c>
      <c r="E572" t="b">
        <f>COUNTIF(connections!A:A, A572) &gt; 0</f>
        <v>0</v>
      </c>
      <c r="F572" t="s">
        <v>1985</v>
      </c>
      <c r="G572" t="s">
        <v>2002</v>
      </c>
      <c r="H572" t="s">
        <v>187</v>
      </c>
      <c r="I572" t="s">
        <v>2003</v>
      </c>
    </row>
    <row r="573" spans="1:10" ht="15" customHeight="1" x14ac:dyDescent="0.25">
      <c r="A573" t="s">
        <v>2004</v>
      </c>
      <c r="B573">
        <v>2007</v>
      </c>
      <c r="C573" t="s">
        <v>179</v>
      </c>
      <c r="D573" t="b">
        <f>TRUE()</f>
        <v>1</v>
      </c>
      <c r="E573" t="b">
        <f>COUNTIF(connections!A:A, A573) &gt; 0</f>
        <v>1</v>
      </c>
      <c r="F573" t="s">
        <v>1985</v>
      </c>
      <c r="G573" t="s">
        <v>2005</v>
      </c>
      <c r="H573" t="s">
        <v>187</v>
      </c>
      <c r="I573" t="s">
        <v>2006</v>
      </c>
    </row>
    <row r="574" spans="1:10" ht="15" customHeight="1" x14ac:dyDescent="0.25">
      <c r="A574" t="s">
        <v>2007</v>
      </c>
      <c r="B574">
        <v>2012</v>
      </c>
      <c r="C574" t="s">
        <v>179</v>
      </c>
      <c r="D574" t="b">
        <f>TRUE()</f>
        <v>1</v>
      </c>
      <c r="E574" t="b">
        <f>COUNTIF(connections!A:A, A574) &gt; 0</f>
        <v>0</v>
      </c>
      <c r="F574" t="s">
        <v>1985</v>
      </c>
      <c r="G574" t="s">
        <v>2008</v>
      </c>
    </row>
    <row r="575" spans="1:10" ht="15" customHeight="1" x14ac:dyDescent="0.25">
      <c r="A575" t="s">
        <v>2009</v>
      </c>
      <c r="B575">
        <v>2005</v>
      </c>
      <c r="C575" t="s">
        <v>179</v>
      </c>
      <c r="D575" t="b">
        <f>TRUE()</f>
        <v>1</v>
      </c>
      <c r="E575" t="b">
        <f>COUNTIF(connections!A:A, A575) &gt; 0</f>
        <v>1</v>
      </c>
      <c r="F575" t="s">
        <v>1985</v>
      </c>
      <c r="G575" t="s">
        <v>2010</v>
      </c>
      <c r="H575" t="s">
        <v>187</v>
      </c>
      <c r="I575" t="s">
        <v>2011</v>
      </c>
    </row>
    <row r="576" spans="1:10" ht="15" customHeight="1" x14ac:dyDescent="0.25">
      <c r="A576" t="s">
        <v>2012</v>
      </c>
      <c r="B576">
        <v>2020</v>
      </c>
      <c r="C576" t="s">
        <v>179</v>
      </c>
      <c r="D576" t="b">
        <f>TRUE()</f>
        <v>1</v>
      </c>
      <c r="E576" t="b">
        <f>COUNTIF(connections!A:A, A576) &gt; 0</f>
        <v>0</v>
      </c>
      <c r="F576" t="s">
        <v>1985</v>
      </c>
      <c r="G576" t="s">
        <v>2013</v>
      </c>
    </row>
    <row r="577" spans="1:10" ht="15" customHeight="1" x14ac:dyDescent="0.25">
      <c r="A577" t="s">
        <v>2014</v>
      </c>
      <c r="B577">
        <v>2015</v>
      </c>
      <c r="C577" t="s">
        <v>179</v>
      </c>
      <c r="D577" t="b">
        <f>TRUE()</f>
        <v>1</v>
      </c>
      <c r="E577" t="b">
        <f>COUNTIF(connections!A:A, A577) &gt; 0</f>
        <v>0</v>
      </c>
      <c r="F577" t="s">
        <v>1985</v>
      </c>
      <c r="G577" t="s">
        <v>2015</v>
      </c>
    </row>
    <row r="578" spans="1:10" ht="15" customHeight="1" x14ac:dyDescent="0.25">
      <c r="A578" t="s">
        <v>7945</v>
      </c>
      <c r="B578">
        <v>2026</v>
      </c>
      <c r="C578" t="s">
        <v>176</v>
      </c>
      <c r="D578" t="b">
        <f>TRUE()</f>
        <v>1</v>
      </c>
      <c r="E578" t="b">
        <f>COUNTIF(connections!A:A, A578) &gt; 0</f>
        <v>0</v>
      </c>
      <c r="F578" t="s">
        <v>1985</v>
      </c>
      <c r="G578" t="s">
        <v>7946</v>
      </c>
      <c r="H578" t="s">
        <v>187</v>
      </c>
      <c r="I578" t="s">
        <v>7947</v>
      </c>
    </row>
    <row r="579" spans="1:10" ht="15" customHeight="1" x14ac:dyDescent="0.25">
      <c r="A579" t="s">
        <v>2016</v>
      </c>
      <c r="B579">
        <v>2024</v>
      </c>
      <c r="C579" t="s">
        <v>222</v>
      </c>
      <c r="D579" t="b">
        <f>TRUE()</f>
        <v>1</v>
      </c>
      <c r="E579" t="b">
        <f>COUNTIF(connections!A:A, A579) &gt; 0</f>
        <v>1</v>
      </c>
      <c r="F579" t="s">
        <v>1985</v>
      </c>
      <c r="G579" t="s">
        <v>2017</v>
      </c>
    </row>
    <row r="580" spans="1:10" ht="15" customHeight="1" x14ac:dyDescent="0.25">
      <c r="A580" t="s">
        <v>2018</v>
      </c>
      <c r="B580">
        <v>2025</v>
      </c>
      <c r="C580" t="s">
        <v>222</v>
      </c>
      <c r="D580" t="b">
        <f>TRUE()</f>
        <v>1</v>
      </c>
      <c r="E580" t="b">
        <f>COUNTIF(connections!A:A, A580) &gt; 0</f>
        <v>0</v>
      </c>
      <c r="F580" t="s">
        <v>1985</v>
      </c>
      <c r="G580" t="s">
        <v>2019</v>
      </c>
      <c r="H580" t="s">
        <v>187</v>
      </c>
      <c r="I580" t="s">
        <v>2020</v>
      </c>
    </row>
    <row r="581" spans="1:10" ht="15" customHeight="1" x14ac:dyDescent="0.25">
      <c r="A581" t="s">
        <v>2021</v>
      </c>
      <c r="B581">
        <v>2020</v>
      </c>
      <c r="C581" t="s">
        <v>222</v>
      </c>
      <c r="D581" t="b">
        <f>TRUE()</f>
        <v>1</v>
      </c>
      <c r="E581" t="b">
        <f>COUNTIF(connections!A:A, A581) &gt; 0</f>
        <v>1</v>
      </c>
      <c r="G581" t="s">
        <v>2022</v>
      </c>
    </row>
    <row r="582" spans="1:10" ht="15" customHeight="1" x14ac:dyDescent="0.25">
      <c r="A582" t="s">
        <v>2023</v>
      </c>
      <c r="B582">
        <v>2003</v>
      </c>
      <c r="C582" t="s">
        <v>179</v>
      </c>
      <c r="D582" t="b">
        <f>TRUE()</f>
        <v>1</v>
      </c>
      <c r="E582" t="b">
        <f>COUNTIF(connections!A:A, A582) &gt; 0</f>
        <v>1</v>
      </c>
      <c r="G582" t="s">
        <v>2024</v>
      </c>
      <c r="H582" t="s">
        <v>187</v>
      </c>
      <c r="I582" t="s">
        <v>2025</v>
      </c>
    </row>
    <row r="583" spans="1:10" ht="15" customHeight="1" x14ac:dyDescent="0.25">
      <c r="A583" t="s">
        <v>2026</v>
      </c>
      <c r="B583">
        <v>2024</v>
      </c>
      <c r="C583" t="s">
        <v>176</v>
      </c>
      <c r="D583" t="b">
        <f>TRUE()</f>
        <v>1</v>
      </c>
      <c r="E583" t="b">
        <f>COUNTIF(connections!A:A, A583) &gt; 0</f>
        <v>0</v>
      </c>
      <c r="G583" t="s">
        <v>2027</v>
      </c>
    </row>
    <row r="584" spans="1:10" ht="15" customHeight="1" x14ac:dyDescent="0.25">
      <c r="A584" t="s">
        <v>2028</v>
      </c>
      <c r="B584">
        <v>2026</v>
      </c>
      <c r="C584" t="s">
        <v>222</v>
      </c>
      <c r="D584" t="b">
        <f>TRUE()</f>
        <v>1</v>
      </c>
      <c r="E584" t="b">
        <f>COUNTIF(connections!A:A, A584) &gt; 0</f>
        <v>0</v>
      </c>
      <c r="F584" t="s">
        <v>731</v>
      </c>
      <c r="G584" t="s">
        <v>2029</v>
      </c>
      <c r="J584" s="1" t="s">
        <v>2030</v>
      </c>
    </row>
    <row r="585" spans="1:10" ht="15" customHeight="1" x14ac:dyDescent="0.25">
      <c r="A585" t="s">
        <v>2031</v>
      </c>
      <c r="B585">
        <v>2022</v>
      </c>
      <c r="C585" t="s">
        <v>176</v>
      </c>
      <c r="D585" t="b">
        <f>TRUE()</f>
        <v>1</v>
      </c>
      <c r="E585" t="b">
        <f>COUNTIF(connections!A:A, A585) &gt; 0</f>
        <v>0</v>
      </c>
      <c r="G585" t="s">
        <v>2032</v>
      </c>
      <c r="H585" t="s">
        <v>187</v>
      </c>
      <c r="I585" t="s">
        <v>2033</v>
      </c>
      <c r="J585" s="1" t="s">
        <v>2034</v>
      </c>
    </row>
    <row r="586" spans="1:10" ht="15" customHeight="1" x14ac:dyDescent="0.25">
      <c r="A586" t="s">
        <v>8116</v>
      </c>
      <c r="B586">
        <v>2024</v>
      </c>
      <c r="C586" t="s">
        <v>182</v>
      </c>
      <c r="D586" t="b">
        <f>TRUE()</f>
        <v>1</v>
      </c>
      <c r="E586" t="b">
        <f>COUNTIF(connections!A:A, A586) &gt; 0</f>
        <v>0</v>
      </c>
      <c r="G586" t="s">
        <v>8117</v>
      </c>
      <c r="J586" s="10" t="s">
        <v>8118</v>
      </c>
    </row>
    <row r="587" spans="1:10" ht="15" customHeight="1" x14ac:dyDescent="0.25">
      <c r="A587" t="s">
        <v>2035</v>
      </c>
      <c r="B587">
        <v>2023</v>
      </c>
      <c r="C587" t="s">
        <v>179</v>
      </c>
      <c r="D587" t="b">
        <f>TRUE()</f>
        <v>1</v>
      </c>
      <c r="E587" t="b">
        <f>COUNTIF(connections!A:A, A587) &gt; 0</f>
        <v>0</v>
      </c>
      <c r="G587" t="s">
        <v>2036</v>
      </c>
      <c r="H587" t="s">
        <v>187</v>
      </c>
      <c r="I587" t="s">
        <v>2037</v>
      </c>
      <c r="J587" s="1" t="s">
        <v>2038</v>
      </c>
    </row>
    <row r="588" spans="1:10" ht="15" customHeight="1" x14ac:dyDescent="0.25">
      <c r="A588" t="s">
        <v>2039</v>
      </c>
      <c r="B588">
        <v>2014</v>
      </c>
      <c r="C588" t="s">
        <v>179</v>
      </c>
      <c r="D588" t="b">
        <f>TRUE()</f>
        <v>1</v>
      </c>
      <c r="E588" t="b">
        <f>COUNTIF(connections!A:A, A588) &gt; 0</f>
        <v>0</v>
      </c>
      <c r="G588" t="s">
        <v>2040</v>
      </c>
      <c r="H588" t="s">
        <v>187</v>
      </c>
      <c r="I588" t="s">
        <v>2041</v>
      </c>
      <c r="J588" s="1" t="s">
        <v>2042</v>
      </c>
    </row>
    <row r="589" spans="1:10" ht="15" customHeight="1" x14ac:dyDescent="0.25">
      <c r="A589" t="s">
        <v>2043</v>
      </c>
      <c r="B589">
        <v>2024</v>
      </c>
      <c r="C589" t="s">
        <v>176</v>
      </c>
      <c r="D589" t="b">
        <v>1</v>
      </c>
      <c r="E589" t="b">
        <f>COUNTIF(connections!A:A, A589) &gt; 0</f>
        <v>0</v>
      </c>
      <c r="G589" t="s">
        <v>2044</v>
      </c>
      <c r="H589" t="s">
        <v>187</v>
      </c>
      <c r="I589" t="s">
        <v>7878</v>
      </c>
      <c r="J589" s="10" t="s">
        <v>7879</v>
      </c>
    </row>
    <row r="590" spans="1:10" ht="15" customHeight="1" x14ac:dyDescent="0.25">
      <c r="A590" t="s">
        <v>2045</v>
      </c>
      <c r="B590">
        <v>2026</v>
      </c>
      <c r="C590" t="s">
        <v>182</v>
      </c>
      <c r="D590" t="b">
        <f>TRUE()</f>
        <v>1</v>
      </c>
      <c r="E590" t="b">
        <f>COUNTIF(connections!A:A, A590) &gt; 0</f>
        <v>0</v>
      </c>
      <c r="F590" t="s">
        <v>354</v>
      </c>
      <c r="G590" t="s">
        <v>2046</v>
      </c>
      <c r="H590" t="s">
        <v>187</v>
      </c>
      <c r="I590" t="s">
        <v>2047</v>
      </c>
      <c r="J590" s="1" t="s">
        <v>2048</v>
      </c>
    </row>
    <row r="591" spans="1:10" ht="15" customHeight="1" x14ac:dyDescent="0.25">
      <c r="A591" t="s">
        <v>2049</v>
      </c>
      <c r="B591">
        <v>2024</v>
      </c>
      <c r="C591" t="s">
        <v>222</v>
      </c>
      <c r="D591" t="b">
        <f>TRUE()</f>
        <v>1</v>
      </c>
      <c r="E591" t="b">
        <f>COUNTIF(connections!A:A, A591) &gt; 0</f>
        <v>0</v>
      </c>
      <c r="G591" t="s">
        <v>2050</v>
      </c>
      <c r="H591" t="s">
        <v>187</v>
      </c>
      <c r="I591" t="s">
        <v>2051</v>
      </c>
      <c r="J591" s="1" t="s">
        <v>2052</v>
      </c>
    </row>
    <row r="592" spans="1:10" ht="15" customHeight="1" x14ac:dyDescent="0.25">
      <c r="A592" t="s">
        <v>2053</v>
      </c>
      <c r="B592">
        <v>1992</v>
      </c>
      <c r="C592" t="s">
        <v>179</v>
      </c>
      <c r="D592" t="b">
        <f>TRUE()</f>
        <v>1</v>
      </c>
      <c r="E592" t="b">
        <f>COUNTIF(connections!A:A, A592) &gt; 0</f>
        <v>1</v>
      </c>
      <c r="G592" t="s">
        <v>2054</v>
      </c>
      <c r="H592" t="s">
        <v>187</v>
      </c>
      <c r="I592" t="s">
        <v>2055</v>
      </c>
    </row>
    <row r="593" spans="1:10" ht="15" customHeight="1" x14ac:dyDescent="0.25">
      <c r="A593" t="s">
        <v>2056</v>
      </c>
      <c r="B593">
        <v>2024</v>
      </c>
      <c r="C593" t="s">
        <v>176</v>
      </c>
      <c r="D593" t="b">
        <f>TRUE()</f>
        <v>1</v>
      </c>
      <c r="E593" t="b">
        <f>COUNTIF(connections!A:A, A593) &gt; 0</f>
        <v>0</v>
      </c>
      <c r="G593" t="s">
        <v>2057</v>
      </c>
    </row>
    <row r="594" spans="1:10" ht="15" customHeight="1" x14ac:dyDescent="0.25">
      <c r="A594" t="s">
        <v>2058</v>
      </c>
      <c r="B594">
        <v>2015</v>
      </c>
      <c r="C594" t="s">
        <v>176</v>
      </c>
      <c r="D594" t="b">
        <f>TRUE()</f>
        <v>1</v>
      </c>
      <c r="E594" t="b">
        <f>COUNTIF(connections!A:A, A594) &gt; 0</f>
        <v>0</v>
      </c>
      <c r="G594" t="s">
        <v>2059</v>
      </c>
      <c r="J594" s="10" t="s">
        <v>2060</v>
      </c>
    </row>
    <row r="595" spans="1:10" ht="15" customHeight="1" x14ac:dyDescent="0.25">
      <c r="A595" t="s">
        <v>7930</v>
      </c>
      <c r="B595">
        <v>2026</v>
      </c>
      <c r="C595" t="s">
        <v>179</v>
      </c>
      <c r="D595" t="b">
        <f>TRUE()</f>
        <v>1</v>
      </c>
      <c r="E595" t="b">
        <f>COUNTIF(connections!A:A, A595) &gt; 0</f>
        <v>0</v>
      </c>
      <c r="G595" t="s">
        <v>7932</v>
      </c>
      <c r="J595" s="10" t="s">
        <v>7933</v>
      </c>
    </row>
    <row r="596" spans="1:10" ht="15" customHeight="1" x14ac:dyDescent="0.25">
      <c r="A596" t="s">
        <v>2061</v>
      </c>
      <c r="B596">
        <v>2019</v>
      </c>
      <c r="C596" t="s">
        <v>182</v>
      </c>
      <c r="D596" t="b">
        <f>TRUE()</f>
        <v>1</v>
      </c>
      <c r="E596" t="b">
        <f>COUNTIF(connections!A:A, A596) &gt; 0</f>
        <v>0</v>
      </c>
      <c r="G596" t="s">
        <v>2062</v>
      </c>
      <c r="H596" t="s">
        <v>187</v>
      </c>
      <c r="I596" t="s">
        <v>2063</v>
      </c>
      <c r="J596" s="1" t="s">
        <v>2064</v>
      </c>
    </row>
    <row r="597" spans="1:10" ht="15" customHeight="1" x14ac:dyDescent="0.25">
      <c r="A597" t="s">
        <v>2065</v>
      </c>
      <c r="B597">
        <v>2023</v>
      </c>
      <c r="C597" t="s">
        <v>176</v>
      </c>
      <c r="D597" t="b">
        <f>TRUE()</f>
        <v>1</v>
      </c>
      <c r="E597" t="b">
        <f>COUNTIF(connections!A:A, A597) &gt; 0</f>
        <v>1</v>
      </c>
      <c r="G597" t="s">
        <v>2066</v>
      </c>
      <c r="H597" t="s">
        <v>187</v>
      </c>
      <c r="I597" t="s">
        <v>2067</v>
      </c>
      <c r="J597" s="1" t="s">
        <v>2068</v>
      </c>
    </row>
    <row r="598" spans="1:10" ht="15" customHeight="1" x14ac:dyDescent="0.25">
      <c r="A598" t="s">
        <v>2069</v>
      </c>
      <c r="B598">
        <v>2025</v>
      </c>
      <c r="C598" t="s">
        <v>176</v>
      </c>
      <c r="D598" t="b">
        <f>TRUE()</f>
        <v>1</v>
      </c>
      <c r="E598" t="b">
        <f>COUNTIF(connections!A:A, A598) &gt; 0</f>
        <v>0</v>
      </c>
      <c r="F598" t="s">
        <v>274</v>
      </c>
      <c r="G598" t="s">
        <v>2070</v>
      </c>
    </row>
    <row r="599" spans="1:10" ht="15" customHeight="1" x14ac:dyDescent="0.25">
      <c r="A599" t="s">
        <v>2071</v>
      </c>
      <c r="B599">
        <v>2024</v>
      </c>
      <c r="C599" t="s">
        <v>176</v>
      </c>
      <c r="D599" t="b">
        <f>TRUE()</f>
        <v>1</v>
      </c>
      <c r="E599" t="b">
        <f>COUNTIF(connections!A:A, A599) &gt; 0</f>
        <v>0</v>
      </c>
      <c r="G599" t="s">
        <v>2072</v>
      </c>
    </row>
    <row r="600" spans="1:10" ht="15" customHeight="1" x14ac:dyDescent="0.25">
      <c r="A600" t="s">
        <v>2073</v>
      </c>
      <c r="B600">
        <v>2010</v>
      </c>
      <c r="C600" t="s">
        <v>176</v>
      </c>
      <c r="D600" t="b">
        <f>TRUE()</f>
        <v>1</v>
      </c>
      <c r="E600" t="b">
        <f>COUNTIF(connections!A:A, A600) &gt; 0</f>
        <v>1</v>
      </c>
      <c r="G600" t="s">
        <v>2074</v>
      </c>
      <c r="H600" t="s">
        <v>187</v>
      </c>
      <c r="I600" t="s">
        <v>2075</v>
      </c>
      <c r="J600" s="1" t="s">
        <v>2076</v>
      </c>
    </row>
    <row r="601" spans="1:10" ht="15" customHeight="1" x14ac:dyDescent="0.25">
      <c r="A601" t="s">
        <v>2077</v>
      </c>
      <c r="B601">
        <v>2012</v>
      </c>
      <c r="C601" t="s">
        <v>176</v>
      </c>
      <c r="D601" t="b">
        <f>TRUE()</f>
        <v>1</v>
      </c>
      <c r="E601" t="b">
        <f>COUNTIF(connections!A:A, A601) &gt; 0</f>
        <v>0</v>
      </c>
      <c r="G601" t="s">
        <v>2078</v>
      </c>
      <c r="H601" t="s">
        <v>187</v>
      </c>
      <c r="I601" t="s">
        <v>2079</v>
      </c>
    </row>
    <row r="602" spans="1:10" ht="15" customHeight="1" x14ac:dyDescent="0.25">
      <c r="A602" t="s">
        <v>7920</v>
      </c>
      <c r="B602">
        <v>2025</v>
      </c>
      <c r="C602" t="s">
        <v>176</v>
      </c>
      <c r="D602" t="b">
        <f>TRUE()</f>
        <v>1</v>
      </c>
      <c r="E602" t="b">
        <f>COUNTIF(connections!A:A, A602) &gt; 0</f>
        <v>0</v>
      </c>
      <c r="G602" t="s">
        <v>7921</v>
      </c>
      <c r="H602" t="s">
        <v>187</v>
      </c>
      <c r="I602" t="s">
        <v>7924</v>
      </c>
      <c r="J602" s="10" t="s">
        <v>7922</v>
      </c>
    </row>
    <row r="603" spans="1:10" ht="15" customHeight="1" x14ac:dyDescent="0.25">
      <c r="A603" t="s">
        <v>2080</v>
      </c>
      <c r="B603">
        <v>2015</v>
      </c>
      <c r="C603" t="s">
        <v>222</v>
      </c>
      <c r="D603" t="b">
        <f>TRUE()</f>
        <v>1</v>
      </c>
      <c r="E603" t="b">
        <f>COUNTIF(connections!A:A, A603) &gt; 0</f>
        <v>1</v>
      </c>
      <c r="G603" t="s">
        <v>2081</v>
      </c>
      <c r="H603" t="s">
        <v>187</v>
      </c>
      <c r="I603" t="s">
        <v>2082</v>
      </c>
      <c r="J603" s="10" t="s">
        <v>2083</v>
      </c>
    </row>
    <row r="604" spans="1:10" ht="15" customHeight="1" x14ac:dyDescent="0.25">
      <c r="A604" t="s">
        <v>2084</v>
      </c>
      <c r="B604">
        <v>2022</v>
      </c>
      <c r="C604" t="s">
        <v>176</v>
      </c>
      <c r="D604" t="b">
        <f>TRUE()</f>
        <v>1</v>
      </c>
      <c r="E604" t="b">
        <f>COUNTIF(connections!A:A, A604) &gt; 0</f>
        <v>0</v>
      </c>
      <c r="G604" t="s">
        <v>2085</v>
      </c>
      <c r="H604" t="s">
        <v>187</v>
      </c>
      <c r="I604" t="s">
        <v>2086</v>
      </c>
      <c r="J604" s="1" t="s">
        <v>2087</v>
      </c>
    </row>
    <row r="605" spans="1:10" ht="15" customHeight="1" x14ac:dyDescent="0.25">
      <c r="A605" t="s">
        <v>2088</v>
      </c>
      <c r="B605">
        <v>2025</v>
      </c>
      <c r="C605" t="s">
        <v>182</v>
      </c>
      <c r="D605" t="b">
        <f>TRUE()</f>
        <v>1</v>
      </c>
      <c r="E605" t="b">
        <f>COUNTIF(connections!A:A, A605) &gt; 0</f>
        <v>0</v>
      </c>
      <c r="G605" t="s">
        <v>2089</v>
      </c>
      <c r="J605" s="10" t="s">
        <v>2090</v>
      </c>
    </row>
    <row r="606" spans="1:10" ht="15" customHeight="1" x14ac:dyDescent="0.25">
      <c r="A606" t="s">
        <v>2091</v>
      </c>
      <c r="B606">
        <v>2023</v>
      </c>
      <c r="C606" t="s">
        <v>176</v>
      </c>
      <c r="D606" t="b">
        <f>TRUE()</f>
        <v>1</v>
      </c>
      <c r="E606" t="b">
        <f>COUNTIF(connections!A:A, A606) &gt; 0</f>
        <v>0</v>
      </c>
      <c r="G606" t="s">
        <v>2092</v>
      </c>
      <c r="H606" t="s">
        <v>187</v>
      </c>
      <c r="I606" t="s">
        <v>2093</v>
      </c>
      <c r="J606" s="1" t="s">
        <v>2094</v>
      </c>
    </row>
    <row r="607" spans="1:10" ht="15" customHeight="1" x14ac:dyDescent="0.25">
      <c r="A607" t="s">
        <v>2095</v>
      </c>
      <c r="B607">
        <v>2023</v>
      </c>
      <c r="C607" t="s">
        <v>176</v>
      </c>
      <c r="D607" t="b">
        <f>TRUE()</f>
        <v>1</v>
      </c>
      <c r="E607" t="b">
        <f>COUNTIF(connections!A:A, A607) &gt; 0</f>
        <v>1</v>
      </c>
      <c r="G607" t="s">
        <v>2096</v>
      </c>
      <c r="H607" t="s">
        <v>187</v>
      </c>
      <c r="I607" t="s">
        <v>2097</v>
      </c>
      <c r="J607" s="1" t="s">
        <v>2098</v>
      </c>
    </row>
    <row r="608" spans="1:10" ht="15" customHeight="1" x14ac:dyDescent="0.25">
      <c r="A608" t="s">
        <v>2099</v>
      </c>
      <c r="B608">
        <v>2021</v>
      </c>
      <c r="C608" t="s">
        <v>176</v>
      </c>
      <c r="D608" t="b">
        <f>TRUE()</f>
        <v>1</v>
      </c>
      <c r="E608" t="b">
        <f>COUNTIF(connections!A:A, A608) &gt; 0</f>
        <v>1</v>
      </c>
      <c r="G608" t="s">
        <v>2100</v>
      </c>
      <c r="H608" t="s">
        <v>187</v>
      </c>
      <c r="I608" t="s">
        <v>2101</v>
      </c>
      <c r="J608" s="1" t="s">
        <v>2102</v>
      </c>
    </row>
    <row r="609" spans="1:10" ht="15" customHeight="1" x14ac:dyDescent="0.25">
      <c r="A609" t="s">
        <v>2103</v>
      </c>
      <c r="B609">
        <v>2025</v>
      </c>
      <c r="C609" t="s">
        <v>176</v>
      </c>
      <c r="D609" t="b">
        <f>TRUE()</f>
        <v>1</v>
      </c>
      <c r="E609" t="b">
        <f>COUNTIF(connections!A:A, A609) &gt; 0</f>
        <v>0</v>
      </c>
      <c r="F609" t="s">
        <v>399</v>
      </c>
      <c r="G609" t="s">
        <v>2104</v>
      </c>
      <c r="H609" t="s">
        <v>187</v>
      </c>
      <c r="I609" t="s">
        <v>2105</v>
      </c>
      <c r="J609" s="1" t="s">
        <v>2106</v>
      </c>
    </row>
    <row r="610" spans="1:10" ht="15" customHeight="1" x14ac:dyDescent="0.25">
      <c r="A610" t="s">
        <v>2107</v>
      </c>
      <c r="B610">
        <v>2020</v>
      </c>
      <c r="C610" t="s">
        <v>179</v>
      </c>
      <c r="D610" t="b">
        <f>TRUE()</f>
        <v>1</v>
      </c>
      <c r="E610" t="b">
        <f>COUNTIF(connections!A:A, A610) &gt; 0</f>
        <v>1</v>
      </c>
      <c r="G610" t="s">
        <v>2108</v>
      </c>
      <c r="H610" t="s">
        <v>187</v>
      </c>
      <c r="I610" t="s">
        <v>2109</v>
      </c>
      <c r="J610" s="1" t="s">
        <v>2110</v>
      </c>
    </row>
    <row r="611" spans="1:10" ht="15" customHeight="1" x14ac:dyDescent="0.25">
      <c r="A611" t="s">
        <v>2111</v>
      </c>
      <c r="B611">
        <v>2024</v>
      </c>
      <c r="C611" t="s">
        <v>179</v>
      </c>
      <c r="D611" t="b">
        <f>TRUE()</f>
        <v>1</v>
      </c>
      <c r="E611" t="b">
        <f>COUNTIF(connections!A:A, A611) &gt; 0</f>
        <v>1</v>
      </c>
      <c r="G611" t="s">
        <v>2112</v>
      </c>
      <c r="H611" t="s">
        <v>187</v>
      </c>
      <c r="I611" t="s">
        <v>2113</v>
      </c>
      <c r="J611" s="1" t="s">
        <v>2114</v>
      </c>
    </row>
    <row r="612" spans="1:10" ht="15" customHeight="1" x14ac:dyDescent="0.25">
      <c r="A612" t="s">
        <v>2115</v>
      </c>
      <c r="B612">
        <v>2026</v>
      </c>
      <c r="C612" t="s">
        <v>179</v>
      </c>
      <c r="D612" t="b">
        <f>TRUE()</f>
        <v>1</v>
      </c>
      <c r="E612" t="b">
        <f>COUNTIF(connections!A:A, A612) &gt; 0</f>
        <v>0</v>
      </c>
      <c r="G612" t="s">
        <v>2116</v>
      </c>
      <c r="J612" s="1" t="s">
        <v>2117</v>
      </c>
    </row>
    <row r="613" spans="1:10" ht="15" customHeight="1" x14ac:dyDescent="0.25">
      <c r="A613" t="s">
        <v>7935</v>
      </c>
      <c r="B613">
        <v>2026</v>
      </c>
      <c r="C613" t="s">
        <v>176</v>
      </c>
      <c r="D613" t="b">
        <f>TRUE()</f>
        <v>1</v>
      </c>
      <c r="E613" t="b">
        <f>COUNTIF(connections!A:A, A613) &gt; 0</f>
        <v>0</v>
      </c>
      <c r="G613" t="s">
        <v>7936</v>
      </c>
      <c r="J613" s="10" t="s">
        <v>7937</v>
      </c>
    </row>
    <row r="614" spans="1:10" ht="15" customHeight="1" x14ac:dyDescent="0.25">
      <c r="A614" t="s">
        <v>2118</v>
      </c>
      <c r="B614">
        <v>2022</v>
      </c>
      <c r="C614" t="s">
        <v>182</v>
      </c>
      <c r="D614" t="b">
        <f>TRUE()</f>
        <v>1</v>
      </c>
      <c r="E614" t="b">
        <f>COUNTIF(connections!A:A, A614) &gt; 0</f>
        <v>0</v>
      </c>
      <c r="G614" t="s">
        <v>2119</v>
      </c>
      <c r="H614" t="s">
        <v>187</v>
      </c>
      <c r="I614" t="s">
        <v>2120</v>
      </c>
      <c r="J614" s="1" t="s">
        <v>2121</v>
      </c>
    </row>
    <row r="615" spans="1:10" ht="15" customHeight="1" x14ac:dyDescent="0.25">
      <c r="A615" t="s">
        <v>2122</v>
      </c>
      <c r="B615">
        <v>2020</v>
      </c>
      <c r="C615" t="s">
        <v>222</v>
      </c>
      <c r="D615" t="b">
        <f>TRUE()</f>
        <v>1</v>
      </c>
      <c r="E615" t="b">
        <f>COUNTIF(connections!A:A, A615) &gt; 0</f>
        <v>1</v>
      </c>
      <c r="G615" t="s">
        <v>2123</v>
      </c>
      <c r="H615" t="s">
        <v>187</v>
      </c>
      <c r="I615" t="s">
        <v>2124</v>
      </c>
      <c r="J615" s="1" t="s">
        <v>2125</v>
      </c>
    </row>
    <row r="616" spans="1:10" ht="15" customHeight="1" x14ac:dyDescent="0.25">
      <c r="A616" t="s">
        <v>2126</v>
      </c>
      <c r="B616">
        <v>2025</v>
      </c>
      <c r="C616" t="s">
        <v>182</v>
      </c>
      <c r="D616" t="b">
        <f>FALSE()</f>
        <v>0</v>
      </c>
      <c r="E616" t="b">
        <f>COUNTIF(connections!A:A, A616) &gt; 0</f>
        <v>0</v>
      </c>
      <c r="G616" t="s">
        <v>2127</v>
      </c>
      <c r="H616" t="s">
        <v>187</v>
      </c>
      <c r="I616" t="s">
        <v>2128</v>
      </c>
      <c r="J616" s="1" t="s">
        <v>2129</v>
      </c>
    </row>
    <row r="617" spans="1:10" ht="15" customHeight="1" x14ac:dyDescent="0.25">
      <c r="A617" t="s">
        <v>2130</v>
      </c>
      <c r="B617">
        <v>2017</v>
      </c>
      <c r="C617" t="s">
        <v>176</v>
      </c>
      <c r="D617" t="b">
        <f>TRUE()</f>
        <v>1</v>
      </c>
      <c r="E617" t="b">
        <f>COUNTIF(connections!A:A, A617) &gt; 0</f>
        <v>1</v>
      </c>
      <c r="G617" t="s">
        <v>2131</v>
      </c>
    </row>
    <row r="618" spans="1:10" ht="15" customHeight="1" x14ac:dyDescent="0.25">
      <c r="A618" t="s">
        <v>2132</v>
      </c>
      <c r="B618">
        <v>2013</v>
      </c>
      <c r="C618" t="s">
        <v>176</v>
      </c>
      <c r="D618" t="b">
        <f>TRUE()</f>
        <v>1</v>
      </c>
      <c r="E618" t="b">
        <f>COUNTIF(connections!A:A, A618) &gt; 0</f>
        <v>1</v>
      </c>
      <c r="F618" t="s">
        <v>274</v>
      </c>
      <c r="G618" t="s">
        <v>2133</v>
      </c>
      <c r="H618" t="s">
        <v>187</v>
      </c>
      <c r="I618" t="s">
        <v>2134</v>
      </c>
      <c r="J618" s="1" t="s">
        <v>2135</v>
      </c>
    </row>
    <row r="619" spans="1:10" ht="15" customHeight="1" x14ac:dyDescent="0.25">
      <c r="A619" t="s">
        <v>2136</v>
      </c>
      <c r="B619">
        <v>2020</v>
      </c>
      <c r="C619" t="s">
        <v>176</v>
      </c>
      <c r="D619" t="b">
        <f>TRUE()</f>
        <v>1</v>
      </c>
      <c r="E619" t="b">
        <f>COUNTIF(connections!A:A, A619) &gt; 0</f>
        <v>1</v>
      </c>
      <c r="F619" t="s">
        <v>274</v>
      </c>
      <c r="G619" t="s">
        <v>2137</v>
      </c>
      <c r="H619" t="s">
        <v>187</v>
      </c>
      <c r="I619" t="s">
        <v>2138</v>
      </c>
      <c r="J619" s="1" t="s">
        <v>2139</v>
      </c>
    </row>
    <row r="620" spans="1:10" ht="15" customHeight="1" x14ac:dyDescent="0.25">
      <c r="A620" t="s">
        <v>2140</v>
      </c>
      <c r="B620">
        <v>2023</v>
      </c>
      <c r="C620" t="s">
        <v>176</v>
      </c>
      <c r="D620" t="b">
        <f>TRUE()</f>
        <v>1</v>
      </c>
      <c r="E620" t="b">
        <f>COUNTIF(connections!A:A, A620) &gt; 0</f>
        <v>0</v>
      </c>
      <c r="F620" t="s">
        <v>274</v>
      </c>
      <c r="G620" t="s">
        <v>2141</v>
      </c>
      <c r="H620" t="s">
        <v>187</v>
      </c>
      <c r="I620" t="s">
        <v>2142</v>
      </c>
      <c r="J620" s="1" t="s">
        <v>2143</v>
      </c>
    </row>
    <row r="621" spans="1:10" ht="15" customHeight="1" x14ac:dyDescent="0.25">
      <c r="A621" t="s">
        <v>2144</v>
      </c>
      <c r="B621">
        <v>2014</v>
      </c>
      <c r="C621" t="s">
        <v>222</v>
      </c>
      <c r="D621" t="b">
        <f>TRUE()</f>
        <v>1</v>
      </c>
      <c r="E621" t="b">
        <f>COUNTIF(connections!A:A, A621) &gt; 0</f>
        <v>0</v>
      </c>
      <c r="G621" t="s">
        <v>2145</v>
      </c>
    </row>
    <row r="622" spans="1:10" ht="15" customHeight="1" x14ac:dyDescent="0.25">
      <c r="A622" t="s">
        <v>2146</v>
      </c>
      <c r="B622">
        <v>2020</v>
      </c>
      <c r="C622" t="s">
        <v>176</v>
      </c>
      <c r="D622" t="b">
        <f>TRUE()</f>
        <v>1</v>
      </c>
      <c r="E622" t="b">
        <f>COUNTIF(connections!A:A, A622) &gt; 0</f>
        <v>1</v>
      </c>
      <c r="G622" t="s">
        <v>2147</v>
      </c>
      <c r="H622" t="s">
        <v>187</v>
      </c>
      <c r="I622" t="s">
        <v>2148</v>
      </c>
      <c r="J622" s="1" t="s">
        <v>2149</v>
      </c>
    </row>
    <row r="623" spans="1:10" ht="15" customHeight="1" x14ac:dyDescent="0.25">
      <c r="A623" t="s">
        <v>2150</v>
      </c>
      <c r="B623">
        <v>2024</v>
      </c>
      <c r="C623" t="s">
        <v>176</v>
      </c>
      <c r="D623" t="b">
        <f>TRUE()</f>
        <v>1</v>
      </c>
      <c r="E623" t="b">
        <f>COUNTIF(connections!A:A, A623) &gt; 0</f>
        <v>0</v>
      </c>
      <c r="F623" t="s">
        <v>274</v>
      </c>
      <c r="G623" t="s">
        <v>2151</v>
      </c>
      <c r="H623" t="s">
        <v>187</v>
      </c>
      <c r="I623" t="s">
        <v>2152</v>
      </c>
      <c r="J623" s="1" t="s">
        <v>2153</v>
      </c>
    </row>
    <row r="624" spans="1:10" ht="15" customHeight="1" x14ac:dyDescent="0.25">
      <c r="A624" t="s">
        <v>2154</v>
      </c>
      <c r="B624">
        <v>1980</v>
      </c>
      <c r="C624" t="s">
        <v>179</v>
      </c>
      <c r="D624" t="b">
        <f>TRUE()</f>
        <v>1</v>
      </c>
      <c r="E624" t="b">
        <f>COUNTIF(connections!A:A, A624) &gt; 0</f>
        <v>1</v>
      </c>
      <c r="G624" t="s">
        <v>2155</v>
      </c>
      <c r="H624" t="s">
        <v>187</v>
      </c>
      <c r="I624" t="s">
        <v>2156</v>
      </c>
      <c r="J624" s="1" t="s">
        <v>2157</v>
      </c>
    </row>
    <row r="625" spans="1:10" ht="15" customHeight="1" x14ac:dyDescent="0.25">
      <c r="A625" t="s">
        <v>2158</v>
      </c>
      <c r="B625">
        <v>2024</v>
      </c>
      <c r="C625" t="s">
        <v>222</v>
      </c>
      <c r="D625" t="b">
        <f>TRUE()</f>
        <v>1</v>
      </c>
      <c r="E625" t="b">
        <f>COUNTIF(connections!A:A, A625) &gt; 0</f>
        <v>0</v>
      </c>
      <c r="G625" t="s">
        <v>2159</v>
      </c>
    </row>
    <row r="626" spans="1:10" ht="15" customHeight="1" x14ac:dyDescent="0.25">
      <c r="A626" t="s">
        <v>2160</v>
      </c>
      <c r="B626">
        <v>2019</v>
      </c>
      <c r="C626" t="s">
        <v>179</v>
      </c>
      <c r="D626" t="b">
        <f>TRUE()</f>
        <v>1</v>
      </c>
      <c r="E626" t="b">
        <f>COUNTIF(connections!A:A, A626) &gt; 0</f>
        <v>0</v>
      </c>
      <c r="G626" t="s">
        <v>2161</v>
      </c>
    </row>
    <row r="627" spans="1:10" ht="15" customHeight="1" x14ac:dyDescent="0.25">
      <c r="A627" t="s">
        <v>2162</v>
      </c>
      <c r="B627">
        <v>2026</v>
      </c>
      <c r="C627" t="s">
        <v>176</v>
      </c>
      <c r="D627" t="b">
        <f>TRUE()</f>
        <v>1</v>
      </c>
      <c r="E627" t="b">
        <f>COUNTIF(connections!A:A, A627) &gt; 0</f>
        <v>0</v>
      </c>
      <c r="G627" t="s">
        <v>2163</v>
      </c>
    </row>
    <row r="628" spans="1:10" ht="15" customHeight="1" x14ac:dyDescent="0.25">
      <c r="A628" t="s">
        <v>2164</v>
      </c>
      <c r="B628">
        <v>2024</v>
      </c>
      <c r="C628" t="s">
        <v>176</v>
      </c>
      <c r="D628" t="b">
        <f>FALSE()</f>
        <v>0</v>
      </c>
      <c r="E628" t="b">
        <f>COUNTIF(connections!A:A, A628) &gt; 0</f>
        <v>0</v>
      </c>
      <c r="F628" t="s">
        <v>274</v>
      </c>
      <c r="G628" t="s">
        <v>2165</v>
      </c>
    </row>
    <row r="629" spans="1:10" ht="15" customHeight="1" x14ac:dyDescent="0.25">
      <c r="A629" t="s">
        <v>2166</v>
      </c>
      <c r="B629">
        <v>2007</v>
      </c>
      <c r="C629" t="s">
        <v>179</v>
      </c>
      <c r="D629" t="b">
        <f>TRUE()</f>
        <v>1</v>
      </c>
      <c r="E629" t="b">
        <f>COUNTIF(connections!A:A, A629) &gt; 0</f>
        <v>0</v>
      </c>
      <c r="G629" t="s">
        <v>2167</v>
      </c>
      <c r="H629" t="s">
        <v>187</v>
      </c>
      <c r="I629" t="s">
        <v>2168</v>
      </c>
    </row>
    <row r="630" spans="1:10" ht="15" customHeight="1" x14ac:dyDescent="0.25">
      <c r="A630" t="s">
        <v>2169</v>
      </c>
      <c r="B630">
        <v>2021</v>
      </c>
      <c r="C630" t="s">
        <v>176</v>
      </c>
      <c r="D630" t="b">
        <f>TRUE()</f>
        <v>1</v>
      </c>
      <c r="E630" t="b">
        <f>COUNTIF(connections!A:A, A630) &gt; 0</f>
        <v>0</v>
      </c>
      <c r="G630" t="s">
        <v>2170</v>
      </c>
      <c r="H630" t="s">
        <v>187</v>
      </c>
      <c r="I630" t="s">
        <v>2171</v>
      </c>
      <c r="J630" s="1" t="s">
        <v>2172</v>
      </c>
    </row>
    <row r="631" spans="1:10" ht="15" customHeight="1" x14ac:dyDescent="0.25">
      <c r="A631" t="s">
        <v>2173</v>
      </c>
      <c r="B631">
        <v>2013</v>
      </c>
      <c r="C631" t="s">
        <v>176</v>
      </c>
      <c r="D631" t="b">
        <f>TRUE()</f>
        <v>1</v>
      </c>
      <c r="E631" t="b">
        <f>COUNTIF(connections!A:A, A631) &gt; 0</f>
        <v>1</v>
      </c>
      <c r="G631" t="s">
        <v>2174</v>
      </c>
      <c r="H631" t="s">
        <v>187</v>
      </c>
      <c r="I631" t="s">
        <v>2175</v>
      </c>
      <c r="J631" s="1" t="s">
        <v>2176</v>
      </c>
    </row>
    <row r="632" spans="1:10" ht="15" customHeight="1" x14ac:dyDescent="0.25">
      <c r="A632" t="s">
        <v>2177</v>
      </c>
      <c r="B632">
        <v>2020</v>
      </c>
      <c r="C632" t="s">
        <v>176</v>
      </c>
      <c r="D632" t="b">
        <f>TRUE()</f>
        <v>1</v>
      </c>
      <c r="E632" t="b">
        <f>COUNTIF(connections!A:A, A632) &gt; 0</f>
        <v>0</v>
      </c>
      <c r="G632" t="s">
        <v>2178</v>
      </c>
      <c r="H632" t="s">
        <v>187</v>
      </c>
      <c r="I632" t="s">
        <v>2179</v>
      </c>
      <c r="J632" s="1" t="s">
        <v>2180</v>
      </c>
    </row>
    <row r="633" spans="1:10" ht="15" customHeight="1" x14ac:dyDescent="0.25">
      <c r="A633" t="s">
        <v>2181</v>
      </c>
      <c r="B633">
        <v>2021</v>
      </c>
      <c r="C633" t="s">
        <v>222</v>
      </c>
      <c r="D633" t="b">
        <f>TRUE()</f>
        <v>1</v>
      </c>
      <c r="E633" t="b">
        <f>COUNTIF(connections!A:A, A633) &gt; 0</f>
        <v>0</v>
      </c>
      <c r="F633" t="s">
        <v>1805</v>
      </c>
      <c r="G633" t="s">
        <v>2182</v>
      </c>
      <c r="H633" t="s">
        <v>187</v>
      </c>
      <c r="I633" t="s">
        <v>2183</v>
      </c>
      <c r="J633" s="1" t="s">
        <v>2184</v>
      </c>
    </row>
    <row r="634" spans="1:10" ht="15" customHeight="1" x14ac:dyDescent="0.25">
      <c r="A634" t="s">
        <v>2185</v>
      </c>
      <c r="B634">
        <v>2022</v>
      </c>
      <c r="C634" t="s">
        <v>222</v>
      </c>
      <c r="D634" t="b">
        <f>TRUE()</f>
        <v>1</v>
      </c>
      <c r="E634" t="b">
        <f>COUNTIF(connections!A:A, A634) &gt; 0</f>
        <v>1</v>
      </c>
      <c r="F634" t="s">
        <v>404</v>
      </c>
      <c r="G634" t="s">
        <v>2186</v>
      </c>
    </row>
    <row r="635" spans="1:10" ht="15" customHeight="1" x14ac:dyDescent="0.25">
      <c r="A635" t="s">
        <v>2187</v>
      </c>
      <c r="B635">
        <v>2024</v>
      </c>
      <c r="C635" t="s">
        <v>182</v>
      </c>
      <c r="D635" t="b">
        <v>1</v>
      </c>
      <c r="E635" t="b">
        <f>COUNTIF(connections!A:A, A635) &gt; 0</f>
        <v>0</v>
      </c>
      <c r="G635" t="s">
        <v>2188</v>
      </c>
      <c r="J635" s="10" t="s">
        <v>2189</v>
      </c>
    </row>
    <row r="636" spans="1:10" ht="15" customHeight="1" x14ac:dyDescent="0.25">
      <c r="A636" t="s">
        <v>2190</v>
      </c>
      <c r="B636">
        <v>2016</v>
      </c>
      <c r="C636" t="s">
        <v>222</v>
      </c>
      <c r="D636" t="b">
        <v>1</v>
      </c>
      <c r="E636" t="b">
        <f>COUNTIF(connections!A:A, A636) &gt; 0</f>
        <v>0</v>
      </c>
      <c r="G636" t="s">
        <v>2191</v>
      </c>
    </row>
    <row r="637" spans="1:10" ht="15" customHeight="1" x14ac:dyDescent="0.25">
      <c r="A637" t="s">
        <v>2192</v>
      </c>
      <c r="B637">
        <v>2022</v>
      </c>
      <c r="C637" t="s">
        <v>176</v>
      </c>
      <c r="D637" t="b">
        <f>TRUE()</f>
        <v>1</v>
      </c>
      <c r="E637" t="b">
        <f>COUNTIF(connections!A:A, A637) &gt; 0</f>
        <v>1</v>
      </c>
      <c r="G637" t="s">
        <v>2193</v>
      </c>
      <c r="H637" t="s">
        <v>187</v>
      </c>
      <c r="I637" t="s">
        <v>2194</v>
      </c>
      <c r="J637" s="1" t="s">
        <v>2195</v>
      </c>
    </row>
    <row r="638" spans="1:10" ht="15" customHeight="1" x14ac:dyDescent="0.25">
      <c r="A638" t="s">
        <v>2196</v>
      </c>
      <c r="B638">
        <v>2021</v>
      </c>
      <c r="C638" t="s">
        <v>182</v>
      </c>
      <c r="D638" t="b">
        <f>TRUE()</f>
        <v>1</v>
      </c>
      <c r="E638" t="b">
        <f>COUNTIF(connections!A:A, A638) &gt; 0</f>
        <v>1</v>
      </c>
      <c r="G638" t="s">
        <v>2197</v>
      </c>
      <c r="H638" t="s">
        <v>187</v>
      </c>
      <c r="I638" t="s">
        <v>2198</v>
      </c>
      <c r="J638" s="1" t="s">
        <v>2199</v>
      </c>
    </row>
    <row r="639" spans="1:10" ht="15" customHeight="1" x14ac:dyDescent="0.25">
      <c r="A639" t="s">
        <v>2200</v>
      </c>
      <c r="B639">
        <v>2023</v>
      </c>
      <c r="C639" t="s">
        <v>179</v>
      </c>
      <c r="D639" t="b">
        <f>TRUE()</f>
        <v>1</v>
      </c>
      <c r="E639" t="b">
        <f>COUNTIF(connections!A:A, A639) &gt; 0</f>
        <v>0</v>
      </c>
      <c r="G639" t="s">
        <v>2201</v>
      </c>
    </row>
    <row r="640" spans="1:10" ht="15" customHeight="1" x14ac:dyDescent="0.25">
      <c r="A640" t="s">
        <v>2202</v>
      </c>
      <c r="B640">
        <v>2026</v>
      </c>
      <c r="C640" t="s">
        <v>182</v>
      </c>
      <c r="D640" t="b">
        <f>TRUE()</f>
        <v>1</v>
      </c>
      <c r="E640" t="b">
        <f>COUNTIF(connections!A:A, A640) &gt; 0</f>
        <v>0</v>
      </c>
      <c r="F640" t="s">
        <v>354</v>
      </c>
      <c r="G640" t="s">
        <v>2203</v>
      </c>
    </row>
    <row r="641" spans="1:10" ht="15" customHeight="1" x14ac:dyDescent="0.25">
      <c r="A641" t="s">
        <v>2204</v>
      </c>
      <c r="B641">
        <v>2014</v>
      </c>
      <c r="C641" t="s">
        <v>179</v>
      </c>
      <c r="D641" t="b">
        <f>TRUE()</f>
        <v>1</v>
      </c>
      <c r="E641" t="b">
        <f>COUNTIF(connections!A:A, A641) &gt; 0</f>
        <v>0</v>
      </c>
      <c r="G641" t="s">
        <v>2205</v>
      </c>
      <c r="J641" s="1" t="s">
        <v>2206</v>
      </c>
    </row>
    <row r="642" spans="1:10" ht="15" customHeight="1" x14ac:dyDescent="0.25">
      <c r="A642" t="s">
        <v>2207</v>
      </c>
      <c r="B642">
        <v>2022</v>
      </c>
      <c r="C642" t="s">
        <v>222</v>
      </c>
      <c r="D642" t="b">
        <f>FALSE()</f>
        <v>0</v>
      </c>
      <c r="E642" t="b">
        <f>COUNTIF(connections!A:A, A642) &gt; 0</f>
        <v>0</v>
      </c>
      <c r="G642" t="s">
        <v>2208</v>
      </c>
      <c r="H642" t="s">
        <v>187</v>
      </c>
      <c r="I642" t="s">
        <v>2209</v>
      </c>
      <c r="J642" s="1" t="s">
        <v>2210</v>
      </c>
    </row>
    <row r="643" spans="1:10" ht="15" customHeight="1" x14ac:dyDescent="0.25">
      <c r="A643" t="s">
        <v>2211</v>
      </c>
      <c r="B643">
        <v>2021</v>
      </c>
      <c r="C643" t="s">
        <v>222</v>
      </c>
      <c r="D643" t="b">
        <f>TRUE()</f>
        <v>1</v>
      </c>
      <c r="E643" t="b">
        <f>COUNTIF(connections!A:A, A643) &gt; 0</f>
        <v>1</v>
      </c>
      <c r="F643" t="s">
        <v>315</v>
      </c>
      <c r="G643" t="s">
        <v>2212</v>
      </c>
      <c r="H643" t="s">
        <v>187</v>
      </c>
      <c r="I643" t="s">
        <v>2213</v>
      </c>
      <c r="J643" s="1" t="s">
        <v>2214</v>
      </c>
    </row>
    <row r="644" spans="1:10" ht="15" customHeight="1" x14ac:dyDescent="0.25">
      <c r="A644" t="s">
        <v>2215</v>
      </c>
      <c r="B644">
        <v>2024</v>
      </c>
      <c r="C644" t="s">
        <v>222</v>
      </c>
      <c r="D644" t="b">
        <f>TRUE()</f>
        <v>1</v>
      </c>
      <c r="E644" t="b">
        <f>COUNTIF(connections!A:A, A644) &gt; 0</f>
        <v>0</v>
      </c>
      <c r="F644" t="s">
        <v>315</v>
      </c>
      <c r="G644" t="s">
        <v>2216</v>
      </c>
      <c r="H644" t="s">
        <v>187</v>
      </c>
      <c r="I644" t="s">
        <v>2217</v>
      </c>
      <c r="J644" s="1" t="s">
        <v>2218</v>
      </c>
    </row>
    <row r="645" spans="1:10" ht="15" customHeight="1" x14ac:dyDescent="0.25">
      <c r="A645" t="s">
        <v>2219</v>
      </c>
      <c r="B645">
        <v>2026</v>
      </c>
      <c r="C645" t="s">
        <v>182</v>
      </c>
      <c r="D645" t="b">
        <v>1</v>
      </c>
      <c r="E645" t="b">
        <f>COUNTIF(connections!A:A, A645) &gt; 0</f>
        <v>0</v>
      </c>
      <c r="G645" t="s">
        <v>2220</v>
      </c>
      <c r="J645" s="10" t="s">
        <v>2221</v>
      </c>
    </row>
    <row r="646" spans="1:10" ht="15" customHeight="1" x14ac:dyDescent="0.25">
      <c r="A646" t="s">
        <v>2222</v>
      </c>
      <c r="B646">
        <v>2025</v>
      </c>
      <c r="C646" t="s">
        <v>182</v>
      </c>
      <c r="D646" t="b">
        <f>TRUE()</f>
        <v>1</v>
      </c>
      <c r="E646" t="b">
        <f>COUNTIF(connections!A:A, A646) &gt; 0</f>
        <v>0</v>
      </c>
      <c r="F646" t="s">
        <v>354</v>
      </c>
      <c r="G646" t="s">
        <v>2223</v>
      </c>
      <c r="J646" s="10" t="s">
        <v>2224</v>
      </c>
    </row>
    <row r="647" spans="1:10" ht="15" customHeight="1" x14ac:dyDescent="0.25">
      <c r="A647" t="s">
        <v>2225</v>
      </c>
      <c r="B647">
        <v>2021</v>
      </c>
      <c r="C647" t="s">
        <v>176</v>
      </c>
      <c r="D647" t="b">
        <f>FALSE()</f>
        <v>0</v>
      </c>
      <c r="E647" t="b">
        <f>COUNTIF(connections!A:A, A647) &gt; 0</f>
        <v>1</v>
      </c>
      <c r="G647" t="s">
        <v>2226</v>
      </c>
      <c r="H647" t="s">
        <v>187</v>
      </c>
      <c r="I647" t="s">
        <v>2227</v>
      </c>
      <c r="J647" s="1" t="s">
        <v>2228</v>
      </c>
    </row>
    <row r="648" spans="1:10" ht="15" customHeight="1" x14ac:dyDescent="0.25">
      <c r="A648" t="s">
        <v>2229</v>
      </c>
      <c r="B648">
        <v>2026</v>
      </c>
      <c r="C648" t="s">
        <v>182</v>
      </c>
      <c r="D648" t="b">
        <f>TRUE()</f>
        <v>1</v>
      </c>
      <c r="E648" t="b">
        <f>COUNTIF(connections!A:A, A648) &gt; 0</f>
        <v>0</v>
      </c>
      <c r="F648" t="s">
        <v>315</v>
      </c>
      <c r="G648" t="s">
        <v>2230</v>
      </c>
      <c r="J648" s="10" t="s">
        <v>2231</v>
      </c>
    </row>
    <row r="649" spans="1:10" ht="15" customHeight="1" x14ac:dyDescent="0.25">
      <c r="A649" t="s">
        <v>2232</v>
      </c>
      <c r="B649">
        <v>2025</v>
      </c>
      <c r="C649" t="s">
        <v>182</v>
      </c>
      <c r="D649" t="b">
        <f>TRUE()</f>
        <v>1</v>
      </c>
      <c r="E649" t="b">
        <f>COUNTIF(connections!A:A, A649) &gt; 0</f>
        <v>0</v>
      </c>
      <c r="G649" t="s">
        <v>2233</v>
      </c>
      <c r="H649" t="s">
        <v>187</v>
      </c>
      <c r="I649" t="s">
        <v>2234</v>
      </c>
      <c r="J649" s="1" t="s">
        <v>2235</v>
      </c>
    </row>
    <row r="650" spans="1:10" ht="15" customHeight="1" x14ac:dyDescent="0.25">
      <c r="A650" t="s">
        <v>2236</v>
      </c>
      <c r="B650">
        <v>2026</v>
      </c>
      <c r="C650" t="s">
        <v>182</v>
      </c>
      <c r="D650" t="b">
        <f>TRUE()</f>
        <v>1</v>
      </c>
      <c r="E650" t="b">
        <f>COUNTIF(connections!A:A, A650) &gt; 0</f>
        <v>0</v>
      </c>
      <c r="G650" t="s">
        <v>2237</v>
      </c>
      <c r="J650" s="10" t="s">
        <v>2238</v>
      </c>
    </row>
    <row r="651" spans="1:10" ht="15" customHeight="1" x14ac:dyDescent="0.25">
      <c r="A651" t="s">
        <v>2239</v>
      </c>
      <c r="B651">
        <v>2023</v>
      </c>
      <c r="C651" t="s">
        <v>182</v>
      </c>
      <c r="D651" t="b">
        <f>TRUE()</f>
        <v>1</v>
      </c>
      <c r="E651" t="b">
        <f>COUNTIF(connections!A:A, A651) &gt; 0</f>
        <v>0</v>
      </c>
      <c r="G651" t="s">
        <v>2240</v>
      </c>
      <c r="J651" s="10" t="s">
        <v>2241</v>
      </c>
    </row>
    <row r="652" spans="1:10" ht="15" customHeight="1" x14ac:dyDescent="0.25">
      <c r="A652" t="s">
        <v>8385</v>
      </c>
      <c r="B652">
        <v>2022</v>
      </c>
      <c r="C652" t="s">
        <v>176</v>
      </c>
      <c r="D652" t="b">
        <f>TRUE()</f>
        <v>1</v>
      </c>
      <c r="E652" t="b">
        <f>COUNTIF(connections!A:A, A652) &gt; 0</f>
        <v>1</v>
      </c>
      <c r="G652" t="s">
        <v>8386</v>
      </c>
      <c r="H652" t="s">
        <v>187</v>
      </c>
      <c r="I652" t="s">
        <v>8428</v>
      </c>
      <c r="J652" s="10" t="s">
        <v>8387</v>
      </c>
    </row>
    <row r="653" spans="1:10" ht="15" customHeight="1" x14ac:dyDescent="0.25">
      <c r="A653" t="s">
        <v>2242</v>
      </c>
      <c r="B653">
        <v>2010</v>
      </c>
      <c r="C653" t="s">
        <v>179</v>
      </c>
      <c r="D653" t="b">
        <f>TRUE()</f>
        <v>1</v>
      </c>
      <c r="E653" t="b">
        <f>COUNTIF(connections!A:A, A653) &gt; 0</f>
        <v>0</v>
      </c>
      <c r="F653" t="s">
        <v>328</v>
      </c>
      <c r="G653" t="s">
        <v>2243</v>
      </c>
    </row>
    <row r="654" spans="1:10" ht="15" customHeight="1" x14ac:dyDescent="0.25">
      <c r="A654" t="s">
        <v>2244</v>
      </c>
      <c r="B654">
        <v>2024</v>
      </c>
      <c r="C654" t="s">
        <v>176</v>
      </c>
      <c r="D654" t="b">
        <f>TRUE()</f>
        <v>1</v>
      </c>
      <c r="E654" t="b">
        <f>COUNTIF(connections!A:A, A654) &gt; 0</f>
        <v>0</v>
      </c>
      <c r="G654" t="s">
        <v>2245</v>
      </c>
      <c r="H654" t="s">
        <v>187</v>
      </c>
      <c r="I654" t="s">
        <v>8146</v>
      </c>
      <c r="J654" s="10" t="s">
        <v>2246</v>
      </c>
    </row>
    <row r="655" spans="1:10" ht="15" customHeight="1" x14ac:dyDescent="0.25">
      <c r="A655" t="s">
        <v>2247</v>
      </c>
      <c r="B655">
        <v>2022</v>
      </c>
      <c r="C655" t="s">
        <v>176</v>
      </c>
      <c r="D655" t="b">
        <f>TRUE()</f>
        <v>1</v>
      </c>
      <c r="E655" t="b">
        <f>COUNTIF(connections!A:A, A655) &gt; 0</f>
        <v>0</v>
      </c>
      <c r="G655" t="s">
        <v>2248</v>
      </c>
      <c r="H655" t="s">
        <v>187</v>
      </c>
      <c r="I655" t="s">
        <v>2249</v>
      </c>
      <c r="J655" s="1" t="s">
        <v>2250</v>
      </c>
    </row>
    <row r="656" spans="1:10" ht="15" customHeight="1" x14ac:dyDescent="0.25">
      <c r="A656" t="s">
        <v>2251</v>
      </c>
      <c r="B656">
        <v>2023</v>
      </c>
      <c r="C656" t="s">
        <v>176</v>
      </c>
      <c r="D656" t="b">
        <v>1</v>
      </c>
      <c r="E656" t="b">
        <f>COUNTIF(connections!A:A, A656) &gt; 0</f>
        <v>0</v>
      </c>
      <c r="G656" t="s">
        <v>2252</v>
      </c>
      <c r="J656" s="10" t="s">
        <v>2253</v>
      </c>
    </row>
    <row r="657" spans="1:10" ht="15" customHeight="1" x14ac:dyDescent="0.25">
      <c r="A657" t="s">
        <v>2254</v>
      </c>
      <c r="B657">
        <v>2020</v>
      </c>
      <c r="C657" t="s">
        <v>176</v>
      </c>
      <c r="D657" t="b">
        <f>TRUE()</f>
        <v>1</v>
      </c>
      <c r="E657" t="b">
        <f>COUNTIF(connections!A:A, A657) &gt; 0</f>
        <v>1</v>
      </c>
      <c r="G657" t="s">
        <v>2255</v>
      </c>
      <c r="H657" t="s">
        <v>187</v>
      </c>
      <c r="I657" t="s">
        <v>2256</v>
      </c>
      <c r="J657" s="1" t="s">
        <v>2257</v>
      </c>
    </row>
    <row r="658" spans="1:10" ht="15" customHeight="1" x14ac:dyDescent="0.25">
      <c r="A658" t="s">
        <v>2258</v>
      </c>
      <c r="B658">
        <v>2023</v>
      </c>
      <c r="C658" t="s">
        <v>176</v>
      </c>
      <c r="D658" t="b">
        <f>TRUE()</f>
        <v>1</v>
      </c>
      <c r="E658" t="b">
        <f>COUNTIF(connections!A:A, A658) &gt; 0</f>
        <v>0</v>
      </c>
      <c r="F658" t="s">
        <v>652</v>
      </c>
      <c r="G658" t="s">
        <v>2259</v>
      </c>
    </row>
    <row r="659" spans="1:10" ht="15" customHeight="1" x14ac:dyDescent="0.25">
      <c r="A659" t="s">
        <v>2260</v>
      </c>
      <c r="B659">
        <v>2023</v>
      </c>
      <c r="C659" t="s">
        <v>176</v>
      </c>
      <c r="D659" t="b">
        <f>FALSE()</f>
        <v>0</v>
      </c>
      <c r="E659" t="b">
        <f>COUNTIF(connections!A:A, A659) &gt; 0</f>
        <v>0</v>
      </c>
      <c r="G659" t="s">
        <v>2261</v>
      </c>
      <c r="H659" t="s">
        <v>187</v>
      </c>
      <c r="I659" t="s">
        <v>2262</v>
      </c>
      <c r="J659" s="1" t="s">
        <v>2263</v>
      </c>
    </row>
    <row r="660" spans="1:10" ht="15" customHeight="1" x14ac:dyDescent="0.25">
      <c r="A660" t="s">
        <v>2264</v>
      </c>
      <c r="B660">
        <v>2025</v>
      </c>
      <c r="C660" t="s">
        <v>222</v>
      </c>
      <c r="D660" t="b">
        <f>TRUE()</f>
        <v>1</v>
      </c>
      <c r="E660" t="b">
        <f>COUNTIF(connections!A:A, A660) &gt; 0</f>
        <v>0</v>
      </c>
      <c r="G660" t="s">
        <v>2265</v>
      </c>
      <c r="J660" s="1" t="s">
        <v>2266</v>
      </c>
    </row>
    <row r="661" spans="1:10" ht="15" customHeight="1" x14ac:dyDescent="0.25">
      <c r="A661" t="s">
        <v>2267</v>
      </c>
      <c r="B661">
        <v>2025</v>
      </c>
      <c r="C661" t="s">
        <v>176</v>
      </c>
      <c r="D661" t="b">
        <f>TRUE()</f>
        <v>1</v>
      </c>
      <c r="E661" t="b">
        <f>COUNTIF(connections!A:A, A661) &gt; 0</f>
        <v>0</v>
      </c>
      <c r="G661" t="s">
        <v>2268</v>
      </c>
    </row>
    <row r="662" spans="1:10" ht="15" customHeight="1" x14ac:dyDescent="0.25">
      <c r="A662" t="s">
        <v>2269</v>
      </c>
      <c r="B662">
        <v>2022</v>
      </c>
      <c r="C662" t="s">
        <v>176</v>
      </c>
      <c r="D662" t="b">
        <f>TRUE()</f>
        <v>1</v>
      </c>
      <c r="E662" t="b">
        <f>COUNTIF(connections!A:A, A662) &gt; 0</f>
        <v>1</v>
      </c>
      <c r="G662" t="s">
        <v>2270</v>
      </c>
      <c r="H662" t="s">
        <v>187</v>
      </c>
      <c r="I662" t="s">
        <v>2271</v>
      </c>
      <c r="J662" s="1" t="s">
        <v>2272</v>
      </c>
    </row>
    <row r="663" spans="1:10" ht="15" customHeight="1" x14ac:dyDescent="0.25">
      <c r="A663" t="s">
        <v>2273</v>
      </c>
      <c r="B663">
        <v>2026</v>
      </c>
      <c r="C663" t="s">
        <v>176</v>
      </c>
      <c r="D663" t="b">
        <f>TRUE()</f>
        <v>1</v>
      </c>
      <c r="E663" t="b">
        <f>COUNTIF(connections!A:A, A663) &gt; 0</f>
        <v>0</v>
      </c>
      <c r="G663" t="s">
        <v>2274</v>
      </c>
      <c r="J663" s="10" t="s">
        <v>2275</v>
      </c>
    </row>
    <row r="664" spans="1:10" ht="15" customHeight="1" x14ac:dyDescent="0.25">
      <c r="A664" t="s">
        <v>2276</v>
      </c>
      <c r="B664">
        <v>2015</v>
      </c>
      <c r="C664" t="s">
        <v>179</v>
      </c>
      <c r="D664" t="b">
        <f>TRUE()</f>
        <v>1</v>
      </c>
      <c r="E664" t="b">
        <f>COUNTIF(connections!A:A, A664) &gt; 0</f>
        <v>0</v>
      </c>
      <c r="G664" t="s">
        <v>2277</v>
      </c>
      <c r="H664" t="s">
        <v>187</v>
      </c>
      <c r="I664" t="s">
        <v>2278</v>
      </c>
    </row>
    <row r="665" spans="1:10" ht="15" customHeight="1" x14ac:dyDescent="0.25">
      <c r="A665" t="s">
        <v>2279</v>
      </c>
      <c r="B665">
        <v>2025</v>
      </c>
      <c r="C665" t="s">
        <v>222</v>
      </c>
      <c r="D665" t="b">
        <f>TRUE()</f>
        <v>1</v>
      </c>
      <c r="E665" t="b">
        <f>COUNTIF(connections!A:A, A665) &gt; 0</f>
        <v>0</v>
      </c>
      <c r="G665" t="s">
        <v>2280</v>
      </c>
    </row>
    <row r="666" spans="1:10" ht="15" customHeight="1" x14ac:dyDescent="0.25">
      <c r="A666" t="s">
        <v>2281</v>
      </c>
      <c r="B666">
        <v>2025</v>
      </c>
      <c r="C666" t="s">
        <v>176</v>
      </c>
      <c r="D666" t="b">
        <f>TRUE()</f>
        <v>1</v>
      </c>
      <c r="E666" t="b">
        <f>COUNTIF(connections!A:A, A666) &gt; 0</f>
        <v>0</v>
      </c>
      <c r="G666" t="s">
        <v>2282</v>
      </c>
      <c r="H666" t="s">
        <v>187</v>
      </c>
      <c r="I666" t="s">
        <v>8356</v>
      </c>
      <c r="J666" s="10" t="s">
        <v>8357</v>
      </c>
    </row>
    <row r="667" spans="1:10" ht="15" customHeight="1" x14ac:dyDescent="0.25">
      <c r="A667" t="s">
        <v>2283</v>
      </c>
      <c r="B667">
        <v>2023</v>
      </c>
      <c r="C667" t="s">
        <v>176</v>
      </c>
      <c r="D667" t="b">
        <f>TRUE()</f>
        <v>1</v>
      </c>
      <c r="E667" t="b">
        <f>COUNTIF(connections!A:A, A667) &gt; 0</f>
        <v>0</v>
      </c>
      <c r="G667" t="s">
        <v>2284</v>
      </c>
      <c r="J667" s="10" t="s">
        <v>2285</v>
      </c>
    </row>
    <row r="668" spans="1:10" ht="15" customHeight="1" x14ac:dyDescent="0.25">
      <c r="A668" t="s">
        <v>7943</v>
      </c>
      <c r="B668">
        <v>2025</v>
      </c>
      <c r="C668" t="s">
        <v>176</v>
      </c>
      <c r="D668" t="b">
        <f>TRUE()</f>
        <v>1</v>
      </c>
      <c r="E668" t="b">
        <f>COUNTIF(connections!A:A, A668) &gt; 0</f>
        <v>0</v>
      </c>
      <c r="G668" t="s">
        <v>7944</v>
      </c>
      <c r="J668" s="10" t="s">
        <v>7942</v>
      </c>
    </row>
    <row r="669" spans="1:10" ht="15" customHeight="1" x14ac:dyDescent="0.25">
      <c r="A669" t="s">
        <v>2286</v>
      </c>
      <c r="B669">
        <v>2014</v>
      </c>
      <c r="C669" t="s">
        <v>179</v>
      </c>
      <c r="D669" t="b">
        <f>TRUE()</f>
        <v>1</v>
      </c>
      <c r="E669" t="b">
        <f>COUNTIF(connections!A:A, A669) &gt; 0</f>
        <v>1</v>
      </c>
      <c r="G669" t="s">
        <v>2287</v>
      </c>
    </row>
    <row r="670" spans="1:10" ht="15" customHeight="1" x14ac:dyDescent="0.25">
      <c r="A670" t="s">
        <v>2288</v>
      </c>
      <c r="B670">
        <v>2022</v>
      </c>
      <c r="C670" t="s">
        <v>176</v>
      </c>
      <c r="D670" t="b">
        <f>TRUE()</f>
        <v>1</v>
      </c>
      <c r="E670" t="b">
        <f>COUNTIF(connections!A:A, A670) &gt; 0</f>
        <v>0</v>
      </c>
      <c r="F670" t="s">
        <v>652</v>
      </c>
      <c r="G670" t="s">
        <v>2289</v>
      </c>
      <c r="H670" t="s">
        <v>187</v>
      </c>
      <c r="I670" t="s">
        <v>2290</v>
      </c>
      <c r="J670" s="1" t="s">
        <v>2291</v>
      </c>
    </row>
    <row r="671" spans="1:10" ht="15" customHeight="1" x14ac:dyDescent="0.25">
      <c r="A671" t="s">
        <v>2292</v>
      </c>
      <c r="B671">
        <v>2008</v>
      </c>
      <c r="C671" t="s">
        <v>179</v>
      </c>
      <c r="D671" t="b">
        <f>TRUE()</f>
        <v>1</v>
      </c>
      <c r="E671" t="b">
        <f>COUNTIF(connections!A:A, A671) &gt; 0</f>
        <v>1</v>
      </c>
      <c r="G671" t="s">
        <v>2293</v>
      </c>
      <c r="H671" t="s">
        <v>187</v>
      </c>
      <c r="I671" t="s">
        <v>2294</v>
      </c>
    </row>
    <row r="672" spans="1:10" ht="15" customHeight="1" x14ac:dyDescent="0.25">
      <c r="A672" t="s">
        <v>2295</v>
      </c>
      <c r="B672">
        <v>2000</v>
      </c>
      <c r="C672" t="s">
        <v>179</v>
      </c>
      <c r="D672" t="b">
        <f>TRUE()</f>
        <v>1</v>
      </c>
      <c r="E672" t="b">
        <f>COUNTIF(connections!A:A, A672) &gt; 0</f>
        <v>1</v>
      </c>
      <c r="G672" t="s">
        <v>2296</v>
      </c>
      <c r="H672" t="s">
        <v>187</v>
      </c>
      <c r="I672" t="s">
        <v>2297</v>
      </c>
    </row>
    <row r="673" spans="1:10" ht="15" customHeight="1" x14ac:dyDescent="0.25">
      <c r="A673" t="s">
        <v>2298</v>
      </c>
      <c r="B673">
        <v>2010</v>
      </c>
      <c r="C673" t="s">
        <v>179</v>
      </c>
      <c r="D673" t="b">
        <f>TRUE()</f>
        <v>1</v>
      </c>
      <c r="E673" t="b">
        <f>COUNTIF(connections!A:A, A673) &gt; 0</f>
        <v>1</v>
      </c>
      <c r="G673" t="s">
        <v>2299</v>
      </c>
      <c r="H673" t="s">
        <v>187</v>
      </c>
      <c r="I673" t="s">
        <v>2300</v>
      </c>
    </row>
    <row r="674" spans="1:10" ht="15" customHeight="1" x14ac:dyDescent="0.25">
      <c r="A674" t="s">
        <v>2301</v>
      </c>
      <c r="B674">
        <v>2002</v>
      </c>
      <c r="C674" t="s">
        <v>179</v>
      </c>
      <c r="D674" t="b">
        <f>TRUE()</f>
        <v>1</v>
      </c>
      <c r="E674" t="b">
        <f>COUNTIF(connections!A:A, A674) &gt; 0</f>
        <v>0</v>
      </c>
      <c r="G674" t="s">
        <v>2302</v>
      </c>
      <c r="H674" t="s">
        <v>187</v>
      </c>
      <c r="I674" t="s">
        <v>2303</v>
      </c>
    </row>
    <row r="675" spans="1:10" ht="15" customHeight="1" x14ac:dyDescent="0.25">
      <c r="A675" t="s">
        <v>2304</v>
      </c>
      <c r="B675">
        <v>1996</v>
      </c>
      <c r="C675" t="s">
        <v>179</v>
      </c>
      <c r="D675" t="b">
        <f>TRUE()</f>
        <v>1</v>
      </c>
      <c r="E675" t="b">
        <f>COUNTIF(connections!A:A, A675) &gt; 0</f>
        <v>1</v>
      </c>
      <c r="G675" t="s">
        <v>2305</v>
      </c>
      <c r="H675" t="s">
        <v>187</v>
      </c>
      <c r="I675" t="s">
        <v>2306</v>
      </c>
    </row>
    <row r="676" spans="1:10" ht="15" customHeight="1" x14ac:dyDescent="0.25">
      <c r="A676" t="s">
        <v>2307</v>
      </c>
      <c r="B676">
        <v>2001</v>
      </c>
      <c r="C676" t="s">
        <v>179</v>
      </c>
      <c r="D676" t="b">
        <f>TRUE()</f>
        <v>1</v>
      </c>
      <c r="E676" t="b">
        <f>COUNTIF(connections!A:A, A676) &gt; 0</f>
        <v>0</v>
      </c>
      <c r="G676" t="s">
        <v>2308</v>
      </c>
      <c r="H676" t="s">
        <v>187</v>
      </c>
      <c r="I676" t="s">
        <v>2309</v>
      </c>
    </row>
    <row r="677" spans="1:10" ht="15" customHeight="1" x14ac:dyDescent="0.25">
      <c r="A677" t="s">
        <v>2310</v>
      </c>
      <c r="B677">
        <v>2024</v>
      </c>
      <c r="C677" t="s">
        <v>179</v>
      </c>
      <c r="D677" t="b">
        <f>TRUE()</f>
        <v>1</v>
      </c>
      <c r="E677" t="b">
        <f>COUNTIF(connections!A:A, A677) &gt; 0</f>
        <v>0</v>
      </c>
      <c r="G677" t="s">
        <v>2311</v>
      </c>
      <c r="H677" t="s">
        <v>187</v>
      </c>
      <c r="I677" t="s">
        <v>2312</v>
      </c>
      <c r="J677" s="1" t="s">
        <v>2313</v>
      </c>
    </row>
    <row r="678" spans="1:10" ht="15" customHeight="1" x14ac:dyDescent="0.25">
      <c r="A678" t="s">
        <v>2314</v>
      </c>
      <c r="B678">
        <v>2010</v>
      </c>
      <c r="C678" t="s">
        <v>179</v>
      </c>
      <c r="D678" t="b">
        <f>TRUE()</f>
        <v>1</v>
      </c>
      <c r="E678" t="b">
        <f>COUNTIF(connections!A:A, A678) &gt; 0</f>
        <v>1</v>
      </c>
      <c r="G678" t="s">
        <v>2315</v>
      </c>
      <c r="H678" t="s">
        <v>187</v>
      </c>
      <c r="I678" t="s">
        <v>2316</v>
      </c>
      <c r="J678" s="1" t="s">
        <v>2317</v>
      </c>
    </row>
    <row r="679" spans="1:10" ht="15" customHeight="1" x14ac:dyDescent="0.25">
      <c r="A679" t="s">
        <v>2318</v>
      </c>
      <c r="B679">
        <v>2023</v>
      </c>
      <c r="C679" t="s">
        <v>222</v>
      </c>
      <c r="D679" t="b">
        <f>TRUE()</f>
        <v>1</v>
      </c>
      <c r="E679" t="b">
        <f>COUNTIF(connections!A:A, A679) &gt; 0</f>
        <v>1</v>
      </c>
      <c r="G679" t="s">
        <v>2319</v>
      </c>
      <c r="H679" t="s">
        <v>187</v>
      </c>
      <c r="I679" t="s">
        <v>2320</v>
      </c>
      <c r="J679" s="1" t="s">
        <v>2321</v>
      </c>
    </row>
    <row r="680" spans="1:10" ht="15" customHeight="1" x14ac:dyDescent="0.25">
      <c r="A680" t="s">
        <v>2322</v>
      </c>
      <c r="B680">
        <v>2010</v>
      </c>
      <c r="C680" t="s">
        <v>176</v>
      </c>
      <c r="D680" t="b">
        <f>TRUE()</f>
        <v>1</v>
      </c>
      <c r="E680" t="b">
        <f>COUNTIF(connections!A:A, A680) &gt; 0</f>
        <v>1</v>
      </c>
      <c r="G680" t="s">
        <v>2323</v>
      </c>
    </row>
    <row r="681" spans="1:10" ht="15" customHeight="1" x14ac:dyDescent="0.25">
      <c r="A681" t="s">
        <v>2324</v>
      </c>
      <c r="B681">
        <v>2022</v>
      </c>
      <c r="C681" t="s">
        <v>222</v>
      </c>
      <c r="D681" t="b">
        <f>TRUE()</f>
        <v>1</v>
      </c>
      <c r="E681" t="b">
        <f>COUNTIF(connections!A:A, A681) &gt; 0</f>
        <v>1</v>
      </c>
      <c r="F681" t="s">
        <v>1164</v>
      </c>
      <c r="G681" t="s">
        <v>2325</v>
      </c>
      <c r="H681" t="s">
        <v>187</v>
      </c>
      <c r="I681" t="s">
        <v>2326</v>
      </c>
      <c r="J681" s="1" t="s">
        <v>2327</v>
      </c>
    </row>
    <row r="682" spans="1:10" ht="15" customHeight="1" x14ac:dyDescent="0.25">
      <c r="A682" t="s">
        <v>2328</v>
      </c>
      <c r="B682">
        <v>2022</v>
      </c>
      <c r="C682" t="s">
        <v>176</v>
      </c>
      <c r="D682" t="b">
        <f>TRUE()</f>
        <v>1</v>
      </c>
      <c r="E682" t="b">
        <f>COUNTIF(connections!A:A, A682) &gt; 0</f>
        <v>0</v>
      </c>
      <c r="F682" t="s">
        <v>1030</v>
      </c>
      <c r="G682" t="s">
        <v>2329</v>
      </c>
    </row>
    <row r="683" spans="1:10" ht="15" customHeight="1" x14ac:dyDescent="0.25">
      <c r="A683" t="s">
        <v>7950</v>
      </c>
      <c r="B683">
        <v>2026</v>
      </c>
      <c r="C683" t="s">
        <v>182</v>
      </c>
      <c r="D683" t="b">
        <f>TRUE()</f>
        <v>1</v>
      </c>
      <c r="E683" t="b">
        <f>COUNTIF(connections!A:A, A683) &gt; 0</f>
        <v>0</v>
      </c>
      <c r="G683" t="s">
        <v>7951</v>
      </c>
      <c r="J683" s="10" t="s">
        <v>7952</v>
      </c>
    </row>
    <row r="684" spans="1:10" ht="15" customHeight="1" x14ac:dyDescent="0.25">
      <c r="A684" t="s">
        <v>2330</v>
      </c>
      <c r="B684">
        <v>2012</v>
      </c>
      <c r="C684" t="s">
        <v>179</v>
      </c>
      <c r="D684" t="b">
        <f>TRUE()</f>
        <v>1</v>
      </c>
      <c r="E684" t="b">
        <f>COUNTIF(connections!A:A, A684) &gt; 0</f>
        <v>0</v>
      </c>
      <c r="G684" t="s">
        <v>2331</v>
      </c>
    </row>
    <row r="685" spans="1:10" ht="15" customHeight="1" x14ac:dyDescent="0.25">
      <c r="A685" t="s">
        <v>2332</v>
      </c>
      <c r="B685">
        <v>2026</v>
      </c>
      <c r="C685" t="s">
        <v>222</v>
      </c>
      <c r="D685" t="b">
        <f>TRUE()</f>
        <v>1</v>
      </c>
      <c r="E685" t="b">
        <f>COUNTIF(connections!A:A, A685) &gt; 0</f>
        <v>0</v>
      </c>
      <c r="G685" t="s">
        <v>2333</v>
      </c>
      <c r="J685" s="10" t="s">
        <v>2334</v>
      </c>
    </row>
    <row r="686" spans="1:10" ht="15" customHeight="1" x14ac:dyDescent="0.25">
      <c r="A686" t="s">
        <v>2335</v>
      </c>
      <c r="B686">
        <v>2020</v>
      </c>
      <c r="C686" t="s">
        <v>176</v>
      </c>
      <c r="D686" t="b">
        <f>TRUE()</f>
        <v>1</v>
      </c>
      <c r="E686" t="b">
        <f>COUNTIF(connections!A:A, A686) &gt; 0</f>
        <v>1</v>
      </c>
      <c r="G686" t="s">
        <v>2336</v>
      </c>
      <c r="H686" t="s">
        <v>187</v>
      </c>
      <c r="I686" t="s">
        <v>2337</v>
      </c>
      <c r="J686" s="1" t="s">
        <v>2338</v>
      </c>
    </row>
    <row r="687" spans="1:10" ht="15" customHeight="1" x14ac:dyDescent="0.25">
      <c r="A687" t="s">
        <v>2339</v>
      </c>
      <c r="B687">
        <v>2026</v>
      </c>
      <c r="C687" t="s">
        <v>176</v>
      </c>
      <c r="D687" t="b">
        <f>TRUE()</f>
        <v>1</v>
      </c>
      <c r="E687" t="b">
        <f>COUNTIF(connections!A:A, A687) &gt; 0</f>
        <v>0</v>
      </c>
      <c r="G687" t="s">
        <v>2340</v>
      </c>
      <c r="H687" t="s">
        <v>187</v>
      </c>
      <c r="I687" t="s">
        <v>8353</v>
      </c>
      <c r="J687" s="10" t="s">
        <v>8354</v>
      </c>
    </row>
    <row r="688" spans="1:10" ht="15" customHeight="1" x14ac:dyDescent="0.25">
      <c r="A688" t="s">
        <v>2341</v>
      </c>
      <c r="B688">
        <v>2014</v>
      </c>
      <c r="C688" t="s">
        <v>176</v>
      </c>
      <c r="D688" t="b">
        <f>TRUE()</f>
        <v>1</v>
      </c>
      <c r="E688" t="b">
        <f>COUNTIF(connections!A:A, A688) &gt; 0</f>
        <v>0</v>
      </c>
      <c r="G688" t="s">
        <v>2342</v>
      </c>
      <c r="H688" t="s">
        <v>187</v>
      </c>
      <c r="I688" t="s">
        <v>8339</v>
      </c>
      <c r="J688" s="10" t="s">
        <v>2343</v>
      </c>
    </row>
    <row r="689" spans="1:10" ht="15" customHeight="1" x14ac:dyDescent="0.25">
      <c r="A689" t="s">
        <v>2344</v>
      </c>
      <c r="B689">
        <v>2024</v>
      </c>
      <c r="C689" t="s">
        <v>182</v>
      </c>
      <c r="D689" t="b">
        <f>TRUE()</f>
        <v>1</v>
      </c>
      <c r="E689" t="b">
        <f>COUNTIF(connections!A:A, A689) &gt; 0</f>
        <v>0</v>
      </c>
      <c r="F689" t="s">
        <v>271</v>
      </c>
      <c r="G689" t="s">
        <v>2345</v>
      </c>
      <c r="H689" t="s">
        <v>187</v>
      </c>
      <c r="I689" t="s">
        <v>2346</v>
      </c>
      <c r="J689" s="1" t="s">
        <v>2347</v>
      </c>
    </row>
    <row r="690" spans="1:10" ht="15" customHeight="1" x14ac:dyDescent="0.25">
      <c r="A690" t="s">
        <v>2348</v>
      </c>
      <c r="B690">
        <v>2006</v>
      </c>
      <c r="C690" t="s">
        <v>179</v>
      </c>
      <c r="D690" t="b">
        <f>TRUE()</f>
        <v>1</v>
      </c>
      <c r="E690" t="b">
        <f>COUNTIF(connections!A:A, A690) &gt; 0</f>
        <v>1</v>
      </c>
      <c r="G690" t="s">
        <v>2349</v>
      </c>
      <c r="H690" t="s">
        <v>187</v>
      </c>
      <c r="I690" t="s">
        <v>2350</v>
      </c>
    </row>
    <row r="691" spans="1:10" ht="15" customHeight="1" x14ac:dyDescent="0.25">
      <c r="A691" t="s">
        <v>2351</v>
      </c>
      <c r="B691">
        <v>2018</v>
      </c>
      <c r="C691" t="s">
        <v>176</v>
      </c>
      <c r="D691" t="b">
        <f>FALSE()</f>
        <v>0</v>
      </c>
      <c r="E691" t="b">
        <f>COUNTIF(connections!A:A, A691) &gt; 0</f>
        <v>0</v>
      </c>
      <c r="G691" t="s">
        <v>2352</v>
      </c>
      <c r="H691" t="s">
        <v>187</v>
      </c>
      <c r="I691" t="s">
        <v>2353</v>
      </c>
      <c r="J691" s="1" t="s">
        <v>2354</v>
      </c>
    </row>
    <row r="692" spans="1:10" ht="15" customHeight="1" x14ac:dyDescent="0.25">
      <c r="A692" t="s">
        <v>90</v>
      </c>
      <c r="B692">
        <v>2017</v>
      </c>
      <c r="C692" t="s">
        <v>182</v>
      </c>
      <c r="D692" t="b">
        <f>TRUE()</f>
        <v>1</v>
      </c>
      <c r="E692" t="b">
        <f>COUNTIF(connections!A:A, A692) &gt; 0</f>
        <v>1</v>
      </c>
      <c r="G692" t="s">
        <v>2355</v>
      </c>
      <c r="H692" t="s">
        <v>187</v>
      </c>
      <c r="I692" t="s">
        <v>2356</v>
      </c>
      <c r="J692" s="1" t="s">
        <v>2357</v>
      </c>
    </row>
    <row r="693" spans="1:10" ht="15" customHeight="1" x14ac:dyDescent="0.25">
      <c r="A693" t="s">
        <v>38</v>
      </c>
      <c r="B693">
        <v>2026</v>
      </c>
      <c r="C693" t="s">
        <v>182</v>
      </c>
      <c r="D693" t="b">
        <f>TRUE()</f>
        <v>1</v>
      </c>
      <c r="E693" t="b">
        <f>COUNTIF(connections!A:A, A693) &gt; 0</f>
        <v>0</v>
      </c>
      <c r="G693" t="s">
        <v>2358</v>
      </c>
      <c r="H693" t="s">
        <v>187</v>
      </c>
      <c r="I693" t="s">
        <v>2359</v>
      </c>
      <c r="J693" s="1" t="s">
        <v>2360</v>
      </c>
    </row>
    <row r="694" spans="1:10" ht="15" customHeight="1" x14ac:dyDescent="0.25">
      <c r="A694" t="s">
        <v>2361</v>
      </c>
      <c r="B694">
        <v>2018</v>
      </c>
      <c r="C694" t="s">
        <v>222</v>
      </c>
      <c r="D694" t="b">
        <f>TRUE()</f>
        <v>1</v>
      </c>
      <c r="E694" t="b">
        <f>COUNTIF(connections!A:A, A694) &gt; 0</f>
        <v>1</v>
      </c>
      <c r="F694" t="s">
        <v>315</v>
      </c>
      <c r="G694" t="s">
        <v>2362</v>
      </c>
      <c r="H694" t="s">
        <v>187</v>
      </c>
      <c r="I694" t="s">
        <v>2363</v>
      </c>
      <c r="J694" s="1" t="s">
        <v>2364</v>
      </c>
    </row>
    <row r="695" spans="1:10" ht="15" customHeight="1" x14ac:dyDescent="0.25">
      <c r="A695" t="s">
        <v>8390</v>
      </c>
      <c r="B695">
        <v>2024</v>
      </c>
      <c r="C695" t="s">
        <v>176</v>
      </c>
      <c r="D695" t="b">
        <f>TRUE()</f>
        <v>1</v>
      </c>
      <c r="E695" t="b">
        <f>COUNTIF(connections!A:A, A695) &gt; 0</f>
        <v>0</v>
      </c>
      <c r="G695" t="s">
        <v>8391</v>
      </c>
      <c r="H695" t="s">
        <v>187</v>
      </c>
      <c r="I695" t="s">
        <v>8392</v>
      </c>
    </row>
    <row r="696" spans="1:10" ht="15" customHeight="1" x14ac:dyDescent="0.25">
      <c r="A696" t="s">
        <v>2365</v>
      </c>
      <c r="B696">
        <v>2023</v>
      </c>
      <c r="C696" t="s">
        <v>176</v>
      </c>
      <c r="D696" t="b">
        <f>TRUE()</f>
        <v>1</v>
      </c>
      <c r="E696" t="b">
        <f>COUNTIF(connections!A:A, A696) &gt; 0</f>
        <v>1</v>
      </c>
      <c r="G696" t="s">
        <v>2366</v>
      </c>
      <c r="H696" t="s">
        <v>187</v>
      </c>
      <c r="I696" t="s">
        <v>2367</v>
      </c>
      <c r="J696" s="1" t="s">
        <v>2368</v>
      </c>
    </row>
    <row r="697" spans="1:10" ht="15" customHeight="1" x14ac:dyDescent="0.25">
      <c r="A697" t="s">
        <v>2369</v>
      </c>
      <c r="B697">
        <v>2025</v>
      </c>
      <c r="C697" t="s">
        <v>182</v>
      </c>
      <c r="D697" t="b">
        <f>TRUE()</f>
        <v>1</v>
      </c>
      <c r="E697" t="b">
        <f>COUNTIF(connections!A:A, A697) &gt; 0</f>
        <v>0</v>
      </c>
      <c r="F697" t="s">
        <v>354</v>
      </c>
      <c r="G697" t="s">
        <v>2370</v>
      </c>
    </row>
    <row r="698" spans="1:10" ht="15" customHeight="1" x14ac:dyDescent="0.25">
      <c r="A698" t="s">
        <v>2371</v>
      </c>
      <c r="B698">
        <v>2026</v>
      </c>
      <c r="C698" t="s">
        <v>182</v>
      </c>
      <c r="D698" t="b">
        <f>TRUE()</f>
        <v>1</v>
      </c>
      <c r="E698" t="b">
        <f>COUNTIF(connections!A:A, A698) &gt; 0</f>
        <v>0</v>
      </c>
      <c r="F698" t="s">
        <v>354</v>
      </c>
      <c r="G698" t="s">
        <v>2372</v>
      </c>
    </row>
    <row r="699" spans="1:10" ht="15" customHeight="1" x14ac:dyDescent="0.25">
      <c r="A699" t="s">
        <v>2373</v>
      </c>
      <c r="B699">
        <v>2025</v>
      </c>
      <c r="C699" t="s">
        <v>182</v>
      </c>
      <c r="D699" t="b">
        <f>FALSE()</f>
        <v>0</v>
      </c>
      <c r="E699" t="b">
        <f>COUNTIF(connections!A:A, A699) &gt; 0</f>
        <v>0</v>
      </c>
      <c r="F699" t="s">
        <v>354</v>
      </c>
      <c r="G699" t="s">
        <v>2374</v>
      </c>
      <c r="H699" t="s">
        <v>187</v>
      </c>
      <c r="I699" t="s">
        <v>2375</v>
      </c>
      <c r="J699" s="1" t="s">
        <v>2376</v>
      </c>
    </row>
    <row r="700" spans="1:10" ht="15" customHeight="1" x14ac:dyDescent="0.25">
      <c r="A700" t="s">
        <v>2377</v>
      </c>
      <c r="B700">
        <v>2021</v>
      </c>
      <c r="C700" t="s">
        <v>176</v>
      </c>
      <c r="D700" t="b">
        <f>TRUE()</f>
        <v>1</v>
      </c>
      <c r="E700" t="b">
        <f>COUNTIF(connections!A:A, A700) &gt; 0</f>
        <v>1</v>
      </c>
      <c r="G700" t="s">
        <v>2378</v>
      </c>
      <c r="H700" t="s">
        <v>187</v>
      </c>
      <c r="I700" t="s">
        <v>2379</v>
      </c>
      <c r="J700" s="1" t="s">
        <v>2380</v>
      </c>
    </row>
    <row r="701" spans="1:10" ht="15" customHeight="1" x14ac:dyDescent="0.25">
      <c r="A701" t="s">
        <v>2381</v>
      </c>
      <c r="B701">
        <v>2025</v>
      </c>
      <c r="C701" t="s">
        <v>176</v>
      </c>
      <c r="D701" t="b">
        <f>TRUE()</f>
        <v>1</v>
      </c>
      <c r="E701" t="b">
        <f>COUNTIF(connections!A:A, A701) &gt; 0</f>
        <v>0</v>
      </c>
      <c r="G701" t="s">
        <v>2382</v>
      </c>
      <c r="H701" t="s">
        <v>187</v>
      </c>
      <c r="I701" t="s">
        <v>2383</v>
      </c>
      <c r="J701" s="1" t="s">
        <v>2384</v>
      </c>
    </row>
    <row r="702" spans="1:10" ht="15" customHeight="1" x14ac:dyDescent="0.25">
      <c r="A702" t="s">
        <v>2385</v>
      </c>
      <c r="B702">
        <v>2025</v>
      </c>
      <c r="C702" t="s">
        <v>222</v>
      </c>
      <c r="D702" t="b">
        <v>1</v>
      </c>
      <c r="E702" t="b">
        <f>COUNTIF(connections!A:A, A702) &gt; 0</f>
        <v>0</v>
      </c>
      <c r="G702" t="s">
        <v>2386</v>
      </c>
      <c r="H702" t="s">
        <v>187</v>
      </c>
      <c r="I702" t="s">
        <v>2387</v>
      </c>
      <c r="J702" s="1" t="s">
        <v>2388</v>
      </c>
    </row>
    <row r="703" spans="1:10" ht="15" customHeight="1" x14ac:dyDescent="0.25">
      <c r="A703" t="s">
        <v>2389</v>
      </c>
      <c r="B703">
        <v>2016</v>
      </c>
      <c r="C703" t="s">
        <v>182</v>
      </c>
      <c r="D703" t="b">
        <f>FALSE()</f>
        <v>0</v>
      </c>
      <c r="E703" t="b">
        <f>COUNTIF(connections!A:A, A703) &gt; 0</f>
        <v>0</v>
      </c>
      <c r="G703" t="s">
        <v>2390</v>
      </c>
      <c r="H703" t="s">
        <v>187</v>
      </c>
      <c r="I703" t="s">
        <v>2391</v>
      </c>
      <c r="J703" s="1" t="s">
        <v>2392</v>
      </c>
    </row>
    <row r="704" spans="1:10" ht="15" customHeight="1" x14ac:dyDescent="0.25">
      <c r="A704" t="s">
        <v>2393</v>
      </c>
      <c r="B704">
        <v>2022</v>
      </c>
      <c r="C704" t="s">
        <v>179</v>
      </c>
      <c r="D704" t="b">
        <f>TRUE()</f>
        <v>1</v>
      </c>
      <c r="E704" t="b">
        <f>COUNTIF(connections!A:A, A704) &gt; 0</f>
        <v>1</v>
      </c>
      <c r="G704" t="s">
        <v>2394</v>
      </c>
    </row>
    <row r="705" spans="1:10" ht="15" customHeight="1" x14ac:dyDescent="0.25">
      <c r="A705" t="s">
        <v>2395</v>
      </c>
      <c r="B705">
        <v>2023</v>
      </c>
      <c r="C705" t="s">
        <v>179</v>
      </c>
      <c r="D705" t="b">
        <f>TRUE()</f>
        <v>1</v>
      </c>
      <c r="E705" t="b">
        <f>COUNTIF(connections!A:A, A705) &gt; 0</f>
        <v>0</v>
      </c>
      <c r="G705" t="s">
        <v>2396</v>
      </c>
    </row>
    <row r="706" spans="1:10" ht="15" customHeight="1" x14ac:dyDescent="0.25">
      <c r="A706" t="s">
        <v>2397</v>
      </c>
      <c r="B706">
        <v>2022</v>
      </c>
      <c r="C706" t="s">
        <v>176</v>
      </c>
      <c r="D706" t="b">
        <f>TRUE()</f>
        <v>1</v>
      </c>
      <c r="E706" t="b">
        <f>COUNTIF(connections!A:A, A706) &gt; 0</f>
        <v>1</v>
      </c>
      <c r="G706" t="s">
        <v>2398</v>
      </c>
      <c r="H706" t="s">
        <v>187</v>
      </c>
      <c r="I706" t="s">
        <v>2399</v>
      </c>
      <c r="J706" s="1" t="s">
        <v>2400</v>
      </c>
    </row>
    <row r="707" spans="1:10" ht="15" customHeight="1" x14ac:dyDescent="0.25">
      <c r="A707" t="s">
        <v>2401</v>
      </c>
      <c r="B707">
        <v>2015</v>
      </c>
      <c r="C707" t="s">
        <v>176</v>
      </c>
      <c r="D707" t="b">
        <f>FALSE()</f>
        <v>0</v>
      </c>
      <c r="E707" t="b">
        <f>COUNTIF(connections!A:A, A707) &gt; 0</f>
        <v>0</v>
      </c>
      <c r="F707" t="s">
        <v>274</v>
      </c>
      <c r="G707" t="s">
        <v>2402</v>
      </c>
    </row>
    <row r="708" spans="1:10" ht="15" customHeight="1" x14ac:dyDescent="0.25">
      <c r="A708" t="s">
        <v>2403</v>
      </c>
      <c r="B708">
        <v>2019</v>
      </c>
      <c r="C708" t="s">
        <v>176</v>
      </c>
      <c r="D708" t="b">
        <f>TRUE()</f>
        <v>1</v>
      </c>
      <c r="E708" t="b">
        <f>COUNTIF(connections!A:A, A708) &gt; 0</f>
        <v>1</v>
      </c>
      <c r="G708" t="s">
        <v>2404</v>
      </c>
      <c r="J708" s="1" t="s">
        <v>2405</v>
      </c>
    </row>
    <row r="709" spans="1:10" ht="15" customHeight="1" x14ac:dyDescent="0.25">
      <c r="A709" t="s">
        <v>2406</v>
      </c>
      <c r="B709">
        <v>2016</v>
      </c>
      <c r="C709" t="s">
        <v>179</v>
      </c>
      <c r="D709" t="b">
        <f>TRUE()</f>
        <v>1</v>
      </c>
      <c r="E709" t="b">
        <f>COUNTIF(connections!A:A, A709) &gt; 0</f>
        <v>0</v>
      </c>
      <c r="G709" t="s">
        <v>2407</v>
      </c>
      <c r="H709" t="s">
        <v>187</v>
      </c>
      <c r="I709" t="s">
        <v>2408</v>
      </c>
      <c r="J709" s="10" t="s">
        <v>2409</v>
      </c>
    </row>
    <row r="710" spans="1:10" ht="15" customHeight="1" x14ac:dyDescent="0.25">
      <c r="A710" t="s">
        <v>8119</v>
      </c>
      <c r="B710">
        <v>2024</v>
      </c>
      <c r="C710" t="s">
        <v>222</v>
      </c>
      <c r="D710" t="b">
        <f>TRUE()</f>
        <v>1</v>
      </c>
      <c r="E710" t="b">
        <f>COUNTIF(connections!A:A, A710) &gt; 0</f>
        <v>0</v>
      </c>
      <c r="F710" t="s">
        <v>274</v>
      </c>
      <c r="G710" t="s">
        <v>8120</v>
      </c>
      <c r="H710" t="s">
        <v>187</v>
      </c>
      <c r="I710" t="s">
        <v>8340</v>
      </c>
      <c r="J710" s="10" t="s">
        <v>8121</v>
      </c>
    </row>
    <row r="711" spans="1:10" ht="15" customHeight="1" x14ac:dyDescent="0.25">
      <c r="A711" t="s">
        <v>7858</v>
      </c>
      <c r="B711">
        <v>2019</v>
      </c>
      <c r="C711" t="s">
        <v>176</v>
      </c>
      <c r="D711" t="b">
        <f>TRUE()</f>
        <v>1</v>
      </c>
      <c r="E711" t="b">
        <f>COUNTIF(connections!A:A, A711) &gt; 0</f>
        <v>0</v>
      </c>
      <c r="G711" t="s">
        <v>7859</v>
      </c>
      <c r="H711" t="s">
        <v>187</v>
      </c>
      <c r="I711" t="s">
        <v>8341</v>
      </c>
      <c r="J711" s="10" t="s">
        <v>7860</v>
      </c>
    </row>
    <row r="712" spans="1:10" ht="15" customHeight="1" x14ac:dyDescent="0.25">
      <c r="A712" t="s">
        <v>2410</v>
      </c>
      <c r="B712">
        <v>2022</v>
      </c>
      <c r="C712" t="s">
        <v>176</v>
      </c>
      <c r="D712" t="b">
        <f>TRUE()</f>
        <v>1</v>
      </c>
      <c r="E712" t="b">
        <f>COUNTIF(connections!A:A, A712) &gt; 0</f>
        <v>1</v>
      </c>
      <c r="G712" t="s">
        <v>2411</v>
      </c>
      <c r="H712" t="s">
        <v>187</v>
      </c>
      <c r="I712" t="s">
        <v>2412</v>
      </c>
      <c r="J712" s="1" t="s">
        <v>2413</v>
      </c>
    </row>
    <row r="713" spans="1:10" ht="15" customHeight="1" x14ac:dyDescent="0.25">
      <c r="A713" t="s">
        <v>2414</v>
      </c>
      <c r="B713">
        <v>2023</v>
      </c>
      <c r="C713" t="s">
        <v>222</v>
      </c>
      <c r="D713" t="b">
        <f>TRUE()</f>
        <v>1</v>
      </c>
      <c r="E713" t="b">
        <f>COUNTIF(connections!A:A, A713) &gt; 0</f>
        <v>0</v>
      </c>
      <c r="G713" t="s">
        <v>2415</v>
      </c>
      <c r="H713" t="s">
        <v>187</v>
      </c>
      <c r="I713" t="s">
        <v>7872</v>
      </c>
      <c r="J713" s="10" t="s">
        <v>7873</v>
      </c>
    </row>
    <row r="714" spans="1:10" ht="15" customHeight="1" x14ac:dyDescent="0.25">
      <c r="A714" t="s">
        <v>2416</v>
      </c>
      <c r="B714">
        <v>2024</v>
      </c>
      <c r="C714" t="s">
        <v>182</v>
      </c>
      <c r="D714" t="b">
        <f>TRUE()</f>
        <v>1</v>
      </c>
      <c r="E714" t="b">
        <f>COUNTIF(connections!A:A, A714) &gt; 0</f>
        <v>0</v>
      </c>
      <c r="G714" t="s">
        <v>2417</v>
      </c>
      <c r="H714" t="s">
        <v>187</v>
      </c>
      <c r="I714" t="s">
        <v>2418</v>
      </c>
      <c r="J714" s="1" t="s">
        <v>2419</v>
      </c>
    </row>
    <row r="715" spans="1:10" ht="15" customHeight="1" x14ac:dyDescent="0.25">
      <c r="A715" t="s">
        <v>2420</v>
      </c>
      <c r="B715">
        <v>2012</v>
      </c>
      <c r="C715" t="s">
        <v>176</v>
      </c>
      <c r="D715" t="b">
        <f>TRUE()</f>
        <v>1</v>
      </c>
      <c r="E715" t="b">
        <f>COUNTIF(connections!A:A, A715) &gt; 0</f>
        <v>1</v>
      </c>
      <c r="G715" t="s">
        <v>2421</v>
      </c>
      <c r="H715" t="s">
        <v>187</v>
      </c>
      <c r="I715" t="s">
        <v>2422</v>
      </c>
      <c r="J715" s="1" t="s">
        <v>2423</v>
      </c>
    </row>
    <row r="716" spans="1:10" ht="15" customHeight="1" x14ac:dyDescent="0.25">
      <c r="A716" t="s">
        <v>2424</v>
      </c>
      <c r="B716">
        <v>2020</v>
      </c>
      <c r="C716" t="s">
        <v>176</v>
      </c>
      <c r="D716" t="b">
        <f>TRUE()</f>
        <v>1</v>
      </c>
      <c r="E716" t="b">
        <f>COUNTIF(connections!A:A, A716) &gt; 0</f>
        <v>0</v>
      </c>
      <c r="G716" t="s">
        <v>2425</v>
      </c>
      <c r="H716" t="s">
        <v>187</v>
      </c>
      <c r="I716" t="s">
        <v>2426</v>
      </c>
      <c r="J716" s="1" t="s">
        <v>2427</v>
      </c>
    </row>
    <row r="717" spans="1:10" ht="15" customHeight="1" x14ac:dyDescent="0.25">
      <c r="A717" t="s">
        <v>2428</v>
      </c>
      <c r="B717">
        <v>2008</v>
      </c>
      <c r="C717" t="s">
        <v>176</v>
      </c>
      <c r="D717" t="b">
        <f>TRUE()</f>
        <v>1</v>
      </c>
      <c r="E717" t="b">
        <f>COUNTIF(connections!A:A, A717) &gt; 0</f>
        <v>1</v>
      </c>
      <c r="G717" t="s">
        <v>2429</v>
      </c>
      <c r="H717" t="s">
        <v>187</v>
      </c>
      <c r="I717" t="s">
        <v>2430</v>
      </c>
    </row>
    <row r="718" spans="1:10" ht="15" customHeight="1" x14ac:dyDescent="0.25">
      <c r="A718" t="s">
        <v>2431</v>
      </c>
      <c r="B718">
        <v>2024</v>
      </c>
      <c r="C718" t="s">
        <v>182</v>
      </c>
      <c r="D718" t="b">
        <f>TRUE()</f>
        <v>1</v>
      </c>
      <c r="E718" t="b">
        <f>COUNTIF(connections!A:A, A718) &gt; 0</f>
        <v>0</v>
      </c>
      <c r="F718" t="s">
        <v>354</v>
      </c>
      <c r="G718" t="s">
        <v>2432</v>
      </c>
      <c r="H718" t="s">
        <v>187</v>
      </c>
      <c r="I718" t="s">
        <v>2433</v>
      </c>
      <c r="J718" s="1" t="s">
        <v>2434</v>
      </c>
    </row>
    <row r="719" spans="1:10" ht="15" customHeight="1" x14ac:dyDescent="0.25">
      <c r="A719" t="s">
        <v>2435</v>
      </c>
      <c r="B719">
        <v>2022</v>
      </c>
      <c r="C719" t="s">
        <v>176</v>
      </c>
      <c r="D719" t="b">
        <f>TRUE()</f>
        <v>1</v>
      </c>
      <c r="E719" t="b">
        <f>COUNTIF(connections!A:A, A719) &gt; 0</f>
        <v>0</v>
      </c>
      <c r="G719" t="s">
        <v>2436</v>
      </c>
      <c r="H719" t="s">
        <v>187</v>
      </c>
      <c r="I719" t="s">
        <v>2437</v>
      </c>
      <c r="J719" s="1" t="s">
        <v>2438</v>
      </c>
    </row>
    <row r="720" spans="1:10" ht="15" customHeight="1" x14ac:dyDescent="0.25">
      <c r="A720" t="s">
        <v>2439</v>
      </c>
      <c r="B720">
        <v>2023</v>
      </c>
      <c r="C720" t="s">
        <v>176</v>
      </c>
      <c r="D720" t="b">
        <f>TRUE()</f>
        <v>1</v>
      </c>
      <c r="E720" t="b">
        <f>COUNTIF(connections!A:A, A720) &gt; 0</f>
        <v>0</v>
      </c>
      <c r="G720" t="s">
        <v>2440</v>
      </c>
      <c r="H720" t="s">
        <v>187</v>
      </c>
      <c r="I720" t="s">
        <v>2441</v>
      </c>
      <c r="J720" s="1" t="s">
        <v>2442</v>
      </c>
    </row>
    <row r="721" spans="1:10" ht="15" customHeight="1" x14ac:dyDescent="0.25">
      <c r="A721" t="s">
        <v>2443</v>
      </c>
      <c r="B721">
        <v>2019</v>
      </c>
      <c r="C721" t="s">
        <v>176</v>
      </c>
      <c r="D721" t="b">
        <f>TRUE()</f>
        <v>1</v>
      </c>
      <c r="E721" t="b">
        <f>COUNTIF(connections!A:A, A721) &gt; 0</f>
        <v>1</v>
      </c>
      <c r="G721" t="s">
        <v>2444</v>
      </c>
      <c r="H721" t="s">
        <v>187</v>
      </c>
      <c r="I721" t="s">
        <v>2445</v>
      </c>
      <c r="J721" s="1" t="s">
        <v>2446</v>
      </c>
    </row>
    <row r="722" spans="1:10" ht="15" customHeight="1" x14ac:dyDescent="0.25">
      <c r="A722" t="s">
        <v>2447</v>
      </c>
      <c r="B722">
        <v>2014</v>
      </c>
      <c r="C722" t="s">
        <v>179</v>
      </c>
      <c r="D722" t="b">
        <f>TRUE()</f>
        <v>1</v>
      </c>
      <c r="E722" t="b">
        <f>COUNTIF(connections!A:A, A722) &gt; 0</f>
        <v>1</v>
      </c>
      <c r="G722" t="s">
        <v>2448</v>
      </c>
      <c r="H722" t="s">
        <v>187</v>
      </c>
      <c r="I722" t="s">
        <v>2449</v>
      </c>
      <c r="J722" s="1" t="s">
        <v>2450</v>
      </c>
    </row>
    <row r="723" spans="1:10" ht="15" customHeight="1" x14ac:dyDescent="0.25">
      <c r="A723" t="s">
        <v>2451</v>
      </c>
      <c r="B723">
        <v>2024</v>
      </c>
      <c r="C723" t="s">
        <v>176</v>
      </c>
      <c r="D723" t="b">
        <f>FALSE()</f>
        <v>0</v>
      </c>
      <c r="E723" t="b">
        <f>COUNTIF(connections!A:A, A723) &gt; 0</f>
        <v>0</v>
      </c>
      <c r="G723" t="s">
        <v>2452</v>
      </c>
      <c r="H723" t="s">
        <v>187</v>
      </c>
      <c r="I723" t="s">
        <v>2453</v>
      </c>
      <c r="J723" s="1" t="s">
        <v>2454</v>
      </c>
    </row>
    <row r="724" spans="1:10" ht="15" customHeight="1" x14ac:dyDescent="0.25">
      <c r="A724" t="s">
        <v>2455</v>
      </c>
      <c r="B724">
        <v>2025</v>
      </c>
      <c r="C724" t="s">
        <v>182</v>
      </c>
      <c r="D724" t="b">
        <f>TRUE()</f>
        <v>1</v>
      </c>
      <c r="E724" t="b">
        <f>COUNTIF(connections!A:A, A724) &gt; 0</f>
        <v>0</v>
      </c>
      <c r="G724" t="s">
        <v>2456</v>
      </c>
      <c r="H724" t="s">
        <v>187</v>
      </c>
      <c r="I724" t="s">
        <v>2457</v>
      </c>
      <c r="J724" s="1" t="s">
        <v>2458</v>
      </c>
    </row>
    <row r="725" spans="1:10" ht="15" customHeight="1" x14ac:dyDescent="0.25">
      <c r="A725" t="s">
        <v>2459</v>
      </c>
      <c r="B725">
        <v>2017</v>
      </c>
      <c r="C725" t="s">
        <v>176</v>
      </c>
      <c r="D725" t="b">
        <f>TRUE()</f>
        <v>1</v>
      </c>
      <c r="E725" t="b">
        <f>COUNTIF(connections!A:A, A725) &gt; 0</f>
        <v>1</v>
      </c>
      <c r="G725" t="s">
        <v>2460</v>
      </c>
      <c r="H725" t="s">
        <v>187</v>
      </c>
      <c r="I725" t="s">
        <v>2461</v>
      </c>
      <c r="J725" s="1" t="s">
        <v>2462</v>
      </c>
    </row>
    <row r="726" spans="1:10" ht="15" customHeight="1" x14ac:dyDescent="0.25">
      <c r="A726" t="s">
        <v>8342</v>
      </c>
      <c r="B726">
        <v>2020</v>
      </c>
      <c r="C726" t="s">
        <v>222</v>
      </c>
      <c r="D726" t="b">
        <f>TRUE()</f>
        <v>1</v>
      </c>
      <c r="E726" t="b">
        <f>COUNTIF(connections!A:A, A726) &gt; 0</f>
        <v>0</v>
      </c>
      <c r="G726" t="s">
        <v>8343</v>
      </c>
      <c r="H726" t="s">
        <v>187</v>
      </c>
      <c r="I726" t="s">
        <v>8344</v>
      </c>
      <c r="J726" s="10" t="s">
        <v>8345</v>
      </c>
    </row>
    <row r="727" spans="1:10" ht="15" customHeight="1" x14ac:dyDescent="0.25">
      <c r="A727" t="s">
        <v>2463</v>
      </c>
      <c r="B727">
        <v>2023</v>
      </c>
      <c r="C727" t="s">
        <v>176</v>
      </c>
      <c r="D727" t="b">
        <f>TRUE()</f>
        <v>1</v>
      </c>
      <c r="E727" t="b">
        <f>COUNTIF(connections!A:A, A727) &gt; 0</f>
        <v>0</v>
      </c>
      <c r="F727" t="s">
        <v>274</v>
      </c>
      <c r="G727" t="s">
        <v>2464</v>
      </c>
      <c r="H727" t="s">
        <v>187</v>
      </c>
      <c r="I727" t="s">
        <v>2465</v>
      </c>
      <c r="J727" s="1" t="s">
        <v>2466</v>
      </c>
    </row>
    <row r="728" spans="1:10" ht="15" customHeight="1" x14ac:dyDescent="0.25">
      <c r="A728" t="s">
        <v>2467</v>
      </c>
      <c r="B728">
        <v>2025</v>
      </c>
      <c r="C728" t="s">
        <v>176</v>
      </c>
      <c r="D728" t="b">
        <f>TRUE()</f>
        <v>1</v>
      </c>
      <c r="E728" t="b">
        <f>COUNTIF(connections!A:A, A728) &gt; 0</f>
        <v>0</v>
      </c>
      <c r="G728" t="s">
        <v>2468</v>
      </c>
      <c r="H728" t="s">
        <v>187</v>
      </c>
      <c r="I728" t="s">
        <v>2469</v>
      </c>
      <c r="J728" s="1" t="s">
        <v>2470</v>
      </c>
    </row>
    <row r="729" spans="1:10" ht="15" customHeight="1" x14ac:dyDescent="0.25">
      <c r="A729" t="s">
        <v>2471</v>
      </c>
      <c r="B729">
        <v>2025</v>
      </c>
      <c r="C729" t="s">
        <v>182</v>
      </c>
      <c r="D729" t="b">
        <f>TRUE()</f>
        <v>1</v>
      </c>
      <c r="E729" t="b">
        <f>COUNTIF(connections!A:A, A729) &gt; 0</f>
        <v>1</v>
      </c>
      <c r="F729" t="s">
        <v>277</v>
      </c>
      <c r="G729" t="s">
        <v>2472</v>
      </c>
      <c r="H729" t="s">
        <v>187</v>
      </c>
      <c r="I729" t="s">
        <v>2473</v>
      </c>
      <c r="J729" s="1" t="s">
        <v>2474</v>
      </c>
    </row>
    <row r="730" spans="1:10" ht="14.25" customHeight="1" x14ac:dyDescent="0.25">
      <c r="A730" t="s">
        <v>2475</v>
      </c>
      <c r="B730">
        <v>2025</v>
      </c>
      <c r="C730" t="s">
        <v>182</v>
      </c>
      <c r="D730" t="b">
        <f>TRUE()</f>
        <v>1</v>
      </c>
      <c r="E730" t="b">
        <f>COUNTIF(connections!A:A, A730) &gt; 0</f>
        <v>0</v>
      </c>
      <c r="G730" t="s">
        <v>2476</v>
      </c>
    </row>
    <row r="731" spans="1:10" ht="15" customHeight="1" x14ac:dyDescent="0.25">
      <c r="A731" t="s">
        <v>2477</v>
      </c>
      <c r="B731">
        <v>2025</v>
      </c>
      <c r="C731" t="s">
        <v>176</v>
      </c>
      <c r="D731" t="b">
        <f>FALSE()</f>
        <v>0</v>
      </c>
      <c r="E731" t="b">
        <f>COUNTIF(connections!A:A, A731) &gt; 0</f>
        <v>0</v>
      </c>
      <c r="G731" t="s">
        <v>2478</v>
      </c>
      <c r="H731" t="s">
        <v>187</v>
      </c>
      <c r="I731" t="s">
        <v>2479</v>
      </c>
      <c r="J731" s="1" t="s">
        <v>2480</v>
      </c>
    </row>
    <row r="732" spans="1:10" x14ac:dyDescent="0.25">
      <c r="A732" t="s">
        <v>8113</v>
      </c>
      <c r="B732">
        <v>2026</v>
      </c>
      <c r="C732" t="s">
        <v>176</v>
      </c>
      <c r="D732" t="b">
        <f>TRUE()</f>
        <v>1</v>
      </c>
      <c r="E732" t="b">
        <f>COUNTIF(connections!A:A, A732) &gt; 0</f>
        <v>0</v>
      </c>
      <c r="G732" t="s">
        <v>8114</v>
      </c>
      <c r="J732" s="10" t="s">
        <v>8115</v>
      </c>
    </row>
    <row r="733" spans="1:10" x14ac:dyDescent="0.25">
      <c r="A733" t="s">
        <v>2481</v>
      </c>
      <c r="B733">
        <v>2020</v>
      </c>
      <c r="C733" t="s">
        <v>179</v>
      </c>
      <c r="D733" t="b">
        <f>TRUE()</f>
        <v>1</v>
      </c>
      <c r="E733" t="b">
        <f>COUNTIF(connections!A:A, A733) &gt; 0</f>
        <v>1</v>
      </c>
      <c r="G733" t="s">
        <v>2482</v>
      </c>
    </row>
    <row r="734" spans="1:10" x14ac:dyDescent="0.25">
      <c r="A734" t="s">
        <v>2483</v>
      </c>
      <c r="B734">
        <v>2023</v>
      </c>
      <c r="C734" t="s">
        <v>222</v>
      </c>
      <c r="D734" t="b">
        <f>FALSE()</f>
        <v>0</v>
      </c>
      <c r="E734" t="b">
        <f>COUNTIF(connections!A:A, A734) &gt; 0</f>
        <v>0</v>
      </c>
      <c r="F734" t="s">
        <v>458</v>
      </c>
      <c r="G734" t="s">
        <v>2484</v>
      </c>
      <c r="H734" t="s">
        <v>187</v>
      </c>
      <c r="I734" t="s">
        <v>8346</v>
      </c>
      <c r="J734" s="10" t="s">
        <v>8347</v>
      </c>
    </row>
    <row r="735" spans="1:10" x14ac:dyDescent="0.25">
      <c r="A735" t="s">
        <v>2485</v>
      </c>
      <c r="B735">
        <v>2017</v>
      </c>
      <c r="C735" t="s">
        <v>176</v>
      </c>
      <c r="D735" t="b">
        <v>1</v>
      </c>
      <c r="E735" t="b">
        <f>COUNTIF(connections!A:A, A735) &gt; 0</f>
        <v>0</v>
      </c>
      <c r="G735" t="s">
        <v>2486</v>
      </c>
      <c r="H735" t="s">
        <v>187</v>
      </c>
      <c r="I735" t="s">
        <v>2487</v>
      </c>
      <c r="J735" s="10" t="s">
        <v>2488</v>
      </c>
    </row>
    <row r="736" spans="1:10" x14ac:dyDescent="0.25">
      <c r="A736" t="s">
        <v>2489</v>
      </c>
      <c r="B736">
        <v>2002</v>
      </c>
      <c r="C736" t="s">
        <v>222</v>
      </c>
      <c r="D736" t="b">
        <f>TRUE()</f>
        <v>1</v>
      </c>
      <c r="E736" t="b">
        <f>COUNTIF(connections!A:A, A736) &gt; 0</f>
        <v>1</v>
      </c>
      <c r="F736" t="s">
        <v>274</v>
      </c>
      <c r="G736" t="s">
        <v>2490</v>
      </c>
      <c r="H736" t="s">
        <v>187</v>
      </c>
      <c r="I736" t="s">
        <v>2491</v>
      </c>
    </row>
    <row r="737" spans="1:10" x14ac:dyDescent="0.25">
      <c r="A737" t="s">
        <v>2492</v>
      </c>
      <c r="B737">
        <v>2019</v>
      </c>
      <c r="C737" t="s">
        <v>176</v>
      </c>
      <c r="D737" t="b">
        <f>TRUE()</f>
        <v>1</v>
      </c>
      <c r="E737" t="b">
        <f>COUNTIF(connections!A:A, A737) &gt; 0</f>
        <v>0</v>
      </c>
      <c r="G737" t="s">
        <v>2493</v>
      </c>
      <c r="H737" t="s">
        <v>187</v>
      </c>
      <c r="I737" t="s">
        <v>2494</v>
      </c>
      <c r="J737" s="1" t="s">
        <v>2495</v>
      </c>
    </row>
    <row r="738" spans="1:10" x14ac:dyDescent="0.25">
      <c r="A738" t="s">
        <v>2496</v>
      </c>
      <c r="B738">
        <v>2024</v>
      </c>
      <c r="C738" t="s">
        <v>176</v>
      </c>
      <c r="D738" t="b">
        <f>TRUE()</f>
        <v>1</v>
      </c>
      <c r="E738" t="b">
        <f>COUNTIF(connections!A:A, A738) &gt; 0</f>
        <v>0</v>
      </c>
      <c r="G738" t="s">
        <v>2497</v>
      </c>
    </row>
    <row r="739" spans="1:10" x14ac:dyDescent="0.25">
      <c r="A739" t="s">
        <v>2498</v>
      </c>
      <c r="B739">
        <v>2017</v>
      </c>
      <c r="C739" t="s">
        <v>176</v>
      </c>
      <c r="D739" t="b">
        <f>TRUE()</f>
        <v>1</v>
      </c>
      <c r="E739" t="b">
        <f>COUNTIF(connections!A:A, A739) &gt; 0</f>
        <v>1</v>
      </c>
      <c r="G739" t="s">
        <v>2499</v>
      </c>
      <c r="H739" t="s">
        <v>187</v>
      </c>
      <c r="I739" t="s">
        <v>2500</v>
      </c>
      <c r="J739" s="1" t="s">
        <v>2501</v>
      </c>
    </row>
    <row r="740" spans="1:10" x14ac:dyDescent="0.25">
      <c r="A740" t="s">
        <v>2502</v>
      </c>
      <c r="B740">
        <v>2015</v>
      </c>
      <c r="C740" t="s">
        <v>222</v>
      </c>
      <c r="D740" t="b">
        <f>TRUE()</f>
        <v>1</v>
      </c>
      <c r="E740" t="b">
        <f>COUNTIF(connections!A:A, A740) &gt; 0</f>
        <v>1</v>
      </c>
      <c r="F740" t="s">
        <v>652</v>
      </c>
      <c r="G740" t="s">
        <v>2503</v>
      </c>
      <c r="H740" t="s">
        <v>187</v>
      </c>
      <c r="I740" t="s">
        <v>2504</v>
      </c>
      <c r="J740" s="1" t="s">
        <v>2505</v>
      </c>
    </row>
    <row r="741" spans="1:10" x14ac:dyDescent="0.25">
      <c r="A741" t="s">
        <v>2506</v>
      </c>
      <c r="B741">
        <v>2021</v>
      </c>
      <c r="C741" t="s">
        <v>222</v>
      </c>
      <c r="D741" t="b">
        <f>TRUE()</f>
        <v>1</v>
      </c>
      <c r="E741" t="b">
        <f>COUNTIF(connections!A:A, A741) &gt; 0</f>
        <v>1</v>
      </c>
      <c r="G741" t="s">
        <v>2507</v>
      </c>
      <c r="H741" t="s">
        <v>187</v>
      </c>
      <c r="I741" t="s">
        <v>2508</v>
      </c>
      <c r="J741" s="1" t="s">
        <v>2509</v>
      </c>
    </row>
    <row r="742" spans="1:10" x14ac:dyDescent="0.25">
      <c r="A742" t="s">
        <v>2510</v>
      </c>
      <c r="B742">
        <v>2022</v>
      </c>
      <c r="C742" t="s">
        <v>182</v>
      </c>
      <c r="D742" t="b">
        <v>1</v>
      </c>
      <c r="E742" t="b">
        <f>COUNTIF(connections!A:A, A742) &gt; 0</f>
        <v>0</v>
      </c>
      <c r="G742" t="s">
        <v>2511</v>
      </c>
      <c r="H742" t="s">
        <v>187</v>
      </c>
      <c r="I742" t="s">
        <v>2512</v>
      </c>
      <c r="J742" s="1" t="s">
        <v>2513</v>
      </c>
    </row>
    <row r="743" spans="1:10" x14ac:dyDescent="0.25">
      <c r="A743" t="s">
        <v>2514</v>
      </c>
      <c r="B743">
        <v>2025</v>
      </c>
      <c r="C743" t="s">
        <v>222</v>
      </c>
      <c r="D743" t="b">
        <f>TRUE()</f>
        <v>1</v>
      </c>
      <c r="E743" t="b">
        <f>COUNTIF(connections!A:A, A743) &gt; 0</f>
        <v>0</v>
      </c>
      <c r="G743" t="s">
        <v>2515</v>
      </c>
      <c r="H743" t="s">
        <v>187</v>
      </c>
      <c r="I743" t="s">
        <v>2516</v>
      </c>
      <c r="J743" s="1" t="s">
        <v>2517</v>
      </c>
    </row>
    <row r="744" spans="1:10" x14ac:dyDescent="0.25">
      <c r="A744" t="s">
        <v>2518</v>
      </c>
      <c r="B744">
        <v>2013</v>
      </c>
      <c r="C744" t="s">
        <v>176</v>
      </c>
      <c r="D744" t="b">
        <f>TRUE()</f>
        <v>1</v>
      </c>
      <c r="E744" t="b">
        <f>COUNTIF(connections!A:A, A744) &gt; 0</f>
        <v>1</v>
      </c>
      <c r="G744" t="s">
        <v>2519</v>
      </c>
      <c r="H744" t="s">
        <v>187</v>
      </c>
      <c r="I744" t="s">
        <v>2520</v>
      </c>
      <c r="J744" s="1" t="s">
        <v>2521</v>
      </c>
    </row>
    <row r="745" spans="1:10" x14ac:dyDescent="0.25">
      <c r="A745" t="s">
        <v>2522</v>
      </c>
      <c r="B745">
        <v>2025</v>
      </c>
      <c r="C745" t="s">
        <v>182</v>
      </c>
      <c r="D745" t="b">
        <f>TRUE()</f>
        <v>1</v>
      </c>
      <c r="E745" t="b">
        <f>COUNTIF(connections!A:A, A745) &gt; 0</f>
        <v>1</v>
      </c>
      <c r="G745" t="s">
        <v>2523</v>
      </c>
      <c r="H745" t="s">
        <v>187</v>
      </c>
      <c r="I745" t="s">
        <v>8140</v>
      </c>
      <c r="J745" s="10" t="s">
        <v>8141</v>
      </c>
    </row>
    <row r="746" spans="1:10" x14ac:dyDescent="0.25">
      <c r="A746" t="s">
        <v>2524</v>
      </c>
      <c r="B746">
        <v>2025</v>
      </c>
      <c r="C746" t="s">
        <v>176</v>
      </c>
      <c r="D746" t="b">
        <f>TRUE()</f>
        <v>1</v>
      </c>
      <c r="E746" t="b">
        <f>COUNTIF(connections!A:A, A746) &gt; 0</f>
        <v>0</v>
      </c>
      <c r="G746" t="s">
        <v>2525</v>
      </c>
    </row>
    <row r="747" spans="1:10" x14ac:dyDescent="0.25">
      <c r="A747" t="s">
        <v>2526</v>
      </c>
      <c r="B747">
        <v>2023</v>
      </c>
      <c r="C747" t="s">
        <v>176</v>
      </c>
      <c r="D747" t="b">
        <f>TRUE()</f>
        <v>1</v>
      </c>
      <c r="E747" t="b">
        <f>COUNTIF(connections!A:A, A747) &gt; 0</f>
        <v>0</v>
      </c>
      <c r="F747" t="s">
        <v>277</v>
      </c>
      <c r="G747" t="s">
        <v>2527</v>
      </c>
      <c r="H747" t="s">
        <v>187</v>
      </c>
      <c r="I747" t="s">
        <v>2528</v>
      </c>
      <c r="J747" s="1" t="s">
        <v>2529</v>
      </c>
    </row>
    <row r="748" spans="1:10" x14ac:dyDescent="0.25">
      <c r="A748" t="s">
        <v>2530</v>
      </c>
      <c r="B748">
        <v>2016</v>
      </c>
      <c r="C748" t="s">
        <v>176</v>
      </c>
      <c r="D748" t="b">
        <f>TRUE()</f>
        <v>1</v>
      </c>
      <c r="E748" t="b">
        <f>COUNTIF(connections!A:A, A748) &gt; 0</f>
        <v>0</v>
      </c>
      <c r="F748" t="s">
        <v>787</v>
      </c>
      <c r="G748" t="s">
        <v>2531</v>
      </c>
      <c r="H748" t="s">
        <v>187</v>
      </c>
      <c r="I748" t="s">
        <v>2532</v>
      </c>
      <c r="J748" s="1" t="s">
        <v>2533</v>
      </c>
    </row>
    <row r="749" spans="1:10" x14ac:dyDescent="0.25">
      <c r="A749" t="s">
        <v>2534</v>
      </c>
      <c r="B749">
        <v>1982</v>
      </c>
      <c r="C749" t="s">
        <v>179</v>
      </c>
      <c r="D749" t="b">
        <f>TRUE()</f>
        <v>1</v>
      </c>
      <c r="E749" t="b">
        <f>COUNTIF(connections!A:A, A749) &gt; 0</f>
        <v>1</v>
      </c>
      <c r="G749" t="s">
        <v>2535</v>
      </c>
      <c r="J749" s="10" t="s">
        <v>2536</v>
      </c>
    </row>
    <row r="750" spans="1:10" x14ac:dyDescent="0.25">
      <c r="A750" t="s">
        <v>2537</v>
      </c>
      <c r="B750">
        <v>2021</v>
      </c>
      <c r="C750" t="s">
        <v>176</v>
      </c>
      <c r="D750" t="b">
        <f>TRUE()</f>
        <v>1</v>
      </c>
      <c r="E750" t="b">
        <f>COUNTIF(connections!A:A, A750) &gt; 0</f>
        <v>1</v>
      </c>
      <c r="G750" t="s">
        <v>2538</v>
      </c>
      <c r="H750" t="s">
        <v>187</v>
      </c>
      <c r="I750" t="s">
        <v>8348</v>
      </c>
      <c r="J750" s="10" t="s">
        <v>2539</v>
      </c>
    </row>
    <row r="751" spans="1:10" x14ac:dyDescent="0.25">
      <c r="A751" t="s">
        <v>2540</v>
      </c>
      <c r="B751">
        <v>2025</v>
      </c>
      <c r="C751" t="s">
        <v>176</v>
      </c>
      <c r="D751" t="b">
        <f>TRUE()</f>
        <v>1</v>
      </c>
      <c r="E751" t="b">
        <f>COUNTIF(connections!A:A, A751) &gt; 0</f>
        <v>0</v>
      </c>
      <c r="G751" t="s">
        <v>2541</v>
      </c>
      <c r="J751" s="10" t="s">
        <v>2542</v>
      </c>
    </row>
    <row r="752" spans="1:10" x14ac:dyDescent="0.25">
      <c r="A752" t="s">
        <v>2543</v>
      </c>
      <c r="B752">
        <v>2013</v>
      </c>
      <c r="C752" t="s">
        <v>179</v>
      </c>
      <c r="D752" t="b">
        <f>TRUE()</f>
        <v>1</v>
      </c>
      <c r="E752" t="b">
        <f>COUNTIF(connections!A:A, A752) &gt; 0</f>
        <v>0</v>
      </c>
      <c r="G752" t="s">
        <v>2544</v>
      </c>
      <c r="J752" s="1" t="s">
        <v>2545</v>
      </c>
    </row>
    <row r="753" spans="1:10" x14ac:dyDescent="0.25">
      <c r="A753" t="s">
        <v>2546</v>
      </c>
      <c r="B753">
        <v>2022</v>
      </c>
      <c r="C753" t="s">
        <v>176</v>
      </c>
      <c r="D753" t="b">
        <f>TRUE()</f>
        <v>1</v>
      </c>
      <c r="E753" t="b">
        <f>COUNTIF(connections!A:A, A753) &gt; 0</f>
        <v>0</v>
      </c>
      <c r="G753" t="s">
        <v>2547</v>
      </c>
      <c r="H753" t="s">
        <v>187</v>
      </c>
      <c r="I753" t="s">
        <v>2548</v>
      </c>
      <c r="J753" s="1" t="s">
        <v>2549</v>
      </c>
    </row>
    <row r="754" spans="1:10" x14ac:dyDescent="0.25">
      <c r="A754" t="s">
        <v>2550</v>
      </c>
      <c r="B754">
        <v>2025</v>
      </c>
      <c r="C754" t="s">
        <v>176</v>
      </c>
      <c r="D754" t="b">
        <f>TRUE()</f>
        <v>1</v>
      </c>
      <c r="E754" t="b">
        <f>COUNTIF(connections!A:A, A754) &gt; 0</f>
        <v>0</v>
      </c>
      <c r="G754" t="s">
        <v>2551</v>
      </c>
      <c r="H754" t="s">
        <v>187</v>
      </c>
      <c r="I754" t="s">
        <v>2552</v>
      </c>
      <c r="J754" s="1" t="s">
        <v>2553</v>
      </c>
    </row>
    <row r="755" spans="1:10" x14ac:dyDescent="0.25">
      <c r="A755" t="s">
        <v>2554</v>
      </c>
      <c r="B755">
        <v>2021</v>
      </c>
      <c r="C755" t="s">
        <v>176</v>
      </c>
      <c r="D755" t="b">
        <f>TRUE()</f>
        <v>1</v>
      </c>
      <c r="E755" t="b">
        <f>COUNTIF(connections!A:A, A755) &gt; 0</f>
        <v>0</v>
      </c>
      <c r="G755" t="s">
        <v>2555</v>
      </c>
    </row>
    <row r="756" spans="1:10" x14ac:dyDescent="0.25">
      <c r="A756" t="s">
        <v>2556</v>
      </c>
      <c r="B756">
        <v>2018</v>
      </c>
      <c r="C756" t="s">
        <v>176</v>
      </c>
      <c r="D756" t="b">
        <f>TRUE()</f>
        <v>1</v>
      </c>
      <c r="E756" t="b">
        <f>COUNTIF(connections!A:A, A756) &gt; 0</f>
        <v>1</v>
      </c>
      <c r="G756" t="s">
        <v>2557</v>
      </c>
      <c r="H756" t="s">
        <v>187</v>
      </c>
      <c r="I756" t="s">
        <v>2558</v>
      </c>
      <c r="J756" s="1" t="s">
        <v>2559</v>
      </c>
    </row>
    <row r="757" spans="1:10" x14ac:dyDescent="0.25">
      <c r="A757" t="s">
        <v>2560</v>
      </c>
      <c r="B757">
        <v>2026</v>
      </c>
      <c r="C757" t="s">
        <v>222</v>
      </c>
      <c r="D757" t="b">
        <f>TRUE()</f>
        <v>1</v>
      </c>
      <c r="E757" t="b">
        <f>COUNTIF(connections!A:A, A757) &gt; 0</f>
        <v>0</v>
      </c>
      <c r="G757" t="s">
        <v>2561</v>
      </c>
      <c r="J757" s="1" t="s">
        <v>2562</v>
      </c>
    </row>
    <row r="758" spans="1:10" x14ac:dyDescent="0.25">
      <c r="A758" t="s">
        <v>2563</v>
      </c>
      <c r="B758">
        <v>2020</v>
      </c>
      <c r="C758" t="s">
        <v>182</v>
      </c>
      <c r="D758" t="b">
        <f>TRUE()</f>
        <v>1</v>
      </c>
      <c r="E758" t="b">
        <f>COUNTIF(connections!A:A, A758) &gt; 0</f>
        <v>0</v>
      </c>
      <c r="G758" t="s">
        <v>2564</v>
      </c>
      <c r="H758" t="s">
        <v>187</v>
      </c>
      <c r="I758" t="s">
        <v>2565</v>
      </c>
      <c r="J758" s="1" t="s">
        <v>2566</v>
      </c>
    </row>
    <row r="759" spans="1:10" x14ac:dyDescent="0.25">
      <c r="A759" t="s">
        <v>2567</v>
      </c>
      <c r="B759">
        <v>2023</v>
      </c>
      <c r="C759" t="s">
        <v>176</v>
      </c>
      <c r="D759" t="b">
        <f>TRUE()</f>
        <v>1</v>
      </c>
      <c r="E759" t="b">
        <f>COUNTIF(connections!A:A, A759) &gt; 0</f>
        <v>0</v>
      </c>
      <c r="G759" t="s">
        <v>2568</v>
      </c>
      <c r="H759" t="s">
        <v>187</v>
      </c>
      <c r="I759" t="s">
        <v>2569</v>
      </c>
      <c r="J759" s="1" t="s">
        <v>2570</v>
      </c>
    </row>
    <row r="760" spans="1:10" x14ac:dyDescent="0.25">
      <c r="A760" t="s">
        <v>2571</v>
      </c>
      <c r="B760">
        <v>1998</v>
      </c>
      <c r="C760" t="s">
        <v>179</v>
      </c>
      <c r="D760" t="b">
        <f>TRUE()</f>
        <v>1</v>
      </c>
      <c r="E760" t="b">
        <f>COUNTIF(connections!A:A, A760) &gt; 0</f>
        <v>1</v>
      </c>
      <c r="G760" t="s">
        <v>2572</v>
      </c>
      <c r="H760" t="s">
        <v>187</v>
      </c>
      <c r="I760" t="s">
        <v>2573</v>
      </c>
      <c r="J760" s="1" t="s">
        <v>2574</v>
      </c>
    </row>
    <row r="761" spans="1:10" x14ac:dyDescent="0.25">
      <c r="A761" t="s">
        <v>2575</v>
      </c>
      <c r="B761">
        <v>2026</v>
      </c>
      <c r="C761" t="s">
        <v>182</v>
      </c>
      <c r="D761" t="b">
        <f>TRUE()</f>
        <v>1</v>
      </c>
      <c r="E761" t="b">
        <f>COUNTIF(connections!A:A, A761) &gt; 0</f>
        <v>0</v>
      </c>
      <c r="G761" t="s">
        <v>2576</v>
      </c>
      <c r="J761" s="10" t="s">
        <v>2577</v>
      </c>
    </row>
    <row r="762" spans="1:10" x14ac:dyDescent="0.25">
      <c r="A762" t="s">
        <v>2578</v>
      </c>
      <c r="B762">
        <v>2017</v>
      </c>
      <c r="C762" t="s">
        <v>179</v>
      </c>
      <c r="D762" t="b">
        <f>TRUE()</f>
        <v>1</v>
      </c>
      <c r="E762" t="b">
        <f>COUNTIF(connections!A:A, A762) &gt; 0</f>
        <v>1</v>
      </c>
      <c r="G762" t="s">
        <v>2579</v>
      </c>
      <c r="H762" t="s">
        <v>187</v>
      </c>
      <c r="I762" t="s">
        <v>2580</v>
      </c>
      <c r="J762" s="1" t="s">
        <v>2581</v>
      </c>
    </row>
    <row r="763" spans="1:10" x14ac:dyDescent="0.25">
      <c r="A763" t="s">
        <v>2582</v>
      </c>
      <c r="B763">
        <v>2026</v>
      </c>
      <c r="C763" t="s">
        <v>222</v>
      </c>
      <c r="D763" t="b">
        <f>FALSE()</f>
        <v>0</v>
      </c>
      <c r="E763" t="b">
        <f>COUNTIF(connections!A:A, A763) &gt; 0</f>
        <v>0</v>
      </c>
      <c r="F763" t="s">
        <v>2583</v>
      </c>
      <c r="G763" t="s">
        <v>2584</v>
      </c>
      <c r="H763" t="s">
        <v>187</v>
      </c>
      <c r="I763" t="s">
        <v>2585</v>
      </c>
      <c r="J763" s="1" t="s">
        <v>2586</v>
      </c>
    </row>
    <row r="764" spans="1:10" x14ac:dyDescent="0.25">
      <c r="A764" t="s">
        <v>2587</v>
      </c>
      <c r="B764">
        <v>2006</v>
      </c>
      <c r="C764" t="s">
        <v>179</v>
      </c>
      <c r="D764" t="b">
        <f>TRUE()</f>
        <v>1</v>
      </c>
      <c r="E764" t="b">
        <f>COUNTIF(connections!A:A, A764) &gt; 0</f>
        <v>0</v>
      </c>
      <c r="G764" t="s">
        <v>2588</v>
      </c>
      <c r="H764" t="s">
        <v>187</v>
      </c>
      <c r="I764" t="s">
        <v>2589</v>
      </c>
    </row>
    <row r="765" spans="1:10" x14ac:dyDescent="0.25">
      <c r="A765" t="s">
        <v>2590</v>
      </c>
      <c r="B765">
        <v>2023</v>
      </c>
      <c r="C765" t="s">
        <v>176</v>
      </c>
      <c r="D765" t="b">
        <f>TRUE()</f>
        <v>1</v>
      </c>
      <c r="E765" t="b">
        <f>COUNTIF(connections!A:A, A765) &gt; 0</f>
        <v>0</v>
      </c>
      <c r="F765" t="s">
        <v>614</v>
      </c>
      <c r="G765" t="s">
        <v>2591</v>
      </c>
      <c r="H765" t="s">
        <v>187</v>
      </c>
      <c r="I765" t="s">
        <v>2592</v>
      </c>
      <c r="J765" s="1" t="s">
        <v>2593</v>
      </c>
    </row>
    <row r="766" spans="1:10" x14ac:dyDescent="0.25">
      <c r="A766" t="s">
        <v>2594</v>
      </c>
      <c r="B766">
        <v>2019</v>
      </c>
      <c r="C766" t="s">
        <v>222</v>
      </c>
      <c r="D766" t="b">
        <f>TRUE()</f>
        <v>1</v>
      </c>
      <c r="E766" t="b">
        <f>COUNTIF(connections!A:A, A766) &gt; 0</f>
        <v>1</v>
      </c>
      <c r="G766" t="s">
        <v>2595</v>
      </c>
    </row>
    <row r="767" spans="1:10" x14ac:dyDescent="0.25">
      <c r="A767" t="s">
        <v>2596</v>
      </c>
      <c r="B767">
        <v>2026</v>
      </c>
      <c r="C767" t="s">
        <v>176</v>
      </c>
      <c r="D767" t="b">
        <v>1</v>
      </c>
      <c r="E767" t="b">
        <f>COUNTIF(connections!A:A, A767) &gt; 0</f>
        <v>0</v>
      </c>
      <c r="G767" t="s">
        <v>2597</v>
      </c>
      <c r="J767" s="10" t="s">
        <v>2598</v>
      </c>
    </row>
    <row r="768" spans="1:10" x14ac:dyDescent="0.25">
      <c r="A768" t="s">
        <v>2599</v>
      </c>
      <c r="B768">
        <v>2024</v>
      </c>
      <c r="C768" t="s">
        <v>176</v>
      </c>
      <c r="D768" t="b">
        <f>TRUE()</f>
        <v>1</v>
      </c>
      <c r="E768" t="b">
        <f>COUNTIF(connections!A:A, A768) &gt; 0</f>
        <v>0</v>
      </c>
      <c r="G768" t="s">
        <v>2600</v>
      </c>
      <c r="H768" t="s">
        <v>187</v>
      </c>
      <c r="I768" t="s">
        <v>2601</v>
      </c>
      <c r="J768" s="1" t="s">
        <v>2602</v>
      </c>
    </row>
    <row r="769" spans="1:10" x14ac:dyDescent="0.25">
      <c r="A769" t="s">
        <v>2603</v>
      </c>
      <c r="B769">
        <v>2024</v>
      </c>
      <c r="C769" t="s">
        <v>176</v>
      </c>
      <c r="D769" t="b">
        <f>TRUE()</f>
        <v>1</v>
      </c>
      <c r="E769" t="b">
        <f>COUNTIF(connections!A:A, A769) &gt; 0</f>
        <v>0</v>
      </c>
      <c r="G769" t="s">
        <v>2604</v>
      </c>
    </row>
    <row r="770" spans="1:10" x14ac:dyDescent="0.25">
      <c r="A770" t="s">
        <v>2605</v>
      </c>
      <c r="B770">
        <v>2022</v>
      </c>
      <c r="C770" t="s">
        <v>222</v>
      </c>
      <c r="D770" t="b">
        <f>TRUE()</f>
        <v>1</v>
      </c>
      <c r="E770" t="b">
        <f>COUNTIF(connections!A:A, A770) &gt; 0</f>
        <v>0</v>
      </c>
      <c r="G770" t="s">
        <v>2606</v>
      </c>
      <c r="H770" t="s">
        <v>187</v>
      </c>
      <c r="I770" t="s">
        <v>2607</v>
      </c>
      <c r="J770" s="1" t="s">
        <v>2608</v>
      </c>
    </row>
    <row r="771" spans="1:10" x14ac:dyDescent="0.25">
      <c r="A771" t="s">
        <v>2609</v>
      </c>
      <c r="B771">
        <v>2026</v>
      </c>
      <c r="C771" t="s">
        <v>176</v>
      </c>
      <c r="D771" t="b">
        <f>TRUE()</f>
        <v>1</v>
      </c>
      <c r="E771" t="b">
        <f>COUNTIF(connections!A:A, A771) &gt; 0</f>
        <v>0</v>
      </c>
      <c r="G771" t="s">
        <v>2610</v>
      </c>
      <c r="J771" s="10" t="s">
        <v>2611</v>
      </c>
    </row>
    <row r="772" spans="1:10" x14ac:dyDescent="0.25">
      <c r="A772" t="s">
        <v>2612</v>
      </c>
      <c r="B772">
        <v>2024</v>
      </c>
      <c r="C772" t="s">
        <v>176</v>
      </c>
      <c r="D772" t="b">
        <f>TRUE()</f>
        <v>1</v>
      </c>
      <c r="E772" t="b">
        <f>COUNTIF(connections!A:A, A772) &gt; 0</f>
        <v>0</v>
      </c>
      <c r="G772" t="s">
        <v>2613</v>
      </c>
    </row>
    <row r="773" spans="1:10" x14ac:dyDescent="0.25">
      <c r="A773" t="s">
        <v>2614</v>
      </c>
      <c r="B773">
        <v>2025</v>
      </c>
      <c r="C773" t="s">
        <v>222</v>
      </c>
      <c r="D773" t="b">
        <f>TRUE()</f>
        <v>1</v>
      </c>
      <c r="E773" t="b">
        <f>COUNTIF(connections!A:A, A773) &gt; 0</f>
        <v>1</v>
      </c>
      <c r="G773" t="s">
        <v>2615</v>
      </c>
    </row>
    <row r="774" spans="1:10" x14ac:dyDescent="0.25">
      <c r="A774" t="s">
        <v>160</v>
      </c>
      <c r="B774">
        <v>2011</v>
      </c>
      <c r="C774" t="s">
        <v>176</v>
      </c>
      <c r="D774" t="b">
        <f>TRUE()</f>
        <v>1</v>
      </c>
      <c r="E774" t="b">
        <f>COUNTIF(connections!A:A, A774) &gt; 0</f>
        <v>1</v>
      </c>
      <c r="G774" t="s">
        <v>2616</v>
      </c>
      <c r="H774" t="s">
        <v>187</v>
      </c>
      <c r="I774" t="s">
        <v>2617</v>
      </c>
      <c r="J774" s="1" t="s">
        <v>2618</v>
      </c>
    </row>
    <row r="775" spans="1:10" x14ac:dyDescent="0.25">
      <c r="A775" t="s">
        <v>2619</v>
      </c>
      <c r="B775">
        <v>2014</v>
      </c>
      <c r="C775" t="s">
        <v>176</v>
      </c>
      <c r="D775" t="b">
        <f>TRUE()</f>
        <v>1</v>
      </c>
      <c r="E775" t="b">
        <f>COUNTIF(connections!A:A, A775) &gt; 0</f>
        <v>0</v>
      </c>
      <c r="G775" t="s">
        <v>2620</v>
      </c>
      <c r="H775" t="s">
        <v>187</v>
      </c>
      <c r="I775" t="s">
        <v>2621</v>
      </c>
      <c r="J775" s="1" t="s">
        <v>2622</v>
      </c>
    </row>
    <row r="776" spans="1:10" x14ac:dyDescent="0.25">
      <c r="A776" t="s">
        <v>2623</v>
      </c>
      <c r="B776">
        <v>2021</v>
      </c>
      <c r="C776" t="s">
        <v>179</v>
      </c>
      <c r="D776" t="b">
        <f>TRUE()</f>
        <v>1</v>
      </c>
      <c r="E776" t="b">
        <f>COUNTIF(connections!A:A, A776) &gt; 0</f>
        <v>0</v>
      </c>
      <c r="G776" t="s">
        <v>2624</v>
      </c>
    </row>
    <row r="777" spans="1:10" x14ac:dyDescent="0.25">
      <c r="A777" t="s">
        <v>2625</v>
      </c>
      <c r="B777">
        <v>2000</v>
      </c>
      <c r="C777" t="s">
        <v>179</v>
      </c>
      <c r="D777" t="b">
        <f>TRUE()</f>
        <v>1</v>
      </c>
      <c r="E777" t="b">
        <f>COUNTIF(connections!A:A, A777) &gt; 0</f>
        <v>1</v>
      </c>
      <c r="G777" t="s">
        <v>2626</v>
      </c>
      <c r="H777" t="s">
        <v>187</v>
      </c>
      <c r="I777" t="s">
        <v>2627</v>
      </c>
    </row>
    <row r="778" spans="1:10" x14ac:dyDescent="0.25">
      <c r="A778" t="s">
        <v>2628</v>
      </c>
      <c r="B778">
        <v>2025</v>
      </c>
      <c r="C778" t="s">
        <v>182</v>
      </c>
      <c r="D778" t="b">
        <f>FALSE()</f>
        <v>0</v>
      </c>
      <c r="E778" t="b">
        <f>COUNTIF(connections!A:A, A778) &gt; 0</f>
        <v>0</v>
      </c>
      <c r="F778" t="s">
        <v>1076</v>
      </c>
      <c r="G778" t="s">
        <v>2629</v>
      </c>
    </row>
    <row r="779" spans="1:10" x14ac:dyDescent="0.25">
      <c r="A779" t="s">
        <v>2630</v>
      </c>
      <c r="B779">
        <v>2016</v>
      </c>
      <c r="C779" t="s">
        <v>176</v>
      </c>
      <c r="D779" t="b">
        <f>TRUE()</f>
        <v>1</v>
      </c>
      <c r="E779" t="b">
        <f>COUNTIF(connections!A:A, A779) &gt; 0</f>
        <v>0</v>
      </c>
      <c r="G779" t="s">
        <v>2631</v>
      </c>
      <c r="H779" t="s">
        <v>187</v>
      </c>
      <c r="I779" t="s">
        <v>2632</v>
      </c>
      <c r="J779" s="1" t="s">
        <v>2633</v>
      </c>
    </row>
    <row r="780" spans="1:10" x14ac:dyDescent="0.25">
      <c r="A780" t="s">
        <v>2634</v>
      </c>
      <c r="B780">
        <v>2014</v>
      </c>
      <c r="C780" t="s">
        <v>179</v>
      </c>
      <c r="D780" t="b">
        <f>TRUE()</f>
        <v>1</v>
      </c>
      <c r="E780" t="b">
        <f>COUNTIF(connections!A:A, A780) &gt; 0</f>
        <v>1</v>
      </c>
      <c r="G780" t="s">
        <v>2635</v>
      </c>
      <c r="H780" t="s">
        <v>187</v>
      </c>
      <c r="I780" t="s">
        <v>2636</v>
      </c>
    </row>
    <row r="781" spans="1:10" x14ac:dyDescent="0.25">
      <c r="A781" t="s">
        <v>2637</v>
      </c>
      <c r="B781">
        <v>2013</v>
      </c>
      <c r="C781" t="s">
        <v>179</v>
      </c>
      <c r="D781" t="b">
        <f>TRUE()</f>
        <v>1</v>
      </c>
      <c r="E781" t="b">
        <f>COUNTIF(connections!A:A, A781) &gt; 0</f>
        <v>0</v>
      </c>
      <c r="G781" t="s">
        <v>2638</v>
      </c>
    </row>
    <row r="782" spans="1:10" x14ac:dyDescent="0.25">
      <c r="A782" t="s">
        <v>2639</v>
      </c>
      <c r="B782">
        <v>2025</v>
      </c>
      <c r="C782" t="s">
        <v>222</v>
      </c>
      <c r="D782" t="b">
        <f>FALSE()</f>
        <v>0</v>
      </c>
      <c r="E782" t="b">
        <f>COUNTIF(connections!A:A, A782) &gt; 0</f>
        <v>0</v>
      </c>
      <c r="G782" t="s">
        <v>2640</v>
      </c>
      <c r="H782" t="s">
        <v>187</v>
      </c>
      <c r="I782" t="s">
        <v>2641</v>
      </c>
      <c r="J782" s="1" t="s">
        <v>2642</v>
      </c>
    </row>
    <row r="783" spans="1:10" x14ac:dyDescent="0.25">
      <c r="A783" t="s">
        <v>2643</v>
      </c>
      <c r="B783">
        <v>2024</v>
      </c>
      <c r="C783" t="s">
        <v>222</v>
      </c>
      <c r="D783" t="b">
        <f>TRUE()</f>
        <v>1</v>
      </c>
      <c r="E783" t="b">
        <f>COUNTIF(connections!A:A, A783) &gt; 0</f>
        <v>0</v>
      </c>
      <c r="G783" t="s">
        <v>2644</v>
      </c>
    </row>
    <row r="784" spans="1:10" x14ac:dyDescent="0.25">
      <c r="A784" t="s">
        <v>2645</v>
      </c>
      <c r="B784">
        <v>2023</v>
      </c>
      <c r="C784" t="s">
        <v>176</v>
      </c>
      <c r="D784" t="b">
        <f>TRUE()</f>
        <v>1</v>
      </c>
      <c r="E784" t="b">
        <f>COUNTIF(connections!A:A, A784) &gt; 0</f>
        <v>0</v>
      </c>
      <c r="G784" t="s">
        <v>2646</v>
      </c>
      <c r="H784" t="s">
        <v>187</v>
      </c>
      <c r="I784" t="s">
        <v>8349</v>
      </c>
      <c r="J784" s="10" t="s">
        <v>2647</v>
      </c>
    </row>
    <row r="785" spans="1:10" x14ac:dyDescent="0.25">
      <c r="A785" t="s">
        <v>2648</v>
      </c>
      <c r="B785">
        <v>2021</v>
      </c>
      <c r="C785" t="s">
        <v>222</v>
      </c>
      <c r="D785" t="b">
        <f>TRUE()</f>
        <v>1</v>
      </c>
      <c r="E785" t="b">
        <f>COUNTIF(connections!A:A, A785) &gt; 0</f>
        <v>0</v>
      </c>
      <c r="G785" t="s">
        <v>2649</v>
      </c>
      <c r="H785" t="s">
        <v>187</v>
      </c>
      <c r="I785" t="s">
        <v>2650</v>
      </c>
      <c r="J785" s="1" t="s">
        <v>2651</v>
      </c>
    </row>
    <row r="786" spans="1:10" x14ac:dyDescent="0.25">
      <c r="A786" t="s">
        <v>2652</v>
      </c>
      <c r="B786">
        <v>2019</v>
      </c>
      <c r="C786" t="s">
        <v>222</v>
      </c>
      <c r="D786" t="b">
        <f>TRUE()</f>
        <v>1</v>
      </c>
      <c r="E786" t="b">
        <f>COUNTIF(connections!A:A, A786) &gt; 0</f>
        <v>1</v>
      </c>
      <c r="G786" t="s">
        <v>2653</v>
      </c>
      <c r="H786" t="s">
        <v>187</v>
      </c>
      <c r="I786" t="s">
        <v>2654</v>
      </c>
      <c r="J786" s="1" t="s">
        <v>2655</v>
      </c>
    </row>
    <row r="787" spans="1:10" x14ac:dyDescent="0.25">
      <c r="A787" t="s">
        <v>7938</v>
      </c>
      <c r="B787">
        <v>2026</v>
      </c>
      <c r="C787" t="s">
        <v>182</v>
      </c>
      <c r="D787" t="b">
        <f>TRUE()</f>
        <v>1</v>
      </c>
      <c r="E787" t="b">
        <f>COUNTIF(connections!A:A, A787) &gt; 0</f>
        <v>0</v>
      </c>
      <c r="G787" t="s">
        <v>7939</v>
      </c>
      <c r="J787" s="10" t="s">
        <v>7940</v>
      </c>
    </row>
    <row r="788" spans="1:10" x14ac:dyDescent="0.25">
      <c r="A788" t="s">
        <v>8150</v>
      </c>
      <c r="B788">
        <v>2026</v>
      </c>
      <c r="C788" t="s">
        <v>176</v>
      </c>
      <c r="D788" t="b">
        <f>TRUE()</f>
        <v>1</v>
      </c>
      <c r="E788" t="b">
        <f>COUNTIF(connections!A:A, A788) &gt; 0</f>
        <v>0</v>
      </c>
      <c r="G788" t="s">
        <v>8152</v>
      </c>
      <c r="J788" s="10" t="s">
        <v>8151</v>
      </c>
    </row>
    <row r="789" spans="1:10" x14ac:dyDescent="0.25">
      <c r="A789" t="s">
        <v>2656</v>
      </c>
      <c r="B789">
        <v>2004</v>
      </c>
      <c r="C789" t="s">
        <v>179</v>
      </c>
      <c r="D789" t="b">
        <f>TRUE()</f>
        <v>1</v>
      </c>
      <c r="E789" t="b">
        <f>COUNTIF(connections!A:A, A789) &gt; 0</f>
        <v>0</v>
      </c>
      <c r="G789" t="s">
        <v>2657</v>
      </c>
      <c r="H789" t="s">
        <v>187</v>
      </c>
      <c r="I789" t="s">
        <v>2658</v>
      </c>
    </row>
    <row r="790" spans="1:10" x14ac:dyDescent="0.25">
      <c r="A790" t="s">
        <v>2659</v>
      </c>
      <c r="B790">
        <v>2023</v>
      </c>
      <c r="C790" t="s">
        <v>222</v>
      </c>
      <c r="D790" t="b">
        <f>TRUE()</f>
        <v>1</v>
      </c>
      <c r="E790" t="b">
        <f>COUNTIF(connections!A:A, A790) &gt; 0</f>
        <v>0</v>
      </c>
      <c r="F790" t="s">
        <v>1164</v>
      </c>
      <c r="G790" t="s">
        <v>2660</v>
      </c>
      <c r="H790" t="s">
        <v>187</v>
      </c>
      <c r="I790" t="s">
        <v>2661</v>
      </c>
      <c r="J790" s="1" t="s">
        <v>2662</v>
      </c>
    </row>
    <row r="791" spans="1:10" x14ac:dyDescent="0.25">
      <c r="A791" t="s">
        <v>2663</v>
      </c>
      <c r="B791">
        <v>2024</v>
      </c>
      <c r="C791" t="s">
        <v>176</v>
      </c>
      <c r="D791" t="b">
        <f>TRUE()</f>
        <v>1</v>
      </c>
      <c r="E791" t="b">
        <f>COUNTIF(connections!A:A, A791) &gt; 0</f>
        <v>0</v>
      </c>
      <c r="G791" t="s">
        <v>2664</v>
      </c>
      <c r="H791" t="s">
        <v>187</v>
      </c>
      <c r="I791" t="s">
        <v>2665</v>
      </c>
      <c r="J791" s="1" t="s">
        <v>2666</v>
      </c>
    </row>
    <row r="792" spans="1:10" x14ac:dyDescent="0.25">
      <c r="A792" t="s">
        <v>2667</v>
      </c>
      <c r="B792">
        <v>2025</v>
      </c>
      <c r="C792" t="s">
        <v>182</v>
      </c>
      <c r="D792" t="b">
        <f>TRUE()</f>
        <v>1</v>
      </c>
      <c r="E792" t="b">
        <f>COUNTIF(connections!A:A, A792) &gt; 0</f>
        <v>0</v>
      </c>
      <c r="G792" t="s">
        <v>2668</v>
      </c>
      <c r="H792" t="s">
        <v>187</v>
      </c>
      <c r="I792" t="s">
        <v>8142</v>
      </c>
      <c r="J792" s="10" t="s">
        <v>2985</v>
      </c>
    </row>
    <row r="793" spans="1:10" x14ac:dyDescent="0.25">
      <c r="A793" t="s">
        <v>2669</v>
      </c>
      <c r="B793">
        <v>2024</v>
      </c>
      <c r="C793" t="s">
        <v>176</v>
      </c>
      <c r="D793" t="b">
        <f>TRUE()</f>
        <v>1</v>
      </c>
      <c r="E793" t="b">
        <f>COUNTIF(connections!A:A, A793) &gt; 0</f>
        <v>0</v>
      </c>
      <c r="G793" t="s">
        <v>2670</v>
      </c>
    </row>
    <row r="794" spans="1:10" x14ac:dyDescent="0.25">
      <c r="A794" t="s">
        <v>2671</v>
      </c>
      <c r="B794">
        <v>2026</v>
      </c>
      <c r="C794" t="s">
        <v>182</v>
      </c>
      <c r="D794" t="b">
        <f>TRUE()</f>
        <v>1</v>
      </c>
      <c r="E794" t="b">
        <f>COUNTIF(connections!A:A, A794) &gt; 0</f>
        <v>0</v>
      </c>
      <c r="F794" t="s">
        <v>506</v>
      </c>
      <c r="G794" t="s">
        <v>2672</v>
      </c>
      <c r="H794" t="s">
        <v>187</v>
      </c>
      <c r="I794" t="s">
        <v>2673</v>
      </c>
      <c r="J794" s="1" t="s">
        <v>2674</v>
      </c>
    </row>
    <row r="795" spans="1:10" x14ac:dyDescent="0.25">
      <c r="A795" t="s">
        <v>2675</v>
      </c>
      <c r="B795">
        <v>2022</v>
      </c>
      <c r="C795" t="s">
        <v>176</v>
      </c>
      <c r="D795" t="b">
        <f>TRUE()</f>
        <v>1</v>
      </c>
      <c r="E795" t="b">
        <f>COUNTIF(connections!A:A, A795) &gt; 0</f>
        <v>1</v>
      </c>
      <c r="G795" t="s">
        <v>2676</v>
      </c>
      <c r="H795" t="s">
        <v>187</v>
      </c>
      <c r="I795" t="s">
        <v>2677</v>
      </c>
      <c r="J795" s="1" t="s">
        <v>2678</v>
      </c>
    </row>
    <row r="796" spans="1:10" x14ac:dyDescent="0.25">
      <c r="A796" t="s">
        <v>2679</v>
      </c>
      <c r="B796">
        <v>2018</v>
      </c>
      <c r="C796" t="s">
        <v>176</v>
      </c>
      <c r="D796" t="b">
        <f>TRUE()</f>
        <v>1</v>
      </c>
      <c r="E796" t="b">
        <f>COUNTIF(connections!A:A, A796) &gt; 0</f>
        <v>0</v>
      </c>
      <c r="G796" t="s">
        <v>2680</v>
      </c>
    </row>
    <row r="797" spans="1:10" x14ac:dyDescent="0.25">
      <c r="A797" t="s">
        <v>2681</v>
      </c>
      <c r="B797">
        <v>2014</v>
      </c>
      <c r="C797" t="s">
        <v>179</v>
      </c>
      <c r="D797" t="b">
        <f>TRUE()</f>
        <v>1</v>
      </c>
      <c r="E797" t="b">
        <f>COUNTIF(connections!A:A, A797) &gt; 0</f>
        <v>0</v>
      </c>
      <c r="G797" t="s">
        <v>2682</v>
      </c>
      <c r="J797" s="10" t="s">
        <v>2683</v>
      </c>
    </row>
    <row r="798" spans="1:10" x14ac:dyDescent="0.25">
      <c r="A798" t="s">
        <v>2684</v>
      </c>
      <c r="B798">
        <v>2025</v>
      </c>
      <c r="C798" t="s">
        <v>222</v>
      </c>
      <c r="D798" t="b">
        <f>FALSE()</f>
        <v>0</v>
      </c>
      <c r="E798" t="b">
        <f>COUNTIF(connections!A:A, A798) &gt; 0</f>
        <v>0</v>
      </c>
      <c r="F798" t="s">
        <v>404</v>
      </c>
      <c r="G798" t="s">
        <v>2685</v>
      </c>
    </row>
    <row r="799" spans="1:10" x14ac:dyDescent="0.25">
      <c r="A799" t="s">
        <v>2686</v>
      </c>
      <c r="B799">
        <v>2025</v>
      </c>
      <c r="C799" t="s">
        <v>182</v>
      </c>
      <c r="D799" t="b">
        <f>TRUE()</f>
        <v>1</v>
      </c>
      <c r="E799" t="b">
        <f>COUNTIF(connections!A:A, A799) &gt; 0</f>
        <v>0</v>
      </c>
      <c r="G799" t="s">
        <v>2687</v>
      </c>
    </row>
    <row r="800" spans="1:10" x14ac:dyDescent="0.25">
      <c r="A800" t="s">
        <v>2688</v>
      </c>
      <c r="B800">
        <v>2023</v>
      </c>
      <c r="C800" t="s">
        <v>176</v>
      </c>
      <c r="D800" t="b">
        <f>TRUE()</f>
        <v>1</v>
      </c>
      <c r="E800" t="b">
        <f>COUNTIF(connections!A:A, A800) &gt; 0</f>
        <v>0</v>
      </c>
      <c r="G800" t="s">
        <v>2689</v>
      </c>
      <c r="J800" s="10" t="s">
        <v>2690</v>
      </c>
    </row>
    <row r="801" spans="1:10" x14ac:dyDescent="0.25">
      <c r="A801" t="s">
        <v>2691</v>
      </c>
      <c r="B801">
        <v>2023</v>
      </c>
      <c r="C801" t="s">
        <v>176</v>
      </c>
      <c r="D801" t="b">
        <f>TRUE()</f>
        <v>1</v>
      </c>
      <c r="E801" t="b">
        <f>COUNTIF(connections!A:A, A801) &gt; 0</f>
        <v>0</v>
      </c>
      <c r="G801" t="s">
        <v>2692</v>
      </c>
      <c r="H801" t="s">
        <v>187</v>
      </c>
      <c r="I801" t="s">
        <v>2693</v>
      </c>
      <c r="J801" s="1" t="s">
        <v>2694</v>
      </c>
    </row>
    <row r="802" spans="1:10" x14ac:dyDescent="0.25">
      <c r="A802" t="s">
        <v>7967</v>
      </c>
      <c r="B802">
        <v>2026</v>
      </c>
      <c r="C802" t="s">
        <v>182</v>
      </c>
      <c r="D802" t="b">
        <f>TRUE()</f>
        <v>1</v>
      </c>
      <c r="E802" t="b">
        <f>COUNTIF(connections!A:A, A802) &gt; 0</f>
        <v>0</v>
      </c>
      <c r="G802" t="s">
        <v>7968</v>
      </c>
      <c r="J802" s="10" t="s">
        <v>7969</v>
      </c>
    </row>
    <row r="803" spans="1:10" x14ac:dyDescent="0.25">
      <c r="A803" t="s">
        <v>2695</v>
      </c>
      <c r="B803">
        <v>2025</v>
      </c>
      <c r="C803" t="s">
        <v>182</v>
      </c>
      <c r="D803" t="b">
        <f>TRUE()</f>
        <v>1</v>
      </c>
      <c r="E803" t="b">
        <f>COUNTIF(connections!A:A, A803) &gt; 0</f>
        <v>1</v>
      </c>
      <c r="F803" t="s">
        <v>1030</v>
      </c>
      <c r="G803" t="s">
        <v>2696</v>
      </c>
      <c r="J803" s="10" t="s">
        <v>2697</v>
      </c>
    </row>
    <row r="804" spans="1:10" x14ac:dyDescent="0.25">
      <c r="A804" t="s">
        <v>2698</v>
      </c>
      <c r="B804">
        <v>2022</v>
      </c>
      <c r="C804" t="s">
        <v>176</v>
      </c>
      <c r="D804" t="b">
        <f>TRUE()</f>
        <v>1</v>
      </c>
      <c r="E804" t="b">
        <f>COUNTIF(connections!A:A, A804) &gt; 0</f>
        <v>1</v>
      </c>
      <c r="G804" t="s">
        <v>2699</v>
      </c>
      <c r="H804" t="s">
        <v>187</v>
      </c>
      <c r="I804" t="s">
        <v>2700</v>
      </c>
      <c r="J804" s="1" t="s">
        <v>2701</v>
      </c>
    </row>
    <row r="805" spans="1:10" x14ac:dyDescent="0.25">
      <c r="A805" t="s">
        <v>2702</v>
      </c>
      <c r="B805">
        <v>2022</v>
      </c>
      <c r="C805" t="s">
        <v>222</v>
      </c>
      <c r="D805" t="b">
        <f>TRUE()</f>
        <v>1</v>
      </c>
      <c r="E805" t="b">
        <f>COUNTIF(connections!A:A, A805) &gt; 0</f>
        <v>0</v>
      </c>
      <c r="G805" t="s">
        <v>2703</v>
      </c>
      <c r="H805" t="s">
        <v>187</v>
      </c>
      <c r="I805" t="s">
        <v>2704</v>
      </c>
      <c r="J805" s="1" t="s">
        <v>2705</v>
      </c>
    </row>
    <row r="806" spans="1:10" x14ac:dyDescent="0.25">
      <c r="A806" t="s">
        <v>2706</v>
      </c>
      <c r="B806">
        <v>1991</v>
      </c>
      <c r="C806" t="s">
        <v>176</v>
      </c>
      <c r="D806" t="b">
        <f>TRUE()</f>
        <v>1</v>
      </c>
      <c r="E806" t="b">
        <f>COUNTIF(connections!A:A, A806) &gt; 0</f>
        <v>1</v>
      </c>
      <c r="G806" t="s">
        <v>2707</v>
      </c>
      <c r="H806" t="s">
        <v>187</v>
      </c>
      <c r="I806" t="s">
        <v>2708</v>
      </c>
    </row>
    <row r="807" spans="1:10" x14ac:dyDescent="0.25">
      <c r="A807" t="s">
        <v>2709</v>
      </c>
      <c r="B807">
        <v>2019</v>
      </c>
      <c r="C807" t="s">
        <v>176</v>
      </c>
      <c r="D807" t="b">
        <f>TRUE()</f>
        <v>1</v>
      </c>
      <c r="E807" t="b">
        <f>COUNTIF(connections!A:A, A807) &gt; 0</f>
        <v>0</v>
      </c>
      <c r="G807" t="s">
        <v>2710</v>
      </c>
    </row>
    <row r="808" spans="1:10" x14ac:dyDescent="0.25">
      <c r="A808" t="s">
        <v>2711</v>
      </c>
      <c r="B808">
        <v>2022</v>
      </c>
      <c r="C808" t="s">
        <v>176</v>
      </c>
      <c r="D808" t="b">
        <f>TRUE()</f>
        <v>1</v>
      </c>
      <c r="E808" t="b">
        <f>COUNTIF(connections!A:A, A808) &gt; 0</f>
        <v>0</v>
      </c>
      <c r="G808" t="s">
        <v>2712</v>
      </c>
      <c r="H808" t="s">
        <v>187</v>
      </c>
      <c r="I808" t="s">
        <v>2713</v>
      </c>
      <c r="J808" s="1" t="s">
        <v>2714</v>
      </c>
    </row>
    <row r="809" spans="1:10" x14ac:dyDescent="0.25">
      <c r="A809" t="s">
        <v>2715</v>
      </c>
      <c r="B809">
        <v>1999</v>
      </c>
      <c r="C809" t="s">
        <v>179</v>
      </c>
      <c r="D809" t="b">
        <f>TRUE()</f>
        <v>1</v>
      </c>
      <c r="E809" t="b">
        <f>COUNTIF(connections!A:A, A809) &gt; 0</f>
        <v>1</v>
      </c>
      <c r="G809" t="s">
        <v>2716</v>
      </c>
      <c r="H809" t="s">
        <v>187</v>
      </c>
      <c r="I809" t="s">
        <v>2717</v>
      </c>
    </row>
    <row r="810" spans="1:10" x14ac:dyDescent="0.25">
      <c r="A810" t="s">
        <v>2718</v>
      </c>
      <c r="B810">
        <v>2002</v>
      </c>
      <c r="C810" t="s">
        <v>179</v>
      </c>
      <c r="D810" t="b">
        <f>TRUE()</f>
        <v>1</v>
      </c>
      <c r="E810" t="b">
        <f>COUNTIF(connections!A:A, A810) &gt; 0</f>
        <v>0</v>
      </c>
      <c r="G810" t="s">
        <v>2719</v>
      </c>
      <c r="H810" t="s">
        <v>187</v>
      </c>
      <c r="I810" t="s">
        <v>2720</v>
      </c>
    </row>
    <row r="811" spans="1:10" x14ac:dyDescent="0.25">
      <c r="A811" t="s">
        <v>2721</v>
      </c>
      <c r="B811">
        <v>1993</v>
      </c>
      <c r="C811" t="s">
        <v>179</v>
      </c>
      <c r="D811" t="b">
        <f>TRUE()</f>
        <v>1</v>
      </c>
      <c r="E811" t="b">
        <f>COUNTIF(connections!A:A, A811) &gt; 0</f>
        <v>1</v>
      </c>
      <c r="G811" t="s">
        <v>2722</v>
      </c>
      <c r="H811" t="s">
        <v>187</v>
      </c>
      <c r="I811" t="s">
        <v>2723</v>
      </c>
    </row>
    <row r="812" spans="1:10" x14ac:dyDescent="0.25">
      <c r="A812" t="s">
        <v>2724</v>
      </c>
      <c r="B812">
        <v>2025</v>
      </c>
      <c r="C812" t="s">
        <v>179</v>
      </c>
      <c r="D812" t="b">
        <f>TRUE()</f>
        <v>1</v>
      </c>
      <c r="E812" t="b">
        <f>COUNTIF(connections!A:A, A812) &gt; 0</f>
        <v>0</v>
      </c>
      <c r="F812" t="s">
        <v>328</v>
      </c>
      <c r="G812" t="s">
        <v>2725</v>
      </c>
      <c r="H812" t="s">
        <v>187</v>
      </c>
      <c r="I812" t="s">
        <v>2726</v>
      </c>
      <c r="J812" s="1" t="s">
        <v>2727</v>
      </c>
    </row>
    <row r="813" spans="1:10" x14ac:dyDescent="0.25">
      <c r="A813" t="s">
        <v>2728</v>
      </c>
      <c r="B813">
        <v>2024</v>
      </c>
      <c r="C813" t="s">
        <v>179</v>
      </c>
      <c r="D813" t="b">
        <f>TRUE()</f>
        <v>1</v>
      </c>
      <c r="E813" t="b">
        <f>COUNTIF(connections!A:A, A813) &gt; 0</f>
        <v>0</v>
      </c>
      <c r="F813" t="s">
        <v>328</v>
      </c>
      <c r="G813" t="s">
        <v>2729</v>
      </c>
      <c r="J813" s="10" t="s">
        <v>2730</v>
      </c>
    </row>
    <row r="814" spans="1:10" x14ac:dyDescent="0.25">
      <c r="A814" t="s">
        <v>2731</v>
      </c>
      <c r="B814">
        <v>2021</v>
      </c>
      <c r="C814" t="s">
        <v>179</v>
      </c>
      <c r="D814" t="b">
        <f>TRUE()</f>
        <v>1</v>
      </c>
      <c r="E814" t="b">
        <f>COUNTIF(connections!A:A, A814) &gt; 0</f>
        <v>0</v>
      </c>
      <c r="F814" t="s">
        <v>328</v>
      </c>
      <c r="G814" t="s">
        <v>2732</v>
      </c>
      <c r="J814" s="10" t="s">
        <v>2733</v>
      </c>
    </row>
    <row r="815" spans="1:10" x14ac:dyDescent="0.25">
      <c r="A815" t="s">
        <v>2734</v>
      </c>
      <c r="B815">
        <v>2022</v>
      </c>
      <c r="C815" t="s">
        <v>182</v>
      </c>
      <c r="D815" t="b">
        <f>TRUE()</f>
        <v>1</v>
      </c>
      <c r="E815" t="b">
        <f>COUNTIF(connections!A:A, A815) &gt; 0</f>
        <v>0</v>
      </c>
      <c r="F815" t="s">
        <v>328</v>
      </c>
      <c r="G815" t="s">
        <v>2735</v>
      </c>
    </row>
    <row r="816" spans="1:10" x14ac:dyDescent="0.25">
      <c r="A816" t="s">
        <v>2736</v>
      </c>
      <c r="B816">
        <v>2025</v>
      </c>
      <c r="C816" t="s">
        <v>222</v>
      </c>
      <c r="D816" t="b">
        <f>TRUE()</f>
        <v>1</v>
      </c>
      <c r="E816" t="b">
        <f>COUNTIF(connections!A:A, A816) &gt; 0</f>
        <v>0</v>
      </c>
      <c r="G816" t="s">
        <v>2737</v>
      </c>
    </row>
    <row r="817" spans="1:10" x14ac:dyDescent="0.25">
      <c r="A817" t="s">
        <v>2738</v>
      </c>
      <c r="B817">
        <v>2023</v>
      </c>
      <c r="C817" t="s">
        <v>182</v>
      </c>
      <c r="D817" t="b">
        <f>TRUE()</f>
        <v>1</v>
      </c>
      <c r="E817" t="b">
        <f>COUNTIF(connections!A:A, A817) &gt; 0</f>
        <v>0</v>
      </c>
      <c r="F817" t="s">
        <v>404</v>
      </c>
      <c r="G817" t="s">
        <v>2739</v>
      </c>
      <c r="H817" t="s">
        <v>187</v>
      </c>
      <c r="I817" t="s">
        <v>2740</v>
      </c>
      <c r="J817" s="1" t="s">
        <v>2741</v>
      </c>
    </row>
    <row r="818" spans="1:10" x14ac:dyDescent="0.25">
      <c r="A818" t="s">
        <v>2742</v>
      </c>
      <c r="B818">
        <v>2024</v>
      </c>
      <c r="C818" t="s">
        <v>222</v>
      </c>
      <c r="D818" t="b">
        <f>TRUE()</f>
        <v>1</v>
      </c>
      <c r="E818" t="b">
        <f>COUNTIF(connections!A:A, A818) &gt; 0</f>
        <v>0</v>
      </c>
      <c r="F818" t="s">
        <v>404</v>
      </c>
      <c r="G818" t="s">
        <v>2743</v>
      </c>
    </row>
    <row r="819" spans="1:10" x14ac:dyDescent="0.25">
      <c r="A819" t="s">
        <v>2744</v>
      </c>
      <c r="B819">
        <v>2017</v>
      </c>
      <c r="C819" t="s">
        <v>176</v>
      </c>
      <c r="D819" t="b">
        <f>TRUE()</f>
        <v>1</v>
      </c>
      <c r="E819" t="b">
        <f>COUNTIF(connections!A:A, A819) &gt; 0</f>
        <v>0</v>
      </c>
      <c r="G819" t="s">
        <v>2745</v>
      </c>
      <c r="H819" t="s">
        <v>187</v>
      </c>
      <c r="I819" t="s">
        <v>8350</v>
      </c>
      <c r="J819" s="10" t="s">
        <v>2746</v>
      </c>
    </row>
    <row r="820" spans="1:10" x14ac:dyDescent="0.25">
      <c r="A820" t="s">
        <v>2747</v>
      </c>
      <c r="B820">
        <v>2014</v>
      </c>
      <c r="C820" t="s">
        <v>176</v>
      </c>
      <c r="D820" t="b">
        <f>TRUE()</f>
        <v>1</v>
      </c>
      <c r="E820" t="b">
        <f>COUNTIF(connections!A:A, A820) &gt; 0</f>
        <v>1</v>
      </c>
      <c r="G820" t="s">
        <v>2748</v>
      </c>
      <c r="H820" t="s">
        <v>187</v>
      </c>
      <c r="I820" t="s">
        <v>2749</v>
      </c>
      <c r="J820" s="1" t="s">
        <v>2750</v>
      </c>
    </row>
    <row r="821" spans="1:10" x14ac:dyDescent="0.25">
      <c r="A821" t="s">
        <v>2751</v>
      </c>
      <c r="B821">
        <v>2021</v>
      </c>
      <c r="C821" t="s">
        <v>182</v>
      </c>
      <c r="D821" t="b">
        <f>TRUE()</f>
        <v>1</v>
      </c>
      <c r="E821" t="b">
        <f>COUNTIF(connections!A:A, A821) &gt; 0</f>
        <v>1</v>
      </c>
      <c r="F821" t="s">
        <v>404</v>
      </c>
      <c r="G821" t="s">
        <v>2752</v>
      </c>
      <c r="H821" t="s">
        <v>187</v>
      </c>
      <c r="I821" t="s">
        <v>2753</v>
      </c>
      <c r="J821" s="1" t="s">
        <v>2754</v>
      </c>
    </row>
    <row r="822" spans="1:10" x14ac:dyDescent="0.25">
      <c r="A822" t="s">
        <v>2755</v>
      </c>
      <c r="B822">
        <v>2025</v>
      </c>
      <c r="C822" t="s">
        <v>182</v>
      </c>
      <c r="D822" t="b">
        <f>TRUE()</f>
        <v>1</v>
      </c>
      <c r="E822" t="b">
        <f>COUNTIF(connections!A:A, A822) &gt; 0</f>
        <v>0</v>
      </c>
      <c r="G822" t="s">
        <v>2756</v>
      </c>
    </row>
    <row r="823" spans="1:10" x14ac:dyDescent="0.25">
      <c r="A823" t="s">
        <v>8125</v>
      </c>
      <c r="B823">
        <v>2024</v>
      </c>
      <c r="C823" t="s">
        <v>222</v>
      </c>
      <c r="D823" t="b">
        <f>TRUE()</f>
        <v>1</v>
      </c>
      <c r="E823" t="b">
        <f>COUNTIF(connections!A:A, A823) &gt; 0</f>
        <v>0</v>
      </c>
      <c r="G823" t="s">
        <v>8126</v>
      </c>
      <c r="J823" s="10" t="s">
        <v>8127</v>
      </c>
    </row>
    <row r="824" spans="1:10" x14ac:dyDescent="0.25">
      <c r="A824" t="s">
        <v>2757</v>
      </c>
      <c r="B824">
        <v>2019</v>
      </c>
      <c r="C824" t="s">
        <v>182</v>
      </c>
      <c r="D824" t="b">
        <f>TRUE()</f>
        <v>1</v>
      </c>
      <c r="E824" t="b">
        <f>COUNTIF(connections!A:A, A824) &gt; 0</f>
        <v>0</v>
      </c>
      <c r="G824" t="s">
        <v>2758</v>
      </c>
      <c r="H824" t="s">
        <v>187</v>
      </c>
      <c r="I824" t="s">
        <v>8351</v>
      </c>
      <c r="J824" s="1" t="s">
        <v>2759</v>
      </c>
    </row>
    <row r="825" spans="1:10" x14ac:dyDescent="0.25">
      <c r="A825" t="s">
        <v>2760</v>
      </c>
      <c r="B825">
        <v>2017</v>
      </c>
      <c r="C825" t="s">
        <v>176</v>
      </c>
      <c r="D825" t="b">
        <f>TRUE()</f>
        <v>1</v>
      </c>
      <c r="E825" t="b">
        <f>COUNTIF(connections!A:A, A825) &gt; 0</f>
        <v>0</v>
      </c>
      <c r="G825" t="s">
        <v>2761</v>
      </c>
      <c r="J825" s="10" t="s">
        <v>2762</v>
      </c>
    </row>
    <row r="826" spans="1:10" x14ac:dyDescent="0.25">
      <c r="A826" t="s">
        <v>2763</v>
      </c>
      <c r="B826">
        <v>2026</v>
      </c>
      <c r="C826" t="s">
        <v>182</v>
      </c>
      <c r="D826" t="b">
        <f>TRUE()</f>
        <v>1</v>
      </c>
      <c r="E826" t="b">
        <f>COUNTIF(connections!A:A, A826) &gt; 0</f>
        <v>0</v>
      </c>
      <c r="G826" t="s">
        <v>2764</v>
      </c>
      <c r="H826" t="s">
        <v>187</v>
      </c>
      <c r="I826" t="s">
        <v>8143</v>
      </c>
      <c r="J826" s="1" t="s">
        <v>2765</v>
      </c>
    </row>
    <row r="827" spans="1:10" x14ac:dyDescent="0.25">
      <c r="A827" t="s">
        <v>2766</v>
      </c>
      <c r="B827">
        <v>2025</v>
      </c>
      <c r="C827" t="s">
        <v>176</v>
      </c>
      <c r="D827" t="b">
        <f>TRUE()</f>
        <v>1</v>
      </c>
      <c r="E827" t="b">
        <f>COUNTIF(connections!A:A, A827) &gt; 0</f>
        <v>0</v>
      </c>
      <c r="G827" t="s">
        <v>2767</v>
      </c>
      <c r="H827" t="s">
        <v>187</v>
      </c>
      <c r="I827" t="s">
        <v>8137</v>
      </c>
      <c r="J827" s="1" t="s">
        <v>2768</v>
      </c>
    </row>
    <row r="828" spans="1:10" x14ac:dyDescent="0.25">
      <c r="A828" t="s">
        <v>2769</v>
      </c>
      <c r="B828">
        <v>2012</v>
      </c>
      <c r="C828" t="s">
        <v>179</v>
      </c>
      <c r="D828" t="b">
        <f>TRUE()</f>
        <v>1</v>
      </c>
      <c r="E828" t="b">
        <f>COUNTIF(connections!A:A, A828) &gt; 0</f>
        <v>0</v>
      </c>
      <c r="G828" t="s">
        <v>2770</v>
      </c>
    </row>
    <row r="829" spans="1:10" x14ac:dyDescent="0.25">
      <c r="A829" t="s">
        <v>2771</v>
      </c>
      <c r="B829">
        <v>2021</v>
      </c>
      <c r="C829" t="s">
        <v>179</v>
      </c>
      <c r="D829" t="b">
        <f>TRUE()</f>
        <v>1</v>
      </c>
      <c r="E829" t="b">
        <f>COUNTIF(connections!A:A, A829) &gt; 0</f>
        <v>0</v>
      </c>
      <c r="G829" t="s">
        <v>2772</v>
      </c>
      <c r="H829" t="s">
        <v>187</v>
      </c>
      <c r="I829" t="s">
        <v>2773</v>
      </c>
      <c r="J829" s="1" t="s">
        <v>2774</v>
      </c>
    </row>
    <row r="830" spans="1:10" x14ac:dyDescent="0.25">
      <c r="A830" t="s">
        <v>7707</v>
      </c>
      <c r="B830">
        <v>2026</v>
      </c>
      <c r="C830" t="s">
        <v>182</v>
      </c>
      <c r="D830" t="b">
        <f>TRUE()</f>
        <v>1</v>
      </c>
      <c r="E830" t="b">
        <f>COUNTIF(connections!A:A, A830) &gt; 0</f>
        <v>0</v>
      </c>
      <c r="G830" t="s">
        <v>7708</v>
      </c>
      <c r="J830" s="10" t="s">
        <v>7706</v>
      </c>
    </row>
    <row r="831" spans="1:10" x14ac:dyDescent="0.25">
      <c r="A831" t="s">
        <v>2775</v>
      </c>
      <c r="B831">
        <v>2021</v>
      </c>
      <c r="C831" t="s">
        <v>222</v>
      </c>
      <c r="D831" t="b">
        <f>FALSE()</f>
        <v>0</v>
      </c>
      <c r="E831" t="b">
        <f>COUNTIF(connections!A:A, A831) &gt; 0</f>
        <v>1</v>
      </c>
      <c r="F831" t="s">
        <v>2776</v>
      </c>
      <c r="G831" t="s">
        <v>2777</v>
      </c>
      <c r="H831" t="s">
        <v>187</v>
      </c>
      <c r="I831" t="s">
        <v>2778</v>
      </c>
      <c r="J831" s="1" t="s">
        <v>2779</v>
      </c>
    </row>
    <row r="832" spans="1:10" x14ac:dyDescent="0.25">
      <c r="A832" t="s">
        <v>2780</v>
      </c>
      <c r="B832">
        <v>2024</v>
      </c>
      <c r="C832" t="s">
        <v>176</v>
      </c>
      <c r="D832" t="b">
        <f>FALSE()</f>
        <v>0</v>
      </c>
      <c r="E832" t="b">
        <f>COUNTIF(connections!A:A, A832) &gt; 0</f>
        <v>0</v>
      </c>
      <c r="F832" t="s">
        <v>277</v>
      </c>
      <c r="G832" t="s">
        <v>2781</v>
      </c>
    </row>
    <row r="833" spans="1:10" x14ac:dyDescent="0.25">
      <c r="A833" t="s">
        <v>2782</v>
      </c>
      <c r="B833">
        <v>2019</v>
      </c>
      <c r="C833" t="s">
        <v>176</v>
      </c>
      <c r="D833" t="b">
        <f>TRUE()</f>
        <v>1</v>
      </c>
      <c r="E833" t="b">
        <f>COUNTIF(connections!A:A, A833) &gt; 0</f>
        <v>1</v>
      </c>
      <c r="F833" t="s">
        <v>617</v>
      </c>
      <c r="G833" t="s">
        <v>2783</v>
      </c>
      <c r="H833" t="s">
        <v>187</v>
      </c>
      <c r="I833" t="s">
        <v>2784</v>
      </c>
      <c r="J833" s="1" t="s">
        <v>2785</v>
      </c>
    </row>
    <row r="834" spans="1:10" x14ac:dyDescent="0.25">
      <c r="A834" t="s">
        <v>2786</v>
      </c>
      <c r="B834">
        <v>2025</v>
      </c>
      <c r="C834" t="s">
        <v>176</v>
      </c>
      <c r="D834" t="b">
        <f>TRUE()</f>
        <v>1</v>
      </c>
      <c r="E834" t="b">
        <f>COUNTIF(connections!A:A, A834) &gt; 0</f>
        <v>0</v>
      </c>
      <c r="F834" t="s">
        <v>617</v>
      </c>
      <c r="G834" t="s">
        <v>2787</v>
      </c>
    </row>
    <row r="835" spans="1:10" x14ac:dyDescent="0.25">
      <c r="A835" t="s">
        <v>2788</v>
      </c>
      <c r="B835">
        <v>2017</v>
      </c>
      <c r="C835" t="s">
        <v>176</v>
      </c>
      <c r="D835" t="b">
        <f>TRUE()</f>
        <v>1</v>
      </c>
      <c r="E835" t="b">
        <f>COUNTIF(connections!A:A, A835) &gt; 0</f>
        <v>1</v>
      </c>
      <c r="G835" t="s">
        <v>2789</v>
      </c>
    </row>
    <row r="836" spans="1:10" x14ac:dyDescent="0.25">
      <c r="A836" t="s">
        <v>2790</v>
      </c>
      <c r="B836">
        <v>2022</v>
      </c>
      <c r="C836" t="s">
        <v>176</v>
      </c>
      <c r="D836" t="b">
        <f>TRUE()</f>
        <v>1</v>
      </c>
      <c r="E836" t="b">
        <f>COUNTIF(connections!A:A, A836) &gt; 0</f>
        <v>0</v>
      </c>
      <c r="G836" t="s">
        <v>2791</v>
      </c>
    </row>
    <row r="837" spans="1:10" x14ac:dyDescent="0.25">
      <c r="A837" t="s">
        <v>2792</v>
      </c>
      <c r="B837">
        <v>1992</v>
      </c>
      <c r="C837" t="s">
        <v>179</v>
      </c>
      <c r="D837" t="b">
        <f>TRUE()</f>
        <v>1</v>
      </c>
      <c r="E837" t="b">
        <f>COUNTIF(connections!A:A, A837) &gt; 0</f>
        <v>1</v>
      </c>
      <c r="G837" t="s">
        <v>2793</v>
      </c>
      <c r="H837" t="s">
        <v>187</v>
      </c>
      <c r="I837" t="s">
        <v>2794</v>
      </c>
      <c r="J837" s="1" t="s">
        <v>2795</v>
      </c>
    </row>
    <row r="838" spans="1:10" x14ac:dyDescent="0.25">
      <c r="A838" t="s">
        <v>2796</v>
      </c>
      <c r="B838">
        <v>2018</v>
      </c>
      <c r="C838" t="s">
        <v>176</v>
      </c>
      <c r="D838" t="b">
        <f>TRUE()</f>
        <v>1</v>
      </c>
      <c r="E838" t="b">
        <f>COUNTIF(connections!A:A, A838) &gt; 0</f>
        <v>0</v>
      </c>
      <c r="G838" t="s">
        <v>2797</v>
      </c>
    </row>
    <row r="839" spans="1:10" x14ac:dyDescent="0.25">
      <c r="A839" t="s">
        <v>2798</v>
      </c>
      <c r="B839">
        <v>2026</v>
      </c>
      <c r="C839" t="s">
        <v>182</v>
      </c>
      <c r="D839" t="b">
        <f>TRUE()</f>
        <v>1</v>
      </c>
      <c r="E839" t="b">
        <f>COUNTIF(connections!A:A, A839) &gt; 0</f>
        <v>0</v>
      </c>
      <c r="F839" t="s">
        <v>1805</v>
      </c>
      <c r="G839" t="s">
        <v>2799</v>
      </c>
    </row>
    <row r="840" spans="1:10" x14ac:dyDescent="0.25">
      <c r="A840" t="s">
        <v>2800</v>
      </c>
      <c r="B840">
        <v>2023</v>
      </c>
      <c r="C840" t="s">
        <v>176</v>
      </c>
      <c r="D840" t="b">
        <f>TRUE()</f>
        <v>1</v>
      </c>
      <c r="E840" t="b">
        <f>COUNTIF(connections!A:A, A840) &gt; 0</f>
        <v>0</v>
      </c>
      <c r="F840" t="s">
        <v>1805</v>
      </c>
      <c r="G840" t="s">
        <v>2801</v>
      </c>
      <c r="H840" t="s">
        <v>187</v>
      </c>
      <c r="I840" t="s">
        <v>2802</v>
      </c>
      <c r="J840" s="1" t="s">
        <v>2803</v>
      </c>
    </row>
    <row r="841" spans="1:10" x14ac:dyDescent="0.25">
      <c r="A841" t="s">
        <v>2804</v>
      </c>
      <c r="B841">
        <v>2021</v>
      </c>
      <c r="C841" t="s">
        <v>176</v>
      </c>
      <c r="D841" t="b">
        <f>TRUE()</f>
        <v>1</v>
      </c>
      <c r="E841" t="b">
        <f>COUNTIF(connections!A:A, A841) &gt; 0</f>
        <v>1</v>
      </c>
      <c r="F841" t="s">
        <v>1805</v>
      </c>
      <c r="G841" t="s">
        <v>2805</v>
      </c>
      <c r="H841" t="s">
        <v>187</v>
      </c>
      <c r="I841" t="s">
        <v>2806</v>
      </c>
      <c r="J841" s="1" t="s">
        <v>2807</v>
      </c>
    </row>
    <row r="842" spans="1:10" x14ac:dyDescent="0.25">
      <c r="A842" t="s">
        <v>2808</v>
      </c>
      <c r="B842">
        <v>2020</v>
      </c>
      <c r="C842" t="s">
        <v>182</v>
      </c>
      <c r="D842" t="b">
        <f>TRUE()</f>
        <v>1</v>
      </c>
      <c r="E842" t="b">
        <f>COUNTIF(connections!A:A, A842) &gt; 0</f>
        <v>0</v>
      </c>
      <c r="G842" t="s">
        <v>2809</v>
      </c>
      <c r="H842" t="s">
        <v>187</v>
      </c>
      <c r="I842" t="s">
        <v>2810</v>
      </c>
      <c r="J842" s="1" t="s">
        <v>2811</v>
      </c>
    </row>
    <row r="843" spans="1:10" x14ac:dyDescent="0.25">
      <c r="A843" t="s">
        <v>2812</v>
      </c>
      <c r="B843">
        <v>2024</v>
      </c>
      <c r="C843" t="s">
        <v>176</v>
      </c>
      <c r="D843" t="b">
        <f>TRUE()</f>
        <v>1</v>
      </c>
      <c r="E843" t="b">
        <f>COUNTIF(connections!A:A, A843) &gt; 0</f>
        <v>0</v>
      </c>
      <c r="G843" t="s">
        <v>2813</v>
      </c>
    </row>
    <row r="844" spans="1:10" x14ac:dyDescent="0.25">
      <c r="A844" t="s">
        <v>2814</v>
      </c>
      <c r="B844">
        <v>2026</v>
      </c>
      <c r="C844" t="s">
        <v>176</v>
      </c>
      <c r="D844" t="b">
        <f>TRUE()</f>
        <v>1</v>
      </c>
      <c r="E844" t="b">
        <f>COUNTIF(connections!A:A, A844) &gt; 0</f>
        <v>0</v>
      </c>
      <c r="F844" t="s">
        <v>277</v>
      </c>
      <c r="G844" t="s">
        <v>2815</v>
      </c>
      <c r="H844" t="s">
        <v>187</v>
      </c>
      <c r="I844" t="s">
        <v>2816</v>
      </c>
      <c r="J844" s="1" t="s">
        <v>2817</v>
      </c>
    </row>
    <row r="845" spans="1:10" x14ac:dyDescent="0.25">
      <c r="A845" t="s">
        <v>2818</v>
      </c>
      <c r="B845">
        <v>2021</v>
      </c>
      <c r="C845" t="s">
        <v>182</v>
      </c>
      <c r="D845" t="b">
        <f>TRUE()</f>
        <v>1</v>
      </c>
      <c r="E845" t="b">
        <f>COUNTIF(connections!A:A, A845) &gt; 0</f>
        <v>1</v>
      </c>
      <c r="F845" t="s">
        <v>1030</v>
      </c>
      <c r="G845" t="s">
        <v>2819</v>
      </c>
    </row>
    <row r="846" spans="1:10" x14ac:dyDescent="0.25">
      <c r="A846" t="s">
        <v>2820</v>
      </c>
      <c r="B846">
        <v>2025</v>
      </c>
      <c r="C846" t="s">
        <v>182</v>
      </c>
      <c r="D846" t="b">
        <f>TRUE()</f>
        <v>1</v>
      </c>
      <c r="E846" t="b">
        <f>COUNTIF(connections!A:A, A846) &gt; 0</f>
        <v>0</v>
      </c>
      <c r="G846" t="s">
        <v>2821</v>
      </c>
    </row>
    <row r="847" spans="1:10" x14ac:dyDescent="0.25">
      <c r="A847" t="s">
        <v>2822</v>
      </c>
      <c r="B847">
        <v>2026</v>
      </c>
      <c r="C847" t="s">
        <v>182</v>
      </c>
      <c r="D847" t="b">
        <f>TRUE()</f>
        <v>1</v>
      </c>
      <c r="E847" t="b">
        <f>COUNTIF(connections!A:A, A847) &gt; 0</f>
        <v>0</v>
      </c>
      <c r="G847" t="s">
        <v>2823</v>
      </c>
    </row>
    <row r="848" spans="1:10" x14ac:dyDescent="0.25">
      <c r="A848" t="s">
        <v>2824</v>
      </c>
      <c r="B848">
        <v>2019</v>
      </c>
      <c r="C848" t="s">
        <v>176</v>
      </c>
      <c r="D848" t="b">
        <f>TRUE()</f>
        <v>1</v>
      </c>
      <c r="E848" t="b">
        <f>COUNTIF(connections!A:A, A848) &gt; 0</f>
        <v>1</v>
      </c>
      <c r="F848" t="s">
        <v>274</v>
      </c>
      <c r="G848" t="s">
        <v>2825</v>
      </c>
      <c r="H848" t="s">
        <v>187</v>
      </c>
      <c r="I848" t="s">
        <v>2826</v>
      </c>
      <c r="J848" s="1" t="s">
        <v>2827</v>
      </c>
    </row>
    <row r="849" spans="1:10" x14ac:dyDescent="0.25">
      <c r="A849" t="s">
        <v>2828</v>
      </c>
      <c r="B849">
        <v>2022</v>
      </c>
      <c r="C849" t="s">
        <v>176</v>
      </c>
      <c r="D849" t="b">
        <f>TRUE()</f>
        <v>1</v>
      </c>
      <c r="E849" t="b">
        <f>COUNTIF(connections!A:A, A849) &gt; 0</f>
        <v>1</v>
      </c>
      <c r="G849" t="s">
        <v>2829</v>
      </c>
      <c r="H849" t="s">
        <v>187</v>
      </c>
      <c r="I849" t="s">
        <v>2830</v>
      </c>
      <c r="J849" s="10" t="s">
        <v>2831</v>
      </c>
    </row>
    <row r="850" spans="1:10" x14ac:dyDescent="0.25">
      <c r="A850" t="s">
        <v>2832</v>
      </c>
      <c r="B850">
        <v>2024</v>
      </c>
      <c r="C850" t="s">
        <v>222</v>
      </c>
      <c r="D850" t="b">
        <f>TRUE()</f>
        <v>1</v>
      </c>
      <c r="E850" t="b">
        <f>COUNTIF(connections!A:A, A850) &gt; 0</f>
        <v>0</v>
      </c>
      <c r="F850" t="s">
        <v>274</v>
      </c>
      <c r="G850" t="s">
        <v>2833</v>
      </c>
    </row>
    <row r="851" spans="1:10" x14ac:dyDescent="0.25">
      <c r="A851" t="s">
        <v>2834</v>
      </c>
      <c r="B851">
        <v>2023</v>
      </c>
      <c r="C851" t="s">
        <v>176</v>
      </c>
      <c r="D851" t="b">
        <f>TRUE()</f>
        <v>1</v>
      </c>
      <c r="E851" t="b">
        <f>COUNTIF(connections!A:A, A851) &gt; 0</f>
        <v>0</v>
      </c>
      <c r="G851" t="s">
        <v>2835</v>
      </c>
      <c r="H851" t="s">
        <v>187</v>
      </c>
      <c r="I851" t="s">
        <v>2836</v>
      </c>
      <c r="J851" s="1" t="s">
        <v>2837</v>
      </c>
    </row>
    <row r="852" spans="1:10" x14ac:dyDescent="0.25">
      <c r="A852" t="s">
        <v>2838</v>
      </c>
      <c r="B852">
        <v>2024</v>
      </c>
      <c r="C852" t="s">
        <v>176</v>
      </c>
      <c r="D852" t="b">
        <f>TRUE()</f>
        <v>1</v>
      </c>
      <c r="E852" t="b">
        <f>COUNTIF(connections!A:A, A852) &gt; 0</f>
        <v>0</v>
      </c>
      <c r="G852" t="s">
        <v>2839</v>
      </c>
    </row>
    <row r="853" spans="1:10" x14ac:dyDescent="0.25">
      <c r="A853" t="s">
        <v>2840</v>
      </c>
      <c r="B853">
        <v>2024</v>
      </c>
      <c r="C853" t="s">
        <v>176</v>
      </c>
      <c r="D853" t="b">
        <v>1</v>
      </c>
      <c r="E853" t="b">
        <f>COUNTIF(connections!A:A, A853) &gt; 0</f>
        <v>0</v>
      </c>
      <c r="G853" t="s">
        <v>2841</v>
      </c>
      <c r="J853" s="1" t="s">
        <v>2842</v>
      </c>
    </row>
    <row r="854" spans="1:10" x14ac:dyDescent="0.25">
      <c r="A854" t="s">
        <v>2843</v>
      </c>
      <c r="B854">
        <v>1998</v>
      </c>
      <c r="C854" t="s">
        <v>179</v>
      </c>
      <c r="D854" t="b">
        <f>TRUE()</f>
        <v>1</v>
      </c>
      <c r="E854" t="b">
        <f>COUNTIF(connections!A:A, A854) &gt; 0</f>
        <v>0</v>
      </c>
      <c r="G854" t="s">
        <v>2844</v>
      </c>
      <c r="H854" t="s">
        <v>187</v>
      </c>
      <c r="I854" t="s">
        <v>2845</v>
      </c>
    </row>
    <row r="855" spans="1:10" x14ac:dyDescent="0.25">
      <c r="A855" t="s">
        <v>2846</v>
      </c>
      <c r="B855">
        <v>2023</v>
      </c>
      <c r="C855" t="s">
        <v>222</v>
      </c>
      <c r="D855" t="b">
        <f>TRUE()</f>
        <v>1</v>
      </c>
      <c r="E855" t="b">
        <f>COUNTIF(connections!A:A, A855) &gt; 0</f>
        <v>1</v>
      </c>
      <c r="F855" t="s">
        <v>617</v>
      </c>
      <c r="G855" t="s">
        <v>2847</v>
      </c>
      <c r="H855" t="s">
        <v>187</v>
      </c>
      <c r="I855" t="s">
        <v>2848</v>
      </c>
      <c r="J855" s="1" t="s">
        <v>2849</v>
      </c>
    </row>
    <row r="856" spans="1:10" x14ac:dyDescent="0.25">
      <c r="A856" t="s">
        <v>2850</v>
      </c>
      <c r="B856">
        <v>2025</v>
      </c>
      <c r="C856" t="s">
        <v>222</v>
      </c>
      <c r="D856" t="b">
        <f>TRUE()</f>
        <v>1</v>
      </c>
      <c r="E856" t="b">
        <f>COUNTIF(connections!A:A, A856) &gt; 0</f>
        <v>0</v>
      </c>
      <c r="F856" t="s">
        <v>617</v>
      </c>
      <c r="G856" t="s">
        <v>2851</v>
      </c>
    </row>
    <row r="857" spans="1:10" x14ac:dyDescent="0.25">
      <c r="A857" t="s">
        <v>7853</v>
      </c>
      <c r="B857">
        <v>2026</v>
      </c>
      <c r="C857" t="s">
        <v>176</v>
      </c>
      <c r="D857" t="b">
        <f>TRUE()</f>
        <v>1</v>
      </c>
      <c r="E857" t="b">
        <f>COUNTIF(connections!A:A, A857) &gt; 0</f>
        <v>0</v>
      </c>
      <c r="G857" t="s">
        <v>7854</v>
      </c>
      <c r="J857" s="10" t="s">
        <v>7855</v>
      </c>
    </row>
    <row r="858" spans="1:10" x14ac:dyDescent="0.25">
      <c r="A858" t="s">
        <v>2852</v>
      </c>
      <c r="B858">
        <v>2026</v>
      </c>
      <c r="C858" t="s">
        <v>176</v>
      </c>
      <c r="D858" t="b">
        <f>TRUE()</f>
        <v>1</v>
      </c>
      <c r="E858" t="b">
        <f>COUNTIF(connections!A:A, A858) &gt; 0</f>
        <v>0</v>
      </c>
      <c r="G858" t="s">
        <v>2853</v>
      </c>
    </row>
    <row r="859" spans="1:10" x14ac:dyDescent="0.25">
      <c r="A859" t="s">
        <v>2854</v>
      </c>
      <c r="B859">
        <v>2023</v>
      </c>
      <c r="C859" t="s">
        <v>179</v>
      </c>
      <c r="D859" t="b">
        <f>TRUE()</f>
        <v>1</v>
      </c>
      <c r="E859" t="b">
        <f>COUNTIF(connections!A:A, A859) &gt; 0</f>
        <v>0</v>
      </c>
      <c r="F859" t="s">
        <v>274</v>
      </c>
      <c r="G859" t="s">
        <v>2855</v>
      </c>
    </row>
    <row r="860" spans="1:10" x14ac:dyDescent="0.25">
      <c r="A860" t="s">
        <v>2856</v>
      </c>
      <c r="B860">
        <v>2025</v>
      </c>
      <c r="C860" t="s">
        <v>176</v>
      </c>
      <c r="D860" t="b">
        <f>TRUE()</f>
        <v>1</v>
      </c>
      <c r="E860" t="b">
        <f>COUNTIF(connections!A:A, A860) &gt; 0</f>
        <v>0</v>
      </c>
      <c r="G860" t="s">
        <v>2857</v>
      </c>
      <c r="H860" t="s">
        <v>187</v>
      </c>
      <c r="I860" t="s">
        <v>2858</v>
      </c>
      <c r="J860" s="1" t="s">
        <v>2859</v>
      </c>
    </row>
    <row r="861" spans="1:10" x14ac:dyDescent="0.25">
      <c r="A861" t="s">
        <v>2860</v>
      </c>
      <c r="B861">
        <v>2017</v>
      </c>
      <c r="C861" t="s">
        <v>222</v>
      </c>
      <c r="D861" t="b">
        <f>TRUE()</f>
        <v>1</v>
      </c>
      <c r="E861" t="b">
        <f>COUNTIF(connections!A:A, A861) &gt; 0</f>
        <v>0</v>
      </c>
      <c r="G861" t="s">
        <v>2861</v>
      </c>
      <c r="H861" t="s">
        <v>187</v>
      </c>
      <c r="I861" t="s">
        <v>2862</v>
      </c>
      <c r="J861" s="1" t="s">
        <v>2863</v>
      </c>
    </row>
    <row r="862" spans="1:10" x14ac:dyDescent="0.25">
      <c r="A862" t="s">
        <v>2864</v>
      </c>
      <c r="B862">
        <v>2011</v>
      </c>
      <c r="C862" t="s">
        <v>179</v>
      </c>
      <c r="D862" t="b">
        <f>TRUE()</f>
        <v>1</v>
      </c>
      <c r="E862" t="b">
        <f>COUNTIF(connections!A:A, A862) &gt; 0</f>
        <v>0</v>
      </c>
      <c r="G862" t="s">
        <v>2865</v>
      </c>
    </row>
    <row r="863" spans="1:10" x14ac:dyDescent="0.25">
      <c r="A863" t="s">
        <v>2866</v>
      </c>
      <c r="B863">
        <v>2012</v>
      </c>
      <c r="C863" t="s">
        <v>222</v>
      </c>
      <c r="D863" t="b">
        <f>TRUE()</f>
        <v>1</v>
      </c>
      <c r="E863" t="b">
        <f>COUNTIF(connections!A:A, A863) &gt; 0</f>
        <v>0</v>
      </c>
      <c r="G863" t="s">
        <v>2867</v>
      </c>
      <c r="H863" t="s">
        <v>187</v>
      </c>
      <c r="I863" t="s">
        <v>2868</v>
      </c>
      <c r="J863" s="1" t="s">
        <v>2869</v>
      </c>
    </row>
    <row r="864" spans="1:10" x14ac:dyDescent="0.25">
      <c r="A864" t="s">
        <v>2870</v>
      </c>
      <c r="B864">
        <v>2017</v>
      </c>
      <c r="C864" t="s">
        <v>176</v>
      </c>
      <c r="D864" t="b">
        <f>FALSE()</f>
        <v>0</v>
      </c>
      <c r="E864" t="b">
        <f>COUNTIF(connections!A:A, A864) &gt; 0</f>
        <v>0</v>
      </c>
      <c r="F864" t="s">
        <v>652</v>
      </c>
      <c r="G864" t="s">
        <v>2871</v>
      </c>
      <c r="H864" t="s">
        <v>187</v>
      </c>
      <c r="I864" t="s">
        <v>2872</v>
      </c>
      <c r="J864" s="1" t="s">
        <v>2873</v>
      </c>
    </row>
    <row r="865" spans="1:10" x14ac:dyDescent="0.25">
      <c r="A865" t="s">
        <v>2874</v>
      </c>
      <c r="B865">
        <v>2005</v>
      </c>
      <c r="C865" t="s">
        <v>222</v>
      </c>
      <c r="D865" t="b">
        <f>TRUE()</f>
        <v>1</v>
      </c>
      <c r="E865" t="b">
        <f>COUNTIF(connections!A:A, A865) &gt; 0</f>
        <v>1</v>
      </c>
      <c r="F865" t="s">
        <v>274</v>
      </c>
      <c r="G865" t="s">
        <v>2875</v>
      </c>
      <c r="H865" t="s">
        <v>187</v>
      </c>
      <c r="I865" t="s">
        <v>2876</v>
      </c>
      <c r="J865" s="1" t="s">
        <v>2877</v>
      </c>
    </row>
    <row r="866" spans="1:10" x14ac:dyDescent="0.25">
      <c r="A866" t="s">
        <v>2878</v>
      </c>
      <c r="B866">
        <v>2020</v>
      </c>
      <c r="C866" t="s">
        <v>176</v>
      </c>
      <c r="D866" t="b">
        <f>FALSE()</f>
        <v>0</v>
      </c>
      <c r="E866" t="b">
        <f>COUNTIF(connections!A:A, A866) &gt; 0</f>
        <v>1</v>
      </c>
      <c r="G866" t="s">
        <v>2879</v>
      </c>
      <c r="H866" t="s">
        <v>187</v>
      </c>
      <c r="I866" t="s">
        <v>2880</v>
      </c>
      <c r="J866" s="10" t="s">
        <v>2881</v>
      </c>
    </row>
    <row r="867" spans="1:10" x14ac:dyDescent="0.25">
      <c r="A867" t="s">
        <v>2882</v>
      </c>
      <c r="B867">
        <v>2025</v>
      </c>
      <c r="C867" t="s">
        <v>176</v>
      </c>
      <c r="D867" t="b">
        <f>TRUE()</f>
        <v>1</v>
      </c>
      <c r="E867" t="b">
        <f>COUNTIF(connections!A:A, A867) &gt; 0</f>
        <v>0</v>
      </c>
      <c r="G867" t="s">
        <v>2883</v>
      </c>
    </row>
    <row r="868" spans="1:10" x14ac:dyDescent="0.25">
      <c r="A868" t="s">
        <v>2884</v>
      </c>
      <c r="B868">
        <v>2025</v>
      </c>
      <c r="C868" t="s">
        <v>176</v>
      </c>
      <c r="D868" t="b">
        <f>FALSE()</f>
        <v>0</v>
      </c>
      <c r="E868" t="b">
        <f>COUNTIF(connections!A:A, A868) &gt; 0</f>
        <v>0</v>
      </c>
      <c r="G868" t="s">
        <v>2885</v>
      </c>
    </row>
    <row r="869" spans="1:10" x14ac:dyDescent="0.25">
      <c r="A869" t="s">
        <v>2886</v>
      </c>
      <c r="B869">
        <v>2024</v>
      </c>
      <c r="C869" t="s">
        <v>176</v>
      </c>
      <c r="D869" t="b">
        <f>TRUE()</f>
        <v>1</v>
      </c>
      <c r="E869" t="b">
        <f>COUNTIF(connections!A:A, A869) &gt; 0</f>
        <v>0</v>
      </c>
      <c r="G869" t="s">
        <v>2887</v>
      </c>
    </row>
    <row r="870" spans="1:10" x14ac:dyDescent="0.25">
      <c r="A870" t="s">
        <v>2888</v>
      </c>
      <c r="B870">
        <v>2019</v>
      </c>
      <c r="C870" t="s">
        <v>222</v>
      </c>
      <c r="D870" t="b">
        <f>FALSE()</f>
        <v>0</v>
      </c>
      <c r="E870" t="b">
        <f>COUNTIF(connections!A:A, A870) &gt; 0</f>
        <v>0</v>
      </c>
      <c r="G870" t="s">
        <v>2889</v>
      </c>
    </row>
    <row r="871" spans="1:10" x14ac:dyDescent="0.25">
      <c r="A871" t="s">
        <v>2890</v>
      </c>
      <c r="B871">
        <v>2023</v>
      </c>
      <c r="C871" t="s">
        <v>182</v>
      </c>
      <c r="D871" t="b">
        <f>TRUE()</f>
        <v>1</v>
      </c>
      <c r="E871" t="b">
        <f>COUNTIF(connections!A:A, A871) &gt; 0</f>
        <v>1</v>
      </c>
      <c r="G871" t="s">
        <v>2891</v>
      </c>
      <c r="H871" t="s">
        <v>187</v>
      </c>
      <c r="I871" t="s">
        <v>2892</v>
      </c>
      <c r="J871" s="1" t="s">
        <v>2893</v>
      </c>
    </row>
    <row r="872" spans="1:10" x14ac:dyDescent="0.25">
      <c r="A872" t="s">
        <v>2894</v>
      </c>
      <c r="B872">
        <v>2024</v>
      </c>
      <c r="C872" t="s">
        <v>176</v>
      </c>
      <c r="D872" t="b">
        <f>TRUE()</f>
        <v>1</v>
      </c>
      <c r="E872" t="b">
        <f>COUNTIF(connections!A:A, A872) &gt; 0</f>
        <v>0</v>
      </c>
      <c r="G872" t="s">
        <v>2895</v>
      </c>
    </row>
    <row r="873" spans="1:10" x14ac:dyDescent="0.25">
      <c r="A873" t="s">
        <v>2896</v>
      </c>
      <c r="B873">
        <v>2026</v>
      </c>
      <c r="C873" t="s">
        <v>182</v>
      </c>
      <c r="D873" t="b">
        <f>TRUE()</f>
        <v>1</v>
      </c>
      <c r="E873" t="b">
        <f>COUNTIF(connections!A:A, A873) &gt; 0</f>
        <v>0</v>
      </c>
      <c r="G873" t="s">
        <v>2897</v>
      </c>
    </row>
    <row r="874" spans="1:10" x14ac:dyDescent="0.25">
      <c r="A874" t="s">
        <v>2898</v>
      </c>
      <c r="B874">
        <v>2026</v>
      </c>
      <c r="C874" t="s">
        <v>222</v>
      </c>
      <c r="D874" t="b">
        <f>FALSE()</f>
        <v>0</v>
      </c>
      <c r="E874" t="b">
        <f>COUNTIF(connections!A:A, A874) &gt; 0</f>
        <v>0</v>
      </c>
      <c r="F874" t="s">
        <v>404</v>
      </c>
      <c r="G874" t="s">
        <v>2899</v>
      </c>
      <c r="J874" s="1" t="s">
        <v>2900</v>
      </c>
    </row>
    <row r="875" spans="1:10" x14ac:dyDescent="0.25">
      <c r="A875" t="s">
        <v>2901</v>
      </c>
      <c r="B875">
        <v>2023</v>
      </c>
      <c r="C875" t="s">
        <v>176</v>
      </c>
      <c r="D875" t="b">
        <v>1</v>
      </c>
      <c r="E875" t="b">
        <f>COUNTIF(connections!A:A, A875) &gt; 0</f>
        <v>1</v>
      </c>
      <c r="G875" t="s">
        <v>2902</v>
      </c>
      <c r="J875" s="1" t="s">
        <v>2903</v>
      </c>
    </row>
    <row r="876" spans="1:10" x14ac:dyDescent="0.25">
      <c r="A876" t="s">
        <v>2904</v>
      </c>
      <c r="B876">
        <v>2026</v>
      </c>
      <c r="C876" t="s">
        <v>182</v>
      </c>
      <c r="D876" t="b">
        <f>TRUE()</f>
        <v>1</v>
      </c>
      <c r="E876" t="b">
        <f>COUNTIF(connections!A:A, A876) &gt; 0</f>
        <v>0</v>
      </c>
      <c r="G876" t="s">
        <v>2905</v>
      </c>
    </row>
    <row r="877" spans="1:10" x14ac:dyDescent="0.25">
      <c r="A877" t="s">
        <v>2906</v>
      </c>
      <c r="B877">
        <v>2018</v>
      </c>
      <c r="C877" t="s">
        <v>176</v>
      </c>
      <c r="D877" t="b">
        <f>TRUE()</f>
        <v>1</v>
      </c>
      <c r="E877" t="b">
        <f>COUNTIF(connections!A:A, A877) &gt; 0</f>
        <v>1</v>
      </c>
      <c r="G877" t="s">
        <v>2907</v>
      </c>
      <c r="H877" t="s">
        <v>187</v>
      </c>
      <c r="I877" t="s">
        <v>2908</v>
      </c>
      <c r="J877" s="1" t="s">
        <v>2909</v>
      </c>
    </row>
    <row r="878" spans="1:10" x14ac:dyDescent="0.25">
      <c r="A878" t="s">
        <v>2910</v>
      </c>
      <c r="B878">
        <v>2024</v>
      </c>
      <c r="C878" t="s">
        <v>176</v>
      </c>
      <c r="D878" t="b">
        <f>TRUE()</f>
        <v>1</v>
      </c>
      <c r="E878" t="b">
        <f>COUNTIF(connections!A:A, A878) &gt; 0</f>
        <v>0</v>
      </c>
      <c r="G878" t="s">
        <v>2911</v>
      </c>
      <c r="H878" t="s">
        <v>187</v>
      </c>
      <c r="I878" t="s">
        <v>2912</v>
      </c>
      <c r="J878" s="1" t="s">
        <v>2913</v>
      </c>
    </row>
    <row r="879" spans="1:10" x14ac:dyDescent="0.25">
      <c r="A879" t="s">
        <v>2914</v>
      </c>
      <c r="B879">
        <v>2021</v>
      </c>
      <c r="C879" t="s">
        <v>222</v>
      </c>
      <c r="D879" t="b">
        <f>TRUE()</f>
        <v>1</v>
      </c>
      <c r="E879" t="b">
        <f>COUNTIF(connections!A:A, A879) &gt; 0</f>
        <v>0</v>
      </c>
      <c r="F879" t="s">
        <v>1164</v>
      </c>
      <c r="G879" t="s">
        <v>2915</v>
      </c>
      <c r="H879" t="s">
        <v>187</v>
      </c>
      <c r="I879" t="s">
        <v>2916</v>
      </c>
      <c r="J879" s="1" t="s">
        <v>2917</v>
      </c>
    </row>
    <row r="880" spans="1:10" x14ac:dyDescent="0.25">
      <c r="A880" t="s">
        <v>2918</v>
      </c>
      <c r="B880">
        <v>2025</v>
      </c>
      <c r="C880" t="s">
        <v>182</v>
      </c>
      <c r="D880" t="b">
        <f>TRUE()</f>
        <v>1</v>
      </c>
      <c r="E880" t="b">
        <f>COUNTIF(connections!A:A, A880) &gt; 0</f>
        <v>0</v>
      </c>
      <c r="F880" t="s">
        <v>731</v>
      </c>
      <c r="G880" t="s">
        <v>2919</v>
      </c>
    </row>
    <row r="881" spans="1:10" x14ac:dyDescent="0.25">
      <c r="A881" t="s">
        <v>2920</v>
      </c>
      <c r="B881">
        <v>2025</v>
      </c>
      <c r="C881" t="s">
        <v>182</v>
      </c>
      <c r="D881" t="b">
        <f>TRUE()</f>
        <v>1</v>
      </c>
      <c r="E881" t="b">
        <f>COUNTIF(connections!A:A, A881) &gt; 0</f>
        <v>0</v>
      </c>
      <c r="F881" t="s">
        <v>731</v>
      </c>
      <c r="G881" t="s">
        <v>2921</v>
      </c>
      <c r="H881" t="s">
        <v>187</v>
      </c>
      <c r="I881" t="s">
        <v>2922</v>
      </c>
      <c r="J881" s="1" t="s">
        <v>2923</v>
      </c>
    </row>
    <row r="882" spans="1:10" x14ac:dyDescent="0.25">
      <c r="A882" t="s">
        <v>2924</v>
      </c>
      <c r="B882">
        <v>2022</v>
      </c>
      <c r="C882" t="s">
        <v>182</v>
      </c>
      <c r="D882" t="b">
        <f>TRUE()</f>
        <v>1</v>
      </c>
      <c r="E882" t="b">
        <f>COUNTIF(connections!A:A, A882) &gt; 0</f>
        <v>0</v>
      </c>
      <c r="F882" t="s">
        <v>731</v>
      </c>
      <c r="G882" t="s">
        <v>2925</v>
      </c>
      <c r="H882" t="s">
        <v>187</v>
      </c>
      <c r="I882" t="s">
        <v>2926</v>
      </c>
      <c r="J882" s="1" t="s">
        <v>2927</v>
      </c>
    </row>
    <row r="883" spans="1:10" x14ac:dyDescent="0.25">
      <c r="A883" t="s">
        <v>2928</v>
      </c>
      <c r="B883">
        <v>2026</v>
      </c>
      <c r="C883" t="s">
        <v>182</v>
      </c>
      <c r="D883" t="b">
        <f>TRUE()</f>
        <v>1</v>
      </c>
      <c r="E883" t="b">
        <f>COUNTIF(connections!A:A, A883) &gt; 0</f>
        <v>0</v>
      </c>
      <c r="G883" t="s">
        <v>2929</v>
      </c>
      <c r="J883" s="10" t="s">
        <v>2930</v>
      </c>
    </row>
    <row r="884" spans="1:10" x14ac:dyDescent="0.25">
      <c r="A884" t="s">
        <v>2931</v>
      </c>
      <c r="B884">
        <v>2025</v>
      </c>
      <c r="C884" t="s">
        <v>176</v>
      </c>
      <c r="D884" t="b">
        <f>TRUE()</f>
        <v>1</v>
      </c>
      <c r="E884" t="b">
        <f>COUNTIF(connections!A:A, A884) &gt; 0</f>
        <v>0</v>
      </c>
      <c r="G884" t="s">
        <v>2932</v>
      </c>
    </row>
    <row r="885" spans="1:10" x14ac:dyDescent="0.25">
      <c r="A885" t="s">
        <v>2933</v>
      </c>
      <c r="B885">
        <v>2023</v>
      </c>
      <c r="C885" t="s">
        <v>176</v>
      </c>
      <c r="D885" t="b">
        <f>TRUE()</f>
        <v>1</v>
      </c>
      <c r="E885" t="b">
        <f>COUNTIF(connections!A:A, A885) &gt; 0</f>
        <v>0</v>
      </c>
      <c r="F885" t="s">
        <v>458</v>
      </c>
      <c r="G885" t="s">
        <v>2934</v>
      </c>
      <c r="H885" t="s">
        <v>187</v>
      </c>
      <c r="I885" t="s">
        <v>2935</v>
      </c>
      <c r="J885" s="1" t="s">
        <v>2936</v>
      </c>
    </row>
    <row r="886" spans="1:10" x14ac:dyDescent="0.25">
      <c r="A886" t="s">
        <v>2937</v>
      </c>
      <c r="B886">
        <v>2024</v>
      </c>
      <c r="C886" t="s">
        <v>182</v>
      </c>
      <c r="D886" t="b">
        <f>TRUE()</f>
        <v>1</v>
      </c>
      <c r="E886" t="b">
        <f>COUNTIF(connections!A:A, A886) &gt; 0</f>
        <v>0</v>
      </c>
      <c r="F886" t="s">
        <v>1076</v>
      </c>
      <c r="G886" t="s">
        <v>2938</v>
      </c>
      <c r="H886" t="s">
        <v>187</v>
      </c>
      <c r="I886" t="s">
        <v>2939</v>
      </c>
      <c r="J886" s="1" t="s">
        <v>2940</v>
      </c>
    </row>
    <row r="887" spans="1:10" x14ac:dyDescent="0.25">
      <c r="A887" t="s">
        <v>2941</v>
      </c>
      <c r="B887">
        <v>2017</v>
      </c>
      <c r="C887" t="s">
        <v>179</v>
      </c>
      <c r="D887" t="b">
        <f>TRUE()</f>
        <v>1</v>
      </c>
      <c r="E887" t="b">
        <f>COUNTIF(connections!A:A, A887) &gt; 0</f>
        <v>0</v>
      </c>
      <c r="G887" t="s">
        <v>2942</v>
      </c>
    </row>
    <row r="888" spans="1:10" x14ac:dyDescent="0.25">
      <c r="A888" t="s">
        <v>2943</v>
      </c>
      <c r="B888">
        <v>2010</v>
      </c>
      <c r="C888" t="s">
        <v>179</v>
      </c>
      <c r="D888" t="b">
        <f>TRUE()</f>
        <v>1</v>
      </c>
      <c r="E888" t="b">
        <f>COUNTIF(connections!A:A, A888) &gt; 0</f>
        <v>1</v>
      </c>
      <c r="G888" t="s">
        <v>2944</v>
      </c>
      <c r="H888" t="s">
        <v>187</v>
      </c>
      <c r="I888" t="s">
        <v>2945</v>
      </c>
      <c r="J888" s="10" t="s">
        <v>2946</v>
      </c>
    </row>
    <row r="889" spans="1:10" x14ac:dyDescent="0.25">
      <c r="A889" t="s">
        <v>2947</v>
      </c>
      <c r="B889">
        <v>1994</v>
      </c>
      <c r="C889" t="s">
        <v>179</v>
      </c>
      <c r="D889" t="b">
        <f>TRUE()</f>
        <v>1</v>
      </c>
      <c r="E889" t="b">
        <f>COUNTIF(connections!A:A, A889) &gt; 0</f>
        <v>1</v>
      </c>
      <c r="G889" t="s">
        <v>2948</v>
      </c>
      <c r="H889" t="s">
        <v>187</v>
      </c>
      <c r="I889" t="s">
        <v>2949</v>
      </c>
    </row>
    <row r="890" spans="1:10" x14ac:dyDescent="0.25">
      <c r="A890" t="s">
        <v>2950</v>
      </c>
      <c r="B890">
        <v>2024</v>
      </c>
      <c r="C890" t="s">
        <v>182</v>
      </c>
      <c r="D890" t="b">
        <f>TRUE()</f>
        <v>1</v>
      </c>
      <c r="E890" t="b">
        <f>COUNTIF(connections!A:A, A890) &gt; 0</f>
        <v>0</v>
      </c>
      <c r="F890" t="s">
        <v>274</v>
      </c>
      <c r="G890" t="s">
        <v>2951</v>
      </c>
      <c r="H890" t="s">
        <v>187</v>
      </c>
      <c r="I890" t="s">
        <v>2952</v>
      </c>
      <c r="J890" s="1" t="s">
        <v>2953</v>
      </c>
    </row>
    <row r="891" spans="1:10" x14ac:dyDescent="0.25">
      <c r="A891" t="s">
        <v>2954</v>
      </c>
      <c r="B891">
        <v>2014</v>
      </c>
      <c r="C891" t="s">
        <v>176</v>
      </c>
      <c r="D891" t="b">
        <f>TRUE()</f>
        <v>1</v>
      </c>
      <c r="E891" t="b">
        <f>COUNTIF(connections!A:A, A891) &gt; 0</f>
        <v>1</v>
      </c>
      <c r="G891" t="s">
        <v>2955</v>
      </c>
      <c r="H891" t="s">
        <v>187</v>
      </c>
      <c r="I891" t="s">
        <v>2956</v>
      </c>
      <c r="J891" s="1" t="s">
        <v>2957</v>
      </c>
    </row>
    <row r="892" spans="1:10" x14ac:dyDescent="0.25">
      <c r="A892" t="s">
        <v>2958</v>
      </c>
      <c r="B892">
        <v>2020</v>
      </c>
      <c r="C892" t="s">
        <v>176</v>
      </c>
      <c r="D892" t="b">
        <f>TRUE()</f>
        <v>1</v>
      </c>
      <c r="E892" t="b">
        <f>COUNTIF(connections!A:A, A892) &gt; 0</f>
        <v>0</v>
      </c>
      <c r="G892" t="s">
        <v>2959</v>
      </c>
      <c r="H892" t="s">
        <v>187</v>
      </c>
      <c r="I892" t="s">
        <v>2960</v>
      </c>
      <c r="J892" s="1" t="s">
        <v>2961</v>
      </c>
    </row>
    <row r="893" spans="1:10" x14ac:dyDescent="0.25">
      <c r="A893" t="s">
        <v>2962</v>
      </c>
      <c r="B893">
        <v>2025</v>
      </c>
      <c r="C893" t="s">
        <v>179</v>
      </c>
      <c r="D893" t="b">
        <f>TRUE()</f>
        <v>1</v>
      </c>
      <c r="E893" t="b">
        <f>COUNTIF(connections!A:A, A893) &gt; 0</f>
        <v>0</v>
      </c>
      <c r="G893" t="s">
        <v>2963</v>
      </c>
      <c r="H893" t="s">
        <v>187</v>
      </c>
      <c r="I893" t="s">
        <v>2964</v>
      </c>
    </row>
    <row r="894" spans="1:10" x14ac:dyDescent="0.25">
      <c r="A894" t="s">
        <v>2965</v>
      </c>
      <c r="B894">
        <v>2023</v>
      </c>
      <c r="C894" t="s">
        <v>182</v>
      </c>
      <c r="D894" t="b">
        <f>TRUE()</f>
        <v>1</v>
      </c>
      <c r="E894" t="b">
        <f>COUNTIF(connections!A:A, A894) &gt; 0</f>
        <v>1</v>
      </c>
      <c r="G894" t="s">
        <v>2966</v>
      </c>
      <c r="H894" t="s">
        <v>187</v>
      </c>
      <c r="I894" t="s">
        <v>2967</v>
      </c>
      <c r="J894" s="1" t="s">
        <v>2968</v>
      </c>
    </row>
    <row r="895" spans="1:10" x14ac:dyDescent="0.25">
      <c r="A895" t="s">
        <v>2969</v>
      </c>
      <c r="B895">
        <v>2026</v>
      </c>
      <c r="C895" t="s">
        <v>182</v>
      </c>
      <c r="D895" t="b">
        <f>TRUE()</f>
        <v>1</v>
      </c>
      <c r="E895" t="b">
        <f>COUNTIF(connections!A:A, A895) &gt; 0</f>
        <v>0</v>
      </c>
      <c r="G895" t="s">
        <v>2970</v>
      </c>
      <c r="J895" s="10" t="s">
        <v>2971</v>
      </c>
    </row>
    <row r="896" spans="1:10" x14ac:dyDescent="0.25">
      <c r="A896" t="s">
        <v>2972</v>
      </c>
      <c r="B896">
        <v>2022</v>
      </c>
      <c r="C896" t="s">
        <v>179</v>
      </c>
      <c r="D896" t="b">
        <f>TRUE()</f>
        <v>1</v>
      </c>
      <c r="E896" t="b">
        <f>COUNTIF(connections!A:A, A896) &gt; 0</f>
        <v>0</v>
      </c>
      <c r="G896" t="s">
        <v>2973</v>
      </c>
      <c r="H896" t="s">
        <v>187</v>
      </c>
      <c r="I896" t="s">
        <v>2974</v>
      </c>
      <c r="J896"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2" r:id="rId53" xr:uid="{00000000-0004-0000-0000-000034000000}"/>
    <hyperlink ref="J84" r:id="rId54" xr:uid="{00000000-0004-0000-0000-000035000000}"/>
    <hyperlink ref="J87" r:id="rId55" xr:uid="{00000000-0004-0000-0000-000036000000}"/>
    <hyperlink ref="J89" r:id="rId56" xr:uid="{00000000-0004-0000-0000-000037000000}"/>
    <hyperlink ref="J90" r:id="rId57" xr:uid="{00000000-0004-0000-0000-000038000000}"/>
    <hyperlink ref="J91" r:id="rId58" xr:uid="{00000000-0004-0000-0000-000039000000}"/>
    <hyperlink ref="J92" r:id="rId59" xr:uid="{00000000-0004-0000-0000-00003A000000}"/>
    <hyperlink ref="J93" r:id="rId60" xr:uid="{00000000-0004-0000-0000-00003B000000}"/>
    <hyperlink ref="J94" r:id="rId61" xr:uid="{00000000-0004-0000-0000-00003C000000}"/>
    <hyperlink ref="J97" r:id="rId62" xr:uid="{00000000-0004-0000-0000-00003D000000}"/>
    <hyperlink ref="J98" r:id="rId63" xr:uid="{00000000-0004-0000-0000-00003E000000}"/>
    <hyperlink ref="J99" r:id="rId64" xr:uid="{00000000-0004-0000-0000-00003F000000}"/>
    <hyperlink ref="J100" r:id="rId65" xr:uid="{00000000-0004-0000-0000-000040000000}"/>
    <hyperlink ref="J103" r:id="rId66" xr:uid="{00000000-0004-0000-0000-000041000000}"/>
    <hyperlink ref="J105" r:id="rId67" xr:uid="{00000000-0004-0000-0000-000042000000}"/>
    <hyperlink ref="J113" r:id="rId68" xr:uid="{00000000-0004-0000-0000-000043000000}"/>
    <hyperlink ref="J114" r:id="rId69" xr:uid="{00000000-0004-0000-0000-000044000000}"/>
    <hyperlink ref="J116" r:id="rId70" xr:uid="{00000000-0004-0000-0000-000045000000}"/>
    <hyperlink ref="J117" r:id="rId71" xr:uid="{00000000-0004-0000-0000-000046000000}"/>
    <hyperlink ref="J118" r:id="rId72" xr:uid="{00000000-0004-0000-0000-000047000000}"/>
    <hyperlink ref="J120" r:id="rId73" xr:uid="{00000000-0004-0000-0000-000048000000}"/>
    <hyperlink ref="J122" r:id="rId74" xr:uid="{00000000-0004-0000-0000-000049000000}"/>
    <hyperlink ref="J123" r:id="rId75" xr:uid="{00000000-0004-0000-0000-00004A000000}"/>
    <hyperlink ref="J127" r:id="rId76" xr:uid="{00000000-0004-0000-0000-00004B000000}"/>
    <hyperlink ref="J128" r:id="rId77" xr:uid="{00000000-0004-0000-0000-00004C000000}"/>
    <hyperlink ref="J129" r:id="rId78" xr:uid="{00000000-0004-0000-0000-00004D000000}"/>
    <hyperlink ref="J130" r:id="rId79" xr:uid="{00000000-0004-0000-0000-00004E000000}"/>
    <hyperlink ref="J133" r:id="rId80" xr:uid="{00000000-0004-0000-0000-00004F000000}"/>
    <hyperlink ref="J134" r:id="rId81" xr:uid="{00000000-0004-0000-0000-000050000000}"/>
    <hyperlink ref="J137" r:id="rId82" xr:uid="{00000000-0004-0000-0000-000051000000}"/>
    <hyperlink ref="J139" r:id="rId83" xr:uid="{00000000-0004-0000-0000-000052000000}"/>
    <hyperlink ref="J140" r:id="rId84" xr:uid="{00000000-0004-0000-0000-000053000000}"/>
    <hyperlink ref="J143" r:id="rId85" xr:uid="{00000000-0004-0000-0000-000054000000}"/>
    <hyperlink ref="J144" r:id="rId86" xr:uid="{00000000-0004-0000-0000-000055000000}"/>
    <hyperlink ref="J145" r:id="rId87" xr:uid="{00000000-0004-0000-0000-000056000000}"/>
    <hyperlink ref="J146" r:id="rId88" xr:uid="{00000000-0004-0000-0000-000057000000}"/>
    <hyperlink ref="J147" r:id="rId89" xr:uid="{00000000-0004-0000-0000-000058000000}"/>
    <hyperlink ref="J149" r:id="rId90" xr:uid="{00000000-0004-0000-0000-000059000000}"/>
    <hyperlink ref="J150" r:id="rId91" xr:uid="{00000000-0004-0000-0000-00005A000000}"/>
    <hyperlink ref="J151" r:id="rId92" xr:uid="{00000000-0004-0000-0000-00005B000000}"/>
    <hyperlink ref="J153" r:id="rId93" xr:uid="{00000000-0004-0000-0000-00005C000000}"/>
    <hyperlink ref="J154" r:id="rId94" xr:uid="{00000000-0004-0000-0000-00005D000000}"/>
    <hyperlink ref="J155" r:id="rId95" xr:uid="{00000000-0004-0000-0000-00005E000000}"/>
    <hyperlink ref="J156" r:id="rId96" xr:uid="{00000000-0004-0000-0000-00005F000000}"/>
    <hyperlink ref="J157" r:id="rId97" xr:uid="{00000000-0004-0000-0000-000060000000}"/>
    <hyperlink ref="J158" r:id="rId98" xr:uid="{00000000-0004-0000-0000-000061000000}"/>
    <hyperlink ref="J161" r:id="rId99" xr:uid="{00000000-0004-0000-0000-000062000000}"/>
    <hyperlink ref="J162" r:id="rId100" xr:uid="{00000000-0004-0000-0000-000063000000}"/>
    <hyperlink ref="J163" r:id="rId101" xr:uid="{00000000-0004-0000-0000-000064000000}"/>
    <hyperlink ref="J164" r:id="rId102" xr:uid="{00000000-0004-0000-0000-000065000000}"/>
    <hyperlink ref="J165" r:id="rId103" xr:uid="{00000000-0004-0000-0000-000066000000}"/>
    <hyperlink ref="J166" r:id="rId104" xr:uid="{00000000-0004-0000-0000-000067000000}"/>
    <hyperlink ref="J169" r:id="rId105" xr:uid="{00000000-0004-0000-0000-000068000000}"/>
    <hyperlink ref="J171" r:id="rId106" xr:uid="{00000000-0004-0000-0000-000069000000}"/>
    <hyperlink ref="J172" r:id="rId107" xr:uid="{00000000-0004-0000-0000-00006A000000}"/>
    <hyperlink ref="J173" r:id="rId108" xr:uid="{00000000-0004-0000-0000-00006B000000}"/>
    <hyperlink ref="J175" r:id="rId109" xr:uid="{00000000-0004-0000-0000-00006C000000}"/>
    <hyperlink ref="J176" r:id="rId110" xr:uid="{00000000-0004-0000-0000-00006D000000}"/>
    <hyperlink ref="J177" r:id="rId111" xr:uid="{00000000-0004-0000-0000-00006E000000}"/>
    <hyperlink ref="J178" r:id="rId112" xr:uid="{00000000-0004-0000-0000-00006F000000}"/>
    <hyperlink ref="J179" r:id="rId113" xr:uid="{00000000-0004-0000-0000-000070000000}"/>
    <hyperlink ref="J180" r:id="rId114" xr:uid="{00000000-0004-0000-0000-000071000000}"/>
    <hyperlink ref="J181" r:id="rId115" xr:uid="{00000000-0004-0000-0000-000072000000}"/>
    <hyperlink ref="J184" r:id="rId116" xr:uid="{00000000-0004-0000-0000-000073000000}"/>
    <hyperlink ref="J185" r:id="rId117" xr:uid="{00000000-0004-0000-0000-000074000000}"/>
    <hyperlink ref="J186" r:id="rId118" xr:uid="{00000000-0004-0000-0000-000075000000}"/>
    <hyperlink ref="J187" r:id="rId119" xr:uid="{00000000-0004-0000-0000-000076000000}"/>
    <hyperlink ref="J188" r:id="rId120" xr:uid="{00000000-0004-0000-0000-000077000000}"/>
    <hyperlink ref="J189" r:id="rId121" xr:uid="{00000000-0004-0000-0000-000078000000}"/>
    <hyperlink ref="J190" r:id="rId122" xr:uid="{00000000-0004-0000-0000-000079000000}"/>
    <hyperlink ref="J191" r:id="rId123" xr:uid="{00000000-0004-0000-0000-00007A000000}"/>
    <hyperlink ref="J195" r:id="rId124" xr:uid="{00000000-0004-0000-0000-00007B000000}"/>
    <hyperlink ref="J197" r:id="rId125" xr:uid="{00000000-0004-0000-0000-00007C000000}"/>
    <hyperlink ref="J199" r:id="rId126" xr:uid="{00000000-0004-0000-0000-00007D000000}"/>
    <hyperlink ref="J200" r:id="rId127" xr:uid="{00000000-0004-0000-0000-00007E000000}"/>
    <hyperlink ref="J202" r:id="rId128" xr:uid="{00000000-0004-0000-0000-00007F000000}"/>
    <hyperlink ref="J204" r:id="rId129" xr:uid="{00000000-0004-0000-0000-000080000000}"/>
    <hyperlink ref="J207" r:id="rId130" xr:uid="{00000000-0004-0000-0000-000081000000}"/>
    <hyperlink ref="J209" r:id="rId131" xr:uid="{00000000-0004-0000-0000-000082000000}"/>
    <hyperlink ref="J210" r:id="rId132" xr:uid="{00000000-0004-0000-0000-000083000000}"/>
    <hyperlink ref="J212" r:id="rId133" xr:uid="{00000000-0004-0000-0000-000084000000}"/>
    <hyperlink ref="J213" r:id="rId134" xr:uid="{00000000-0004-0000-0000-000085000000}"/>
    <hyperlink ref="J215" r:id="rId135" xr:uid="{00000000-0004-0000-0000-000086000000}"/>
    <hyperlink ref="J217" r:id="rId136" xr:uid="{00000000-0004-0000-0000-000087000000}"/>
    <hyperlink ref="J218" r:id="rId137" xr:uid="{00000000-0004-0000-0000-000088000000}"/>
    <hyperlink ref="J220" r:id="rId138" xr:uid="{00000000-0004-0000-0000-000089000000}"/>
    <hyperlink ref="J221" r:id="rId139" xr:uid="{00000000-0004-0000-0000-00008A000000}"/>
    <hyperlink ref="J224" r:id="rId140" xr:uid="{00000000-0004-0000-0000-00008B000000}"/>
    <hyperlink ref="J225" r:id="rId141" xr:uid="{00000000-0004-0000-0000-00008C000000}"/>
    <hyperlink ref="J226" r:id="rId142" xr:uid="{00000000-0004-0000-0000-00008D000000}"/>
    <hyperlink ref="J228" r:id="rId143" xr:uid="{00000000-0004-0000-0000-00008E000000}"/>
    <hyperlink ref="J229" r:id="rId144" xr:uid="{00000000-0004-0000-0000-00008F000000}"/>
    <hyperlink ref="J232" r:id="rId145" xr:uid="{00000000-0004-0000-0000-000090000000}"/>
    <hyperlink ref="J233" r:id="rId146" xr:uid="{00000000-0004-0000-0000-000091000000}"/>
    <hyperlink ref="J238" r:id="rId147" xr:uid="{00000000-0004-0000-0000-000092000000}"/>
    <hyperlink ref="J240" r:id="rId148" xr:uid="{00000000-0004-0000-0000-000093000000}"/>
    <hyperlink ref="J243" r:id="rId149" xr:uid="{00000000-0004-0000-0000-000094000000}"/>
    <hyperlink ref="J245" r:id="rId150" xr:uid="{00000000-0004-0000-0000-000095000000}"/>
    <hyperlink ref="J247" r:id="rId151" xr:uid="{00000000-0004-0000-0000-000096000000}"/>
    <hyperlink ref="J248" r:id="rId152" xr:uid="{00000000-0004-0000-0000-000097000000}"/>
    <hyperlink ref="J251" r:id="rId153" xr:uid="{00000000-0004-0000-0000-000098000000}"/>
    <hyperlink ref="J252" r:id="rId154" xr:uid="{00000000-0004-0000-0000-000099000000}"/>
    <hyperlink ref="J253" r:id="rId155" xr:uid="{00000000-0004-0000-0000-00009A000000}"/>
    <hyperlink ref="J255" r:id="rId156" xr:uid="{00000000-0004-0000-0000-00009B000000}"/>
    <hyperlink ref="J256" r:id="rId157" xr:uid="{00000000-0004-0000-0000-00009C000000}"/>
    <hyperlink ref="J258" r:id="rId158" xr:uid="{00000000-0004-0000-0000-00009D000000}"/>
    <hyperlink ref="J260" r:id="rId159" xr:uid="{00000000-0004-0000-0000-00009E000000}"/>
    <hyperlink ref="J261" r:id="rId160" xr:uid="{00000000-0004-0000-0000-00009F000000}"/>
    <hyperlink ref="J262" r:id="rId161" xr:uid="{00000000-0004-0000-0000-0000A0000000}"/>
    <hyperlink ref="J263" r:id="rId162" xr:uid="{00000000-0004-0000-0000-0000A1000000}"/>
    <hyperlink ref="J266" r:id="rId163" xr:uid="{00000000-0004-0000-0000-0000A2000000}"/>
    <hyperlink ref="J267" r:id="rId164" xr:uid="{00000000-0004-0000-0000-0000A3000000}"/>
    <hyperlink ref="J268" r:id="rId165" xr:uid="{00000000-0004-0000-0000-0000A4000000}"/>
    <hyperlink ref="J269" r:id="rId166" xr:uid="{00000000-0004-0000-0000-0000A5000000}"/>
    <hyperlink ref="J270" r:id="rId167" xr:uid="{00000000-0004-0000-0000-0000A6000000}"/>
    <hyperlink ref="J275" r:id="rId168" xr:uid="{00000000-0004-0000-0000-0000A7000000}"/>
    <hyperlink ref="J276" r:id="rId169" xr:uid="{00000000-0004-0000-0000-0000A8000000}"/>
    <hyperlink ref="J277" r:id="rId170" xr:uid="{00000000-0004-0000-0000-0000A9000000}"/>
    <hyperlink ref="J278" r:id="rId171" xr:uid="{00000000-0004-0000-0000-0000AA000000}"/>
    <hyperlink ref="J279" r:id="rId172" xr:uid="{00000000-0004-0000-0000-0000AB000000}"/>
    <hyperlink ref="J282" r:id="rId173" xr:uid="{00000000-0004-0000-0000-0000AC000000}"/>
    <hyperlink ref="J283" r:id="rId174" xr:uid="{00000000-0004-0000-0000-0000AD000000}"/>
    <hyperlink ref="J285" r:id="rId175" xr:uid="{00000000-0004-0000-0000-0000AE000000}"/>
    <hyperlink ref="J288" r:id="rId176" xr:uid="{00000000-0004-0000-0000-0000AF000000}"/>
    <hyperlink ref="J289" r:id="rId177" xr:uid="{00000000-0004-0000-0000-0000B0000000}"/>
    <hyperlink ref="J290" r:id="rId178" xr:uid="{00000000-0004-0000-0000-0000B1000000}"/>
    <hyperlink ref="J291" r:id="rId179" xr:uid="{00000000-0004-0000-0000-0000B2000000}"/>
    <hyperlink ref="J292" r:id="rId180" xr:uid="{00000000-0004-0000-0000-0000B3000000}"/>
    <hyperlink ref="J293" r:id="rId181" xr:uid="{00000000-0004-0000-0000-0000B4000000}"/>
    <hyperlink ref="J295" r:id="rId182" xr:uid="{00000000-0004-0000-0000-0000B5000000}"/>
    <hyperlink ref="J296" r:id="rId183" xr:uid="{00000000-0004-0000-0000-0000B6000000}"/>
    <hyperlink ref="J297" r:id="rId184" xr:uid="{00000000-0004-0000-0000-0000B7000000}"/>
    <hyperlink ref="J299" r:id="rId185" xr:uid="{00000000-0004-0000-0000-0000B8000000}"/>
    <hyperlink ref="J300" r:id="rId186" xr:uid="{00000000-0004-0000-0000-0000B9000000}"/>
    <hyperlink ref="J301" r:id="rId187" xr:uid="{00000000-0004-0000-0000-0000BA000000}"/>
    <hyperlink ref="J304" r:id="rId188" xr:uid="{00000000-0004-0000-0000-0000BB000000}"/>
    <hyperlink ref="J310" r:id="rId189" xr:uid="{00000000-0004-0000-0000-0000BC000000}"/>
    <hyperlink ref="J311" r:id="rId190" xr:uid="{00000000-0004-0000-0000-0000BD000000}"/>
    <hyperlink ref="J312" r:id="rId191" xr:uid="{00000000-0004-0000-0000-0000BE000000}"/>
    <hyperlink ref="J313" r:id="rId192" xr:uid="{00000000-0004-0000-0000-0000BF000000}"/>
    <hyperlink ref="J314" r:id="rId193" xr:uid="{00000000-0004-0000-0000-0000C0000000}"/>
    <hyperlink ref="J316" r:id="rId194" xr:uid="{00000000-0004-0000-0000-0000C1000000}"/>
    <hyperlink ref="J317" r:id="rId195" xr:uid="{00000000-0004-0000-0000-0000C2000000}"/>
    <hyperlink ref="J318" r:id="rId196" xr:uid="{00000000-0004-0000-0000-0000C3000000}"/>
    <hyperlink ref="J320" r:id="rId197" xr:uid="{00000000-0004-0000-0000-0000C4000000}"/>
    <hyperlink ref="J321" r:id="rId198" xr:uid="{00000000-0004-0000-0000-0000C5000000}"/>
    <hyperlink ref="J322" r:id="rId199" xr:uid="{00000000-0004-0000-0000-0000C6000000}"/>
    <hyperlink ref="J323" r:id="rId200" xr:uid="{00000000-0004-0000-0000-0000C7000000}"/>
    <hyperlink ref="J324" r:id="rId201" xr:uid="{00000000-0004-0000-0000-0000C8000000}"/>
    <hyperlink ref="J325" r:id="rId202" xr:uid="{00000000-0004-0000-0000-0000C9000000}"/>
    <hyperlink ref="J326" r:id="rId203" xr:uid="{00000000-0004-0000-0000-0000CA000000}"/>
    <hyperlink ref="J327" r:id="rId204" xr:uid="{00000000-0004-0000-0000-0000CB000000}"/>
    <hyperlink ref="J329" r:id="rId205" xr:uid="{00000000-0004-0000-0000-0000CC000000}"/>
    <hyperlink ref="J331" r:id="rId206" xr:uid="{00000000-0004-0000-0000-0000CD000000}"/>
    <hyperlink ref="J332" r:id="rId207" xr:uid="{00000000-0004-0000-0000-0000CE000000}"/>
    <hyperlink ref="J334" r:id="rId208" xr:uid="{00000000-0004-0000-0000-0000CF000000}"/>
    <hyperlink ref="J335" r:id="rId209" xr:uid="{00000000-0004-0000-0000-0000D0000000}"/>
    <hyperlink ref="J336" r:id="rId210" xr:uid="{00000000-0004-0000-0000-0000D1000000}"/>
    <hyperlink ref="J337" r:id="rId211" xr:uid="{00000000-0004-0000-0000-0000D2000000}"/>
    <hyperlink ref="J338" r:id="rId212" xr:uid="{00000000-0004-0000-0000-0000D3000000}"/>
    <hyperlink ref="J339" r:id="rId213" xr:uid="{00000000-0004-0000-0000-0000D4000000}"/>
    <hyperlink ref="J343" r:id="rId214" xr:uid="{00000000-0004-0000-0000-0000D5000000}"/>
    <hyperlink ref="J344" r:id="rId215" xr:uid="{00000000-0004-0000-0000-0000D6000000}"/>
    <hyperlink ref="J345" r:id="rId216" xr:uid="{00000000-0004-0000-0000-0000D7000000}"/>
    <hyperlink ref="J346" r:id="rId217" xr:uid="{00000000-0004-0000-0000-0000D8000000}"/>
    <hyperlink ref="J347" r:id="rId218" xr:uid="{00000000-0004-0000-0000-0000D9000000}"/>
    <hyperlink ref="J349" r:id="rId219" xr:uid="{00000000-0004-0000-0000-0000DA000000}"/>
    <hyperlink ref="J352" r:id="rId220" xr:uid="{00000000-0004-0000-0000-0000DB000000}"/>
    <hyperlink ref="J354" r:id="rId221" xr:uid="{00000000-0004-0000-0000-0000DC000000}"/>
    <hyperlink ref="J355" r:id="rId222" xr:uid="{00000000-0004-0000-0000-0000DD000000}"/>
    <hyperlink ref="J356" r:id="rId223" xr:uid="{00000000-0004-0000-0000-0000DE000000}"/>
    <hyperlink ref="J358" r:id="rId224" xr:uid="{00000000-0004-0000-0000-0000DF000000}"/>
    <hyperlink ref="J359" r:id="rId225" xr:uid="{00000000-0004-0000-0000-0000E0000000}"/>
    <hyperlink ref="J360" r:id="rId226" xr:uid="{00000000-0004-0000-0000-0000E1000000}"/>
    <hyperlink ref="J361" r:id="rId227" xr:uid="{00000000-0004-0000-0000-0000E2000000}"/>
    <hyperlink ref="J363" r:id="rId228" xr:uid="{00000000-0004-0000-0000-0000E3000000}"/>
    <hyperlink ref="J364" r:id="rId229" xr:uid="{00000000-0004-0000-0000-0000E4000000}"/>
    <hyperlink ref="J365" r:id="rId230" xr:uid="{00000000-0004-0000-0000-0000E5000000}"/>
    <hyperlink ref="J366" r:id="rId231" xr:uid="{00000000-0004-0000-0000-0000E6000000}"/>
    <hyperlink ref="J367" r:id="rId232" xr:uid="{00000000-0004-0000-0000-0000E7000000}"/>
    <hyperlink ref="J368" r:id="rId233" xr:uid="{00000000-0004-0000-0000-0000E8000000}"/>
    <hyperlink ref="J370" r:id="rId234" xr:uid="{00000000-0004-0000-0000-0000E9000000}"/>
    <hyperlink ref="J371" r:id="rId235" xr:uid="{00000000-0004-0000-0000-0000EA000000}"/>
    <hyperlink ref="J374" r:id="rId236" xr:uid="{00000000-0004-0000-0000-0000EB000000}"/>
    <hyperlink ref="J377" r:id="rId237" xr:uid="{00000000-0004-0000-0000-0000EC000000}"/>
    <hyperlink ref="J378" r:id="rId238" xr:uid="{00000000-0004-0000-0000-0000ED000000}"/>
    <hyperlink ref="J380" r:id="rId239" xr:uid="{00000000-0004-0000-0000-0000EE000000}"/>
    <hyperlink ref="J381" r:id="rId240" xr:uid="{00000000-0004-0000-0000-0000EF000000}"/>
    <hyperlink ref="J382" r:id="rId241" xr:uid="{00000000-0004-0000-0000-0000F0000000}"/>
    <hyperlink ref="J386" r:id="rId242" xr:uid="{00000000-0004-0000-0000-0000F1000000}"/>
    <hyperlink ref="J387" r:id="rId243" xr:uid="{00000000-0004-0000-0000-0000F2000000}"/>
    <hyperlink ref="J388" r:id="rId244" xr:uid="{00000000-0004-0000-0000-0000F3000000}"/>
    <hyperlink ref="J390" r:id="rId245" xr:uid="{00000000-0004-0000-0000-0000F4000000}"/>
    <hyperlink ref="J391" r:id="rId246" xr:uid="{00000000-0004-0000-0000-0000F5000000}"/>
    <hyperlink ref="J392" r:id="rId247" xr:uid="{00000000-0004-0000-0000-0000F6000000}"/>
    <hyperlink ref="J393" r:id="rId248" xr:uid="{00000000-0004-0000-0000-0000F7000000}"/>
    <hyperlink ref="J399" r:id="rId249" xr:uid="{00000000-0004-0000-0000-0000F8000000}"/>
    <hyperlink ref="J400" r:id="rId250" xr:uid="{00000000-0004-0000-0000-0000F9000000}"/>
    <hyperlink ref="J401" r:id="rId251" xr:uid="{00000000-0004-0000-0000-0000FA000000}"/>
    <hyperlink ref="J402" r:id="rId252" xr:uid="{00000000-0004-0000-0000-0000FB000000}"/>
    <hyperlink ref="J403" r:id="rId253" xr:uid="{00000000-0004-0000-0000-0000FC000000}"/>
    <hyperlink ref="J404" r:id="rId254" xr:uid="{00000000-0004-0000-0000-0000FD000000}"/>
    <hyperlink ref="J407" r:id="rId255" xr:uid="{00000000-0004-0000-0000-0000FE000000}"/>
    <hyperlink ref="J408" r:id="rId256" xr:uid="{00000000-0004-0000-0000-0000FF000000}"/>
    <hyperlink ref="J409" r:id="rId257" xr:uid="{00000000-0004-0000-0000-000000010000}"/>
    <hyperlink ref="J410" r:id="rId258" xr:uid="{00000000-0004-0000-0000-000001010000}"/>
    <hyperlink ref="J411" r:id="rId259" xr:uid="{00000000-0004-0000-0000-000002010000}"/>
    <hyperlink ref="J414" r:id="rId260" xr:uid="{00000000-0004-0000-0000-000003010000}"/>
    <hyperlink ref="J418" r:id="rId261" xr:uid="{00000000-0004-0000-0000-000004010000}"/>
    <hyperlink ref="J422" r:id="rId262" xr:uid="{00000000-0004-0000-0000-000005010000}"/>
    <hyperlink ref="J425" r:id="rId263" xr:uid="{00000000-0004-0000-0000-000006010000}"/>
    <hyperlink ref="J426" r:id="rId264" xr:uid="{00000000-0004-0000-0000-000007010000}"/>
    <hyperlink ref="J427" r:id="rId265" xr:uid="{00000000-0004-0000-0000-000008010000}"/>
    <hyperlink ref="J429" r:id="rId266" xr:uid="{00000000-0004-0000-0000-000009010000}"/>
    <hyperlink ref="J433" r:id="rId267" xr:uid="{00000000-0004-0000-0000-00000A010000}"/>
    <hyperlink ref="J438" r:id="rId268" xr:uid="{00000000-0004-0000-0000-00000B010000}"/>
    <hyperlink ref="J439" r:id="rId269" xr:uid="{00000000-0004-0000-0000-00000C010000}"/>
    <hyperlink ref="J440" r:id="rId270" xr:uid="{00000000-0004-0000-0000-00000D010000}"/>
    <hyperlink ref="J442" r:id="rId271" xr:uid="{00000000-0004-0000-0000-00000E010000}"/>
    <hyperlink ref="J446" r:id="rId272" xr:uid="{00000000-0004-0000-0000-00000F010000}"/>
    <hyperlink ref="J447" r:id="rId273" xr:uid="{00000000-0004-0000-0000-000010010000}"/>
    <hyperlink ref="J448" r:id="rId274" xr:uid="{00000000-0004-0000-0000-000011010000}"/>
    <hyperlink ref="J449" r:id="rId275" xr:uid="{00000000-0004-0000-0000-000012010000}"/>
    <hyperlink ref="J450" r:id="rId276" xr:uid="{00000000-0004-0000-0000-000013010000}"/>
    <hyperlink ref="J451" r:id="rId277" xr:uid="{00000000-0004-0000-0000-000014010000}"/>
    <hyperlink ref="J452" r:id="rId278" xr:uid="{00000000-0004-0000-0000-000015010000}"/>
    <hyperlink ref="J454" r:id="rId279" xr:uid="{00000000-0004-0000-0000-000016010000}"/>
    <hyperlink ref="J456" r:id="rId280" xr:uid="{00000000-0004-0000-0000-000017010000}"/>
    <hyperlink ref="J457" r:id="rId281" xr:uid="{00000000-0004-0000-0000-000018010000}"/>
    <hyperlink ref="J458" r:id="rId282" xr:uid="{00000000-0004-0000-0000-000019010000}"/>
    <hyperlink ref="J459" r:id="rId283" xr:uid="{00000000-0004-0000-0000-00001A010000}"/>
    <hyperlink ref="J460" r:id="rId284" xr:uid="{00000000-0004-0000-0000-00001B010000}"/>
    <hyperlink ref="J462" r:id="rId285" xr:uid="{00000000-0004-0000-0000-00001C010000}"/>
    <hyperlink ref="J466" r:id="rId286" xr:uid="{00000000-0004-0000-0000-00001D010000}"/>
    <hyperlink ref="J468" r:id="rId287" xr:uid="{00000000-0004-0000-0000-00001E010000}"/>
    <hyperlink ref="J473" r:id="rId288" xr:uid="{00000000-0004-0000-0000-00001F010000}"/>
    <hyperlink ref="J474" r:id="rId289" xr:uid="{00000000-0004-0000-0000-000020010000}"/>
    <hyperlink ref="J476" r:id="rId290" xr:uid="{00000000-0004-0000-0000-000021010000}"/>
    <hyperlink ref="J477" r:id="rId291" xr:uid="{00000000-0004-0000-0000-000022010000}"/>
    <hyperlink ref="J478" r:id="rId292" xr:uid="{00000000-0004-0000-0000-000023010000}"/>
    <hyperlink ref="J479" r:id="rId293" xr:uid="{00000000-0004-0000-0000-000024010000}"/>
    <hyperlink ref="J481" r:id="rId294" xr:uid="{00000000-0004-0000-0000-000025010000}"/>
    <hyperlink ref="J483" r:id="rId295" xr:uid="{00000000-0004-0000-0000-000026010000}"/>
    <hyperlink ref="J486" r:id="rId296" xr:uid="{00000000-0004-0000-0000-000027010000}"/>
    <hyperlink ref="J488" r:id="rId297" xr:uid="{00000000-0004-0000-0000-000028010000}"/>
    <hyperlink ref="J489" r:id="rId298" xr:uid="{00000000-0004-0000-0000-000029010000}"/>
    <hyperlink ref="J490" r:id="rId299" xr:uid="{00000000-0004-0000-0000-00002A010000}"/>
    <hyperlink ref="J492" r:id="rId300" xr:uid="{00000000-0004-0000-0000-00002B010000}"/>
    <hyperlink ref="J493" r:id="rId301" xr:uid="{00000000-0004-0000-0000-00002C010000}"/>
    <hyperlink ref="J495" r:id="rId302" xr:uid="{00000000-0004-0000-0000-00002D010000}"/>
    <hyperlink ref="J497" r:id="rId303" xr:uid="{00000000-0004-0000-0000-00002E010000}"/>
    <hyperlink ref="J498" r:id="rId304" xr:uid="{00000000-0004-0000-0000-00002F010000}"/>
    <hyperlink ref="J499" r:id="rId305" xr:uid="{00000000-0004-0000-0000-000030010000}"/>
    <hyperlink ref="J500" r:id="rId306" xr:uid="{00000000-0004-0000-0000-000031010000}"/>
    <hyperlink ref="J501" r:id="rId307" xr:uid="{00000000-0004-0000-0000-000032010000}"/>
    <hyperlink ref="J502" r:id="rId308" xr:uid="{00000000-0004-0000-0000-000033010000}"/>
    <hyperlink ref="J503" r:id="rId309" xr:uid="{00000000-0004-0000-0000-000034010000}"/>
    <hyperlink ref="J507" r:id="rId310" xr:uid="{00000000-0004-0000-0000-000035010000}"/>
    <hyperlink ref="J508" r:id="rId311" xr:uid="{00000000-0004-0000-0000-000036010000}"/>
    <hyperlink ref="J509" r:id="rId312" xr:uid="{00000000-0004-0000-0000-000037010000}"/>
    <hyperlink ref="J512" r:id="rId313" xr:uid="{00000000-0004-0000-0000-000038010000}"/>
    <hyperlink ref="J513" r:id="rId314" xr:uid="{00000000-0004-0000-0000-000039010000}"/>
    <hyperlink ref="J514" r:id="rId315" xr:uid="{00000000-0004-0000-0000-00003A010000}"/>
    <hyperlink ref="J515" r:id="rId316" xr:uid="{00000000-0004-0000-0000-00003B010000}"/>
    <hyperlink ref="J516" r:id="rId317" xr:uid="{00000000-0004-0000-0000-00003C010000}"/>
    <hyperlink ref="J517" r:id="rId318" xr:uid="{00000000-0004-0000-0000-00003D010000}"/>
    <hyperlink ref="J518" r:id="rId319" xr:uid="{00000000-0004-0000-0000-00003E010000}"/>
    <hyperlink ref="J520" r:id="rId320" xr:uid="{00000000-0004-0000-0000-00003F010000}"/>
    <hyperlink ref="J521" r:id="rId321" xr:uid="{00000000-0004-0000-0000-000040010000}"/>
    <hyperlink ref="J522" r:id="rId322" xr:uid="{00000000-0004-0000-0000-000041010000}"/>
    <hyperlink ref="J523" r:id="rId323" xr:uid="{00000000-0004-0000-0000-000042010000}"/>
    <hyperlink ref="J524" r:id="rId324" xr:uid="{00000000-0004-0000-0000-000043010000}"/>
    <hyperlink ref="J527" r:id="rId325" xr:uid="{00000000-0004-0000-0000-000044010000}"/>
    <hyperlink ref="J528" r:id="rId326" xr:uid="{00000000-0004-0000-0000-000045010000}"/>
    <hyperlink ref="J531" r:id="rId327" xr:uid="{00000000-0004-0000-0000-000046010000}"/>
    <hyperlink ref="J534" r:id="rId328" xr:uid="{00000000-0004-0000-0000-000047010000}"/>
    <hyperlink ref="J537" r:id="rId329" xr:uid="{00000000-0004-0000-0000-000048010000}"/>
    <hyperlink ref="J538" r:id="rId330" xr:uid="{00000000-0004-0000-0000-000049010000}"/>
    <hyperlink ref="J539" r:id="rId331" xr:uid="{00000000-0004-0000-0000-00004A010000}"/>
    <hyperlink ref="J541" r:id="rId332" xr:uid="{00000000-0004-0000-0000-00004B010000}"/>
    <hyperlink ref="J542" r:id="rId333" xr:uid="{00000000-0004-0000-0000-00004C010000}"/>
    <hyperlink ref="J543" r:id="rId334" xr:uid="{00000000-0004-0000-0000-00004D010000}"/>
    <hyperlink ref="J545" r:id="rId335" xr:uid="{00000000-0004-0000-0000-00004E010000}"/>
    <hyperlink ref="J547" r:id="rId336" xr:uid="{00000000-0004-0000-0000-00004F010000}"/>
    <hyperlink ref="J550" r:id="rId337" xr:uid="{00000000-0004-0000-0000-000050010000}"/>
    <hyperlink ref="J551" r:id="rId338" xr:uid="{00000000-0004-0000-0000-000051010000}"/>
    <hyperlink ref="J552" r:id="rId339" xr:uid="{00000000-0004-0000-0000-000052010000}"/>
    <hyperlink ref="J554" r:id="rId340" xr:uid="{00000000-0004-0000-0000-000053010000}"/>
    <hyperlink ref="J556" r:id="rId341" xr:uid="{00000000-0004-0000-0000-000054010000}"/>
    <hyperlink ref="J557" r:id="rId342" xr:uid="{00000000-0004-0000-0000-000055010000}"/>
    <hyperlink ref="J559" r:id="rId343" xr:uid="{00000000-0004-0000-0000-000056010000}"/>
    <hyperlink ref="J560" r:id="rId344" xr:uid="{00000000-0004-0000-0000-000057010000}"/>
    <hyperlink ref="J561" r:id="rId345" xr:uid="{00000000-0004-0000-0000-000058010000}"/>
    <hyperlink ref="J562" r:id="rId346" xr:uid="{00000000-0004-0000-0000-000059010000}"/>
    <hyperlink ref="J563" r:id="rId347" xr:uid="{00000000-0004-0000-0000-00005A010000}"/>
    <hyperlink ref="J564" r:id="rId348" xr:uid="{00000000-0004-0000-0000-00005B010000}"/>
    <hyperlink ref="J568" r:id="rId349" xr:uid="{00000000-0004-0000-0000-00005C010000}"/>
    <hyperlink ref="J584" r:id="rId350" xr:uid="{00000000-0004-0000-0000-00005D010000}"/>
    <hyperlink ref="J585" r:id="rId351" xr:uid="{00000000-0004-0000-0000-00005E010000}"/>
    <hyperlink ref="J587" r:id="rId352" xr:uid="{00000000-0004-0000-0000-00005F010000}"/>
    <hyperlink ref="J588" r:id="rId353" xr:uid="{00000000-0004-0000-0000-000060010000}"/>
    <hyperlink ref="J590" r:id="rId354" xr:uid="{00000000-0004-0000-0000-000061010000}"/>
    <hyperlink ref="J591" r:id="rId355" xr:uid="{00000000-0004-0000-0000-000062010000}"/>
    <hyperlink ref="J594" r:id="rId356" xr:uid="{00000000-0004-0000-0000-000063010000}"/>
    <hyperlink ref="J596" r:id="rId357" xr:uid="{00000000-0004-0000-0000-000064010000}"/>
    <hyperlink ref="J597" r:id="rId358" xr:uid="{00000000-0004-0000-0000-000065010000}"/>
    <hyperlink ref="J600" r:id="rId359" xr:uid="{00000000-0004-0000-0000-000066010000}"/>
    <hyperlink ref="J603" r:id="rId360" xr:uid="{00000000-0004-0000-0000-000067010000}"/>
    <hyperlink ref="J604" r:id="rId361" xr:uid="{00000000-0004-0000-0000-000068010000}"/>
    <hyperlink ref="J605" r:id="rId362" xr:uid="{00000000-0004-0000-0000-000069010000}"/>
    <hyperlink ref="J606" r:id="rId363" xr:uid="{00000000-0004-0000-0000-00006A010000}"/>
    <hyperlink ref="J607" r:id="rId364" xr:uid="{00000000-0004-0000-0000-00006B010000}"/>
    <hyperlink ref="J608" r:id="rId365" xr:uid="{00000000-0004-0000-0000-00006C010000}"/>
    <hyperlink ref="J609" r:id="rId366" xr:uid="{00000000-0004-0000-0000-00006D010000}"/>
    <hyperlink ref="J610" r:id="rId367" xr:uid="{00000000-0004-0000-0000-00006E010000}"/>
    <hyperlink ref="J611" r:id="rId368" xr:uid="{00000000-0004-0000-0000-00006F010000}"/>
    <hyperlink ref="J612" r:id="rId369" xr:uid="{00000000-0004-0000-0000-000070010000}"/>
    <hyperlink ref="J614" r:id="rId370" xr:uid="{00000000-0004-0000-0000-000071010000}"/>
    <hyperlink ref="J615" r:id="rId371" xr:uid="{00000000-0004-0000-0000-000072010000}"/>
    <hyperlink ref="J616" r:id="rId372" xr:uid="{00000000-0004-0000-0000-000073010000}"/>
    <hyperlink ref="J618" r:id="rId373" xr:uid="{00000000-0004-0000-0000-000074010000}"/>
    <hyperlink ref="J619" r:id="rId374" xr:uid="{00000000-0004-0000-0000-000075010000}"/>
    <hyperlink ref="J620" r:id="rId375" xr:uid="{00000000-0004-0000-0000-000076010000}"/>
    <hyperlink ref="J622" r:id="rId376" xr:uid="{00000000-0004-0000-0000-000077010000}"/>
    <hyperlink ref="J623" r:id="rId377" xr:uid="{00000000-0004-0000-0000-000078010000}"/>
    <hyperlink ref="J624" r:id="rId378" xr:uid="{00000000-0004-0000-0000-000079010000}"/>
    <hyperlink ref="J630" r:id="rId379" xr:uid="{00000000-0004-0000-0000-00007A010000}"/>
    <hyperlink ref="J631" r:id="rId380" xr:uid="{00000000-0004-0000-0000-00007B010000}"/>
    <hyperlink ref="J632" r:id="rId381" xr:uid="{00000000-0004-0000-0000-00007C010000}"/>
    <hyperlink ref="J633" r:id="rId382" xr:uid="{00000000-0004-0000-0000-00007D010000}"/>
    <hyperlink ref="J635" r:id="rId383" xr:uid="{00000000-0004-0000-0000-00007E010000}"/>
    <hyperlink ref="J637" r:id="rId384" xr:uid="{00000000-0004-0000-0000-00007F010000}"/>
    <hyperlink ref="J638" r:id="rId385" xr:uid="{00000000-0004-0000-0000-000080010000}"/>
    <hyperlink ref="J641" r:id="rId386" xr:uid="{00000000-0004-0000-0000-000081010000}"/>
    <hyperlink ref="J642" r:id="rId387" xr:uid="{00000000-0004-0000-0000-000082010000}"/>
    <hyperlink ref="J643" r:id="rId388" xr:uid="{00000000-0004-0000-0000-000083010000}"/>
    <hyperlink ref="J644" r:id="rId389" xr:uid="{00000000-0004-0000-0000-000084010000}"/>
    <hyperlink ref="J645" r:id="rId390" xr:uid="{00000000-0004-0000-0000-000085010000}"/>
    <hyperlink ref="J647" r:id="rId391" xr:uid="{00000000-0004-0000-0000-000086010000}"/>
    <hyperlink ref="J648" r:id="rId392" xr:uid="{00000000-0004-0000-0000-000087010000}"/>
    <hyperlink ref="J649" r:id="rId393" xr:uid="{00000000-0004-0000-0000-000088010000}"/>
    <hyperlink ref="J650" r:id="rId394" xr:uid="{00000000-0004-0000-0000-000089010000}"/>
    <hyperlink ref="J651" r:id="rId395" xr:uid="{00000000-0004-0000-0000-00008A010000}"/>
    <hyperlink ref="J654" r:id="rId396" xr:uid="{00000000-0004-0000-0000-00008B010000}"/>
    <hyperlink ref="J655" r:id="rId397" xr:uid="{00000000-0004-0000-0000-00008C010000}"/>
    <hyperlink ref="J656" r:id="rId398" xr:uid="{00000000-0004-0000-0000-00008D010000}"/>
    <hyperlink ref="J657" r:id="rId399" xr:uid="{00000000-0004-0000-0000-00008E010000}"/>
    <hyperlink ref="J659" r:id="rId400" xr:uid="{00000000-0004-0000-0000-00008F010000}"/>
    <hyperlink ref="J660" r:id="rId401" xr:uid="{00000000-0004-0000-0000-000090010000}"/>
    <hyperlink ref="J662" r:id="rId402" xr:uid="{00000000-0004-0000-0000-000091010000}"/>
    <hyperlink ref="J663" r:id="rId403" xr:uid="{00000000-0004-0000-0000-000092010000}"/>
    <hyperlink ref="J667" r:id="rId404" xr:uid="{00000000-0004-0000-0000-000093010000}"/>
    <hyperlink ref="J670" r:id="rId405" xr:uid="{00000000-0004-0000-0000-000094010000}"/>
    <hyperlink ref="J677" r:id="rId406" xr:uid="{00000000-0004-0000-0000-000095010000}"/>
    <hyperlink ref="J678" r:id="rId407" xr:uid="{00000000-0004-0000-0000-000096010000}"/>
    <hyperlink ref="J679" r:id="rId408" xr:uid="{00000000-0004-0000-0000-000097010000}"/>
    <hyperlink ref="J681" r:id="rId409" xr:uid="{00000000-0004-0000-0000-000098010000}"/>
    <hyperlink ref="J685" r:id="rId410" xr:uid="{00000000-0004-0000-0000-000099010000}"/>
    <hyperlink ref="J686" r:id="rId411" xr:uid="{00000000-0004-0000-0000-00009A010000}"/>
    <hyperlink ref="J688" r:id="rId412" xr:uid="{00000000-0004-0000-0000-00009B010000}"/>
    <hyperlink ref="J689" r:id="rId413" xr:uid="{00000000-0004-0000-0000-00009C010000}"/>
    <hyperlink ref="J691" r:id="rId414" xr:uid="{00000000-0004-0000-0000-00009D010000}"/>
    <hyperlink ref="J692" r:id="rId415" xr:uid="{00000000-0004-0000-0000-00009E010000}"/>
    <hyperlink ref="J693" r:id="rId416" xr:uid="{00000000-0004-0000-0000-00009F010000}"/>
    <hyperlink ref="J694" r:id="rId417" xr:uid="{00000000-0004-0000-0000-0000A0010000}"/>
    <hyperlink ref="J696" r:id="rId418" xr:uid="{00000000-0004-0000-0000-0000A1010000}"/>
    <hyperlink ref="J699" r:id="rId419" xr:uid="{00000000-0004-0000-0000-0000A2010000}"/>
    <hyperlink ref="J700" r:id="rId420" xr:uid="{00000000-0004-0000-0000-0000A3010000}"/>
    <hyperlink ref="J701" r:id="rId421" xr:uid="{00000000-0004-0000-0000-0000A4010000}"/>
    <hyperlink ref="J702" r:id="rId422" xr:uid="{00000000-0004-0000-0000-0000A5010000}"/>
    <hyperlink ref="J703" r:id="rId423" xr:uid="{00000000-0004-0000-0000-0000A6010000}"/>
    <hyperlink ref="J706" r:id="rId424" xr:uid="{00000000-0004-0000-0000-0000A7010000}"/>
    <hyperlink ref="J708" r:id="rId425" xr:uid="{00000000-0004-0000-0000-0000A8010000}"/>
    <hyperlink ref="J709" r:id="rId426" xr:uid="{00000000-0004-0000-0000-0000A9010000}"/>
    <hyperlink ref="J712" r:id="rId427" xr:uid="{00000000-0004-0000-0000-0000AA010000}"/>
    <hyperlink ref="J714" r:id="rId428" xr:uid="{00000000-0004-0000-0000-0000AB010000}"/>
    <hyperlink ref="J715" r:id="rId429" xr:uid="{00000000-0004-0000-0000-0000AC010000}"/>
    <hyperlink ref="J716" r:id="rId430" xr:uid="{00000000-0004-0000-0000-0000AD010000}"/>
    <hyperlink ref="J718" r:id="rId431" xr:uid="{00000000-0004-0000-0000-0000AE010000}"/>
    <hyperlink ref="J719" r:id="rId432" xr:uid="{00000000-0004-0000-0000-0000AF010000}"/>
    <hyperlink ref="J720" r:id="rId433" xr:uid="{00000000-0004-0000-0000-0000B0010000}"/>
    <hyperlink ref="J721" r:id="rId434" xr:uid="{00000000-0004-0000-0000-0000B1010000}"/>
    <hyperlink ref="J722" r:id="rId435" xr:uid="{00000000-0004-0000-0000-0000B2010000}"/>
    <hyperlink ref="J723" r:id="rId436" xr:uid="{00000000-0004-0000-0000-0000B3010000}"/>
    <hyperlink ref="J724" r:id="rId437" xr:uid="{00000000-0004-0000-0000-0000B4010000}"/>
    <hyperlink ref="J725" r:id="rId438" xr:uid="{00000000-0004-0000-0000-0000B5010000}"/>
    <hyperlink ref="J727" r:id="rId439" xr:uid="{00000000-0004-0000-0000-0000B6010000}"/>
    <hyperlink ref="J728" r:id="rId440" xr:uid="{00000000-0004-0000-0000-0000B7010000}"/>
    <hyperlink ref="J729" r:id="rId441" xr:uid="{00000000-0004-0000-0000-0000B8010000}"/>
    <hyperlink ref="J731" r:id="rId442" xr:uid="{00000000-0004-0000-0000-0000B9010000}"/>
    <hyperlink ref="J735" r:id="rId443" xr:uid="{00000000-0004-0000-0000-0000BA010000}"/>
    <hyperlink ref="J737" r:id="rId444" xr:uid="{00000000-0004-0000-0000-0000BB010000}"/>
    <hyperlink ref="J739" r:id="rId445" xr:uid="{00000000-0004-0000-0000-0000BC010000}"/>
    <hyperlink ref="J740" r:id="rId446" xr:uid="{00000000-0004-0000-0000-0000BD010000}"/>
    <hyperlink ref="J741" r:id="rId447" xr:uid="{00000000-0004-0000-0000-0000BE010000}"/>
    <hyperlink ref="J742" r:id="rId448" xr:uid="{00000000-0004-0000-0000-0000BF010000}"/>
    <hyperlink ref="J743" r:id="rId449" xr:uid="{00000000-0004-0000-0000-0000C0010000}"/>
    <hyperlink ref="J744" r:id="rId450" xr:uid="{00000000-0004-0000-0000-0000C1010000}"/>
    <hyperlink ref="J747" r:id="rId451" xr:uid="{00000000-0004-0000-0000-0000C2010000}"/>
    <hyperlink ref="J748" r:id="rId452" xr:uid="{00000000-0004-0000-0000-0000C3010000}"/>
    <hyperlink ref="J749" r:id="rId453" xr:uid="{00000000-0004-0000-0000-0000C4010000}"/>
    <hyperlink ref="J750" r:id="rId454" xr:uid="{00000000-0004-0000-0000-0000C5010000}"/>
    <hyperlink ref="J751" r:id="rId455" xr:uid="{00000000-0004-0000-0000-0000C6010000}"/>
    <hyperlink ref="J752" r:id="rId456" xr:uid="{00000000-0004-0000-0000-0000C7010000}"/>
    <hyperlink ref="J753" r:id="rId457" xr:uid="{00000000-0004-0000-0000-0000C8010000}"/>
    <hyperlink ref="J754" r:id="rId458" xr:uid="{00000000-0004-0000-0000-0000C9010000}"/>
    <hyperlink ref="J756" r:id="rId459" xr:uid="{00000000-0004-0000-0000-0000CA010000}"/>
    <hyperlink ref="J757" r:id="rId460" xr:uid="{00000000-0004-0000-0000-0000CB010000}"/>
    <hyperlink ref="J758" r:id="rId461" xr:uid="{00000000-0004-0000-0000-0000CC010000}"/>
    <hyperlink ref="J759" r:id="rId462" xr:uid="{00000000-0004-0000-0000-0000CD010000}"/>
    <hyperlink ref="J760" r:id="rId463" xr:uid="{00000000-0004-0000-0000-0000CE010000}"/>
    <hyperlink ref="J761" r:id="rId464" xr:uid="{00000000-0004-0000-0000-0000CF010000}"/>
    <hyperlink ref="J762" r:id="rId465" xr:uid="{00000000-0004-0000-0000-0000D0010000}"/>
    <hyperlink ref="J763" r:id="rId466" xr:uid="{00000000-0004-0000-0000-0000D1010000}"/>
    <hyperlink ref="J765" r:id="rId467" xr:uid="{00000000-0004-0000-0000-0000D2010000}"/>
    <hyperlink ref="J767" r:id="rId468" xr:uid="{00000000-0004-0000-0000-0000D3010000}"/>
    <hyperlink ref="J768" r:id="rId469" xr:uid="{00000000-0004-0000-0000-0000D4010000}"/>
    <hyperlink ref="J770" r:id="rId470" xr:uid="{00000000-0004-0000-0000-0000D5010000}"/>
    <hyperlink ref="J771" r:id="rId471" xr:uid="{00000000-0004-0000-0000-0000D6010000}"/>
    <hyperlink ref="J774" r:id="rId472" xr:uid="{00000000-0004-0000-0000-0000D7010000}"/>
    <hyperlink ref="J775" r:id="rId473" xr:uid="{00000000-0004-0000-0000-0000D8010000}"/>
    <hyperlink ref="J779" r:id="rId474" xr:uid="{00000000-0004-0000-0000-0000D9010000}"/>
    <hyperlink ref="J782" r:id="rId475" xr:uid="{00000000-0004-0000-0000-0000DA010000}"/>
    <hyperlink ref="J784" r:id="rId476" xr:uid="{00000000-0004-0000-0000-0000DB010000}"/>
    <hyperlink ref="J785" r:id="rId477" xr:uid="{00000000-0004-0000-0000-0000DC010000}"/>
    <hyperlink ref="J786" r:id="rId478" xr:uid="{00000000-0004-0000-0000-0000DD010000}"/>
    <hyperlink ref="J790" r:id="rId479" xr:uid="{00000000-0004-0000-0000-0000DE010000}"/>
    <hyperlink ref="J791" r:id="rId480" xr:uid="{00000000-0004-0000-0000-0000DF010000}"/>
    <hyperlink ref="J794" r:id="rId481" xr:uid="{00000000-0004-0000-0000-0000E0010000}"/>
    <hyperlink ref="J795" r:id="rId482" xr:uid="{00000000-0004-0000-0000-0000E1010000}"/>
    <hyperlink ref="J797" r:id="rId483" xr:uid="{00000000-0004-0000-0000-0000E2010000}"/>
    <hyperlink ref="J800" r:id="rId484" xr:uid="{00000000-0004-0000-0000-0000E3010000}"/>
    <hyperlink ref="J801" r:id="rId485" xr:uid="{00000000-0004-0000-0000-0000E4010000}"/>
    <hyperlink ref="J803" r:id="rId486" xr:uid="{00000000-0004-0000-0000-0000E5010000}"/>
    <hyperlink ref="J804" r:id="rId487" xr:uid="{00000000-0004-0000-0000-0000E6010000}"/>
    <hyperlink ref="J805" r:id="rId488" xr:uid="{00000000-0004-0000-0000-0000E7010000}"/>
    <hyperlink ref="J808" r:id="rId489" xr:uid="{00000000-0004-0000-0000-0000E8010000}"/>
    <hyperlink ref="J812" r:id="rId490" xr:uid="{00000000-0004-0000-0000-0000E9010000}"/>
    <hyperlink ref="J813" r:id="rId491" xr:uid="{00000000-0004-0000-0000-0000EA010000}"/>
    <hyperlink ref="J814" r:id="rId492" xr:uid="{00000000-0004-0000-0000-0000EB010000}"/>
    <hyperlink ref="J817" r:id="rId493" xr:uid="{00000000-0004-0000-0000-0000EC010000}"/>
    <hyperlink ref="J819" r:id="rId494" xr:uid="{00000000-0004-0000-0000-0000ED010000}"/>
    <hyperlink ref="J820" r:id="rId495" xr:uid="{00000000-0004-0000-0000-0000EE010000}"/>
    <hyperlink ref="J821" r:id="rId496" xr:uid="{00000000-0004-0000-0000-0000EF010000}"/>
    <hyperlink ref="J824" r:id="rId497" xr:uid="{00000000-0004-0000-0000-0000F0010000}"/>
    <hyperlink ref="J825" r:id="rId498" xr:uid="{00000000-0004-0000-0000-0000F1010000}"/>
    <hyperlink ref="J826" r:id="rId499" xr:uid="{00000000-0004-0000-0000-0000F2010000}"/>
    <hyperlink ref="J827" r:id="rId500" xr:uid="{00000000-0004-0000-0000-0000F3010000}"/>
    <hyperlink ref="J829" r:id="rId501" xr:uid="{00000000-0004-0000-0000-0000F4010000}"/>
    <hyperlink ref="J831" r:id="rId502" xr:uid="{00000000-0004-0000-0000-0000F5010000}"/>
    <hyperlink ref="J833" r:id="rId503" xr:uid="{00000000-0004-0000-0000-0000F6010000}"/>
    <hyperlink ref="J837" r:id="rId504" xr:uid="{00000000-0004-0000-0000-0000F7010000}"/>
    <hyperlink ref="J840" r:id="rId505" xr:uid="{00000000-0004-0000-0000-0000F8010000}"/>
    <hyperlink ref="J841" r:id="rId506" xr:uid="{00000000-0004-0000-0000-0000F9010000}"/>
    <hyperlink ref="J842" r:id="rId507" xr:uid="{00000000-0004-0000-0000-0000FA010000}"/>
    <hyperlink ref="J844" r:id="rId508" xr:uid="{00000000-0004-0000-0000-0000FB010000}"/>
    <hyperlink ref="J848" r:id="rId509" xr:uid="{00000000-0004-0000-0000-0000FC010000}"/>
    <hyperlink ref="J849" r:id="rId510" xr:uid="{00000000-0004-0000-0000-0000FD010000}"/>
    <hyperlink ref="J851" r:id="rId511" xr:uid="{00000000-0004-0000-0000-0000FE010000}"/>
    <hyperlink ref="J853" r:id="rId512" xr:uid="{00000000-0004-0000-0000-0000FF010000}"/>
    <hyperlink ref="J855" r:id="rId513" xr:uid="{00000000-0004-0000-0000-000000020000}"/>
    <hyperlink ref="J860" r:id="rId514" xr:uid="{00000000-0004-0000-0000-000001020000}"/>
    <hyperlink ref="J861" r:id="rId515" xr:uid="{00000000-0004-0000-0000-000002020000}"/>
    <hyperlink ref="J863" r:id="rId516" xr:uid="{00000000-0004-0000-0000-000003020000}"/>
    <hyperlink ref="J864" r:id="rId517" xr:uid="{00000000-0004-0000-0000-000004020000}"/>
    <hyperlink ref="J865" r:id="rId518" xr:uid="{00000000-0004-0000-0000-000005020000}"/>
    <hyperlink ref="J866" r:id="rId519" xr:uid="{00000000-0004-0000-0000-000006020000}"/>
    <hyperlink ref="J871" r:id="rId520" xr:uid="{00000000-0004-0000-0000-000007020000}"/>
    <hyperlink ref="J874" r:id="rId521" xr:uid="{00000000-0004-0000-0000-000008020000}"/>
    <hyperlink ref="J875" r:id="rId522" xr:uid="{00000000-0004-0000-0000-000009020000}"/>
    <hyperlink ref="J877" r:id="rId523" xr:uid="{00000000-0004-0000-0000-00000A020000}"/>
    <hyperlink ref="J878" r:id="rId524" xr:uid="{00000000-0004-0000-0000-00000B020000}"/>
    <hyperlink ref="J879" r:id="rId525" xr:uid="{00000000-0004-0000-0000-00000C020000}"/>
    <hyperlink ref="J881" r:id="rId526" xr:uid="{00000000-0004-0000-0000-00000D020000}"/>
    <hyperlink ref="J882" r:id="rId527" xr:uid="{00000000-0004-0000-0000-00000E020000}"/>
    <hyperlink ref="J883" r:id="rId528" xr:uid="{00000000-0004-0000-0000-00000F020000}"/>
    <hyperlink ref="J885" r:id="rId529" xr:uid="{00000000-0004-0000-0000-000010020000}"/>
    <hyperlink ref="J886" r:id="rId530" xr:uid="{00000000-0004-0000-0000-000011020000}"/>
    <hyperlink ref="J888" r:id="rId531" xr:uid="{00000000-0004-0000-0000-000012020000}"/>
    <hyperlink ref="J890" r:id="rId532" xr:uid="{00000000-0004-0000-0000-000013020000}"/>
    <hyperlink ref="J891" r:id="rId533" xr:uid="{00000000-0004-0000-0000-000014020000}"/>
    <hyperlink ref="J892" r:id="rId534" xr:uid="{00000000-0004-0000-0000-000015020000}"/>
    <hyperlink ref="J894" r:id="rId535" xr:uid="{00000000-0004-0000-0000-000016020000}"/>
    <hyperlink ref="J895" r:id="rId536" xr:uid="{00000000-0004-0000-0000-000017020000}"/>
    <hyperlink ref="J896" r:id="rId537" xr:uid="{00000000-0004-0000-0000-000018020000}"/>
    <hyperlink ref="J141" r:id="rId538" xr:uid="{08E49B8B-AB87-44CE-BD88-6A72072643F3}"/>
    <hyperlink ref="J558" r:id="rId539" xr:uid="{613E919C-99D5-4936-BD6E-E1B66FD364CC}"/>
    <hyperlink ref="J830" r:id="rId540" xr:uid="{E1E31E7C-5F84-456C-A725-1102F7BDFFA9}"/>
    <hyperlink ref="J340" r:id="rId541" xr:uid="{5B8526DA-B3CA-4EDD-8B84-1FB063CB34A6}"/>
    <hyperlink ref="J540" r:id="rId542" xr:uid="{4863D5B6-519D-4E1A-9424-9DAA192EB2F3}"/>
    <hyperlink ref="J168" r:id="rId543" xr:uid="{19307F1E-725C-4350-9F21-BBD4EC653E57}"/>
    <hyperlink ref="J235" r:id="rId544" xr:uid="{A0B1F6E9-F5A5-41CA-94C6-0DB2795B6D97}"/>
    <hyperlink ref="J857" r:id="rId545" xr:uid="{D3DC6B32-2913-4474-A207-EC23EF7C13A0}"/>
    <hyperlink ref="J711" r:id="rId546" xr:uid="{E6533295-AEB0-4582-96BC-AB1C31608544}"/>
    <hyperlink ref="J350" r:id="rId547" xr:uid="{107DEEB3-057C-4FEB-BCF1-E2DAB94E6F4E}"/>
    <hyperlink ref="J713" r:id="rId548" xr:uid="{83E867E7-804D-467B-82B9-5BA5921CE73F}"/>
    <hyperlink ref="J435" r:id="rId549" xr:uid="{E2F21C55-8B73-4F19-847B-9F98DB332EAE}"/>
    <hyperlink ref="J254" r:id="rId550" xr:uid="{329075B2-60F0-4BC2-9885-87D0F6DA2532}"/>
    <hyperlink ref="J589" r:id="rId551" xr:uid="{29C1BA05-6D3C-4DB9-ACCA-BACF951FFCF2}"/>
    <hyperlink ref="J18" r:id="rId552" xr:uid="{B1E80D83-91E1-4C19-BEF8-B703E9D0175F}"/>
    <hyperlink ref="J602" r:id="rId553" xr:uid="{F303BDB3-5201-4543-9648-08791ABDB3FE}"/>
    <hyperlink ref="J548" r:id="rId554" xr:uid="{F3C83FBE-7599-4D8D-98B4-DEECC58B1D37}"/>
    <hyperlink ref="J595" r:id="rId555" xr:uid="{383C2980-826A-4E46-9851-E40F883782B5}"/>
    <hyperlink ref="J613" r:id="rId556" xr:uid="{19EED455-3B7D-449F-85DE-CBD241AA8B10}"/>
    <hyperlink ref="J787" r:id="rId557" xr:uid="{9E30504A-97C5-46EA-9ADF-AE454DEB581B}"/>
    <hyperlink ref="J668" r:id="rId558" xr:uid="{E8B34758-00B4-43F3-BA4F-CEBBE79FC242}"/>
    <hyperlink ref="J683" r:id="rId559" xr:uid="{5A04ABF3-4935-4035-823B-C911F62C0AD5}"/>
    <hyperlink ref="J65" r:id="rId560" xr:uid="{AFB88A0E-7CB4-42A0-8B90-6B191939BC9F}"/>
    <hyperlink ref="J192" r:id="rId561" xr:uid="{1576A441-276D-4899-A6CE-6A87E32139DA}"/>
    <hyperlink ref="J419" r:id="rId562" xr:uid="{05DAEC17-A7F8-4842-9CEA-39134B2BD9B8}"/>
    <hyperlink ref="J802" r:id="rId563" xr:uid="{60DC6AFA-F684-4D60-B31F-CA3BC377A4C4}"/>
    <hyperlink ref="J405" r:id="rId564" xr:uid="{83C75E3D-2420-4744-880A-C445E4900CA5}"/>
    <hyperlink ref="J242" r:id="rId565" xr:uid="{15EB7BDE-1EA2-47E7-9B46-41BED1F5E9C7}"/>
    <hyperlink ref="J389" r:id="rId566" xr:uid="{E2DCC958-C941-43FF-800D-77191DB9CDA3}"/>
    <hyperlink ref="J75" r:id="rId567" xr:uid="{CAA3CDF3-927D-48C3-9A57-154E10ADA3A9}"/>
    <hyperlink ref="J423" r:id="rId568" xr:uid="{7383201A-98AF-4897-BC53-16F52C40DD15}"/>
    <hyperlink ref="J417" r:id="rId569" xr:uid="{6BC662B8-39A2-48AE-B1FB-7E65A53B6CFA}"/>
    <hyperlink ref="J586" r:id="rId570" xr:uid="{EA1D64FF-A635-48FB-8FE3-3DAEC0661DDD}"/>
    <hyperlink ref="J710" r:id="rId571" xr:uid="{4FEAC80D-0062-42F7-A8AC-2235456304AC}"/>
    <hyperlink ref="J27" r:id="rId572" xr:uid="{87F7525E-206C-4CE2-838E-D526179D44E9}"/>
    <hyperlink ref="J823" r:id="rId573" xr:uid="{AC413CB7-944C-4B86-A1CE-939EF2BC8A8E}"/>
    <hyperlink ref="J555" r:id="rId574" xr:uid="{C8542F65-93AB-4E4A-A5D5-765CA6631289}"/>
    <hyperlink ref="J132" r:id="rId575" xr:uid="{F5C46010-8F43-4D6D-8244-ADAE109EFB61}"/>
    <hyperlink ref="J745" r:id="rId576" xr:uid="{4C630EA0-6037-4A15-9250-F2BE93B3F445}"/>
    <hyperlink ref="J792" r:id="rId577" xr:uid="{0458BECB-B19A-4DBF-8191-5957E5571B68}"/>
    <hyperlink ref="J348" r:id="rId578" xr:uid="{D851FA6F-78E8-45A7-89CD-74768FD7FE98}"/>
    <hyperlink ref="J53" r:id="rId579" xr:uid="{9563617C-E7C6-48E4-9A11-516BAD696086}"/>
    <hyperlink ref="J788" r:id="rId580" xr:uid="{FBAE9485-01DE-4708-949B-19EA67B27899}"/>
    <hyperlink ref="J214" r:id="rId581" xr:uid="{86A723EC-ECF5-4194-AC26-E60E03B562CE}"/>
    <hyperlink ref="J38" r:id="rId582" xr:uid="{DA79EC17-EBF2-4B6B-9EA8-A6A8E6F7E613}"/>
    <hyperlink ref="J287" r:id="rId583" xr:uid="{E7B35C2B-58D6-4CE5-960A-5A41E3DDF317}"/>
    <hyperlink ref="J726" r:id="rId584" xr:uid="{1C99CD87-086F-45AC-96A2-BC486C5DB756}"/>
    <hyperlink ref="J734" r:id="rId585" xr:uid="{B8B4D480-4229-4F08-993A-60EC6E1B90C9}"/>
    <hyperlink ref="J687" r:id="rId586" xr:uid="{3C7C8D86-F171-4E35-84E4-D205C8979876}"/>
    <hyperlink ref="J666" r:id="rId587" xr:uid="{4C6843DB-D27F-4A4F-8A70-54163BD5DA93}"/>
    <hyperlink ref="J652" r:id="rId588" xr:uid="{47CD558E-17EF-46B7-907E-AF7B25FB6DD7}"/>
    <hyperlink ref="J203" r:id="rId589" xr:uid="{2EF8F3BC-1380-4DF8-9FB4-A7261A89E970}"/>
  </hyperlinks>
  <pageMargins left="0.7" right="0.7" top="0.75" bottom="0.75" header="0.511811023622047" footer="0.511811023622047"/>
  <pageSetup orientation="portrait" horizontalDpi="300" verticalDpi="300"/>
  <tableParts count="1">
    <tablePart r:id="rId59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460"/>
  <sheetViews>
    <sheetView tabSelected="1" topLeftCell="A1434" zoomScaleNormal="100" workbookViewId="0">
      <selection activeCell="D1472" sqref="D1472"/>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s>
  <sheetData>
    <row r="1" spans="1:6" x14ac:dyDescent="0.25">
      <c r="A1" t="s">
        <v>2976</v>
      </c>
      <c r="B1" t="s">
        <v>2977</v>
      </c>
      <c r="C1" t="s">
        <v>2978</v>
      </c>
      <c r="D1" t="s">
        <v>2979</v>
      </c>
      <c r="E1" t="s">
        <v>2980</v>
      </c>
      <c r="F1" t="s">
        <v>8441</v>
      </c>
    </row>
    <row r="2" spans="1:6" x14ac:dyDescent="0.25">
      <c r="A2" t="s">
        <v>178</v>
      </c>
      <c r="B2" t="s">
        <v>337</v>
      </c>
      <c r="C2">
        <v>2010</v>
      </c>
      <c r="D2" t="s">
        <v>187</v>
      </c>
    </row>
    <row r="3" spans="1:6" x14ac:dyDescent="0.25">
      <c r="A3" t="s">
        <v>178</v>
      </c>
      <c r="B3" t="s">
        <v>2039</v>
      </c>
      <c r="C3">
        <v>2010</v>
      </c>
      <c r="E3" t="s">
        <v>2981</v>
      </c>
    </row>
    <row r="4" spans="1:6" x14ac:dyDescent="0.25">
      <c r="A4" t="s">
        <v>185</v>
      </c>
      <c r="B4" t="s">
        <v>889</v>
      </c>
      <c r="C4">
        <v>2022</v>
      </c>
      <c r="E4" t="s">
        <v>2982</v>
      </c>
      <c r="F4" t="s">
        <v>8442</v>
      </c>
    </row>
    <row r="5" spans="1:6" x14ac:dyDescent="0.25">
      <c r="A5" t="s">
        <v>185</v>
      </c>
      <c r="B5" t="s">
        <v>7654</v>
      </c>
      <c r="C5">
        <v>2022</v>
      </c>
      <c r="E5" t="s">
        <v>7657</v>
      </c>
    </row>
    <row r="6" spans="1:6" x14ac:dyDescent="0.25">
      <c r="A6" t="s">
        <v>185</v>
      </c>
      <c r="B6" t="s">
        <v>2158</v>
      </c>
      <c r="C6">
        <v>2022</v>
      </c>
      <c r="E6" t="s">
        <v>2983</v>
      </c>
      <c r="F6" t="s">
        <v>8443</v>
      </c>
    </row>
    <row r="7" spans="1:6" x14ac:dyDescent="0.25">
      <c r="A7" t="s">
        <v>185</v>
      </c>
      <c r="B7" t="s">
        <v>2365</v>
      </c>
      <c r="C7">
        <v>2022</v>
      </c>
      <c r="E7" s="10" t="s">
        <v>2368</v>
      </c>
      <c r="F7" t="s">
        <v>9315</v>
      </c>
    </row>
    <row r="8" spans="1:6" x14ac:dyDescent="0.25">
      <c r="A8" t="s">
        <v>185</v>
      </c>
      <c r="B8" t="s">
        <v>2463</v>
      </c>
      <c r="C8">
        <v>2022</v>
      </c>
      <c r="E8" s="10" t="s">
        <v>2466</v>
      </c>
      <c r="F8" t="s">
        <v>9267</v>
      </c>
    </row>
    <row r="9" spans="1:6" x14ac:dyDescent="0.25">
      <c r="A9" t="s">
        <v>190</v>
      </c>
      <c r="B9" t="s">
        <v>194</v>
      </c>
      <c r="C9">
        <v>2017</v>
      </c>
      <c r="D9" t="s">
        <v>187</v>
      </c>
    </row>
    <row r="10" spans="1:6" x14ac:dyDescent="0.25">
      <c r="A10" t="s">
        <v>205</v>
      </c>
      <c r="B10" t="s">
        <v>202</v>
      </c>
      <c r="C10">
        <v>2015</v>
      </c>
      <c r="D10" t="s">
        <v>187</v>
      </c>
    </row>
    <row r="11" spans="1:6" x14ac:dyDescent="0.25">
      <c r="A11" t="s">
        <v>205</v>
      </c>
      <c r="B11" t="s">
        <v>7839</v>
      </c>
      <c r="C11">
        <v>2015</v>
      </c>
      <c r="E11" s="10" t="s">
        <v>8379</v>
      </c>
      <c r="F11" t="s">
        <v>9254</v>
      </c>
    </row>
    <row r="12" spans="1:6" x14ac:dyDescent="0.25">
      <c r="A12" t="s">
        <v>209</v>
      </c>
      <c r="B12" t="s">
        <v>2695</v>
      </c>
      <c r="C12">
        <v>2024</v>
      </c>
      <c r="E12" t="s">
        <v>2984</v>
      </c>
      <c r="F12" t="s">
        <v>8444</v>
      </c>
    </row>
    <row r="13" spans="1:6" x14ac:dyDescent="0.25">
      <c r="A13" t="s">
        <v>237</v>
      </c>
      <c r="B13" t="s">
        <v>2667</v>
      </c>
      <c r="C13">
        <v>2021</v>
      </c>
      <c r="E13" t="s">
        <v>2985</v>
      </c>
      <c r="F13" t="s">
        <v>8445</v>
      </c>
    </row>
    <row r="14" spans="1:6" x14ac:dyDescent="0.25">
      <c r="A14" t="s">
        <v>241</v>
      </c>
      <c r="B14" t="s">
        <v>1704</v>
      </c>
      <c r="C14">
        <v>2025</v>
      </c>
      <c r="E14" t="s">
        <v>2986</v>
      </c>
    </row>
    <row r="15" spans="1:6" x14ac:dyDescent="0.25">
      <c r="A15" t="s">
        <v>256</v>
      </c>
      <c r="B15" t="s">
        <v>553</v>
      </c>
      <c r="C15">
        <v>1994</v>
      </c>
    </row>
    <row r="16" spans="1:6" x14ac:dyDescent="0.25">
      <c r="A16" t="s">
        <v>256</v>
      </c>
      <c r="B16" t="s">
        <v>656</v>
      </c>
      <c r="C16">
        <v>1994</v>
      </c>
      <c r="E16" t="s">
        <v>2987</v>
      </c>
    </row>
    <row r="17" spans="1:6" x14ac:dyDescent="0.25">
      <c r="A17" t="s">
        <v>256</v>
      </c>
      <c r="B17" t="s">
        <v>984</v>
      </c>
      <c r="C17">
        <v>1994</v>
      </c>
      <c r="E17" t="s">
        <v>2988</v>
      </c>
    </row>
    <row r="18" spans="1:6" x14ac:dyDescent="0.25">
      <c r="A18" t="s">
        <v>256</v>
      </c>
      <c r="B18" t="s">
        <v>1027</v>
      </c>
      <c r="C18">
        <v>1994</v>
      </c>
    </row>
    <row r="19" spans="1:6" x14ac:dyDescent="0.25">
      <c r="A19" t="s">
        <v>256</v>
      </c>
      <c r="B19" t="s">
        <v>1141</v>
      </c>
      <c r="C19">
        <v>1994</v>
      </c>
      <c r="E19" t="s">
        <v>2989</v>
      </c>
      <c r="F19" t="s">
        <v>8446</v>
      </c>
    </row>
    <row r="20" spans="1:6" x14ac:dyDescent="0.25">
      <c r="A20" t="s">
        <v>256</v>
      </c>
      <c r="B20" t="s">
        <v>1177</v>
      </c>
      <c r="C20">
        <v>1994</v>
      </c>
      <c r="E20" t="s">
        <v>2990</v>
      </c>
      <c r="F20" t="s">
        <v>8447</v>
      </c>
    </row>
    <row r="21" spans="1:6" x14ac:dyDescent="0.25">
      <c r="A21" t="s">
        <v>256</v>
      </c>
      <c r="B21" t="s">
        <v>1400</v>
      </c>
      <c r="C21">
        <v>1994</v>
      </c>
      <c r="E21" t="s">
        <v>2991</v>
      </c>
      <c r="F21" t="s">
        <v>8448</v>
      </c>
    </row>
    <row r="22" spans="1:6" x14ac:dyDescent="0.25">
      <c r="A22" t="s">
        <v>256</v>
      </c>
      <c r="B22" t="s">
        <v>1420</v>
      </c>
      <c r="C22">
        <v>1994</v>
      </c>
      <c r="E22" t="s">
        <v>2992</v>
      </c>
    </row>
    <row r="23" spans="1:6" x14ac:dyDescent="0.25">
      <c r="A23" t="s">
        <v>256</v>
      </c>
      <c r="B23" t="s">
        <v>1482</v>
      </c>
      <c r="C23">
        <v>1994</v>
      </c>
      <c r="E23" t="s">
        <v>2982</v>
      </c>
      <c r="F23" t="s">
        <v>8449</v>
      </c>
    </row>
    <row r="24" spans="1:6" x14ac:dyDescent="0.25">
      <c r="A24" t="s">
        <v>256</v>
      </c>
      <c r="B24" t="s">
        <v>1520</v>
      </c>
      <c r="C24">
        <v>1994</v>
      </c>
      <c r="E24" t="s">
        <v>2993</v>
      </c>
      <c r="F24" t="s">
        <v>8450</v>
      </c>
    </row>
    <row r="25" spans="1:6" x14ac:dyDescent="0.25">
      <c r="A25" t="s">
        <v>256</v>
      </c>
      <c r="B25" t="s">
        <v>1719</v>
      </c>
      <c r="C25">
        <v>1994</v>
      </c>
      <c r="E25" t="s">
        <v>2982</v>
      </c>
      <c r="F25" t="s">
        <v>8451</v>
      </c>
    </row>
    <row r="26" spans="1:6" x14ac:dyDescent="0.25">
      <c r="A26" t="s">
        <v>256</v>
      </c>
      <c r="B26" t="s">
        <v>2023</v>
      </c>
      <c r="C26">
        <v>1994</v>
      </c>
      <c r="E26" t="s">
        <v>2994</v>
      </c>
      <c r="F26" t="s">
        <v>8452</v>
      </c>
    </row>
    <row r="27" spans="1:6" x14ac:dyDescent="0.25">
      <c r="A27" t="s">
        <v>256</v>
      </c>
      <c r="B27" t="s">
        <v>2160</v>
      </c>
      <c r="C27">
        <v>1994</v>
      </c>
      <c r="E27" t="s">
        <v>2995</v>
      </c>
    </row>
    <row r="28" spans="1:6" x14ac:dyDescent="0.25">
      <c r="A28" t="s">
        <v>256</v>
      </c>
      <c r="B28" t="s">
        <v>2276</v>
      </c>
      <c r="C28">
        <v>1994</v>
      </c>
      <c r="E28" t="s">
        <v>2996</v>
      </c>
      <c r="F28" t="s">
        <v>8453</v>
      </c>
    </row>
    <row r="29" spans="1:6" x14ac:dyDescent="0.25">
      <c r="A29" t="s">
        <v>256</v>
      </c>
      <c r="B29" t="s">
        <v>2393</v>
      </c>
      <c r="C29">
        <v>1994</v>
      </c>
      <c r="E29" t="s">
        <v>2997</v>
      </c>
      <c r="F29" t="s">
        <v>8454</v>
      </c>
    </row>
    <row r="30" spans="1:6" x14ac:dyDescent="0.25">
      <c r="A30" t="s">
        <v>256</v>
      </c>
      <c r="B30" t="s">
        <v>2447</v>
      </c>
      <c r="C30">
        <v>1994</v>
      </c>
      <c r="E30" t="s">
        <v>2998</v>
      </c>
      <c r="F30" t="s">
        <v>8455</v>
      </c>
    </row>
    <row r="31" spans="1:6" x14ac:dyDescent="0.25">
      <c r="A31" t="s">
        <v>256</v>
      </c>
      <c r="B31" t="s">
        <v>2481</v>
      </c>
      <c r="C31">
        <v>1994</v>
      </c>
      <c r="E31" t="s">
        <v>2999</v>
      </c>
    </row>
    <row r="32" spans="1:6" x14ac:dyDescent="0.25">
      <c r="A32" t="s">
        <v>256</v>
      </c>
      <c r="B32" t="s">
        <v>2771</v>
      </c>
      <c r="C32">
        <v>1994</v>
      </c>
    </row>
    <row r="33" spans="1:6" x14ac:dyDescent="0.25">
      <c r="A33" t="s">
        <v>260</v>
      </c>
      <c r="B33" t="s">
        <v>517</v>
      </c>
      <c r="C33">
        <v>1990</v>
      </c>
      <c r="E33" t="s">
        <v>3000</v>
      </c>
      <c r="F33" t="s">
        <v>8456</v>
      </c>
    </row>
    <row r="34" spans="1:6" x14ac:dyDescent="0.25">
      <c r="A34" t="s">
        <v>260</v>
      </c>
      <c r="B34" t="s">
        <v>656</v>
      </c>
      <c r="C34">
        <v>1990</v>
      </c>
      <c r="E34" t="s">
        <v>3001</v>
      </c>
      <c r="F34" t="s">
        <v>8457</v>
      </c>
    </row>
    <row r="35" spans="1:6" x14ac:dyDescent="0.25">
      <c r="A35" t="s">
        <v>260</v>
      </c>
      <c r="B35" t="s">
        <v>847</v>
      </c>
      <c r="C35">
        <v>1990</v>
      </c>
      <c r="E35" t="s">
        <v>3002</v>
      </c>
      <c r="F35" t="s">
        <v>8458</v>
      </c>
    </row>
    <row r="36" spans="1:6" x14ac:dyDescent="0.25">
      <c r="A36" t="s">
        <v>260</v>
      </c>
      <c r="B36" t="s">
        <v>984</v>
      </c>
      <c r="C36">
        <v>1990</v>
      </c>
      <c r="E36" t="s">
        <v>2988</v>
      </c>
    </row>
    <row r="37" spans="1:6" x14ac:dyDescent="0.25">
      <c r="A37" t="s">
        <v>260</v>
      </c>
      <c r="B37" t="s">
        <v>1027</v>
      </c>
      <c r="C37">
        <v>1990</v>
      </c>
    </row>
    <row r="38" spans="1:6" x14ac:dyDescent="0.25">
      <c r="A38" t="s">
        <v>260</v>
      </c>
      <c r="B38" t="s">
        <v>1420</v>
      </c>
      <c r="C38">
        <v>1990</v>
      </c>
      <c r="E38" t="s">
        <v>2992</v>
      </c>
    </row>
    <row r="39" spans="1:6" x14ac:dyDescent="0.25">
      <c r="A39" t="s">
        <v>260</v>
      </c>
      <c r="B39" t="s">
        <v>1425</v>
      </c>
      <c r="C39">
        <v>1990</v>
      </c>
      <c r="E39" t="s">
        <v>2982</v>
      </c>
    </row>
    <row r="40" spans="1:6" x14ac:dyDescent="0.25">
      <c r="A40" t="s">
        <v>260</v>
      </c>
      <c r="B40" t="s">
        <v>1520</v>
      </c>
      <c r="C40">
        <v>1990</v>
      </c>
      <c r="E40" t="s">
        <v>2993</v>
      </c>
      <c r="F40" t="s">
        <v>8459</v>
      </c>
    </row>
    <row r="41" spans="1:6" x14ac:dyDescent="0.25">
      <c r="A41" t="s">
        <v>260</v>
      </c>
      <c r="B41" t="s">
        <v>2023</v>
      </c>
      <c r="C41">
        <v>1990</v>
      </c>
      <c r="E41" t="s">
        <v>2994</v>
      </c>
      <c r="F41" t="s">
        <v>8460</v>
      </c>
    </row>
    <row r="42" spans="1:6" x14ac:dyDescent="0.25">
      <c r="A42" t="s">
        <v>260</v>
      </c>
      <c r="B42" t="s">
        <v>2330</v>
      </c>
      <c r="C42">
        <v>1990</v>
      </c>
      <c r="E42" t="s">
        <v>3003</v>
      </c>
      <c r="F42" t="s">
        <v>8461</v>
      </c>
    </row>
    <row r="43" spans="1:6" x14ac:dyDescent="0.25">
      <c r="A43" t="s">
        <v>260</v>
      </c>
      <c r="B43" t="s">
        <v>2634</v>
      </c>
      <c r="C43">
        <v>1990</v>
      </c>
      <c r="E43" t="s">
        <v>3004</v>
      </c>
      <c r="F43" t="s">
        <v>8462</v>
      </c>
    </row>
    <row r="44" spans="1:6" x14ac:dyDescent="0.25">
      <c r="A44" t="s">
        <v>260</v>
      </c>
      <c r="B44" t="s">
        <v>2947</v>
      </c>
      <c r="C44">
        <v>1990</v>
      </c>
      <c r="E44" t="s">
        <v>3005</v>
      </c>
      <c r="F44" t="s">
        <v>8463</v>
      </c>
    </row>
    <row r="45" spans="1:6" x14ac:dyDescent="0.25">
      <c r="A45" t="s">
        <v>260</v>
      </c>
      <c r="B45" t="s">
        <v>2962</v>
      </c>
      <c r="C45">
        <v>1990</v>
      </c>
      <c r="E45" t="s">
        <v>3006</v>
      </c>
      <c r="F45" t="s">
        <v>8464</v>
      </c>
    </row>
    <row r="46" spans="1:6" x14ac:dyDescent="0.25">
      <c r="A46" t="s">
        <v>260</v>
      </c>
      <c r="B46" t="s">
        <v>2972</v>
      </c>
      <c r="C46">
        <v>1990</v>
      </c>
      <c r="E46" t="s">
        <v>2982</v>
      </c>
      <c r="F46" t="s">
        <v>8465</v>
      </c>
    </row>
    <row r="47" spans="1:6" x14ac:dyDescent="0.25">
      <c r="A47" t="s">
        <v>263</v>
      </c>
      <c r="B47" t="s">
        <v>268</v>
      </c>
      <c r="C47">
        <v>2022</v>
      </c>
      <c r="D47" t="s">
        <v>187</v>
      </c>
    </row>
    <row r="48" spans="1:6" x14ac:dyDescent="0.25">
      <c r="A48" t="s">
        <v>323</v>
      </c>
      <c r="B48" t="s">
        <v>2643</v>
      </c>
      <c r="C48">
        <v>2020</v>
      </c>
      <c r="E48" t="s">
        <v>3007</v>
      </c>
      <c r="F48" t="s">
        <v>8466</v>
      </c>
    </row>
    <row r="49" spans="1:6" x14ac:dyDescent="0.25">
      <c r="A49" t="s">
        <v>333</v>
      </c>
      <c r="B49" t="s">
        <v>1958</v>
      </c>
      <c r="C49">
        <v>2020</v>
      </c>
      <c r="E49" t="s">
        <v>1961</v>
      </c>
      <c r="F49" t="s">
        <v>8467</v>
      </c>
    </row>
    <row r="50" spans="1:6" x14ac:dyDescent="0.25">
      <c r="A50" t="s">
        <v>337</v>
      </c>
      <c r="B50" t="s">
        <v>2049</v>
      </c>
      <c r="C50">
        <v>2014</v>
      </c>
      <c r="E50" t="s">
        <v>3008</v>
      </c>
    </row>
    <row r="51" spans="1:6" x14ac:dyDescent="0.25">
      <c r="A51" t="s">
        <v>341</v>
      </c>
      <c r="B51" t="s">
        <v>1317</v>
      </c>
      <c r="C51">
        <v>1997</v>
      </c>
      <c r="E51" t="s">
        <v>3009</v>
      </c>
    </row>
    <row r="52" spans="1:6" x14ac:dyDescent="0.25">
      <c r="A52" t="s">
        <v>341</v>
      </c>
      <c r="B52" t="s">
        <v>2537</v>
      </c>
      <c r="C52">
        <v>1997</v>
      </c>
      <c r="E52" t="s">
        <v>3010</v>
      </c>
      <c r="F52" t="s">
        <v>8468</v>
      </c>
    </row>
    <row r="53" spans="1:6" x14ac:dyDescent="0.25">
      <c r="A53" t="s">
        <v>341</v>
      </c>
      <c r="B53" t="s">
        <v>2587</v>
      </c>
      <c r="C53">
        <v>1997</v>
      </c>
      <c r="D53" t="s">
        <v>187</v>
      </c>
    </row>
    <row r="54" spans="1:6" x14ac:dyDescent="0.25">
      <c r="A54" t="s">
        <v>344</v>
      </c>
      <c r="B54" t="s">
        <v>1330</v>
      </c>
      <c r="C54">
        <v>2023</v>
      </c>
      <c r="E54" t="s">
        <v>2982</v>
      </c>
      <c r="F54" t="s">
        <v>8469</v>
      </c>
    </row>
    <row r="55" spans="1:6" x14ac:dyDescent="0.25">
      <c r="A55" t="s">
        <v>344</v>
      </c>
      <c r="B55" t="s">
        <v>1503</v>
      </c>
      <c r="C55">
        <v>2023</v>
      </c>
      <c r="E55" t="s">
        <v>3011</v>
      </c>
    </row>
    <row r="56" spans="1:6" x14ac:dyDescent="0.25">
      <c r="A56" t="s">
        <v>344</v>
      </c>
      <c r="B56" t="s">
        <v>1559</v>
      </c>
      <c r="C56">
        <v>2023</v>
      </c>
      <c r="E56" t="s">
        <v>3012</v>
      </c>
      <c r="F56" t="s">
        <v>8470</v>
      </c>
    </row>
    <row r="57" spans="1:6" x14ac:dyDescent="0.25">
      <c r="A57" t="s">
        <v>344</v>
      </c>
      <c r="B57" t="s">
        <v>1863</v>
      </c>
      <c r="C57">
        <v>2023</v>
      </c>
      <c r="E57" t="s">
        <v>2982</v>
      </c>
      <c r="F57" t="s">
        <v>8471</v>
      </c>
    </row>
    <row r="58" spans="1:6" x14ac:dyDescent="0.25">
      <c r="A58" t="s">
        <v>344</v>
      </c>
      <c r="B58" t="s">
        <v>2187</v>
      </c>
      <c r="C58">
        <v>2023</v>
      </c>
      <c r="E58" s="10" t="s">
        <v>8383</v>
      </c>
      <c r="F58" t="s">
        <v>9262</v>
      </c>
    </row>
    <row r="59" spans="1:6" x14ac:dyDescent="0.25">
      <c r="A59" t="s">
        <v>344</v>
      </c>
      <c r="B59" t="s">
        <v>2695</v>
      </c>
      <c r="C59">
        <v>2023</v>
      </c>
      <c r="E59" t="s">
        <v>2984</v>
      </c>
      <c r="F59" t="s">
        <v>8472</v>
      </c>
    </row>
    <row r="60" spans="1:6" x14ac:dyDescent="0.25">
      <c r="A60" t="s">
        <v>344</v>
      </c>
      <c r="B60" t="s">
        <v>2755</v>
      </c>
      <c r="C60">
        <v>2023</v>
      </c>
      <c r="E60" t="s">
        <v>3013</v>
      </c>
    </row>
    <row r="61" spans="1:6" x14ac:dyDescent="0.25">
      <c r="A61" t="s">
        <v>344</v>
      </c>
      <c r="B61" t="s">
        <v>2763</v>
      </c>
      <c r="C61">
        <v>2023</v>
      </c>
      <c r="E61" t="s">
        <v>3014</v>
      </c>
    </row>
    <row r="62" spans="1:6" x14ac:dyDescent="0.25">
      <c r="A62" t="s">
        <v>346</v>
      </c>
      <c r="B62" t="s">
        <v>344</v>
      </c>
      <c r="C62">
        <v>2022</v>
      </c>
      <c r="E62" t="s">
        <v>3015</v>
      </c>
      <c r="F62" t="s">
        <v>8473</v>
      </c>
    </row>
    <row r="63" spans="1:6" x14ac:dyDescent="0.25">
      <c r="A63" t="s">
        <v>346</v>
      </c>
      <c r="B63" t="s">
        <v>372</v>
      </c>
      <c r="C63">
        <v>2022</v>
      </c>
      <c r="E63" t="s">
        <v>3016</v>
      </c>
      <c r="F63" t="s">
        <v>8474</v>
      </c>
    </row>
    <row r="64" spans="1:6" x14ac:dyDescent="0.25">
      <c r="A64" t="s">
        <v>346</v>
      </c>
      <c r="B64" t="s">
        <v>1111</v>
      </c>
      <c r="C64">
        <v>2022</v>
      </c>
      <c r="E64" s="10" t="s">
        <v>8360</v>
      </c>
      <c r="F64" t="s">
        <v>9221</v>
      </c>
    </row>
    <row r="65" spans="1:6" x14ac:dyDescent="0.25">
      <c r="A65" t="s">
        <v>346</v>
      </c>
      <c r="B65" t="s">
        <v>1211</v>
      </c>
      <c r="C65">
        <v>2022</v>
      </c>
      <c r="E65" s="10" t="s">
        <v>8375</v>
      </c>
      <c r="F65" t="s">
        <v>9248</v>
      </c>
    </row>
    <row r="66" spans="1:6" x14ac:dyDescent="0.25">
      <c r="A66" t="s">
        <v>346</v>
      </c>
      <c r="B66" t="s">
        <v>1711</v>
      </c>
      <c r="C66">
        <v>2022</v>
      </c>
      <c r="D66" t="s">
        <v>187</v>
      </c>
    </row>
    <row r="67" spans="1:6" x14ac:dyDescent="0.25">
      <c r="A67" t="s">
        <v>346</v>
      </c>
      <c r="B67" t="s">
        <v>2187</v>
      </c>
      <c r="C67">
        <v>2022</v>
      </c>
      <c r="E67" t="s">
        <v>3017</v>
      </c>
      <c r="F67" t="s">
        <v>8475</v>
      </c>
    </row>
    <row r="68" spans="1:6" x14ac:dyDescent="0.25">
      <c r="A68" t="s">
        <v>346</v>
      </c>
      <c r="B68" t="s">
        <v>2431</v>
      </c>
      <c r="C68">
        <v>2022</v>
      </c>
      <c r="E68" t="s">
        <v>2982</v>
      </c>
      <c r="F68" t="s">
        <v>8476</v>
      </c>
    </row>
    <row r="69" spans="1:6" x14ac:dyDescent="0.25">
      <c r="A69" t="s">
        <v>350</v>
      </c>
      <c r="B69" t="s">
        <v>2560</v>
      </c>
      <c r="C69">
        <v>2018</v>
      </c>
      <c r="E69" t="s">
        <v>2982</v>
      </c>
      <c r="F69" t="s">
        <v>8477</v>
      </c>
    </row>
    <row r="70" spans="1:6" x14ac:dyDescent="0.25">
      <c r="A70" t="s">
        <v>350</v>
      </c>
      <c r="B70" t="s">
        <v>7853</v>
      </c>
      <c r="C70">
        <v>2018</v>
      </c>
      <c r="E70" t="s">
        <v>7856</v>
      </c>
      <c r="F70" t="s">
        <v>8478</v>
      </c>
    </row>
    <row r="71" spans="1:6" x14ac:dyDescent="0.25">
      <c r="A71" t="s">
        <v>353</v>
      </c>
      <c r="B71" t="s">
        <v>270</v>
      </c>
      <c r="C71">
        <v>2023</v>
      </c>
      <c r="E71" s="10" t="s">
        <v>8369</v>
      </c>
      <c r="F71" t="s">
        <v>8479</v>
      </c>
    </row>
    <row r="72" spans="1:6" x14ac:dyDescent="0.25">
      <c r="A72" t="s">
        <v>353</v>
      </c>
      <c r="B72" t="s">
        <v>391</v>
      </c>
      <c r="C72">
        <v>2023</v>
      </c>
      <c r="E72" t="s">
        <v>3018</v>
      </c>
    </row>
    <row r="73" spans="1:6" x14ac:dyDescent="0.25">
      <c r="A73" t="s">
        <v>353</v>
      </c>
      <c r="B73" t="s">
        <v>419</v>
      </c>
      <c r="C73">
        <v>2023</v>
      </c>
      <c r="E73" t="s">
        <v>3019</v>
      </c>
      <c r="F73" t="s">
        <v>8480</v>
      </c>
    </row>
    <row r="74" spans="1:6" x14ac:dyDescent="0.25">
      <c r="A74" t="s">
        <v>353</v>
      </c>
      <c r="B74" t="s">
        <v>421</v>
      </c>
      <c r="C74">
        <v>2023</v>
      </c>
      <c r="E74" t="s">
        <v>2982</v>
      </c>
      <c r="F74" t="s">
        <v>8481</v>
      </c>
    </row>
    <row r="75" spans="1:6" x14ac:dyDescent="0.25">
      <c r="A75" t="s">
        <v>353</v>
      </c>
      <c r="B75" t="s">
        <v>428</v>
      </c>
      <c r="C75">
        <v>2023</v>
      </c>
      <c r="E75" t="s">
        <v>3020</v>
      </c>
    </row>
    <row r="76" spans="1:6" x14ac:dyDescent="0.25">
      <c r="A76" t="s">
        <v>353</v>
      </c>
      <c r="B76" t="s">
        <v>543</v>
      </c>
      <c r="C76">
        <v>2023</v>
      </c>
      <c r="E76" t="s">
        <v>3021</v>
      </c>
      <c r="F76" t="s">
        <v>8482</v>
      </c>
    </row>
    <row r="77" spans="1:6" x14ac:dyDescent="0.25">
      <c r="A77" t="s">
        <v>353</v>
      </c>
      <c r="B77" t="s">
        <v>595</v>
      </c>
      <c r="C77">
        <v>2023</v>
      </c>
      <c r="E77" t="s">
        <v>3022</v>
      </c>
      <c r="F77" t="s">
        <v>8483</v>
      </c>
    </row>
    <row r="78" spans="1:6" x14ac:dyDescent="0.25">
      <c r="A78" t="s">
        <v>353</v>
      </c>
      <c r="B78" t="s">
        <v>606</v>
      </c>
      <c r="C78">
        <v>2023</v>
      </c>
      <c r="E78" t="s">
        <v>609</v>
      </c>
      <c r="F78" t="s">
        <v>8484</v>
      </c>
    </row>
    <row r="79" spans="1:6" x14ac:dyDescent="0.25">
      <c r="A79" t="s">
        <v>353</v>
      </c>
      <c r="B79" t="s">
        <v>613</v>
      </c>
      <c r="C79">
        <v>2023</v>
      </c>
      <c r="E79" t="s">
        <v>3023</v>
      </c>
      <c r="F79" t="s">
        <v>8485</v>
      </c>
    </row>
    <row r="80" spans="1:6" x14ac:dyDescent="0.25">
      <c r="A80" t="s">
        <v>353</v>
      </c>
      <c r="B80" t="s">
        <v>7653</v>
      </c>
      <c r="C80">
        <v>2023</v>
      </c>
      <c r="E80" t="s">
        <v>7649</v>
      </c>
      <c r="F80" t="s">
        <v>8486</v>
      </c>
    </row>
    <row r="81" spans="1:6" x14ac:dyDescent="0.25">
      <c r="A81" t="s">
        <v>353</v>
      </c>
      <c r="B81" t="s">
        <v>671</v>
      </c>
      <c r="C81">
        <v>2023</v>
      </c>
      <c r="E81" t="s">
        <v>2982</v>
      </c>
      <c r="F81" t="s">
        <v>8487</v>
      </c>
    </row>
    <row r="82" spans="1:6" x14ac:dyDescent="0.25">
      <c r="A82" t="s">
        <v>353</v>
      </c>
      <c r="B82" t="s">
        <v>706</v>
      </c>
      <c r="C82">
        <v>2023</v>
      </c>
      <c r="E82" t="s">
        <v>3024</v>
      </c>
    </row>
    <row r="83" spans="1:6" x14ac:dyDescent="0.25">
      <c r="A83" t="s">
        <v>353</v>
      </c>
      <c r="B83" t="s">
        <v>730</v>
      </c>
      <c r="C83">
        <v>2023</v>
      </c>
      <c r="E83" t="s">
        <v>3025</v>
      </c>
    </row>
    <row r="84" spans="1:6" x14ac:dyDescent="0.25">
      <c r="A84" t="s">
        <v>353</v>
      </c>
      <c r="B84" t="s">
        <v>767</v>
      </c>
      <c r="C84">
        <v>2023</v>
      </c>
      <c r="E84" t="s">
        <v>3026</v>
      </c>
      <c r="F84" t="s">
        <v>8488</v>
      </c>
    </row>
    <row r="85" spans="1:6" x14ac:dyDescent="0.25">
      <c r="A85" t="s">
        <v>353</v>
      </c>
      <c r="B85" t="s">
        <v>854</v>
      </c>
      <c r="C85">
        <v>2023</v>
      </c>
      <c r="E85" t="s">
        <v>3013</v>
      </c>
    </row>
    <row r="86" spans="1:6" x14ac:dyDescent="0.25">
      <c r="A86" t="s">
        <v>353</v>
      </c>
      <c r="B86" t="s">
        <v>863</v>
      </c>
      <c r="C86">
        <v>2023</v>
      </c>
      <c r="E86" t="s">
        <v>3027</v>
      </c>
      <c r="F86" t="s">
        <v>8489</v>
      </c>
    </row>
    <row r="87" spans="1:6" x14ac:dyDescent="0.25">
      <c r="A87" t="s">
        <v>353</v>
      </c>
      <c r="B87" t="s">
        <v>900</v>
      </c>
      <c r="C87">
        <v>2023</v>
      </c>
      <c r="E87" t="s">
        <v>3028</v>
      </c>
    </row>
    <row r="88" spans="1:6" x14ac:dyDescent="0.25">
      <c r="A88" t="s">
        <v>353</v>
      </c>
      <c r="B88" t="s">
        <v>7993</v>
      </c>
      <c r="C88">
        <v>2023</v>
      </c>
      <c r="E88" s="10" t="s">
        <v>7992</v>
      </c>
      <c r="F88" t="s">
        <v>8490</v>
      </c>
    </row>
    <row r="89" spans="1:6" x14ac:dyDescent="0.25">
      <c r="A89" t="s">
        <v>353</v>
      </c>
      <c r="B89" t="s">
        <v>7993</v>
      </c>
      <c r="C89">
        <v>2023</v>
      </c>
      <c r="E89" s="10" t="s">
        <v>7992</v>
      </c>
      <c r="F89" t="s">
        <v>8490</v>
      </c>
    </row>
    <row r="90" spans="1:6" x14ac:dyDescent="0.25">
      <c r="A90" t="s">
        <v>353</v>
      </c>
      <c r="B90" t="s">
        <v>954</v>
      </c>
      <c r="C90">
        <v>2023</v>
      </c>
      <c r="E90" t="s">
        <v>2982</v>
      </c>
      <c r="F90" t="s">
        <v>8491</v>
      </c>
    </row>
    <row r="91" spans="1:6" x14ac:dyDescent="0.25">
      <c r="A91" t="s">
        <v>353</v>
      </c>
      <c r="B91" t="s">
        <v>958</v>
      </c>
      <c r="C91">
        <v>2023</v>
      </c>
      <c r="E91" t="s">
        <v>3029</v>
      </c>
      <c r="F91" t="s">
        <v>8492</v>
      </c>
    </row>
    <row r="92" spans="1:6" x14ac:dyDescent="0.25">
      <c r="A92" t="s">
        <v>353</v>
      </c>
      <c r="B92" t="s">
        <v>1163</v>
      </c>
      <c r="C92">
        <v>2023</v>
      </c>
      <c r="E92" t="s">
        <v>3030</v>
      </c>
      <c r="F92" t="s">
        <v>8493</v>
      </c>
    </row>
    <row r="93" spans="1:6" x14ac:dyDescent="0.25">
      <c r="A93" t="s">
        <v>353</v>
      </c>
      <c r="B93" t="s">
        <v>1195</v>
      </c>
      <c r="C93">
        <v>2023</v>
      </c>
      <c r="E93" s="10" t="s">
        <v>8440</v>
      </c>
      <c r="F93" t="s">
        <v>9319</v>
      </c>
    </row>
    <row r="94" spans="1:6" x14ac:dyDescent="0.25">
      <c r="A94" t="s">
        <v>353</v>
      </c>
      <c r="B94" t="s">
        <v>1391</v>
      </c>
      <c r="C94">
        <v>2023</v>
      </c>
      <c r="E94" t="s">
        <v>3031</v>
      </c>
      <c r="F94" t="s">
        <v>8494</v>
      </c>
    </row>
    <row r="95" spans="1:6" x14ac:dyDescent="0.25">
      <c r="A95" t="s">
        <v>353</v>
      </c>
      <c r="B95" t="s">
        <v>1394</v>
      </c>
      <c r="C95">
        <v>2023</v>
      </c>
      <c r="E95" t="s">
        <v>3032</v>
      </c>
    </row>
    <row r="96" spans="1:6" x14ac:dyDescent="0.25">
      <c r="A96" t="s">
        <v>353</v>
      </c>
      <c r="B96" t="s">
        <v>7997</v>
      </c>
      <c r="C96">
        <v>2023</v>
      </c>
      <c r="E96" s="10" t="s">
        <v>7996</v>
      </c>
      <c r="F96" t="s">
        <v>8495</v>
      </c>
    </row>
    <row r="97" spans="1:6" x14ac:dyDescent="0.25">
      <c r="A97" t="s">
        <v>353</v>
      </c>
      <c r="B97" t="s">
        <v>7997</v>
      </c>
      <c r="C97">
        <v>2023</v>
      </c>
      <c r="E97" s="10" t="s">
        <v>7996</v>
      </c>
      <c r="F97" t="s">
        <v>8495</v>
      </c>
    </row>
    <row r="98" spans="1:6" x14ac:dyDescent="0.25">
      <c r="A98" t="s">
        <v>353</v>
      </c>
      <c r="B98" t="s">
        <v>8001</v>
      </c>
      <c r="C98">
        <v>2023</v>
      </c>
      <c r="E98" s="10" t="s">
        <v>8000</v>
      </c>
    </row>
    <row r="99" spans="1:6" x14ac:dyDescent="0.25">
      <c r="A99" t="s">
        <v>353</v>
      </c>
      <c r="B99" t="s">
        <v>8001</v>
      </c>
      <c r="C99">
        <v>2023</v>
      </c>
      <c r="E99" s="10" t="s">
        <v>8000</v>
      </c>
    </row>
    <row r="100" spans="1:6" x14ac:dyDescent="0.25">
      <c r="A100" t="s">
        <v>353</v>
      </c>
      <c r="B100" t="s">
        <v>1559</v>
      </c>
      <c r="C100">
        <v>2023</v>
      </c>
      <c r="E100" t="s">
        <v>3012</v>
      </c>
      <c r="F100" t="s">
        <v>8496</v>
      </c>
    </row>
    <row r="101" spans="1:6" x14ac:dyDescent="0.25">
      <c r="A101" t="s">
        <v>353</v>
      </c>
      <c r="B101" t="s">
        <v>1584</v>
      </c>
      <c r="C101">
        <v>2023</v>
      </c>
      <c r="E101" t="s">
        <v>3033</v>
      </c>
      <c r="F101" t="s">
        <v>8497</v>
      </c>
    </row>
    <row r="102" spans="1:6" x14ac:dyDescent="0.25">
      <c r="A102" t="s">
        <v>353</v>
      </c>
      <c r="B102" t="s">
        <v>1631</v>
      </c>
      <c r="C102">
        <v>2023</v>
      </c>
      <c r="E102" t="s">
        <v>3034</v>
      </c>
    </row>
    <row r="103" spans="1:6" x14ac:dyDescent="0.25">
      <c r="A103" t="s">
        <v>353</v>
      </c>
      <c r="B103" t="s">
        <v>1893</v>
      </c>
      <c r="C103">
        <v>2023</v>
      </c>
      <c r="E103" t="s">
        <v>3035</v>
      </c>
      <c r="F103" t="s">
        <v>8498</v>
      </c>
    </row>
    <row r="104" spans="1:6" x14ac:dyDescent="0.25">
      <c r="A104" t="s">
        <v>353</v>
      </c>
      <c r="B104" t="s">
        <v>1931</v>
      </c>
      <c r="C104">
        <v>2023</v>
      </c>
      <c r="E104" t="s">
        <v>3036</v>
      </c>
    </row>
    <row r="105" spans="1:6" x14ac:dyDescent="0.25">
      <c r="A105" t="s">
        <v>353</v>
      </c>
      <c r="B105" t="s">
        <v>1955</v>
      </c>
      <c r="C105">
        <v>2023</v>
      </c>
      <c r="E105" t="s">
        <v>3037</v>
      </c>
      <c r="F105" t="s">
        <v>8499</v>
      </c>
    </row>
    <row r="106" spans="1:6" x14ac:dyDescent="0.25">
      <c r="A106" t="s">
        <v>353</v>
      </c>
      <c r="B106" t="s">
        <v>1966</v>
      </c>
      <c r="C106">
        <v>2023</v>
      </c>
      <c r="E106" t="s">
        <v>1969</v>
      </c>
      <c r="F106" t="s">
        <v>8500</v>
      </c>
    </row>
    <row r="107" spans="1:6" x14ac:dyDescent="0.25">
      <c r="A107" t="s">
        <v>353</v>
      </c>
      <c r="B107" t="s">
        <v>1977</v>
      </c>
      <c r="C107">
        <v>2023</v>
      </c>
      <c r="E107" t="s">
        <v>3013</v>
      </c>
    </row>
    <row r="108" spans="1:6" x14ac:dyDescent="0.25">
      <c r="A108" t="s">
        <v>353</v>
      </c>
      <c r="B108" t="s">
        <v>2045</v>
      </c>
      <c r="C108">
        <v>2023</v>
      </c>
      <c r="E108" t="s">
        <v>3038</v>
      </c>
      <c r="F108" t="s">
        <v>8501</v>
      </c>
    </row>
    <row r="109" spans="1:6" x14ac:dyDescent="0.25">
      <c r="A109" t="s">
        <v>353</v>
      </c>
      <c r="B109" t="s">
        <v>2088</v>
      </c>
      <c r="C109">
        <v>2023</v>
      </c>
      <c r="E109" t="s">
        <v>3039</v>
      </c>
      <c r="F109" t="s">
        <v>8502</v>
      </c>
    </row>
    <row r="110" spans="1:6" x14ac:dyDescent="0.25">
      <c r="A110" t="s">
        <v>353</v>
      </c>
      <c r="B110" t="s">
        <v>2162</v>
      </c>
      <c r="C110">
        <v>2023</v>
      </c>
      <c r="E110" t="s">
        <v>2982</v>
      </c>
      <c r="F110" t="s">
        <v>8503</v>
      </c>
    </row>
    <row r="111" spans="1:6" x14ac:dyDescent="0.25">
      <c r="A111" t="s">
        <v>353</v>
      </c>
      <c r="B111" t="s">
        <v>2202</v>
      </c>
      <c r="C111">
        <v>2023</v>
      </c>
      <c r="E111" t="s">
        <v>3040</v>
      </c>
    </row>
    <row r="112" spans="1:6" x14ac:dyDescent="0.25">
      <c r="A112" t="s">
        <v>353</v>
      </c>
      <c r="B112" t="s">
        <v>2215</v>
      </c>
      <c r="C112">
        <v>2023</v>
      </c>
      <c r="E112" t="s">
        <v>3041</v>
      </c>
      <c r="F112" t="s">
        <v>8504</v>
      </c>
    </row>
    <row r="113" spans="1:6" x14ac:dyDescent="0.25">
      <c r="A113" t="s">
        <v>353</v>
      </c>
      <c r="B113" t="s">
        <v>2222</v>
      </c>
      <c r="C113">
        <v>2023</v>
      </c>
      <c r="E113" t="s">
        <v>3042</v>
      </c>
      <c r="F113" t="s">
        <v>8505</v>
      </c>
    </row>
    <row r="114" spans="1:6" x14ac:dyDescent="0.25">
      <c r="A114" t="s">
        <v>353</v>
      </c>
      <c r="B114" t="s">
        <v>2232</v>
      </c>
      <c r="C114">
        <v>2023</v>
      </c>
      <c r="E114" t="s">
        <v>3043</v>
      </c>
      <c r="F114" t="s">
        <v>8506</v>
      </c>
    </row>
    <row r="115" spans="1:6" x14ac:dyDescent="0.25">
      <c r="A115" t="s">
        <v>353</v>
      </c>
      <c r="B115" t="s">
        <v>2236</v>
      </c>
      <c r="C115">
        <v>2023</v>
      </c>
      <c r="E115" t="s">
        <v>3044</v>
      </c>
      <c r="F115" t="s">
        <v>8507</v>
      </c>
    </row>
    <row r="116" spans="1:6" x14ac:dyDescent="0.25">
      <c r="A116" t="s">
        <v>353</v>
      </c>
      <c r="B116" t="s">
        <v>2251</v>
      </c>
      <c r="C116">
        <v>2023</v>
      </c>
      <c r="E116" t="s">
        <v>2982</v>
      </c>
      <c r="F116" t="s">
        <v>8508</v>
      </c>
    </row>
    <row r="117" spans="1:6" x14ac:dyDescent="0.25">
      <c r="A117" t="s">
        <v>353</v>
      </c>
      <c r="B117" t="s">
        <v>2344</v>
      </c>
      <c r="C117">
        <v>2023</v>
      </c>
      <c r="E117" t="s">
        <v>3045</v>
      </c>
    </row>
    <row r="118" spans="1:6" x14ac:dyDescent="0.25">
      <c r="A118" t="s">
        <v>353</v>
      </c>
      <c r="B118" t="s">
        <v>2371</v>
      </c>
      <c r="C118">
        <v>2023</v>
      </c>
      <c r="E118" t="s">
        <v>3046</v>
      </c>
      <c r="F118" t="s">
        <v>8509</v>
      </c>
    </row>
    <row r="119" spans="1:6" x14ac:dyDescent="0.25">
      <c r="A119" t="s">
        <v>353</v>
      </c>
      <c r="B119" t="s">
        <v>2381</v>
      </c>
      <c r="C119">
        <v>2023</v>
      </c>
      <c r="E119" t="s">
        <v>3047</v>
      </c>
      <c r="F119" t="s">
        <v>8510</v>
      </c>
    </row>
    <row r="120" spans="1:6" x14ac:dyDescent="0.25">
      <c r="A120" t="s">
        <v>353</v>
      </c>
      <c r="B120" t="s">
        <v>2385</v>
      </c>
      <c r="C120">
        <v>2023</v>
      </c>
      <c r="E120" t="s">
        <v>3048</v>
      </c>
    </row>
    <row r="121" spans="1:6" x14ac:dyDescent="0.25">
      <c r="A121" t="s">
        <v>353</v>
      </c>
      <c r="B121" t="s">
        <v>2455</v>
      </c>
      <c r="C121">
        <v>2023</v>
      </c>
      <c r="E121" t="s">
        <v>3013</v>
      </c>
    </row>
    <row r="122" spans="1:6" x14ac:dyDescent="0.25">
      <c r="A122" t="s">
        <v>353</v>
      </c>
      <c r="B122" t="s">
        <v>2475</v>
      </c>
      <c r="C122">
        <v>2023</v>
      </c>
      <c r="E122" t="s">
        <v>3049</v>
      </c>
      <c r="F122" t="s">
        <v>8511</v>
      </c>
    </row>
    <row r="123" spans="1:6" x14ac:dyDescent="0.25">
      <c r="A123" t="s">
        <v>353</v>
      </c>
      <c r="B123" t="s">
        <v>7938</v>
      </c>
      <c r="C123">
        <v>2023</v>
      </c>
      <c r="E123" t="s">
        <v>2982</v>
      </c>
      <c r="F123" t="s">
        <v>8512</v>
      </c>
    </row>
    <row r="124" spans="1:6" x14ac:dyDescent="0.25">
      <c r="A124" t="s">
        <v>353</v>
      </c>
      <c r="B124" t="s">
        <v>2667</v>
      </c>
      <c r="C124">
        <v>2023</v>
      </c>
      <c r="E124" t="s">
        <v>2985</v>
      </c>
      <c r="F124" t="s">
        <v>8513</v>
      </c>
    </row>
    <row r="125" spans="1:6" x14ac:dyDescent="0.25">
      <c r="A125" t="s">
        <v>353</v>
      </c>
      <c r="B125" t="s">
        <v>2686</v>
      </c>
      <c r="C125">
        <v>2023</v>
      </c>
      <c r="E125" t="s">
        <v>3050</v>
      </c>
      <c r="F125" t="s">
        <v>8514</v>
      </c>
    </row>
    <row r="126" spans="1:6" x14ac:dyDescent="0.25">
      <c r="A126" t="s">
        <v>353</v>
      </c>
      <c r="B126" t="s">
        <v>7707</v>
      </c>
      <c r="C126">
        <v>2023</v>
      </c>
      <c r="E126" t="s">
        <v>7706</v>
      </c>
      <c r="F126" t="s">
        <v>8515</v>
      </c>
    </row>
    <row r="127" spans="1:6" x14ac:dyDescent="0.25">
      <c r="A127" t="s">
        <v>353</v>
      </c>
      <c r="B127" t="s">
        <v>2918</v>
      </c>
      <c r="C127">
        <v>2023</v>
      </c>
      <c r="E127" t="s">
        <v>3051</v>
      </c>
      <c r="F127" t="s">
        <v>8516</v>
      </c>
    </row>
    <row r="128" spans="1:6" x14ac:dyDescent="0.25">
      <c r="A128" t="s">
        <v>353</v>
      </c>
      <c r="B128" t="s">
        <v>2920</v>
      </c>
      <c r="C128">
        <v>2023</v>
      </c>
      <c r="E128" t="s">
        <v>3052</v>
      </c>
    </row>
    <row r="129" spans="1:6" x14ac:dyDescent="0.25">
      <c r="A129" t="s">
        <v>353</v>
      </c>
      <c r="B129" t="s">
        <v>2969</v>
      </c>
      <c r="C129">
        <v>2023</v>
      </c>
      <c r="E129" t="s">
        <v>3053</v>
      </c>
    </row>
    <row r="130" spans="1:6" x14ac:dyDescent="0.25">
      <c r="A130" t="s">
        <v>360</v>
      </c>
      <c r="B130" t="s">
        <v>7654</v>
      </c>
      <c r="C130">
        <v>2025</v>
      </c>
      <c r="E130" t="s">
        <v>7657</v>
      </c>
    </row>
    <row r="131" spans="1:6" x14ac:dyDescent="0.25">
      <c r="A131" t="s">
        <v>364</v>
      </c>
      <c r="B131" t="s">
        <v>8322</v>
      </c>
      <c r="C131">
        <v>2024</v>
      </c>
      <c r="E131" t="s">
        <v>2982</v>
      </c>
      <c r="F131" t="s">
        <v>9217</v>
      </c>
    </row>
    <row r="132" spans="1:6" x14ac:dyDescent="0.25">
      <c r="A132" t="s">
        <v>364</v>
      </c>
      <c r="B132" t="s">
        <v>1631</v>
      </c>
      <c r="C132">
        <v>2024</v>
      </c>
      <c r="E132" t="s">
        <v>3034</v>
      </c>
    </row>
    <row r="133" spans="1:6" x14ac:dyDescent="0.25">
      <c r="A133" t="s">
        <v>364</v>
      </c>
      <c r="B133" t="s">
        <v>1893</v>
      </c>
      <c r="C133">
        <v>2024</v>
      </c>
      <c r="E133" t="s">
        <v>3035</v>
      </c>
      <c r="F133" t="s">
        <v>8517</v>
      </c>
    </row>
    <row r="134" spans="1:6" x14ac:dyDescent="0.25">
      <c r="A134" t="s">
        <v>379</v>
      </c>
      <c r="B134" t="s">
        <v>381</v>
      </c>
      <c r="C134">
        <v>1998</v>
      </c>
      <c r="D134" t="s">
        <v>187</v>
      </c>
    </row>
    <row r="135" spans="1:6" x14ac:dyDescent="0.25">
      <c r="A135" t="s">
        <v>379</v>
      </c>
      <c r="B135" t="s">
        <v>7988</v>
      </c>
      <c r="C135">
        <v>1998</v>
      </c>
      <c r="E135" s="10" t="s">
        <v>7991</v>
      </c>
    </row>
    <row r="136" spans="1:6" x14ac:dyDescent="0.25">
      <c r="A136" t="s">
        <v>379</v>
      </c>
      <c r="B136" t="s">
        <v>7988</v>
      </c>
      <c r="C136">
        <v>1998</v>
      </c>
      <c r="E136" s="10" t="s">
        <v>7991</v>
      </c>
    </row>
    <row r="137" spans="1:6" x14ac:dyDescent="0.25">
      <c r="A137" t="s">
        <v>383</v>
      </c>
      <c r="B137" t="s">
        <v>1526</v>
      </c>
      <c r="C137">
        <v>2017</v>
      </c>
      <c r="E137" t="s">
        <v>3054</v>
      </c>
    </row>
    <row r="138" spans="1:6" x14ac:dyDescent="0.25">
      <c r="A138" t="s">
        <v>383</v>
      </c>
      <c r="B138" t="s">
        <v>2648</v>
      </c>
      <c r="C138">
        <v>2017</v>
      </c>
      <c r="E138" t="s">
        <v>3055</v>
      </c>
      <c r="F138" t="s">
        <v>8518</v>
      </c>
    </row>
    <row r="139" spans="1:6" x14ac:dyDescent="0.25">
      <c r="A139" t="s">
        <v>435</v>
      </c>
      <c r="B139" t="s">
        <v>2254</v>
      </c>
      <c r="C139">
        <v>2019</v>
      </c>
      <c r="E139" t="s">
        <v>2982</v>
      </c>
    </row>
    <row r="140" spans="1:6" x14ac:dyDescent="0.25">
      <c r="A140" t="s">
        <v>439</v>
      </c>
      <c r="B140" t="s">
        <v>443</v>
      </c>
      <c r="C140">
        <v>2023</v>
      </c>
      <c r="D140" t="s">
        <v>187</v>
      </c>
    </row>
    <row r="141" spans="1:6" x14ac:dyDescent="0.25">
      <c r="A141" t="s">
        <v>457</v>
      </c>
      <c r="B141" t="s">
        <v>394</v>
      </c>
      <c r="C141">
        <v>2022</v>
      </c>
      <c r="E141" t="s">
        <v>3056</v>
      </c>
    </row>
    <row r="142" spans="1:6" x14ac:dyDescent="0.25">
      <c r="A142" t="s">
        <v>457</v>
      </c>
      <c r="B142" t="s">
        <v>2463</v>
      </c>
      <c r="C142">
        <v>2022</v>
      </c>
      <c r="E142" s="10" t="s">
        <v>2466</v>
      </c>
      <c r="F142" t="s">
        <v>9271</v>
      </c>
    </row>
    <row r="143" spans="1:6" x14ac:dyDescent="0.25">
      <c r="A143" t="s">
        <v>457</v>
      </c>
      <c r="B143" t="s">
        <v>2838</v>
      </c>
      <c r="C143">
        <v>2022</v>
      </c>
      <c r="D143" t="s">
        <v>187</v>
      </c>
    </row>
    <row r="144" spans="1:6" x14ac:dyDescent="0.25">
      <c r="A144" t="s">
        <v>462</v>
      </c>
      <c r="B144" t="s">
        <v>1353</v>
      </c>
      <c r="C144">
        <v>2018</v>
      </c>
      <c r="D144" t="s">
        <v>187</v>
      </c>
      <c r="E144" t="s">
        <v>3057</v>
      </c>
      <c r="F144" t="s">
        <v>8519</v>
      </c>
    </row>
    <row r="145" spans="1:6" x14ac:dyDescent="0.25">
      <c r="A145" t="s">
        <v>464</v>
      </c>
      <c r="B145" t="s">
        <v>1376</v>
      </c>
      <c r="C145">
        <v>2022</v>
      </c>
      <c r="D145" t="s">
        <v>187</v>
      </c>
    </row>
    <row r="146" spans="1:6" x14ac:dyDescent="0.25">
      <c r="A146" t="s">
        <v>490</v>
      </c>
      <c r="B146" t="s">
        <v>1050</v>
      </c>
      <c r="C146">
        <v>2009</v>
      </c>
      <c r="E146" t="s">
        <v>3058</v>
      </c>
      <c r="F146" t="s">
        <v>8520</v>
      </c>
    </row>
    <row r="147" spans="1:6" x14ac:dyDescent="0.25">
      <c r="A147" t="s">
        <v>490</v>
      </c>
      <c r="B147" t="s">
        <v>1513</v>
      </c>
      <c r="C147">
        <v>2009</v>
      </c>
      <c r="E147" t="s">
        <v>3059</v>
      </c>
      <c r="F147" t="s">
        <v>8521</v>
      </c>
    </row>
    <row r="148" spans="1:6" x14ac:dyDescent="0.25">
      <c r="A148" t="s">
        <v>490</v>
      </c>
      <c r="B148" t="s">
        <v>1719</v>
      </c>
      <c r="C148">
        <v>2009</v>
      </c>
      <c r="E148" t="s">
        <v>2982</v>
      </c>
      <c r="F148" t="s">
        <v>8522</v>
      </c>
    </row>
    <row r="149" spans="1:6" x14ac:dyDescent="0.25">
      <c r="A149" t="s">
        <v>490</v>
      </c>
      <c r="B149" t="s">
        <v>1970</v>
      </c>
      <c r="C149">
        <v>2009</v>
      </c>
      <c r="E149" t="s">
        <v>3060</v>
      </c>
      <c r="F149" t="s">
        <v>8523</v>
      </c>
    </row>
    <row r="150" spans="1:6" x14ac:dyDescent="0.25">
      <c r="A150" t="s">
        <v>490</v>
      </c>
      <c r="B150" t="s">
        <v>2107</v>
      </c>
      <c r="C150">
        <v>2009</v>
      </c>
      <c r="E150" s="10" t="s">
        <v>2110</v>
      </c>
      <c r="F150" t="s">
        <v>9264</v>
      </c>
    </row>
    <row r="151" spans="1:6" x14ac:dyDescent="0.25">
      <c r="A151" t="s">
        <v>490</v>
      </c>
      <c r="B151" t="s">
        <v>2200</v>
      </c>
      <c r="C151">
        <v>2009</v>
      </c>
      <c r="E151" t="s">
        <v>3061</v>
      </c>
      <c r="F151" t="s">
        <v>8524</v>
      </c>
    </row>
    <row r="152" spans="1:6" x14ac:dyDescent="0.25">
      <c r="A152" t="s">
        <v>490</v>
      </c>
      <c r="B152" t="s">
        <v>2406</v>
      </c>
      <c r="C152">
        <v>2009</v>
      </c>
      <c r="E152" t="s">
        <v>3062</v>
      </c>
      <c r="F152" t="s">
        <v>8525</v>
      </c>
    </row>
    <row r="153" spans="1:6" x14ac:dyDescent="0.25">
      <c r="A153" t="s">
        <v>490</v>
      </c>
      <c r="B153" t="s">
        <v>2788</v>
      </c>
      <c r="C153">
        <v>2009</v>
      </c>
      <c r="E153" t="s">
        <v>3063</v>
      </c>
      <c r="F153" t="s">
        <v>8526</v>
      </c>
    </row>
    <row r="154" spans="1:6" x14ac:dyDescent="0.25">
      <c r="A154" t="s">
        <v>490</v>
      </c>
      <c r="B154" t="s">
        <v>2854</v>
      </c>
      <c r="C154">
        <v>2009</v>
      </c>
      <c r="E154" t="s">
        <v>3064</v>
      </c>
    </row>
    <row r="155" spans="1:6" x14ac:dyDescent="0.25">
      <c r="A155" t="s">
        <v>497</v>
      </c>
      <c r="B155" t="s">
        <v>294</v>
      </c>
      <c r="C155">
        <v>2022</v>
      </c>
      <c r="E155" t="s">
        <v>3065</v>
      </c>
      <c r="F155" t="s">
        <v>8527</v>
      </c>
    </row>
    <row r="156" spans="1:6" x14ac:dyDescent="0.25">
      <c r="A156" t="s">
        <v>497</v>
      </c>
      <c r="B156" t="s">
        <v>319</v>
      </c>
      <c r="C156">
        <v>2022</v>
      </c>
      <c r="E156" t="s">
        <v>2982</v>
      </c>
      <c r="F156" t="s">
        <v>8528</v>
      </c>
    </row>
    <row r="157" spans="1:6" x14ac:dyDescent="0.25">
      <c r="A157" t="s">
        <v>497</v>
      </c>
      <c r="B157" t="s">
        <v>610</v>
      </c>
      <c r="C157">
        <v>2022</v>
      </c>
      <c r="E157" t="s">
        <v>3066</v>
      </c>
      <c r="F157" t="s">
        <v>8529</v>
      </c>
    </row>
    <row r="158" spans="1:6" x14ac:dyDescent="0.25">
      <c r="A158" t="s">
        <v>497</v>
      </c>
      <c r="B158" t="s">
        <v>1111</v>
      </c>
      <c r="C158">
        <v>2022</v>
      </c>
      <c r="E158" s="10" t="s">
        <v>8360</v>
      </c>
      <c r="F158" t="s">
        <v>9219</v>
      </c>
    </row>
    <row r="159" spans="1:6" x14ac:dyDescent="0.25">
      <c r="A159" t="s">
        <v>497</v>
      </c>
      <c r="B159" t="s">
        <v>1201</v>
      </c>
      <c r="C159">
        <v>2022</v>
      </c>
      <c r="E159" s="10" t="s">
        <v>8431</v>
      </c>
    </row>
    <row r="160" spans="1:6" x14ac:dyDescent="0.25">
      <c r="A160" t="s">
        <v>497</v>
      </c>
      <c r="B160" t="s">
        <v>1361</v>
      </c>
      <c r="C160">
        <v>2022</v>
      </c>
      <c r="E160" t="s">
        <v>3067</v>
      </c>
      <c r="F160" t="s">
        <v>8530</v>
      </c>
    </row>
    <row r="161" spans="1:6" x14ac:dyDescent="0.25">
      <c r="A161" t="s">
        <v>497</v>
      </c>
      <c r="B161" t="s">
        <v>1391</v>
      </c>
      <c r="C161">
        <v>2022</v>
      </c>
      <c r="E161" t="s">
        <v>2982</v>
      </c>
      <c r="F161" t="s">
        <v>8531</v>
      </c>
    </row>
    <row r="162" spans="1:6" x14ac:dyDescent="0.25">
      <c r="A162" t="s">
        <v>497</v>
      </c>
      <c r="B162" t="s">
        <v>1492</v>
      </c>
      <c r="C162">
        <v>2022</v>
      </c>
      <c r="E162" t="s">
        <v>3068</v>
      </c>
      <c r="F162" t="s">
        <v>8532</v>
      </c>
    </row>
    <row r="163" spans="1:6" x14ac:dyDescent="0.25">
      <c r="A163" t="s">
        <v>497</v>
      </c>
      <c r="B163" t="s">
        <v>1596</v>
      </c>
      <c r="C163">
        <v>2022</v>
      </c>
      <c r="E163" t="s">
        <v>3069</v>
      </c>
      <c r="F163" t="s">
        <v>8533</v>
      </c>
    </row>
    <row r="164" spans="1:6" x14ac:dyDescent="0.25">
      <c r="A164" t="s">
        <v>497</v>
      </c>
      <c r="B164" t="s">
        <v>1825</v>
      </c>
      <c r="C164">
        <v>2022</v>
      </c>
      <c r="E164" t="s">
        <v>1828</v>
      </c>
      <c r="F164" t="s">
        <v>8534</v>
      </c>
    </row>
    <row r="165" spans="1:6" x14ac:dyDescent="0.25">
      <c r="A165" t="s">
        <v>497</v>
      </c>
      <c r="B165" t="s">
        <v>8128</v>
      </c>
      <c r="C165">
        <v>2022</v>
      </c>
      <c r="E165" s="10" t="s">
        <v>8136</v>
      </c>
      <c r="F165" t="s">
        <v>8535</v>
      </c>
    </row>
    <row r="166" spans="1:6" x14ac:dyDescent="0.25">
      <c r="A166" t="s">
        <v>497</v>
      </c>
      <c r="B166" t="s">
        <v>7654</v>
      </c>
      <c r="C166">
        <v>2022</v>
      </c>
      <c r="E166" t="s">
        <v>7657</v>
      </c>
    </row>
    <row r="167" spans="1:6" x14ac:dyDescent="0.25">
      <c r="A167" t="s">
        <v>497</v>
      </c>
      <c r="B167" t="s">
        <v>1958</v>
      </c>
      <c r="C167">
        <v>2022</v>
      </c>
      <c r="E167" t="s">
        <v>1961</v>
      </c>
      <c r="F167" t="s">
        <v>8536</v>
      </c>
    </row>
    <row r="168" spans="1:6" x14ac:dyDescent="0.25">
      <c r="A168" t="s">
        <v>497</v>
      </c>
      <c r="B168" t="s">
        <v>2049</v>
      </c>
      <c r="C168">
        <v>2022</v>
      </c>
      <c r="E168" t="s">
        <v>3008</v>
      </c>
    </row>
    <row r="169" spans="1:6" x14ac:dyDescent="0.25">
      <c r="A169" t="s">
        <v>497</v>
      </c>
      <c r="B169" t="s">
        <v>2283</v>
      </c>
      <c r="C169">
        <v>2022</v>
      </c>
      <c r="E169" t="s">
        <v>3070</v>
      </c>
      <c r="F169" t="s">
        <v>8537</v>
      </c>
    </row>
    <row r="170" spans="1:6" x14ac:dyDescent="0.25">
      <c r="A170" t="s">
        <v>497</v>
      </c>
      <c r="B170" t="s">
        <v>2365</v>
      </c>
      <c r="C170">
        <v>2022</v>
      </c>
      <c r="E170" s="10" t="s">
        <v>2368</v>
      </c>
      <c r="F170" t="s">
        <v>9314</v>
      </c>
    </row>
    <row r="171" spans="1:6" x14ac:dyDescent="0.25">
      <c r="A171" t="s">
        <v>497</v>
      </c>
      <c r="B171" t="s">
        <v>2463</v>
      </c>
      <c r="C171">
        <v>2022</v>
      </c>
      <c r="E171" s="10" t="s">
        <v>2466</v>
      </c>
      <c r="F171" t="s">
        <v>9265</v>
      </c>
    </row>
    <row r="172" spans="1:6" x14ac:dyDescent="0.25">
      <c r="A172" t="s">
        <v>497</v>
      </c>
      <c r="B172" t="s">
        <v>2800</v>
      </c>
      <c r="C172">
        <v>2022</v>
      </c>
      <c r="E172" s="10" t="s">
        <v>8419</v>
      </c>
    </row>
    <row r="173" spans="1:6" x14ac:dyDescent="0.25">
      <c r="A173" t="s">
        <v>497</v>
      </c>
      <c r="B173" t="s">
        <v>2838</v>
      </c>
      <c r="C173">
        <v>2022</v>
      </c>
      <c r="E173" t="s">
        <v>3071</v>
      </c>
      <c r="F173" t="s">
        <v>8538</v>
      </c>
    </row>
    <row r="174" spans="1:6" x14ac:dyDescent="0.25">
      <c r="A174" t="s">
        <v>505</v>
      </c>
      <c r="B174" t="s">
        <v>606</v>
      </c>
      <c r="C174">
        <v>2024</v>
      </c>
      <c r="E174" t="s">
        <v>609</v>
      </c>
      <c r="F174" t="s">
        <v>8539</v>
      </c>
    </row>
    <row r="175" spans="1:6" x14ac:dyDescent="0.25">
      <c r="A175" t="s">
        <v>510</v>
      </c>
      <c r="B175" t="s">
        <v>673</v>
      </c>
      <c r="C175">
        <v>2018</v>
      </c>
      <c r="D175" t="s">
        <v>187</v>
      </c>
    </row>
    <row r="176" spans="1:6" x14ac:dyDescent="0.25">
      <c r="A176" t="s">
        <v>517</v>
      </c>
      <c r="B176" t="s">
        <v>519</v>
      </c>
      <c r="C176">
        <v>2010</v>
      </c>
      <c r="D176" t="s">
        <v>187</v>
      </c>
    </row>
    <row r="177" spans="1:6" x14ac:dyDescent="0.25">
      <c r="A177" t="s">
        <v>522</v>
      </c>
      <c r="B177" t="s">
        <v>984</v>
      </c>
      <c r="C177">
        <v>1989</v>
      </c>
      <c r="E177" t="s">
        <v>3072</v>
      </c>
      <c r="F177" t="s">
        <v>8540</v>
      </c>
    </row>
    <row r="178" spans="1:6" x14ac:dyDescent="0.25">
      <c r="A178" t="s">
        <v>525</v>
      </c>
      <c r="B178" t="s">
        <v>2962</v>
      </c>
      <c r="C178">
        <v>2005</v>
      </c>
      <c r="E178" t="s">
        <v>3006</v>
      </c>
      <c r="F178" t="s">
        <v>8541</v>
      </c>
    </row>
    <row r="179" spans="1:6" x14ac:dyDescent="0.25">
      <c r="A179" t="s">
        <v>536</v>
      </c>
      <c r="B179" t="s">
        <v>534</v>
      </c>
      <c r="C179">
        <v>2010</v>
      </c>
      <c r="E179" t="s">
        <v>3073</v>
      </c>
      <c r="F179" t="s">
        <v>8542</v>
      </c>
    </row>
    <row r="180" spans="1:6" x14ac:dyDescent="0.25">
      <c r="A180" t="s">
        <v>531</v>
      </c>
      <c r="B180" t="s">
        <v>536</v>
      </c>
      <c r="C180">
        <v>2010</v>
      </c>
      <c r="E180" t="s">
        <v>3074</v>
      </c>
      <c r="F180" t="s">
        <v>8543</v>
      </c>
    </row>
    <row r="181" spans="1:6" x14ac:dyDescent="0.25">
      <c r="A181" t="s">
        <v>536</v>
      </c>
      <c r="B181" t="s">
        <v>538</v>
      </c>
      <c r="C181">
        <v>2013</v>
      </c>
      <c r="D181" t="s">
        <v>187</v>
      </c>
    </row>
    <row r="182" spans="1:6" x14ac:dyDescent="0.25">
      <c r="A182" t="s">
        <v>540</v>
      </c>
      <c r="B182" t="s">
        <v>2077</v>
      </c>
      <c r="C182">
        <v>2015</v>
      </c>
      <c r="E182" t="s">
        <v>3075</v>
      </c>
    </row>
    <row r="183" spans="1:6" x14ac:dyDescent="0.25">
      <c r="A183" t="s">
        <v>549</v>
      </c>
      <c r="B183" t="s">
        <v>2890</v>
      </c>
      <c r="C183">
        <v>2017</v>
      </c>
      <c r="E183" t="s">
        <v>3076</v>
      </c>
      <c r="F183" t="s">
        <v>8544</v>
      </c>
    </row>
    <row r="184" spans="1:6" x14ac:dyDescent="0.25">
      <c r="A184" t="s">
        <v>553</v>
      </c>
      <c r="B184" t="s">
        <v>273</v>
      </c>
      <c r="C184">
        <v>2010</v>
      </c>
      <c r="E184" t="s">
        <v>2982</v>
      </c>
      <c r="F184" t="s">
        <v>8545</v>
      </c>
    </row>
    <row r="185" spans="1:6" x14ac:dyDescent="0.25">
      <c r="A185" t="s">
        <v>553</v>
      </c>
      <c r="B185" t="s">
        <v>2447</v>
      </c>
      <c r="C185">
        <v>2010</v>
      </c>
      <c r="D185" t="s">
        <v>187</v>
      </c>
    </row>
    <row r="186" spans="1:6" x14ac:dyDescent="0.25">
      <c r="A186" t="s">
        <v>571</v>
      </c>
      <c r="B186" t="s">
        <v>1373</v>
      </c>
      <c r="C186">
        <v>2022</v>
      </c>
      <c r="D186" t="s">
        <v>187</v>
      </c>
    </row>
    <row r="187" spans="1:6" x14ac:dyDescent="0.25">
      <c r="A187" t="s">
        <v>574</v>
      </c>
      <c r="B187" t="s">
        <v>310</v>
      </c>
      <c r="C187">
        <v>2019</v>
      </c>
      <c r="E187" t="s">
        <v>3077</v>
      </c>
      <c r="F187" t="s">
        <v>8546</v>
      </c>
    </row>
    <row r="188" spans="1:6" x14ac:dyDescent="0.25">
      <c r="A188" t="s">
        <v>574</v>
      </c>
      <c r="B188" t="s">
        <v>2599</v>
      </c>
      <c r="C188">
        <v>2019</v>
      </c>
      <c r="E188" t="s">
        <v>3078</v>
      </c>
      <c r="F188" t="s">
        <v>8547</v>
      </c>
    </row>
    <row r="189" spans="1:6" x14ac:dyDescent="0.25">
      <c r="A189" t="s">
        <v>578</v>
      </c>
      <c r="B189" t="s">
        <v>1093</v>
      </c>
      <c r="C189">
        <v>1998</v>
      </c>
      <c r="D189" t="s">
        <v>187</v>
      </c>
    </row>
    <row r="190" spans="1:6" x14ac:dyDescent="0.25">
      <c r="A190" t="s">
        <v>581</v>
      </c>
      <c r="B190" t="s">
        <v>578</v>
      </c>
      <c r="C190">
        <v>1997</v>
      </c>
      <c r="D190" t="s">
        <v>187</v>
      </c>
    </row>
    <row r="191" spans="1:6" x14ac:dyDescent="0.25">
      <c r="A191" t="s">
        <v>586</v>
      </c>
      <c r="B191" t="s">
        <v>591</v>
      </c>
      <c r="C191">
        <v>2023</v>
      </c>
      <c r="D191" t="s">
        <v>187</v>
      </c>
    </row>
    <row r="192" spans="1:6" x14ac:dyDescent="0.25">
      <c r="A192" t="s">
        <v>606</v>
      </c>
      <c r="B192" t="s">
        <v>909</v>
      </c>
      <c r="C192">
        <v>2025</v>
      </c>
      <c r="E192" t="s">
        <v>2982</v>
      </c>
      <c r="F192" t="s">
        <v>8548</v>
      </c>
    </row>
    <row r="193" spans="1:6" x14ac:dyDescent="0.25">
      <c r="A193" t="s">
        <v>606</v>
      </c>
      <c r="B193" t="s">
        <v>7654</v>
      </c>
      <c r="C193">
        <v>2025</v>
      </c>
      <c r="E193" t="s">
        <v>7657</v>
      </c>
    </row>
    <row r="194" spans="1:6" x14ac:dyDescent="0.25">
      <c r="A194" t="s">
        <v>623</v>
      </c>
      <c r="B194" t="s">
        <v>1598</v>
      </c>
      <c r="C194">
        <v>2017</v>
      </c>
      <c r="E194" t="s">
        <v>3079</v>
      </c>
      <c r="F194" t="s">
        <v>8549</v>
      </c>
    </row>
    <row r="195" spans="1:6" x14ac:dyDescent="0.25">
      <c r="A195" t="s">
        <v>623</v>
      </c>
      <c r="B195" t="s">
        <v>2623</v>
      </c>
      <c r="C195">
        <v>2017</v>
      </c>
      <c r="E195" t="s">
        <v>3080</v>
      </c>
      <c r="F195" t="s">
        <v>8550</v>
      </c>
    </row>
    <row r="196" spans="1:6" x14ac:dyDescent="0.25">
      <c r="A196" t="s">
        <v>643</v>
      </c>
      <c r="B196" t="s">
        <v>403</v>
      </c>
      <c r="C196">
        <v>2020</v>
      </c>
      <c r="D196" t="s">
        <v>187</v>
      </c>
    </row>
    <row r="197" spans="1:6" x14ac:dyDescent="0.25">
      <c r="A197" t="s">
        <v>651</v>
      </c>
      <c r="B197" t="s">
        <v>1875</v>
      </c>
      <c r="C197">
        <v>2023</v>
      </c>
      <c r="E197" t="s">
        <v>3081</v>
      </c>
    </row>
    <row r="198" spans="1:6" x14ac:dyDescent="0.25">
      <c r="A198" t="s">
        <v>651</v>
      </c>
      <c r="B198" t="s">
        <v>2812</v>
      </c>
      <c r="C198">
        <v>2023</v>
      </c>
      <c r="E198" t="s">
        <v>3082</v>
      </c>
      <c r="F198" t="s">
        <v>8551</v>
      </c>
    </row>
    <row r="199" spans="1:6" x14ac:dyDescent="0.25">
      <c r="A199" t="s">
        <v>689</v>
      </c>
      <c r="B199" t="s">
        <v>190</v>
      </c>
      <c r="C199">
        <v>2015</v>
      </c>
      <c r="E199" t="s">
        <v>3083</v>
      </c>
      <c r="F199" t="s">
        <v>8552</v>
      </c>
    </row>
    <row r="200" spans="1:6" x14ac:dyDescent="0.25">
      <c r="A200" t="s">
        <v>689</v>
      </c>
      <c r="B200" t="s">
        <v>473</v>
      </c>
      <c r="C200">
        <v>2015</v>
      </c>
      <c r="E200" t="s">
        <v>3084</v>
      </c>
      <c r="F200" t="s">
        <v>8553</v>
      </c>
    </row>
    <row r="201" spans="1:6" x14ac:dyDescent="0.25">
      <c r="A201" t="s">
        <v>689</v>
      </c>
      <c r="B201" t="s">
        <v>7832</v>
      </c>
      <c r="C201">
        <v>2015</v>
      </c>
      <c r="D201" t="s">
        <v>187</v>
      </c>
    </row>
    <row r="202" spans="1:6" x14ac:dyDescent="0.25">
      <c r="A202" t="s">
        <v>689</v>
      </c>
      <c r="B202" t="s">
        <v>571</v>
      </c>
      <c r="C202">
        <v>2015</v>
      </c>
      <c r="E202" t="s">
        <v>3085</v>
      </c>
    </row>
    <row r="203" spans="1:6" x14ac:dyDescent="0.25">
      <c r="A203" t="s">
        <v>689</v>
      </c>
      <c r="B203" t="s">
        <v>821</v>
      </c>
      <c r="C203">
        <v>2015</v>
      </c>
      <c r="E203" t="s">
        <v>3086</v>
      </c>
    </row>
    <row r="204" spans="1:6" x14ac:dyDescent="0.25">
      <c r="A204" t="s">
        <v>689</v>
      </c>
      <c r="B204" t="s">
        <v>1259</v>
      </c>
      <c r="C204">
        <v>2015</v>
      </c>
      <c r="E204" t="s">
        <v>2982</v>
      </c>
      <c r="F204" t="s">
        <v>8554</v>
      </c>
    </row>
    <row r="205" spans="1:6" x14ac:dyDescent="0.25">
      <c r="A205" t="s">
        <v>689</v>
      </c>
      <c r="B205" t="s">
        <v>1400</v>
      </c>
      <c r="C205">
        <v>2015</v>
      </c>
      <c r="E205" t="s">
        <v>2991</v>
      </c>
      <c r="F205" t="s">
        <v>8555</v>
      </c>
    </row>
    <row r="206" spans="1:6" x14ac:dyDescent="0.25">
      <c r="A206" t="s">
        <v>689</v>
      </c>
      <c r="B206" t="s">
        <v>1492</v>
      </c>
      <c r="C206">
        <v>2015</v>
      </c>
      <c r="E206" t="s">
        <v>3087</v>
      </c>
      <c r="F206" t="s">
        <v>8556</v>
      </c>
    </row>
    <row r="207" spans="1:6" x14ac:dyDescent="0.25">
      <c r="A207" t="s">
        <v>689</v>
      </c>
      <c r="B207" t="s">
        <v>2318</v>
      </c>
      <c r="C207">
        <v>2015</v>
      </c>
      <c r="E207" t="s">
        <v>3088</v>
      </c>
      <c r="F207" t="s">
        <v>8557</v>
      </c>
    </row>
    <row r="208" spans="1:6" x14ac:dyDescent="0.25">
      <c r="A208" t="s">
        <v>709</v>
      </c>
      <c r="B208" t="s">
        <v>602</v>
      </c>
      <c r="C208">
        <v>2022</v>
      </c>
      <c r="E208" t="s">
        <v>2982</v>
      </c>
      <c r="F208" t="s">
        <v>8558</v>
      </c>
    </row>
    <row r="209" spans="1:6" x14ac:dyDescent="0.25">
      <c r="A209" t="s">
        <v>709</v>
      </c>
      <c r="B209" t="s">
        <v>1166</v>
      </c>
      <c r="C209">
        <v>2022</v>
      </c>
      <c r="E209" t="s">
        <v>3089</v>
      </c>
      <c r="F209" t="s">
        <v>8559</v>
      </c>
    </row>
    <row r="210" spans="1:6" x14ac:dyDescent="0.25">
      <c r="A210" t="s">
        <v>717</v>
      </c>
      <c r="B210" t="s">
        <v>2045</v>
      </c>
      <c r="C210">
        <v>2024</v>
      </c>
      <c r="E210" t="s">
        <v>3066</v>
      </c>
      <c r="F210" t="s">
        <v>8560</v>
      </c>
    </row>
    <row r="211" spans="1:6" x14ac:dyDescent="0.25">
      <c r="A211" t="s">
        <v>720</v>
      </c>
      <c r="B211" t="s">
        <v>724</v>
      </c>
      <c r="C211">
        <v>2016</v>
      </c>
      <c r="D211" t="s">
        <v>187</v>
      </c>
      <c r="E211" t="s">
        <v>3076</v>
      </c>
    </row>
    <row r="212" spans="1:6" x14ac:dyDescent="0.25">
      <c r="A212" t="s">
        <v>720</v>
      </c>
      <c r="B212" t="s">
        <v>1439</v>
      </c>
      <c r="C212">
        <v>2016</v>
      </c>
      <c r="E212" t="s">
        <v>3090</v>
      </c>
    </row>
    <row r="213" spans="1:6" x14ac:dyDescent="0.25">
      <c r="A213" t="s">
        <v>720</v>
      </c>
      <c r="B213" t="s">
        <v>2244</v>
      </c>
      <c r="C213">
        <v>2016</v>
      </c>
      <c r="E213" t="s">
        <v>3091</v>
      </c>
      <c r="F213" t="s">
        <v>8561</v>
      </c>
    </row>
    <row r="214" spans="1:6" x14ac:dyDescent="0.25">
      <c r="A214" t="s">
        <v>726</v>
      </c>
      <c r="B214" t="s">
        <v>1798</v>
      </c>
      <c r="C214">
        <v>2020</v>
      </c>
      <c r="E214" t="s">
        <v>3092</v>
      </c>
      <c r="F214" t="s">
        <v>8562</v>
      </c>
    </row>
    <row r="215" spans="1:6" x14ac:dyDescent="0.25">
      <c r="A215" t="s">
        <v>726</v>
      </c>
      <c r="B215" t="s">
        <v>2065</v>
      </c>
      <c r="C215">
        <v>2020</v>
      </c>
      <c r="D215" t="s">
        <v>187</v>
      </c>
    </row>
    <row r="216" spans="1:6" x14ac:dyDescent="0.25">
      <c r="A216" t="s">
        <v>737</v>
      </c>
      <c r="B216" t="s">
        <v>310</v>
      </c>
      <c r="C216">
        <v>2019</v>
      </c>
      <c r="D216" t="s">
        <v>187</v>
      </c>
      <c r="E216" t="s">
        <v>3077</v>
      </c>
      <c r="F216" t="s">
        <v>8563</v>
      </c>
    </row>
    <row r="217" spans="1:6" x14ac:dyDescent="0.25">
      <c r="A217" t="s">
        <v>746</v>
      </c>
      <c r="B217" t="s">
        <v>237</v>
      </c>
      <c r="C217">
        <v>2015</v>
      </c>
      <c r="E217" t="s">
        <v>3093</v>
      </c>
      <c r="F217" t="s">
        <v>8564</v>
      </c>
    </row>
    <row r="218" spans="1:6" x14ac:dyDescent="0.25">
      <c r="A218" t="s">
        <v>746</v>
      </c>
      <c r="B218" t="s">
        <v>8122</v>
      </c>
      <c r="C218">
        <v>2015</v>
      </c>
      <c r="E218" s="10" t="s">
        <v>8134</v>
      </c>
      <c r="F218" t="s">
        <v>8565</v>
      </c>
    </row>
    <row r="219" spans="1:6" x14ac:dyDescent="0.25">
      <c r="A219" t="s">
        <v>746</v>
      </c>
      <c r="B219" t="s">
        <v>301</v>
      </c>
      <c r="C219">
        <v>2015</v>
      </c>
      <c r="D219" t="s">
        <v>3094</v>
      </c>
      <c r="E219" t="s">
        <v>3095</v>
      </c>
      <c r="F219" t="s">
        <v>8566</v>
      </c>
    </row>
    <row r="220" spans="1:6" x14ac:dyDescent="0.25">
      <c r="A220" t="s">
        <v>746</v>
      </c>
      <c r="B220" t="s">
        <v>598</v>
      </c>
      <c r="C220">
        <v>2015</v>
      </c>
      <c r="E220" t="s">
        <v>2982</v>
      </c>
      <c r="F220" t="s">
        <v>8567</v>
      </c>
    </row>
    <row r="221" spans="1:6" x14ac:dyDescent="0.25">
      <c r="A221" t="s">
        <v>746</v>
      </c>
      <c r="B221" t="s">
        <v>647</v>
      </c>
      <c r="C221">
        <v>2015</v>
      </c>
      <c r="E221" t="s">
        <v>3096</v>
      </c>
    </row>
    <row r="222" spans="1:6" x14ac:dyDescent="0.25">
      <c r="A222" t="s">
        <v>746</v>
      </c>
      <c r="B222" t="s">
        <v>726</v>
      </c>
      <c r="C222">
        <v>2015</v>
      </c>
      <c r="E222" s="10" t="s">
        <v>8373</v>
      </c>
      <c r="F222" t="s">
        <v>8568</v>
      </c>
    </row>
    <row r="223" spans="1:6" x14ac:dyDescent="0.25">
      <c r="A223" t="s">
        <v>746</v>
      </c>
      <c r="B223" t="s">
        <v>737</v>
      </c>
      <c r="C223">
        <v>2015</v>
      </c>
      <c r="E223" t="s">
        <v>3097</v>
      </c>
    </row>
    <row r="224" spans="1:6" x14ac:dyDescent="0.25">
      <c r="A224" t="s">
        <v>746</v>
      </c>
      <c r="B224" t="s">
        <v>750</v>
      </c>
      <c r="C224">
        <v>2015</v>
      </c>
    </row>
    <row r="225" spans="1:6" x14ac:dyDescent="0.25">
      <c r="A225" t="s">
        <v>746</v>
      </c>
      <c r="B225" t="s">
        <v>795</v>
      </c>
      <c r="C225">
        <v>2015</v>
      </c>
      <c r="E225" t="s">
        <v>3098</v>
      </c>
      <c r="F225" t="s">
        <v>8569</v>
      </c>
    </row>
    <row r="226" spans="1:6" x14ac:dyDescent="0.25">
      <c r="A226" t="s">
        <v>746</v>
      </c>
      <c r="B226" t="s">
        <v>813</v>
      </c>
      <c r="C226">
        <v>2015</v>
      </c>
      <c r="E226" t="s">
        <v>3099</v>
      </c>
      <c r="F226" t="s">
        <v>8570</v>
      </c>
    </row>
    <row r="227" spans="1:6" x14ac:dyDescent="0.25">
      <c r="A227" t="s">
        <v>746</v>
      </c>
      <c r="B227" t="s">
        <v>877</v>
      </c>
      <c r="C227">
        <v>2015</v>
      </c>
      <c r="E227" t="s">
        <v>3100</v>
      </c>
      <c r="F227" t="s">
        <v>8571</v>
      </c>
    </row>
    <row r="228" spans="1:6" x14ac:dyDescent="0.25">
      <c r="A228" t="s">
        <v>746</v>
      </c>
      <c r="B228" t="s">
        <v>980</v>
      </c>
      <c r="C228">
        <v>2015</v>
      </c>
      <c r="E228" t="s">
        <v>3101</v>
      </c>
      <c r="F228" t="s">
        <v>8572</v>
      </c>
    </row>
    <row r="229" spans="1:6" x14ac:dyDescent="0.25">
      <c r="A229" t="s">
        <v>746</v>
      </c>
      <c r="B229" t="s">
        <v>1050</v>
      </c>
      <c r="C229">
        <v>2015</v>
      </c>
      <c r="E229" t="s">
        <v>3102</v>
      </c>
    </row>
    <row r="230" spans="1:6" x14ac:dyDescent="0.25">
      <c r="A230" t="s">
        <v>746</v>
      </c>
      <c r="B230" t="s">
        <v>1245</v>
      </c>
      <c r="C230">
        <v>2015</v>
      </c>
      <c r="E230" s="10" t="s">
        <v>8432</v>
      </c>
      <c r="F230" t="s">
        <v>9307</v>
      </c>
    </row>
    <row r="231" spans="1:6" x14ac:dyDescent="0.25">
      <c r="A231" t="s">
        <v>746</v>
      </c>
      <c r="B231" t="s">
        <v>1294</v>
      </c>
      <c r="C231">
        <v>2015</v>
      </c>
      <c r="E231" s="10" t="s">
        <v>8368</v>
      </c>
      <c r="F231" t="s">
        <v>9233</v>
      </c>
    </row>
    <row r="232" spans="1:6" x14ac:dyDescent="0.25">
      <c r="A232" t="s">
        <v>746</v>
      </c>
      <c r="B232" t="s">
        <v>1344</v>
      </c>
      <c r="C232">
        <v>2015</v>
      </c>
      <c r="E232" t="s">
        <v>3103</v>
      </c>
    </row>
    <row r="233" spans="1:6" x14ac:dyDescent="0.25">
      <c r="A233" t="s">
        <v>746</v>
      </c>
      <c r="B233" t="s">
        <v>1450</v>
      </c>
      <c r="C233">
        <v>2015</v>
      </c>
      <c r="E233" t="s">
        <v>3104</v>
      </c>
      <c r="F233" t="s">
        <v>8573</v>
      </c>
    </row>
    <row r="234" spans="1:6" x14ac:dyDescent="0.25">
      <c r="A234" t="s">
        <v>746</v>
      </c>
      <c r="B234" t="s">
        <v>1526</v>
      </c>
      <c r="C234">
        <v>2015</v>
      </c>
      <c r="E234" t="s">
        <v>3054</v>
      </c>
    </row>
    <row r="235" spans="1:6" x14ac:dyDescent="0.25">
      <c r="A235" t="s">
        <v>746</v>
      </c>
      <c r="B235" t="s">
        <v>1574</v>
      </c>
      <c r="C235">
        <v>2015</v>
      </c>
      <c r="E235" t="s">
        <v>2982</v>
      </c>
      <c r="F235" t="s">
        <v>8574</v>
      </c>
    </row>
    <row r="236" spans="1:6" x14ac:dyDescent="0.25">
      <c r="A236" t="s">
        <v>746</v>
      </c>
      <c r="B236" t="s">
        <v>1768</v>
      </c>
      <c r="C236">
        <v>2015</v>
      </c>
      <c r="E236" t="s">
        <v>3105</v>
      </c>
      <c r="F236" t="s">
        <v>8575</v>
      </c>
    </row>
    <row r="237" spans="1:6" x14ac:dyDescent="0.25">
      <c r="A237" t="s">
        <v>746</v>
      </c>
      <c r="B237" t="s">
        <v>2244</v>
      </c>
      <c r="C237">
        <v>2015</v>
      </c>
      <c r="E237" t="s">
        <v>3091</v>
      </c>
      <c r="F237" t="s">
        <v>8576</v>
      </c>
    </row>
    <row r="238" spans="1:6" x14ac:dyDescent="0.25">
      <c r="A238" t="s">
        <v>746</v>
      </c>
      <c r="B238" t="s">
        <v>2279</v>
      </c>
      <c r="C238">
        <v>2015</v>
      </c>
      <c r="E238" t="s">
        <v>3106</v>
      </c>
      <c r="F238" t="s">
        <v>8577</v>
      </c>
    </row>
    <row r="239" spans="1:6" x14ac:dyDescent="0.25">
      <c r="A239" t="s">
        <v>746</v>
      </c>
      <c r="B239" t="s">
        <v>2318</v>
      </c>
      <c r="C239">
        <v>2015</v>
      </c>
      <c r="E239" t="s">
        <v>3088</v>
      </c>
    </row>
    <row r="240" spans="1:6" x14ac:dyDescent="0.25">
      <c r="A240" t="s">
        <v>746</v>
      </c>
      <c r="B240" t="s">
        <v>90</v>
      </c>
      <c r="C240">
        <v>2015</v>
      </c>
      <c r="E240" t="s">
        <v>3107</v>
      </c>
      <c r="F240" t="s">
        <v>8578</v>
      </c>
    </row>
    <row r="241" spans="1:6" x14ac:dyDescent="0.25">
      <c r="A241" t="s">
        <v>746</v>
      </c>
      <c r="B241" t="s">
        <v>8119</v>
      </c>
      <c r="C241">
        <v>2015</v>
      </c>
      <c r="E241" s="10" t="s">
        <v>8133</v>
      </c>
    </row>
    <row r="242" spans="1:6" x14ac:dyDescent="0.25">
      <c r="A242" t="s">
        <v>746</v>
      </c>
      <c r="B242" t="s">
        <v>2481</v>
      </c>
      <c r="C242">
        <v>2015</v>
      </c>
      <c r="E242" t="s">
        <v>2999</v>
      </c>
    </row>
    <row r="243" spans="1:6" x14ac:dyDescent="0.25">
      <c r="A243" t="s">
        <v>746</v>
      </c>
      <c r="B243" t="s">
        <v>2702</v>
      </c>
      <c r="C243">
        <v>2015</v>
      </c>
      <c r="E243" t="s">
        <v>2982</v>
      </c>
      <c r="F243" t="s">
        <v>8579</v>
      </c>
    </row>
    <row r="244" spans="1:6" x14ac:dyDescent="0.25">
      <c r="A244" t="s">
        <v>746</v>
      </c>
      <c r="B244" t="s">
        <v>2822</v>
      </c>
      <c r="C244">
        <v>2015</v>
      </c>
      <c r="E244" t="s">
        <v>3108</v>
      </c>
      <c r="F244" t="s">
        <v>8580</v>
      </c>
    </row>
    <row r="245" spans="1:6" x14ac:dyDescent="0.25">
      <c r="A245" t="s">
        <v>754</v>
      </c>
      <c r="B245" t="s">
        <v>893</v>
      </c>
      <c r="C245">
        <v>2022</v>
      </c>
      <c r="E245" t="s">
        <v>3109</v>
      </c>
      <c r="F245" t="s">
        <v>8581</v>
      </c>
    </row>
    <row r="246" spans="1:6" x14ac:dyDescent="0.25">
      <c r="A246" t="s">
        <v>759</v>
      </c>
      <c r="B246" t="s">
        <v>228</v>
      </c>
      <c r="C246">
        <v>2018</v>
      </c>
      <c r="E246" t="s">
        <v>3110</v>
      </c>
      <c r="F246" t="s">
        <v>8582</v>
      </c>
    </row>
    <row r="247" spans="1:6" x14ac:dyDescent="0.25">
      <c r="A247" t="s">
        <v>759</v>
      </c>
      <c r="B247" t="s">
        <v>241</v>
      </c>
      <c r="C247">
        <v>2018</v>
      </c>
      <c r="E247" t="s">
        <v>2982</v>
      </c>
      <c r="F247" t="s">
        <v>8583</v>
      </c>
    </row>
    <row r="248" spans="1:6" x14ac:dyDescent="0.25">
      <c r="A248" t="s">
        <v>759</v>
      </c>
      <c r="B248" t="s">
        <v>253</v>
      </c>
      <c r="C248">
        <v>2018</v>
      </c>
      <c r="E248" t="s">
        <v>3111</v>
      </c>
      <c r="F248" t="s">
        <v>8584</v>
      </c>
    </row>
    <row r="249" spans="1:6" x14ac:dyDescent="0.25">
      <c r="A249" t="s">
        <v>759</v>
      </c>
      <c r="B249" t="s">
        <v>310</v>
      </c>
      <c r="C249">
        <v>2018</v>
      </c>
      <c r="E249" t="s">
        <v>3077</v>
      </c>
      <c r="F249" t="s">
        <v>8585</v>
      </c>
    </row>
    <row r="250" spans="1:6" x14ac:dyDescent="0.25">
      <c r="A250" t="s">
        <v>759</v>
      </c>
      <c r="B250" t="s">
        <v>330</v>
      </c>
      <c r="C250">
        <v>2018</v>
      </c>
      <c r="E250" t="s">
        <v>3112</v>
      </c>
      <c r="F250" t="s">
        <v>8586</v>
      </c>
    </row>
    <row r="251" spans="1:6" x14ac:dyDescent="0.25">
      <c r="A251" t="s">
        <v>759</v>
      </c>
      <c r="B251" t="s">
        <v>387</v>
      </c>
      <c r="C251">
        <v>2018</v>
      </c>
      <c r="E251" t="s">
        <v>3113</v>
      </c>
      <c r="F251" t="s">
        <v>8587</v>
      </c>
    </row>
    <row r="252" spans="1:6" x14ac:dyDescent="0.25">
      <c r="A252" t="s">
        <v>759</v>
      </c>
      <c r="B252" t="s">
        <v>709</v>
      </c>
      <c r="C252">
        <v>2018</v>
      </c>
      <c r="E252" t="s">
        <v>3114</v>
      </c>
    </row>
    <row r="253" spans="1:6" x14ac:dyDescent="0.25">
      <c r="A253" t="s">
        <v>759</v>
      </c>
      <c r="B253" t="s">
        <v>845</v>
      </c>
      <c r="C253">
        <v>2018</v>
      </c>
      <c r="E253" t="s">
        <v>3115</v>
      </c>
      <c r="F253" t="s">
        <v>8588</v>
      </c>
    </row>
    <row r="254" spans="1:6" x14ac:dyDescent="0.25">
      <c r="A254" t="s">
        <v>759</v>
      </c>
      <c r="B254" t="s">
        <v>948</v>
      </c>
      <c r="C254">
        <v>2018</v>
      </c>
      <c r="E254" t="s">
        <v>3116</v>
      </c>
    </row>
    <row r="255" spans="1:6" x14ac:dyDescent="0.25">
      <c r="A255" t="s">
        <v>759</v>
      </c>
      <c r="B255" t="s">
        <v>1002</v>
      </c>
      <c r="C255">
        <v>2018</v>
      </c>
      <c r="E255" t="s">
        <v>3117</v>
      </c>
    </row>
    <row r="256" spans="1:6" x14ac:dyDescent="0.25">
      <c r="A256" t="s">
        <v>759</v>
      </c>
      <c r="B256" t="s">
        <v>1029</v>
      </c>
      <c r="C256">
        <v>2018</v>
      </c>
      <c r="E256" t="s">
        <v>2982</v>
      </c>
    </row>
    <row r="257" spans="1:6" x14ac:dyDescent="0.25">
      <c r="A257" t="s">
        <v>759</v>
      </c>
      <c r="B257" t="s">
        <v>1151</v>
      </c>
      <c r="C257">
        <v>2018</v>
      </c>
      <c r="E257" t="s">
        <v>3118</v>
      </c>
      <c r="F257" t="s">
        <v>8589</v>
      </c>
    </row>
    <row r="258" spans="1:6" x14ac:dyDescent="0.25">
      <c r="A258" t="s">
        <v>759</v>
      </c>
      <c r="B258" t="s">
        <v>1159</v>
      </c>
      <c r="C258">
        <v>2018</v>
      </c>
      <c r="E258" t="s">
        <v>3119</v>
      </c>
      <c r="F258" t="s">
        <v>8590</v>
      </c>
    </row>
    <row r="259" spans="1:6" x14ac:dyDescent="0.25">
      <c r="A259" t="s">
        <v>759</v>
      </c>
      <c r="B259" t="s">
        <v>1294</v>
      </c>
      <c r="C259">
        <v>2018</v>
      </c>
      <c r="E259" s="10" t="s">
        <v>8368</v>
      </c>
      <c r="F259" t="s">
        <v>9237</v>
      </c>
    </row>
    <row r="260" spans="1:6" x14ac:dyDescent="0.25">
      <c r="A260" t="s">
        <v>759</v>
      </c>
      <c r="B260" t="s">
        <v>1479</v>
      </c>
      <c r="C260">
        <v>2018</v>
      </c>
      <c r="E260" t="s">
        <v>3120</v>
      </c>
      <c r="F260" t="s">
        <v>8591</v>
      </c>
    </row>
    <row r="261" spans="1:6" x14ac:dyDescent="0.25">
      <c r="A261" t="s">
        <v>759</v>
      </c>
      <c r="B261" t="s">
        <v>1641</v>
      </c>
      <c r="C261">
        <v>2018</v>
      </c>
      <c r="E261" t="s">
        <v>3121</v>
      </c>
    </row>
    <row r="262" spans="1:6" x14ac:dyDescent="0.25">
      <c r="A262" t="s">
        <v>759</v>
      </c>
      <c r="B262" t="s">
        <v>1787</v>
      </c>
      <c r="C262">
        <v>2018</v>
      </c>
      <c r="E262" s="10" t="s">
        <v>8413</v>
      </c>
      <c r="F262" t="s">
        <v>9290</v>
      </c>
    </row>
    <row r="263" spans="1:6" x14ac:dyDescent="0.25">
      <c r="A263" t="s">
        <v>759</v>
      </c>
      <c r="B263" t="s">
        <v>1865</v>
      </c>
      <c r="C263">
        <v>2018</v>
      </c>
      <c r="E263" t="s">
        <v>3013</v>
      </c>
    </row>
    <row r="264" spans="1:6" x14ac:dyDescent="0.25">
      <c r="A264" t="s">
        <v>759</v>
      </c>
      <c r="B264" t="s">
        <v>2069</v>
      </c>
      <c r="C264">
        <v>2018</v>
      </c>
      <c r="E264" t="s">
        <v>2982</v>
      </c>
      <c r="F264" t="s">
        <v>8592</v>
      </c>
    </row>
    <row r="265" spans="1:6" x14ac:dyDescent="0.25">
      <c r="A265" t="s">
        <v>759</v>
      </c>
      <c r="B265" t="s">
        <v>2146</v>
      </c>
      <c r="C265">
        <v>2018</v>
      </c>
      <c r="E265" t="s">
        <v>3122</v>
      </c>
    </row>
    <row r="266" spans="1:6" x14ac:dyDescent="0.25">
      <c r="A266" t="s">
        <v>759</v>
      </c>
      <c r="B266" t="s">
        <v>2254</v>
      </c>
      <c r="C266">
        <v>2018</v>
      </c>
      <c r="E266" t="s">
        <v>2982</v>
      </c>
      <c r="F266" t="s">
        <v>8593</v>
      </c>
    </row>
    <row r="267" spans="1:6" x14ac:dyDescent="0.25">
      <c r="A267" t="s">
        <v>759</v>
      </c>
      <c r="B267" t="s">
        <v>2403</v>
      </c>
      <c r="C267">
        <v>2018</v>
      </c>
      <c r="E267" t="s">
        <v>3123</v>
      </c>
      <c r="F267" t="s">
        <v>8594</v>
      </c>
    </row>
    <row r="268" spans="1:6" x14ac:dyDescent="0.25">
      <c r="A268" t="s">
        <v>759</v>
      </c>
      <c r="B268" t="s">
        <v>8342</v>
      </c>
      <c r="C268">
        <v>2018</v>
      </c>
      <c r="E268" s="10" t="s">
        <v>8352</v>
      </c>
    </row>
    <row r="269" spans="1:6" x14ac:dyDescent="0.25">
      <c r="A269" t="s">
        <v>759</v>
      </c>
      <c r="B269" t="s">
        <v>2599</v>
      </c>
      <c r="C269">
        <v>2018</v>
      </c>
      <c r="E269" t="s">
        <v>3078</v>
      </c>
      <c r="F269" t="s">
        <v>8595</v>
      </c>
    </row>
    <row r="270" spans="1:6" x14ac:dyDescent="0.25">
      <c r="A270" t="s">
        <v>759</v>
      </c>
      <c r="B270" t="s">
        <v>2663</v>
      </c>
      <c r="C270">
        <v>2018</v>
      </c>
      <c r="D270" t="s">
        <v>187</v>
      </c>
      <c r="E270" t="s">
        <v>3124</v>
      </c>
      <c r="F270" t="s">
        <v>8596</v>
      </c>
    </row>
    <row r="271" spans="1:6" x14ac:dyDescent="0.25">
      <c r="A271" t="s">
        <v>759</v>
      </c>
      <c r="B271" t="s">
        <v>2766</v>
      </c>
      <c r="C271">
        <v>2018</v>
      </c>
      <c r="E271" t="s">
        <v>2982</v>
      </c>
      <c r="F271" t="s">
        <v>8597</v>
      </c>
    </row>
    <row r="272" spans="1:6" x14ac:dyDescent="0.25">
      <c r="A272" t="s">
        <v>759</v>
      </c>
      <c r="B272" t="s">
        <v>2782</v>
      </c>
      <c r="C272">
        <v>2018</v>
      </c>
      <c r="E272" t="s">
        <v>3125</v>
      </c>
      <c r="F272" t="s">
        <v>8598</v>
      </c>
    </row>
    <row r="273" spans="1:6" x14ac:dyDescent="0.25">
      <c r="A273" t="s">
        <v>759</v>
      </c>
      <c r="B273" t="s">
        <v>2894</v>
      </c>
      <c r="C273">
        <v>2018</v>
      </c>
      <c r="D273" t="s">
        <v>187</v>
      </c>
      <c r="E273" t="s">
        <v>3126</v>
      </c>
      <c r="F273" t="s">
        <v>8599</v>
      </c>
    </row>
    <row r="274" spans="1:6" x14ac:dyDescent="0.25">
      <c r="A274" t="s">
        <v>778</v>
      </c>
      <c r="B274" t="s">
        <v>394</v>
      </c>
      <c r="C274">
        <v>2023</v>
      </c>
      <c r="E274" t="s">
        <v>3056</v>
      </c>
    </row>
    <row r="275" spans="1:6" x14ac:dyDescent="0.25">
      <c r="A275" t="s">
        <v>778</v>
      </c>
      <c r="B275" t="s">
        <v>1059</v>
      </c>
      <c r="C275">
        <v>2023</v>
      </c>
      <c r="E275" t="s">
        <v>2982</v>
      </c>
      <c r="F275" t="s">
        <v>8600</v>
      </c>
    </row>
    <row r="276" spans="1:6" x14ac:dyDescent="0.25">
      <c r="A276" t="s">
        <v>778</v>
      </c>
      <c r="B276" t="s">
        <v>1463</v>
      </c>
      <c r="C276">
        <v>2023</v>
      </c>
      <c r="E276" t="s">
        <v>3127</v>
      </c>
      <c r="F276" t="s">
        <v>8601</v>
      </c>
    </row>
    <row r="277" spans="1:6" x14ac:dyDescent="0.25">
      <c r="A277" t="s">
        <v>778</v>
      </c>
      <c r="B277" t="s">
        <v>2381</v>
      </c>
      <c r="C277">
        <v>2023</v>
      </c>
      <c r="E277" t="s">
        <v>3047</v>
      </c>
      <c r="F277" t="s">
        <v>8602</v>
      </c>
    </row>
    <row r="278" spans="1:6" x14ac:dyDescent="0.25">
      <c r="A278" t="s">
        <v>778</v>
      </c>
      <c r="B278" t="s">
        <v>2669</v>
      </c>
      <c r="C278">
        <v>2023</v>
      </c>
      <c r="E278" t="s">
        <v>3128</v>
      </c>
    </row>
    <row r="279" spans="1:6" x14ac:dyDescent="0.25">
      <c r="A279" t="s">
        <v>786</v>
      </c>
      <c r="B279" t="s">
        <v>1108</v>
      </c>
      <c r="C279">
        <v>2023</v>
      </c>
      <c r="E279" t="s">
        <v>2982</v>
      </c>
      <c r="F279" t="s">
        <v>8603</v>
      </c>
    </row>
    <row r="280" spans="1:6" x14ac:dyDescent="0.25">
      <c r="A280" t="s">
        <v>811</v>
      </c>
      <c r="B280" t="s">
        <v>360</v>
      </c>
      <c r="C280">
        <v>2024</v>
      </c>
      <c r="E280" t="s">
        <v>7658</v>
      </c>
      <c r="F280" t="s">
        <v>8604</v>
      </c>
    </row>
    <row r="281" spans="1:6" x14ac:dyDescent="0.25">
      <c r="A281" t="s">
        <v>811</v>
      </c>
      <c r="B281" t="s">
        <v>1312</v>
      </c>
      <c r="C281">
        <v>2024</v>
      </c>
      <c r="E281" t="s">
        <v>2982</v>
      </c>
      <c r="F281" t="s">
        <v>8605</v>
      </c>
    </row>
    <row r="282" spans="1:6" x14ac:dyDescent="0.25">
      <c r="A282" t="s">
        <v>811</v>
      </c>
      <c r="B282" t="s">
        <v>7654</v>
      </c>
      <c r="C282">
        <v>2024</v>
      </c>
      <c r="E282" t="s">
        <v>7657</v>
      </c>
    </row>
    <row r="283" spans="1:6" x14ac:dyDescent="0.25">
      <c r="A283" t="s">
        <v>811</v>
      </c>
      <c r="B283" t="s">
        <v>2669</v>
      </c>
      <c r="C283">
        <v>2024</v>
      </c>
      <c r="E283" t="s">
        <v>3128</v>
      </c>
    </row>
    <row r="284" spans="1:6" x14ac:dyDescent="0.25">
      <c r="A284" t="s">
        <v>813</v>
      </c>
      <c r="B284" t="s">
        <v>786</v>
      </c>
      <c r="C284">
        <v>2018</v>
      </c>
      <c r="E284" t="s">
        <v>2982</v>
      </c>
      <c r="F284" t="s">
        <v>8606</v>
      </c>
    </row>
    <row r="285" spans="1:6" x14ac:dyDescent="0.25">
      <c r="A285" t="s">
        <v>819</v>
      </c>
      <c r="B285" t="s">
        <v>7930</v>
      </c>
      <c r="C285">
        <v>2012</v>
      </c>
      <c r="E285" s="10" t="s">
        <v>7931</v>
      </c>
    </row>
    <row r="286" spans="1:6" x14ac:dyDescent="0.25">
      <c r="A286" t="s">
        <v>826</v>
      </c>
      <c r="B286" t="s">
        <v>493</v>
      </c>
      <c r="C286">
        <v>2019</v>
      </c>
      <c r="E286" t="s">
        <v>2982</v>
      </c>
      <c r="F286" t="s">
        <v>8607</v>
      </c>
    </row>
    <row r="287" spans="1:6" x14ac:dyDescent="0.25">
      <c r="A287" t="s">
        <v>836</v>
      </c>
      <c r="B287" t="s">
        <v>1565</v>
      </c>
      <c r="C287">
        <v>2010</v>
      </c>
      <c r="E287" t="s">
        <v>3129</v>
      </c>
      <c r="F287" t="s">
        <v>8608</v>
      </c>
    </row>
    <row r="288" spans="1:6" x14ac:dyDescent="0.25">
      <c r="A288" t="s">
        <v>836</v>
      </c>
      <c r="B288" t="s">
        <v>160</v>
      </c>
      <c r="C288">
        <v>2010</v>
      </c>
      <c r="E288" t="s">
        <v>3130</v>
      </c>
    </row>
    <row r="289" spans="1:6" x14ac:dyDescent="0.25">
      <c r="A289" t="s">
        <v>8404</v>
      </c>
      <c r="B289" t="s">
        <v>8403</v>
      </c>
      <c r="C289">
        <v>2018</v>
      </c>
      <c r="D289" t="s">
        <v>187</v>
      </c>
    </row>
    <row r="290" spans="1:6" x14ac:dyDescent="0.25">
      <c r="A290" t="s">
        <v>8403</v>
      </c>
      <c r="B290" t="s">
        <v>2339</v>
      </c>
      <c r="C290">
        <v>2021</v>
      </c>
      <c r="E290" t="s">
        <v>2982</v>
      </c>
      <c r="F290" t="s">
        <v>8609</v>
      </c>
    </row>
    <row r="291" spans="1:6" x14ac:dyDescent="0.25">
      <c r="A291" t="s">
        <v>8403</v>
      </c>
      <c r="B291" t="s">
        <v>2365</v>
      </c>
      <c r="C291">
        <v>2021</v>
      </c>
      <c r="D291" t="s">
        <v>187</v>
      </c>
    </row>
    <row r="292" spans="1:6" x14ac:dyDescent="0.25">
      <c r="A292" t="s">
        <v>847</v>
      </c>
      <c r="B292" t="s">
        <v>294</v>
      </c>
      <c r="C292">
        <v>1996</v>
      </c>
      <c r="E292" t="s">
        <v>3131</v>
      </c>
      <c r="F292" t="s">
        <v>8610</v>
      </c>
    </row>
    <row r="293" spans="1:6" x14ac:dyDescent="0.25">
      <c r="A293" t="s">
        <v>847</v>
      </c>
      <c r="B293" t="s">
        <v>462</v>
      </c>
      <c r="C293">
        <v>1996</v>
      </c>
      <c r="E293" t="s">
        <v>3132</v>
      </c>
      <c r="F293" t="s">
        <v>8611</v>
      </c>
    </row>
    <row r="294" spans="1:6" x14ac:dyDescent="0.25">
      <c r="A294" t="s">
        <v>847</v>
      </c>
      <c r="B294" t="s">
        <v>517</v>
      </c>
      <c r="C294">
        <v>1996</v>
      </c>
      <c r="E294" t="s">
        <v>3000</v>
      </c>
      <c r="F294" t="s">
        <v>8612</v>
      </c>
    </row>
    <row r="295" spans="1:6" x14ac:dyDescent="0.25">
      <c r="A295" t="s">
        <v>847</v>
      </c>
      <c r="B295" t="s">
        <v>663</v>
      </c>
      <c r="C295">
        <v>1996</v>
      </c>
      <c r="E295" s="10" t="s">
        <v>8362</v>
      </c>
      <c r="F295" t="s">
        <v>9223</v>
      </c>
    </row>
    <row r="296" spans="1:6" x14ac:dyDescent="0.25">
      <c r="A296" t="s">
        <v>847</v>
      </c>
      <c r="B296" t="s">
        <v>726</v>
      </c>
      <c r="C296">
        <v>1996</v>
      </c>
      <c r="E296" s="10" t="s">
        <v>8372</v>
      </c>
      <c r="F296" t="s">
        <v>9246</v>
      </c>
    </row>
    <row r="297" spans="1:6" x14ac:dyDescent="0.25">
      <c r="A297" t="s">
        <v>847</v>
      </c>
      <c r="B297" t="s">
        <v>741</v>
      </c>
      <c r="C297">
        <v>1996</v>
      </c>
      <c r="E297" t="s">
        <v>3133</v>
      </c>
      <c r="F297" t="s">
        <v>8613</v>
      </c>
    </row>
    <row r="298" spans="1:6" x14ac:dyDescent="0.25">
      <c r="A298" t="s">
        <v>847</v>
      </c>
      <c r="B298" t="s">
        <v>778</v>
      </c>
      <c r="C298">
        <v>1996</v>
      </c>
      <c r="E298" t="s">
        <v>3134</v>
      </c>
    </row>
    <row r="299" spans="1:6" x14ac:dyDescent="0.25">
      <c r="A299" t="s">
        <v>847</v>
      </c>
      <c r="B299" t="s">
        <v>819</v>
      </c>
      <c r="C299">
        <v>1996</v>
      </c>
      <c r="E299" s="10" t="s">
        <v>7929</v>
      </c>
    </row>
    <row r="300" spans="1:6" x14ac:dyDescent="0.25">
      <c r="A300" t="s">
        <v>847</v>
      </c>
      <c r="B300" t="s">
        <v>984</v>
      </c>
      <c r="C300">
        <v>1996</v>
      </c>
      <c r="E300" t="s">
        <v>3072</v>
      </c>
      <c r="F300" t="s">
        <v>8614</v>
      </c>
    </row>
    <row r="301" spans="1:6" x14ac:dyDescent="0.25">
      <c r="A301" t="s">
        <v>847</v>
      </c>
      <c r="B301" t="s">
        <v>1050</v>
      </c>
      <c r="C301">
        <v>1996</v>
      </c>
      <c r="E301" t="s">
        <v>3058</v>
      </c>
      <c r="F301" t="s">
        <v>8615</v>
      </c>
    </row>
    <row r="302" spans="1:6" x14ac:dyDescent="0.25">
      <c r="A302" t="s">
        <v>847</v>
      </c>
      <c r="B302" t="s">
        <v>1211</v>
      </c>
      <c r="C302">
        <v>1996</v>
      </c>
      <c r="E302" s="10" t="s">
        <v>8376</v>
      </c>
      <c r="F302" t="s">
        <v>9249</v>
      </c>
    </row>
    <row r="303" spans="1:6" x14ac:dyDescent="0.25">
      <c r="A303" t="s">
        <v>847</v>
      </c>
      <c r="B303" t="s">
        <v>1245</v>
      </c>
      <c r="C303">
        <v>1996</v>
      </c>
      <c r="E303" s="10" t="s">
        <v>8432</v>
      </c>
      <c r="F303" t="s">
        <v>9308</v>
      </c>
    </row>
    <row r="304" spans="1:6" x14ac:dyDescent="0.25">
      <c r="A304" t="s">
        <v>847</v>
      </c>
      <c r="B304" t="s">
        <v>1302</v>
      </c>
      <c r="C304">
        <v>1996</v>
      </c>
      <c r="E304" t="s">
        <v>3135</v>
      </c>
    </row>
    <row r="305" spans="1:6" x14ac:dyDescent="0.25">
      <c r="A305" t="s">
        <v>847</v>
      </c>
      <c r="B305" t="s">
        <v>1344</v>
      </c>
      <c r="C305">
        <v>1996</v>
      </c>
      <c r="E305" t="s">
        <v>3136</v>
      </c>
      <c r="F305" t="s">
        <v>8616</v>
      </c>
    </row>
    <row r="306" spans="1:6" x14ac:dyDescent="0.25">
      <c r="A306" t="s">
        <v>847</v>
      </c>
      <c r="B306" t="s">
        <v>1463</v>
      </c>
      <c r="C306">
        <v>1996</v>
      </c>
      <c r="E306" t="s">
        <v>3127</v>
      </c>
      <c r="F306" t="s">
        <v>8617</v>
      </c>
    </row>
    <row r="307" spans="1:6" x14ac:dyDescent="0.25">
      <c r="A307" t="s">
        <v>847</v>
      </c>
      <c r="B307" t="s">
        <v>1520</v>
      </c>
      <c r="C307">
        <v>1996</v>
      </c>
      <c r="E307" t="s">
        <v>3137</v>
      </c>
      <c r="F307" t="s">
        <v>8618</v>
      </c>
    </row>
    <row r="308" spans="1:6" x14ac:dyDescent="0.25">
      <c r="A308" t="s">
        <v>847</v>
      </c>
      <c r="B308" t="s">
        <v>1649</v>
      </c>
      <c r="C308">
        <v>1996</v>
      </c>
      <c r="E308" t="s">
        <v>3138</v>
      </c>
      <c r="F308" t="s">
        <v>8619</v>
      </c>
    </row>
    <row r="309" spans="1:6" x14ac:dyDescent="0.25">
      <c r="A309" t="s">
        <v>847</v>
      </c>
      <c r="B309" t="s">
        <v>1911</v>
      </c>
      <c r="C309">
        <v>1996</v>
      </c>
      <c r="E309" s="10" t="s">
        <v>8381</v>
      </c>
      <c r="F309" t="s">
        <v>9258</v>
      </c>
    </row>
    <row r="310" spans="1:6" x14ac:dyDescent="0.25">
      <c r="A310" t="s">
        <v>847</v>
      </c>
      <c r="B310" t="s">
        <v>1962</v>
      </c>
      <c r="C310">
        <v>1996</v>
      </c>
      <c r="E310" s="10" t="s">
        <v>1965</v>
      </c>
      <c r="F310" t="s">
        <v>9259</v>
      </c>
    </row>
    <row r="311" spans="1:6" x14ac:dyDescent="0.25">
      <c r="A311" t="s">
        <v>847</v>
      </c>
      <c r="B311" t="s">
        <v>2023</v>
      </c>
      <c r="C311">
        <v>1996</v>
      </c>
      <c r="E311" t="s">
        <v>2994</v>
      </c>
      <c r="F311" t="s">
        <v>8620</v>
      </c>
    </row>
    <row r="312" spans="1:6" x14ac:dyDescent="0.25">
      <c r="A312" t="s">
        <v>847</v>
      </c>
      <c r="B312" t="s">
        <v>7920</v>
      </c>
      <c r="C312">
        <v>1996</v>
      </c>
      <c r="E312" s="10" t="s">
        <v>7919</v>
      </c>
    </row>
    <row r="313" spans="1:6" x14ac:dyDescent="0.25">
      <c r="A313" t="s">
        <v>847</v>
      </c>
      <c r="B313" t="s">
        <v>2107</v>
      </c>
      <c r="C313">
        <v>1996</v>
      </c>
      <c r="E313" t="s">
        <v>3139</v>
      </c>
    </row>
    <row r="314" spans="1:6" x14ac:dyDescent="0.25">
      <c r="A314" t="s">
        <v>847</v>
      </c>
      <c r="B314" t="s">
        <v>8113</v>
      </c>
      <c r="C314">
        <v>1996</v>
      </c>
      <c r="E314" s="10" t="s">
        <v>8132</v>
      </c>
      <c r="F314" t="s">
        <v>8621</v>
      </c>
    </row>
    <row r="315" spans="1:6" x14ac:dyDescent="0.25">
      <c r="A315" t="s">
        <v>847</v>
      </c>
      <c r="B315" t="s">
        <v>2543</v>
      </c>
      <c r="C315">
        <v>1996</v>
      </c>
      <c r="E315" t="s">
        <v>3140</v>
      </c>
      <c r="F315" t="s">
        <v>8622</v>
      </c>
    </row>
    <row r="316" spans="1:6" x14ac:dyDescent="0.25">
      <c r="A316" t="s">
        <v>847</v>
      </c>
      <c r="B316" t="s">
        <v>2840</v>
      </c>
      <c r="C316">
        <v>1996</v>
      </c>
      <c r="E316" s="10" t="s">
        <v>3438</v>
      </c>
      <c r="F316" t="s">
        <v>8623</v>
      </c>
    </row>
    <row r="317" spans="1:6" x14ac:dyDescent="0.25">
      <c r="A317" t="s">
        <v>873</v>
      </c>
      <c r="B317" t="s">
        <v>287</v>
      </c>
      <c r="C317">
        <v>2019</v>
      </c>
      <c r="E317" t="s">
        <v>3141</v>
      </c>
    </row>
    <row r="318" spans="1:6" x14ac:dyDescent="0.25">
      <c r="A318" t="s">
        <v>873</v>
      </c>
      <c r="B318" t="s">
        <v>346</v>
      </c>
      <c r="C318">
        <v>2019</v>
      </c>
      <c r="E318" t="s">
        <v>2982</v>
      </c>
      <c r="F318" t="s">
        <v>8624</v>
      </c>
    </row>
    <row r="319" spans="1:6" x14ac:dyDescent="0.25">
      <c r="A319" t="s">
        <v>873</v>
      </c>
      <c r="B319" t="s">
        <v>850</v>
      </c>
      <c r="C319">
        <v>2019</v>
      </c>
      <c r="E319" t="s">
        <v>3142</v>
      </c>
      <c r="F319" t="s">
        <v>8625</v>
      </c>
    </row>
    <row r="320" spans="1:6" x14ac:dyDescent="0.25">
      <c r="A320" t="s">
        <v>873</v>
      </c>
      <c r="B320" t="s">
        <v>863</v>
      </c>
      <c r="C320">
        <v>2019</v>
      </c>
      <c r="E320" t="s">
        <v>3027</v>
      </c>
      <c r="F320" t="s">
        <v>8626</v>
      </c>
    </row>
    <row r="321" spans="1:6" x14ac:dyDescent="0.25">
      <c r="A321" t="s">
        <v>873</v>
      </c>
      <c r="B321" t="s">
        <v>877</v>
      </c>
      <c r="C321">
        <v>2019</v>
      </c>
      <c r="E321" t="s">
        <v>3100</v>
      </c>
      <c r="F321" t="s">
        <v>8627</v>
      </c>
    </row>
    <row r="322" spans="1:6" x14ac:dyDescent="0.25">
      <c r="A322" t="s">
        <v>873</v>
      </c>
      <c r="B322" t="s">
        <v>898</v>
      </c>
      <c r="C322">
        <v>2019</v>
      </c>
      <c r="E322" t="s">
        <v>3143</v>
      </c>
      <c r="F322" t="s">
        <v>8628</v>
      </c>
    </row>
    <row r="323" spans="1:6" x14ac:dyDescent="0.25">
      <c r="A323" t="s">
        <v>873</v>
      </c>
      <c r="B323" t="s">
        <v>960</v>
      </c>
      <c r="C323">
        <v>2019</v>
      </c>
      <c r="E323" t="s">
        <v>3144</v>
      </c>
      <c r="F323" t="s">
        <v>8629</v>
      </c>
    </row>
    <row r="324" spans="1:6" x14ac:dyDescent="0.25">
      <c r="A324" t="s">
        <v>873</v>
      </c>
      <c r="B324" t="s">
        <v>2385</v>
      </c>
      <c r="C324">
        <v>2019</v>
      </c>
      <c r="E324" s="10" t="s">
        <v>8421</v>
      </c>
    </row>
    <row r="325" spans="1:6" x14ac:dyDescent="0.25">
      <c r="A325" t="s">
        <v>873</v>
      </c>
      <c r="B325" t="s">
        <v>2416</v>
      </c>
      <c r="C325">
        <v>2019</v>
      </c>
      <c r="E325" t="s">
        <v>2982</v>
      </c>
    </row>
    <row r="326" spans="1:6" x14ac:dyDescent="0.25">
      <c r="A326" t="s">
        <v>873</v>
      </c>
      <c r="B326" t="s">
        <v>2924</v>
      </c>
      <c r="C326">
        <v>2019</v>
      </c>
      <c r="E326" s="10" t="s">
        <v>8388</v>
      </c>
      <c r="F326" t="s">
        <v>9274</v>
      </c>
    </row>
    <row r="327" spans="1:6" x14ac:dyDescent="0.25">
      <c r="A327" t="s">
        <v>904</v>
      </c>
      <c r="B327" t="s">
        <v>586</v>
      </c>
      <c r="C327">
        <v>2022</v>
      </c>
      <c r="E327" s="10" t="s">
        <v>594</v>
      </c>
      <c r="F327" t="s">
        <v>9243</v>
      </c>
    </row>
    <row r="328" spans="1:6" x14ac:dyDescent="0.25">
      <c r="A328" t="s">
        <v>904</v>
      </c>
      <c r="B328" t="s">
        <v>604</v>
      </c>
      <c r="C328">
        <v>2022</v>
      </c>
      <c r="E328" t="s">
        <v>3145</v>
      </c>
      <c r="F328" t="s">
        <v>8630</v>
      </c>
    </row>
    <row r="329" spans="1:6" x14ac:dyDescent="0.25">
      <c r="A329" t="s">
        <v>904</v>
      </c>
      <c r="B329" t="s">
        <v>1085</v>
      </c>
      <c r="C329">
        <v>2022</v>
      </c>
      <c r="E329" t="s">
        <v>1088</v>
      </c>
      <c r="F329" t="s">
        <v>8631</v>
      </c>
    </row>
    <row r="330" spans="1:6" x14ac:dyDescent="0.25">
      <c r="A330" t="s">
        <v>904</v>
      </c>
      <c r="B330" t="s">
        <v>1696</v>
      </c>
      <c r="C330">
        <v>2022</v>
      </c>
      <c r="E330" t="s">
        <v>3146</v>
      </c>
      <c r="F330" t="s">
        <v>8632</v>
      </c>
    </row>
    <row r="331" spans="1:6" x14ac:dyDescent="0.25">
      <c r="A331" t="s">
        <v>904</v>
      </c>
      <c r="B331" t="s">
        <v>2846</v>
      </c>
      <c r="C331">
        <v>2022</v>
      </c>
      <c r="E331" t="s">
        <v>3147</v>
      </c>
      <c r="F331" t="s">
        <v>8633</v>
      </c>
    </row>
    <row r="332" spans="1:6" x14ac:dyDescent="0.25">
      <c r="A332" t="s">
        <v>914</v>
      </c>
      <c r="B332" t="s">
        <v>709</v>
      </c>
      <c r="C332">
        <v>2013</v>
      </c>
      <c r="E332" t="s">
        <v>3114</v>
      </c>
    </row>
    <row r="333" spans="1:6" x14ac:dyDescent="0.25">
      <c r="A333" t="s">
        <v>914</v>
      </c>
      <c r="B333" t="s">
        <v>918</v>
      </c>
      <c r="C333">
        <v>2013</v>
      </c>
      <c r="D333" t="s">
        <v>187</v>
      </c>
    </row>
    <row r="334" spans="1:6" x14ac:dyDescent="0.25">
      <c r="A334" t="s">
        <v>914</v>
      </c>
      <c r="B334" t="s">
        <v>1394</v>
      </c>
      <c r="C334">
        <v>2013</v>
      </c>
      <c r="E334" t="s">
        <v>3032</v>
      </c>
    </row>
    <row r="335" spans="1:6" x14ac:dyDescent="0.25">
      <c r="A335" t="s">
        <v>914</v>
      </c>
      <c r="B335" t="s">
        <v>1911</v>
      </c>
      <c r="C335">
        <v>2013</v>
      </c>
      <c r="E335" s="10" t="s">
        <v>8381</v>
      </c>
      <c r="F335" t="s">
        <v>9257</v>
      </c>
    </row>
    <row r="336" spans="1:6" x14ac:dyDescent="0.25">
      <c r="A336" t="s">
        <v>914</v>
      </c>
      <c r="B336" t="s">
        <v>2144</v>
      </c>
      <c r="C336">
        <v>2013</v>
      </c>
      <c r="E336" t="s">
        <v>3148</v>
      </c>
      <c r="F336" t="s">
        <v>8634</v>
      </c>
    </row>
    <row r="337" spans="1:6" x14ac:dyDescent="0.25">
      <c r="A337" t="s">
        <v>914</v>
      </c>
      <c r="B337" t="s">
        <v>8119</v>
      </c>
      <c r="C337">
        <v>2013</v>
      </c>
      <c r="E337" s="10" t="s">
        <v>8133</v>
      </c>
    </row>
    <row r="338" spans="1:6" x14ac:dyDescent="0.25">
      <c r="A338" t="s">
        <v>914</v>
      </c>
      <c r="B338" t="s">
        <v>2502</v>
      </c>
      <c r="C338">
        <v>2013</v>
      </c>
      <c r="E338" s="10" t="s">
        <v>8424</v>
      </c>
    </row>
    <row r="339" spans="1:6" x14ac:dyDescent="0.25">
      <c r="A339" t="s">
        <v>914</v>
      </c>
      <c r="B339" t="s">
        <v>2630</v>
      </c>
      <c r="C339">
        <v>2013</v>
      </c>
      <c r="E339" t="s">
        <v>3149</v>
      </c>
    </row>
    <row r="340" spans="1:6" x14ac:dyDescent="0.25">
      <c r="A340" t="s">
        <v>922</v>
      </c>
      <c r="B340" t="s">
        <v>517</v>
      </c>
      <c r="C340">
        <v>2002</v>
      </c>
      <c r="E340" t="s">
        <v>3150</v>
      </c>
    </row>
    <row r="341" spans="1:6" x14ac:dyDescent="0.25">
      <c r="A341" t="s">
        <v>922</v>
      </c>
      <c r="B341" t="s">
        <v>531</v>
      </c>
      <c r="C341">
        <v>2002</v>
      </c>
      <c r="E341" t="s">
        <v>3151</v>
      </c>
      <c r="F341" t="s">
        <v>8635</v>
      </c>
    </row>
    <row r="342" spans="1:6" x14ac:dyDescent="0.25">
      <c r="A342" t="s">
        <v>922</v>
      </c>
      <c r="B342" t="s">
        <v>984</v>
      </c>
      <c r="C342">
        <v>2002</v>
      </c>
      <c r="E342" t="s">
        <v>2988</v>
      </c>
    </row>
    <row r="343" spans="1:6" x14ac:dyDescent="0.25">
      <c r="A343" t="s">
        <v>922</v>
      </c>
      <c r="B343" t="s">
        <v>1141</v>
      </c>
      <c r="C343">
        <v>2002</v>
      </c>
      <c r="E343" t="s">
        <v>2989</v>
      </c>
      <c r="F343" t="s">
        <v>8636</v>
      </c>
    </row>
    <row r="344" spans="1:6" x14ac:dyDescent="0.25">
      <c r="A344" t="s">
        <v>922</v>
      </c>
      <c r="B344" t="s">
        <v>1425</v>
      </c>
      <c r="C344">
        <v>2002</v>
      </c>
      <c r="E344" t="s">
        <v>2982</v>
      </c>
      <c r="F344" t="s">
        <v>8637</v>
      </c>
    </row>
    <row r="345" spans="1:6" x14ac:dyDescent="0.25">
      <c r="A345" t="s">
        <v>922</v>
      </c>
      <c r="B345" t="s">
        <v>1467</v>
      </c>
      <c r="C345">
        <v>2002</v>
      </c>
      <c r="D345" t="s">
        <v>187</v>
      </c>
    </row>
    <row r="346" spans="1:6" x14ac:dyDescent="0.25">
      <c r="A346" t="s">
        <v>922</v>
      </c>
      <c r="B346" t="s">
        <v>2035</v>
      </c>
      <c r="C346">
        <v>2002</v>
      </c>
      <c r="E346" t="s">
        <v>3152</v>
      </c>
      <c r="F346" t="s">
        <v>8638</v>
      </c>
    </row>
    <row r="347" spans="1:6" x14ac:dyDescent="0.25">
      <c r="A347" t="s">
        <v>922</v>
      </c>
      <c r="B347" t="s">
        <v>2406</v>
      </c>
      <c r="C347">
        <v>2002</v>
      </c>
      <c r="E347" t="s">
        <v>3062</v>
      </c>
      <c r="F347" t="s">
        <v>8639</v>
      </c>
    </row>
    <row r="348" spans="1:6" x14ac:dyDescent="0.25">
      <c r="A348" t="s">
        <v>924</v>
      </c>
      <c r="B348" t="s">
        <v>8403</v>
      </c>
      <c r="C348">
        <v>2019</v>
      </c>
      <c r="E348" s="10" t="s">
        <v>8402</v>
      </c>
    </row>
    <row r="349" spans="1:6" x14ac:dyDescent="0.25">
      <c r="A349" t="s">
        <v>924</v>
      </c>
      <c r="B349" t="s">
        <v>1995</v>
      </c>
      <c r="C349">
        <v>2019</v>
      </c>
    </row>
    <row r="350" spans="1:6" x14ac:dyDescent="0.25">
      <c r="A350" t="s">
        <v>924</v>
      </c>
      <c r="B350" t="s">
        <v>2365</v>
      </c>
      <c r="C350">
        <v>2019</v>
      </c>
      <c r="E350" s="10" t="s">
        <v>2368</v>
      </c>
    </row>
    <row r="351" spans="1:6" x14ac:dyDescent="0.25">
      <c r="A351" t="s">
        <v>924</v>
      </c>
      <c r="B351" t="s">
        <v>2506</v>
      </c>
      <c r="C351">
        <v>2019</v>
      </c>
      <c r="E351" t="s">
        <v>3153</v>
      </c>
      <c r="F351" t="s">
        <v>8640</v>
      </c>
    </row>
    <row r="352" spans="1:6" x14ac:dyDescent="0.25">
      <c r="A352" t="s">
        <v>924</v>
      </c>
      <c r="B352" t="s">
        <v>2594</v>
      </c>
      <c r="C352">
        <v>2019</v>
      </c>
      <c r="E352" t="s">
        <v>3154</v>
      </c>
      <c r="F352" t="s">
        <v>8641</v>
      </c>
    </row>
    <row r="353" spans="1:6" x14ac:dyDescent="0.25">
      <c r="A353" t="s">
        <v>924</v>
      </c>
      <c r="B353" t="s">
        <v>2614</v>
      </c>
      <c r="C353">
        <v>2019</v>
      </c>
      <c r="E353" t="s">
        <v>3155</v>
      </c>
    </row>
    <row r="354" spans="1:6" x14ac:dyDescent="0.25">
      <c r="A354" t="s">
        <v>924</v>
      </c>
      <c r="B354" t="s">
        <v>2818</v>
      </c>
      <c r="C354">
        <v>2019</v>
      </c>
      <c r="E354" t="s">
        <v>3156</v>
      </c>
    </row>
    <row r="355" spans="1:6" x14ac:dyDescent="0.25">
      <c r="A355" t="s">
        <v>930</v>
      </c>
      <c r="B355" t="s">
        <v>1067</v>
      </c>
      <c r="C355">
        <v>2015</v>
      </c>
      <c r="E355" s="10" t="s">
        <v>8430</v>
      </c>
      <c r="F355" t="s">
        <v>9306</v>
      </c>
    </row>
    <row r="356" spans="1:6" x14ac:dyDescent="0.25">
      <c r="A356" t="s">
        <v>930</v>
      </c>
      <c r="B356" t="s">
        <v>1235</v>
      </c>
      <c r="C356">
        <v>2015</v>
      </c>
      <c r="E356" t="s">
        <v>3157</v>
      </c>
    </row>
    <row r="357" spans="1:6" x14ac:dyDescent="0.25">
      <c r="A357" t="s">
        <v>930</v>
      </c>
      <c r="B357" t="s">
        <v>1541</v>
      </c>
      <c r="C357">
        <v>2015</v>
      </c>
      <c r="E357" t="s">
        <v>3158</v>
      </c>
      <c r="F357" t="s">
        <v>8642</v>
      </c>
    </row>
    <row r="358" spans="1:6" x14ac:dyDescent="0.25">
      <c r="A358" t="s">
        <v>930</v>
      </c>
      <c r="B358" t="s">
        <v>1553</v>
      </c>
      <c r="C358">
        <v>2015</v>
      </c>
      <c r="E358" t="s">
        <v>3159</v>
      </c>
    </row>
    <row r="359" spans="1:6" x14ac:dyDescent="0.25">
      <c r="A359" t="s">
        <v>930</v>
      </c>
      <c r="B359" t="s">
        <v>2130</v>
      </c>
      <c r="C359">
        <v>2015</v>
      </c>
      <c r="E359" t="s">
        <v>3160</v>
      </c>
      <c r="F359" t="s">
        <v>8643</v>
      </c>
    </row>
    <row r="360" spans="1:6" x14ac:dyDescent="0.25">
      <c r="A360" t="s">
        <v>930</v>
      </c>
      <c r="B360" t="s">
        <v>2254</v>
      </c>
      <c r="C360">
        <v>2015</v>
      </c>
      <c r="E360" t="s">
        <v>2982</v>
      </c>
      <c r="F360" t="s">
        <v>8644</v>
      </c>
    </row>
    <row r="361" spans="1:6" x14ac:dyDescent="0.25">
      <c r="A361" t="s">
        <v>930</v>
      </c>
      <c r="B361" t="s">
        <v>2328</v>
      </c>
      <c r="C361">
        <v>2015</v>
      </c>
      <c r="E361" t="s">
        <v>3161</v>
      </c>
    </row>
    <row r="362" spans="1:6" x14ac:dyDescent="0.25">
      <c r="A362" t="s">
        <v>930</v>
      </c>
      <c r="B362" t="s">
        <v>2744</v>
      </c>
      <c r="C362">
        <v>2015</v>
      </c>
      <c r="E362" t="s">
        <v>3162</v>
      </c>
      <c r="F362" t="s">
        <v>8645</v>
      </c>
    </row>
    <row r="363" spans="1:6" x14ac:dyDescent="0.25">
      <c r="A363" t="s">
        <v>930</v>
      </c>
      <c r="B363" t="s">
        <v>2760</v>
      </c>
      <c r="C363">
        <v>2015</v>
      </c>
      <c r="E363" t="s">
        <v>3163</v>
      </c>
    </row>
    <row r="364" spans="1:6" x14ac:dyDescent="0.25">
      <c r="A364" t="s">
        <v>946</v>
      </c>
      <c r="B364" t="s">
        <v>873</v>
      </c>
      <c r="C364">
        <v>2014</v>
      </c>
      <c r="E364" t="s">
        <v>3164</v>
      </c>
      <c r="F364" t="s">
        <v>8646</v>
      </c>
    </row>
    <row r="365" spans="1:6" x14ac:dyDescent="0.25">
      <c r="A365" t="s">
        <v>946</v>
      </c>
      <c r="B365" t="s">
        <v>1686</v>
      </c>
      <c r="C365">
        <v>2014</v>
      </c>
      <c r="E365" t="s">
        <v>1689</v>
      </c>
      <c r="F365" t="s">
        <v>8647</v>
      </c>
    </row>
    <row r="366" spans="1:6" x14ac:dyDescent="0.25">
      <c r="A366" t="s">
        <v>946</v>
      </c>
      <c r="B366" t="s">
        <v>1847</v>
      </c>
      <c r="C366">
        <v>2014</v>
      </c>
      <c r="E366" t="s">
        <v>3165</v>
      </c>
    </row>
    <row r="367" spans="1:6" x14ac:dyDescent="0.25">
      <c r="A367" t="s">
        <v>946</v>
      </c>
      <c r="B367" t="s">
        <v>90</v>
      </c>
      <c r="C367">
        <v>2014</v>
      </c>
      <c r="E367" t="s">
        <v>3166</v>
      </c>
    </row>
    <row r="368" spans="1:6" x14ac:dyDescent="0.25">
      <c r="A368" t="s">
        <v>960</v>
      </c>
      <c r="B368" t="s">
        <v>2219</v>
      </c>
      <c r="C368">
        <v>2024</v>
      </c>
      <c r="E368" t="s">
        <v>2982</v>
      </c>
      <c r="F368" t="s">
        <v>8648</v>
      </c>
    </row>
    <row r="369" spans="1:6" x14ac:dyDescent="0.25">
      <c r="A369" t="s">
        <v>964</v>
      </c>
      <c r="B369" t="s">
        <v>531</v>
      </c>
      <c r="C369">
        <v>2006</v>
      </c>
      <c r="E369" t="s">
        <v>3151</v>
      </c>
    </row>
    <row r="370" spans="1:6" x14ac:dyDescent="0.25">
      <c r="A370" t="s">
        <v>964</v>
      </c>
      <c r="B370" t="s">
        <v>623</v>
      </c>
      <c r="C370">
        <v>2006</v>
      </c>
      <c r="E370" t="s">
        <v>3167</v>
      </c>
    </row>
    <row r="371" spans="1:6" x14ac:dyDescent="0.25">
      <c r="A371" t="s">
        <v>964</v>
      </c>
      <c r="B371" t="s">
        <v>836</v>
      </c>
      <c r="C371">
        <v>2006</v>
      </c>
      <c r="E371" t="s">
        <v>3168</v>
      </c>
      <c r="F371" t="s">
        <v>8649</v>
      </c>
    </row>
    <row r="372" spans="1:6" x14ac:dyDescent="0.25">
      <c r="A372" t="s">
        <v>964</v>
      </c>
      <c r="B372" t="s">
        <v>984</v>
      </c>
      <c r="C372">
        <v>2006</v>
      </c>
      <c r="E372" t="s">
        <v>3072</v>
      </c>
      <c r="F372" t="s">
        <v>8650</v>
      </c>
    </row>
    <row r="373" spans="1:6" x14ac:dyDescent="0.25">
      <c r="A373" t="s">
        <v>964</v>
      </c>
      <c r="B373" t="s">
        <v>1223</v>
      </c>
      <c r="C373">
        <v>2006</v>
      </c>
      <c r="E373" t="s">
        <v>2982</v>
      </c>
      <c r="F373" t="s">
        <v>8651</v>
      </c>
    </row>
    <row r="374" spans="1:6" x14ac:dyDescent="0.25">
      <c r="A374" t="s">
        <v>964</v>
      </c>
      <c r="B374" t="s">
        <v>1937</v>
      </c>
      <c r="C374">
        <v>2006</v>
      </c>
      <c r="E374" t="s">
        <v>1940</v>
      </c>
      <c r="F374" t="s">
        <v>8652</v>
      </c>
    </row>
    <row r="375" spans="1:6" x14ac:dyDescent="0.25">
      <c r="A375" t="s">
        <v>964</v>
      </c>
      <c r="B375" t="s">
        <v>2107</v>
      </c>
      <c r="C375">
        <v>2006</v>
      </c>
      <c r="E375" t="s">
        <v>3139</v>
      </c>
    </row>
    <row r="376" spans="1:6" x14ac:dyDescent="0.25">
      <c r="A376" t="s">
        <v>964</v>
      </c>
      <c r="B376" t="s">
        <v>2724</v>
      </c>
      <c r="C376">
        <v>2006</v>
      </c>
      <c r="E376" t="s">
        <v>2727</v>
      </c>
      <c r="F376" t="s">
        <v>8653</v>
      </c>
    </row>
    <row r="377" spans="1:6" x14ac:dyDescent="0.25">
      <c r="A377" t="s">
        <v>964</v>
      </c>
      <c r="B377" t="s">
        <v>2796</v>
      </c>
      <c r="C377">
        <v>2018</v>
      </c>
      <c r="E377" t="s">
        <v>3169</v>
      </c>
      <c r="F377" t="s">
        <v>8654</v>
      </c>
    </row>
    <row r="378" spans="1:6" x14ac:dyDescent="0.25">
      <c r="A378" t="s">
        <v>964</v>
      </c>
      <c r="B378" t="s">
        <v>2962</v>
      </c>
      <c r="C378">
        <v>2006</v>
      </c>
      <c r="E378" t="s">
        <v>3006</v>
      </c>
    </row>
    <row r="379" spans="1:6" x14ac:dyDescent="0.25">
      <c r="A379" t="s">
        <v>984</v>
      </c>
      <c r="B379" t="s">
        <v>2578</v>
      </c>
      <c r="C379">
        <v>2010</v>
      </c>
      <c r="E379" t="s">
        <v>3170</v>
      </c>
      <c r="F379" t="s">
        <v>8655</v>
      </c>
    </row>
    <row r="380" spans="1:6" x14ac:dyDescent="0.25">
      <c r="A380" t="s">
        <v>994</v>
      </c>
      <c r="B380" t="s">
        <v>1407</v>
      </c>
      <c r="C380">
        <v>2011</v>
      </c>
      <c r="E380" t="s">
        <v>3171</v>
      </c>
      <c r="F380" t="s">
        <v>8656</v>
      </c>
    </row>
    <row r="381" spans="1:6" x14ac:dyDescent="0.25">
      <c r="A381" t="s">
        <v>994</v>
      </c>
      <c r="B381" t="s">
        <v>2039</v>
      </c>
      <c r="C381">
        <v>2011</v>
      </c>
      <c r="E381" t="s">
        <v>2981</v>
      </c>
    </row>
    <row r="382" spans="1:6" x14ac:dyDescent="0.25">
      <c r="A382" t="s">
        <v>994</v>
      </c>
      <c r="B382" t="s">
        <v>2190</v>
      </c>
      <c r="C382">
        <v>2011</v>
      </c>
      <c r="E382" t="s">
        <v>3172</v>
      </c>
    </row>
    <row r="383" spans="1:6" x14ac:dyDescent="0.25">
      <c r="A383" t="s">
        <v>994</v>
      </c>
      <c r="B383" t="s">
        <v>2623</v>
      </c>
      <c r="C383">
        <v>2011</v>
      </c>
      <c r="E383" t="s">
        <v>3080</v>
      </c>
      <c r="F383" t="s">
        <v>8657</v>
      </c>
    </row>
    <row r="384" spans="1:6" x14ac:dyDescent="0.25">
      <c r="A384" t="s">
        <v>998</v>
      </c>
      <c r="B384" t="s">
        <v>2267</v>
      </c>
      <c r="C384">
        <v>2018</v>
      </c>
      <c r="D384" t="s">
        <v>187</v>
      </c>
    </row>
    <row r="385" spans="1:6" x14ac:dyDescent="0.25">
      <c r="A385" t="s">
        <v>1004</v>
      </c>
      <c r="B385" t="s">
        <v>553</v>
      </c>
      <c r="C385">
        <v>2006</v>
      </c>
      <c r="E385" s="10" t="s">
        <v>8411</v>
      </c>
      <c r="F385" t="s">
        <v>9286</v>
      </c>
    </row>
    <row r="386" spans="1:6" x14ac:dyDescent="0.25">
      <c r="A386" t="s">
        <v>1004</v>
      </c>
      <c r="B386" t="s">
        <v>984</v>
      </c>
      <c r="C386">
        <v>2006</v>
      </c>
      <c r="E386" t="s">
        <v>2988</v>
      </c>
    </row>
    <row r="387" spans="1:6" x14ac:dyDescent="0.25">
      <c r="A387" t="s">
        <v>1004</v>
      </c>
      <c r="B387" t="s">
        <v>1482</v>
      </c>
      <c r="C387">
        <v>2006</v>
      </c>
      <c r="E387" t="s">
        <v>3173</v>
      </c>
      <c r="F387" t="s">
        <v>8658</v>
      </c>
    </row>
    <row r="388" spans="1:6" x14ac:dyDescent="0.25">
      <c r="A388" t="s">
        <v>1004</v>
      </c>
      <c r="B388" t="s">
        <v>2395</v>
      </c>
      <c r="C388">
        <v>2006</v>
      </c>
      <c r="E388" t="s">
        <v>3174</v>
      </c>
      <c r="F388" t="s">
        <v>8659</v>
      </c>
    </row>
    <row r="389" spans="1:6" x14ac:dyDescent="0.25">
      <c r="A389" t="s">
        <v>1004</v>
      </c>
      <c r="B389" t="s">
        <v>2514</v>
      </c>
      <c r="C389">
        <v>2006</v>
      </c>
      <c r="E389" t="s">
        <v>3175</v>
      </c>
    </row>
    <row r="390" spans="1:6" x14ac:dyDescent="0.25">
      <c r="A390" t="s">
        <v>1004</v>
      </c>
      <c r="B390" t="s">
        <v>2623</v>
      </c>
      <c r="C390">
        <v>2006</v>
      </c>
      <c r="E390" t="s">
        <v>3176</v>
      </c>
      <c r="F390" t="s">
        <v>8660</v>
      </c>
    </row>
    <row r="391" spans="1:6" x14ac:dyDescent="0.25">
      <c r="A391" t="s">
        <v>1004</v>
      </c>
      <c r="B391" t="s">
        <v>2769</v>
      </c>
      <c r="C391">
        <v>2006</v>
      </c>
      <c r="E391" t="s">
        <v>3177</v>
      </c>
    </row>
    <row r="392" spans="1:6" x14ac:dyDescent="0.25">
      <c r="A392" t="s">
        <v>1004</v>
      </c>
      <c r="B392" t="s">
        <v>2832</v>
      </c>
      <c r="C392">
        <v>2006</v>
      </c>
      <c r="E392" t="s">
        <v>3178</v>
      </c>
    </row>
    <row r="393" spans="1:6" x14ac:dyDescent="0.25">
      <c r="A393" t="s">
        <v>1004</v>
      </c>
      <c r="B393" t="s">
        <v>2860</v>
      </c>
      <c r="C393">
        <v>2006</v>
      </c>
      <c r="E393" t="s">
        <v>3179</v>
      </c>
      <c r="F393" t="s">
        <v>8661</v>
      </c>
    </row>
    <row r="394" spans="1:6" x14ac:dyDescent="0.25">
      <c r="A394" t="s">
        <v>1004</v>
      </c>
      <c r="B394" t="s">
        <v>2864</v>
      </c>
      <c r="C394">
        <v>2006</v>
      </c>
      <c r="E394" t="s">
        <v>3180</v>
      </c>
      <c r="F394" t="s">
        <v>8662</v>
      </c>
    </row>
    <row r="395" spans="1:6" x14ac:dyDescent="0.25">
      <c r="A395" t="s">
        <v>1010</v>
      </c>
      <c r="B395" t="s">
        <v>2273</v>
      </c>
      <c r="C395">
        <v>2025</v>
      </c>
      <c r="E395" t="s">
        <v>3181</v>
      </c>
      <c r="F395" t="s">
        <v>8663</v>
      </c>
    </row>
    <row r="396" spans="1:6" x14ac:dyDescent="0.25">
      <c r="A396" t="s">
        <v>1027</v>
      </c>
      <c r="B396" t="s">
        <v>984</v>
      </c>
      <c r="C396">
        <v>2008</v>
      </c>
      <c r="E396" t="s">
        <v>2988</v>
      </c>
    </row>
    <row r="397" spans="1:6" x14ac:dyDescent="0.25">
      <c r="A397" t="s">
        <v>1027</v>
      </c>
      <c r="B397" t="s">
        <v>1025</v>
      </c>
      <c r="C397">
        <v>2008</v>
      </c>
      <c r="D397" t="s">
        <v>187</v>
      </c>
    </row>
    <row r="398" spans="1:6" x14ac:dyDescent="0.25">
      <c r="A398" t="s">
        <v>1029</v>
      </c>
      <c r="B398" t="s">
        <v>2812</v>
      </c>
      <c r="C398">
        <v>2022</v>
      </c>
      <c r="E398" t="s">
        <v>3082</v>
      </c>
      <c r="F398" t="s">
        <v>8664</v>
      </c>
    </row>
    <row r="399" spans="1:6" x14ac:dyDescent="0.25">
      <c r="A399" t="s">
        <v>1038</v>
      </c>
      <c r="B399" t="s">
        <v>281</v>
      </c>
      <c r="C399">
        <v>2023</v>
      </c>
      <c r="D399" t="s">
        <v>187</v>
      </c>
    </row>
    <row r="400" spans="1:6" x14ac:dyDescent="0.25">
      <c r="A400" t="s">
        <v>1046</v>
      </c>
      <c r="B400" t="s">
        <v>226</v>
      </c>
      <c r="C400">
        <v>2016</v>
      </c>
      <c r="E400" t="s">
        <v>3182</v>
      </c>
    </row>
    <row r="401" spans="1:6" x14ac:dyDescent="0.25">
      <c r="A401" t="s">
        <v>1046</v>
      </c>
      <c r="B401" t="s">
        <v>245</v>
      </c>
      <c r="C401">
        <v>2016</v>
      </c>
      <c r="E401" t="s">
        <v>3183</v>
      </c>
    </row>
    <row r="402" spans="1:6" x14ac:dyDescent="0.25">
      <c r="A402" t="s">
        <v>1046</v>
      </c>
      <c r="B402" t="s">
        <v>308</v>
      </c>
      <c r="C402">
        <v>2016</v>
      </c>
      <c r="E402" t="s">
        <v>3184</v>
      </c>
    </row>
    <row r="403" spans="1:6" x14ac:dyDescent="0.25">
      <c r="A403" t="s">
        <v>1046</v>
      </c>
      <c r="B403" t="s">
        <v>319</v>
      </c>
      <c r="C403">
        <v>2016</v>
      </c>
      <c r="E403" t="s">
        <v>2982</v>
      </c>
      <c r="F403" t="s">
        <v>8665</v>
      </c>
    </row>
    <row r="404" spans="1:6" x14ac:dyDescent="0.25">
      <c r="A404" t="s">
        <v>1046</v>
      </c>
      <c r="B404" t="s">
        <v>333</v>
      </c>
      <c r="C404">
        <v>2016</v>
      </c>
      <c r="E404" t="s">
        <v>3185</v>
      </c>
    </row>
    <row r="405" spans="1:6" x14ac:dyDescent="0.25">
      <c r="A405" t="s">
        <v>1046</v>
      </c>
      <c r="B405" t="s">
        <v>415</v>
      </c>
      <c r="C405">
        <v>2016</v>
      </c>
      <c r="E405" t="s">
        <v>3186</v>
      </c>
    </row>
    <row r="406" spans="1:6" x14ac:dyDescent="0.25">
      <c r="A406" t="s">
        <v>1046</v>
      </c>
      <c r="B406" t="s">
        <v>501</v>
      </c>
      <c r="C406">
        <v>2016</v>
      </c>
      <c r="E406" t="s">
        <v>3187</v>
      </c>
      <c r="F406" t="s">
        <v>8666</v>
      </c>
    </row>
    <row r="407" spans="1:6" x14ac:dyDescent="0.25">
      <c r="A407" t="s">
        <v>1046</v>
      </c>
      <c r="B407" t="s">
        <v>557</v>
      </c>
      <c r="C407">
        <v>2016</v>
      </c>
      <c r="E407" s="10" t="s">
        <v>8422</v>
      </c>
      <c r="F407" t="s">
        <v>9301</v>
      </c>
    </row>
    <row r="408" spans="1:6" x14ac:dyDescent="0.25">
      <c r="A408" t="s">
        <v>1046</v>
      </c>
      <c r="B408" t="s">
        <v>709</v>
      </c>
      <c r="C408">
        <v>2016</v>
      </c>
      <c r="E408" t="s">
        <v>3114</v>
      </c>
    </row>
    <row r="409" spans="1:6" x14ac:dyDescent="0.25">
      <c r="A409" t="s">
        <v>1046</v>
      </c>
      <c r="B409" t="s">
        <v>1050</v>
      </c>
      <c r="C409">
        <v>2016</v>
      </c>
      <c r="E409" t="s">
        <v>3102</v>
      </c>
    </row>
    <row r="410" spans="1:6" x14ac:dyDescent="0.25">
      <c r="A410" t="s">
        <v>1046</v>
      </c>
      <c r="B410" t="s">
        <v>1067</v>
      </c>
      <c r="C410">
        <v>2016</v>
      </c>
      <c r="D410" t="s">
        <v>187</v>
      </c>
    </row>
    <row r="411" spans="1:6" x14ac:dyDescent="0.25">
      <c r="A411" t="s">
        <v>1046</v>
      </c>
      <c r="B411" t="s">
        <v>1159</v>
      </c>
      <c r="C411">
        <v>2016</v>
      </c>
      <c r="E411" t="s">
        <v>3119</v>
      </c>
      <c r="F411" t="s">
        <v>8667</v>
      </c>
    </row>
    <row r="412" spans="1:6" x14ac:dyDescent="0.25">
      <c r="A412" t="s">
        <v>1046</v>
      </c>
      <c r="B412" t="s">
        <v>1219</v>
      </c>
      <c r="C412">
        <v>2016</v>
      </c>
      <c r="E412" t="s">
        <v>2982</v>
      </c>
      <c r="F412" t="s">
        <v>8668</v>
      </c>
    </row>
    <row r="413" spans="1:6" x14ac:dyDescent="0.25">
      <c r="A413" t="s">
        <v>1046</v>
      </c>
      <c r="B413" t="s">
        <v>1272</v>
      </c>
      <c r="C413">
        <v>2016</v>
      </c>
      <c r="E413" t="s">
        <v>3188</v>
      </c>
      <c r="F413" t="s">
        <v>8669</v>
      </c>
    </row>
    <row r="414" spans="1:6" x14ac:dyDescent="0.25">
      <c r="A414" t="s">
        <v>1046</v>
      </c>
      <c r="B414" t="s">
        <v>1294</v>
      </c>
      <c r="C414">
        <v>2016</v>
      </c>
      <c r="E414" s="10" t="s">
        <v>8368</v>
      </c>
      <c r="F414" t="s">
        <v>9232</v>
      </c>
    </row>
    <row r="415" spans="1:6" x14ac:dyDescent="0.25">
      <c r="A415" t="s">
        <v>1046</v>
      </c>
      <c r="B415" t="s">
        <v>1413</v>
      </c>
      <c r="C415">
        <v>2016</v>
      </c>
      <c r="E415" s="10" t="s">
        <v>8417</v>
      </c>
      <c r="F415" t="s">
        <v>9295</v>
      </c>
    </row>
    <row r="416" spans="1:6" x14ac:dyDescent="0.25">
      <c r="A416" t="s">
        <v>1046</v>
      </c>
      <c r="B416" t="s">
        <v>1516</v>
      </c>
      <c r="C416">
        <v>2016</v>
      </c>
      <c r="E416" t="s">
        <v>2982</v>
      </c>
      <c r="F416" t="s">
        <v>8670</v>
      </c>
    </row>
    <row r="417" spans="1:6" x14ac:dyDescent="0.25">
      <c r="A417" t="s">
        <v>1046</v>
      </c>
      <c r="B417" t="s">
        <v>1771</v>
      </c>
      <c r="C417">
        <v>2016</v>
      </c>
      <c r="E417" t="s">
        <v>3189</v>
      </c>
    </row>
    <row r="418" spans="1:6" x14ac:dyDescent="0.25">
      <c r="A418" t="s">
        <v>1046</v>
      </c>
      <c r="B418" t="s">
        <v>1787</v>
      </c>
      <c r="C418">
        <v>2016</v>
      </c>
      <c r="E418" s="10" t="s">
        <v>8413</v>
      </c>
      <c r="F418" t="s">
        <v>9289</v>
      </c>
    </row>
    <row r="419" spans="1:6" x14ac:dyDescent="0.25">
      <c r="A419" t="s">
        <v>1046</v>
      </c>
      <c r="B419" t="s">
        <v>1877</v>
      </c>
      <c r="C419">
        <v>2016</v>
      </c>
      <c r="E419" t="s">
        <v>3190</v>
      </c>
      <c r="F419" t="s">
        <v>8671</v>
      </c>
    </row>
    <row r="420" spans="1:6" x14ac:dyDescent="0.25">
      <c r="A420" t="s">
        <v>1046</v>
      </c>
      <c r="B420" t="s">
        <v>7926</v>
      </c>
      <c r="C420">
        <v>2016</v>
      </c>
      <c r="E420" s="10" t="s">
        <v>7925</v>
      </c>
    </row>
    <row r="421" spans="1:6" x14ac:dyDescent="0.25">
      <c r="A421" t="s">
        <v>1046</v>
      </c>
      <c r="B421" t="s">
        <v>1933</v>
      </c>
      <c r="C421">
        <v>2016</v>
      </c>
      <c r="E421" s="10" t="s">
        <v>8420</v>
      </c>
    </row>
    <row r="422" spans="1:6" x14ac:dyDescent="0.25">
      <c r="A422" t="s">
        <v>1046</v>
      </c>
      <c r="B422" t="s">
        <v>1941</v>
      </c>
      <c r="C422">
        <v>2016</v>
      </c>
      <c r="E422" t="s">
        <v>3191</v>
      </c>
      <c r="F422" t="s">
        <v>8672</v>
      </c>
    </row>
    <row r="423" spans="1:6" x14ac:dyDescent="0.25">
      <c r="A423" t="s">
        <v>1046</v>
      </c>
      <c r="B423" t="s">
        <v>2056</v>
      </c>
      <c r="C423">
        <v>2016</v>
      </c>
      <c r="E423" t="s">
        <v>3192</v>
      </c>
      <c r="F423" t="s">
        <v>8673</v>
      </c>
    </row>
    <row r="424" spans="1:6" x14ac:dyDescent="0.25">
      <c r="A424" t="s">
        <v>1046</v>
      </c>
      <c r="B424" t="s">
        <v>2146</v>
      </c>
      <c r="C424">
        <v>2016</v>
      </c>
      <c r="E424" s="10" t="s">
        <v>8382</v>
      </c>
      <c r="F424" t="s">
        <v>9260</v>
      </c>
    </row>
    <row r="425" spans="1:6" x14ac:dyDescent="0.25">
      <c r="A425" t="s">
        <v>1046</v>
      </c>
      <c r="B425" t="s">
        <v>2267</v>
      </c>
      <c r="C425">
        <v>2016</v>
      </c>
      <c r="E425" t="s">
        <v>2982</v>
      </c>
    </row>
    <row r="426" spans="1:6" x14ac:dyDescent="0.25">
      <c r="A426" t="s">
        <v>1046</v>
      </c>
      <c r="B426" t="s">
        <v>2537</v>
      </c>
      <c r="C426">
        <v>2016</v>
      </c>
      <c r="E426" t="s">
        <v>3010</v>
      </c>
      <c r="F426" t="s">
        <v>8674</v>
      </c>
    </row>
    <row r="427" spans="1:6" x14ac:dyDescent="0.25">
      <c r="A427" t="s">
        <v>1046</v>
      </c>
      <c r="B427" t="s">
        <v>2675</v>
      </c>
      <c r="C427">
        <v>2016</v>
      </c>
      <c r="E427" t="s">
        <v>3193</v>
      </c>
      <c r="F427" t="s">
        <v>8675</v>
      </c>
    </row>
    <row r="428" spans="1:6" x14ac:dyDescent="0.25">
      <c r="A428" t="s">
        <v>1046</v>
      </c>
      <c r="B428" t="s">
        <v>2698</v>
      </c>
      <c r="C428">
        <v>2016</v>
      </c>
      <c r="E428" t="s">
        <v>3194</v>
      </c>
    </row>
    <row r="429" spans="1:6" x14ac:dyDescent="0.25">
      <c r="A429" t="s">
        <v>1046</v>
      </c>
      <c r="B429" t="s">
        <v>2711</v>
      </c>
      <c r="C429">
        <v>2016</v>
      </c>
      <c r="E429" t="s">
        <v>3195</v>
      </c>
      <c r="F429" t="s">
        <v>8676</v>
      </c>
    </row>
    <row r="430" spans="1:6" x14ac:dyDescent="0.25">
      <c r="A430" t="s">
        <v>1046</v>
      </c>
      <c r="B430" t="s">
        <v>2782</v>
      </c>
      <c r="C430">
        <v>2016</v>
      </c>
      <c r="E430" s="10" t="s">
        <v>8439</v>
      </c>
      <c r="F430" t="s">
        <v>9318</v>
      </c>
    </row>
    <row r="431" spans="1:6" x14ac:dyDescent="0.25">
      <c r="A431" t="s">
        <v>1055</v>
      </c>
      <c r="B431" t="s">
        <v>1057</v>
      </c>
      <c r="C431">
        <v>2015</v>
      </c>
      <c r="D431" t="s">
        <v>187</v>
      </c>
    </row>
    <row r="432" spans="1:6" x14ac:dyDescent="0.25">
      <c r="A432" t="s">
        <v>1080</v>
      </c>
      <c r="B432" t="s">
        <v>934</v>
      </c>
      <c r="C432">
        <v>1990</v>
      </c>
      <c r="D432" t="s">
        <v>187</v>
      </c>
      <c r="E432" t="s">
        <v>3196</v>
      </c>
      <c r="F432" t="s">
        <v>8677</v>
      </c>
    </row>
    <row r="433" spans="1:6" x14ac:dyDescent="0.25">
      <c r="A433" t="s">
        <v>1089</v>
      </c>
      <c r="B433" t="s">
        <v>181</v>
      </c>
      <c r="C433">
        <v>2021</v>
      </c>
      <c r="D433" t="s">
        <v>187</v>
      </c>
    </row>
    <row r="434" spans="1:6" x14ac:dyDescent="0.25">
      <c r="A434" t="s">
        <v>1089</v>
      </c>
      <c r="B434" t="s">
        <v>1108</v>
      </c>
      <c r="C434">
        <v>2021</v>
      </c>
      <c r="E434" t="s">
        <v>2982</v>
      </c>
      <c r="F434" t="s">
        <v>8678</v>
      </c>
    </row>
    <row r="435" spans="1:6" x14ac:dyDescent="0.25">
      <c r="A435" t="s">
        <v>1089</v>
      </c>
      <c r="B435" t="s">
        <v>1507</v>
      </c>
      <c r="C435">
        <v>2021</v>
      </c>
      <c r="D435" t="s">
        <v>187</v>
      </c>
    </row>
    <row r="436" spans="1:6" x14ac:dyDescent="0.25">
      <c r="A436" t="s">
        <v>1093</v>
      </c>
      <c r="B436" t="s">
        <v>584</v>
      </c>
      <c r="C436">
        <v>2007</v>
      </c>
      <c r="D436" t="s">
        <v>187</v>
      </c>
    </row>
    <row r="437" spans="1:6" x14ac:dyDescent="0.25">
      <c r="A437" t="s">
        <v>1100</v>
      </c>
      <c r="B437" t="s">
        <v>563</v>
      </c>
      <c r="C437">
        <v>2022</v>
      </c>
      <c r="E437" t="s">
        <v>566</v>
      </c>
      <c r="F437" t="s">
        <v>8679</v>
      </c>
    </row>
    <row r="438" spans="1:6" x14ac:dyDescent="0.25">
      <c r="A438" t="s">
        <v>1115</v>
      </c>
      <c r="B438" t="s">
        <v>1119</v>
      </c>
      <c r="C438">
        <v>2018</v>
      </c>
      <c r="D438" t="s">
        <v>187</v>
      </c>
    </row>
    <row r="439" spans="1:6" x14ac:dyDescent="0.25">
      <c r="A439" t="s">
        <v>1115</v>
      </c>
      <c r="B439" t="s">
        <v>1526</v>
      </c>
      <c r="C439">
        <v>2018</v>
      </c>
      <c r="E439" t="s">
        <v>3054</v>
      </c>
    </row>
    <row r="440" spans="1:6" x14ac:dyDescent="0.25">
      <c r="A440" t="s">
        <v>1115</v>
      </c>
      <c r="B440" t="s">
        <v>2244</v>
      </c>
      <c r="C440">
        <v>2018</v>
      </c>
      <c r="E440" t="s">
        <v>3091</v>
      </c>
      <c r="F440" t="s">
        <v>8680</v>
      </c>
    </row>
    <row r="441" spans="1:6" x14ac:dyDescent="0.25">
      <c r="A441" t="s">
        <v>1123</v>
      </c>
      <c r="B441" t="s">
        <v>276</v>
      </c>
      <c r="C441">
        <v>2020</v>
      </c>
      <c r="D441" t="s">
        <v>187</v>
      </c>
    </row>
    <row r="442" spans="1:6" x14ac:dyDescent="0.25">
      <c r="A442" t="s">
        <v>1129</v>
      </c>
      <c r="B442" t="s">
        <v>850</v>
      </c>
      <c r="C442">
        <v>2022</v>
      </c>
      <c r="E442" t="s">
        <v>2982</v>
      </c>
      <c r="F442" t="s">
        <v>8681</v>
      </c>
    </row>
    <row r="443" spans="1:6" x14ac:dyDescent="0.25">
      <c r="A443" t="s">
        <v>1129</v>
      </c>
      <c r="B443" t="s">
        <v>8116</v>
      </c>
      <c r="C443">
        <v>2022</v>
      </c>
      <c r="D443" t="s">
        <v>187</v>
      </c>
    </row>
    <row r="444" spans="1:6" x14ac:dyDescent="0.25">
      <c r="A444" t="s">
        <v>1144</v>
      </c>
      <c r="B444" t="s">
        <v>221</v>
      </c>
      <c r="C444">
        <v>2012</v>
      </c>
      <c r="E444" t="s">
        <v>3197</v>
      </c>
      <c r="F444" t="s">
        <v>8682</v>
      </c>
    </row>
    <row r="445" spans="1:6" x14ac:dyDescent="0.25">
      <c r="A445" t="s">
        <v>1144</v>
      </c>
      <c r="B445" t="s">
        <v>283</v>
      </c>
      <c r="C445">
        <v>2018</v>
      </c>
      <c r="E445" t="s">
        <v>3198</v>
      </c>
      <c r="F445" t="s">
        <v>8683</v>
      </c>
    </row>
    <row r="446" spans="1:6" x14ac:dyDescent="0.25">
      <c r="A446" t="s">
        <v>1144</v>
      </c>
      <c r="B446" t="s">
        <v>484</v>
      </c>
      <c r="C446">
        <v>2012</v>
      </c>
      <c r="E446" t="s">
        <v>3199</v>
      </c>
      <c r="F446" t="s">
        <v>8684</v>
      </c>
    </row>
    <row r="447" spans="1:6" x14ac:dyDescent="0.25">
      <c r="A447" t="s">
        <v>1144</v>
      </c>
      <c r="B447" t="s">
        <v>493</v>
      </c>
      <c r="C447">
        <v>2012</v>
      </c>
      <c r="E447" t="s">
        <v>2982</v>
      </c>
      <c r="F447" t="s">
        <v>8685</v>
      </c>
    </row>
    <row r="448" spans="1:6" x14ac:dyDescent="0.25">
      <c r="A448" t="s">
        <v>1144</v>
      </c>
      <c r="B448" t="s">
        <v>639</v>
      </c>
      <c r="C448">
        <v>2012</v>
      </c>
      <c r="E448" t="s">
        <v>642</v>
      </c>
      <c r="F448" t="s">
        <v>8686</v>
      </c>
    </row>
    <row r="449" spans="1:6" x14ac:dyDescent="0.25">
      <c r="A449" t="s">
        <v>1144</v>
      </c>
      <c r="B449" t="s">
        <v>685</v>
      </c>
      <c r="C449">
        <v>2012</v>
      </c>
      <c r="E449" t="s">
        <v>3200</v>
      </c>
    </row>
    <row r="450" spans="1:6" x14ac:dyDescent="0.25">
      <c r="A450" t="s">
        <v>1144</v>
      </c>
      <c r="B450" t="s">
        <v>713</v>
      </c>
      <c r="C450">
        <v>2012</v>
      </c>
      <c r="E450" t="s">
        <v>3201</v>
      </c>
    </row>
    <row r="451" spans="1:6" x14ac:dyDescent="0.25">
      <c r="A451" t="s">
        <v>1144</v>
      </c>
      <c r="B451" t="s">
        <v>786</v>
      </c>
      <c r="C451">
        <v>2012</v>
      </c>
      <c r="E451" t="s">
        <v>2982</v>
      </c>
      <c r="F451" t="s">
        <v>8687</v>
      </c>
    </row>
    <row r="452" spans="1:6" x14ac:dyDescent="0.25">
      <c r="A452" t="s">
        <v>1144</v>
      </c>
      <c r="B452" t="s">
        <v>791</v>
      </c>
      <c r="C452">
        <v>2012</v>
      </c>
      <c r="E452" t="s">
        <v>3202</v>
      </c>
      <c r="F452" t="s">
        <v>8688</v>
      </c>
    </row>
    <row r="453" spans="1:6" x14ac:dyDescent="0.25">
      <c r="A453" t="s">
        <v>1144</v>
      </c>
      <c r="B453" t="s">
        <v>813</v>
      </c>
      <c r="C453">
        <v>2012</v>
      </c>
      <c r="E453" t="s">
        <v>3099</v>
      </c>
      <c r="F453" t="s">
        <v>8689</v>
      </c>
    </row>
    <row r="454" spans="1:6" x14ac:dyDescent="0.25">
      <c r="A454" t="s">
        <v>1144</v>
      </c>
      <c r="B454" t="s">
        <v>865</v>
      </c>
      <c r="C454">
        <v>2012</v>
      </c>
      <c r="E454" t="s">
        <v>3203</v>
      </c>
      <c r="F454" t="s">
        <v>8690</v>
      </c>
    </row>
    <row r="455" spans="1:6" x14ac:dyDescent="0.25">
      <c r="A455" t="s">
        <v>1144</v>
      </c>
      <c r="B455" t="s">
        <v>1123</v>
      </c>
      <c r="C455">
        <v>2012</v>
      </c>
      <c r="E455" t="s">
        <v>3204</v>
      </c>
    </row>
    <row r="456" spans="1:6" x14ac:dyDescent="0.25">
      <c r="A456" t="s">
        <v>1144</v>
      </c>
      <c r="B456" t="s">
        <v>1265</v>
      </c>
      <c r="C456">
        <v>2012</v>
      </c>
      <c r="E456" s="10" t="s">
        <v>8408</v>
      </c>
      <c r="F456" t="s">
        <v>9281</v>
      </c>
    </row>
    <row r="457" spans="1:6" x14ac:dyDescent="0.25">
      <c r="A457" t="s">
        <v>1144</v>
      </c>
      <c r="B457" t="s">
        <v>1306</v>
      </c>
      <c r="C457">
        <v>2012</v>
      </c>
      <c r="E457" t="s">
        <v>3205</v>
      </c>
    </row>
    <row r="458" spans="1:6" x14ac:dyDescent="0.25">
      <c r="A458" t="s">
        <v>1144</v>
      </c>
      <c r="B458" t="s">
        <v>1320</v>
      </c>
      <c r="C458">
        <v>2012</v>
      </c>
      <c r="E458" t="s">
        <v>3206</v>
      </c>
      <c r="F458" t="s">
        <v>8691</v>
      </c>
    </row>
    <row r="459" spans="1:6" x14ac:dyDescent="0.25">
      <c r="A459" t="s">
        <v>1144</v>
      </c>
      <c r="B459" t="s">
        <v>1336</v>
      </c>
      <c r="C459">
        <v>2012</v>
      </c>
      <c r="E459" s="10" t="s">
        <v>8363</v>
      </c>
      <c r="F459" t="s">
        <v>9224</v>
      </c>
    </row>
    <row r="460" spans="1:6" x14ac:dyDescent="0.25">
      <c r="A460" t="s">
        <v>1144</v>
      </c>
      <c r="B460" t="s">
        <v>1439</v>
      </c>
      <c r="C460">
        <v>2012</v>
      </c>
      <c r="E460" t="s">
        <v>3090</v>
      </c>
    </row>
    <row r="461" spans="1:6" x14ac:dyDescent="0.25">
      <c r="A461" t="s">
        <v>1144</v>
      </c>
      <c r="B461" t="s">
        <v>1443</v>
      </c>
      <c r="C461">
        <v>2012</v>
      </c>
      <c r="D461" t="s">
        <v>187</v>
      </c>
      <c r="E461" t="s">
        <v>3207</v>
      </c>
      <c r="F461" t="s">
        <v>8692</v>
      </c>
    </row>
    <row r="462" spans="1:6" x14ac:dyDescent="0.25">
      <c r="A462" t="s">
        <v>1144</v>
      </c>
      <c r="B462" t="s">
        <v>1545</v>
      </c>
      <c r="C462">
        <v>2012</v>
      </c>
      <c r="E462" t="s">
        <v>3013</v>
      </c>
    </row>
    <row r="463" spans="1:6" x14ac:dyDescent="0.25">
      <c r="A463" t="s">
        <v>1144</v>
      </c>
      <c r="B463" t="s">
        <v>1700</v>
      </c>
      <c r="C463">
        <v>2012</v>
      </c>
      <c r="E463" t="s">
        <v>3208</v>
      </c>
    </row>
    <row r="464" spans="1:6" x14ac:dyDescent="0.25">
      <c r="A464" t="s">
        <v>1144</v>
      </c>
      <c r="B464" t="s">
        <v>1847</v>
      </c>
      <c r="C464">
        <v>2012</v>
      </c>
      <c r="E464" t="s">
        <v>3209</v>
      </c>
      <c r="F464" t="s">
        <v>8693</v>
      </c>
    </row>
    <row r="465" spans="1:6" x14ac:dyDescent="0.25">
      <c r="A465" t="s">
        <v>1144</v>
      </c>
      <c r="B465" t="s">
        <v>1855</v>
      </c>
      <c r="C465">
        <v>2012</v>
      </c>
      <c r="E465" s="10" t="s">
        <v>8418</v>
      </c>
      <c r="F465" t="s">
        <v>9297</v>
      </c>
    </row>
    <row r="466" spans="1:6" x14ac:dyDescent="0.25">
      <c r="A466" t="s">
        <v>1144</v>
      </c>
      <c r="B466" t="s">
        <v>1895</v>
      </c>
      <c r="C466">
        <v>2012</v>
      </c>
      <c r="E466" t="s">
        <v>3210</v>
      </c>
      <c r="F466" t="s">
        <v>8694</v>
      </c>
    </row>
    <row r="467" spans="1:6" x14ac:dyDescent="0.25">
      <c r="A467" t="s">
        <v>1144</v>
      </c>
      <c r="B467" t="s">
        <v>1911</v>
      </c>
      <c r="C467">
        <v>2012</v>
      </c>
      <c r="E467" t="s">
        <v>3211</v>
      </c>
      <c r="F467" t="s">
        <v>8695</v>
      </c>
    </row>
    <row r="468" spans="1:6" x14ac:dyDescent="0.25">
      <c r="A468" t="s">
        <v>1144</v>
      </c>
      <c r="B468" t="s">
        <v>2080</v>
      </c>
      <c r="C468">
        <v>2012</v>
      </c>
      <c r="E468" t="s">
        <v>3212</v>
      </c>
      <c r="F468" t="s">
        <v>8696</v>
      </c>
    </row>
    <row r="469" spans="1:6" x14ac:dyDescent="0.25">
      <c r="A469" t="s">
        <v>1144</v>
      </c>
      <c r="B469" t="s">
        <v>2144</v>
      </c>
      <c r="C469">
        <v>2012</v>
      </c>
      <c r="E469" t="s">
        <v>3148</v>
      </c>
      <c r="F469" t="s">
        <v>8697</v>
      </c>
    </row>
    <row r="470" spans="1:6" x14ac:dyDescent="0.25">
      <c r="A470" t="s">
        <v>1144</v>
      </c>
      <c r="B470" t="s">
        <v>2187</v>
      </c>
      <c r="C470">
        <v>2012</v>
      </c>
      <c r="E470" t="s">
        <v>3017</v>
      </c>
      <c r="F470" t="s">
        <v>8698</v>
      </c>
    </row>
    <row r="471" spans="1:6" x14ac:dyDescent="0.25">
      <c r="A471" t="s">
        <v>1144</v>
      </c>
      <c r="B471" t="s">
        <v>2281</v>
      </c>
      <c r="C471">
        <v>2012</v>
      </c>
      <c r="E471" t="s">
        <v>3213</v>
      </c>
      <c r="F471" t="s">
        <v>8699</v>
      </c>
    </row>
    <row r="472" spans="1:6" x14ac:dyDescent="0.25">
      <c r="A472" t="s">
        <v>1144</v>
      </c>
      <c r="B472" t="s">
        <v>90</v>
      </c>
      <c r="C472">
        <v>2012</v>
      </c>
      <c r="E472" t="s">
        <v>3214</v>
      </c>
      <c r="F472" t="s">
        <v>8700</v>
      </c>
    </row>
    <row r="473" spans="1:6" x14ac:dyDescent="0.25">
      <c r="A473" t="s">
        <v>1144</v>
      </c>
      <c r="B473" t="s">
        <v>2361</v>
      </c>
      <c r="C473">
        <v>2012</v>
      </c>
      <c r="E473" t="s">
        <v>2982</v>
      </c>
      <c r="F473" t="s">
        <v>8701</v>
      </c>
    </row>
    <row r="474" spans="1:6" x14ac:dyDescent="0.25">
      <c r="A474" t="s">
        <v>1144</v>
      </c>
      <c r="B474" t="s">
        <v>2389</v>
      </c>
      <c r="C474">
        <v>2012</v>
      </c>
      <c r="E474" t="s">
        <v>3215</v>
      </c>
    </row>
    <row r="475" spans="1:6" x14ac:dyDescent="0.25">
      <c r="A475" t="s">
        <v>1144</v>
      </c>
      <c r="B475" t="s">
        <v>7858</v>
      </c>
      <c r="C475">
        <v>2012</v>
      </c>
      <c r="E475" t="s">
        <v>7857</v>
      </c>
      <c r="F475" t="s">
        <v>8702</v>
      </c>
    </row>
    <row r="476" spans="1:6" x14ac:dyDescent="0.25">
      <c r="A476" t="s">
        <v>1144</v>
      </c>
      <c r="B476" t="s">
        <v>2502</v>
      </c>
      <c r="C476">
        <v>2012</v>
      </c>
      <c r="E476" t="s">
        <v>3201</v>
      </c>
    </row>
    <row r="477" spans="1:6" x14ac:dyDescent="0.25">
      <c r="A477" t="s">
        <v>1144</v>
      </c>
      <c r="B477" t="s">
        <v>2530</v>
      </c>
      <c r="C477">
        <v>2012</v>
      </c>
      <c r="E477" t="s">
        <v>3216</v>
      </c>
      <c r="F477" t="s">
        <v>8703</v>
      </c>
    </row>
    <row r="478" spans="1:6" x14ac:dyDescent="0.25">
      <c r="A478" t="s">
        <v>1144</v>
      </c>
      <c r="B478" t="s">
        <v>2605</v>
      </c>
      <c r="C478">
        <v>2012</v>
      </c>
      <c r="E478" t="s">
        <v>2982</v>
      </c>
      <c r="F478" t="s">
        <v>8704</v>
      </c>
    </row>
    <row r="479" spans="1:6" x14ac:dyDescent="0.25">
      <c r="A479" t="s">
        <v>1144</v>
      </c>
      <c r="B479" t="s">
        <v>2751</v>
      </c>
      <c r="C479">
        <v>2012</v>
      </c>
      <c r="E479" t="s">
        <v>2982</v>
      </c>
      <c r="F479" t="s">
        <v>8705</v>
      </c>
    </row>
    <row r="480" spans="1:6" x14ac:dyDescent="0.25">
      <c r="A480" t="s">
        <v>1144</v>
      </c>
      <c r="B480" t="s">
        <v>2757</v>
      </c>
      <c r="C480">
        <v>2012</v>
      </c>
      <c r="E480" t="s">
        <v>2982</v>
      </c>
      <c r="F480" t="s">
        <v>8706</v>
      </c>
    </row>
    <row r="481" spans="1:6" x14ac:dyDescent="0.25">
      <c r="A481" t="s">
        <v>1144</v>
      </c>
      <c r="B481" t="s">
        <v>2824</v>
      </c>
      <c r="C481">
        <v>2012</v>
      </c>
      <c r="E481" t="s">
        <v>3217</v>
      </c>
      <c r="F481" t="s">
        <v>8707</v>
      </c>
    </row>
    <row r="482" spans="1:6" x14ac:dyDescent="0.25">
      <c r="A482" t="s">
        <v>1144</v>
      </c>
      <c r="B482" t="s">
        <v>2832</v>
      </c>
      <c r="C482">
        <v>2012</v>
      </c>
      <c r="E482" t="s">
        <v>3178</v>
      </c>
    </row>
    <row r="483" spans="1:6" x14ac:dyDescent="0.25">
      <c r="A483" t="s">
        <v>1144</v>
      </c>
      <c r="B483" t="s">
        <v>2854</v>
      </c>
      <c r="C483">
        <v>2012</v>
      </c>
      <c r="E483" t="s">
        <v>3064</v>
      </c>
    </row>
    <row r="484" spans="1:6" x14ac:dyDescent="0.25">
      <c r="A484" t="s">
        <v>1155</v>
      </c>
      <c r="B484" t="s">
        <v>327</v>
      </c>
      <c r="C484">
        <v>2010</v>
      </c>
      <c r="D484" t="s">
        <v>187</v>
      </c>
    </row>
    <row r="485" spans="1:6" x14ac:dyDescent="0.25">
      <c r="A485" t="s">
        <v>1155</v>
      </c>
      <c r="B485" t="s">
        <v>1661</v>
      </c>
      <c r="C485">
        <v>2010</v>
      </c>
      <c r="D485" t="s">
        <v>187</v>
      </c>
    </row>
    <row r="486" spans="1:6" x14ac:dyDescent="0.25">
      <c r="A486" t="s">
        <v>1155</v>
      </c>
      <c r="B486" t="s">
        <v>1746</v>
      </c>
      <c r="C486">
        <v>2010</v>
      </c>
      <c r="D486" t="s">
        <v>187</v>
      </c>
    </row>
    <row r="487" spans="1:6" x14ac:dyDescent="0.25">
      <c r="A487" t="s">
        <v>1155</v>
      </c>
      <c r="B487" t="s">
        <v>2242</v>
      </c>
      <c r="C487">
        <v>2010</v>
      </c>
      <c r="D487" t="s">
        <v>187</v>
      </c>
    </row>
    <row r="488" spans="1:6" x14ac:dyDescent="0.25">
      <c r="A488" t="s">
        <v>1157</v>
      </c>
      <c r="B488" t="s">
        <v>2728</v>
      </c>
      <c r="C488">
        <v>2014</v>
      </c>
      <c r="D488" t="s">
        <v>187</v>
      </c>
    </row>
    <row r="489" spans="1:6" x14ac:dyDescent="0.25">
      <c r="A489" t="s">
        <v>1171</v>
      </c>
      <c r="B489" t="s">
        <v>1174</v>
      </c>
      <c r="C489">
        <v>2002</v>
      </c>
      <c r="D489" t="s">
        <v>187</v>
      </c>
    </row>
    <row r="490" spans="1:6" x14ac:dyDescent="0.25">
      <c r="A490" t="s">
        <v>1174</v>
      </c>
      <c r="B490" t="s">
        <v>1177</v>
      </c>
      <c r="C490">
        <v>2007</v>
      </c>
      <c r="D490" t="s">
        <v>187</v>
      </c>
    </row>
    <row r="491" spans="1:6" x14ac:dyDescent="0.25">
      <c r="A491" t="s">
        <v>1180</v>
      </c>
      <c r="B491" t="s">
        <v>561</v>
      </c>
      <c r="C491">
        <v>2024</v>
      </c>
      <c r="D491" t="s">
        <v>187</v>
      </c>
    </row>
    <row r="492" spans="1:6" x14ac:dyDescent="0.25">
      <c r="A492" t="s">
        <v>1180</v>
      </c>
      <c r="B492" t="s">
        <v>1184</v>
      </c>
      <c r="C492">
        <v>2024</v>
      </c>
      <c r="D492" t="s">
        <v>187</v>
      </c>
    </row>
    <row r="493" spans="1:6" x14ac:dyDescent="0.25">
      <c r="A493" t="s">
        <v>1187</v>
      </c>
      <c r="B493" t="s">
        <v>1191</v>
      </c>
      <c r="C493">
        <v>2020</v>
      </c>
      <c r="D493" t="s">
        <v>187</v>
      </c>
    </row>
    <row r="494" spans="1:6" x14ac:dyDescent="0.25">
      <c r="A494" t="s">
        <v>1235</v>
      </c>
      <c r="B494" t="s">
        <v>1239</v>
      </c>
      <c r="C494">
        <v>2026</v>
      </c>
      <c r="D494" t="s">
        <v>187</v>
      </c>
    </row>
    <row r="495" spans="1:6" x14ac:dyDescent="0.25">
      <c r="A495" t="s">
        <v>1255</v>
      </c>
      <c r="B495" t="s">
        <v>8119</v>
      </c>
      <c r="C495">
        <v>2020</v>
      </c>
      <c r="E495" s="10" t="s">
        <v>8133</v>
      </c>
    </row>
    <row r="496" spans="1:6" x14ac:dyDescent="0.25">
      <c r="A496" t="s">
        <v>1255</v>
      </c>
      <c r="B496" t="s">
        <v>2965</v>
      </c>
      <c r="C496">
        <v>2020</v>
      </c>
      <c r="E496" t="s">
        <v>3218</v>
      </c>
      <c r="F496" t="s">
        <v>8708</v>
      </c>
    </row>
    <row r="497" spans="1:6" x14ac:dyDescent="0.25">
      <c r="A497" t="s">
        <v>1259</v>
      </c>
      <c r="B497" t="s">
        <v>1262</v>
      </c>
      <c r="C497">
        <v>2021</v>
      </c>
      <c r="D497" t="s">
        <v>187</v>
      </c>
    </row>
    <row r="498" spans="1:6" x14ac:dyDescent="0.25">
      <c r="A498" t="s">
        <v>1265</v>
      </c>
      <c r="B498" t="s">
        <v>795</v>
      </c>
      <c r="C498">
        <v>2015</v>
      </c>
      <c r="E498" t="s">
        <v>3098</v>
      </c>
      <c r="F498" t="s">
        <v>8709</v>
      </c>
    </row>
    <row r="499" spans="1:6" x14ac:dyDescent="0.25">
      <c r="A499" t="s">
        <v>1272</v>
      </c>
      <c r="B499" t="s">
        <v>7916</v>
      </c>
      <c r="C499">
        <v>2020</v>
      </c>
      <c r="E499" s="10" t="s">
        <v>7915</v>
      </c>
      <c r="F499" t="s">
        <v>8710</v>
      </c>
    </row>
    <row r="500" spans="1:6" x14ac:dyDescent="0.25">
      <c r="A500" t="s">
        <v>1272</v>
      </c>
      <c r="B500" t="s">
        <v>488</v>
      </c>
      <c r="C500">
        <v>2020</v>
      </c>
      <c r="E500" t="s">
        <v>3219</v>
      </c>
      <c r="F500" t="s">
        <v>8711</v>
      </c>
    </row>
    <row r="501" spans="1:6" x14ac:dyDescent="0.25">
      <c r="A501" t="s">
        <v>1272</v>
      </c>
      <c r="B501" t="s">
        <v>651</v>
      </c>
      <c r="C501">
        <v>2020</v>
      </c>
      <c r="E501" s="10" t="s">
        <v>8330</v>
      </c>
    </row>
    <row r="502" spans="1:6" x14ac:dyDescent="0.25">
      <c r="A502" t="s">
        <v>1272</v>
      </c>
      <c r="B502" t="s">
        <v>744</v>
      </c>
      <c r="C502">
        <v>2020</v>
      </c>
      <c r="E502" t="s">
        <v>3220</v>
      </c>
    </row>
    <row r="503" spans="1:6" x14ac:dyDescent="0.25">
      <c r="A503" t="s">
        <v>1272</v>
      </c>
      <c r="B503" t="s">
        <v>7957</v>
      </c>
      <c r="C503">
        <v>2020</v>
      </c>
      <c r="E503" s="10" t="s">
        <v>7960</v>
      </c>
      <c r="F503" t="s">
        <v>8712</v>
      </c>
    </row>
    <row r="504" spans="1:6" x14ac:dyDescent="0.25">
      <c r="A504" t="s">
        <v>1272</v>
      </c>
      <c r="B504" t="s">
        <v>2146</v>
      </c>
      <c r="C504">
        <v>2020</v>
      </c>
      <c r="E504" t="s">
        <v>3122</v>
      </c>
    </row>
    <row r="505" spans="1:6" x14ac:dyDescent="0.25">
      <c r="A505" t="s">
        <v>1272</v>
      </c>
      <c r="B505" t="s">
        <v>2812</v>
      </c>
      <c r="C505">
        <v>2020</v>
      </c>
      <c r="E505" t="s">
        <v>3082</v>
      </c>
      <c r="F505" t="s">
        <v>8713</v>
      </c>
    </row>
    <row r="506" spans="1:6" x14ac:dyDescent="0.25">
      <c r="A506" t="s">
        <v>1276</v>
      </c>
      <c r="B506" t="s">
        <v>1280</v>
      </c>
      <c r="C506">
        <v>2022</v>
      </c>
      <c r="D506" t="s">
        <v>187</v>
      </c>
    </row>
    <row r="507" spans="1:6" x14ac:dyDescent="0.25">
      <c r="A507" t="s">
        <v>1284</v>
      </c>
      <c r="B507" t="s">
        <v>256</v>
      </c>
      <c r="C507">
        <v>1984</v>
      </c>
      <c r="E507" t="s">
        <v>3221</v>
      </c>
      <c r="F507" t="s">
        <v>8714</v>
      </c>
    </row>
    <row r="508" spans="1:6" x14ac:dyDescent="0.25">
      <c r="A508" t="s">
        <v>1284</v>
      </c>
      <c r="B508" t="s">
        <v>1004</v>
      </c>
      <c r="C508">
        <v>1984</v>
      </c>
      <c r="E508" t="s">
        <v>3222</v>
      </c>
      <c r="F508" t="s">
        <v>8715</v>
      </c>
    </row>
    <row r="509" spans="1:6" x14ac:dyDescent="0.25">
      <c r="A509" t="s">
        <v>1284</v>
      </c>
      <c r="B509" t="s">
        <v>1171</v>
      </c>
      <c r="C509">
        <v>1984</v>
      </c>
      <c r="E509" t="s">
        <v>3223</v>
      </c>
      <c r="F509" t="s">
        <v>8716</v>
      </c>
    </row>
    <row r="510" spans="1:6" x14ac:dyDescent="0.25">
      <c r="A510" t="s">
        <v>1284</v>
      </c>
      <c r="B510" t="s">
        <v>1177</v>
      </c>
      <c r="C510">
        <v>1984</v>
      </c>
      <c r="E510" t="s">
        <v>2990</v>
      </c>
      <c r="F510" t="s">
        <v>8717</v>
      </c>
    </row>
    <row r="511" spans="1:6" x14ac:dyDescent="0.25">
      <c r="A511" t="s">
        <v>1284</v>
      </c>
      <c r="B511" t="s">
        <v>1572</v>
      </c>
      <c r="C511">
        <v>1984</v>
      </c>
      <c r="E511" t="s">
        <v>3224</v>
      </c>
      <c r="F511" t="s">
        <v>8718</v>
      </c>
    </row>
    <row r="512" spans="1:6" x14ac:dyDescent="0.25">
      <c r="A512" t="s">
        <v>1284</v>
      </c>
      <c r="B512" t="s">
        <v>1795</v>
      </c>
      <c r="C512">
        <v>1984</v>
      </c>
      <c r="E512" t="s">
        <v>3225</v>
      </c>
      <c r="F512" t="s">
        <v>8719</v>
      </c>
    </row>
    <row r="513" spans="1:6" x14ac:dyDescent="0.25">
      <c r="A513" t="s">
        <v>1287</v>
      </c>
      <c r="B513" t="s">
        <v>2962</v>
      </c>
      <c r="C513">
        <v>2022</v>
      </c>
      <c r="E513" t="s">
        <v>3006</v>
      </c>
      <c r="F513" t="s">
        <v>8720</v>
      </c>
    </row>
    <row r="514" spans="1:6" x14ac:dyDescent="0.25">
      <c r="A514" t="s">
        <v>1294</v>
      </c>
      <c r="B514" t="s">
        <v>175</v>
      </c>
      <c r="C514">
        <v>2019</v>
      </c>
      <c r="E514" t="s">
        <v>3013</v>
      </c>
    </row>
    <row r="515" spans="1:6" x14ac:dyDescent="0.25">
      <c r="A515" t="s">
        <v>1294</v>
      </c>
      <c r="B515" t="s">
        <v>253</v>
      </c>
      <c r="C515">
        <v>2019</v>
      </c>
      <c r="E515" t="s">
        <v>3111</v>
      </c>
      <c r="F515" t="s">
        <v>8721</v>
      </c>
    </row>
    <row r="516" spans="1:6" x14ac:dyDescent="0.25">
      <c r="A516" t="s">
        <v>1294</v>
      </c>
      <c r="B516" t="s">
        <v>303</v>
      </c>
      <c r="C516">
        <v>2019</v>
      </c>
      <c r="E516" t="s">
        <v>3226</v>
      </c>
      <c r="F516" t="s">
        <v>8722</v>
      </c>
    </row>
    <row r="517" spans="1:6" x14ac:dyDescent="0.25">
      <c r="A517" t="s">
        <v>1294</v>
      </c>
      <c r="B517" t="s">
        <v>310</v>
      </c>
      <c r="C517">
        <v>2019</v>
      </c>
      <c r="E517" t="s">
        <v>3077</v>
      </c>
      <c r="F517" t="s">
        <v>8723</v>
      </c>
    </row>
    <row r="518" spans="1:6" x14ac:dyDescent="0.25">
      <c r="A518" t="s">
        <v>1294</v>
      </c>
      <c r="B518" t="s">
        <v>387</v>
      </c>
      <c r="C518">
        <v>2019</v>
      </c>
      <c r="E518" t="s">
        <v>3113</v>
      </c>
      <c r="F518" t="s">
        <v>8724</v>
      </c>
    </row>
    <row r="519" spans="1:6" x14ac:dyDescent="0.25">
      <c r="A519" t="s">
        <v>1294</v>
      </c>
      <c r="B519" t="s">
        <v>428</v>
      </c>
      <c r="C519">
        <v>2019</v>
      </c>
      <c r="E519" t="s">
        <v>3020</v>
      </c>
    </row>
    <row r="520" spans="1:6" x14ac:dyDescent="0.25">
      <c r="A520" t="s">
        <v>1294</v>
      </c>
      <c r="B520" t="s">
        <v>447</v>
      </c>
      <c r="C520">
        <v>2019</v>
      </c>
      <c r="E520" t="s">
        <v>2982</v>
      </c>
      <c r="F520" t="s">
        <v>8725</v>
      </c>
    </row>
    <row r="521" spans="1:6" x14ac:dyDescent="0.25">
      <c r="A521" t="s">
        <v>1294</v>
      </c>
      <c r="B521" t="s">
        <v>488</v>
      </c>
      <c r="C521">
        <v>2019</v>
      </c>
      <c r="E521" t="s">
        <v>3219</v>
      </c>
      <c r="F521" t="s">
        <v>8726</v>
      </c>
    </row>
    <row r="522" spans="1:6" x14ac:dyDescent="0.25">
      <c r="A522" t="s">
        <v>1294</v>
      </c>
      <c r="B522" t="s">
        <v>602</v>
      </c>
      <c r="C522">
        <v>2019</v>
      </c>
      <c r="E522" t="s">
        <v>2982</v>
      </c>
      <c r="F522" t="s">
        <v>8727</v>
      </c>
    </row>
    <row r="523" spans="1:6" x14ac:dyDescent="0.25">
      <c r="A523" t="s">
        <v>1294</v>
      </c>
      <c r="B523" t="s">
        <v>651</v>
      </c>
      <c r="C523">
        <v>2019</v>
      </c>
      <c r="E523" s="10" t="s">
        <v>8330</v>
      </c>
    </row>
    <row r="524" spans="1:6" x14ac:dyDescent="0.25">
      <c r="A524" t="s">
        <v>1294</v>
      </c>
      <c r="B524" t="s">
        <v>709</v>
      </c>
      <c r="C524">
        <v>2019</v>
      </c>
      <c r="E524" t="s">
        <v>3114</v>
      </c>
    </row>
    <row r="525" spans="1:6" x14ac:dyDescent="0.25">
      <c r="A525" t="s">
        <v>1294</v>
      </c>
      <c r="B525" t="s">
        <v>7836</v>
      </c>
      <c r="C525">
        <v>2019</v>
      </c>
      <c r="E525" t="s">
        <v>7838</v>
      </c>
      <c r="F525" t="s">
        <v>8728</v>
      </c>
    </row>
    <row r="526" spans="1:6" x14ac:dyDescent="0.25">
      <c r="A526" t="s">
        <v>1294</v>
      </c>
      <c r="B526" t="s">
        <v>726</v>
      </c>
      <c r="C526">
        <v>2019</v>
      </c>
      <c r="E526" s="10" t="s">
        <v>8372</v>
      </c>
      <c r="F526" t="s">
        <v>9245</v>
      </c>
    </row>
    <row r="527" spans="1:6" x14ac:dyDescent="0.25">
      <c r="A527" t="s">
        <v>1294</v>
      </c>
      <c r="B527" t="s">
        <v>744</v>
      </c>
      <c r="C527">
        <v>2019</v>
      </c>
      <c r="E527" t="s">
        <v>3220</v>
      </c>
    </row>
    <row r="528" spans="1:6" x14ac:dyDescent="0.25">
      <c r="A528" t="s">
        <v>1294</v>
      </c>
      <c r="B528" t="s">
        <v>778</v>
      </c>
      <c r="C528">
        <v>2019</v>
      </c>
      <c r="E528" t="s">
        <v>3227</v>
      </c>
      <c r="F528" t="s">
        <v>8729</v>
      </c>
    </row>
    <row r="529" spans="1:6" x14ac:dyDescent="0.25">
      <c r="A529" t="s">
        <v>1294</v>
      </c>
      <c r="B529" t="s">
        <v>821</v>
      </c>
      <c r="C529">
        <v>2019</v>
      </c>
      <c r="E529" t="s">
        <v>3086</v>
      </c>
      <c r="F529" t="s">
        <v>8730</v>
      </c>
    </row>
    <row r="530" spans="1:6" x14ac:dyDescent="0.25">
      <c r="A530" t="s">
        <v>1294</v>
      </c>
      <c r="B530" t="s">
        <v>948</v>
      </c>
      <c r="C530">
        <v>2019</v>
      </c>
      <c r="E530" t="s">
        <v>3116</v>
      </c>
    </row>
    <row r="531" spans="1:6" x14ac:dyDescent="0.25">
      <c r="A531" t="s">
        <v>1294</v>
      </c>
      <c r="B531" t="s">
        <v>1002</v>
      </c>
      <c r="C531">
        <v>2019</v>
      </c>
      <c r="E531" t="s">
        <v>3117</v>
      </c>
    </row>
    <row r="532" spans="1:6" x14ac:dyDescent="0.25">
      <c r="A532" t="s">
        <v>1294</v>
      </c>
      <c r="B532" t="s">
        <v>1029</v>
      </c>
      <c r="C532">
        <v>2019</v>
      </c>
      <c r="E532" t="s">
        <v>2982</v>
      </c>
    </row>
    <row r="533" spans="1:6" x14ac:dyDescent="0.25">
      <c r="A533" t="s">
        <v>1294</v>
      </c>
      <c r="B533" t="s">
        <v>1129</v>
      </c>
      <c r="C533">
        <v>2019</v>
      </c>
      <c r="E533" t="s">
        <v>3228</v>
      </c>
      <c r="F533" t="s">
        <v>8731</v>
      </c>
    </row>
    <row r="534" spans="1:6" x14ac:dyDescent="0.25">
      <c r="A534" t="s">
        <v>1294</v>
      </c>
      <c r="B534" t="s">
        <v>1166</v>
      </c>
      <c r="C534">
        <v>2019</v>
      </c>
      <c r="E534" t="s">
        <v>3089</v>
      </c>
      <c r="F534" t="s">
        <v>8732</v>
      </c>
    </row>
    <row r="535" spans="1:6" x14ac:dyDescent="0.25">
      <c r="A535" t="s">
        <v>1294</v>
      </c>
      <c r="B535" t="s">
        <v>1219</v>
      </c>
      <c r="C535">
        <v>2019</v>
      </c>
      <c r="E535" t="s">
        <v>2982</v>
      </c>
      <c r="F535" t="s">
        <v>8733</v>
      </c>
    </row>
    <row r="536" spans="1:6" x14ac:dyDescent="0.25">
      <c r="A536" t="s">
        <v>1294</v>
      </c>
      <c r="B536" t="s">
        <v>1298</v>
      </c>
      <c r="C536">
        <v>2019</v>
      </c>
      <c r="D536" t="s">
        <v>187</v>
      </c>
    </row>
    <row r="537" spans="1:6" x14ac:dyDescent="0.25">
      <c r="A537" t="s">
        <v>1294</v>
      </c>
      <c r="B537" t="s">
        <v>1326</v>
      </c>
      <c r="C537">
        <v>2019</v>
      </c>
      <c r="E537" t="s">
        <v>3229</v>
      </c>
    </row>
    <row r="538" spans="1:6" x14ac:dyDescent="0.25">
      <c r="A538" t="s">
        <v>1294</v>
      </c>
      <c r="B538" t="s">
        <v>1344</v>
      </c>
      <c r="C538">
        <v>2019</v>
      </c>
      <c r="E538" t="s">
        <v>3103</v>
      </c>
    </row>
    <row r="539" spans="1:6" x14ac:dyDescent="0.25">
      <c r="A539" t="s">
        <v>1294</v>
      </c>
      <c r="B539" t="s">
        <v>1348</v>
      </c>
      <c r="C539">
        <v>2019</v>
      </c>
      <c r="E539" t="s">
        <v>3230</v>
      </c>
      <c r="F539" t="s">
        <v>8734</v>
      </c>
    </row>
    <row r="540" spans="1:6" x14ac:dyDescent="0.25">
      <c r="A540" t="s">
        <v>1294</v>
      </c>
      <c r="B540" t="s">
        <v>1357</v>
      </c>
      <c r="C540">
        <v>2019</v>
      </c>
      <c r="E540" t="s">
        <v>3231</v>
      </c>
    </row>
    <row r="541" spans="1:6" x14ac:dyDescent="0.25">
      <c r="A541" t="s">
        <v>1294</v>
      </c>
      <c r="B541" t="s">
        <v>1492</v>
      </c>
      <c r="C541">
        <v>2019</v>
      </c>
      <c r="E541" t="s">
        <v>3087</v>
      </c>
      <c r="F541" t="s">
        <v>8735</v>
      </c>
    </row>
    <row r="542" spans="1:6" x14ac:dyDescent="0.25">
      <c r="A542" t="s">
        <v>1294</v>
      </c>
      <c r="B542" t="s">
        <v>1570</v>
      </c>
      <c r="C542">
        <v>2019</v>
      </c>
      <c r="E542" t="s">
        <v>3232</v>
      </c>
      <c r="F542" t="s">
        <v>8736</v>
      </c>
    </row>
    <row r="543" spans="1:6" x14ac:dyDescent="0.25">
      <c r="A543" t="s">
        <v>1294</v>
      </c>
      <c r="B543" t="s">
        <v>1606</v>
      </c>
      <c r="C543">
        <v>2019</v>
      </c>
      <c r="E543" t="s">
        <v>3233</v>
      </c>
      <c r="F543" t="s">
        <v>8737</v>
      </c>
    </row>
    <row r="544" spans="1:6" x14ac:dyDescent="0.25">
      <c r="A544" t="s">
        <v>1294</v>
      </c>
      <c r="B544" t="s">
        <v>1645</v>
      </c>
      <c r="C544">
        <v>2019</v>
      </c>
      <c r="E544" s="10" t="s">
        <v>8401</v>
      </c>
    </row>
    <row r="545" spans="1:6" x14ac:dyDescent="0.25">
      <c r="A545" t="s">
        <v>1294</v>
      </c>
      <c r="B545" t="s">
        <v>8436</v>
      </c>
      <c r="C545">
        <v>2019</v>
      </c>
      <c r="E545" s="10" t="s">
        <v>8435</v>
      </c>
      <c r="F545" t="s">
        <v>9311</v>
      </c>
    </row>
    <row r="546" spans="1:6" x14ac:dyDescent="0.25">
      <c r="A546" t="s">
        <v>1294</v>
      </c>
      <c r="B546" t="s">
        <v>1798</v>
      </c>
      <c r="C546">
        <v>2019</v>
      </c>
      <c r="E546" t="s">
        <v>3092</v>
      </c>
      <c r="F546" t="s">
        <v>8738</v>
      </c>
    </row>
    <row r="547" spans="1:6" x14ac:dyDescent="0.25">
      <c r="A547" t="s">
        <v>1294</v>
      </c>
      <c r="B547" t="s">
        <v>1801</v>
      </c>
      <c r="C547">
        <v>2019</v>
      </c>
      <c r="E547" t="s">
        <v>3013</v>
      </c>
    </row>
    <row r="548" spans="1:6" x14ac:dyDescent="0.25">
      <c r="A548" t="s">
        <v>1294</v>
      </c>
      <c r="B548" t="s">
        <v>1859</v>
      </c>
      <c r="C548">
        <v>2019</v>
      </c>
      <c r="E548" t="s">
        <v>3013</v>
      </c>
    </row>
    <row r="549" spans="1:6" x14ac:dyDescent="0.25">
      <c r="A549" t="s">
        <v>1294</v>
      </c>
      <c r="B549" t="s">
        <v>2031</v>
      </c>
      <c r="C549">
        <v>2019</v>
      </c>
      <c r="E549" t="s">
        <v>3234</v>
      </c>
      <c r="F549" t="s">
        <v>8739</v>
      </c>
    </row>
    <row r="550" spans="1:6" x14ac:dyDescent="0.25">
      <c r="A550" t="s">
        <v>1294</v>
      </c>
      <c r="B550" t="s">
        <v>2043</v>
      </c>
      <c r="C550">
        <v>2019</v>
      </c>
      <c r="E550" s="10" t="s">
        <v>8438</v>
      </c>
      <c r="F550" t="s">
        <v>9313</v>
      </c>
    </row>
    <row r="551" spans="1:6" x14ac:dyDescent="0.25">
      <c r="A551" t="s">
        <v>1294</v>
      </c>
      <c r="B551" t="s">
        <v>2069</v>
      </c>
      <c r="C551">
        <v>2019</v>
      </c>
      <c r="E551" t="s">
        <v>2982</v>
      </c>
      <c r="F551" t="s">
        <v>8740</v>
      </c>
    </row>
    <row r="552" spans="1:6" x14ac:dyDescent="0.25">
      <c r="A552" t="s">
        <v>1294</v>
      </c>
      <c r="B552" t="s">
        <v>2071</v>
      </c>
      <c r="C552">
        <v>2019</v>
      </c>
      <c r="E552" t="s">
        <v>3235</v>
      </c>
      <c r="F552" t="s">
        <v>8741</v>
      </c>
    </row>
    <row r="553" spans="1:6" x14ac:dyDescent="0.25">
      <c r="A553" t="s">
        <v>1294</v>
      </c>
      <c r="B553" t="s">
        <v>7920</v>
      </c>
      <c r="C553">
        <v>2019</v>
      </c>
      <c r="E553" s="10" t="s">
        <v>7919</v>
      </c>
    </row>
    <row r="554" spans="1:6" x14ac:dyDescent="0.25">
      <c r="A554" t="s">
        <v>1294</v>
      </c>
      <c r="B554" t="s">
        <v>2273</v>
      </c>
      <c r="C554">
        <v>2019</v>
      </c>
      <c r="E554" t="s">
        <v>2982</v>
      </c>
      <c r="F554" t="s">
        <v>8742</v>
      </c>
    </row>
    <row r="555" spans="1:6" x14ac:dyDescent="0.25">
      <c r="A555" t="s">
        <v>1294</v>
      </c>
      <c r="B555" t="s">
        <v>2288</v>
      </c>
      <c r="C555">
        <v>2019</v>
      </c>
      <c r="E555" t="s">
        <v>2982</v>
      </c>
      <c r="F555" t="s">
        <v>8743</v>
      </c>
    </row>
    <row r="556" spans="1:6" x14ac:dyDescent="0.25">
      <c r="A556" t="s">
        <v>1294</v>
      </c>
      <c r="B556" t="s">
        <v>2397</v>
      </c>
      <c r="C556">
        <v>2019</v>
      </c>
      <c r="E556" t="s">
        <v>3236</v>
      </c>
      <c r="F556" t="s">
        <v>8744</v>
      </c>
    </row>
    <row r="557" spans="1:6" x14ac:dyDescent="0.25">
      <c r="A557" t="s">
        <v>1294</v>
      </c>
      <c r="B557" t="s">
        <v>8119</v>
      </c>
      <c r="C557">
        <v>2019</v>
      </c>
      <c r="E557" s="10" t="s">
        <v>8133</v>
      </c>
    </row>
    <row r="558" spans="1:6" x14ac:dyDescent="0.25">
      <c r="A558" t="s">
        <v>1294</v>
      </c>
      <c r="B558" t="s">
        <v>2439</v>
      </c>
      <c r="C558">
        <v>2019</v>
      </c>
      <c r="E558" t="s">
        <v>2982</v>
      </c>
      <c r="F558" t="s">
        <v>8745</v>
      </c>
    </row>
    <row r="559" spans="1:6" x14ac:dyDescent="0.25">
      <c r="A559" t="s">
        <v>1294</v>
      </c>
      <c r="B559" t="s">
        <v>2467</v>
      </c>
      <c r="C559">
        <v>2019</v>
      </c>
      <c r="E559" t="s">
        <v>3237</v>
      </c>
    </row>
    <row r="560" spans="1:6" x14ac:dyDescent="0.25">
      <c r="A560" t="s">
        <v>1294</v>
      </c>
      <c r="B560" t="s">
        <v>2514</v>
      </c>
      <c r="C560">
        <v>2019</v>
      </c>
      <c r="E560" t="s">
        <v>3175</v>
      </c>
    </row>
    <row r="561" spans="1:6" x14ac:dyDescent="0.25">
      <c r="A561" t="s">
        <v>1294</v>
      </c>
      <c r="B561" t="s">
        <v>2550</v>
      </c>
      <c r="C561">
        <v>2019</v>
      </c>
      <c r="E561" t="s">
        <v>3238</v>
      </c>
      <c r="F561" t="s">
        <v>8746</v>
      </c>
    </row>
    <row r="562" spans="1:6" x14ac:dyDescent="0.25">
      <c r="A562" t="s">
        <v>1294</v>
      </c>
      <c r="B562" t="s">
        <v>2590</v>
      </c>
      <c r="C562">
        <v>2019</v>
      </c>
      <c r="E562" t="s">
        <v>3239</v>
      </c>
      <c r="F562" t="s">
        <v>8747</v>
      </c>
    </row>
    <row r="563" spans="1:6" x14ac:dyDescent="0.25">
      <c r="A563" t="s">
        <v>1294</v>
      </c>
      <c r="B563" t="s">
        <v>2599</v>
      </c>
      <c r="C563">
        <v>2019</v>
      </c>
      <c r="E563" t="s">
        <v>3240</v>
      </c>
      <c r="F563" t="s">
        <v>8748</v>
      </c>
    </row>
    <row r="564" spans="1:6" x14ac:dyDescent="0.25">
      <c r="A564" t="s">
        <v>1294</v>
      </c>
      <c r="B564" t="s">
        <v>2675</v>
      </c>
      <c r="C564">
        <v>2019</v>
      </c>
      <c r="E564" t="s">
        <v>3193</v>
      </c>
      <c r="F564" t="s">
        <v>8749</v>
      </c>
    </row>
    <row r="565" spans="1:6" x14ac:dyDescent="0.25">
      <c r="A565" t="s">
        <v>1294</v>
      </c>
      <c r="B565" t="s">
        <v>2698</v>
      </c>
      <c r="C565">
        <v>2019</v>
      </c>
      <c r="E565" t="s">
        <v>3194</v>
      </c>
      <c r="F565" t="s">
        <v>8750</v>
      </c>
    </row>
    <row r="566" spans="1:6" x14ac:dyDescent="0.25">
      <c r="A566" t="s">
        <v>1294</v>
      </c>
      <c r="B566" t="s">
        <v>2812</v>
      </c>
      <c r="C566">
        <v>2019</v>
      </c>
      <c r="E566" t="s">
        <v>3082</v>
      </c>
      <c r="F566" t="s">
        <v>8751</v>
      </c>
    </row>
    <row r="567" spans="1:6" x14ac:dyDescent="0.25">
      <c r="A567" t="s">
        <v>1294</v>
      </c>
      <c r="B567" t="s">
        <v>2901</v>
      </c>
      <c r="C567">
        <v>2019</v>
      </c>
      <c r="E567" s="10" t="s">
        <v>7961</v>
      </c>
      <c r="F567" t="s">
        <v>8752</v>
      </c>
    </row>
    <row r="568" spans="1:6" x14ac:dyDescent="0.25">
      <c r="A568" t="s">
        <v>1294</v>
      </c>
      <c r="B568" t="s">
        <v>2931</v>
      </c>
      <c r="C568">
        <v>2019</v>
      </c>
      <c r="E568" t="s">
        <v>3013</v>
      </c>
    </row>
    <row r="569" spans="1:6" x14ac:dyDescent="0.25">
      <c r="A569" t="s">
        <v>1294</v>
      </c>
      <c r="B569" t="s">
        <v>2950</v>
      </c>
      <c r="C569">
        <v>2019</v>
      </c>
      <c r="E569" t="s">
        <v>2982</v>
      </c>
      <c r="F569" t="s">
        <v>8753</v>
      </c>
    </row>
    <row r="570" spans="1:6" x14ac:dyDescent="0.25">
      <c r="A570" t="s">
        <v>1302</v>
      </c>
      <c r="B570" t="s">
        <v>394</v>
      </c>
      <c r="C570">
        <v>2023</v>
      </c>
      <c r="E570" t="s">
        <v>3056</v>
      </c>
    </row>
    <row r="571" spans="1:6" x14ac:dyDescent="0.25">
      <c r="A571" t="s">
        <v>1302</v>
      </c>
      <c r="B571" t="s">
        <v>1348</v>
      </c>
      <c r="C571">
        <v>2023</v>
      </c>
      <c r="E571" t="s">
        <v>3241</v>
      </c>
      <c r="F571" t="s">
        <v>8754</v>
      </c>
    </row>
    <row r="572" spans="1:6" x14ac:dyDescent="0.25">
      <c r="A572" t="s">
        <v>1302</v>
      </c>
      <c r="B572" t="s">
        <v>1463</v>
      </c>
      <c r="C572">
        <v>2023</v>
      </c>
      <c r="E572" t="s">
        <v>3127</v>
      </c>
      <c r="F572" t="s">
        <v>8755</v>
      </c>
    </row>
    <row r="573" spans="1:6" x14ac:dyDescent="0.25">
      <c r="A573" t="s">
        <v>1302</v>
      </c>
      <c r="B573" t="s">
        <v>7943</v>
      </c>
      <c r="C573">
        <v>2023</v>
      </c>
      <c r="E573" s="10" t="s">
        <v>7941</v>
      </c>
    </row>
    <row r="574" spans="1:6" x14ac:dyDescent="0.25">
      <c r="A574" t="s">
        <v>1302</v>
      </c>
      <c r="B574" t="s">
        <v>2365</v>
      </c>
      <c r="C574">
        <v>2023</v>
      </c>
      <c r="E574" s="10" t="s">
        <v>2368</v>
      </c>
      <c r="F574" t="s">
        <v>9316</v>
      </c>
    </row>
    <row r="575" spans="1:6" x14ac:dyDescent="0.25">
      <c r="A575" t="s">
        <v>1306</v>
      </c>
      <c r="B575" t="s">
        <v>1310</v>
      </c>
      <c r="C575">
        <v>2014</v>
      </c>
    </row>
    <row r="576" spans="1:6" x14ac:dyDescent="0.25">
      <c r="A576" t="s">
        <v>1306</v>
      </c>
      <c r="B576" t="s">
        <v>1312</v>
      </c>
      <c r="C576">
        <v>2014</v>
      </c>
      <c r="D576" t="s">
        <v>187</v>
      </c>
    </row>
    <row r="577" spans="1:6" x14ac:dyDescent="0.25">
      <c r="A577" t="s">
        <v>1306</v>
      </c>
      <c r="B577" t="s">
        <v>1432</v>
      </c>
      <c r="C577">
        <v>2014</v>
      </c>
      <c r="E577" t="s">
        <v>2982</v>
      </c>
      <c r="F577" t="s">
        <v>8756</v>
      </c>
    </row>
    <row r="578" spans="1:6" x14ac:dyDescent="0.25">
      <c r="A578" t="s">
        <v>1365</v>
      </c>
      <c r="B578" t="s">
        <v>1050</v>
      </c>
      <c r="C578">
        <v>2018</v>
      </c>
      <c r="E578" t="s">
        <v>3102</v>
      </c>
    </row>
    <row r="579" spans="1:6" x14ac:dyDescent="0.25">
      <c r="A579" t="s">
        <v>1365</v>
      </c>
      <c r="B579" t="s">
        <v>1369</v>
      </c>
      <c r="C579">
        <v>2018</v>
      </c>
      <c r="D579" t="s">
        <v>187</v>
      </c>
    </row>
    <row r="580" spans="1:6" x14ac:dyDescent="0.25">
      <c r="A580" t="s">
        <v>1365</v>
      </c>
      <c r="B580" t="s">
        <v>2742</v>
      </c>
      <c r="C580">
        <v>2018</v>
      </c>
      <c r="E580" t="s">
        <v>2982</v>
      </c>
      <c r="F580" t="s">
        <v>8757</v>
      </c>
    </row>
    <row r="581" spans="1:6" x14ac:dyDescent="0.25">
      <c r="A581" t="s">
        <v>1385</v>
      </c>
      <c r="B581" t="s">
        <v>1400</v>
      </c>
      <c r="C581">
        <v>2013</v>
      </c>
      <c r="E581" t="s">
        <v>2991</v>
      </c>
      <c r="F581" t="s">
        <v>8758</v>
      </c>
    </row>
    <row r="582" spans="1:6" x14ac:dyDescent="0.25">
      <c r="A582" t="s">
        <v>1385</v>
      </c>
      <c r="B582" t="s">
        <v>1443</v>
      </c>
      <c r="C582">
        <v>2013</v>
      </c>
      <c r="E582" t="s">
        <v>3242</v>
      </c>
    </row>
    <row r="583" spans="1:6" x14ac:dyDescent="0.25">
      <c r="A583" t="s">
        <v>1385</v>
      </c>
      <c r="B583" t="s">
        <v>1534</v>
      </c>
      <c r="C583">
        <v>2013</v>
      </c>
      <c r="E583" s="10" t="s">
        <v>8434</v>
      </c>
      <c r="F583" t="s">
        <v>9310</v>
      </c>
    </row>
    <row r="584" spans="1:6" x14ac:dyDescent="0.25">
      <c r="A584" t="s">
        <v>1385</v>
      </c>
      <c r="B584" t="s">
        <v>2414</v>
      </c>
      <c r="C584">
        <v>2013</v>
      </c>
      <c r="E584" s="10" t="s">
        <v>8414</v>
      </c>
    </row>
    <row r="585" spans="1:6" x14ac:dyDescent="0.25">
      <c r="A585" t="s">
        <v>1420</v>
      </c>
      <c r="B585" t="s">
        <v>2634</v>
      </c>
      <c r="C585">
        <v>2007</v>
      </c>
      <c r="E585" t="s">
        <v>3004</v>
      </c>
      <c r="F585" t="s">
        <v>8759</v>
      </c>
    </row>
    <row r="586" spans="1:6" x14ac:dyDescent="0.25">
      <c r="A586" t="s">
        <v>1435</v>
      </c>
      <c r="B586" t="s">
        <v>346</v>
      </c>
      <c r="C586">
        <v>2021</v>
      </c>
      <c r="E586" t="s">
        <v>2982</v>
      </c>
      <c r="F586" t="s">
        <v>8760</v>
      </c>
    </row>
    <row r="587" spans="1:6" x14ac:dyDescent="0.25">
      <c r="A587" t="s">
        <v>1435</v>
      </c>
      <c r="B587" t="s">
        <v>428</v>
      </c>
      <c r="C587">
        <v>2021</v>
      </c>
      <c r="E587" t="s">
        <v>3020</v>
      </c>
    </row>
    <row r="588" spans="1:6" x14ac:dyDescent="0.25">
      <c r="A588" t="s">
        <v>1435</v>
      </c>
      <c r="B588" t="s">
        <v>505</v>
      </c>
      <c r="C588">
        <v>2021</v>
      </c>
      <c r="E588" s="10" t="s">
        <v>8366</v>
      </c>
      <c r="F588" t="s">
        <v>9227</v>
      </c>
    </row>
    <row r="589" spans="1:6" x14ac:dyDescent="0.25">
      <c r="A589" t="s">
        <v>1435</v>
      </c>
      <c r="B589" t="s">
        <v>619</v>
      </c>
      <c r="C589">
        <v>2021</v>
      </c>
      <c r="E589" s="10" t="s">
        <v>9329</v>
      </c>
      <c r="F589" t="s">
        <v>8761</v>
      </c>
    </row>
    <row r="590" spans="1:6" x14ac:dyDescent="0.25">
      <c r="A590" t="s">
        <v>1435</v>
      </c>
      <c r="B590" t="s">
        <v>730</v>
      </c>
      <c r="C590">
        <v>2021</v>
      </c>
      <c r="E590" t="s">
        <v>3025</v>
      </c>
    </row>
    <row r="591" spans="1:6" x14ac:dyDescent="0.25">
      <c r="A591" t="s">
        <v>1435</v>
      </c>
      <c r="B591" t="s">
        <v>863</v>
      </c>
      <c r="C591">
        <v>2021</v>
      </c>
      <c r="E591" t="s">
        <v>3027</v>
      </c>
      <c r="F591" t="s">
        <v>8762</v>
      </c>
    </row>
    <row r="592" spans="1:6" x14ac:dyDescent="0.25">
      <c r="A592" t="s">
        <v>1435</v>
      </c>
      <c r="B592" t="s">
        <v>1137</v>
      </c>
      <c r="C592">
        <v>2021</v>
      </c>
      <c r="E592" t="s">
        <v>3243</v>
      </c>
      <c r="F592" t="s">
        <v>8763</v>
      </c>
    </row>
    <row r="593" spans="1:6" x14ac:dyDescent="0.25">
      <c r="A593" t="s">
        <v>1435</v>
      </c>
      <c r="B593" t="s">
        <v>1432</v>
      </c>
      <c r="C593">
        <v>2021</v>
      </c>
      <c r="E593" t="s">
        <v>2982</v>
      </c>
      <c r="F593" t="s">
        <v>8764</v>
      </c>
    </row>
    <row r="594" spans="1:6" x14ac:dyDescent="0.25">
      <c r="A594" t="s">
        <v>1435</v>
      </c>
      <c r="B594" t="s">
        <v>1532</v>
      </c>
      <c r="C594">
        <v>2021</v>
      </c>
      <c r="E594" s="10" t="s">
        <v>8407</v>
      </c>
      <c r="F594" t="s">
        <v>9280</v>
      </c>
    </row>
    <row r="595" spans="1:6" x14ac:dyDescent="0.25">
      <c r="A595" t="s">
        <v>1435</v>
      </c>
      <c r="B595" t="s">
        <v>1610</v>
      </c>
      <c r="C595">
        <v>2021</v>
      </c>
      <c r="E595" t="s">
        <v>3244</v>
      </c>
      <c r="F595" t="s">
        <v>8765</v>
      </c>
    </row>
    <row r="596" spans="1:6" x14ac:dyDescent="0.25">
      <c r="A596" t="s">
        <v>1435</v>
      </c>
      <c r="B596" t="s">
        <v>1756</v>
      </c>
      <c r="C596">
        <v>2021</v>
      </c>
      <c r="E596" t="s">
        <v>2982</v>
      </c>
      <c r="F596" t="s">
        <v>8766</v>
      </c>
    </row>
    <row r="597" spans="1:6" x14ac:dyDescent="0.25">
      <c r="A597" t="s">
        <v>1435</v>
      </c>
      <c r="B597" t="s">
        <v>1984</v>
      </c>
      <c r="C597">
        <v>2021</v>
      </c>
      <c r="E597" t="s">
        <v>3245</v>
      </c>
      <c r="F597" t="s">
        <v>8767</v>
      </c>
    </row>
    <row r="598" spans="1:6" x14ac:dyDescent="0.25">
      <c r="A598" t="s">
        <v>1435</v>
      </c>
      <c r="B598" t="s">
        <v>2018</v>
      </c>
      <c r="C598">
        <v>2021</v>
      </c>
      <c r="E598" t="s">
        <v>3246</v>
      </c>
    </row>
    <row r="599" spans="1:6" x14ac:dyDescent="0.25">
      <c r="A599" t="s">
        <v>1435</v>
      </c>
      <c r="B599" t="s">
        <v>7950</v>
      </c>
      <c r="C599">
        <v>2021</v>
      </c>
      <c r="E599" s="10" t="s">
        <v>7949</v>
      </c>
    </row>
    <row r="600" spans="1:6" x14ac:dyDescent="0.25">
      <c r="A600" t="s">
        <v>1435</v>
      </c>
      <c r="B600" t="s">
        <v>2385</v>
      </c>
      <c r="C600">
        <v>2021</v>
      </c>
      <c r="E600" s="10" t="s">
        <v>8421</v>
      </c>
      <c r="F600" t="s">
        <v>9300</v>
      </c>
    </row>
    <row r="601" spans="1:6" x14ac:dyDescent="0.25">
      <c r="A601" t="s">
        <v>1435</v>
      </c>
      <c r="B601" t="s">
        <v>2667</v>
      </c>
      <c r="C601">
        <v>2021</v>
      </c>
      <c r="E601" t="s">
        <v>2985</v>
      </c>
      <c r="F601" t="s">
        <v>8768</v>
      </c>
    </row>
    <row r="602" spans="1:6" x14ac:dyDescent="0.25">
      <c r="A602" t="s">
        <v>1443</v>
      </c>
      <c r="B602" t="s">
        <v>249</v>
      </c>
      <c r="C602">
        <v>2018</v>
      </c>
      <c r="E602" t="s">
        <v>3247</v>
      </c>
      <c r="F602" t="s">
        <v>8769</v>
      </c>
    </row>
    <row r="603" spans="1:6" x14ac:dyDescent="0.25">
      <c r="A603" t="s">
        <v>1443</v>
      </c>
      <c r="B603" t="s">
        <v>8122</v>
      </c>
      <c r="C603">
        <v>2018</v>
      </c>
      <c r="E603" s="10" t="s">
        <v>8134</v>
      </c>
      <c r="F603" t="s">
        <v>8770</v>
      </c>
    </row>
    <row r="604" spans="1:6" x14ac:dyDescent="0.25">
      <c r="A604" t="s">
        <v>1443</v>
      </c>
      <c r="B604" t="s">
        <v>276</v>
      </c>
      <c r="C604">
        <v>2018</v>
      </c>
      <c r="E604" t="s">
        <v>3013</v>
      </c>
    </row>
    <row r="605" spans="1:6" x14ac:dyDescent="0.25">
      <c r="A605" t="s">
        <v>1443</v>
      </c>
      <c r="B605" t="s">
        <v>346</v>
      </c>
      <c r="C605">
        <v>2018</v>
      </c>
      <c r="E605" t="s">
        <v>3248</v>
      </c>
      <c r="F605" t="s">
        <v>8771</v>
      </c>
    </row>
    <row r="606" spans="1:6" x14ac:dyDescent="0.25">
      <c r="A606" t="s">
        <v>1443</v>
      </c>
      <c r="B606" t="s">
        <v>561</v>
      </c>
      <c r="C606">
        <v>2018</v>
      </c>
      <c r="E606" t="s">
        <v>2982</v>
      </c>
      <c r="F606" t="s">
        <v>8772</v>
      </c>
    </row>
    <row r="607" spans="1:6" x14ac:dyDescent="0.25">
      <c r="A607" t="s">
        <v>1443</v>
      </c>
      <c r="B607" t="s">
        <v>671</v>
      </c>
      <c r="C607">
        <v>2018</v>
      </c>
      <c r="E607" t="s">
        <v>2982</v>
      </c>
      <c r="F607" t="s">
        <v>8773</v>
      </c>
    </row>
    <row r="608" spans="1:6" x14ac:dyDescent="0.25">
      <c r="A608" t="s">
        <v>1443</v>
      </c>
      <c r="B608" t="s">
        <v>771</v>
      </c>
      <c r="C608">
        <v>2018</v>
      </c>
      <c r="E608" t="s">
        <v>3249</v>
      </c>
      <c r="F608" t="s">
        <v>8774</v>
      </c>
    </row>
    <row r="609" spans="1:6" x14ac:dyDescent="0.25">
      <c r="A609" t="s">
        <v>1443</v>
      </c>
      <c r="B609" t="s">
        <v>786</v>
      </c>
      <c r="C609">
        <v>2018</v>
      </c>
      <c r="E609" t="s">
        <v>2982</v>
      </c>
      <c r="F609" t="s">
        <v>8775</v>
      </c>
    </row>
    <row r="610" spans="1:6" x14ac:dyDescent="0.25">
      <c r="A610" t="s">
        <v>1443</v>
      </c>
      <c r="B610" t="s">
        <v>865</v>
      </c>
      <c r="C610">
        <v>2018</v>
      </c>
      <c r="E610" t="s">
        <v>3203</v>
      </c>
      <c r="F610" t="s">
        <v>8776</v>
      </c>
    </row>
    <row r="611" spans="1:6" x14ac:dyDescent="0.25">
      <c r="A611" t="s">
        <v>1443</v>
      </c>
      <c r="B611" t="s">
        <v>904</v>
      </c>
      <c r="C611">
        <v>2018</v>
      </c>
      <c r="E611" s="10" t="s">
        <v>8374</v>
      </c>
      <c r="F611" t="s">
        <v>9247</v>
      </c>
    </row>
    <row r="612" spans="1:6" x14ac:dyDescent="0.25">
      <c r="A612" t="s">
        <v>1443</v>
      </c>
      <c r="B612" t="s">
        <v>971</v>
      </c>
      <c r="C612">
        <v>2018</v>
      </c>
      <c r="E612" t="s">
        <v>2982</v>
      </c>
      <c r="F612" t="s">
        <v>8777</v>
      </c>
    </row>
    <row r="613" spans="1:6" x14ac:dyDescent="0.25">
      <c r="A613" t="s">
        <v>1443</v>
      </c>
      <c r="B613" t="s">
        <v>1089</v>
      </c>
      <c r="C613">
        <v>2018</v>
      </c>
      <c r="E613" t="s">
        <v>3250</v>
      </c>
    </row>
    <row r="614" spans="1:6" x14ac:dyDescent="0.25">
      <c r="A614" t="s">
        <v>1443</v>
      </c>
      <c r="B614" t="s">
        <v>1108</v>
      </c>
      <c r="C614">
        <v>2018</v>
      </c>
      <c r="E614" t="s">
        <v>3251</v>
      </c>
      <c r="F614" t="s">
        <v>8778</v>
      </c>
    </row>
    <row r="615" spans="1:6" x14ac:dyDescent="0.25">
      <c r="A615" t="s">
        <v>1443</v>
      </c>
      <c r="B615" t="s">
        <v>1534</v>
      </c>
      <c r="C615">
        <v>2018</v>
      </c>
      <c r="E615" s="10" t="s">
        <v>8434</v>
      </c>
    </row>
    <row r="616" spans="1:6" x14ac:dyDescent="0.25">
      <c r="A616" t="s">
        <v>1443</v>
      </c>
      <c r="B616" t="s">
        <v>1610</v>
      </c>
      <c r="C616">
        <v>2018</v>
      </c>
      <c r="E616" t="s">
        <v>3244</v>
      </c>
      <c r="F616" t="s">
        <v>8779</v>
      </c>
    </row>
    <row r="617" spans="1:6" x14ac:dyDescent="0.25">
      <c r="A617" t="s">
        <v>1443</v>
      </c>
      <c r="B617" t="s">
        <v>1637</v>
      </c>
      <c r="C617">
        <v>2018</v>
      </c>
      <c r="E617" t="s">
        <v>3252</v>
      </c>
      <c r="F617" t="s">
        <v>8780</v>
      </c>
    </row>
    <row r="618" spans="1:6" x14ac:dyDescent="0.25">
      <c r="A618" t="s">
        <v>1443</v>
      </c>
      <c r="B618" t="s">
        <v>1947</v>
      </c>
      <c r="C618">
        <v>2018</v>
      </c>
      <c r="E618" t="s">
        <v>3253</v>
      </c>
      <c r="F618" t="s">
        <v>8781</v>
      </c>
    </row>
    <row r="619" spans="1:6" x14ac:dyDescent="0.25">
      <c r="A619" t="s">
        <v>1443</v>
      </c>
      <c r="B619" t="s">
        <v>2187</v>
      </c>
      <c r="C619">
        <v>2018</v>
      </c>
      <c r="E619" t="s">
        <v>3017</v>
      </c>
      <c r="F619" t="s">
        <v>8782</v>
      </c>
    </row>
    <row r="620" spans="1:6" x14ac:dyDescent="0.25">
      <c r="A620" t="s">
        <v>1443</v>
      </c>
      <c r="B620" t="s">
        <v>2318</v>
      </c>
      <c r="C620">
        <v>2018</v>
      </c>
      <c r="E620" t="s">
        <v>3088</v>
      </c>
      <c r="F620" t="s">
        <v>8783</v>
      </c>
    </row>
    <row r="621" spans="1:6" x14ac:dyDescent="0.25">
      <c r="A621" t="s">
        <v>1443</v>
      </c>
      <c r="B621" t="s">
        <v>2414</v>
      </c>
      <c r="C621">
        <v>2018</v>
      </c>
      <c r="E621" t="s">
        <v>3254</v>
      </c>
      <c r="F621" t="s">
        <v>8784</v>
      </c>
    </row>
    <row r="622" spans="1:6" x14ac:dyDescent="0.25">
      <c r="A622" t="s">
        <v>1443</v>
      </c>
      <c r="B622" t="s">
        <v>8342</v>
      </c>
      <c r="C622">
        <v>2018</v>
      </c>
      <c r="E622" s="10" t="s">
        <v>8352</v>
      </c>
    </row>
    <row r="623" spans="1:6" x14ac:dyDescent="0.25">
      <c r="A623" t="s">
        <v>1443</v>
      </c>
      <c r="B623" t="s">
        <v>2546</v>
      </c>
      <c r="C623">
        <v>2018</v>
      </c>
      <c r="E623" t="s">
        <v>2982</v>
      </c>
      <c r="F623" t="s">
        <v>8785</v>
      </c>
    </row>
    <row r="624" spans="1:6" x14ac:dyDescent="0.25">
      <c r="A624" t="s">
        <v>1443</v>
      </c>
      <c r="B624" t="s">
        <v>2648</v>
      </c>
      <c r="C624">
        <v>2018</v>
      </c>
      <c r="E624" t="s">
        <v>3055</v>
      </c>
      <c r="F624" t="s">
        <v>8786</v>
      </c>
    </row>
    <row r="625" spans="1:6" x14ac:dyDescent="0.25">
      <c r="A625" t="s">
        <v>1443</v>
      </c>
      <c r="B625" t="s">
        <v>2659</v>
      </c>
      <c r="C625">
        <v>2018</v>
      </c>
      <c r="E625" t="s">
        <v>3255</v>
      </c>
    </row>
    <row r="626" spans="1:6" x14ac:dyDescent="0.25">
      <c r="A626" t="s">
        <v>1443</v>
      </c>
      <c r="B626" t="s">
        <v>8125</v>
      </c>
      <c r="C626">
        <v>2018</v>
      </c>
      <c r="E626" s="10" t="s">
        <v>8135</v>
      </c>
      <c r="F626" t="s">
        <v>8787</v>
      </c>
    </row>
    <row r="627" spans="1:6" x14ac:dyDescent="0.25">
      <c r="A627" t="s">
        <v>1454</v>
      </c>
      <c r="B627" t="s">
        <v>540</v>
      </c>
      <c r="C627">
        <v>2001</v>
      </c>
      <c r="E627" t="s">
        <v>3256</v>
      </c>
      <c r="F627" t="s">
        <v>8788</v>
      </c>
    </row>
    <row r="628" spans="1:6" x14ac:dyDescent="0.25">
      <c r="A628" t="s">
        <v>1454</v>
      </c>
      <c r="B628" t="s">
        <v>8427</v>
      </c>
      <c r="C628">
        <v>2001</v>
      </c>
      <c r="E628" s="10" t="s">
        <v>8426</v>
      </c>
    </row>
    <row r="629" spans="1:6" x14ac:dyDescent="0.25">
      <c r="A629" t="s">
        <v>1460</v>
      </c>
      <c r="B629" t="s">
        <v>1457</v>
      </c>
      <c r="C629">
        <v>2006</v>
      </c>
      <c r="D629" t="s">
        <v>187</v>
      </c>
    </row>
    <row r="630" spans="1:6" x14ac:dyDescent="0.25">
      <c r="A630" t="s">
        <v>1496</v>
      </c>
      <c r="B630" t="s">
        <v>904</v>
      </c>
      <c r="C630">
        <v>2016</v>
      </c>
      <c r="E630" t="s">
        <v>2982</v>
      </c>
      <c r="F630" t="s">
        <v>8789</v>
      </c>
    </row>
    <row r="631" spans="1:6" x14ac:dyDescent="0.25">
      <c r="A631" t="s">
        <v>1496</v>
      </c>
      <c r="B631" t="s">
        <v>952</v>
      </c>
      <c r="C631">
        <v>2016</v>
      </c>
      <c r="E631" t="s">
        <v>3257</v>
      </c>
      <c r="F631" t="s">
        <v>8790</v>
      </c>
    </row>
    <row r="632" spans="1:6" x14ac:dyDescent="0.25">
      <c r="A632" t="s">
        <v>1496</v>
      </c>
      <c r="B632" t="s">
        <v>2061</v>
      </c>
      <c r="C632">
        <v>2016</v>
      </c>
      <c r="E632" t="s">
        <v>3013</v>
      </c>
    </row>
    <row r="633" spans="1:6" x14ac:dyDescent="0.25">
      <c r="A633" t="s">
        <v>1516</v>
      </c>
      <c r="B633" t="s">
        <v>1879</v>
      </c>
      <c r="C633">
        <v>2024</v>
      </c>
      <c r="D633" t="s">
        <v>187</v>
      </c>
    </row>
    <row r="634" spans="1:6" x14ac:dyDescent="0.25">
      <c r="A634" t="s">
        <v>1523</v>
      </c>
      <c r="B634" t="s">
        <v>522</v>
      </c>
      <c r="C634">
        <v>1986</v>
      </c>
      <c r="E634" s="10" t="s">
        <v>8425</v>
      </c>
      <c r="F634" t="s">
        <v>9305</v>
      </c>
    </row>
    <row r="635" spans="1:6" x14ac:dyDescent="0.25">
      <c r="A635" t="s">
        <v>1538</v>
      </c>
      <c r="B635" t="s">
        <v>964</v>
      </c>
      <c r="C635">
        <v>1995</v>
      </c>
      <c r="E635" t="s">
        <v>3258</v>
      </c>
      <c r="F635" t="s">
        <v>8791</v>
      </c>
    </row>
    <row r="636" spans="1:6" x14ac:dyDescent="0.25">
      <c r="A636" t="s">
        <v>1538</v>
      </c>
      <c r="B636" t="s">
        <v>1141</v>
      </c>
      <c r="C636">
        <v>1995</v>
      </c>
      <c r="E636" t="s">
        <v>2989</v>
      </c>
    </row>
    <row r="637" spans="1:6" x14ac:dyDescent="0.25">
      <c r="A637" t="s">
        <v>1538</v>
      </c>
      <c r="B637" t="s">
        <v>2023</v>
      </c>
      <c r="C637">
        <v>1995</v>
      </c>
      <c r="E637" t="s">
        <v>2994</v>
      </c>
    </row>
    <row r="638" spans="1:6" x14ac:dyDescent="0.25">
      <c r="A638" t="s">
        <v>1538</v>
      </c>
      <c r="B638" t="s">
        <v>2489</v>
      </c>
      <c r="C638">
        <v>1995</v>
      </c>
      <c r="E638" t="s">
        <v>3259</v>
      </c>
      <c r="F638" t="s">
        <v>8792</v>
      </c>
    </row>
    <row r="639" spans="1:6" x14ac:dyDescent="0.25">
      <c r="A639" t="s">
        <v>1549</v>
      </c>
      <c r="B639" t="s">
        <v>1201</v>
      </c>
      <c r="C639">
        <v>2021</v>
      </c>
      <c r="E639" s="10" t="s">
        <v>8431</v>
      </c>
    </row>
    <row r="640" spans="1:6" x14ac:dyDescent="0.25">
      <c r="A640" t="s">
        <v>1549</v>
      </c>
      <c r="B640" t="s">
        <v>2239</v>
      </c>
      <c r="C640">
        <v>2021</v>
      </c>
      <c r="E640" t="s">
        <v>2241</v>
      </c>
      <c r="F640" t="s">
        <v>8793</v>
      </c>
    </row>
    <row r="641" spans="1:6" x14ac:dyDescent="0.25">
      <c r="A641" t="s">
        <v>1549</v>
      </c>
      <c r="B641" t="s">
        <v>2514</v>
      </c>
      <c r="C641">
        <v>2021</v>
      </c>
      <c r="E641" t="s">
        <v>3175</v>
      </c>
    </row>
    <row r="642" spans="1:6" x14ac:dyDescent="0.25">
      <c r="A642" t="s">
        <v>1549</v>
      </c>
      <c r="B642" t="s">
        <v>2896</v>
      </c>
      <c r="C642">
        <v>2021</v>
      </c>
      <c r="E642" t="s">
        <v>3260</v>
      </c>
    </row>
    <row r="643" spans="1:6" x14ac:dyDescent="0.25">
      <c r="A643" t="s">
        <v>1553</v>
      </c>
      <c r="B643" t="s">
        <v>7839</v>
      </c>
      <c r="C643">
        <v>2017</v>
      </c>
      <c r="E643" t="s">
        <v>7824</v>
      </c>
      <c r="F643" t="s">
        <v>8794</v>
      </c>
    </row>
    <row r="644" spans="1:6" x14ac:dyDescent="0.25">
      <c r="A644" t="s">
        <v>1565</v>
      </c>
      <c r="B644" t="s">
        <v>2369</v>
      </c>
      <c r="C644">
        <v>2023</v>
      </c>
      <c r="E644" t="s">
        <v>3261</v>
      </c>
      <c r="F644" t="s">
        <v>8795</v>
      </c>
    </row>
    <row r="645" spans="1:6" x14ac:dyDescent="0.25">
      <c r="A645" t="s">
        <v>1572</v>
      </c>
      <c r="B645" t="s">
        <v>1407</v>
      </c>
      <c r="C645">
        <v>2001</v>
      </c>
      <c r="E645" t="s">
        <v>3171</v>
      </c>
      <c r="F645" t="s">
        <v>8796</v>
      </c>
    </row>
    <row r="646" spans="1:6" x14ac:dyDescent="0.25">
      <c r="A646" t="s">
        <v>1576</v>
      </c>
      <c r="B646" t="s">
        <v>270</v>
      </c>
      <c r="C646">
        <v>2021</v>
      </c>
      <c r="E646" s="10" t="s">
        <v>8369</v>
      </c>
      <c r="F646" t="s">
        <v>9241</v>
      </c>
    </row>
    <row r="647" spans="1:6" x14ac:dyDescent="0.25">
      <c r="A647" t="s">
        <v>1576</v>
      </c>
      <c r="B647" t="s">
        <v>346</v>
      </c>
      <c r="C647">
        <v>2021</v>
      </c>
      <c r="E647" t="s">
        <v>2982</v>
      </c>
      <c r="F647" t="s">
        <v>8797</v>
      </c>
    </row>
    <row r="648" spans="1:6" x14ac:dyDescent="0.25">
      <c r="A648" t="s">
        <v>1576</v>
      </c>
      <c r="B648" t="s">
        <v>353</v>
      </c>
      <c r="C648">
        <v>2021</v>
      </c>
      <c r="E648" t="s">
        <v>3262</v>
      </c>
      <c r="F648" t="s">
        <v>8798</v>
      </c>
    </row>
    <row r="649" spans="1:6" x14ac:dyDescent="0.25">
      <c r="A649" t="s">
        <v>1576</v>
      </c>
      <c r="B649" t="s">
        <v>364</v>
      </c>
      <c r="C649">
        <v>2021</v>
      </c>
      <c r="E649" t="s">
        <v>2982</v>
      </c>
      <c r="F649" t="s">
        <v>8799</v>
      </c>
    </row>
    <row r="650" spans="1:6" x14ac:dyDescent="0.25">
      <c r="A650" t="s">
        <v>1576</v>
      </c>
      <c r="B650" t="s">
        <v>421</v>
      </c>
      <c r="C650">
        <v>2021</v>
      </c>
      <c r="E650" t="s">
        <v>2982</v>
      </c>
      <c r="F650" t="s">
        <v>8800</v>
      </c>
    </row>
    <row r="651" spans="1:6" x14ac:dyDescent="0.25">
      <c r="A651" t="s">
        <v>1576</v>
      </c>
      <c r="B651" t="s">
        <v>493</v>
      </c>
      <c r="C651">
        <v>2021</v>
      </c>
      <c r="E651" t="s">
        <v>2982</v>
      </c>
      <c r="F651" t="s">
        <v>8801</v>
      </c>
    </row>
    <row r="652" spans="1:6" x14ac:dyDescent="0.25">
      <c r="A652" t="s">
        <v>1576</v>
      </c>
      <c r="B652" t="s">
        <v>528</v>
      </c>
      <c r="C652">
        <v>2021</v>
      </c>
      <c r="E652" t="s">
        <v>3263</v>
      </c>
    </row>
    <row r="653" spans="1:6" x14ac:dyDescent="0.25">
      <c r="A653" t="s">
        <v>1576</v>
      </c>
      <c r="B653" t="s">
        <v>595</v>
      </c>
      <c r="C653">
        <v>2021</v>
      </c>
      <c r="E653" s="10" t="s">
        <v>8370</v>
      </c>
      <c r="F653" t="s">
        <v>9242</v>
      </c>
    </row>
    <row r="654" spans="1:6" x14ac:dyDescent="0.25">
      <c r="A654" t="s">
        <v>7650</v>
      </c>
      <c r="B654" t="s">
        <v>7653</v>
      </c>
      <c r="C654">
        <v>2021</v>
      </c>
      <c r="E654" t="s">
        <v>7649</v>
      </c>
      <c r="F654" t="s">
        <v>8802</v>
      </c>
    </row>
    <row r="655" spans="1:6" x14ac:dyDescent="0.25">
      <c r="A655" t="s">
        <v>1576</v>
      </c>
      <c r="B655" t="s">
        <v>667</v>
      </c>
      <c r="C655">
        <v>2021</v>
      </c>
      <c r="E655" t="s">
        <v>2982</v>
      </c>
      <c r="F655" t="s">
        <v>8803</v>
      </c>
    </row>
    <row r="656" spans="1:6" x14ac:dyDescent="0.25">
      <c r="A656" t="s">
        <v>1576</v>
      </c>
      <c r="B656" t="s">
        <v>717</v>
      </c>
      <c r="C656">
        <v>2021</v>
      </c>
      <c r="E656" t="s">
        <v>3264</v>
      </c>
      <c r="F656" t="s">
        <v>8804</v>
      </c>
    </row>
    <row r="657" spans="1:6" x14ac:dyDescent="0.25">
      <c r="A657" t="s">
        <v>1576</v>
      </c>
      <c r="B657" t="s">
        <v>8322</v>
      </c>
      <c r="C657">
        <v>2021</v>
      </c>
      <c r="E657" t="s">
        <v>2982</v>
      </c>
      <c r="F657" t="s">
        <v>9216</v>
      </c>
    </row>
    <row r="658" spans="1:6" x14ac:dyDescent="0.25">
      <c r="A658" t="s">
        <v>1576</v>
      </c>
      <c r="B658" t="s">
        <v>896</v>
      </c>
      <c r="C658">
        <v>2021</v>
      </c>
      <c r="E658" t="s">
        <v>3265</v>
      </c>
      <c r="F658" t="s">
        <v>8805</v>
      </c>
    </row>
    <row r="659" spans="1:6" x14ac:dyDescent="0.25">
      <c r="A659" t="s">
        <v>1576</v>
      </c>
      <c r="B659" t="s">
        <v>988</v>
      </c>
      <c r="C659">
        <v>2021</v>
      </c>
      <c r="E659" t="s">
        <v>2982</v>
      </c>
      <c r="F659" t="s">
        <v>8806</v>
      </c>
    </row>
    <row r="660" spans="1:6" x14ac:dyDescent="0.25">
      <c r="A660" t="s">
        <v>1576</v>
      </c>
      <c r="B660" t="s">
        <v>1038</v>
      </c>
      <c r="C660">
        <v>2021</v>
      </c>
      <c r="E660" t="s">
        <v>3013</v>
      </c>
    </row>
    <row r="661" spans="1:6" x14ac:dyDescent="0.25">
      <c r="A661" t="s">
        <v>1576</v>
      </c>
      <c r="B661" t="s">
        <v>1580</v>
      </c>
      <c r="C661">
        <v>2021</v>
      </c>
      <c r="E661" t="s">
        <v>3013</v>
      </c>
    </row>
    <row r="662" spans="1:6" x14ac:dyDescent="0.25">
      <c r="A662" t="s">
        <v>1576</v>
      </c>
      <c r="B662" t="s">
        <v>1613</v>
      </c>
      <c r="C662">
        <v>2021</v>
      </c>
      <c r="D662" t="s">
        <v>187</v>
      </c>
    </row>
    <row r="663" spans="1:6" x14ac:dyDescent="0.25">
      <c r="A663" t="s">
        <v>1576</v>
      </c>
      <c r="B663" t="s">
        <v>1811</v>
      </c>
      <c r="C663">
        <v>2021</v>
      </c>
      <c r="E663" t="s">
        <v>2982</v>
      </c>
      <c r="F663" t="s">
        <v>8807</v>
      </c>
    </row>
    <row r="664" spans="1:6" x14ac:dyDescent="0.25">
      <c r="A664" t="s">
        <v>1576</v>
      </c>
      <c r="B664" t="s">
        <v>1893</v>
      </c>
      <c r="C664">
        <v>2021</v>
      </c>
      <c r="E664" t="s">
        <v>3035</v>
      </c>
      <c r="F664" t="s">
        <v>8808</v>
      </c>
    </row>
    <row r="665" spans="1:6" x14ac:dyDescent="0.25">
      <c r="A665" t="s">
        <v>1576</v>
      </c>
      <c r="B665" t="s">
        <v>1980</v>
      </c>
      <c r="C665">
        <v>2021</v>
      </c>
      <c r="E665" t="s">
        <v>3266</v>
      </c>
      <c r="F665" t="s">
        <v>8809</v>
      </c>
    </row>
    <row r="666" spans="1:6" x14ac:dyDescent="0.25">
      <c r="A666" t="s">
        <v>1576</v>
      </c>
      <c r="B666" t="s">
        <v>2222</v>
      </c>
      <c r="C666">
        <v>2021</v>
      </c>
      <c r="E666" t="s">
        <v>3042</v>
      </c>
      <c r="F666" t="s">
        <v>8810</v>
      </c>
    </row>
    <row r="667" spans="1:6" x14ac:dyDescent="0.25">
      <c r="A667" t="s">
        <v>1576</v>
      </c>
      <c r="B667" t="s">
        <v>2232</v>
      </c>
      <c r="C667">
        <v>2021</v>
      </c>
      <c r="E667" t="s">
        <v>3267</v>
      </c>
    </row>
    <row r="668" spans="1:6" x14ac:dyDescent="0.25">
      <c r="A668" t="s">
        <v>1576</v>
      </c>
      <c r="B668" t="s">
        <v>2369</v>
      </c>
      <c r="C668">
        <v>2021</v>
      </c>
      <c r="E668" t="s">
        <v>3261</v>
      </c>
      <c r="F668" t="s">
        <v>8811</v>
      </c>
    </row>
    <row r="669" spans="1:6" x14ac:dyDescent="0.25">
      <c r="A669" t="s">
        <v>1576</v>
      </c>
      <c r="B669" t="s">
        <v>2431</v>
      </c>
      <c r="C669">
        <v>2021</v>
      </c>
      <c r="E669" t="s">
        <v>2982</v>
      </c>
      <c r="F669" t="s">
        <v>8812</v>
      </c>
    </row>
    <row r="670" spans="1:6" x14ac:dyDescent="0.25">
      <c r="A670" t="s">
        <v>1576</v>
      </c>
      <c r="B670" t="s">
        <v>2475</v>
      </c>
      <c r="C670">
        <v>2021</v>
      </c>
      <c r="E670" t="s">
        <v>3049</v>
      </c>
      <c r="F670" t="s">
        <v>8813</v>
      </c>
    </row>
    <row r="671" spans="1:6" x14ac:dyDescent="0.25">
      <c r="A671" t="s">
        <v>1576</v>
      </c>
      <c r="B671" t="s">
        <v>2522</v>
      </c>
      <c r="C671">
        <v>2021</v>
      </c>
      <c r="E671" t="s">
        <v>3268</v>
      </c>
      <c r="F671" t="s">
        <v>8814</v>
      </c>
    </row>
    <row r="672" spans="1:6" x14ac:dyDescent="0.25">
      <c r="A672" t="s">
        <v>1592</v>
      </c>
      <c r="B672" t="s">
        <v>1378</v>
      </c>
      <c r="C672">
        <v>2019</v>
      </c>
      <c r="E672" s="10" t="s">
        <v>1381</v>
      </c>
      <c r="F672" t="s">
        <v>9250</v>
      </c>
    </row>
    <row r="673" spans="1:6" x14ac:dyDescent="0.25">
      <c r="A673" t="s">
        <v>1592</v>
      </c>
      <c r="B673" t="s">
        <v>2435</v>
      </c>
      <c r="C673">
        <v>2019</v>
      </c>
      <c r="E673" s="10" t="s">
        <v>8377</v>
      </c>
      <c r="F673" t="s">
        <v>9251</v>
      </c>
    </row>
    <row r="674" spans="1:6" x14ac:dyDescent="0.25">
      <c r="A674" t="s">
        <v>1592</v>
      </c>
      <c r="B674" t="s">
        <v>2804</v>
      </c>
      <c r="C674">
        <v>2019</v>
      </c>
      <c r="E674" t="s">
        <v>3269</v>
      </c>
      <c r="F674" t="s">
        <v>8815</v>
      </c>
    </row>
    <row r="675" spans="1:6" x14ac:dyDescent="0.25">
      <c r="A675" t="s">
        <v>1594</v>
      </c>
      <c r="B675" t="s">
        <v>319</v>
      </c>
      <c r="C675">
        <v>2023</v>
      </c>
      <c r="E675" t="s">
        <v>2982</v>
      </c>
      <c r="F675" t="s">
        <v>8816</v>
      </c>
    </row>
    <row r="676" spans="1:6" x14ac:dyDescent="0.25">
      <c r="A676" t="s">
        <v>1621</v>
      </c>
      <c r="B676" t="s">
        <v>7654</v>
      </c>
      <c r="C676">
        <v>2025</v>
      </c>
      <c r="E676" t="s">
        <v>7657</v>
      </c>
    </row>
    <row r="677" spans="1:6" x14ac:dyDescent="0.25">
      <c r="A677" t="s">
        <v>1655</v>
      </c>
      <c r="B677" t="s">
        <v>1532</v>
      </c>
      <c r="C677">
        <v>2024</v>
      </c>
      <c r="D677" t="s">
        <v>187</v>
      </c>
    </row>
    <row r="678" spans="1:6" x14ac:dyDescent="0.25">
      <c r="A678" t="s">
        <v>1659</v>
      </c>
      <c r="B678" t="s">
        <v>2731</v>
      </c>
      <c r="C678">
        <v>2012</v>
      </c>
      <c r="D678" t="s">
        <v>187</v>
      </c>
    </row>
    <row r="679" spans="1:6" x14ac:dyDescent="0.25">
      <c r="A679" t="s">
        <v>1661</v>
      </c>
      <c r="B679" t="s">
        <v>1157</v>
      </c>
      <c r="C679">
        <v>2011</v>
      </c>
      <c r="D679" t="s">
        <v>187</v>
      </c>
    </row>
    <row r="680" spans="1:6" x14ac:dyDescent="0.25">
      <c r="A680" t="s">
        <v>1661</v>
      </c>
      <c r="B680" t="s">
        <v>1659</v>
      </c>
      <c r="C680">
        <v>2011</v>
      </c>
      <c r="D680" t="s">
        <v>187</v>
      </c>
    </row>
    <row r="681" spans="1:6" x14ac:dyDescent="0.25">
      <c r="A681" t="s">
        <v>1676</v>
      </c>
      <c r="B681" t="s">
        <v>971</v>
      </c>
      <c r="C681">
        <v>2002</v>
      </c>
      <c r="E681" t="s">
        <v>2982</v>
      </c>
      <c r="F681" t="s">
        <v>8817</v>
      </c>
    </row>
    <row r="682" spans="1:6" x14ac:dyDescent="0.25">
      <c r="A682" t="s">
        <v>1676</v>
      </c>
      <c r="B682" t="s">
        <v>1679</v>
      </c>
      <c r="C682">
        <v>2002</v>
      </c>
      <c r="D682" t="s">
        <v>187</v>
      </c>
    </row>
    <row r="683" spans="1:6" x14ac:dyDescent="0.25">
      <c r="A683" t="s">
        <v>1682</v>
      </c>
      <c r="B683" t="s">
        <v>1684</v>
      </c>
      <c r="C683">
        <v>2022</v>
      </c>
      <c r="D683" t="s">
        <v>187</v>
      </c>
    </row>
    <row r="684" spans="1:6" x14ac:dyDescent="0.25">
      <c r="A684" t="s">
        <v>1686</v>
      </c>
      <c r="B684" t="s">
        <v>795</v>
      </c>
      <c r="C684">
        <v>2017</v>
      </c>
      <c r="E684" t="s">
        <v>3098</v>
      </c>
      <c r="F684" t="s">
        <v>8818</v>
      </c>
    </row>
    <row r="685" spans="1:6" x14ac:dyDescent="0.25">
      <c r="A685" t="s">
        <v>1690</v>
      </c>
      <c r="B685" t="s">
        <v>270</v>
      </c>
      <c r="C685">
        <v>2020</v>
      </c>
      <c r="E685" s="10" t="s">
        <v>8369</v>
      </c>
      <c r="F685" t="s">
        <v>9240</v>
      </c>
    </row>
    <row r="686" spans="1:6" x14ac:dyDescent="0.25">
      <c r="A686" t="s">
        <v>1690</v>
      </c>
      <c r="B686" t="s">
        <v>673</v>
      </c>
      <c r="C686">
        <v>2020</v>
      </c>
      <c r="E686" t="s">
        <v>2982</v>
      </c>
      <c r="F686" t="s">
        <v>8819</v>
      </c>
    </row>
    <row r="687" spans="1:6" x14ac:dyDescent="0.25">
      <c r="A687" t="s">
        <v>1690</v>
      </c>
      <c r="B687" t="s">
        <v>863</v>
      </c>
      <c r="C687">
        <v>2020</v>
      </c>
      <c r="E687" t="s">
        <v>3027</v>
      </c>
      <c r="F687" t="s">
        <v>8820</v>
      </c>
    </row>
    <row r="688" spans="1:6" x14ac:dyDescent="0.25">
      <c r="A688" t="s">
        <v>1690</v>
      </c>
      <c r="B688" t="s">
        <v>865</v>
      </c>
      <c r="C688">
        <v>2020</v>
      </c>
      <c r="E688" t="s">
        <v>3203</v>
      </c>
      <c r="F688" t="s">
        <v>8821</v>
      </c>
    </row>
    <row r="689" spans="1:6" x14ac:dyDescent="0.25">
      <c r="A689" t="s">
        <v>1690</v>
      </c>
      <c r="B689" t="s">
        <v>1428</v>
      </c>
      <c r="C689">
        <v>2020</v>
      </c>
      <c r="D689" t="s">
        <v>187</v>
      </c>
    </row>
    <row r="690" spans="1:6" x14ac:dyDescent="0.25">
      <c r="A690" t="s">
        <v>1690</v>
      </c>
      <c r="B690" t="s">
        <v>1435</v>
      </c>
      <c r="C690">
        <v>2020</v>
      </c>
      <c r="E690" t="s">
        <v>3270</v>
      </c>
      <c r="F690" t="s">
        <v>8822</v>
      </c>
    </row>
    <row r="691" spans="1:6" x14ac:dyDescent="0.25">
      <c r="A691" t="s">
        <v>1690</v>
      </c>
      <c r="B691" t="s">
        <v>1610</v>
      </c>
      <c r="C691">
        <v>2020</v>
      </c>
      <c r="E691" t="s">
        <v>3244</v>
      </c>
      <c r="F691" t="s">
        <v>8823</v>
      </c>
    </row>
    <row r="692" spans="1:6" x14ac:dyDescent="0.25">
      <c r="A692" t="s">
        <v>1690</v>
      </c>
      <c r="B692" t="s">
        <v>1694</v>
      </c>
      <c r="C692">
        <v>2020</v>
      </c>
      <c r="D692" t="s">
        <v>187</v>
      </c>
    </row>
    <row r="693" spans="1:6" x14ac:dyDescent="0.25">
      <c r="A693" t="s">
        <v>1690</v>
      </c>
      <c r="B693" t="s">
        <v>2158</v>
      </c>
      <c r="C693">
        <v>2020</v>
      </c>
      <c r="E693" t="s">
        <v>2983</v>
      </c>
      <c r="F693" t="s">
        <v>8824</v>
      </c>
    </row>
    <row r="694" spans="1:6" x14ac:dyDescent="0.25">
      <c r="A694" t="s">
        <v>1690</v>
      </c>
      <c r="B694" t="s">
        <v>2288</v>
      </c>
      <c r="C694">
        <v>2020</v>
      </c>
      <c r="E694" t="s">
        <v>2982</v>
      </c>
      <c r="F694" t="s">
        <v>8825</v>
      </c>
    </row>
    <row r="695" spans="1:6" x14ac:dyDescent="0.25">
      <c r="A695" t="s">
        <v>1690</v>
      </c>
      <c r="B695" t="s">
        <v>2667</v>
      </c>
      <c r="C695">
        <v>2020</v>
      </c>
      <c r="E695" t="s">
        <v>2985</v>
      </c>
      <c r="F695" t="s">
        <v>8826</v>
      </c>
    </row>
    <row r="696" spans="1:6" x14ac:dyDescent="0.25">
      <c r="A696" t="s">
        <v>1690</v>
      </c>
      <c r="B696" t="s">
        <v>2738</v>
      </c>
      <c r="C696">
        <v>2020</v>
      </c>
      <c r="E696" t="s">
        <v>2982</v>
      </c>
      <c r="F696" t="s">
        <v>8827</v>
      </c>
    </row>
    <row r="697" spans="1:6" x14ac:dyDescent="0.25">
      <c r="A697" t="s">
        <v>1690</v>
      </c>
      <c r="B697" t="s">
        <v>2890</v>
      </c>
      <c r="C697">
        <v>2020</v>
      </c>
      <c r="E697" t="s">
        <v>3076</v>
      </c>
      <c r="F697" t="s">
        <v>8828</v>
      </c>
    </row>
    <row r="698" spans="1:6" x14ac:dyDescent="0.25">
      <c r="A698" t="s">
        <v>1707</v>
      </c>
      <c r="B698" t="s">
        <v>469</v>
      </c>
      <c r="C698">
        <v>2016</v>
      </c>
      <c r="D698" t="s">
        <v>187</v>
      </c>
    </row>
    <row r="699" spans="1:6" x14ac:dyDescent="0.25">
      <c r="A699" t="s">
        <v>1713</v>
      </c>
      <c r="B699" t="s">
        <v>1606</v>
      </c>
      <c r="C699">
        <v>2018</v>
      </c>
      <c r="E699" t="s">
        <v>3233</v>
      </c>
      <c r="F699" t="s">
        <v>8829</v>
      </c>
    </row>
    <row r="700" spans="1:6" x14ac:dyDescent="0.25">
      <c r="A700" t="s">
        <v>1713</v>
      </c>
      <c r="B700" t="s">
        <v>1717</v>
      </c>
      <c r="C700">
        <v>2018</v>
      </c>
      <c r="D700" t="s">
        <v>187</v>
      </c>
    </row>
    <row r="701" spans="1:6" x14ac:dyDescent="0.25">
      <c r="A701" t="s">
        <v>1725</v>
      </c>
      <c r="B701" t="s">
        <v>260</v>
      </c>
      <c r="C701">
        <v>1983</v>
      </c>
      <c r="E701" t="s">
        <v>3271</v>
      </c>
      <c r="F701" t="s">
        <v>8830</v>
      </c>
    </row>
    <row r="702" spans="1:6" x14ac:dyDescent="0.25">
      <c r="A702" t="s">
        <v>1725</v>
      </c>
      <c r="B702" t="s">
        <v>847</v>
      </c>
      <c r="C702">
        <v>1983</v>
      </c>
      <c r="E702" t="s">
        <v>3002</v>
      </c>
      <c r="F702" t="s">
        <v>8831</v>
      </c>
    </row>
    <row r="703" spans="1:6" x14ac:dyDescent="0.25">
      <c r="A703" t="s">
        <v>1725</v>
      </c>
      <c r="B703" t="s">
        <v>2023</v>
      </c>
      <c r="C703">
        <v>1983</v>
      </c>
      <c r="E703" t="s">
        <v>2994</v>
      </c>
      <c r="F703" t="s">
        <v>8832</v>
      </c>
    </row>
    <row r="704" spans="1:6" x14ac:dyDescent="0.25">
      <c r="A704" t="s">
        <v>1738</v>
      </c>
      <c r="B704" t="s">
        <v>1742</v>
      </c>
      <c r="C704">
        <v>2018</v>
      </c>
      <c r="D704" t="s">
        <v>187</v>
      </c>
    </row>
    <row r="705" spans="1:6" x14ac:dyDescent="0.25">
      <c r="A705" t="s">
        <v>1746</v>
      </c>
      <c r="B705" t="s">
        <v>1157</v>
      </c>
      <c r="C705">
        <v>2011</v>
      </c>
      <c r="D705" t="s">
        <v>187</v>
      </c>
    </row>
    <row r="706" spans="1:6" x14ac:dyDescent="0.25">
      <c r="A706" t="s">
        <v>1752</v>
      </c>
      <c r="B706" t="s">
        <v>1561</v>
      </c>
      <c r="C706">
        <v>2021</v>
      </c>
      <c r="E706" t="s">
        <v>3272</v>
      </c>
      <c r="F706" t="s">
        <v>8833</v>
      </c>
    </row>
    <row r="707" spans="1:6" x14ac:dyDescent="0.25">
      <c r="A707" t="s">
        <v>1752</v>
      </c>
      <c r="B707" t="s">
        <v>1621</v>
      </c>
      <c r="C707">
        <v>2021</v>
      </c>
      <c r="D707" t="s">
        <v>187</v>
      </c>
    </row>
    <row r="708" spans="1:6" x14ac:dyDescent="0.25">
      <c r="A708" t="s">
        <v>1761</v>
      </c>
      <c r="B708" t="s">
        <v>178</v>
      </c>
      <c r="C708">
        <v>1995</v>
      </c>
      <c r="E708" t="s">
        <v>3273</v>
      </c>
      <c r="F708" t="s">
        <v>8834</v>
      </c>
    </row>
    <row r="709" spans="1:6" x14ac:dyDescent="0.25">
      <c r="A709" t="s">
        <v>1761</v>
      </c>
      <c r="B709" t="s">
        <v>677</v>
      </c>
      <c r="C709">
        <v>1995</v>
      </c>
      <c r="E709" s="10" t="s">
        <v>8364</v>
      </c>
      <c r="F709" t="s">
        <v>9225</v>
      </c>
    </row>
    <row r="710" spans="1:6" x14ac:dyDescent="0.25">
      <c r="A710" t="s">
        <v>1761</v>
      </c>
      <c r="B710" t="s">
        <v>971</v>
      </c>
      <c r="C710">
        <v>1995</v>
      </c>
      <c r="E710" t="s">
        <v>2982</v>
      </c>
      <c r="F710" t="s">
        <v>8835</v>
      </c>
    </row>
    <row r="711" spans="1:6" x14ac:dyDescent="0.25">
      <c r="A711" t="s">
        <v>1761</v>
      </c>
      <c r="B711" t="s">
        <v>1388</v>
      </c>
      <c r="C711">
        <v>1995</v>
      </c>
      <c r="E711" t="s">
        <v>3274</v>
      </c>
    </row>
    <row r="712" spans="1:6" x14ac:dyDescent="0.25">
      <c r="A712" t="s">
        <v>1761</v>
      </c>
      <c r="B712" t="s">
        <v>1653</v>
      </c>
      <c r="C712">
        <v>1995</v>
      </c>
      <c r="E712" s="10" t="s">
        <v>8400</v>
      </c>
    </row>
    <row r="713" spans="1:6" x14ac:dyDescent="0.25">
      <c r="A713" t="s">
        <v>1761</v>
      </c>
      <c r="B713" t="s">
        <v>1899</v>
      </c>
      <c r="C713">
        <v>1995</v>
      </c>
      <c r="E713" t="s">
        <v>3275</v>
      </c>
    </row>
    <row r="714" spans="1:6" x14ac:dyDescent="0.25">
      <c r="A714" t="s">
        <v>1761</v>
      </c>
      <c r="B714" t="s">
        <v>2295</v>
      </c>
      <c r="C714">
        <v>1995</v>
      </c>
      <c r="D714" t="s">
        <v>187</v>
      </c>
    </row>
    <row r="715" spans="1:6" x14ac:dyDescent="0.25">
      <c r="A715" t="s">
        <v>1761</v>
      </c>
      <c r="B715" t="s">
        <v>2304</v>
      </c>
      <c r="C715">
        <v>1995</v>
      </c>
      <c r="D715" t="s">
        <v>187</v>
      </c>
    </row>
    <row r="716" spans="1:6" x14ac:dyDescent="0.25">
      <c r="A716" t="s">
        <v>1761</v>
      </c>
      <c r="B716" t="s">
        <v>2369</v>
      </c>
      <c r="C716">
        <v>1995</v>
      </c>
      <c r="E716" t="s">
        <v>3261</v>
      </c>
      <c r="F716" t="s">
        <v>8836</v>
      </c>
    </row>
    <row r="717" spans="1:6" x14ac:dyDescent="0.25">
      <c r="A717" t="s">
        <v>1761</v>
      </c>
      <c r="B717" t="s">
        <v>2578</v>
      </c>
      <c r="C717">
        <v>1995</v>
      </c>
      <c r="E717" t="s">
        <v>3276</v>
      </c>
      <c r="F717" t="s">
        <v>8837</v>
      </c>
    </row>
    <row r="718" spans="1:6" x14ac:dyDescent="0.25">
      <c r="A718" t="s">
        <v>1779</v>
      </c>
      <c r="B718" t="s">
        <v>394</v>
      </c>
      <c r="C718">
        <v>2022</v>
      </c>
      <c r="E718" t="s">
        <v>3056</v>
      </c>
    </row>
    <row r="719" spans="1:6" x14ac:dyDescent="0.25">
      <c r="A719" t="s">
        <v>1779</v>
      </c>
      <c r="B719" t="s">
        <v>1783</v>
      </c>
      <c r="C719">
        <v>2022</v>
      </c>
      <c r="D719" t="s">
        <v>187</v>
      </c>
    </row>
    <row r="720" spans="1:6" x14ac:dyDescent="0.25">
      <c r="A720" t="s">
        <v>1787</v>
      </c>
      <c r="B720" t="s">
        <v>1791</v>
      </c>
      <c r="C720">
        <v>2019</v>
      </c>
      <c r="D720" t="s">
        <v>187</v>
      </c>
    </row>
    <row r="721" spans="1:6" x14ac:dyDescent="0.25">
      <c r="A721" t="s">
        <v>1795</v>
      </c>
      <c r="B721" t="s">
        <v>256</v>
      </c>
      <c r="C721">
        <v>1987</v>
      </c>
      <c r="E721" s="10" t="s">
        <v>8415</v>
      </c>
      <c r="F721" t="s">
        <v>9293</v>
      </c>
    </row>
    <row r="722" spans="1:6" x14ac:dyDescent="0.25">
      <c r="A722" t="s">
        <v>1795</v>
      </c>
      <c r="B722" t="s">
        <v>375</v>
      </c>
      <c r="C722">
        <v>1987</v>
      </c>
      <c r="E722" t="s">
        <v>3277</v>
      </c>
      <c r="F722" t="s">
        <v>8838</v>
      </c>
    </row>
    <row r="723" spans="1:6" x14ac:dyDescent="0.25">
      <c r="A723" t="s">
        <v>1795</v>
      </c>
      <c r="B723" t="s">
        <v>522</v>
      </c>
      <c r="C723">
        <v>1987</v>
      </c>
      <c r="E723" s="10" t="s">
        <v>8425</v>
      </c>
      <c r="F723" t="s">
        <v>9304</v>
      </c>
    </row>
    <row r="724" spans="1:6" x14ac:dyDescent="0.25">
      <c r="A724" t="s">
        <v>1795</v>
      </c>
      <c r="B724" t="s">
        <v>807</v>
      </c>
      <c r="C724">
        <v>1987</v>
      </c>
      <c r="E724" t="s">
        <v>3278</v>
      </c>
    </row>
    <row r="725" spans="1:6" x14ac:dyDescent="0.25">
      <c r="A725" t="s">
        <v>1795</v>
      </c>
      <c r="B725" t="s">
        <v>819</v>
      </c>
      <c r="C725">
        <v>1987</v>
      </c>
      <c r="E725" s="10" t="s">
        <v>7929</v>
      </c>
    </row>
    <row r="726" spans="1:6" x14ac:dyDescent="0.25">
      <c r="A726" t="s">
        <v>1795</v>
      </c>
      <c r="B726" t="s">
        <v>847</v>
      </c>
      <c r="C726">
        <v>1987</v>
      </c>
      <c r="E726" t="s">
        <v>3002</v>
      </c>
      <c r="F726" t="s">
        <v>8839</v>
      </c>
    </row>
    <row r="727" spans="1:6" x14ac:dyDescent="0.25">
      <c r="A727" t="s">
        <v>1795</v>
      </c>
      <c r="B727" t="s">
        <v>940</v>
      </c>
      <c r="C727">
        <v>1987</v>
      </c>
      <c r="E727" t="s">
        <v>3279</v>
      </c>
      <c r="F727" t="s">
        <v>8840</v>
      </c>
    </row>
    <row r="728" spans="1:6" x14ac:dyDescent="0.25">
      <c r="A728" t="s">
        <v>1795</v>
      </c>
      <c r="B728" t="s">
        <v>994</v>
      </c>
      <c r="C728">
        <v>1987</v>
      </c>
      <c r="E728" t="s">
        <v>3280</v>
      </c>
      <c r="F728" t="s">
        <v>8841</v>
      </c>
    </row>
    <row r="729" spans="1:6" x14ac:dyDescent="0.25">
      <c r="A729" t="s">
        <v>1795</v>
      </c>
      <c r="B729" t="s">
        <v>1027</v>
      </c>
      <c r="C729">
        <v>1987</v>
      </c>
    </row>
    <row r="730" spans="1:6" x14ac:dyDescent="0.25">
      <c r="A730" t="s">
        <v>1795</v>
      </c>
      <c r="B730" t="s">
        <v>1083</v>
      </c>
      <c r="C730">
        <v>1987</v>
      </c>
      <c r="E730" t="s">
        <v>3281</v>
      </c>
      <c r="F730" t="s">
        <v>8842</v>
      </c>
    </row>
    <row r="731" spans="1:6" x14ac:dyDescent="0.25">
      <c r="A731" t="s">
        <v>1795</v>
      </c>
      <c r="B731" t="s">
        <v>1141</v>
      </c>
      <c r="C731">
        <v>1987</v>
      </c>
      <c r="E731" t="s">
        <v>2989</v>
      </c>
      <c r="F731" t="s">
        <v>8843</v>
      </c>
    </row>
    <row r="732" spans="1:6" x14ac:dyDescent="0.25">
      <c r="A732" t="s">
        <v>1795</v>
      </c>
      <c r="B732" t="s">
        <v>1197</v>
      </c>
      <c r="C732">
        <v>1987</v>
      </c>
      <c r="E732" t="s">
        <v>3282</v>
      </c>
    </row>
    <row r="733" spans="1:6" x14ac:dyDescent="0.25">
      <c r="A733" t="s">
        <v>1795</v>
      </c>
      <c r="B733" t="s">
        <v>1317</v>
      </c>
      <c r="C733">
        <v>1987</v>
      </c>
      <c r="E733" t="s">
        <v>3283</v>
      </c>
      <c r="F733" t="s">
        <v>8844</v>
      </c>
    </row>
    <row r="734" spans="1:6" x14ac:dyDescent="0.25">
      <c r="A734" t="s">
        <v>1795</v>
      </c>
      <c r="B734" t="s">
        <v>1400</v>
      </c>
      <c r="C734">
        <v>1987</v>
      </c>
      <c r="E734" t="s">
        <v>2991</v>
      </c>
      <c r="F734" t="s">
        <v>8845</v>
      </c>
    </row>
    <row r="735" spans="1:6" x14ac:dyDescent="0.25">
      <c r="A735" t="s">
        <v>1795</v>
      </c>
      <c r="B735" t="s">
        <v>1420</v>
      </c>
      <c r="C735">
        <v>1987</v>
      </c>
      <c r="E735" t="s">
        <v>2992</v>
      </c>
    </row>
    <row r="736" spans="1:6" x14ac:dyDescent="0.25">
      <c r="A736" t="s">
        <v>1795</v>
      </c>
      <c r="B736" t="s">
        <v>1454</v>
      </c>
      <c r="C736">
        <v>1987</v>
      </c>
      <c r="E736" t="s">
        <v>3284</v>
      </c>
      <c r="F736" t="s">
        <v>8846</v>
      </c>
    </row>
    <row r="737" spans="1:6" x14ac:dyDescent="0.25">
      <c r="A737" t="s">
        <v>1795</v>
      </c>
      <c r="B737" t="s">
        <v>1482</v>
      </c>
      <c r="C737">
        <v>1987</v>
      </c>
      <c r="E737" t="s">
        <v>2982</v>
      </c>
      <c r="F737" t="s">
        <v>8847</v>
      </c>
    </row>
    <row r="738" spans="1:6" x14ac:dyDescent="0.25">
      <c r="A738" t="s">
        <v>1795</v>
      </c>
      <c r="B738" t="s">
        <v>1520</v>
      </c>
      <c r="C738">
        <v>1987</v>
      </c>
      <c r="E738" t="s">
        <v>2993</v>
      </c>
      <c r="F738" t="s">
        <v>8848</v>
      </c>
    </row>
    <row r="739" spans="1:6" x14ac:dyDescent="0.25">
      <c r="A739" t="s">
        <v>1795</v>
      </c>
      <c r="B739" t="s">
        <v>1538</v>
      </c>
      <c r="C739">
        <v>1987</v>
      </c>
      <c r="E739" t="s">
        <v>3285</v>
      </c>
      <c r="F739" t="s">
        <v>8849</v>
      </c>
    </row>
    <row r="740" spans="1:6" x14ac:dyDescent="0.25">
      <c r="A740" t="s">
        <v>1795</v>
      </c>
      <c r="B740" t="s">
        <v>1563</v>
      </c>
      <c r="C740">
        <v>1987</v>
      </c>
      <c r="E740" t="s">
        <v>2982</v>
      </c>
      <c r="F740" t="s">
        <v>8850</v>
      </c>
    </row>
    <row r="741" spans="1:6" x14ac:dyDescent="0.25">
      <c r="A741" t="s">
        <v>1795</v>
      </c>
      <c r="B741" t="s">
        <v>1719</v>
      </c>
      <c r="C741">
        <v>1987</v>
      </c>
      <c r="E741" t="s">
        <v>2982</v>
      </c>
      <c r="F741" t="s">
        <v>8851</v>
      </c>
    </row>
    <row r="742" spans="1:6" x14ac:dyDescent="0.25">
      <c r="A742" t="s">
        <v>1795</v>
      </c>
      <c r="B742" t="s">
        <v>1918</v>
      </c>
      <c r="C742">
        <v>1987</v>
      </c>
      <c r="E742" t="s">
        <v>2982</v>
      </c>
      <c r="F742" t="s">
        <v>8852</v>
      </c>
    </row>
    <row r="743" spans="1:6" x14ac:dyDescent="0.25">
      <c r="A743" t="s">
        <v>1795</v>
      </c>
      <c r="B743" t="s">
        <v>1944</v>
      </c>
      <c r="C743">
        <v>1987</v>
      </c>
      <c r="E743" t="s">
        <v>3286</v>
      </c>
      <c r="F743" t="s">
        <v>8853</v>
      </c>
    </row>
    <row r="744" spans="1:6" x14ac:dyDescent="0.25">
      <c r="A744" t="s">
        <v>1795</v>
      </c>
      <c r="B744" t="s">
        <v>2023</v>
      </c>
      <c r="C744">
        <v>1987</v>
      </c>
      <c r="E744" t="s">
        <v>3287</v>
      </c>
      <c r="F744" t="s">
        <v>8854</v>
      </c>
    </row>
    <row r="745" spans="1:6" x14ac:dyDescent="0.25">
      <c r="A745" t="s">
        <v>1795</v>
      </c>
      <c r="B745" t="s">
        <v>2053</v>
      </c>
      <c r="C745">
        <v>1987</v>
      </c>
      <c r="E745" t="s">
        <v>3288</v>
      </c>
      <c r="F745" t="s">
        <v>8855</v>
      </c>
    </row>
    <row r="746" spans="1:6" x14ac:dyDescent="0.25">
      <c r="A746" t="s">
        <v>1795</v>
      </c>
      <c r="B746" t="s">
        <v>2073</v>
      </c>
      <c r="C746">
        <v>1987</v>
      </c>
      <c r="E746" s="10" t="s">
        <v>8409</v>
      </c>
      <c r="F746" t="s">
        <v>9284</v>
      </c>
    </row>
    <row r="747" spans="1:6" x14ac:dyDescent="0.25">
      <c r="A747" t="s">
        <v>1795</v>
      </c>
      <c r="B747" t="s">
        <v>2107</v>
      </c>
      <c r="C747">
        <v>1987</v>
      </c>
      <c r="E747" t="s">
        <v>3139</v>
      </c>
    </row>
    <row r="748" spans="1:6" x14ac:dyDescent="0.25">
      <c r="A748" t="s">
        <v>1795</v>
      </c>
      <c r="B748" t="s">
        <v>2348</v>
      </c>
      <c r="C748">
        <v>1987</v>
      </c>
      <c r="E748" t="s">
        <v>3289</v>
      </c>
      <c r="F748" t="s">
        <v>8856</v>
      </c>
    </row>
    <row r="749" spans="1:6" x14ac:dyDescent="0.25">
      <c r="A749" t="s">
        <v>1795</v>
      </c>
      <c r="B749" t="s">
        <v>2428</v>
      </c>
      <c r="C749">
        <v>1987</v>
      </c>
      <c r="E749" t="s">
        <v>3290</v>
      </c>
      <c r="F749" t="s">
        <v>8857</v>
      </c>
    </row>
    <row r="750" spans="1:6" x14ac:dyDescent="0.25">
      <c r="A750" t="s">
        <v>1795</v>
      </c>
      <c r="B750" t="s">
        <v>2489</v>
      </c>
      <c r="C750">
        <v>1987</v>
      </c>
      <c r="E750" t="s">
        <v>3259</v>
      </c>
      <c r="F750" t="s">
        <v>8858</v>
      </c>
    </row>
    <row r="751" spans="1:6" x14ac:dyDescent="0.25">
      <c r="A751" t="s">
        <v>1795</v>
      </c>
      <c r="B751" t="s">
        <v>2543</v>
      </c>
      <c r="C751">
        <v>1987</v>
      </c>
      <c r="E751" t="s">
        <v>3291</v>
      </c>
      <c r="F751" t="s">
        <v>8859</v>
      </c>
    </row>
    <row r="752" spans="1:6" x14ac:dyDescent="0.25">
      <c r="A752" t="s">
        <v>1795</v>
      </c>
      <c r="B752" t="s">
        <v>2788</v>
      </c>
      <c r="C752">
        <v>1987</v>
      </c>
      <c r="E752" s="10" t="s">
        <v>8412</v>
      </c>
      <c r="F752" t="s">
        <v>9288</v>
      </c>
    </row>
    <row r="753" spans="1:6" x14ac:dyDescent="0.25">
      <c r="A753" t="s">
        <v>1795</v>
      </c>
      <c r="B753" t="s">
        <v>2792</v>
      </c>
      <c r="C753">
        <v>1987</v>
      </c>
      <c r="E753" t="s">
        <v>3292</v>
      </c>
    </row>
    <row r="754" spans="1:6" x14ac:dyDescent="0.25">
      <c r="A754" t="s">
        <v>1795</v>
      </c>
      <c r="B754" t="s">
        <v>2866</v>
      </c>
      <c r="C754">
        <v>1987</v>
      </c>
      <c r="E754" t="s">
        <v>3293</v>
      </c>
      <c r="F754" t="s">
        <v>8860</v>
      </c>
    </row>
    <row r="755" spans="1:6" x14ac:dyDescent="0.25">
      <c r="A755" t="s">
        <v>1813</v>
      </c>
      <c r="B755" t="s">
        <v>1811</v>
      </c>
      <c r="C755">
        <v>2024</v>
      </c>
      <c r="D755" t="s">
        <v>187</v>
      </c>
      <c r="F755" t="s">
        <v>8861</v>
      </c>
    </row>
    <row r="756" spans="1:6" x14ac:dyDescent="0.25">
      <c r="A756" t="s">
        <v>1817</v>
      </c>
      <c r="B756" t="s">
        <v>604</v>
      </c>
      <c r="C756">
        <v>2019</v>
      </c>
      <c r="E756" t="s">
        <v>3294</v>
      </c>
    </row>
    <row r="757" spans="1:6" x14ac:dyDescent="0.25">
      <c r="A757" t="s">
        <v>1817</v>
      </c>
      <c r="B757" t="s">
        <v>651</v>
      </c>
      <c r="C757">
        <v>2019</v>
      </c>
      <c r="E757" s="10" t="s">
        <v>8330</v>
      </c>
    </row>
    <row r="758" spans="1:6" x14ac:dyDescent="0.25">
      <c r="A758" t="s">
        <v>1817</v>
      </c>
      <c r="B758" t="s">
        <v>1594</v>
      </c>
      <c r="C758">
        <v>2019</v>
      </c>
      <c r="E758" t="s">
        <v>3295</v>
      </c>
      <c r="F758" t="s">
        <v>8862</v>
      </c>
    </row>
    <row r="759" spans="1:6" x14ac:dyDescent="0.25">
      <c r="A759" t="s">
        <v>1817</v>
      </c>
      <c r="B759" t="s">
        <v>1941</v>
      </c>
      <c r="C759">
        <v>2019</v>
      </c>
      <c r="E759" t="s">
        <v>3296</v>
      </c>
      <c r="F759" t="s">
        <v>8863</v>
      </c>
    </row>
    <row r="760" spans="1:6" x14ac:dyDescent="0.25">
      <c r="A760" t="s">
        <v>1817</v>
      </c>
      <c r="B760" t="s">
        <v>2026</v>
      </c>
      <c r="C760">
        <v>2019</v>
      </c>
      <c r="E760" t="s">
        <v>3297</v>
      </c>
    </row>
    <row r="761" spans="1:6" x14ac:dyDescent="0.25">
      <c r="A761" t="s">
        <v>1817</v>
      </c>
      <c r="B761" t="s">
        <v>2496</v>
      </c>
      <c r="C761">
        <v>2019</v>
      </c>
      <c r="E761" t="s">
        <v>3298</v>
      </c>
      <c r="F761" t="s">
        <v>8864</v>
      </c>
    </row>
    <row r="762" spans="1:6" x14ac:dyDescent="0.25">
      <c r="A762" t="s">
        <v>1817</v>
      </c>
      <c r="B762" t="s">
        <v>7967</v>
      </c>
      <c r="C762">
        <v>2019</v>
      </c>
      <c r="E762" s="10" t="s">
        <v>7966</v>
      </c>
      <c r="F762" t="s">
        <v>8865</v>
      </c>
    </row>
    <row r="763" spans="1:6" x14ac:dyDescent="0.25">
      <c r="A763" t="s">
        <v>1843</v>
      </c>
      <c r="B763" t="s">
        <v>2463</v>
      </c>
      <c r="C763">
        <v>2019</v>
      </c>
      <c r="E763" s="10" t="s">
        <v>2466</v>
      </c>
      <c r="F763" t="s">
        <v>9272</v>
      </c>
    </row>
    <row r="764" spans="1:6" x14ac:dyDescent="0.25">
      <c r="A764" t="s">
        <v>1851</v>
      </c>
      <c r="B764" t="s">
        <v>730</v>
      </c>
      <c r="C764">
        <v>2024</v>
      </c>
      <c r="E764" t="s">
        <v>3025</v>
      </c>
    </row>
    <row r="765" spans="1:6" x14ac:dyDescent="0.25">
      <c r="A765" t="s">
        <v>1851</v>
      </c>
      <c r="B765" t="s">
        <v>8322</v>
      </c>
      <c r="C765">
        <v>2024</v>
      </c>
      <c r="E765" t="s">
        <v>2982</v>
      </c>
      <c r="F765" t="s">
        <v>9218</v>
      </c>
    </row>
    <row r="766" spans="1:6" x14ac:dyDescent="0.25">
      <c r="A766" t="s">
        <v>1851</v>
      </c>
      <c r="B766" t="s">
        <v>1955</v>
      </c>
      <c r="C766">
        <v>2024</v>
      </c>
      <c r="E766" t="s">
        <v>3037</v>
      </c>
      <c r="F766" t="s">
        <v>8866</v>
      </c>
    </row>
    <row r="767" spans="1:6" x14ac:dyDescent="0.25">
      <c r="A767" t="s">
        <v>1855</v>
      </c>
      <c r="B767" t="s">
        <v>7916</v>
      </c>
      <c r="C767">
        <v>2015</v>
      </c>
      <c r="E767" s="10" t="s">
        <v>7915</v>
      </c>
      <c r="F767" t="s">
        <v>8867</v>
      </c>
    </row>
    <row r="768" spans="1:6" x14ac:dyDescent="0.25">
      <c r="A768" t="s">
        <v>1855</v>
      </c>
      <c r="B768" t="s">
        <v>245</v>
      </c>
      <c r="C768">
        <v>2015</v>
      </c>
      <c r="E768" t="s">
        <v>3183</v>
      </c>
    </row>
    <row r="769" spans="1:6" x14ac:dyDescent="0.25">
      <c r="A769" t="s">
        <v>1855</v>
      </c>
      <c r="B769" t="s">
        <v>319</v>
      </c>
      <c r="C769">
        <v>2015</v>
      </c>
      <c r="E769" t="s">
        <v>2982</v>
      </c>
      <c r="F769" t="s">
        <v>8868</v>
      </c>
    </row>
    <row r="770" spans="1:6" x14ac:dyDescent="0.25">
      <c r="A770" t="s">
        <v>1855</v>
      </c>
      <c r="B770" t="s">
        <v>333</v>
      </c>
      <c r="C770">
        <v>2015</v>
      </c>
      <c r="E770" t="s">
        <v>3185</v>
      </c>
    </row>
    <row r="771" spans="1:6" x14ac:dyDescent="0.25">
      <c r="A771" t="s">
        <v>1855</v>
      </c>
      <c r="B771" t="s">
        <v>431</v>
      </c>
      <c r="C771">
        <v>2015</v>
      </c>
      <c r="E771" t="s">
        <v>2982</v>
      </c>
      <c r="F771" t="s">
        <v>8869</v>
      </c>
    </row>
    <row r="772" spans="1:6" x14ac:dyDescent="0.25">
      <c r="A772" t="s">
        <v>1855</v>
      </c>
      <c r="B772" t="s">
        <v>574</v>
      </c>
      <c r="C772">
        <v>2015</v>
      </c>
      <c r="E772" s="10" t="s">
        <v>8367</v>
      </c>
      <c r="F772" t="s">
        <v>9230</v>
      </c>
    </row>
    <row r="773" spans="1:6" x14ac:dyDescent="0.25">
      <c r="A773" t="s">
        <v>1855</v>
      </c>
      <c r="B773" t="s">
        <v>629</v>
      </c>
      <c r="C773">
        <v>2015</v>
      </c>
      <c r="E773" t="s">
        <v>3299</v>
      </c>
    </row>
    <row r="774" spans="1:6" x14ac:dyDescent="0.25">
      <c r="A774" t="s">
        <v>1855</v>
      </c>
      <c r="B774" t="s">
        <v>763</v>
      </c>
      <c r="C774">
        <v>2015</v>
      </c>
      <c r="E774" t="s">
        <v>3300</v>
      </c>
      <c r="F774" t="s">
        <v>8870</v>
      </c>
    </row>
    <row r="775" spans="1:6" x14ac:dyDescent="0.25">
      <c r="A775" t="s">
        <v>1855</v>
      </c>
      <c r="B775" t="s">
        <v>782</v>
      </c>
      <c r="C775">
        <v>2015</v>
      </c>
      <c r="E775" s="10" t="s">
        <v>8361</v>
      </c>
    </row>
    <row r="776" spans="1:6" x14ac:dyDescent="0.25">
      <c r="A776" t="s">
        <v>1855</v>
      </c>
      <c r="B776" t="s">
        <v>1046</v>
      </c>
      <c r="C776">
        <v>2015</v>
      </c>
      <c r="E776" t="s">
        <v>3301</v>
      </c>
      <c r="F776" t="s">
        <v>8871</v>
      </c>
    </row>
    <row r="777" spans="1:6" x14ac:dyDescent="0.25">
      <c r="A777" t="s">
        <v>1855</v>
      </c>
      <c r="B777" t="s">
        <v>1235</v>
      </c>
      <c r="C777">
        <v>2015</v>
      </c>
      <c r="E777" t="s">
        <v>3302</v>
      </c>
      <c r="F777" t="s">
        <v>8872</v>
      </c>
    </row>
    <row r="778" spans="1:6" x14ac:dyDescent="0.25">
      <c r="A778" t="s">
        <v>1855</v>
      </c>
      <c r="B778" t="s">
        <v>7709</v>
      </c>
      <c r="C778">
        <v>2015</v>
      </c>
      <c r="E778" t="s">
        <v>7712</v>
      </c>
      <c r="F778" t="s">
        <v>8873</v>
      </c>
    </row>
    <row r="779" spans="1:6" x14ac:dyDescent="0.25">
      <c r="A779" t="s">
        <v>1855</v>
      </c>
      <c r="B779" t="s">
        <v>1317</v>
      </c>
      <c r="C779">
        <v>2015</v>
      </c>
      <c r="E779" t="s">
        <v>3009</v>
      </c>
    </row>
    <row r="780" spans="1:6" x14ac:dyDescent="0.25">
      <c r="A780" t="s">
        <v>1855</v>
      </c>
      <c r="B780" t="s">
        <v>1541</v>
      </c>
      <c r="C780">
        <v>2015</v>
      </c>
      <c r="E780" t="s">
        <v>3158</v>
      </c>
      <c r="F780" t="s">
        <v>8874</v>
      </c>
    </row>
    <row r="781" spans="1:6" x14ac:dyDescent="0.25">
      <c r="A781" t="s">
        <v>1855</v>
      </c>
      <c r="B781" t="s">
        <v>1771</v>
      </c>
      <c r="C781">
        <v>2015</v>
      </c>
      <c r="E781" t="s">
        <v>3189</v>
      </c>
    </row>
    <row r="782" spans="1:6" x14ac:dyDescent="0.25">
      <c r="A782" t="s">
        <v>1855</v>
      </c>
      <c r="B782" t="s">
        <v>1877</v>
      </c>
      <c r="C782">
        <v>2015</v>
      </c>
      <c r="E782" t="s">
        <v>3190</v>
      </c>
      <c r="F782" t="s">
        <v>8875</v>
      </c>
    </row>
    <row r="783" spans="1:6" x14ac:dyDescent="0.25">
      <c r="A783" t="s">
        <v>1855</v>
      </c>
      <c r="B783" t="s">
        <v>1879</v>
      </c>
      <c r="C783">
        <v>2015</v>
      </c>
      <c r="E783" t="s">
        <v>3303</v>
      </c>
    </row>
    <row r="784" spans="1:6" x14ac:dyDescent="0.25">
      <c r="A784" t="s">
        <v>1855</v>
      </c>
      <c r="B784" t="s">
        <v>1895</v>
      </c>
      <c r="C784">
        <v>2015</v>
      </c>
      <c r="E784" t="s">
        <v>3210</v>
      </c>
      <c r="F784" t="s">
        <v>8876</v>
      </c>
    </row>
    <row r="785" spans="1:6" x14ac:dyDescent="0.25">
      <c r="A785" t="s">
        <v>1855</v>
      </c>
      <c r="B785" t="s">
        <v>2056</v>
      </c>
      <c r="C785">
        <v>2015</v>
      </c>
      <c r="E785" t="s">
        <v>3192</v>
      </c>
      <c r="F785" t="s">
        <v>8877</v>
      </c>
    </row>
    <row r="786" spans="1:6" x14ac:dyDescent="0.25">
      <c r="A786" t="s">
        <v>1855</v>
      </c>
      <c r="B786" t="s">
        <v>2084</v>
      </c>
      <c r="C786">
        <v>2015</v>
      </c>
      <c r="E786" t="s">
        <v>2982</v>
      </c>
      <c r="F786" t="s">
        <v>8878</v>
      </c>
    </row>
    <row r="787" spans="1:6" x14ac:dyDescent="0.25">
      <c r="A787" t="s">
        <v>1855</v>
      </c>
      <c r="B787" t="s">
        <v>2146</v>
      </c>
      <c r="C787">
        <v>2015</v>
      </c>
      <c r="E787" t="s">
        <v>3122</v>
      </c>
    </row>
    <row r="788" spans="1:6" x14ac:dyDescent="0.25">
      <c r="A788" t="s">
        <v>1855</v>
      </c>
      <c r="B788" t="s">
        <v>2150</v>
      </c>
      <c r="C788">
        <v>2015</v>
      </c>
      <c r="E788" t="s">
        <v>2982</v>
      </c>
      <c r="F788" t="s">
        <v>8879</v>
      </c>
    </row>
    <row r="789" spans="1:6" x14ac:dyDescent="0.25">
      <c r="A789" t="s">
        <v>1855</v>
      </c>
      <c r="B789" t="s">
        <v>2414</v>
      </c>
      <c r="C789">
        <v>2015</v>
      </c>
      <c r="E789" s="10" t="s">
        <v>8414</v>
      </c>
      <c r="F789" t="s">
        <v>9291</v>
      </c>
    </row>
    <row r="790" spans="1:6" x14ac:dyDescent="0.25">
      <c r="A790" t="s">
        <v>1855</v>
      </c>
      <c r="B790" t="s">
        <v>2492</v>
      </c>
      <c r="C790">
        <v>2015</v>
      </c>
      <c r="E790" t="s">
        <v>2495</v>
      </c>
      <c r="F790" t="s">
        <v>8880</v>
      </c>
    </row>
    <row r="791" spans="1:6" x14ac:dyDescent="0.25">
      <c r="A791" t="s">
        <v>1855</v>
      </c>
      <c r="B791" t="s">
        <v>2698</v>
      </c>
      <c r="C791">
        <v>2015</v>
      </c>
      <c r="E791" t="s">
        <v>3194</v>
      </c>
    </row>
    <row r="792" spans="1:6" x14ac:dyDescent="0.25">
      <c r="A792" t="s">
        <v>1855</v>
      </c>
      <c r="B792" t="s">
        <v>2834</v>
      </c>
      <c r="C792">
        <v>2015</v>
      </c>
      <c r="E792" t="s">
        <v>3304</v>
      </c>
      <c r="F792" t="s">
        <v>8881</v>
      </c>
    </row>
    <row r="793" spans="1:6" x14ac:dyDescent="0.25">
      <c r="A793" t="s">
        <v>1863</v>
      </c>
      <c r="B793" t="s">
        <v>7954</v>
      </c>
      <c r="C793">
        <v>2026</v>
      </c>
      <c r="E793" t="s">
        <v>2982</v>
      </c>
      <c r="F793" t="s">
        <v>8882</v>
      </c>
    </row>
    <row r="794" spans="1:6" x14ac:dyDescent="0.25">
      <c r="A794" t="s">
        <v>1882</v>
      </c>
      <c r="B794" t="s">
        <v>522</v>
      </c>
      <c r="C794">
        <v>1987</v>
      </c>
      <c r="E794" s="10" t="s">
        <v>8425</v>
      </c>
      <c r="F794" t="s">
        <v>9303</v>
      </c>
    </row>
    <row r="795" spans="1:6" x14ac:dyDescent="0.25">
      <c r="A795" t="s">
        <v>1882</v>
      </c>
      <c r="B795" t="s">
        <v>553</v>
      </c>
      <c r="C795">
        <v>1987</v>
      </c>
      <c r="E795" s="10" t="s">
        <v>8423</v>
      </c>
      <c r="F795" t="s">
        <v>9302</v>
      </c>
    </row>
    <row r="796" spans="1:6" x14ac:dyDescent="0.25">
      <c r="A796" t="s">
        <v>1882</v>
      </c>
      <c r="B796" t="s">
        <v>1420</v>
      </c>
      <c r="C796">
        <v>1987</v>
      </c>
      <c r="E796" t="s">
        <v>2992</v>
      </c>
    </row>
    <row r="797" spans="1:6" x14ac:dyDescent="0.25">
      <c r="A797" t="s">
        <v>1882</v>
      </c>
      <c r="B797" t="s">
        <v>2276</v>
      </c>
      <c r="C797">
        <v>1987</v>
      </c>
      <c r="E797" t="s">
        <v>2996</v>
      </c>
      <c r="F797" t="s">
        <v>8883</v>
      </c>
    </row>
    <row r="798" spans="1:6" x14ac:dyDescent="0.25">
      <c r="A798" t="s">
        <v>1882</v>
      </c>
      <c r="B798" t="s">
        <v>2792</v>
      </c>
      <c r="C798">
        <v>1987</v>
      </c>
      <c r="E798" t="s">
        <v>3292</v>
      </c>
    </row>
    <row r="799" spans="1:6" x14ac:dyDescent="0.25">
      <c r="A799" t="s">
        <v>1885</v>
      </c>
      <c r="B799" t="s">
        <v>1891</v>
      </c>
      <c r="C799">
        <v>2015</v>
      </c>
      <c r="D799" t="s">
        <v>187</v>
      </c>
    </row>
    <row r="800" spans="1:6" x14ac:dyDescent="0.25">
      <c r="A800" t="s">
        <v>1891</v>
      </c>
      <c r="B800" t="s">
        <v>1887</v>
      </c>
      <c r="C800">
        <v>2017</v>
      </c>
      <c r="D800" t="s">
        <v>187</v>
      </c>
    </row>
    <row r="801" spans="1:6" x14ac:dyDescent="0.25">
      <c r="A801" t="s">
        <v>1899</v>
      </c>
      <c r="B801" t="s">
        <v>1758</v>
      </c>
      <c r="C801">
        <v>2014</v>
      </c>
      <c r="D801" t="s">
        <v>187</v>
      </c>
    </row>
    <row r="802" spans="1:6" x14ac:dyDescent="0.25">
      <c r="A802" t="s">
        <v>1933</v>
      </c>
      <c r="B802" t="s">
        <v>1475</v>
      </c>
      <c r="C802">
        <v>2021</v>
      </c>
      <c r="E802" t="s">
        <v>2982</v>
      </c>
      <c r="F802" t="s">
        <v>8884</v>
      </c>
    </row>
    <row r="803" spans="1:6" x14ac:dyDescent="0.25">
      <c r="A803" t="s">
        <v>1947</v>
      </c>
      <c r="B803" t="s">
        <v>2659</v>
      </c>
      <c r="C803">
        <v>2021</v>
      </c>
      <c r="E803" t="s">
        <v>3255</v>
      </c>
    </row>
    <row r="804" spans="1:6" x14ac:dyDescent="0.25">
      <c r="A804" t="s">
        <v>1951</v>
      </c>
      <c r="B804" t="s">
        <v>299</v>
      </c>
      <c r="C804">
        <v>2022</v>
      </c>
      <c r="E804" t="s">
        <v>3305</v>
      </c>
    </row>
    <row r="805" spans="1:6" x14ac:dyDescent="0.25">
      <c r="A805" t="s">
        <v>1951</v>
      </c>
      <c r="B805" t="s">
        <v>706</v>
      </c>
      <c r="C805">
        <v>2022</v>
      </c>
      <c r="E805" t="s">
        <v>3024</v>
      </c>
    </row>
    <row r="806" spans="1:6" x14ac:dyDescent="0.25">
      <c r="A806" t="s">
        <v>1951</v>
      </c>
      <c r="B806" t="s">
        <v>960</v>
      </c>
      <c r="C806">
        <v>2022</v>
      </c>
      <c r="E806" t="s">
        <v>3144</v>
      </c>
      <c r="F806" t="s">
        <v>8885</v>
      </c>
    </row>
    <row r="807" spans="1:6" x14ac:dyDescent="0.25">
      <c r="A807" t="s">
        <v>1951</v>
      </c>
      <c r="B807" t="s">
        <v>1111</v>
      </c>
      <c r="C807">
        <v>2022</v>
      </c>
      <c r="E807" s="10" t="s">
        <v>8360</v>
      </c>
      <c r="F807" t="s">
        <v>9220</v>
      </c>
    </row>
    <row r="808" spans="1:6" x14ac:dyDescent="0.25">
      <c r="A808" t="s">
        <v>1951</v>
      </c>
      <c r="B808" t="s">
        <v>1490</v>
      </c>
      <c r="C808">
        <v>2022</v>
      </c>
      <c r="E808" s="10" t="s">
        <v>8365</v>
      </c>
      <c r="F808" t="s">
        <v>9226</v>
      </c>
    </row>
    <row r="809" spans="1:6" x14ac:dyDescent="0.25">
      <c r="A809" t="s">
        <v>1951</v>
      </c>
      <c r="B809" t="s">
        <v>1955</v>
      </c>
      <c r="C809">
        <v>2022</v>
      </c>
      <c r="E809" t="s">
        <v>3037</v>
      </c>
      <c r="F809" t="s">
        <v>8886</v>
      </c>
    </row>
    <row r="810" spans="1:6" x14ac:dyDescent="0.25">
      <c r="A810" t="s">
        <v>1951</v>
      </c>
      <c r="B810" t="s">
        <v>2187</v>
      </c>
      <c r="C810">
        <v>2022</v>
      </c>
      <c r="E810" s="10" t="s">
        <v>8383</v>
      </c>
      <c r="F810" t="s">
        <v>9261</v>
      </c>
    </row>
    <row r="811" spans="1:6" x14ac:dyDescent="0.25">
      <c r="A811" t="s">
        <v>1951</v>
      </c>
      <c r="B811" t="s">
        <v>2229</v>
      </c>
      <c r="C811">
        <v>2022</v>
      </c>
      <c r="E811" t="s">
        <v>3306</v>
      </c>
      <c r="F811" t="s">
        <v>8887</v>
      </c>
    </row>
    <row r="812" spans="1:6" x14ac:dyDescent="0.25">
      <c r="A812" t="s">
        <v>1951</v>
      </c>
      <c r="B812" t="s">
        <v>2475</v>
      </c>
      <c r="C812">
        <v>2022</v>
      </c>
      <c r="E812" t="s">
        <v>3049</v>
      </c>
      <c r="F812" t="s">
        <v>8888</v>
      </c>
    </row>
    <row r="813" spans="1:6" x14ac:dyDescent="0.25">
      <c r="A813" t="s">
        <v>1970</v>
      </c>
      <c r="B813" t="s">
        <v>1903</v>
      </c>
      <c r="C813">
        <v>2012</v>
      </c>
      <c r="E813" t="s">
        <v>3307</v>
      </c>
    </row>
    <row r="814" spans="1:6" x14ac:dyDescent="0.25">
      <c r="A814" t="s">
        <v>1970</v>
      </c>
      <c r="B814" t="s">
        <v>2286</v>
      </c>
      <c r="C814">
        <v>2012</v>
      </c>
      <c r="D814" t="s">
        <v>187</v>
      </c>
    </row>
    <row r="815" spans="1:6" x14ac:dyDescent="0.25">
      <c r="A815" t="s">
        <v>1995</v>
      </c>
      <c r="B815" t="s">
        <v>1998</v>
      </c>
      <c r="C815">
        <v>2021</v>
      </c>
    </row>
    <row r="816" spans="1:6" x14ac:dyDescent="0.25">
      <c r="A816" t="s">
        <v>2004</v>
      </c>
      <c r="B816" t="s">
        <v>2001</v>
      </c>
      <c r="C816">
        <v>2007</v>
      </c>
      <c r="D816" t="s">
        <v>187</v>
      </c>
    </row>
    <row r="817" spans="1:6" x14ac:dyDescent="0.25">
      <c r="A817" t="s">
        <v>2009</v>
      </c>
      <c r="B817" t="s">
        <v>1925</v>
      </c>
      <c r="C817">
        <v>2005</v>
      </c>
      <c r="E817" t="s">
        <v>3308</v>
      </c>
      <c r="F817" t="s">
        <v>8889</v>
      </c>
    </row>
    <row r="818" spans="1:6" x14ac:dyDescent="0.25">
      <c r="A818" t="s">
        <v>2009</v>
      </c>
      <c r="B818" t="s">
        <v>2004</v>
      </c>
      <c r="C818">
        <v>2005</v>
      </c>
      <c r="D818" t="s">
        <v>187</v>
      </c>
    </row>
    <row r="819" spans="1:6" x14ac:dyDescent="0.25">
      <c r="A819" t="s">
        <v>2009</v>
      </c>
      <c r="B819" t="s">
        <v>2007</v>
      </c>
      <c r="C819">
        <v>2005</v>
      </c>
      <c r="D819" t="s">
        <v>187</v>
      </c>
    </row>
    <row r="820" spans="1:6" x14ac:dyDescent="0.25">
      <c r="A820" t="s">
        <v>2009</v>
      </c>
      <c r="B820" t="s">
        <v>2012</v>
      </c>
      <c r="C820">
        <v>2005</v>
      </c>
      <c r="D820" t="s">
        <v>187</v>
      </c>
    </row>
    <row r="821" spans="1:6" x14ac:dyDescent="0.25">
      <c r="A821" t="s">
        <v>2009</v>
      </c>
      <c r="B821" t="s">
        <v>2014</v>
      </c>
      <c r="C821">
        <v>2005</v>
      </c>
      <c r="D821" t="s">
        <v>187</v>
      </c>
    </row>
    <row r="822" spans="1:6" x14ac:dyDescent="0.25">
      <c r="A822" t="s">
        <v>2016</v>
      </c>
      <c r="B822" t="s">
        <v>1704</v>
      </c>
      <c r="C822">
        <v>2024</v>
      </c>
      <c r="E822" t="s">
        <v>2986</v>
      </c>
    </row>
    <row r="823" spans="1:6" x14ac:dyDescent="0.25">
      <c r="A823" t="s">
        <v>2016</v>
      </c>
      <c r="B823" t="s">
        <v>2018</v>
      </c>
      <c r="C823">
        <v>2024</v>
      </c>
      <c r="E823" t="s">
        <v>3246</v>
      </c>
    </row>
    <row r="824" spans="1:6" x14ac:dyDescent="0.25">
      <c r="A824" t="s">
        <v>2021</v>
      </c>
      <c r="B824" t="s">
        <v>233</v>
      </c>
      <c r="C824">
        <v>2020</v>
      </c>
      <c r="E824" t="s">
        <v>3309</v>
      </c>
    </row>
    <row r="825" spans="1:6" x14ac:dyDescent="0.25">
      <c r="A825" t="s">
        <v>2023</v>
      </c>
      <c r="B825" t="s">
        <v>178</v>
      </c>
      <c r="C825">
        <v>2003</v>
      </c>
      <c r="E825" t="s">
        <v>3273</v>
      </c>
    </row>
    <row r="826" spans="1:6" x14ac:dyDescent="0.25">
      <c r="A826" t="s">
        <v>2023</v>
      </c>
      <c r="B826" t="s">
        <v>540</v>
      </c>
      <c r="C826">
        <v>2003</v>
      </c>
      <c r="E826" t="s">
        <v>3256</v>
      </c>
    </row>
    <row r="827" spans="1:6" x14ac:dyDescent="0.25">
      <c r="A827" t="s">
        <v>2023</v>
      </c>
      <c r="B827" t="s">
        <v>1317</v>
      </c>
      <c r="C827">
        <v>2003</v>
      </c>
      <c r="E827" t="s">
        <v>3310</v>
      </c>
    </row>
    <row r="828" spans="1:6" x14ac:dyDescent="0.25">
      <c r="A828" t="s">
        <v>2023</v>
      </c>
      <c r="B828" t="s">
        <v>2634</v>
      </c>
      <c r="C828">
        <v>2003</v>
      </c>
      <c r="E828" t="s">
        <v>3004</v>
      </c>
    </row>
    <row r="829" spans="1:6" x14ac:dyDescent="0.25">
      <c r="A829" t="s">
        <v>2023</v>
      </c>
      <c r="B829" t="s">
        <v>2864</v>
      </c>
      <c r="C829">
        <v>2003</v>
      </c>
      <c r="E829" t="s">
        <v>3311</v>
      </c>
    </row>
    <row r="830" spans="1:6" x14ac:dyDescent="0.25">
      <c r="A830" t="s">
        <v>2053</v>
      </c>
      <c r="B830" t="s">
        <v>1400</v>
      </c>
      <c r="C830">
        <v>1992</v>
      </c>
      <c r="E830" t="s">
        <v>2991</v>
      </c>
      <c r="F830" t="s">
        <v>8890</v>
      </c>
    </row>
    <row r="831" spans="1:6" x14ac:dyDescent="0.25">
      <c r="A831" t="s">
        <v>2065</v>
      </c>
      <c r="B831" t="s">
        <v>2281</v>
      </c>
      <c r="C831">
        <v>2023</v>
      </c>
      <c r="E831" t="s">
        <v>3213</v>
      </c>
      <c r="F831" t="s">
        <v>8891</v>
      </c>
    </row>
    <row r="832" spans="1:6" x14ac:dyDescent="0.25">
      <c r="A832" t="s">
        <v>2073</v>
      </c>
      <c r="B832" t="s">
        <v>198</v>
      </c>
      <c r="C832">
        <v>2010</v>
      </c>
      <c r="E832" t="s">
        <v>2982</v>
      </c>
      <c r="F832" t="s">
        <v>8892</v>
      </c>
    </row>
    <row r="833" spans="1:6" x14ac:dyDescent="0.25">
      <c r="A833" t="s">
        <v>2073</v>
      </c>
      <c r="B833" t="s">
        <v>2567</v>
      </c>
      <c r="C833">
        <v>2010</v>
      </c>
      <c r="E833" t="s">
        <v>2982</v>
      </c>
      <c r="F833" t="s">
        <v>8893</v>
      </c>
    </row>
    <row r="834" spans="1:6" x14ac:dyDescent="0.25">
      <c r="A834" t="s">
        <v>2080</v>
      </c>
      <c r="B834" t="s">
        <v>2928</v>
      </c>
      <c r="C834">
        <v>2015</v>
      </c>
      <c r="E834" t="s">
        <v>2982</v>
      </c>
      <c r="F834" t="s">
        <v>8894</v>
      </c>
    </row>
    <row r="835" spans="1:6" x14ac:dyDescent="0.25">
      <c r="A835" t="s">
        <v>2095</v>
      </c>
      <c r="B835" t="s">
        <v>741</v>
      </c>
      <c r="C835">
        <v>2023</v>
      </c>
      <c r="E835" t="s">
        <v>3312</v>
      </c>
    </row>
    <row r="836" spans="1:6" x14ac:dyDescent="0.25">
      <c r="A836" t="s">
        <v>2095</v>
      </c>
      <c r="B836" t="s">
        <v>1723</v>
      </c>
      <c r="C836">
        <v>2023</v>
      </c>
      <c r="E836" s="10" t="s">
        <v>8437</v>
      </c>
      <c r="F836" t="s">
        <v>9312</v>
      </c>
    </row>
    <row r="837" spans="1:6" x14ac:dyDescent="0.25">
      <c r="A837" t="s">
        <v>2095</v>
      </c>
      <c r="B837" t="s">
        <v>8427</v>
      </c>
      <c r="C837">
        <v>2023</v>
      </c>
      <c r="E837" s="10" t="s">
        <v>8426</v>
      </c>
    </row>
    <row r="838" spans="1:6" x14ac:dyDescent="0.25">
      <c r="A838" t="s">
        <v>2095</v>
      </c>
      <c r="B838" t="s">
        <v>2524</v>
      </c>
      <c r="C838">
        <v>2023</v>
      </c>
      <c r="E838" t="s">
        <v>3313</v>
      </c>
      <c r="F838" t="s">
        <v>8895</v>
      </c>
    </row>
    <row r="839" spans="1:6" x14ac:dyDescent="0.25">
      <c r="A839" t="s">
        <v>2099</v>
      </c>
      <c r="B839" t="s">
        <v>2698</v>
      </c>
      <c r="C839">
        <v>2021</v>
      </c>
      <c r="E839" s="10" t="s">
        <v>8394</v>
      </c>
      <c r="F839" t="s">
        <v>9276</v>
      </c>
    </row>
    <row r="840" spans="1:6" x14ac:dyDescent="0.25">
      <c r="A840" t="s">
        <v>2107</v>
      </c>
      <c r="B840" t="s">
        <v>1937</v>
      </c>
      <c r="C840">
        <v>2020</v>
      </c>
      <c r="E840" t="s">
        <v>1940</v>
      </c>
      <c r="F840" t="s">
        <v>8896</v>
      </c>
    </row>
    <row r="841" spans="1:6" x14ac:dyDescent="0.25">
      <c r="A841" t="s">
        <v>2107</v>
      </c>
      <c r="B841" t="s">
        <v>2111</v>
      </c>
      <c r="C841">
        <v>2020</v>
      </c>
      <c r="D841" t="s">
        <v>187</v>
      </c>
    </row>
    <row r="842" spans="1:6" x14ac:dyDescent="0.25">
      <c r="A842" t="s">
        <v>2111</v>
      </c>
      <c r="B842" t="s">
        <v>2115</v>
      </c>
      <c r="C842">
        <v>2024</v>
      </c>
      <c r="D842" t="s">
        <v>187</v>
      </c>
    </row>
    <row r="843" spans="1:6" x14ac:dyDescent="0.25">
      <c r="A843" t="s">
        <v>2122</v>
      </c>
      <c r="B843" t="s">
        <v>2896</v>
      </c>
      <c r="C843">
        <v>2020</v>
      </c>
      <c r="D843" t="s">
        <v>187</v>
      </c>
    </row>
    <row r="844" spans="1:6" x14ac:dyDescent="0.25">
      <c r="A844" t="s">
        <v>2130</v>
      </c>
      <c r="B844" t="s">
        <v>2254</v>
      </c>
      <c r="C844">
        <v>2017</v>
      </c>
      <c r="E844" t="s">
        <v>2982</v>
      </c>
      <c r="F844" t="s">
        <v>8897</v>
      </c>
    </row>
    <row r="845" spans="1:6" x14ac:dyDescent="0.25">
      <c r="A845" t="s">
        <v>2132</v>
      </c>
      <c r="B845" t="s">
        <v>759</v>
      </c>
      <c r="C845">
        <v>2013</v>
      </c>
      <c r="E845" t="s">
        <v>3314</v>
      </c>
      <c r="F845" t="s">
        <v>8898</v>
      </c>
    </row>
    <row r="846" spans="1:6" x14ac:dyDescent="0.25">
      <c r="A846" t="s">
        <v>2132</v>
      </c>
      <c r="B846" t="s">
        <v>1417</v>
      </c>
      <c r="C846">
        <v>2013</v>
      </c>
      <c r="E846" t="s">
        <v>3315</v>
      </c>
      <c r="F846" t="s">
        <v>8899</v>
      </c>
    </row>
    <row r="847" spans="1:6" x14ac:dyDescent="0.25">
      <c r="A847" t="s">
        <v>2132</v>
      </c>
      <c r="B847" t="s">
        <v>2031</v>
      </c>
      <c r="C847">
        <v>2013</v>
      </c>
      <c r="E847" t="s">
        <v>3234</v>
      </c>
      <c r="F847" t="s">
        <v>8900</v>
      </c>
    </row>
    <row r="848" spans="1:6" x14ac:dyDescent="0.25">
      <c r="A848" t="s">
        <v>2132</v>
      </c>
      <c r="B848" t="s">
        <v>2136</v>
      </c>
      <c r="C848">
        <v>2013</v>
      </c>
      <c r="D848" t="s">
        <v>187</v>
      </c>
    </row>
    <row r="849" spans="1:6" x14ac:dyDescent="0.25">
      <c r="A849" t="s">
        <v>2132</v>
      </c>
      <c r="B849" t="s">
        <v>2140</v>
      </c>
      <c r="C849">
        <v>2013</v>
      </c>
      <c r="D849" t="s">
        <v>187</v>
      </c>
    </row>
    <row r="850" spans="1:6" x14ac:dyDescent="0.25">
      <c r="A850" t="s">
        <v>2132</v>
      </c>
      <c r="B850" t="s">
        <v>2281</v>
      </c>
      <c r="C850">
        <v>2013</v>
      </c>
      <c r="E850" t="s">
        <v>3213</v>
      </c>
      <c r="F850" t="s">
        <v>8901</v>
      </c>
    </row>
    <row r="851" spans="1:6" x14ac:dyDescent="0.25">
      <c r="A851" t="s">
        <v>2132</v>
      </c>
      <c r="B851" t="s">
        <v>2556</v>
      </c>
      <c r="C851">
        <v>2013</v>
      </c>
      <c r="E851" t="s">
        <v>3316</v>
      </c>
    </row>
    <row r="852" spans="1:6" x14ac:dyDescent="0.25">
      <c r="A852" t="s">
        <v>2132</v>
      </c>
      <c r="B852" t="s">
        <v>2890</v>
      </c>
      <c r="C852">
        <v>2013</v>
      </c>
      <c r="E852" t="s">
        <v>3076</v>
      </c>
      <c r="F852" t="s">
        <v>8902</v>
      </c>
    </row>
    <row r="853" spans="1:6" x14ac:dyDescent="0.25">
      <c r="A853" t="s">
        <v>2136</v>
      </c>
      <c r="B853" t="s">
        <v>651</v>
      </c>
      <c r="C853">
        <v>2020</v>
      </c>
      <c r="E853" s="10" t="s">
        <v>8330</v>
      </c>
    </row>
    <row r="854" spans="1:6" x14ac:dyDescent="0.25">
      <c r="A854" t="s">
        <v>2136</v>
      </c>
      <c r="B854" t="s">
        <v>741</v>
      </c>
      <c r="C854">
        <v>2020</v>
      </c>
      <c r="E854" t="s">
        <v>3133</v>
      </c>
      <c r="F854" t="s">
        <v>8903</v>
      </c>
    </row>
    <row r="855" spans="1:6" x14ac:dyDescent="0.25">
      <c r="A855" t="s">
        <v>2136</v>
      </c>
      <c r="B855" t="s">
        <v>7957</v>
      </c>
      <c r="C855">
        <v>2020</v>
      </c>
      <c r="E855" s="10" t="s">
        <v>7960</v>
      </c>
      <c r="F855" t="s">
        <v>8904</v>
      </c>
    </row>
    <row r="856" spans="1:6" x14ac:dyDescent="0.25">
      <c r="A856" t="s">
        <v>2136</v>
      </c>
      <c r="B856" t="s">
        <v>1042</v>
      </c>
      <c r="C856">
        <v>2020</v>
      </c>
      <c r="E856" t="s">
        <v>3317</v>
      </c>
    </row>
    <row r="857" spans="1:6" x14ac:dyDescent="0.25">
      <c r="A857" t="s">
        <v>2136</v>
      </c>
      <c r="B857" t="s">
        <v>1059</v>
      </c>
      <c r="C857">
        <v>2020</v>
      </c>
      <c r="E857" t="s">
        <v>2982</v>
      </c>
      <c r="F857" t="s">
        <v>8905</v>
      </c>
    </row>
    <row r="858" spans="1:6" x14ac:dyDescent="0.25">
      <c r="A858" t="s">
        <v>2136</v>
      </c>
      <c r="B858" t="s">
        <v>1168</v>
      </c>
      <c r="C858">
        <v>2020</v>
      </c>
      <c r="E858" t="s">
        <v>3013</v>
      </c>
    </row>
    <row r="859" spans="1:6" x14ac:dyDescent="0.25">
      <c r="A859" t="s">
        <v>2136</v>
      </c>
      <c r="B859" t="s">
        <v>1561</v>
      </c>
      <c r="C859">
        <v>2020</v>
      </c>
      <c r="E859" t="s">
        <v>3272</v>
      </c>
      <c r="F859" t="s">
        <v>8906</v>
      </c>
    </row>
    <row r="860" spans="1:6" x14ac:dyDescent="0.25">
      <c r="A860" t="s">
        <v>2136</v>
      </c>
      <c r="B860" t="s">
        <v>1621</v>
      </c>
      <c r="C860">
        <v>2020</v>
      </c>
      <c r="E860" t="s">
        <v>2982</v>
      </c>
      <c r="F860" t="s">
        <v>8907</v>
      </c>
    </row>
    <row r="861" spans="1:6" x14ac:dyDescent="0.25">
      <c r="A861" t="s">
        <v>2136</v>
      </c>
      <c r="B861" t="s">
        <v>1723</v>
      </c>
      <c r="C861">
        <v>2020</v>
      </c>
      <c r="E861" t="s">
        <v>2982</v>
      </c>
      <c r="F861" t="s">
        <v>8908</v>
      </c>
    </row>
    <row r="862" spans="1:6" x14ac:dyDescent="0.25">
      <c r="A862" t="s">
        <v>2136</v>
      </c>
      <c r="B862" t="s">
        <v>1752</v>
      </c>
      <c r="C862">
        <v>2020</v>
      </c>
      <c r="E862" t="s">
        <v>3318</v>
      </c>
    </row>
    <row r="863" spans="1:6" x14ac:dyDescent="0.25">
      <c r="A863" t="s">
        <v>2136</v>
      </c>
      <c r="B863" t="s">
        <v>2016</v>
      </c>
      <c r="C863">
        <v>2020</v>
      </c>
      <c r="E863" t="s">
        <v>2982</v>
      </c>
    </row>
    <row r="864" spans="1:6" x14ac:dyDescent="0.25">
      <c r="A864" t="s">
        <v>2136</v>
      </c>
      <c r="B864" t="s">
        <v>7935</v>
      </c>
      <c r="C864">
        <v>2020</v>
      </c>
      <c r="E864" s="10" t="s">
        <v>7934</v>
      </c>
    </row>
    <row r="865" spans="1:6" x14ac:dyDescent="0.25">
      <c r="A865" t="s">
        <v>2136</v>
      </c>
      <c r="B865" t="s">
        <v>2273</v>
      </c>
      <c r="C865">
        <v>2020</v>
      </c>
      <c r="E865" t="s">
        <v>2982</v>
      </c>
      <c r="F865" t="s">
        <v>8909</v>
      </c>
    </row>
    <row r="866" spans="1:6" x14ac:dyDescent="0.25">
      <c r="A866" t="s">
        <v>2136</v>
      </c>
      <c r="B866" t="s">
        <v>2283</v>
      </c>
      <c r="C866">
        <v>2020</v>
      </c>
      <c r="E866" t="s">
        <v>3070</v>
      </c>
      <c r="F866" t="s">
        <v>8910</v>
      </c>
    </row>
    <row r="867" spans="1:6" x14ac:dyDescent="0.25">
      <c r="A867" t="s">
        <v>2136</v>
      </c>
      <c r="B867" t="s">
        <v>2397</v>
      </c>
      <c r="C867">
        <v>2020</v>
      </c>
      <c r="E867" s="10" t="s">
        <v>8395</v>
      </c>
      <c r="F867" t="s">
        <v>9277</v>
      </c>
    </row>
    <row r="868" spans="1:6" x14ac:dyDescent="0.25">
      <c r="A868" t="s">
        <v>2136</v>
      </c>
      <c r="B868" t="s">
        <v>2524</v>
      </c>
      <c r="C868">
        <v>2020</v>
      </c>
      <c r="E868" t="s">
        <v>3313</v>
      </c>
      <c r="F868" t="s">
        <v>8911</v>
      </c>
    </row>
    <row r="869" spans="1:6" x14ac:dyDescent="0.25">
      <c r="A869" t="s">
        <v>2136</v>
      </c>
      <c r="B869" t="s">
        <v>2596</v>
      </c>
      <c r="C869">
        <v>2020</v>
      </c>
      <c r="E869" t="s">
        <v>3319</v>
      </c>
    </row>
    <row r="870" spans="1:6" x14ac:dyDescent="0.25">
      <c r="A870" t="s">
        <v>2136</v>
      </c>
      <c r="B870" t="s">
        <v>2612</v>
      </c>
      <c r="C870">
        <v>2020</v>
      </c>
      <c r="E870" t="s">
        <v>3320</v>
      </c>
    </row>
    <row r="871" spans="1:6" x14ac:dyDescent="0.25">
      <c r="A871" t="s">
        <v>2136</v>
      </c>
      <c r="B871" t="s">
        <v>2812</v>
      </c>
      <c r="C871">
        <v>2020</v>
      </c>
      <c r="E871" t="s">
        <v>3082</v>
      </c>
      <c r="F871" t="s">
        <v>8912</v>
      </c>
    </row>
    <row r="872" spans="1:6" x14ac:dyDescent="0.25">
      <c r="A872" t="s">
        <v>2146</v>
      </c>
      <c r="B872" t="s">
        <v>7916</v>
      </c>
      <c r="C872">
        <v>2020</v>
      </c>
      <c r="E872" s="10" t="s">
        <v>7915</v>
      </c>
      <c r="F872" t="s">
        <v>8913</v>
      </c>
    </row>
    <row r="873" spans="1:6" x14ac:dyDescent="0.25">
      <c r="A873" t="s">
        <v>2146</v>
      </c>
      <c r="B873" t="s">
        <v>488</v>
      </c>
      <c r="C873">
        <v>2020</v>
      </c>
      <c r="E873" t="s">
        <v>3219</v>
      </c>
      <c r="F873" t="s">
        <v>8914</v>
      </c>
    </row>
    <row r="874" spans="1:6" x14ac:dyDescent="0.25">
      <c r="A874" t="s">
        <v>2146</v>
      </c>
      <c r="B874" t="s">
        <v>774</v>
      </c>
      <c r="C874">
        <v>2020</v>
      </c>
      <c r="E874" s="10" t="s">
        <v>8396</v>
      </c>
      <c r="F874" t="s">
        <v>9278</v>
      </c>
    </row>
    <row r="875" spans="1:6" x14ac:dyDescent="0.25">
      <c r="A875" t="s">
        <v>2146</v>
      </c>
      <c r="B875" t="s">
        <v>7957</v>
      </c>
      <c r="C875">
        <v>2020</v>
      </c>
      <c r="E875" s="10" t="s">
        <v>7960</v>
      </c>
      <c r="F875" t="s">
        <v>8915</v>
      </c>
    </row>
    <row r="876" spans="1:6" x14ac:dyDescent="0.25">
      <c r="A876" t="s">
        <v>2146</v>
      </c>
      <c r="B876" t="s">
        <v>2524</v>
      </c>
      <c r="C876">
        <v>2020</v>
      </c>
      <c r="E876" t="s">
        <v>3313</v>
      </c>
      <c r="F876" t="s">
        <v>8916</v>
      </c>
    </row>
    <row r="877" spans="1:6" x14ac:dyDescent="0.25">
      <c r="A877" t="s">
        <v>2154</v>
      </c>
      <c r="B877" t="s">
        <v>205</v>
      </c>
      <c r="C877">
        <v>1980</v>
      </c>
      <c r="E877" t="s">
        <v>3321</v>
      </c>
      <c r="F877" t="s">
        <v>8917</v>
      </c>
    </row>
    <row r="878" spans="1:6" x14ac:dyDescent="0.25">
      <c r="A878" t="s">
        <v>2154</v>
      </c>
      <c r="B878" t="s">
        <v>256</v>
      </c>
      <c r="C878">
        <v>1980</v>
      </c>
      <c r="E878" s="10" t="s">
        <v>8415</v>
      </c>
      <c r="F878" t="s">
        <v>9292</v>
      </c>
    </row>
    <row r="879" spans="1:6" x14ac:dyDescent="0.25">
      <c r="A879" t="s">
        <v>2154</v>
      </c>
      <c r="B879" t="s">
        <v>490</v>
      </c>
      <c r="C879">
        <v>1980</v>
      </c>
      <c r="E879" t="s">
        <v>3322</v>
      </c>
      <c r="F879" t="s">
        <v>8918</v>
      </c>
    </row>
    <row r="880" spans="1:6" x14ac:dyDescent="0.25">
      <c r="A880" t="s">
        <v>2154</v>
      </c>
      <c r="B880" t="s">
        <v>522</v>
      </c>
      <c r="C880">
        <v>1980</v>
      </c>
    </row>
    <row r="881" spans="1:6" x14ac:dyDescent="0.25">
      <c r="A881" t="s">
        <v>2154</v>
      </c>
      <c r="B881" t="s">
        <v>546</v>
      </c>
      <c r="C881">
        <v>1980</v>
      </c>
      <c r="E881" t="s">
        <v>3323</v>
      </c>
      <c r="F881" t="s">
        <v>8919</v>
      </c>
    </row>
    <row r="882" spans="1:6" x14ac:dyDescent="0.25">
      <c r="A882" t="s">
        <v>2154</v>
      </c>
      <c r="B882" t="s">
        <v>689</v>
      </c>
      <c r="C882">
        <v>1980</v>
      </c>
      <c r="E882" t="s">
        <v>3324</v>
      </c>
    </row>
    <row r="883" spans="1:6" x14ac:dyDescent="0.25">
      <c r="A883" t="s">
        <v>2154</v>
      </c>
      <c r="B883" t="s">
        <v>819</v>
      </c>
      <c r="C883">
        <v>1980</v>
      </c>
      <c r="E883" s="10" t="s">
        <v>7929</v>
      </c>
    </row>
    <row r="884" spans="1:6" x14ac:dyDescent="0.25">
      <c r="A884" t="s">
        <v>2154</v>
      </c>
      <c r="B884" t="s">
        <v>1080</v>
      </c>
      <c r="C884">
        <v>1980</v>
      </c>
      <c r="E884" t="s">
        <v>3325</v>
      </c>
      <c r="F884" t="s">
        <v>8920</v>
      </c>
    </row>
    <row r="885" spans="1:6" x14ac:dyDescent="0.25">
      <c r="A885" t="s">
        <v>2154</v>
      </c>
      <c r="B885" t="s">
        <v>1227</v>
      </c>
      <c r="C885">
        <v>1980</v>
      </c>
      <c r="E885" t="s">
        <v>3326</v>
      </c>
      <c r="F885" t="s">
        <v>8921</v>
      </c>
    </row>
    <row r="886" spans="1:6" x14ac:dyDescent="0.25">
      <c r="A886" t="s">
        <v>2154</v>
      </c>
      <c r="B886" t="s">
        <v>1284</v>
      </c>
      <c r="C886">
        <v>1980</v>
      </c>
    </row>
    <row r="887" spans="1:6" x14ac:dyDescent="0.25">
      <c r="A887" t="s">
        <v>2154</v>
      </c>
      <c r="B887" t="s">
        <v>1400</v>
      </c>
      <c r="C887">
        <v>1980</v>
      </c>
      <c r="E887" t="s">
        <v>2991</v>
      </c>
      <c r="F887" t="s">
        <v>8922</v>
      </c>
    </row>
    <row r="888" spans="1:6" x14ac:dyDescent="0.25">
      <c r="A888" t="s">
        <v>2154</v>
      </c>
      <c r="B888" t="s">
        <v>1425</v>
      </c>
      <c r="C888">
        <v>1980</v>
      </c>
      <c r="E888" t="s">
        <v>2982</v>
      </c>
      <c r="F888" t="s">
        <v>8923</v>
      </c>
    </row>
    <row r="889" spans="1:6" x14ac:dyDescent="0.25">
      <c r="A889" t="s">
        <v>2154</v>
      </c>
      <c r="B889" t="s">
        <v>1523</v>
      </c>
      <c r="C889">
        <v>1980</v>
      </c>
      <c r="E889" t="s">
        <v>3327</v>
      </c>
      <c r="F889" t="s">
        <v>8924</v>
      </c>
    </row>
    <row r="890" spans="1:6" x14ac:dyDescent="0.25">
      <c r="A890" t="s">
        <v>2154</v>
      </c>
      <c r="B890" t="s">
        <v>8110</v>
      </c>
      <c r="C890">
        <v>1980</v>
      </c>
      <c r="E890" s="10" t="s">
        <v>8131</v>
      </c>
      <c r="F890" t="s">
        <v>8925</v>
      </c>
    </row>
    <row r="891" spans="1:6" x14ac:dyDescent="0.25">
      <c r="A891" t="s">
        <v>2154</v>
      </c>
      <c r="B891" t="s">
        <v>1663</v>
      </c>
      <c r="C891">
        <v>1980</v>
      </c>
      <c r="E891" t="s">
        <v>3013</v>
      </c>
    </row>
    <row r="892" spans="1:6" x14ac:dyDescent="0.25">
      <c r="A892" t="s">
        <v>2154</v>
      </c>
      <c r="B892" t="s">
        <v>1725</v>
      </c>
      <c r="C892">
        <v>1980</v>
      </c>
      <c r="E892" t="s">
        <v>3328</v>
      </c>
      <c r="F892" t="s">
        <v>8926</v>
      </c>
    </row>
    <row r="893" spans="1:6" x14ac:dyDescent="0.25">
      <c r="A893" t="s">
        <v>2154</v>
      </c>
      <c r="B893" t="s">
        <v>2035</v>
      </c>
      <c r="C893">
        <v>1980</v>
      </c>
      <c r="E893" t="s">
        <v>3152</v>
      </c>
      <c r="F893" t="s">
        <v>8927</v>
      </c>
    </row>
    <row r="894" spans="1:6" x14ac:dyDescent="0.25">
      <c r="A894" t="s">
        <v>2154</v>
      </c>
      <c r="B894" t="s">
        <v>2053</v>
      </c>
      <c r="C894">
        <v>1980</v>
      </c>
      <c r="E894" t="s">
        <v>3288</v>
      </c>
      <c r="F894" t="s">
        <v>8928</v>
      </c>
    </row>
    <row r="895" spans="1:6" x14ac:dyDescent="0.25">
      <c r="A895" t="s">
        <v>2154</v>
      </c>
      <c r="B895" t="s">
        <v>2077</v>
      </c>
      <c r="C895">
        <v>1980</v>
      </c>
      <c r="E895" t="s">
        <v>3329</v>
      </c>
    </row>
    <row r="896" spans="1:6" x14ac:dyDescent="0.25">
      <c r="A896" t="s">
        <v>2154</v>
      </c>
      <c r="B896" t="s">
        <v>2166</v>
      </c>
      <c r="C896">
        <v>1980</v>
      </c>
      <c r="E896" t="s">
        <v>3330</v>
      </c>
      <c r="F896" t="s">
        <v>8929</v>
      </c>
    </row>
    <row r="897" spans="1:6" x14ac:dyDescent="0.25">
      <c r="A897" t="s">
        <v>2154</v>
      </c>
      <c r="B897" t="s">
        <v>2200</v>
      </c>
      <c r="C897">
        <v>1980</v>
      </c>
      <c r="E897" t="s">
        <v>3061</v>
      </c>
      <c r="F897" t="s">
        <v>8930</v>
      </c>
    </row>
    <row r="898" spans="1:6" x14ac:dyDescent="0.25">
      <c r="A898" t="s">
        <v>2154</v>
      </c>
      <c r="B898" t="s">
        <v>2204</v>
      </c>
      <c r="C898">
        <v>1980</v>
      </c>
      <c r="E898" t="s">
        <v>3331</v>
      </c>
      <c r="F898" t="s">
        <v>8931</v>
      </c>
    </row>
    <row r="899" spans="1:6" x14ac:dyDescent="0.25">
      <c r="A899" t="s">
        <v>2154</v>
      </c>
      <c r="B899" t="s">
        <v>2543</v>
      </c>
      <c r="C899">
        <v>1980</v>
      </c>
      <c r="E899" t="s">
        <v>3291</v>
      </c>
      <c r="F899" t="s">
        <v>8932</v>
      </c>
    </row>
    <row r="900" spans="1:6" x14ac:dyDescent="0.25">
      <c r="A900" t="s">
        <v>2154</v>
      </c>
      <c r="B900" t="s">
        <v>2625</v>
      </c>
      <c r="C900">
        <v>1980</v>
      </c>
      <c r="E900" t="s">
        <v>3330</v>
      </c>
      <c r="F900" t="s">
        <v>8933</v>
      </c>
    </row>
    <row r="901" spans="1:6" x14ac:dyDescent="0.25">
      <c r="A901" t="s">
        <v>2154</v>
      </c>
      <c r="B901" t="s">
        <v>2706</v>
      </c>
      <c r="C901">
        <v>1980</v>
      </c>
      <c r="E901" t="s">
        <v>3332</v>
      </c>
      <c r="F901" t="s">
        <v>8934</v>
      </c>
    </row>
    <row r="902" spans="1:6" x14ac:dyDescent="0.25">
      <c r="A902" t="s">
        <v>2154</v>
      </c>
      <c r="B902" t="s">
        <v>2721</v>
      </c>
      <c r="C902">
        <v>1980</v>
      </c>
      <c r="E902" t="s">
        <v>3333</v>
      </c>
      <c r="F902" t="s">
        <v>8935</v>
      </c>
    </row>
    <row r="903" spans="1:6" x14ac:dyDescent="0.25">
      <c r="A903" t="s">
        <v>2154</v>
      </c>
      <c r="B903" t="s">
        <v>2788</v>
      </c>
      <c r="C903">
        <v>1980</v>
      </c>
      <c r="E903" s="10" t="s">
        <v>8412</v>
      </c>
      <c r="F903" t="s">
        <v>9287</v>
      </c>
    </row>
    <row r="904" spans="1:6" x14ac:dyDescent="0.25">
      <c r="A904" t="s">
        <v>2173</v>
      </c>
      <c r="B904" t="s">
        <v>574</v>
      </c>
      <c r="C904">
        <v>2013</v>
      </c>
      <c r="E904" s="10" t="s">
        <v>8367</v>
      </c>
      <c r="F904" t="s">
        <v>9229</v>
      </c>
    </row>
    <row r="905" spans="1:6" x14ac:dyDescent="0.25">
      <c r="A905" t="s">
        <v>2173</v>
      </c>
      <c r="B905" t="s">
        <v>689</v>
      </c>
      <c r="C905">
        <v>2013</v>
      </c>
      <c r="E905" t="s">
        <v>3324</v>
      </c>
    </row>
    <row r="906" spans="1:6" x14ac:dyDescent="0.25">
      <c r="A906" t="s">
        <v>2173</v>
      </c>
      <c r="B906" t="s">
        <v>759</v>
      </c>
      <c r="C906">
        <v>2013</v>
      </c>
      <c r="E906" t="s">
        <v>3334</v>
      </c>
    </row>
    <row r="907" spans="1:6" x14ac:dyDescent="0.25">
      <c r="A907" t="s">
        <v>2173</v>
      </c>
      <c r="B907" t="s">
        <v>998</v>
      </c>
      <c r="C907">
        <v>2013</v>
      </c>
      <c r="E907" s="10" t="s">
        <v>8359</v>
      </c>
    </row>
    <row r="908" spans="1:6" x14ac:dyDescent="0.25">
      <c r="A908" t="s">
        <v>2173</v>
      </c>
      <c r="B908" t="s">
        <v>1002</v>
      </c>
      <c r="C908">
        <v>2013</v>
      </c>
      <c r="E908" t="s">
        <v>3117</v>
      </c>
    </row>
    <row r="909" spans="1:6" x14ac:dyDescent="0.25">
      <c r="A909" t="s">
        <v>2173</v>
      </c>
      <c r="B909" t="s">
        <v>1104</v>
      </c>
      <c r="C909">
        <v>2013</v>
      </c>
      <c r="E909" t="s">
        <v>3335</v>
      </c>
      <c r="F909" t="s">
        <v>8936</v>
      </c>
    </row>
    <row r="910" spans="1:6" x14ac:dyDescent="0.25">
      <c r="A910" t="s">
        <v>2173</v>
      </c>
      <c r="B910" t="s">
        <v>1151</v>
      </c>
      <c r="C910">
        <v>2013</v>
      </c>
      <c r="E910" t="s">
        <v>3118</v>
      </c>
      <c r="F910" t="s">
        <v>8937</v>
      </c>
    </row>
    <row r="911" spans="1:6" x14ac:dyDescent="0.25">
      <c r="A911" t="s">
        <v>2173</v>
      </c>
      <c r="B911" t="s">
        <v>1294</v>
      </c>
      <c r="C911">
        <v>2013</v>
      </c>
      <c r="E911" s="10" t="s">
        <v>8368</v>
      </c>
      <c r="F911" t="s">
        <v>9235</v>
      </c>
    </row>
    <row r="912" spans="1:6" x14ac:dyDescent="0.25">
      <c r="A912" t="s">
        <v>2173</v>
      </c>
      <c r="B912" t="s">
        <v>1413</v>
      </c>
      <c r="C912">
        <v>2013</v>
      </c>
      <c r="E912" t="s">
        <v>3336</v>
      </c>
      <c r="F912" t="s">
        <v>8938</v>
      </c>
    </row>
    <row r="913" spans="1:6" x14ac:dyDescent="0.25">
      <c r="A913" t="s">
        <v>2173</v>
      </c>
      <c r="B913" t="s">
        <v>1713</v>
      </c>
      <c r="C913">
        <v>2013</v>
      </c>
      <c r="E913" t="s">
        <v>3337</v>
      </c>
      <c r="F913" t="s">
        <v>8939</v>
      </c>
    </row>
    <row r="914" spans="1:6" x14ac:dyDescent="0.25">
      <c r="A914" t="s">
        <v>2173</v>
      </c>
      <c r="B914" t="s">
        <v>1837</v>
      </c>
      <c r="C914">
        <v>2013</v>
      </c>
      <c r="E914" s="10" t="s">
        <v>8378</v>
      </c>
      <c r="F914" t="s">
        <v>9253</v>
      </c>
    </row>
    <row r="915" spans="1:6" x14ac:dyDescent="0.25">
      <c r="A915" t="s">
        <v>2173</v>
      </c>
      <c r="B915" t="s">
        <v>2169</v>
      </c>
      <c r="C915">
        <v>2013</v>
      </c>
      <c r="E915" t="s">
        <v>3338</v>
      </c>
    </row>
    <row r="916" spans="1:6" x14ac:dyDescent="0.25">
      <c r="A916" t="s">
        <v>2173</v>
      </c>
      <c r="B916" t="s">
        <v>2177</v>
      </c>
      <c r="C916">
        <v>2013</v>
      </c>
      <c r="D916" t="s">
        <v>187</v>
      </c>
    </row>
    <row r="917" spans="1:6" x14ac:dyDescent="0.25">
      <c r="A917" t="s">
        <v>2173</v>
      </c>
      <c r="B917" t="s">
        <v>2403</v>
      </c>
      <c r="C917">
        <v>2013</v>
      </c>
      <c r="E917" t="s">
        <v>3123</v>
      </c>
      <c r="F917" t="s">
        <v>8940</v>
      </c>
    </row>
    <row r="918" spans="1:6" x14ac:dyDescent="0.25">
      <c r="A918" t="s">
        <v>2173</v>
      </c>
      <c r="B918" t="s">
        <v>7858</v>
      </c>
      <c r="C918">
        <v>2013</v>
      </c>
      <c r="E918" t="s">
        <v>7860</v>
      </c>
      <c r="F918" t="s">
        <v>8941</v>
      </c>
    </row>
    <row r="919" spans="1:6" x14ac:dyDescent="0.25">
      <c r="A919" t="s">
        <v>2173</v>
      </c>
      <c r="B919" t="s">
        <v>2498</v>
      </c>
      <c r="C919">
        <v>2013</v>
      </c>
      <c r="E919" t="s">
        <v>3339</v>
      </c>
      <c r="F919" t="s">
        <v>8942</v>
      </c>
    </row>
    <row r="920" spans="1:6" x14ac:dyDescent="0.25">
      <c r="A920" t="s">
        <v>2173</v>
      </c>
      <c r="B920" t="s">
        <v>2782</v>
      </c>
      <c r="C920">
        <v>2013</v>
      </c>
      <c r="E920" t="s">
        <v>3125</v>
      </c>
      <c r="F920" t="s">
        <v>8943</v>
      </c>
    </row>
    <row r="921" spans="1:6" x14ac:dyDescent="0.25">
      <c r="A921" t="s">
        <v>2185</v>
      </c>
      <c r="B921" t="s">
        <v>1833</v>
      </c>
      <c r="C921">
        <v>2022</v>
      </c>
      <c r="E921" t="s">
        <v>2982</v>
      </c>
      <c r="F921" t="s">
        <v>8944</v>
      </c>
    </row>
    <row r="922" spans="1:6" x14ac:dyDescent="0.25">
      <c r="A922" t="s">
        <v>2185</v>
      </c>
      <c r="B922" t="s">
        <v>2736</v>
      </c>
      <c r="C922">
        <v>2022</v>
      </c>
      <c r="E922" t="s">
        <v>3340</v>
      </c>
      <c r="F922" t="s">
        <v>8945</v>
      </c>
    </row>
    <row r="923" spans="1:6" x14ac:dyDescent="0.25">
      <c r="A923" t="s">
        <v>2192</v>
      </c>
      <c r="B923" t="s">
        <v>2463</v>
      </c>
      <c r="C923">
        <v>2022</v>
      </c>
      <c r="E923" s="10" t="s">
        <v>2466</v>
      </c>
      <c r="F923" t="s">
        <v>9268</v>
      </c>
    </row>
    <row r="924" spans="1:6" x14ac:dyDescent="0.25">
      <c r="A924" t="s">
        <v>2196</v>
      </c>
      <c r="B924" t="s">
        <v>865</v>
      </c>
      <c r="C924">
        <v>2021</v>
      </c>
      <c r="E924" t="s">
        <v>3203</v>
      </c>
      <c r="F924" t="s">
        <v>8946</v>
      </c>
    </row>
    <row r="925" spans="1:6" x14ac:dyDescent="0.25">
      <c r="A925" t="s">
        <v>2196</v>
      </c>
      <c r="B925" t="s">
        <v>2671</v>
      </c>
      <c r="C925">
        <v>2021</v>
      </c>
      <c r="E925" t="s">
        <v>3341</v>
      </c>
    </row>
    <row r="926" spans="1:6" x14ac:dyDescent="0.25">
      <c r="A926" t="s">
        <v>2211</v>
      </c>
      <c r="B926" t="s">
        <v>2215</v>
      </c>
      <c r="C926">
        <v>2021</v>
      </c>
      <c r="E926" t="s">
        <v>3041</v>
      </c>
      <c r="F926" t="s">
        <v>8947</v>
      </c>
    </row>
    <row r="927" spans="1:6" x14ac:dyDescent="0.25">
      <c r="A927" t="s">
        <v>2225</v>
      </c>
      <c r="B927" t="s">
        <v>2260</v>
      </c>
      <c r="C927">
        <v>2021</v>
      </c>
      <c r="E927" s="10" t="s">
        <v>8398</v>
      </c>
    </row>
    <row r="928" spans="1:6" x14ac:dyDescent="0.25">
      <c r="A928" t="s">
        <v>8385</v>
      </c>
      <c r="B928" t="s">
        <v>2463</v>
      </c>
      <c r="C928">
        <v>2022</v>
      </c>
      <c r="E928" s="10" t="s">
        <v>2466</v>
      </c>
      <c r="F928" t="s">
        <v>9273</v>
      </c>
    </row>
    <row r="929" spans="1:6" x14ac:dyDescent="0.25">
      <c r="A929" t="s">
        <v>2254</v>
      </c>
      <c r="B929" t="s">
        <v>1159</v>
      </c>
      <c r="C929">
        <v>2020</v>
      </c>
      <c r="E929" t="s">
        <v>2982</v>
      </c>
      <c r="F929" t="s">
        <v>8948</v>
      </c>
    </row>
    <row r="930" spans="1:6" x14ac:dyDescent="0.25">
      <c r="A930" t="s">
        <v>2254</v>
      </c>
      <c r="B930" t="s">
        <v>1879</v>
      </c>
      <c r="C930">
        <v>2020</v>
      </c>
      <c r="E930" t="s">
        <v>3303</v>
      </c>
    </row>
    <row r="931" spans="1:6" x14ac:dyDescent="0.25">
      <c r="A931" t="s">
        <v>2269</v>
      </c>
      <c r="B931" t="s">
        <v>209</v>
      </c>
      <c r="C931">
        <v>2022</v>
      </c>
      <c r="D931" t="s">
        <v>187</v>
      </c>
    </row>
    <row r="932" spans="1:6" x14ac:dyDescent="0.25">
      <c r="A932" t="s">
        <v>2286</v>
      </c>
      <c r="B932" t="s">
        <v>1565</v>
      </c>
      <c r="C932">
        <v>2014</v>
      </c>
      <c r="E932" t="s">
        <v>3129</v>
      </c>
      <c r="F932" t="s">
        <v>8949</v>
      </c>
    </row>
    <row r="933" spans="1:6" x14ac:dyDescent="0.25">
      <c r="A933" t="s">
        <v>2292</v>
      </c>
      <c r="B933" t="s">
        <v>2298</v>
      </c>
      <c r="C933">
        <v>2008</v>
      </c>
      <c r="D933" t="s">
        <v>187</v>
      </c>
    </row>
    <row r="934" spans="1:6" x14ac:dyDescent="0.25">
      <c r="A934" t="s">
        <v>2295</v>
      </c>
      <c r="B934" t="s">
        <v>2292</v>
      </c>
      <c r="C934">
        <v>2000</v>
      </c>
      <c r="D934" t="s">
        <v>187</v>
      </c>
    </row>
    <row r="935" spans="1:6" x14ac:dyDescent="0.25">
      <c r="A935" t="s">
        <v>2295</v>
      </c>
      <c r="B935" t="s">
        <v>2301</v>
      </c>
      <c r="C935">
        <v>2000</v>
      </c>
      <c r="D935" t="s">
        <v>187</v>
      </c>
    </row>
    <row r="936" spans="1:6" x14ac:dyDescent="0.25">
      <c r="A936" t="s">
        <v>2298</v>
      </c>
      <c r="B936" t="s">
        <v>2314</v>
      </c>
      <c r="C936">
        <v>2010</v>
      </c>
      <c r="D936" t="s">
        <v>187</v>
      </c>
    </row>
    <row r="937" spans="1:6" x14ac:dyDescent="0.25">
      <c r="A937" t="s">
        <v>2304</v>
      </c>
      <c r="B937" t="s">
        <v>2307</v>
      </c>
      <c r="C937">
        <v>1996</v>
      </c>
      <c r="D937" t="s">
        <v>187</v>
      </c>
    </row>
    <row r="938" spans="1:6" x14ac:dyDescent="0.25">
      <c r="A938" t="s">
        <v>2314</v>
      </c>
      <c r="B938" t="s">
        <v>2310</v>
      </c>
      <c r="C938">
        <v>2010</v>
      </c>
      <c r="D938" t="s">
        <v>187</v>
      </c>
    </row>
    <row r="939" spans="1:6" x14ac:dyDescent="0.25">
      <c r="A939" t="s">
        <v>2318</v>
      </c>
      <c r="B939" t="s">
        <v>2686</v>
      </c>
      <c r="C939">
        <v>2023</v>
      </c>
      <c r="E939" t="s">
        <v>2982</v>
      </c>
      <c r="F939" t="s">
        <v>8950</v>
      </c>
    </row>
    <row r="940" spans="1:6" x14ac:dyDescent="0.25">
      <c r="A940" t="s">
        <v>2322</v>
      </c>
      <c r="B940" t="s">
        <v>1855</v>
      </c>
      <c r="C940">
        <v>2010</v>
      </c>
      <c r="E940" t="s">
        <v>3342</v>
      </c>
      <c r="F940" t="s">
        <v>8951</v>
      </c>
    </row>
    <row r="941" spans="1:6" x14ac:dyDescent="0.25">
      <c r="A941" t="s">
        <v>2324</v>
      </c>
      <c r="B941" t="s">
        <v>421</v>
      </c>
      <c r="C941">
        <v>2022</v>
      </c>
      <c r="E941" t="s">
        <v>2982</v>
      </c>
      <c r="F941" t="s">
        <v>8952</v>
      </c>
    </row>
    <row r="942" spans="1:6" x14ac:dyDescent="0.25">
      <c r="A942" t="s">
        <v>2324</v>
      </c>
      <c r="B942" t="s">
        <v>571</v>
      </c>
      <c r="C942">
        <v>2022</v>
      </c>
      <c r="E942" t="s">
        <v>3085</v>
      </c>
    </row>
    <row r="943" spans="1:6" x14ac:dyDescent="0.25">
      <c r="A943" t="s">
        <v>2324</v>
      </c>
      <c r="B943" t="s">
        <v>7839</v>
      </c>
      <c r="C943">
        <v>2022</v>
      </c>
      <c r="E943" s="10" t="s">
        <v>8380</v>
      </c>
      <c r="F943" t="s">
        <v>9256</v>
      </c>
    </row>
    <row r="944" spans="1:6" x14ac:dyDescent="0.25">
      <c r="A944" t="s">
        <v>2324</v>
      </c>
      <c r="B944" t="s">
        <v>2659</v>
      </c>
      <c r="C944">
        <v>2022</v>
      </c>
      <c r="E944" t="s">
        <v>3255</v>
      </c>
    </row>
    <row r="945" spans="1:6" x14ac:dyDescent="0.25">
      <c r="A945" t="s">
        <v>2335</v>
      </c>
      <c r="B945" t="s">
        <v>2071</v>
      </c>
      <c r="C945">
        <v>2020</v>
      </c>
      <c r="E945" t="s">
        <v>3235</v>
      </c>
      <c r="F945" t="s">
        <v>8953</v>
      </c>
    </row>
    <row r="946" spans="1:6" x14ac:dyDescent="0.25">
      <c r="A946" t="s">
        <v>2348</v>
      </c>
      <c r="B946" t="s">
        <v>1287</v>
      </c>
      <c r="C946">
        <v>2006</v>
      </c>
      <c r="E946" t="s">
        <v>3343</v>
      </c>
      <c r="F946" t="s">
        <v>8954</v>
      </c>
    </row>
    <row r="947" spans="1:6" x14ac:dyDescent="0.25">
      <c r="A947" t="s">
        <v>90</v>
      </c>
      <c r="B947" t="s">
        <v>209</v>
      </c>
      <c r="C947">
        <v>2017</v>
      </c>
      <c r="E947" t="s">
        <v>3344</v>
      </c>
    </row>
    <row r="948" spans="1:6" x14ac:dyDescent="0.25">
      <c r="A948" t="s">
        <v>90</v>
      </c>
      <c r="B948" t="s">
        <v>215</v>
      </c>
      <c r="C948">
        <v>2017</v>
      </c>
      <c r="E948" t="s">
        <v>2982</v>
      </c>
      <c r="F948" t="s">
        <v>8955</v>
      </c>
    </row>
    <row r="949" spans="1:6" x14ac:dyDescent="0.25">
      <c r="A949" t="s">
        <v>90</v>
      </c>
      <c r="B949" t="s">
        <v>233</v>
      </c>
      <c r="C949">
        <v>2017</v>
      </c>
      <c r="E949" t="s">
        <v>3309</v>
      </c>
    </row>
    <row r="950" spans="1:6" x14ac:dyDescent="0.25">
      <c r="A950" t="s">
        <v>90</v>
      </c>
      <c r="B950" t="s">
        <v>237</v>
      </c>
      <c r="C950">
        <v>2017</v>
      </c>
      <c r="E950" t="s">
        <v>3345</v>
      </c>
    </row>
    <row r="951" spans="1:6" x14ac:dyDescent="0.25">
      <c r="A951" t="s">
        <v>90</v>
      </c>
      <c r="B951" t="s">
        <v>249</v>
      </c>
      <c r="C951">
        <v>2017</v>
      </c>
      <c r="E951" t="s">
        <v>3247</v>
      </c>
      <c r="F951" t="s">
        <v>8956</v>
      </c>
    </row>
    <row r="952" spans="1:6" x14ac:dyDescent="0.25">
      <c r="A952" t="s">
        <v>90</v>
      </c>
      <c r="B952" t="s">
        <v>270</v>
      </c>
      <c r="C952">
        <v>2017</v>
      </c>
      <c r="E952" s="10" t="s">
        <v>8369</v>
      </c>
      <c r="F952" t="s">
        <v>9239</v>
      </c>
    </row>
    <row r="953" spans="1:6" x14ac:dyDescent="0.25">
      <c r="A953" t="s">
        <v>90</v>
      </c>
      <c r="B953" t="s">
        <v>283</v>
      </c>
      <c r="C953">
        <v>2017</v>
      </c>
      <c r="E953" t="s">
        <v>3198</v>
      </c>
      <c r="F953" t="s">
        <v>8957</v>
      </c>
    </row>
    <row r="954" spans="1:6" x14ac:dyDescent="0.25">
      <c r="A954" t="s">
        <v>90</v>
      </c>
      <c r="B954" t="s">
        <v>287</v>
      </c>
      <c r="C954">
        <v>2017</v>
      </c>
      <c r="E954" t="s">
        <v>3141</v>
      </c>
    </row>
    <row r="955" spans="1:6" x14ac:dyDescent="0.25">
      <c r="A955" t="s">
        <v>90</v>
      </c>
      <c r="B955" t="s">
        <v>299</v>
      </c>
      <c r="C955">
        <v>2017</v>
      </c>
      <c r="E955" t="s">
        <v>3305</v>
      </c>
    </row>
    <row r="956" spans="1:6" x14ac:dyDescent="0.25">
      <c r="A956" t="s">
        <v>90</v>
      </c>
      <c r="B956" t="s">
        <v>301</v>
      </c>
      <c r="C956">
        <v>2017</v>
      </c>
      <c r="E956" t="s">
        <v>2982</v>
      </c>
      <c r="F956" t="s">
        <v>8958</v>
      </c>
    </row>
    <row r="957" spans="1:6" x14ac:dyDescent="0.25">
      <c r="A957" t="s">
        <v>90</v>
      </c>
      <c r="B957" t="s">
        <v>310</v>
      </c>
      <c r="C957">
        <v>2017</v>
      </c>
      <c r="E957" t="s">
        <v>3346</v>
      </c>
    </row>
    <row r="958" spans="1:6" x14ac:dyDescent="0.25">
      <c r="A958" t="s">
        <v>90</v>
      </c>
      <c r="B958" t="s">
        <v>314</v>
      </c>
      <c r="C958">
        <v>2017</v>
      </c>
      <c r="E958" t="s">
        <v>3347</v>
      </c>
      <c r="F958" t="s">
        <v>8959</v>
      </c>
    </row>
    <row r="959" spans="1:6" x14ac:dyDescent="0.25">
      <c r="A959" t="s">
        <v>90</v>
      </c>
      <c r="B959" t="s">
        <v>333</v>
      </c>
      <c r="C959">
        <v>2017</v>
      </c>
      <c r="E959" t="s">
        <v>3185</v>
      </c>
    </row>
    <row r="960" spans="1:6" x14ac:dyDescent="0.25">
      <c r="A960" t="s">
        <v>90</v>
      </c>
      <c r="B960" t="s">
        <v>346</v>
      </c>
      <c r="C960">
        <v>2017</v>
      </c>
      <c r="E960" t="s">
        <v>3248</v>
      </c>
      <c r="F960" t="s">
        <v>8960</v>
      </c>
    </row>
    <row r="961" spans="1:6" x14ac:dyDescent="0.25">
      <c r="A961" t="s">
        <v>90</v>
      </c>
      <c r="B961" t="s">
        <v>368</v>
      </c>
      <c r="C961">
        <v>2017</v>
      </c>
      <c r="E961" t="s">
        <v>3013</v>
      </c>
    </row>
    <row r="962" spans="1:6" x14ac:dyDescent="0.25">
      <c r="A962" t="s">
        <v>90</v>
      </c>
      <c r="B962" t="s">
        <v>372</v>
      </c>
      <c r="C962">
        <v>2017</v>
      </c>
      <c r="E962" t="s">
        <v>3016</v>
      </c>
      <c r="F962" t="s">
        <v>8961</v>
      </c>
    </row>
    <row r="963" spans="1:6" x14ac:dyDescent="0.25">
      <c r="A963" t="s">
        <v>90</v>
      </c>
      <c r="B963" t="s">
        <v>403</v>
      </c>
      <c r="C963">
        <v>2017</v>
      </c>
      <c r="E963" t="s">
        <v>3348</v>
      </c>
      <c r="F963" t="s">
        <v>8962</v>
      </c>
    </row>
    <row r="964" spans="1:6" x14ac:dyDescent="0.25">
      <c r="A964" t="s">
        <v>90</v>
      </c>
      <c r="B964" t="s">
        <v>411</v>
      </c>
      <c r="C964">
        <v>2017</v>
      </c>
      <c r="E964" t="s">
        <v>3349</v>
      </c>
      <c r="F964" t="s">
        <v>8963</v>
      </c>
    </row>
    <row r="965" spans="1:6" x14ac:dyDescent="0.25">
      <c r="A965" t="s">
        <v>90</v>
      </c>
      <c r="B965" t="s">
        <v>428</v>
      </c>
      <c r="C965">
        <v>2017</v>
      </c>
      <c r="E965" t="s">
        <v>3020</v>
      </c>
    </row>
    <row r="966" spans="1:6" x14ac:dyDescent="0.25">
      <c r="A966" t="s">
        <v>90</v>
      </c>
      <c r="B966" t="s">
        <v>464</v>
      </c>
      <c r="C966">
        <v>2017</v>
      </c>
      <c r="E966" t="s">
        <v>2982</v>
      </c>
      <c r="F966" t="s">
        <v>8964</v>
      </c>
    </row>
    <row r="967" spans="1:6" x14ac:dyDescent="0.25">
      <c r="A967" t="s">
        <v>90</v>
      </c>
      <c r="B967" t="s">
        <v>477</v>
      </c>
      <c r="C967">
        <v>2017</v>
      </c>
      <c r="E967" t="s">
        <v>2982</v>
      </c>
      <c r="F967" t="s">
        <v>8965</v>
      </c>
    </row>
    <row r="968" spans="1:6" x14ac:dyDescent="0.25">
      <c r="A968" t="s">
        <v>90</v>
      </c>
      <c r="B968" t="s">
        <v>480</v>
      </c>
      <c r="C968">
        <v>2017</v>
      </c>
      <c r="E968" t="s">
        <v>3350</v>
      </c>
      <c r="F968" t="s">
        <v>8966</v>
      </c>
    </row>
    <row r="969" spans="1:6" x14ac:dyDescent="0.25">
      <c r="A969" t="s">
        <v>90</v>
      </c>
      <c r="B969" t="s">
        <v>484</v>
      </c>
      <c r="C969">
        <v>2017</v>
      </c>
      <c r="E969" t="s">
        <v>3199</v>
      </c>
      <c r="F969" t="s">
        <v>8967</v>
      </c>
    </row>
    <row r="970" spans="1:6" x14ac:dyDescent="0.25">
      <c r="A970" t="s">
        <v>90</v>
      </c>
      <c r="B970" t="s">
        <v>493</v>
      </c>
      <c r="C970">
        <v>2017</v>
      </c>
      <c r="E970" t="s">
        <v>2982</v>
      </c>
      <c r="F970" t="s">
        <v>8968</v>
      </c>
    </row>
    <row r="971" spans="1:6" x14ac:dyDescent="0.25">
      <c r="A971" t="s">
        <v>90</v>
      </c>
      <c r="B971" t="s">
        <v>567</v>
      </c>
      <c r="C971">
        <v>2017</v>
      </c>
      <c r="E971" t="s">
        <v>3351</v>
      </c>
      <c r="F971" t="s">
        <v>8969</v>
      </c>
    </row>
    <row r="972" spans="1:6" x14ac:dyDescent="0.25">
      <c r="A972" t="s">
        <v>90</v>
      </c>
      <c r="B972" t="s">
        <v>571</v>
      </c>
      <c r="C972">
        <v>2017</v>
      </c>
      <c r="E972" t="s">
        <v>3352</v>
      </c>
    </row>
    <row r="973" spans="1:6" x14ac:dyDescent="0.25">
      <c r="A973" t="s">
        <v>90</v>
      </c>
      <c r="B973" t="s">
        <v>598</v>
      </c>
      <c r="C973">
        <v>2017</v>
      </c>
      <c r="E973" t="s">
        <v>2982</v>
      </c>
      <c r="F973" t="s">
        <v>8970</v>
      </c>
    </row>
    <row r="974" spans="1:6" x14ac:dyDescent="0.25">
      <c r="A974" t="s">
        <v>90</v>
      </c>
      <c r="B974" t="s">
        <v>610</v>
      </c>
      <c r="C974">
        <v>2017</v>
      </c>
      <c r="E974" t="s">
        <v>3066</v>
      </c>
    </row>
    <row r="975" spans="1:6" x14ac:dyDescent="0.25">
      <c r="A975" t="s">
        <v>90</v>
      </c>
      <c r="B975" t="s">
        <v>619</v>
      </c>
      <c r="C975">
        <v>2017</v>
      </c>
      <c r="E975" s="10" t="s">
        <v>9329</v>
      </c>
      <c r="F975" t="s">
        <v>8971</v>
      </c>
    </row>
    <row r="976" spans="1:6" x14ac:dyDescent="0.25">
      <c r="A976" t="s">
        <v>90</v>
      </c>
      <c r="B976" t="s">
        <v>633</v>
      </c>
      <c r="C976">
        <v>2017</v>
      </c>
      <c r="E976" t="s">
        <v>3353</v>
      </c>
      <c r="F976" t="s">
        <v>8972</v>
      </c>
    </row>
    <row r="977" spans="1:6" x14ac:dyDescent="0.25">
      <c r="A977" t="s">
        <v>90</v>
      </c>
      <c r="B977" t="s">
        <v>643</v>
      </c>
      <c r="C977">
        <v>2017</v>
      </c>
      <c r="E977" t="s">
        <v>3354</v>
      </c>
    </row>
    <row r="978" spans="1:6" x14ac:dyDescent="0.25">
      <c r="A978" t="s">
        <v>90</v>
      </c>
      <c r="B978" t="s">
        <v>651</v>
      </c>
      <c r="C978">
        <v>2017</v>
      </c>
      <c r="E978" s="10" t="s">
        <v>8330</v>
      </c>
    </row>
    <row r="979" spans="1:6" x14ac:dyDescent="0.25">
      <c r="A979" t="s">
        <v>90</v>
      </c>
      <c r="B979" t="s">
        <v>671</v>
      </c>
      <c r="C979">
        <v>2017</v>
      </c>
      <c r="E979" t="s">
        <v>2982</v>
      </c>
      <c r="F979" t="s">
        <v>8973</v>
      </c>
    </row>
    <row r="980" spans="1:6" x14ac:dyDescent="0.25">
      <c r="A980" t="s">
        <v>90</v>
      </c>
      <c r="B980" t="s">
        <v>673</v>
      </c>
      <c r="C980">
        <v>2017</v>
      </c>
      <c r="E980" s="10" t="s">
        <v>8371</v>
      </c>
      <c r="F980" t="s">
        <v>9244</v>
      </c>
    </row>
    <row r="981" spans="1:6" x14ac:dyDescent="0.25">
      <c r="A981" t="s">
        <v>90</v>
      </c>
      <c r="B981" t="s">
        <v>681</v>
      </c>
      <c r="C981">
        <v>2017</v>
      </c>
      <c r="E981" t="s">
        <v>3355</v>
      </c>
      <c r="F981" t="s">
        <v>8974</v>
      </c>
    </row>
    <row r="982" spans="1:6" x14ac:dyDescent="0.25">
      <c r="A982" t="s">
        <v>90</v>
      </c>
      <c r="B982" t="s">
        <v>730</v>
      </c>
      <c r="C982">
        <v>2017</v>
      </c>
      <c r="E982" t="s">
        <v>3025</v>
      </c>
    </row>
    <row r="983" spans="1:6" x14ac:dyDescent="0.25">
      <c r="A983" t="s">
        <v>90</v>
      </c>
      <c r="B983" t="s">
        <v>795</v>
      </c>
      <c r="C983">
        <v>2017</v>
      </c>
      <c r="E983" t="s">
        <v>3098</v>
      </c>
      <c r="F983" t="s">
        <v>8975</v>
      </c>
    </row>
    <row r="984" spans="1:6" x14ac:dyDescent="0.25">
      <c r="A984" t="s">
        <v>90</v>
      </c>
      <c r="B984" t="s">
        <v>799</v>
      </c>
      <c r="C984">
        <v>2017</v>
      </c>
      <c r="E984" t="s">
        <v>3356</v>
      </c>
    </row>
    <row r="985" spans="1:6" x14ac:dyDescent="0.25">
      <c r="A985" t="s">
        <v>90</v>
      </c>
      <c r="B985" t="s">
        <v>803</v>
      </c>
      <c r="C985">
        <v>2017</v>
      </c>
      <c r="E985" t="s">
        <v>2982</v>
      </c>
      <c r="F985" t="s">
        <v>8976</v>
      </c>
    </row>
    <row r="986" spans="1:6" x14ac:dyDescent="0.25">
      <c r="A986" t="s">
        <v>90</v>
      </c>
      <c r="B986" t="s">
        <v>815</v>
      </c>
      <c r="C986">
        <v>2017</v>
      </c>
      <c r="E986" t="s">
        <v>3357</v>
      </c>
      <c r="F986" t="s">
        <v>8977</v>
      </c>
    </row>
    <row r="987" spans="1:6" x14ac:dyDescent="0.25">
      <c r="A987" t="s">
        <v>90</v>
      </c>
      <c r="B987" t="s">
        <v>828</v>
      </c>
      <c r="C987">
        <v>2017</v>
      </c>
      <c r="E987" t="s">
        <v>2982</v>
      </c>
      <c r="F987" t="s">
        <v>8978</v>
      </c>
    </row>
    <row r="988" spans="1:6" x14ac:dyDescent="0.25">
      <c r="A988" t="s">
        <v>90</v>
      </c>
      <c r="B988" t="s">
        <v>850</v>
      </c>
      <c r="C988">
        <v>2017</v>
      </c>
      <c r="E988" t="s">
        <v>3358</v>
      </c>
      <c r="F988" t="s">
        <v>8979</v>
      </c>
    </row>
    <row r="989" spans="1:6" x14ac:dyDescent="0.25">
      <c r="A989" t="s">
        <v>90</v>
      </c>
      <c r="B989" t="s">
        <v>856</v>
      </c>
      <c r="C989">
        <v>2017</v>
      </c>
      <c r="E989" t="s">
        <v>3359</v>
      </c>
      <c r="F989" t="s">
        <v>8980</v>
      </c>
    </row>
    <row r="990" spans="1:6" x14ac:dyDescent="0.25">
      <c r="A990" t="s">
        <v>90</v>
      </c>
      <c r="B990" t="s">
        <v>863</v>
      </c>
      <c r="C990">
        <v>2017</v>
      </c>
      <c r="E990" t="s">
        <v>3027</v>
      </c>
      <c r="F990" t="s">
        <v>8981</v>
      </c>
    </row>
    <row r="991" spans="1:6" x14ac:dyDescent="0.25">
      <c r="A991" t="s">
        <v>90</v>
      </c>
      <c r="B991" t="s">
        <v>865</v>
      </c>
      <c r="C991">
        <v>2017</v>
      </c>
      <c r="E991" t="s">
        <v>3203</v>
      </c>
      <c r="F991" t="s">
        <v>8982</v>
      </c>
    </row>
    <row r="992" spans="1:6" x14ac:dyDescent="0.25">
      <c r="A992" t="s">
        <v>90</v>
      </c>
      <c r="B992" t="s">
        <v>869</v>
      </c>
      <c r="C992">
        <v>2017</v>
      </c>
      <c r="E992" t="s">
        <v>2982</v>
      </c>
      <c r="F992" t="s">
        <v>8983</v>
      </c>
    </row>
    <row r="993" spans="1:6" x14ac:dyDescent="0.25">
      <c r="A993" t="s">
        <v>90</v>
      </c>
      <c r="B993" t="s">
        <v>877</v>
      </c>
      <c r="C993">
        <v>2017</v>
      </c>
      <c r="E993" t="s">
        <v>3100</v>
      </c>
      <c r="F993" t="s">
        <v>8984</v>
      </c>
    </row>
    <row r="994" spans="1:6" x14ac:dyDescent="0.25">
      <c r="A994" t="s">
        <v>90</v>
      </c>
      <c r="B994" t="s">
        <v>879</v>
      </c>
      <c r="C994">
        <v>2017</v>
      </c>
      <c r="E994" t="s">
        <v>3360</v>
      </c>
      <c r="F994" t="s">
        <v>8985</v>
      </c>
    </row>
    <row r="995" spans="1:6" x14ac:dyDescent="0.25">
      <c r="A995" t="s">
        <v>90</v>
      </c>
      <c r="B995" t="s">
        <v>887</v>
      </c>
      <c r="C995">
        <v>2017</v>
      </c>
      <c r="E995" t="s">
        <v>2982</v>
      </c>
      <c r="F995" t="s">
        <v>8986</v>
      </c>
    </row>
    <row r="996" spans="1:6" x14ac:dyDescent="0.25">
      <c r="A996" t="s">
        <v>90</v>
      </c>
      <c r="B996" t="s">
        <v>898</v>
      </c>
      <c r="C996">
        <v>2017</v>
      </c>
      <c r="E996" t="s">
        <v>3143</v>
      </c>
      <c r="F996" t="s">
        <v>8987</v>
      </c>
    </row>
    <row r="997" spans="1:6" x14ac:dyDescent="0.25">
      <c r="A997" t="s">
        <v>90</v>
      </c>
      <c r="B997" t="s">
        <v>960</v>
      </c>
      <c r="C997">
        <v>2017</v>
      </c>
      <c r="E997" t="s">
        <v>3144</v>
      </c>
      <c r="F997" t="s">
        <v>8988</v>
      </c>
    </row>
    <row r="998" spans="1:6" x14ac:dyDescent="0.25">
      <c r="A998" t="s">
        <v>90</v>
      </c>
      <c r="B998" t="s">
        <v>1029</v>
      </c>
      <c r="C998">
        <v>2017</v>
      </c>
      <c r="E998" t="s">
        <v>2982</v>
      </c>
    </row>
    <row r="999" spans="1:6" x14ac:dyDescent="0.25">
      <c r="A999" t="s">
        <v>90</v>
      </c>
      <c r="B999" t="s">
        <v>1034</v>
      </c>
      <c r="C999">
        <v>2017</v>
      </c>
      <c r="E999" t="s">
        <v>3361</v>
      </c>
      <c r="F999" t="s">
        <v>8989</v>
      </c>
    </row>
    <row r="1000" spans="1:6" x14ac:dyDescent="0.25">
      <c r="A1000" t="s">
        <v>90</v>
      </c>
      <c r="B1000" t="s">
        <v>1059</v>
      </c>
      <c r="C1000">
        <v>2017</v>
      </c>
      <c r="E1000" t="s">
        <v>2982</v>
      </c>
      <c r="F1000" t="s">
        <v>8990</v>
      </c>
    </row>
    <row r="1001" spans="1:6" x14ac:dyDescent="0.25">
      <c r="A1001" t="s">
        <v>90</v>
      </c>
      <c r="B1001" t="s">
        <v>1089</v>
      </c>
      <c r="C1001">
        <v>2017</v>
      </c>
      <c r="E1001" t="s">
        <v>3250</v>
      </c>
    </row>
    <row r="1002" spans="1:6" x14ac:dyDescent="0.25">
      <c r="A1002" t="s">
        <v>90</v>
      </c>
      <c r="B1002" t="s">
        <v>1108</v>
      </c>
      <c r="C1002">
        <v>2017</v>
      </c>
      <c r="E1002" t="s">
        <v>3251</v>
      </c>
      <c r="F1002" t="s">
        <v>8991</v>
      </c>
    </row>
    <row r="1003" spans="1:6" x14ac:dyDescent="0.25">
      <c r="A1003" t="s">
        <v>90</v>
      </c>
      <c r="B1003" t="s">
        <v>1123</v>
      </c>
      <c r="C1003">
        <v>2017</v>
      </c>
      <c r="E1003" t="s">
        <v>3204</v>
      </c>
    </row>
    <row r="1004" spans="1:6" x14ac:dyDescent="0.25">
      <c r="A1004" t="s">
        <v>90</v>
      </c>
      <c r="B1004" t="s">
        <v>1129</v>
      </c>
      <c r="C1004">
        <v>2017</v>
      </c>
      <c r="E1004" t="s">
        <v>3228</v>
      </c>
      <c r="F1004" t="s">
        <v>8992</v>
      </c>
    </row>
    <row r="1005" spans="1:6" x14ac:dyDescent="0.25">
      <c r="A1005" t="s">
        <v>90</v>
      </c>
      <c r="B1005" t="s">
        <v>1231</v>
      </c>
      <c r="C1005">
        <v>2022</v>
      </c>
      <c r="E1005" t="s">
        <v>3362</v>
      </c>
    </row>
    <row r="1006" spans="1:6" x14ac:dyDescent="0.25">
      <c r="A1006" t="s">
        <v>90</v>
      </c>
      <c r="B1006" t="s">
        <v>1245</v>
      </c>
      <c r="C1006">
        <v>2017</v>
      </c>
      <c r="E1006" t="s">
        <v>3363</v>
      </c>
      <c r="F1006" t="s">
        <v>8993</v>
      </c>
    </row>
    <row r="1007" spans="1:6" x14ac:dyDescent="0.25">
      <c r="A1007" t="s">
        <v>90</v>
      </c>
      <c r="B1007" t="s">
        <v>1255</v>
      </c>
      <c r="C1007">
        <v>2017</v>
      </c>
      <c r="E1007" t="s">
        <v>3364</v>
      </c>
    </row>
    <row r="1008" spans="1:6" x14ac:dyDescent="0.25">
      <c r="A1008" t="s">
        <v>90</v>
      </c>
      <c r="B1008" t="s">
        <v>1290</v>
      </c>
      <c r="C1008">
        <v>2017</v>
      </c>
    </row>
    <row r="1009" spans="1:6" x14ac:dyDescent="0.25">
      <c r="A1009" t="s">
        <v>90</v>
      </c>
      <c r="B1009" t="s">
        <v>1294</v>
      </c>
      <c r="C1009">
        <v>2017</v>
      </c>
      <c r="E1009" s="10" t="s">
        <v>8368</v>
      </c>
      <c r="F1009" t="s">
        <v>9238</v>
      </c>
    </row>
    <row r="1010" spans="1:6" x14ac:dyDescent="0.25">
      <c r="A1010" t="s">
        <v>90</v>
      </c>
      <c r="B1010" t="s">
        <v>7862</v>
      </c>
      <c r="C1010">
        <v>2017</v>
      </c>
      <c r="E1010" t="s">
        <v>7861</v>
      </c>
      <c r="F1010" t="s">
        <v>8994</v>
      </c>
    </row>
    <row r="1011" spans="1:6" x14ac:dyDescent="0.25">
      <c r="A1011" t="s">
        <v>90</v>
      </c>
      <c r="B1011" t="s">
        <v>1348</v>
      </c>
      <c r="C1011">
        <v>2017</v>
      </c>
      <c r="E1011" t="s">
        <v>3365</v>
      </c>
      <c r="F1011" t="s">
        <v>8995</v>
      </c>
    </row>
    <row r="1012" spans="1:6" x14ac:dyDescent="0.25">
      <c r="A1012" t="s">
        <v>90</v>
      </c>
      <c r="B1012" t="s">
        <v>1353</v>
      </c>
      <c r="C1012">
        <v>2017</v>
      </c>
      <c r="E1012" t="s">
        <v>3057</v>
      </c>
      <c r="F1012" t="s">
        <v>8996</v>
      </c>
    </row>
    <row r="1013" spans="1:6" x14ac:dyDescent="0.25">
      <c r="A1013" t="s">
        <v>90</v>
      </c>
      <c r="B1013" t="s">
        <v>1376</v>
      </c>
      <c r="C1013">
        <v>2017</v>
      </c>
      <c r="E1013" t="s">
        <v>2982</v>
      </c>
    </row>
    <row r="1014" spans="1:6" x14ac:dyDescent="0.25">
      <c r="A1014" t="s">
        <v>90</v>
      </c>
      <c r="B1014" t="s">
        <v>1394</v>
      </c>
      <c r="C1014">
        <v>2017</v>
      </c>
      <c r="E1014" t="s">
        <v>3032</v>
      </c>
    </row>
    <row r="1015" spans="1:6" x14ac:dyDescent="0.25">
      <c r="A1015" t="s">
        <v>90</v>
      </c>
      <c r="B1015" t="s">
        <v>1435</v>
      </c>
      <c r="C1015">
        <v>2017</v>
      </c>
      <c r="E1015" t="s">
        <v>3270</v>
      </c>
      <c r="F1015" t="s">
        <v>8997</v>
      </c>
    </row>
    <row r="1016" spans="1:6" x14ac:dyDescent="0.25">
      <c r="A1016" t="s">
        <v>90</v>
      </c>
      <c r="B1016" t="s">
        <v>1447</v>
      </c>
      <c r="C1016">
        <v>2017</v>
      </c>
      <c r="E1016" t="s">
        <v>2982</v>
      </c>
      <c r="F1016" t="s">
        <v>8998</v>
      </c>
    </row>
    <row r="1017" spans="1:6" x14ac:dyDescent="0.25">
      <c r="A1017" t="s">
        <v>90</v>
      </c>
      <c r="B1017" t="s">
        <v>1450</v>
      </c>
      <c r="C1017">
        <v>2017</v>
      </c>
      <c r="E1017" t="s">
        <v>3104</v>
      </c>
      <c r="F1017" t="s">
        <v>8999</v>
      </c>
    </row>
    <row r="1018" spans="1:6" x14ac:dyDescent="0.25">
      <c r="A1018" t="s">
        <v>90</v>
      </c>
      <c r="B1018" t="s">
        <v>1475</v>
      </c>
      <c r="C1018">
        <v>2017</v>
      </c>
      <c r="E1018" t="s">
        <v>3366</v>
      </c>
      <c r="F1018" t="s">
        <v>9000</v>
      </c>
    </row>
    <row r="1019" spans="1:6" x14ac:dyDescent="0.25">
      <c r="A1019" t="s">
        <v>90</v>
      </c>
      <c r="B1019" t="s">
        <v>1511</v>
      </c>
      <c r="C1019">
        <v>2017</v>
      </c>
      <c r="E1019" t="s">
        <v>2982</v>
      </c>
      <c r="F1019" t="s">
        <v>9001</v>
      </c>
    </row>
    <row r="1020" spans="1:6" x14ac:dyDescent="0.25">
      <c r="A1020" t="s">
        <v>90</v>
      </c>
      <c r="B1020" t="s">
        <v>1526</v>
      </c>
      <c r="C1020">
        <v>2017</v>
      </c>
      <c r="E1020" t="s">
        <v>3054</v>
      </c>
    </row>
    <row r="1021" spans="1:6" x14ac:dyDescent="0.25">
      <c r="A1021" t="s">
        <v>90</v>
      </c>
      <c r="B1021" t="s">
        <v>1565</v>
      </c>
      <c r="C1021">
        <v>2017</v>
      </c>
      <c r="E1021" t="s">
        <v>3129</v>
      </c>
      <c r="F1021" t="s">
        <v>9002</v>
      </c>
    </row>
    <row r="1022" spans="1:6" x14ac:dyDescent="0.25">
      <c r="A1022" t="s">
        <v>90</v>
      </c>
      <c r="B1022" t="s">
        <v>1568</v>
      </c>
      <c r="C1022">
        <v>2017</v>
      </c>
      <c r="E1022" s="10" t="s">
        <v>3367</v>
      </c>
      <c r="F1022" t="s">
        <v>9003</v>
      </c>
    </row>
    <row r="1023" spans="1:6" x14ac:dyDescent="0.25">
      <c r="A1023" t="s">
        <v>90</v>
      </c>
      <c r="B1023" t="s">
        <v>1574</v>
      </c>
      <c r="C1023">
        <v>2017</v>
      </c>
      <c r="E1023" t="s">
        <v>2982</v>
      </c>
      <c r="F1023" t="s">
        <v>9004</v>
      </c>
    </row>
    <row r="1024" spans="1:6" x14ac:dyDescent="0.25">
      <c r="A1024" t="s">
        <v>90</v>
      </c>
      <c r="B1024" t="s">
        <v>1576</v>
      </c>
      <c r="C1024">
        <v>2017</v>
      </c>
      <c r="E1024" t="s">
        <v>3368</v>
      </c>
      <c r="F1024" t="s">
        <v>9005</v>
      </c>
    </row>
    <row r="1025" spans="1:6" x14ac:dyDescent="0.25">
      <c r="A1025" t="s">
        <v>90</v>
      </c>
      <c r="B1025" t="s">
        <v>1594</v>
      </c>
      <c r="C1025">
        <v>2017</v>
      </c>
      <c r="E1025" t="s">
        <v>3295</v>
      </c>
    </row>
    <row r="1026" spans="1:6" x14ac:dyDescent="0.25">
      <c r="A1026" t="s">
        <v>90</v>
      </c>
      <c r="B1026" t="s">
        <v>1610</v>
      </c>
      <c r="C1026">
        <v>2017</v>
      </c>
      <c r="E1026" t="s">
        <v>3244</v>
      </c>
      <c r="F1026" t="s">
        <v>9006</v>
      </c>
    </row>
    <row r="1027" spans="1:6" x14ac:dyDescent="0.25">
      <c r="A1027" t="s">
        <v>90</v>
      </c>
      <c r="B1027" t="s">
        <v>1625</v>
      </c>
      <c r="C1027">
        <v>2017</v>
      </c>
      <c r="E1027" t="s">
        <v>3369</v>
      </c>
    </row>
    <row r="1028" spans="1:6" x14ac:dyDescent="0.25">
      <c r="A1028" t="s">
        <v>90</v>
      </c>
      <c r="B1028" t="s">
        <v>1627</v>
      </c>
      <c r="C1028">
        <v>2017</v>
      </c>
      <c r="E1028" t="s">
        <v>3370</v>
      </c>
    </row>
    <row r="1029" spans="1:6" x14ac:dyDescent="0.25">
      <c r="A1029" t="s">
        <v>90</v>
      </c>
      <c r="B1029" t="s">
        <v>1672</v>
      </c>
      <c r="C1029">
        <v>2017</v>
      </c>
      <c r="E1029" t="s">
        <v>3371</v>
      </c>
      <c r="F1029" t="s">
        <v>9007</v>
      </c>
    </row>
    <row r="1030" spans="1:6" x14ac:dyDescent="0.25">
      <c r="A1030" t="s">
        <v>90</v>
      </c>
      <c r="B1030" t="s">
        <v>1690</v>
      </c>
      <c r="C1030">
        <v>2017</v>
      </c>
      <c r="E1030" t="s">
        <v>3013</v>
      </c>
    </row>
    <row r="1031" spans="1:6" x14ac:dyDescent="0.25">
      <c r="A1031" t="s">
        <v>90</v>
      </c>
      <c r="B1031" t="s">
        <v>1704</v>
      </c>
      <c r="C1031">
        <v>2017</v>
      </c>
      <c r="E1031" t="s">
        <v>3372</v>
      </c>
      <c r="F1031" t="s">
        <v>9008</v>
      </c>
    </row>
    <row r="1032" spans="1:6" x14ac:dyDescent="0.25">
      <c r="A1032" t="s">
        <v>90</v>
      </c>
      <c r="B1032" t="s">
        <v>1728</v>
      </c>
      <c r="C1032">
        <v>2017</v>
      </c>
      <c r="E1032" t="s">
        <v>3373</v>
      </c>
    </row>
    <row r="1033" spans="1:6" x14ac:dyDescent="0.25">
      <c r="A1033" t="s">
        <v>90</v>
      </c>
      <c r="B1033" t="s">
        <v>1734</v>
      </c>
      <c r="C1033">
        <v>2017</v>
      </c>
      <c r="E1033" t="s">
        <v>2982</v>
      </c>
      <c r="F1033" t="s">
        <v>9009</v>
      </c>
    </row>
    <row r="1034" spans="1:6" x14ac:dyDescent="0.25">
      <c r="A1034" t="s">
        <v>90</v>
      </c>
      <c r="B1034" t="s">
        <v>1768</v>
      </c>
      <c r="C1034">
        <v>2017</v>
      </c>
      <c r="E1034" t="s">
        <v>3105</v>
      </c>
      <c r="F1034" t="s">
        <v>9010</v>
      </c>
    </row>
    <row r="1035" spans="1:6" x14ac:dyDescent="0.25">
      <c r="A1035" t="s">
        <v>90</v>
      </c>
      <c r="B1035" t="s">
        <v>1811</v>
      </c>
      <c r="C1035">
        <v>2017</v>
      </c>
      <c r="E1035" t="s">
        <v>2982</v>
      </c>
      <c r="F1035" t="s">
        <v>9011</v>
      </c>
    </row>
    <row r="1036" spans="1:6" x14ac:dyDescent="0.25">
      <c r="A1036" t="s">
        <v>90</v>
      </c>
      <c r="B1036" t="s">
        <v>1833</v>
      </c>
      <c r="C1036">
        <v>2017</v>
      </c>
      <c r="E1036" t="s">
        <v>2982</v>
      </c>
      <c r="F1036" t="s">
        <v>9012</v>
      </c>
    </row>
    <row r="1037" spans="1:6" x14ac:dyDescent="0.25">
      <c r="A1037" t="s">
        <v>90</v>
      </c>
      <c r="B1037" t="s">
        <v>1867</v>
      </c>
      <c r="C1037">
        <v>2017</v>
      </c>
      <c r="E1037" t="s">
        <v>3374</v>
      </c>
    </row>
    <row r="1038" spans="1:6" x14ac:dyDescent="0.25">
      <c r="A1038" t="s">
        <v>90</v>
      </c>
      <c r="B1038" t="s">
        <v>1895</v>
      </c>
      <c r="C1038">
        <v>2017</v>
      </c>
      <c r="E1038" t="s">
        <v>3210</v>
      </c>
      <c r="F1038" t="s">
        <v>9013</v>
      </c>
    </row>
    <row r="1039" spans="1:6" x14ac:dyDescent="0.25">
      <c r="A1039" t="s">
        <v>90</v>
      </c>
      <c r="B1039" t="s">
        <v>1921</v>
      </c>
      <c r="C1039">
        <v>2017</v>
      </c>
      <c r="E1039" t="s">
        <v>3013</v>
      </c>
    </row>
    <row r="1040" spans="1:6" x14ac:dyDescent="0.25">
      <c r="A1040" t="s">
        <v>90</v>
      </c>
      <c r="B1040" t="s">
        <v>1947</v>
      </c>
      <c r="C1040">
        <v>2017</v>
      </c>
      <c r="E1040" t="s">
        <v>3253</v>
      </c>
      <c r="F1040" t="s">
        <v>9014</v>
      </c>
    </row>
    <row r="1041" spans="1:6" x14ac:dyDescent="0.25">
      <c r="A1041" t="s">
        <v>90</v>
      </c>
      <c r="B1041" t="s">
        <v>1951</v>
      </c>
      <c r="C1041">
        <v>2017</v>
      </c>
      <c r="E1041" t="s">
        <v>3375</v>
      </c>
      <c r="F1041" t="s">
        <v>9015</v>
      </c>
    </row>
    <row r="1042" spans="1:6" x14ac:dyDescent="0.25">
      <c r="A1042" t="s">
        <v>90</v>
      </c>
      <c r="B1042" t="s">
        <v>1982</v>
      </c>
      <c r="C1042">
        <v>2017</v>
      </c>
      <c r="E1042" t="s">
        <v>2982</v>
      </c>
      <c r="F1042" t="s">
        <v>9016</v>
      </c>
    </row>
    <row r="1043" spans="1:6" x14ac:dyDescent="0.25">
      <c r="A1043" t="s">
        <v>90</v>
      </c>
      <c r="B1043" t="s">
        <v>1992</v>
      </c>
      <c r="C1043">
        <v>2017</v>
      </c>
      <c r="E1043" t="s">
        <v>3376</v>
      </c>
    </row>
    <row r="1044" spans="1:6" x14ac:dyDescent="0.25">
      <c r="A1044" t="s">
        <v>90</v>
      </c>
      <c r="B1044" t="s">
        <v>1998</v>
      </c>
      <c r="C1044">
        <v>2017</v>
      </c>
    </row>
    <row r="1045" spans="1:6" x14ac:dyDescent="0.25">
      <c r="A1045" t="s">
        <v>90</v>
      </c>
      <c r="B1045" t="s">
        <v>2018</v>
      </c>
      <c r="C1045">
        <v>2017</v>
      </c>
      <c r="E1045" t="s">
        <v>3246</v>
      </c>
    </row>
    <row r="1046" spans="1:6" x14ac:dyDescent="0.25">
      <c r="A1046" t="s">
        <v>90</v>
      </c>
      <c r="B1046" t="s">
        <v>2061</v>
      </c>
      <c r="C1046">
        <v>2017</v>
      </c>
      <c r="E1046" t="s">
        <v>3013</v>
      </c>
    </row>
    <row r="1047" spans="1:6" x14ac:dyDescent="0.25">
      <c r="A1047" t="s">
        <v>90</v>
      </c>
      <c r="B1047" t="s">
        <v>2088</v>
      </c>
      <c r="C1047">
        <v>2017</v>
      </c>
      <c r="E1047" t="s">
        <v>3039</v>
      </c>
      <c r="F1047" t="s">
        <v>9017</v>
      </c>
    </row>
    <row r="1048" spans="1:6" x14ac:dyDescent="0.25">
      <c r="A1048" t="s">
        <v>90</v>
      </c>
      <c r="B1048" t="s">
        <v>2118</v>
      </c>
      <c r="C1048">
        <v>2017</v>
      </c>
      <c r="E1048" t="s">
        <v>3377</v>
      </c>
      <c r="F1048" t="s">
        <v>9018</v>
      </c>
    </row>
    <row r="1049" spans="1:6" x14ac:dyDescent="0.25">
      <c r="A1049" t="s">
        <v>90</v>
      </c>
      <c r="B1049" t="s">
        <v>2122</v>
      </c>
      <c r="C1049">
        <v>2017</v>
      </c>
      <c r="E1049" t="s">
        <v>3378</v>
      </c>
    </row>
    <row r="1050" spans="1:6" x14ac:dyDescent="0.25">
      <c r="A1050" t="s">
        <v>90</v>
      </c>
      <c r="B1050" t="s">
        <v>2158</v>
      </c>
      <c r="C1050">
        <v>2017</v>
      </c>
      <c r="E1050" t="s">
        <v>2983</v>
      </c>
      <c r="F1050" t="s">
        <v>9019</v>
      </c>
    </row>
    <row r="1051" spans="1:6" x14ac:dyDescent="0.25">
      <c r="A1051" t="s">
        <v>90</v>
      </c>
      <c r="B1051" t="s">
        <v>2181</v>
      </c>
      <c r="C1051">
        <v>2017</v>
      </c>
    </row>
    <row r="1052" spans="1:6" x14ac:dyDescent="0.25">
      <c r="A1052" t="s">
        <v>90</v>
      </c>
      <c r="B1052" t="s">
        <v>2187</v>
      </c>
      <c r="C1052">
        <v>2017</v>
      </c>
      <c r="E1052" t="s">
        <v>3017</v>
      </c>
      <c r="F1052" t="s">
        <v>9020</v>
      </c>
    </row>
    <row r="1053" spans="1:6" x14ac:dyDescent="0.25">
      <c r="A1053" t="s">
        <v>90</v>
      </c>
      <c r="B1053" t="s">
        <v>2192</v>
      </c>
      <c r="C1053">
        <v>2017</v>
      </c>
      <c r="E1053" s="10" t="s">
        <v>8384</v>
      </c>
      <c r="F1053" t="s">
        <v>9263</v>
      </c>
    </row>
    <row r="1054" spans="1:6" x14ac:dyDescent="0.25">
      <c r="A1054" t="s">
        <v>90</v>
      </c>
      <c r="B1054" t="s">
        <v>2196</v>
      </c>
      <c r="C1054">
        <v>2017</v>
      </c>
      <c r="E1054" t="s">
        <v>3379</v>
      </c>
      <c r="F1054" t="s">
        <v>9021</v>
      </c>
    </row>
    <row r="1055" spans="1:6" x14ac:dyDescent="0.25">
      <c r="A1055" t="s">
        <v>90</v>
      </c>
      <c r="B1055" t="s">
        <v>2202</v>
      </c>
      <c r="C1055">
        <v>2017</v>
      </c>
      <c r="E1055" t="s">
        <v>3040</v>
      </c>
    </row>
    <row r="1056" spans="1:6" x14ac:dyDescent="0.25">
      <c r="A1056" t="s">
        <v>90</v>
      </c>
      <c r="B1056" t="s">
        <v>2222</v>
      </c>
      <c r="C1056">
        <v>2017</v>
      </c>
      <c r="E1056" t="s">
        <v>3042</v>
      </c>
      <c r="F1056" t="s">
        <v>9022</v>
      </c>
    </row>
    <row r="1057" spans="1:6" x14ac:dyDescent="0.25">
      <c r="A1057" t="s">
        <v>90</v>
      </c>
      <c r="B1057" t="s">
        <v>2236</v>
      </c>
      <c r="C1057">
        <v>2017</v>
      </c>
      <c r="E1057" t="s">
        <v>3044</v>
      </c>
      <c r="F1057" t="s">
        <v>9023</v>
      </c>
    </row>
    <row r="1058" spans="1:6" x14ac:dyDescent="0.25">
      <c r="A1058" t="s">
        <v>90</v>
      </c>
      <c r="B1058" t="s">
        <v>2239</v>
      </c>
      <c r="C1058">
        <v>2017</v>
      </c>
      <c r="E1058" t="s">
        <v>2241</v>
      </c>
      <c r="F1058" t="s">
        <v>9024</v>
      </c>
    </row>
    <row r="1059" spans="1:6" x14ac:dyDescent="0.25">
      <c r="A1059" t="s">
        <v>90</v>
      </c>
      <c r="B1059" t="s">
        <v>2264</v>
      </c>
      <c r="C1059">
        <v>2017</v>
      </c>
      <c r="E1059" t="s">
        <v>3380</v>
      </c>
      <c r="F1059" t="s">
        <v>9025</v>
      </c>
    </row>
    <row r="1060" spans="1:6" x14ac:dyDescent="0.25">
      <c r="A1060" t="s">
        <v>90</v>
      </c>
      <c r="B1060" t="s">
        <v>2279</v>
      </c>
      <c r="C1060">
        <v>2017</v>
      </c>
      <c r="E1060" t="s">
        <v>3106</v>
      </c>
      <c r="F1060" t="s">
        <v>9026</v>
      </c>
    </row>
    <row r="1061" spans="1:6" x14ac:dyDescent="0.25">
      <c r="A1061" t="s">
        <v>90</v>
      </c>
      <c r="B1061" t="s">
        <v>2318</v>
      </c>
      <c r="C1061">
        <v>2017</v>
      </c>
      <c r="E1061" t="s">
        <v>3088</v>
      </c>
      <c r="F1061" t="s">
        <v>9027</v>
      </c>
    </row>
    <row r="1062" spans="1:6" x14ac:dyDescent="0.25">
      <c r="A1062" t="s">
        <v>90</v>
      </c>
      <c r="B1062" t="s">
        <v>7950</v>
      </c>
      <c r="C1062">
        <v>2017</v>
      </c>
      <c r="E1062" s="10" t="s">
        <v>7949</v>
      </c>
    </row>
    <row r="1063" spans="1:6" x14ac:dyDescent="0.25">
      <c r="A1063" t="s">
        <v>90</v>
      </c>
      <c r="B1063" t="s">
        <v>38</v>
      </c>
      <c r="C1063">
        <v>2017</v>
      </c>
      <c r="D1063" t="s">
        <v>187</v>
      </c>
    </row>
    <row r="1064" spans="1:6" x14ac:dyDescent="0.25">
      <c r="A1064" t="s">
        <v>90</v>
      </c>
      <c r="B1064" t="s">
        <v>2361</v>
      </c>
      <c r="C1064">
        <v>2017</v>
      </c>
      <c r="E1064" t="s">
        <v>2982</v>
      </c>
      <c r="F1064" t="s">
        <v>9028</v>
      </c>
    </row>
    <row r="1065" spans="1:6" x14ac:dyDescent="0.25">
      <c r="A1065" t="s">
        <v>90</v>
      </c>
      <c r="B1065" t="s">
        <v>2369</v>
      </c>
      <c r="C1065">
        <v>2017</v>
      </c>
      <c r="E1065" t="s">
        <v>3261</v>
      </c>
      <c r="F1065" t="s">
        <v>9029</v>
      </c>
    </row>
    <row r="1066" spans="1:6" x14ac:dyDescent="0.25">
      <c r="A1066" t="s">
        <v>90</v>
      </c>
      <c r="B1066" t="s">
        <v>2371</v>
      </c>
      <c r="C1066">
        <v>2017</v>
      </c>
      <c r="E1066" t="s">
        <v>3046</v>
      </c>
      <c r="F1066" t="s">
        <v>9030</v>
      </c>
    </row>
    <row r="1067" spans="1:6" x14ac:dyDescent="0.25">
      <c r="A1067" t="s">
        <v>90</v>
      </c>
      <c r="B1067" t="s">
        <v>2416</v>
      </c>
      <c r="C1067">
        <v>2017</v>
      </c>
      <c r="E1067" t="s">
        <v>2982</v>
      </c>
    </row>
    <row r="1068" spans="1:6" x14ac:dyDescent="0.25">
      <c r="A1068" t="s">
        <v>90</v>
      </c>
      <c r="B1068" t="s">
        <v>2431</v>
      </c>
      <c r="C1068">
        <v>2017</v>
      </c>
      <c r="E1068" t="s">
        <v>2982</v>
      </c>
      <c r="F1068" t="s">
        <v>9031</v>
      </c>
    </row>
    <row r="1069" spans="1:6" x14ac:dyDescent="0.25">
      <c r="A1069" t="s">
        <v>90</v>
      </c>
      <c r="B1069" t="s">
        <v>2439</v>
      </c>
      <c r="C1069">
        <v>2017</v>
      </c>
      <c r="E1069" t="s">
        <v>2982</v>
      </c>
      <c r="F1069" t="s">
        <v>9032</v>
      </c>
    </row>
    <row r="1070" spans="1:6" x14ac:dyDescent="0.25">
      <c r="A1070" t="s">
        <v>90</v>
      </c>
      <c r="B1070" t="s">
        <v>8342</v>
      </c>
      <c r="C1070">
        <v>2017</v>
      </c>
      <c r="E1070" s="10" t="s">
        <v>8352</v>
      </c>
    </row>
    <row r="1071" spans="1:6" x14ac:dyDescent="0.25">
      <c r="A1071" t="s">
        <v>90</v>
      </c>
      <c r="B1071" t="s">
        <v>2471</v>
      </c>
      <c r="C1071">
        <v>2017</v>
      </c>
      <c r="E1071" s="10" t="s">
        <v>3381</v>
      </c>
      <c r="F1071" t="s">
        <v>9033</v>
      </c>
    </row>
    <row r="1072" spans="1:6" x14ac:dyDescent="0.25">
      <c r="A1072" t="s">
        <v>90</v>
      </c>
      <c r="B1072" t="s">
        <v>2510</v>
      </c>
      <c r="C1072">
        <v>2017</v>
      </c>
      <c r="E1072" s="10" t="s">
        <v>8399</v>
      </c>
      <c r="F1072" t="s">
        <v>9279</v>
      </c>
    </row>
    <row r="1073" spans="1:6" x14ac:dyDescent="0.25">
      <c r="A1073" t="s">
        <v>90</v>
      </c>
      <c r="B1073" t="s">
        <v>2560</v>
      </c>
      <c r="C1073">
        <v>2017</v>
      </c>
      <c r="E1073" t="s">
        <v>3382</v>
      </c>
      <c r="F1073" t="s">
        <v>9034</v>
      </c>
    </row>
    <row r="1074" spans="1:6" x14ac:dyDescent="0.25">
      <c r="A1074" t="s">
        <v>90</v>
      </c>
      <c r="B1074" t="s">
        <v>2563</v>
      </c>
      <c r="C1074">
        <v>2017</v>
      </c>
      <c r="E1074" t="s">
        <v>3383</v>
      </c>
      <c r="F1074" t="s">
        <v>9035</v>
      </c>
    </row>
    <row r="1075" spans="1:6" x14ac:dyDescent="0.25">
      <c r="A1075" t="s">
        <v>90</v>
      </c>
      <c r="B1075" t="s">
        <v>2575</v>
      </c>
      <c r="C1075">
        <v>2017</v>
      </c>
      <c r="E1075" t="s">
        <v>3384</v>
      </c>
      <c r="F1075" t="s">
        <v>9036</v>
      </c>
    </row>
    <row r="1076" spans="1:6" x14ac:dyDescent="0.25">
      <c r="A1076" t="s">
        <v>90</v>
      </c>
      <c r="B1076" t="s">
        <v>2590</v>
      </c>
      <c r="C1076">
        <v>2017</v>
      </c>
      <c r="E1076" t="s">
        <v>3239</v>
      </c>
      <c r="F1076" t="s">
        <v>9037</v>
      </c>
    </row>
    <row r="1077" spans="1:6" x14ac:dyDescent="0.25">
      <c r="A1077" t="s">
        <v>90</v>
      </c>
      <c r="B1077" t="s">
        <v>2643</v>
      </c>
      <c r="C1077">
        <v>2017</v>
      </c>
      <c r="E1077" t="s">
        <v>3385</v>
      </c>
      <c r="F1077" t="s">
        <v>9038</v>
      </c>
    </row>
    <row r="1078" spans="1:6" x14ac:dyDescent="0.25">
      <c r="A1078" t="s">
        <v>90</v>
      </c>
      <c r="B1078" t="s">
        <v>2648</v>
      </c>
      <c r="C1078">
        <v>2017</v>
      </c>
      <c r="E1078" t="s">
        <v>3055</v>
      </c>
      <c r="F1078" t="s">
        <v>9039</v>
      </c>
    </row>
    <row r="1079" spans="1:6" x14ac:dyDescent="0.25">
      <c r="A1079" t="s">
        <v>90</v>
      </c>
      <c r="B1079" t="s">
        <v>2659</v>
      </c>
      <c r="C1079">
        <v>2017</v>
      </c>
      <c r="E1079" t="s">
        <v>3255</v>
      </c>
      <c r="F1079" t="s">
        <v>9040</v>
      </c>
    </row>
    <row r="1080" spans="1:6" x14ac:dyDescent="0.25">
      <c r="A1080" t="s">
        <v>90</v>
      </c>
      <c r="B1080" t="s">
        <v>2667</v>
      </c>
      <c r="C1080">
        <v>2017</v>
      </c>
      <c r="E1080" t="s">
        <v>2985</v>
      </c>
      <c r="F1080" t="s">
        <v>9041</v>
      </c>
    </row>
    <row r="1081" spans="1:6" x14ac:dyDescent="0.25">
      <c r="A1081" t="s">
        <v>90</v>
      </c>
      <c r="B1081" t="s">
        <v>2671</v>
      </c>
      <c r="C1081">
        <v>2017</v>
      </c>
      <c r="E1081" t="s">
        <v>2982</v>
      </c>
      <c r="F1081" t="s">
        <v>9042</v>
      </c>
    </row>
    <row r="1082" spans="1:6" x14ac:dyDescent="0.25">
      <c r="A1082" t="s">
        <v>90</v>
      </c>
      <c r="B1082" t="s">
        <v>2686</v>
      </c>
      <c r="C1082">
        <v>2017</v>
      </c>
      <c r="E1082" t="s">
        <v>2982</v>
      </c>
      <c r="F1082" t="s">
        <v>9043</v>
      </c>
    </row>
    <row r="1083" spans="1:6" x14ac:dyDescent="0.25">
      <c r="A1083" t="s">
        <v>90</v>
      </c>
      <c r="B1083" t="s">
        <v>7967</v>
      </c>
      <c r="C1083">
        <v>2017</v>
      </c>
      <c r="E1083" s="10" t="s">
        <v>7966</v>
      </c>
      <c r="F1083" t="s">
        <v>9044</v>
      </c>
    </row>
    <row r="1084" spans="1:6" x14ac:dyDescent="0.25">
      <c r="A1084" t="s">
        <v>90</v>
      </c>
      <c r="B1084" t="s">
        <v>2734</v>
      </c>
      <c r="C1084">
        <v>2017</v>
      </c>
      <c r="E1084" t="s">
        <v>3386</v>
      </c>
    </row>
    <row r="1085" spans="1:6" x14ac:dyDescent="0.25">
      <c r="A1085" t="s">
        <v>90</v>
      </c>
      <c r="B1085" t="s">
        <v>2738</v>
      </c>
      <c r="C1085">
        <v>2017</v>
      </c>
      <c r="E1085" t="s">
        <v>2982</v>
      </c>
      <c r="F1085" t="s">
        <v>9045</v>
      </c>
    </row>
    <row r="1086" spans="1:6" x14ac:dyDescent="0.25">
      <c r="A1086" t="s">
        <v>90</v>
      </c>
      <c r="B1086" t="s">
        <v>2751</v>
      </c>
      <c r="C1086">
        <v>2017</v>
      </c>
      <c r="E1086" t="s">
        <v>2982</v>
      </c>
      <c r="F1086" t="s">
        <v>9046</v>
      </c>
    </row>
    <row r="1087" spans="1:6" x14ac:dyDescent="0.25">
      <c r="A1087" t="s">
        <v>90</v>
      </c>
      <c r="B1087" t="s">
        <v>2782</v>
      </c>
      <c r="C1087">
        <v>2017</v>
      </c>
      <c r="E1087" t="s">
        <v>3125</v>
      </c>
    </row>
    <row r="1088" spans="1:6" x14ac:dyDescent="0.25">
      <c r="A1088" t="s">
        <v>90</v>
      </c>
      <c r="B1088" t="s">
        <v>2808</v>
      </c>
      <c r="C1088">
        <v>2017</v>
      </c>
      <c r="E1088" t="s">
        <v>3387</v>
      </c>
    </row>
    <row r="1089" spans="1:6" x14ac:dyDescent="0.25">
      <c r="A1089" t="s">
        <v>90</v>
      </c>
      <c r="B1089" t="s">
        <v>2818</v>
      </c>
      <c r="C1089">
        <v>2017</v>
      </c>
      <c r="E1089" t="s">
        <v>3156</v>
      </c>
    </row>
    <row r="1090" spans="1:6" x14ac:dyDescent="0.25">
      <c r="A1090" t="s">
        <v>90</v>
      </c>
      <c r="B1090" t="s">
        <v>2822</v>
      </c>
      <c r="C1090">
        <v>2017</v>
      </c>
      <c r="E1090" t="s">
        <v>2982</v>
      </c>
      <c r="F1090" t="s">
        <v>9047</v>
      </c>
    </row>
    <row r="1091" spans="1:6" x14ac:dyDescent="0.25">
      <c r="A1091" t="s">
        <v>90</v>
      </c>
      <c r="B1091" t="s">
        <v>2856</v>
      </c>
      <c r="C1091">
        <v>2017</v>
      </c>
      <c r="E1091" t="s">
        <v>3388</v>
      </c>
      <c r="F1091" t="s">
        <v>9048</v>
      </c>
    </row>
    <row r="1092" spans="1:6" x14ac:dyDescent="0.25">
      <c r="A1092" t="s">
        <v>90</v>
      </c>
      <c r="B1092" t="s">
        <v>2890</v>
      </c>
      <c r="C1092">
        <v>2017</v>
      </c>
      <c r="E1092" t="s">
        <v>3076</v>
      </c>
      <c r="F1092" t="s">
        <v>9049</v>
      </c>
    </row>
    <row r="1093" spans="1:6" x14ac:dyDescent="0.25">
      <c r="A1093" t="s">
        <v>90</v>
      </c>
      <c r="B1093" t="s">
        <v>2896</v>
      </c>
      <c r="C1093">
        <v>2017</v>
      </c>
      <c r="E1093" t="s">
        <v>3389</v>
      </c>
    </row>
    <row r="1094" spans="1:6" x14ac:dyDescent="0.25">
      <c r="A1094" t="s">
        <v>90</v>
      </c>
      <c r="B1094" t="s">
        <v>2904</v>
      </c>
      <c r="C1094">
        <v>2017</v>
      </c>
      <c r="E1094" t="s">
        <v>3390</v>
      </c>
      <c r="F1094" t="s">
        <v>9050</v>
      </c>
    </row>
    <row r="1095" spans="1:6" x14ac:dyDescent="0.25">
      <c r="A1095" t="s">
        <v>90</v>
      </c>
      <c r="B1095" t="s">
        <v>2924</v>
      </c>
      <c r="C1095">
        <v>2017</v>
      </c>
      <c r="E1095" t="s">
        <v>3391</v>
      </c>
      <c r="F1095" t="s">
        <v>9051</v>
      </c>
    </row>
    <row r="1096" spans="1:6" x14ac:dyDescent="0.25">
      <c r="A1096" t="s">
        <v>90</v>
      </c>
      <c r="B1096" t="s">
        <v>2937</v>
      </c>
      <c r="C1096">
        <v>2017</v>
      </c>
      <c r="E1096" t="s">
        <v>3013</v>
      </c>
    </row>
    <row r="1097" spans="1:6" x14ac:dyDescent="0.25">
      <c r="A1097" t="s">
        <v>90</v>
      </c>
      <c r="B1097" t="s">
        <v>2950</v>
      </c>
      <c r="C1097">
        <v>2017</v>
      </c>
      <c r="E1097" t="s">
        <v>2982</v>
      </c>
      <c r="F1097" t="s">
        <v>9052</v>
      </c>
    </row>
    <row r="1098" spans="1:6" x14ac:dyDescent="0.25">
      <c r="A1098" t="s">
        <v>90</v>
      </c>
      <c r="B1098" t="s">
        <v>2965</v>
      </c>
      <c r="C1098">
        <v>2017</v>
      </c>
      <c r="E1098" t="s">
        <v>3218</v>
      </c>
      <c r="F1098" t="s">
        <v>9053</v>
      </c>
    </row>
    <row r="1099" spans="1:6" x14ac:dyDescent="0.25">
      <c r="A1099" t="s">
        <v>2361</v>
      </c>
      <c r="B1099" t="s">
        <v>543</v>
      </c>
      <c r="C1099">
        <v>2018</v>
      </c>
      <c r="E1099" t="s">
        <v>3021</v>
      </c>
      <c r="F1099" t="s">
        <v>9054</v>
      </c>
    </row>
    <row r="1100" spans="1:6" x14ac:dyDescent="0.25">
      <c r="A1100" t="s">
        <v>2361</v>
      </c>
      <c r="B1100" t="s">
        <v>1574</v>
      </c>
      <c r="C1100">
        <v>2018</v>
      </c>
      <c r="E1100" t="s">
        <v>2982</v>
      </c>
      <c r="F1100" t="s">
        <v>9055</v>
      </c>
    </row>
    <row r="1101" spans="1:6" x14ac:dyDescent="0.25">
      <c r="A1101" t="s">
        <v>2361</v>
      </c>
      <c r="B1101" t="s">
        <v>7839</v>
      </c>
      <c r="C1101">
        <v>2018</v>
      </c>
      <c r="E1101" s="10" t="s">
        <v>8380</v>
      </c>
      <c r="F1101" t="s">
        <v>9255</v>
      </c>
    </row>
    <row r="1102" spans="1:6" x14ac:dyDescent="0.25">
      <c r="A1102" t="s">
        <v>2365</v>
      </c>
      <c r="B1102" t="s">
        <v>2339</v>
      </c>
      <c r="C1102">
        <v>2023</v>
      </c>
      <c r="E1102" t="s">
        <v>2982</v>
      </c>
      <c r="F1102" t="s">
        <v>9056</v>
      </c>
    </row>
    <row r="1103" spans="1:6" x14ac:dyDescent="0.25">
      <c r="A1103" t="s">
        <v>2365</v>
      </c>
      <c r="B1103" t="s">
        <v>8390</v>
      </c>
      <c r="C1103">
        <v>2023</v>
      </c>
      <c r="D1103" t="s">
        <v>187</v>
      </c>
    </row>
    <row r="1104" spans="1:6" x14ac:dyDescent="0.25">
      <c r="A1104" t="s">
        <v>2377</v>
      </c>
      <c r="B1104" t="s">
        <v>563</v>
      </c>
      <c r="C1104">
        <v>2021</v>
      </c>
      <c r="E1104" t="s">
        <v>566</v>
      </c>
      <c r="F1104" t="s">
        <v>9057</v>
      </c>
    </row>
    <row r="1105" spans="1:6" x14ac:dyDescent="0.25">
      <c r="A1105" t="s">
        <v>2377</v>
      </c>
      <c r="B1105" t="s">
        <v>1100</v>
      </c>
      <c r="C1105">
        <v>2021</v>
      </c>
      <c r="E1105" t="s">
        <v>3013</v>
      </c>
    </row>
    <row r="1106" spans="1:6" x14ac:dyDescent="0.25">
      <c r="A1106" t="s">
        <v>2377</v>
      </c>
      <c r="B1106" t="s">
        <v>1471</v>
      </c>
      <c r="C1106">
        <v>2021</v>
      </c>
      <c r="E1106" t="s">
        <v>3013</v>
      </c>
    </row>
    <row r="1107" spans="1:6" x14ac:dyDescent="0.25">
      <c r="A1107" t="s">
        <v>2377</v>
      </c>
      <c r="B1107" t="s">
        <v>1541</v>
      </c>
      <c r="C1107">
        <v>2021</v>
      </c>
      <c r="E1107" t="s">
        <v>3158</v>
      </c>
      <c r="F1107" t="s">
        <v>9058</v>
      </c>
    </row>
    <row r="1108" spans="1:6" x14ac:dyDescent="0.25">
      <c r="A1108" t="s">
        <v>2377</v>
      </c>
      <c r="B1108" t="s">
        <v>1811</v>
      </c>
      <c r="C1108">
        <v>2021</v>
      </c>
      <c r="E1108" t="s">
        <v>2982</v>
      </c>
      <c r="F1108" t="s">
        <v>9059</v>
      </c>
    </row>
    <row r="1109" spans="1:6" x14ac:dyDescent="0.25">
      <c r="A1109" t="s">
        <v>2377</v>
      </c>
      <c r="B1109" t="s">
        <v>8128</v>
      </c>
      <c r="C1109">
        <v>2021</v>
      </c>
      <c r="E1109" s="10" t="s">
        <v>8136</v>
      </c>
      <c r="F1109" t="s">
        <v>9060</v>
      </c>
    </row>
    <row r="1110" spans="1:6" x14ac:dyDescent="0.25">
      <c r="A1110" t="s">
        <v>2377</v>
      </c>
      <c r="B1110" t="s">
        <v>2455</v>
      </c>
      <c r="C1110">
        <v>2021</v>
      </c>
      <c r="E1110" t="s">
        <v>2982</v>
      </c>
      <c r="F1110" t="s">
        <v>9061</v>
      </c>
    </row>
    <row r="1111" spans="1:6" x14ac:dyDescent="0.25">
      <c r="A1111" t="s">
        <v>2393</v>
      </c>
      <c r="B1111" t="s">
        <v>2395</v>
      </c>
      <c r="C1111">
        <v>2022</v>
      </c>
      <c r="D1111" t="s">
        <v>187</v>
      </c>
    </row>
    <row r="1112" spans="1:6" x14ac:dyDescent="0.25">
      <c r="A1112" t="s">
        <v>2397</v>
      </c>
      <c r="B1112" t="s">
        <v>2365</v>
      </c>
      <c r="C1112">
        <v>2022</v>
      </c>
      <c r="E1112" s="10" t="s">
        <v>2368</v>
      </c>
      <c r="F1112" t="s">
        <v>9317</v>
      </c>
    </row>
    <row r="1113" spans="1:6" x14ac:dyDescent="0.25">
      <c r="A1113" t="s">
        <v>2397</v>
      </c>
      <c r="B1113" t="s">
        <v>2463</v>
      </c>
      <c r="C1113">
        <v>2022</v>
      </c>
      <c r="E1113" s="10" t="s">
        <v>2466</v>
      </c>
      <c r="F1113" t="s">
        <v>9266</v>
      </c>
    </row>
    <row r="1114" spans="1:6" x14ac:dyDescent="0.25">
      <c r="A1114" t="s">
        <v>2397</v>
      </c>
      <c r="B1114" t="s">
        <v>2800</v>
      </c>
      <c r="C1114">
        <v>2022</v>
      </c>
      <c r="E1114" s="10" t="s">
        <v>8419</v>
      </c>
    </row>
    <row r="1115" spans="1:6" x14ac:dyDescent="0.25">
      <c r="A1115" t="s">
        <v>2403</v>
      </c>
      <c r="B1115" t="s">
        <v>497</v>
      </c>
      <c r="C1115">
        <v>2019</v>
      </c>
      <c r="D1115" t="s">
        <v>187</v>
      </c>
    </row>
    <row r="1116" spans="1:6" x14ac:dyDescent="0.25">
      <c r="A1116" t="s">
        <v>2410</v>
      </c>
      <c r="B1116" t="s">
        <v>2463</v>
      </c>
      <c r="C1116">
        <v>2022</v>
      </c>
      <c r="E1116" s="10" t="s">
        <v>2466</v>
      </c>
      <c r="F1116" t="s">
        <v>9269</v>
      </c>
    </row>
    <row r="1117" spans="1:6" x14ac:dyDescent="0.25">
      <c r="A1117" t="s">
        <v>2420</v>
      </c>
      <c r="B1117" t="s">
        <v>2424</v>
      </c>
      <c r="C1117">
        <v>2012</v>
      </c>
      <c r="D1117" t="s">
        <v>187</v>
      </c>
    </row>
    <row r="1118" spans="1:6" x14ac:dyDescent="0.25">
      <c r="A1118" t="s">
        <v>2428</v>
      </c>
      <c r="B1118" t="s">
        <v>213</v>
      </c>
      <c r="C1118">
        <v>2008</v>
      </c>
      <c r="E1118" t="s">
        <v>3392</v>
      </c>
    </row>
    <row r="1119" spans="1:6" x14ac:dyDescent="0.25">
      <c r="A1119" t="s">
        <v>2428</v>
      </c>
      <c r="B1119" t="s">
        <v>375</v>
      </c>
      <c r="C1119">
        <v>2008</v>
      </c>
      <c r="E1119" t="s">
        <v>3277</v>
      </c>
      <c r="F1119" t="s">
        <v>9062</v>
      </c>
    </row>
    <row r="1120" spans="1:6" x14ac:dyDescent="0.25">
      <c r="A1120" t="s">
        <v>2428</v>
      </c>
      <c r="B1120" t="s">
        <v>431</v>
      </c>
      <c r="C1120">
        <v>2008</v>
      </c>
      <c r="E1120" t="s">
        <v>2982</v>
      </c>
      <c r="F1120" t="s">
        <v>9063</v>
      </c>
    </row>
    <row r="1121" spans="1:6" x14ac:dyDescent="0.25">
      <c r="A1121" t="s">
        <v>2428</v>
      </c>
      <c r="B1121" t="s">
        <v>540</v>
      </c>
      <c r="C1121">
        <v>2008</v>
      </c>
      <c r="E1121" t="s">
        <v>3256</v>
      </c>
      <c r="F1121" t="s">
        <v>9064</v>
      </c>
    </row>
    <row r="1122" spans="1:6" x14ac:dyDescent="0.25">
      <c r="A1122" t="s">
        <v>2428</v>
      </c>
      <c r="B1122" t="s">
        <v>549</v>
      </c>
      <c r="C1122">
        <v>2008</v>
      </c>
      <c r="E1122" t="s">
        <v>3393</v>
      </c>
      <c r="F1122" t="s">
        <v>9065</v>
      </c>
    </row>
    <row r="1123" spans="1:6" x14ac:dyDescent="0.25">
      <c r="A1123" t="s">
        <v>2428</v>
      </c>
      <c r="B1123" t="s">
        <v>604</v>
      </c>
      <c r="C1123">
        <v>2008</v>
      </c>
      <c r="E1123" t="s">
        <v>3145</v>
      </c>
      <c r="F1123" t="s">
        <v>9066</v>
      </c>
    </row>
    <row r="1124" spans="1:6" x14ac:dyDescent="0.25">
      <c r="A1124" t="s">
        <v>2428</v>
      </c>
      <c r="B1124" t="s">
        <v>625</v>
      </c>
      <c r="C1124">
        <v>2008</v>
      </c>
      <c r="E1124" t="s">
        <v>3394</v>
      </c>
      <c r="F1124" t="s">
        <v>9067</v>
      </c>
    </row>
    <row r="1125" spans="1:6" x14ac:dyDescent="0.25">
      <c r="A1125" t="s">
        <v>2428</v>
      </c>
      <c r="B1125" t="s">
        <v>651</v>
      </c>
      <c r="C1125">
        <v>2008</v>
      </c>
      <c r="E1125" s="10" t="s">
        <v>8330</v>
      </c>
    </row>
    <row r="1126" spans="1:6" x14ac:dyDescent="0.25">
      <c r="A1126" t="s">
        <v>2428</v>
      </c>
      <c r="B1126" t="s">
        <v>689</v>
      </c>
      <c r="C1126">
        <v>2008</v>
      </c>
      <c r="E1126" t="s">
        <v>3324</v>
      </c>
    </row>
    <row r="1127" spans="1:6" x14ac:dyDescent="0.25">
      <c r="A1127" t="s">
        <v>2428</v>
      </c>
      <c r="B1127" t="s">
        <v>865</v>
      </c>
      <c r="C1127">
        <v>2008</v>
      </c>
      <c r="E1127" t="s">
        <v>3203</v>
      </c>
      <c r="F1127" t="s">
        <v>9068</v>
      </c>
    </row>
    <row r="1128" spans="1:6" x14ac:dyDescent="0.25">
      <c r="A1128" t="s">
        <v>2428</v>
      </c>
      <c r="B1128" t="s">
        <v>930</v>
      </c>
      <c r="C1128">
        <v>2008</v>
      </c>
      <c r="E1128" t="s">
        <v>3395</v>
      </c>
      <c r="F1128" t="s">
        <v>9069</v>
      </c>
    </row>
    <row r="1129" spans="1:6" x14ac:dyDescent="0.25">
      <c r="A1129" t="s">
        <v>2428</v>
      </c>
      <c r="B1129" t="s">
        <v>1002</v>
      </c>
      <c r="C1129">
        <v>2008</v>
      </c>
      <c r="E1129" t="s">
        <v>3117</v>
      </c>
    </row>
    <row r="1130" spans="1:6" x14ac:dyDescent="0.25">
      <c r="A1130" t="s">
        <v>2428</v>
      </c>
      <c r="B1130" t="s">
        <v>1014</v>
      </c>
      <c r="C1130">
        <v>2008</v>
      </c>
      <c r="E1130" t="s">
        <v>3396</v>
      </c>
      <c r="F1130" t="s">
        <v>9070</v>
      </c>
    </row>
    <row r="1131" spans="1:6" x14ac:dyDescent="0.25">
      <c r="A1131" t="s">
        <v>2428</v>
      </c>
      <c r="B1131" t="s">
        <v>1046</v>
      </c>
      <c r="C1131">
        <v>2008</v>
      </c>
      <c r="E1131" t="s">
        <v>3301</v>
      </c>
      <c r="F1131" t="s">
        <v>9071</v>
      </c>
    </row>
    <row r="1132" spans="1:6" x14ac:dyDescent="0.25">
      <c r="A1132" t="s">
        <v>2428</v>
      </c>
      <c r="B1132" t="s">
        <v>1085</v>
      </c>
      <c r="C1132">
        <v>2008</v>
      </c>
      <c r="E1132" t="s">
        <v>1088</v>
      </c>
      <c r="F1132" t="s">
        <v>9072</v>
      </c>
    </row>
    <row r="1133" spans="1:6" x14ac:dyDescent="0.25">
      <c r="A1133" t="s">
        <v>2428</v>
      </c>
      <c r="B1133" t="s">
        <v>1104</v>
      </c>
      <c r="C1133">
        <v>2008</v>
      </c>
      <c r="E1133" t="s">
        <v>3335</v>
      </c>
      <c r="F1133" t="s">
        <v>9073</v>
      </c>
    </row>
    <row r="1134" spans="1:6" x14ac:dyDescent="0.25">
      <c r="A1134" t="s">
        <v>2428</v>
      </c>
      <c r="B1134" t="s">
        <v>1144</v>
      </c>
      <c r="C1134">
        <v>2008</v>
      </c>
      <c r="E1134" t="s">
        <v>3397</v>
      </c>
    </row>
    <row r="1135" spans="1:6" x14ac:dyDescent="0.25">
      <c r="A1135" t="s">
        <v>2428</v>
      </c>
      <c r="B1135" t="s">
        <v>1219</v>
      </c>
      <c r="C1135">
        <v>2008</v>
      </c>
      <c r="E1135" t="s">
        <v>2982</v>
      </c>
      <c r="F1135" t="s">
        <v>9074</v>
      </c>
    </row>
    <row r="1136" spans="1:6" x14ac:dyDescent="0.25">
      <c r="A1136" t="s">
        <v>2428</v>
      </c>
      <c r="B1136" t="s">
        <v>1235</v>
      </c>
      <c r="C1136">
        <v>2008</v>
      </c>
      <c r="E1136" t="s">
        <v>3302</v>
      </c>
      <c r="F1136" t="s">
        <v>9075</v>
      </c>
    </row>
    <row r="1137" spans="1:6" x14ac:dyDescent="0.25">
      <c r="A1137" t="s">
        <v>2428</v>
      </c>
      <c r="B1137" t="s">
        <v>1265</v>
      </c>
      <c r="C1137">
        <v>2008</v>
      </c>
      <c r="E1137" s="10" t="s">
        <v>8408</v>
      </c>
      <c r="F1137" t="s">
        <v>9282</v>
      </c>
    </row>
    <row r="1138" spans="1:6" x14ac:dyDescent="0.25">
      <c r="A1138" t="s">
        <v>2428</v>
      </c>
      <c r="B1138" t="s">
        <v>1294</v>
      </c>
      <c r="C1138">
        <v>2008</v>
      </c>
      <c r="E1138" s="10" t="s">
        <v>8368</v>
      </c>
      <c r="F1138" t="s">
        <v>9234</v>
      </c>
    </row>
    <row r="1139" spans="1:6" x14ac:dyDescent="0.25">
      <c r="A1139" t="s">
        <v>2428</v>
      </c>
      <c r="B1139" t="s">
        <v>1340</v>
      </c>
      <c r="C1139">
        <v>2008</v>
      </c>
      <c r="E1139" s="10" t="s">
        <v>8433</v>
      </c>
      <c r="F1139" t="s">
        <v>9309</v>
      </c>
    </row>
    <row r="1140" spans="1:6" x14ac:dyDescent="0.25">
      <c r="A1140" t="s">
        <v>2428</v>
      </c>
      <c r="B1140" t="s">
        <v>1413</v>
      </c>
      <c r="C1140">
        <v>2008</v>
      </c>
      <c r="E1140" s="10" t="s">
        <v>8417</v>
      </c>
      <c r="F1140" t="s">
        <v>9296</v>
      </c>
    </row>
    <row r="1141" spans="1:6" x14ac:dyDescent="0.25">
      <c r="A1141" t="s">
        <v>2428</v>
      </c>
      <c r="B1141" t="s">
        <v>1553</v>
      </c>
      <c r="C1141">
        <v>2008</v>
      </c>
      <c r="E1141" t="s">
        <v>3159</v>
      </c>
    </row>
    <row r="1142" spans="1:6" x14ac:dyDescent="0.25">
      <c r="A1142" t="s">
        <v>2428</v>
      </c>
      <c r="B1142" t="s">
        <v>1602</v>
      </c>
      <c r="C1142">
        <v>2008</v>
      </c>
      <c r="E1142" t="s">
        <v>3398</v>
      </c>
      <c r="F1142" t="s">
        <v>9076</v>
      </c>
    </row>
    <row r="1143" spans="1:6" x14ac:dyDescent="0.25">
      <c r="A1143" t="s">
        <v>2428</v>
      </c>
      <c r="B1143" t="s">
        <v>1700</v>
      </c>
      <c r="C1143">
        <v>2008</v>
      </c>
      <c r="E1143" t="s">
        <v>3208</v>
      </c>
    </row>
    <row r="1144" spans="1:6" x14ac:dyDescent="0.25">
      <c r="A1144" t="s">
        <v>2428</v>
      </c>
      <c r="B1144" t="s">
        <v>1748</v>
      </c>
      <c r="C1144">
        <v>2008</v>
      </c>
      <c r="E1144" t="s">
        <v>3399</v>
      </c>
      <c r="F1144" t="s">
        <v>9077</v>
      </c>
    </row>
    <row r="1145" spans="1:6" x14ac:dyDescent="0.25">
      <c r="A1145" t="s">
        <v>2428</v>
      </c>
      <c r="B1145" t="s">
        <v>1817</v>
      </c>
      <c r="C1145">
        <v>2008</v>
      </c>
      <c r="E1145" t="s">
        <v>2982</v>
      </c>
      <c r="F1145" t="s">
        <v>9078</v>
      </c>
    </row>
    <row r="1146" spans="1:6" x14ac:dyDescent="0.25">
      <c r="A1146" t="s">
        <v>2428</v>
      </c>
      <c r="B1146" t="s">
        <v>1855</v>
      </c>
      <c r="C1146">
        <v>2008</v>
      </c>
      <c r="E1146" s="10" t="s">
        <v>8418</v>
      </c>
      <c r="F1146" t="s">
        <v>9298</v>
      </c>
    </row>
    <row r="1147" spans="1:6" x14ac:dyDescent="0.25">
      <c r="A1147" t="s">
        <v>2428</v>
      </c>
      <c r="B1147" t="s">
        <v>2073</v>
      </c>
      <c r="C1147">
        <v>2008</v>
      </c>
      <c r="E1147" s="10" t="s">
        <v>8409</v>
      </c>
      <c r="F1147" t="s">
        <v>9283</v>
      </c>
    </row>
    <row r="1148" spans="1:6" x14ac:dyDescent="0.25">
      <c r="A1148" t="s">
        <v>2428</v>
      </c>
      <c r="B1148" t="s">
        <v>2077</v>
      </c>
      <c r="C1148">
        <v>2008</v>
      </c>
      <c r="E1148" t="s">
        <v>3329</v>
      </c>
    </row>
    <row r="1149" spans="1:6" x14ac:dyDescent="0.25">
      <c r="A1149" t="s">
        <v>2428</v>
      </c>
      <c r="B1149" t="s">
        <v>2173</v>
      </c>
      <c r="C1149">
        <v>2008</v>
      </c>
      <c r="E1149" t="s">
        <v>3400</v>
      </c>
      <c r="F1149" t="s">
        <v>9079</v>
      </c>
    </row>
    <row r="1150" spans="1:6" x14ac:dyDescent="0.25">
      <c r="A1150" t="s">
        <v>2428</v>
      </c>
      <c r="B1150" t="s">
        <v>2328</v>
      </c>
      <c r="C1150">
        <v>2008</v>
      </c>
      <c r="E1150" t="s">
        <v>3161</v>
      </c>
    </row>
    <row r="1151" spans="1:6" x14ac:dyDescent="0.25">
      <c r="A1151" t="s">
        <v>2428</v>
      </c>
      <c r="B1151" t="s">
        <v>2341</v>
      </c>
      <c r="C1151">
        <v>2008</v>
      </c>
      <c r="E1151" t="s">
        <v>2982</v>
      </c>
      <c r="F1151" t="s">
        <v>9080</v>
      </c>
    </row>
    <row r="1152" spans="1:6" x14ac:dyDescent="0.25">
      <c r="A1152" t="s">
        <v>2428</v>
      </c>
      <c r="B1152" t="s">
        <v>2420</v>
      </c>
      <c r="C1152">
        <v>2008</v>
      </c>
      <c r="D1152" t="s">
        <v>187</v>
      </c>
    </row>
    <row r="1153" spans="1:6" x14ac:dyDescent="0.25">
      <c r="A1153" t="s">
        <v>2428</v>
      </c>
      <c r="B1153" t="s">
        <v>2443</v>
      </c>
      <c r="C1153">
        <v>2008</v>
      </c>
      <c r="E1153" t="s">
        <v>2446</v>
      </c>
      <c r="F1153" t="s">
        <v>9081</v>
      </c>
    </row>
    <row r="1154" spans="1:6" x14ac:dyDescent="0.25">
      <c r="A1154" t="s">
        <v>2428</v>
      </c>
      <c r="B1154" t="s">
        <v>2485</v>
      </c>
      <c r="C1154">
        <v>2008</v>
      </c>
      <c r="E1154" t="s">
        <v>3401</v>
      </c>
    </row>
    <row r="1155" spans="1:6" x14ac:dyDescent="0.25">
      <c r="A1155" t="s">
        <v>2428</v>
      </c>
      <c r="B1155" t="s">
        <v>2492</v>
      </c>
      <c r="C1155">
        <v>2008</v>
      </c>
      <c r="E1155" t="s">
        <v>3402</v>
      </c>
      <c r="F1155" t="s">
        <v>9082</v>
      </c>
    </row>
    <row r="1156" spans="1:6" x14ac:dyDescent="0.25">
      <c r="A1156" t="s">
        <v>2428</v>
      </c>
      <c r="B1156" t="s">
        <v>2530</v>
      </c>
      <c r="C1156">
        <v>2008</v>
      </c>
      <c r="E1156" t="s">
        <v>3216</v>
      </c>
      <c r="F1156" t="s">
        <v>9083</v>
      </c>
    </row>
    <row r="1157" spans="1:6" x14ac:dyDescent="0.25">
      <c r="A1157" t="s">
        <v>2428</v>
      </c>
      <c r="B1157" t="s">
        <v>160</v>
      </c>
      <c r="C1157">
        <v>2008</v>
      </c>
      <c r="E1157" t="s">
        <v>3130</v>
      </c>
    </row>
    <row r="1158" spans="1:6" x14ac:dyDescent="0.25">
      <c r="A1158" t="s">
        <v>2428</v>
      </c>
      <c r="B1158" t="s">
        <v>2760</v>
      </c>
      <c r="C1158">
        <v>2008</v>
      </c>
      <c r="E1158" t="s">
        <v>3163</v>
      </c>
    </row>
    <row r="1159" spans="1:6" x14ac:dyDescent="0.25">
      <c r="A1159" t="s">
        <v>2428</v>
      </c>
      <c r="B1159" t="s">
        <v>2796</v>
      </c>
      <c r="C1159">
        <v>2018</v>
      </c>
      <c r="E1159" t="s">
        <v>3169</v>
      </c>
      <c r="F1159" t="s">
        <v>9084</v>
      </c>
    </row>
    <row r="1160" spans="1:6" x14ac:dyDescent="0.25">
      <c r="A1160" t="s">
        <v>2428</v>
      </c>
      <c r="B1160" t="s">
        <v>2890</v>
      </c>
      <c r="C1160">
        <v>2008</v>
      </c>
      <c r="E1160" t="s">
        <v>3076</v>
      </c>
      <c r="F1160" t="s">
        <v>9085</v>
      </c>
    </row>
    <row r="1161" spans="1:6" x14ac:dyDescent="0.25">
      <c r="A1161" t="s">
        <v>2443</v>
      </c>
      <c r="B1161" t="s">
        <v>457</v>
      </c>
      <c r="C1161">
        <v>2019</v>
      </c>
      <c r="D1161" t="s">
        <v>187</v>
      </c>
    </row>
    <row r="1162" spans="1:6" x14ac:dyDescent="0.25">
      <c r="A1162" t="s">
        <v>2447</v>
      </c>
      <c r="B1162" t="s">
        <v>2941</v>
      </c>
      <c r="C1162">
        <v>2014</v>
      </c>
      <c r="E1162" t="s">
        <v>3403</v>
      </c>
    </row>
    <row r="1163" spans="1:6" x14ac:dyDescent="0.25">
      <c r="A1163" t="s">
        <v>2459</v>
      </c>
      <c r="B1163" t="s">
        <v>2254</v>
      </c>
      <c r="C1163">
        <v>2017</v>
      </c>
      <c r="E1163" t="s">
        <v>2982</v>
      </c>
      <c r="F1163" t="s">
        <v>9086</v>
      </c>
    </row>
    <row r="1164" spans="1:6" x14ac:dyDescent="0.25">
      <c r="A1164" t="s">
        <v>2471</v>
      </c>
      <c r="B1164" t="s">
        <v>8322</v>
      </c>
      <c r="C1164">
        <v>2025</v>
      </c>
      <c r="D1164" t="s">
        <v>187</v>
      </c>
    </row>
    <row r="1165" spans="1:6" x14ac:dyDescent="0.25">
      <c r="A1165" t="s">
        <v>2481</v>
      </c>
      <c r="B1165" t="s">
        <v>1050</v>
      </c>
      <c r="C1165">
        <v>2020</v>
      </c>
      <c r="E1165" t="s">
        <v>3058</v>
      </c>
      <c r="F1165" t="s">
        <v>9087</v>
      </c>
    </row>
    <row r="1166" spans="1:6" x14ac:dyDescent="0.25">
      <c r="A1166" t="s">
        <v>2481</v>
      </c>
      <c r="B1166" t="s">
        <v>2648</v>
      </c>
      <c r="C1166">
        <v>2020</v>
      </c>
      <c r="E1166" s="10" t="s">
        <v>8393</v>
      </c>
      <c r="F1166" t="s">
        <v>9275</v>
      </c>
    </row>
    <row r="1167" spans="1:6" x14ac:dyDescent="0.25">
      <c r="A1167" t="s">
        <v>2489</v>
      </c>
      <c r="B1167" t="s">
        <v>2874</v>
      </c>
      <c r="C1167">
        <v>2002</v>
      </c>
      <c r="D1167" t="s">
        <v>187</v>
      </c>
    </row>
    <row r="1168" spans="1:6" x14ac:dyDescent="0.25">
      <c r="A1168" t="s">
        <v>2498</v>
      </c>
      <c r="B1168" t="s">
        <v>198</v>
      </c>
      <c r="C1168">
        <v>2017</v>
      </c>
      <c r="D1168" t="s">
        <v>187</v>
      </c>
    </row>
    <row r="1169" spans="1:6" x14ac:dyDescent="0.25">
      <c r="A1169" t="s">
        <v>2502</v>
      </c>
      <c r="B1169" t="s">
        <v>713</v>
      </c>
      <c r="C1169">
        <v>2015</v>
      </c>
      <c r="D1169" t="s">
        <v>187</v>
      </c>
    </row>
    <row r="1170" spans="1:6" x14ac:dyDescent="0.25">
      <c r="A1170" t="s">
        <v>2506</v>
      </c>
      <c r="B1170" t="s">
        <v>344</v>
      </c>
      <c r="C1170">
        <v>2021</v>
      </c>
      <c r="E1170" t="s">
        <v>2982</v>
      </c>
      <c r="F1170" t="s">
        <v>9088</v>
      </c>
    </row>
    <row r="1171" spans="1:6" x14ac:dyDescent="0.25">
      <c r="A1171" t="s">
        <v>2506</v>
      </c>
      <c r="B1171" t="s">
        <v>730</v>
      </c>
      <c r="C1171">
        <v>2021</v>
      </c>
      <c r="E1171" t="s">
        <v>3025</v>
      </c>
    </row>
    <row r="1172" spans="1:6" x14ac:dyDescent="0.25">
      <c r="A1172" t="s">
        <v>2506</v>
      </c>
      <c r="B1172" t="s">
        <v>1071</v>
      </c>
      <c r="C1172">
        <v>2021</v>
      </c>
      <c r="E1172" t="s">
        <v>3013</v>
      </c>
    </row>
    <row r="1173" spans="1:6" x14ac:dyDescent="0.25">
      <c r="A1173" t="s">
        <v>2506</v>
      </c>
      <c r="B1173" t="s">
        <v>1475</v>
      </c>
      <c r="C1173">
        <v>2021</v>
      </c>
      <c r="E1173" t="s">
        <v>2982</v>
      </c>
      <c r="F1173" t="s">
        <v>9089</v>
      </c>
    </row>
    <row r="1174" spans="1:6" x14ac:dyDescent="0.25">
      <c r="A1174" t="s">
        <v>2506</v>
      </c>
      <c r="B1174" t="s">
        <v>1503</v>
      </c>
      <c r="C1174">
        <v>2021</v>
      </c>
      <c r="E1174" t="s">
        <v>3011</v>
      </c>
    </row>
    <row r="1175" spans="1:6" x14ac:dyDescent="0.25">
      <c r="A1175" t="s">
        <v>2506</v>
      </c>
      <c r="B1175" t="s">
        <v>1587</v>
      </c>
      <c r="C1175">
        <v>2021</v>
      </c>
      <c r="E1175" t="s">
        <v>2982</v>
      </c>
      <c r="F1175" t="s">
        <v>9090</v>
      </c>
    </row>
    <row r="1176" spans="1:6" x14ac:dyDescent="0.25">
      <c r="A1176" t="s">
        <v>2506</v>
      </c>
      <c r="B1176" t="s">
        <v>1633</v>
      </c>
      <c r="C1176">
        <v>2021</v>
      </c>
      <c r="E1176" t="s">
        <v>2982</v>
      </c>
      <c r="F1176" t="s">
        <v>9091</v>
      </c>
    </row>
    <row r="1177" spans="1:6" x14ac:dyDescent="0.25">
      <c r="A1177" t="s">
        <v>2506</v>
      </c>
      <c r="B1177" t="s">
        <v>1851</v>
      </c>
      <c r="C1177">
        <v>2021</v>
      </c>
      <c r="E1177" t="s">
        <v>2982</v>
      </c>
      <c r="F1177" t="s">
        <v>9092</v>
      </c>
    </row>
    <row r="1178" spans="1:6" x14ac:dyDescent="0.25">
      <c r="A1178" t="s">
        <v>2506</v>
      </c>
      <c r="B1178" t="s">
        <v>1863</v>
      </c>
      <c r="C1178">
        <v>2021</v>
      </c>
      <c r="E1178" t="s">
        <v>2982</v>
      </c>
      <c r="F1178" t="s">
        <v>9093</v>
      </c>
    </row>
    <row r="1179" spans="1:6" x14ac:dyDescent="0.25">
      <c r="A1179" t="s">
        <v>2506</v>
      </c>
      <c r="B1179" t="s">
        <v>7839</v>
      </c>
      <c r="C1179">
        <v>2021</v>
      </c>
      <c r="E1179" t="s">
        <v>7824</v>
      </c>
      <c r="F1179" t="s">
        <v>9094</v>
      </c>
    </row>
    <row r="1180" spans="1:6" x14ac:dyDescent="0.25">
      <c r="A1180" t="s">
        <v>2506</v>
      </c>
      <c r="B1180" t="s">
        <v>2222</v>
      </c>
      <c r="C1180">
        <v>2021</v>
      </c>
      <c r="E1180" t="s">
        <v>3042</v>
      </c>
      <c r="F1180" t="s">
        <v>9095</v>
      </c>
    </row>
    <row r="1181" spans="1:6" x14ac:dyDescent="0.25">
      <c r="A1181" t="s">
        <v>2506</v>
      </c>
      <c r="B1181" t="s">
        <v>2695</v>
      </c>
      <c r="C1181">
        <v>2021</v>
      </c>
      <c r="E1181" t="s">
        <v>2984</v>
      </c>
      <c r="F1181" t="s">
        <v>9096</v>
      </c>
    </row>
    <row r="1182" spans="1:6" x14ac:dyDescent="0.25">
      <c r="A1182" t="s">
        <v>2506</v>
      </c>
      <c r="B1182" t="s">
        <v>7707</v>
      </c>
      <c r="C1182">
        <v>2021</v>
      </c>
      <c r="E1182" t="s">
        <v>7706</v>
      </c>
      <c r="F1182" t="s">
        <v>9097</v>
      </c>
    </row>
    <row r="1183" spans="1:6" x14ac:dyDescent="0.25">
      <c r="A1183" t="s">
        <v>2518</v>
      </c>
      <c r="B1183" t="s">
        <v>1235</v>
      </c>
      <c r="C1183">
        <v>2013</v>
      </c>
      <c r="E1183" t="s">
        <v>3302</v>
      </c>
      <c r="F1183" t="s">
        <v>9098</v>
      </c>
    </row>
    <row r="1184" spans="1:6" x14ac:dyDescent="0.25">
      <c r="A1184" t="s">
        <v>2522</v>
      </c>
      <c r="B1184" t="s">
        <v>1811</v>
      </c>
      <c r="C1184">
        <v>2025</v>
      </c>
      <c r="E1184" t="s">
        <v>2982</v>
      </c>
      <c r="F1184" t="s">
        <v>9099</v>
      </c>
    </row>
    <row r="1185" spans="1:6" x14ac:dyDescent="0.25">
      <c r="A1185" t="s">
        <v>2534</v>
      </c>
      <c r="B1185" t="s">
        <v>2190</v>
      </c>
      <c r="C1185">
        <v>1982</v>
      </c>
      <c r="E1185" t="s">
        <v>3172</v>
      </c>
    </row>
    <row r="1186" spans="1:6" x14ac:dyDescent="0.25">
      <c r="A1186" t="s">
        <v>2537</v>
      </c>
      <c r="B1186" t="s">
        <v>2540</v>
      </c>
      <c r="C1186">
        <v>2021</v>
      </c>
      <c r="D1186" t="s">
        <v>187</v>
      </c>
    </row>
    <row r="1187" spans="1:6" x14ac:dyDescent="0.25">
      <c r="A1187" t="s">
        <v>2556</v>
      </c>
      <c r="B1187" t="s">
        <v>2554</v>
      </c>
      <c r="C1187">
        <v>2018</v>
      </c>
      <c r="D1187" t="s">
        <v>187</v>
      </c>
    </row>
    <row r="1188" spans="1:6" x14ac:dyDescent="0.25">
      <c r="A1188" t="s">
        <v>2571</v>
      </c>
      <c r="B1188" t="s">
        <v>517</v>
      </c>
      <c r="C1188">
        <v>1998</v>
      </c>
      <c r="E1188" t="s">
        <v>3150</v>
      </c>
    </row>
    <row r="1189" spans="1:6" x14ac:dyDescent="0.25">
      <c r="A1189" t="s">
        <v>2571</v>
      </c>
      <c r="B1189" t="s">
        <v>984</v>
      </c>
      <c r="C1189">
        <v>1998</v>
      </c>
      <c r="E1189" t="s">
        <v>2988</v>
      </c>
    </row>
    <row r="1190" spans="1:6" x14ac:dyDescent="0.25">
      <c r="A1190" t="s">
        <v>2571</v>
      </c>
      <c r="B1190" t="s">
        <v>1420</v>
      </c>
      <c r="C1190">
        <v>1998</v>
      </c>
      <c r="E1190" t="s">
        <v>2992</v>
      </c>
    </row>
    <row r="1191" spans="1:6" x14ac:dyDescent="0.25">
      <c r="A1191" t="s">
        <v>2571</v>
      </c>
      <c r="B1191" t="s">
        <v>1513</v>
      </c>
      <c r="C1191">
        <v>1998</v>
      </c>
      <c r="E1191" t="s">
        <v>3059</v>
      </c>
      <c r="F1191" t="s">
        <v>9100</v>
      </c>
    </row>
    <row r="1192" spans="1:6" x14ac:dyDescent="0.25">
      <c r="A1192" t="s">
        <v>2571</v>
      </c>
      <c r="B1192" t="s">
        <v>1937</v>
      </c>
      <c r="C1192">
        <v>1998</v>
      </c>
      <c r="E1192" t="s">
        <v>1940</v>
      </c>
    </row>
    <row r="1193" spans="1:6" x14ac:dyDescent="0.25">
      <c r="A1193" t="s">
        <v>2571</v>
      </c>
      <c r="B1193" t="s">
        <v>2107</v>
      </c>
      <c r="C1193">
        <v>1998</v>
      </c>
      <c r="E1193" t="s">
        <v>3139</v>
      </c>
    </row>
    <row r="1194" spans="1:6" x14ac:dyDescent="0.25">
      <c r="A1194" t="s">
        <v>2571</v>
      </c>
      <c r="B1194" t="s">
        <v>2160</v>
      </c>
      <c r="C1194">
        <v>1998</v>
      </c>
      <c r="E1194" t="s">
        <v>2995</v>
      </c>
    </row>
    <row r="1195" spans="1:6" x14ac:dyDescent="0.25">
      <c r="A1195" t="s">
        <v>2571</v>
      </c>
      <c r="B1195" t="s">
        <v>2578</v>
      </c>
      <c r="C1195">
        <v>1998</v>
      </c>
      <c r="E1195" t="s">
        <v>3170</v>
      </c>
      <c r="F1195" t="s">
        <v>9101</v>
      </c>
    </row>
    <row r="1196" spans="1:6" x14ac:dyDescent="0.25">
      <c r="A1196" t="s">
        <v>2578</v>
      </c>
      <c r="B1196" t="s">
        <v>1513</v>
      </c>
      <c r="C1196">
        <v>2017</v>
      </c>
      <c r="E1196" t="s">
        <v>3059</v>
      </c>
      <c r="F1196" t="s">
        <v>9102</v>
      </c>
    </row>
    <row r="1197" spans="1:6" x14ac:dyDescent="0.25">
      <c r="A1197" t="s">
        <v>2594</v>
      </c>
      <c r="B1197" t="s">
        <v>7954</v>
      </c>
      <c r="C1197">
        <v>2019</v>
      </c>
      <c r="E1197" t="s">
        <v>2982</v>
      </c>
      <c r="F1197" t="s">
        <v>9103</v>
      </c>
    </row>
    <row r="1198" spans="1:6" x14ac:dyDescent="0.25">
      <c r="A1198" t="s">
        <v>2594</v>
      </c>
      <c r="B1198" t="s">
        <v>1008</v>
      </c>
      <c r="C1198">
        <v>2019</v>
      </c>
      <c r="E1198" t="s">
        <v>2982</v>
      </c>
      <c r="F1198" t="s">
        <v>9104</v>
      </c>
    </row>
    <row r="1199" spans="1:6" x14ac:dyDescent="0.25">
      <c r="A1199" t="s">
        <v>2594</v>
      </c>
      <c r="B1199" t="s">
        <v>1503</v>
      </c>
      <c r="C1199">
        <v>2019</v>
      </c>
      <c r="E1199" t="s">
        <v>3011</v>
      </c>
    </row>
    <row r="1200" spans="1:6" x14ac:dyDescent="0.25">
      <c r="A1200" t="s">
        <v>2594</v>
      </c>
      <c r="B1200" t="s">
        <v>2264</v>
      </c>
      <c r="C1200">
        <v>2019</v>
      </c>
      <c r="E1200" t="s">
        <v>3380</v>
      </c>
      <c r="F1200" t="s">
        <v>9105</v>
      </c>
    </row>
    <row r="1201" spans="1:6" x14ac:dyDescent="0.25">
      <c r="A1201" t="s">
        <v>2594</v>
      </c>
      <c r="B1201" t="s">
        <v>2614</v>
      </c>
      <c r="C1201">
        <v>2019</v>
      </c>
      <c r="E1201" t="s">
        <v>3155</v>
      </c>
      <c r="F1201" t="s">
        <v>9106</v>
      </c>
    </row>
    <row r="1202" spans="1:6" x14ac:dyDescent="0.25">
      <c r="A1202" t="s">
        <v>2594</v>
      </c>
      <c r="B1202" t="s">
        <v>2695</v>
      </c>
      <c r="C1202">
        <v>2019</v>
      </c>
      <c r="E1202" t="s">
        <v>2984</v>
      </c>
      <c r="F1202" t="s">
        <v>9107</v>
      </c>
    </row>
    <row r="1203" spans="1:6" x14ac:dyDescent="0.25">
      <c r="A1203" t="s">
        <v>2614</v>
      </c>
      <c r="B1203" t="s">
        <v>7954</v>
      </c>
      <c r="C1203">
        <v>2025</v>
      </c>
      <c r="E1203" s="10" t="s">
        <v>7953</v>
      </c>
      <c r="F1203" t="s">
        <v>9108</v>
      </c>
    </row>
    <row r="1204" spans="1:6" x14ac:dyDescent="0.25">
      <c r="A1204" t="s">
        <v>2614</v>
      </c>
      <c r="B1204" t="s">
        <v>1863</v>
      </c>
      <c r="C1204">
        <v>2025</v>
      </c>
      <c r="E1204" t="s">
        <v>2982</v>
      </c>
      <c r="F1204" t="s">
        <v>9109</v>
      </c>
    </row>
    <row r="1205" spans="1:6" x14ac:dyDescent="0.25">
      <c r="A1205" t="s">
        <v>2614</v>
      </c>
      <c r="B1205" t="s">
        <v>2763</v>
      </c>
      <c r="C1205">
        <v>2025</v>
      </c>
      <c r="E1205" t="s">
        <v>3014</v>
      </c>
    </row>
    <row r="1206" spans="1:6" x14ac:dyDescent="0.25">
      <c r="A1206" t="s">
        <v>160</v>
      </c>
      <c r="B1206" t="s">
        <v>190</v>
      </c>
      <c r="C1206">
        <v>2011</v>
      </c>
      <c r="E1206" t="s">
        <v>3083</v>
      </c>
      <c r="F1206" t="s">
        <v>9110</v>
      </c>
    </row>
    <row r="1207" spans="1:6" x14ac:dyDescent="0.25">
      <c r="A1207" t="s">
        <v>160</v>
      </c>
      <c r="B1207" t="s">
        <v>213</v>
      </c>
      <c r="C1207">
        <v>2011</v>
      </c>
      <c r="E1207" t="s">
        <v>3392</v>
      </c>
    </row>
    <row r="1208" spans="1:6" x14ac:dyDescent="0.25">
      <c r="A1208" t="s">
        <v>160</v>
      </c>
      <c r="B1208" t="s">
        <v>217</v>
      </c>
      <c r="C1208">
        <v>2011</v>
      </c>
      <c r="E1208" t="s">
        <v>3404</v>
      </c>
      <c r="F1208" t="s">
        <v>9111</v>
      </c>
    </row>
    <row r="1209" spans="1:6" x14ac:dyDescent="0.25">
      <c r="A1209" t="s">
        <v>160</v>
      </c>
      <c r="B1209" t="s">
        <v>253</v>
      </c>
      <c r="C1209">
        <v>2011</v>
      </c>
      <c r="E1209" t="s">
        <v>3111</v>
      </c>
      <c r="F1209" t="s">
        <v>9112</v>
      </c>
    </row>
    <row r="1210" spans="1:6" x14ac:dyDescent="0.25">
      <c r="A1210" t="s">
        <v>160</v>
      </c>
      <c r="B1210" t="s">
        <v>308</v>
      </c>
      <c r="C1210">
        <v>2011</v>
      </c>
      <c r="E1210" t="s">
        <v>3184</v>
      </c>
    </row>
    <row r="1211" spans="1:6" x14ac:dyDescent="0.25">
      <c r="A1211" t="s">
        <v>160</v>
      </c>
      <c r="B1211" t="s">
        <v>415</v>
      </c>
      <c r="C1211">
        <v>2011</v>
      </c>
      <c r="E1211" t="s">
        <v>3186</v>
      </c>
    </row>
    <row r="1212" spans="1:6" x14ac:dyDescent="0.25">
      <c r="A1212" t="s">
        <v>160</v>
      </c>
      <c r="B1212" t="s">
        <v>431</v>
      </c>
      <c r="C1212">
        <v>2011</v>
      </c>
      <c r="E1212" t="s">
        <v>2982</v>
      </c>
      <c r="F1212" t="s">
        <v>9113</v>
      </c>
    </row>
    <row r="1213" spans="1:6" x14ac:dyDescent="0.25">
      <c r="A1213" t="s">
        <v>160</v>
      </c>
      <c r="B1213" t="s">
        <v>501</v>
      </c>
      <c r="C1213">
        <v>2011</v>
      </c>
      <c r="E1213" t="s">
        <v>3187</v>
      </c>
      <c r="F1213" t="s">
        <v>9114</v>
      </c>
    </row>
    <row r="1214" spans="1:6" x14ac:dyDescent="0.25">
      <c r="A1214" t="s">
        <v>160</v>
      </c>
      <c r="B1214" t="s">
        <v>557</v>
      </c>
      <c r="C1214">
        <v>2011</v>
      </c>
      <c r="E1214" t="s">
        <v>3405</v>
      </c>
      <c r="F1214" t="s">
        <v>9115</v>
      </c>
    </row>
    <row r="1215" spans="1:6" x14ac:dyDescent="0.25">
      <c r="A1215" t="s">
        <v>160</v>
      </c>
      <c r="B1215" t="s">
        <v>574</v>
      </c>
      <c r="C1215">
        <v>2011</v>
      </c>
      <c r="E1215" s="10" t="s">
        <v>8367</v>
      </c>
      <c r="F1215" t="s">
        <v>9228</v>
      </c>
    </row>
    <row r="1216" spans="1:6" x14ac:dyDescent="0.25">
      <c r="A1216" t="s">
        <v>160</v>
      </c>
      <c r="B1216" t="s">
        <v>610</v>
      </c>
      <c r="C1216">
        <v>2011</v>
      </c>
      <c r="E1216" t="s">
        <v>3066</v>
      </c>
    </row>
    <row r="1217" spans="1:6" x14ac:dyDescent="0.25">
      <c r="A1217" t="s">
        <v>160</v>
      </c>
      <c r="B1217" t="s">
        <v>635</v>
      </c>
      <c r="C1217">
        <v>2011</v>
      </c>
      <c r="E1217" t="s">
        <v>3406</v>
      </c>
    </row>
    <row r="1218" spans="1:6" x14ac:dyDescent="0.25">
      <c r="A1218" t="s">
        <v>160</v>
      </c>
      <c r="B1218" t="s">
        <v>651</v>
      </c>
      <c r="C1218">
        <v>2011</v>
      </c>
      <c r="E1218" s="10" t="s">
        <v>8330</v>
      </c>
    </row>
    <row r="1219" spans="1:6" x14ac:dyDescent="0.25">
      <c r="A1219" t="s">
        <v>160</v>
      </c>
      <c r="B1219" t="s">
        <v>663</v>
      </c>
      <c r="C1219">
        <v>2011</v>
      </c>
      <c r="E1219" s="10" t="s">
        <v>8362</v>
      </c>
      <c r="F1219" t="s">
        <v>9222</v>
      </c>
    </row>
    <row r="1220" spans="1:6" x14ac:dyDescent="0.25">
      <c r="A1220" t="s">
        <v>160</v>
      </c>
      <c r="B1220" t="s">
        <v>689</v>
      </c>
      <c r="C1220">
        <v>2011</v>
      </c>
      <c r="E1220" t="s">
        <v>3324</v>
      </c>
    </row>
    <row r="1221" spans="1:6" x14ac:dyDescent="0.25">
      <c r="A1221" t="s">
        <v>160</v>
      </c>
      <c r="B1221" t="s">
        <v>709</v>
      </c>
      <c r="C1221">
        <v>2011</v>
      </c>
      <c r="E1221" t="s">
        <v>3114</v>
      </c>
    </row>
    <row r="1222" spans="1:6" x14ac:dyDescent="0.25">
      <c r="A1222" t="s">
        <v>160</v>
      </c>
      <c r="B1222" t="s">
        <v>759</v>
      </c>
      <c r="C1222">
        <v>2011</v>
      </c>
      <c r="E1222" t="s">
        <v>3314</v>
      </c>
      <c r="F1222" t="s">
        <v>9116</v>
      </c>
    </row>
    <row r="1223" spans="1:6" x14ac:dyDescent="0.25">
      <c r="A1223" t="s">
        <v>160</v>
      </c>
      <c r="B1223" t="s">
        <v>763</v>
      </c>
      <c r="C1223">
        <v>2011</v>
      </c>
      <c r="E1223" t="s">
        <v>3407</v>
      </c>
      <c r="F1223" t="s">
        <v>9117</v>
      </c>
    </row>
    <row r="1224" spans="1:6" x14ac:dyDescent="0.25">
      <c r="A1224" t="s">
        <v>160</v>
      </c>
      <c r="B1224" t="s">
        <v>845</v>
      </c>
      <c r="C1224">
        <v>2011</v>
      </c>
      <c r="E1224" t="s">
        <v>3115</v>
      </c>
      <c r="F1224" t="s">
        <v>9118</v>
      </c>
    </row>
    <row r="1225" spans="1:6" x14ac:dyDescent="0.25">
      <c r="A1225" t="s">
        <v>160</v>
      </c>
      <c r="B1225" t="s">
        <v>854</v>
      </c>
      <c r="C1225">
        <v>2011</v>
      </c>
      <c r="E1225" t="s">
        <v>3408</v>
      </c>
      <c r="F1225" t="s">
        <v>9119</v>
      </c>
    </row>
    <row r="1226" spans="1:6" x14ac:dyDescent="0.25">
      <c r="A1226" t="s">
        <v>160</v>
      </c>
      <c r="B1226" t="s">
        <v>948</v>
      </c>
      <c r="C1226">
        <v>2011</v>
      </c>
      <c r="E1226" t="s">
        <v>3116</v>
      </c>
    </row>
    <row r="1227" spans="1:6" x14ac:dyDescent="0.25">
      <c r="A1227" t="s">
        <v>160</v>
      </c>
      <c r="B1227" t="s">
        <v>992</v>
      </c>
      <c r="C1227">
        <v>2011</v>
      </c>
      <c r="E1227" t="s">
        <v>2982</v>
      </c>
      <c r="F1227" t="s">
        <v>9120</v>
      </c>
    </row>
    <row r="1228" spans="1:6" x14ac:dyDescent="0.25">
      <c r="A1228" t="s">
        <v>160</v>
      </c>
      <c r="B1228" t="s">
        <v>1029</v>
      </c>
      <c r="C1228">
        <v>2011</v>
      </c>
      <c r="E1228" t="s">
        <v>2982</v>
      </c>
    </row>
    <row r="1229" spans="1:6" x14ac:dyDescent="0.25">
      <c r="A1229" t="s">
        <v>160</v>
      </c>
      <c r="B1229" t="s">
        <v>1046</v>
      </c>
      <c r="C1229">
        <v>2011</v>
      </c>
      <c r="E1229" t="s">
        <v>3301</v>
      </c>
      <c r="F1229" t="s">
        <v>9121</v>
      </c>
    </row>
    <row r="1230" spans="1:6" x14ac:dyDescent="0.25">
      <c r="A1230" t="s">
        <v>160</v>
      </c>
      <c r="B1230" t="s">
        <v>1133</v>
      </c>
      <c r="C1230">
        <v>2011</v>
      </c>
      <c r="E1230" t="s">
        <v>3013</v>
      </c>
    </row>
    <row r="1231" spans="1:6" x14ac:dyDescent="0.25">
      <c r="A1231" t="s">
        <v>160</v>
      </c>
      <c r="B1231" t="s">
        <v>1148</v>
      </c>
      <c r="C1231">
        <v>2011</v>
      </c>
      <c r="E1231" t="s">
        <v>3409</v>
      </c>
      <c r="F1231" t="s">
        <v>9122</v>
      </c>
    </row>
    <row r="1232" spans="1:6" x14ac:dyDescent="0.25">
      <c r="A1232" t="s">
        <v>160</v>
      </c>
      <c r="B1232" t="s">
        <v>1219</v>
      </c>
      <c r="C1232">
        <v>2011</v>
      </c>
      <c r="E1232" t="s">
        <v>2982</v>
      </c>
      <c r="F1232" t="s">
        <v>9123</v>
      </c>
    </row>
    <row r="1233" spans="1:6" x14ac:dyDescent="0.25">
      <c r="A1233" t="s">
        <v>160</v>
      </c>
      <c r="B1233" t="s">
        <v>1227</v>
      </c>
      <c r="C1233">
        <v>2011</v>
      </c>
      <c r="E1233" t="s">
        <v>3326</v>
      </c>
      <c r="F1233" t="s">
        <v>9124</v>
      </c>
    </row>
    <row r="1234" spans="1:6" x14ac:dyDescent="0.25">
      <c r="A1234" t="s">
        <v>160</v>
      </c>
      <c r="B1234" t="s">
        <v>1294</v>
      </c>
      <c r="C1234">
        <v>2011</v>
      </c>
      <c r="E1234" s="10" t="s">
        <v>8368</v>
      </c>
      <c r="F1234" t="s">
        <v>9231</v>
      </c>
    </row>
    <row r="1235" spans="1:6" x14ac:dyDescent="0.25">
      <c r="A1235" t="s">
        <v>160</v>
      </c>
      <c r="B1235" t="s">
        <v>1320</v>
      </c>
      <c r="C1235">
        <v>2011</v>
      </c>
      <c r="E1235" t="s">
        <v>3206</v>
      </c>
      <c r="F1235" t="s">
        <v>9125</v>
      </c>
    </row>
    <row r="1236" spans="1:6" x14ac:dyDescent="0.25">
      <c r="A1236" t="s">
        <v>160</v>
      </c>
      <c r="B1236" t="s">
        <v>1516</v>
      </c>
      <c r="C1236">
        <v>2011</v>
      </c>
      <c r="E1236" t="s">
        <v>2982</v>
      </c>
      <c r="F1236" t="s">
        <v>9126</v>
      </c>
    </row>
    <row r="1237" spans="1:6" x14ac:dyDescent="0.25">
      <c r="A1237" t="s">
        <v>160</v>
      </c>
      <c r="B1237" t="s">
        <v>1563</v>
      </c>
      <c r="C1237">
        <v>2011</v>
      </c>
      <c r="E1237" t="s">
        <v>2982</v>
      </c>
      <c r="F1237" t="s">
        <v>9127</v>
      </c>
    </row>
    <row r="1238" spans="1:6" x14ac:dyDescent="0.25">
      <c r="A1238" t="s">
        <v>160</v>
      </c>
      <c r="B1238" t="s">
        <v>1594</v>
      </c>
      <c r="C1238">
        <v>2011</v>
      </c>
      <c r="E1238" t="s">
        <v>3295</v>
      </c>
    </row>
    <row r="1239" spans="1:6" x14ac:dyDescent="0.25">
      <c r="A1239" t="s">
        <v>160</v>
      </c>
      <c r="B1239" t="s">
        <v>1602</v>
      </c>
      <c r="C1239">
        <v>2011</v>
      </c>
      <c r="E1239" t="s">
        <v>3398</v>
      </c>
      <c r="F1239" t="s">
        <v>9128</v>
      </c>
    </row>
    <row r="1240" spans="1:6" x14ac:dyDescent="0.25">
      <c r="A1240" t="s">
        <v>160</v>
      </c>
      <c r="B1240" t="s">
        <v>1606</v>
      </c>
      <c r="C1240">
        <v>2011</v>
      </c>
      <c r="E1240" t="s">
        <v>3233</v>
      </c>
      <c r="F1240" t="s">
        <v>9129</v>
      </c>
    </row>
    <row r="1241" spans="1:6" x14ac:dyDescent="0.25">
      <c r="A1241" t="s">
        <v>160</v>
      </c>
      <c r="B1241" t="s">
        <v>1649</v>
      </c>
      <c r="C1241">
        <v>2011</v>
      </c>
      <c r="D1241" t="s">
        <v>187</v>
      </c>
    </row>
    <row r="1242" spans="1:6" x14ac:dyDescent="0.25">
      <c r="A1242" t="s">
        <v>160</v>
      </c>
      <c r="B1242" t="s">
        <v>1700</v>
      </c>
      <c r="C1242">
        <v>2011</v>
      </c>
      <c r="E1242" t="s">
        <v>3208</v>
      </c>
    </row>
    <row r="1243" spans="1:6" x14ac:dyDescent="0.25">
      <c r="A1243" t="s">
        <v>160</v>
      </c>
      <c r="B1243" t="s">
        <v>1713</v>
      </c>
      <c r="C1243">
        <v>2011</v>
      </c>
      <c r="E1243" t="s">
        <v>3337</v>
      </c>
      <c r="F1243" t="s">
        <v>9130</v>
      </c>
    </row>
    <row r="1244" spans="1:6" x14ac:dyDescent="0.25">
      <c r="A1244" t="s">
        <v>160</v>
      </c>
      <c r="B1244" t="s">
        <v>1787</v>
      </c>
      <c r="C1244">
        <v>2011</v>
      </c>
      <c r="E1244" t="s">
        <v>2982</v>
      </c>
      <c r="F1244" t="s">
        <v>9131</v>
      </c>
    </row>
    <row r="1245" spans="1:6" x14ac:dyDescent="0.25">
      <c r="A1245" t="s">
        <v>160</v>
      </c>
      <c r="B1245" t="s">
        <v>1825</v>
      </c>
      <c r="C1245">
        <v>2011</v>
      </c>
      <c r="E1245" t="s">
        <v>1828</v>
      </c>
      <c r="F1245" t="s">
        <v>9132</v>
      </c>
    </row>
    <row r="1246" spans="1:6" x14ac:dyDescent="0.25">
      <c r="A1246" t="s">
        <v>160</v>
      </c>
      <c r="B1246" t="s">
        <v>1837</v>
      </c>
      <c r="C1246">
        <v>2011</v>
      </c>
      <c r="E1246" s="10" t="s">
        <v>8378</v>
      </c>
      <c r="F1246" t="s">
        <v>9252</v>
      </c>
    </row>
    <row r="1247" spans="1:6" x14ac:dyDescent="0.25">
      <c r="A1247" t="s">
        <v>160</v>
      </c>
      <c r="B1247" t="s">
        <v>1843</v>
      </c>
      <c r="C1247">
        <v>2011</v>
      </c>
      <c r="E1247" t="s">
        <v>3410</v>
      </c>
      <c r="F1247" t="s">
        <v>9133</v>
      </c>
    </row>
    <row r="1248" spans="1:6" x14ac:dyDescent="0.25">
      <c r="A1248" t="s">
        <v>160</v>
      </c>
      <c r="B1248" t="s">
        <v>1851</v>
      </c>
      <c r="C1248">
        <v>2011</v>
      </c>
      <c r="E1248" t="s">
        <v>2982</v>
      </c>
      <c r="F1248" t="s">
        <v>9134</v>
      </c>
    </row>
    <row r="1249" spans="1:6" x14ac:dyDescent="0.25">
      <c r="A1249" t="s">
        <v>160</v>
      </c>
      <c r="B1249" t="s">
        <v>1855</v>
      </c>
      <c r="C1249">
        <v>2011</v>
      </c>
      <c r="E1249" s="10" t="s">
        <v>8418</v>
      </c>
      <c r="F1249" t="s">
        <v>9299</v>
      </c>
    </row>
    <row r="1250" spans="1:6" x14ac:dyDescent="0.25">
      <c r="A1250" t="s">
        <v>160</v>
      </c>
      <c r="B1250" t="s">
        <v>1867</v>
      </c>
      <c r="C1250">
        <v>2011</v>
      </c>
      <c r="E1250" t="s">
        <v>3374</v>
      </c>
    </row>
    <row r="1251" spans="1:6" x14ac:dyDescent="0.25">
      <c r="A1251" t="s">
        <v>160</v>
      </c>
      <c r="B1251" t="s">
        <v>1911</v>
      </c>
      <c r="C1251">
        <v>2011</v>
      </c>
      <c r="E1251" t="s">
        <v>3211</v>
      </c>
      <c r="F1251" t="s">
        <v>9135</v>
      </c>
    </row>
    <row r="1252" spans="1:6" x14ac:dyDescent="0.25">
      <c r="A1252" t="s">
        <v>160</v>
      </c>
      <c r="B1252" t="s">
        <v>1927</v>
      </c>
      <c r="C1252">
        <v>2011</v>
      </c>
      <c r="E1252" t="s">
        <v>2982</v>
      </c>
      <c r="F1252" t="s">
        <v>9136</v>
      </c>
    </row>
    <row r="1253" spans="1:6" x14ac:dyDescent="0.25">
      <c r="A1253" t="s">
        <v>160</v>
      </c>
      <c r="B1253" t="s">
        <v>1933</v>
      </c>
      <c r="C1253">
        <v>2011</v>
      </c>
      <c r="E1253" t="s">
        <v>3411</v>
      </c>
    </row>
    <row r="1254" spans="1:6" x14ac:dyDescent="0.25">
      <c r="A1254" t="s">
        <v>160</v>
      </c>
      <c r="B1254" t="s">
        <v>1941</v>
      </c>
      <c r="C1254">
        <v>2011</v>
      </c>
      <c r="E1254" t="s">
        <v>3412</v>
      </c>
      <c r="F1254" t="s">
        <v>9137</v>
      </c>
    </row>
    <row r="1255" spans="1:6" x14ac:dyDescent="0.25">
      <c r="A1255" t="s">
        <v>160</v>
      </c>
      <c r="B1255" t="s">
        <v>7654</v>
      </c>
      <c r="C1255">
        <v>2011</v>
      </c>
      <c r="E1255" t="s">
        <v>7657</v>
      </c>
    </row>
    <row r="1256" spans="1:6" x14ac:dyDescent="0.25">
      <c r="A1256" t="s">
        <v>160</v>
      </c>
      <c r="B1256" t="s">
        <v>2028</v>
      </c>
      <c r="C1256">
        <v>2011</v>
      </c>
      <c r="E1256" t="s">
        <v>3413</v>
      </c>
      <c r="F1256" t="s">
        <v>9138</v>
      </c>
    </row>
    <row r="1257" spans="1:6" x14ac:dyDescent="0.25">
      <c r="A1257" t="s">
        <v>160</v>
      </c>
      <c r="B1257" t="s">
        <v>2058</v>
      </c>
      <c r="C1257">
        <v>2011</v>
      </c>
      <c r="E1257" t="s">
        <v>3414</v>
      </c>
      <c r="F1257" t="s">
        <v>9139</v>
      </c>
    </row>
    <row r="1258" spans="1:6" x14ac:dyDescent="0.25">
      <c r="A1258" t="s">
        <v>160</v>
      </c>
      <c r="B1258" t="s">
        <v>2099</v>
      </c>
      <c r="C1258">
        <v>2011</v>
      </c>
      <c r="E1258" t="s">
        <v>3415</v>
      </c>
      <c r="F1258" t="s">
        <v>9140</v>
      </c>
    </row>
    <row r="1259" spans="1:6" x14ac:dyDescent="0.25">
      <c r="A1259" t="s">
        <v>160</v>
      </c>
      <c r="B1259" t="s">
        <v>2173</v>
      </c>
      <c r="C1259">
        <v>2011</v>
      </c>
      <c r="E1259" t="s">
        <v>3400</v>
      </c>
      <c r="F1259" t="s">
        <v>9141</v>
      </c>
    </row>
    <row r="1260" spans="1:6" x14ac:dyDescent="0.25">
      <c r="A1260" t="s">
        <v>160</v>
      </c>
      <c r="B1260" t="s">
        <v>2251</v>
      </c>
      <c r="C1260">
        <v>2011</v>
      </c>
      <c r="E1260" t="s">
        <v>2982</v>
      </c>
      <c r="F1260" t="s">
        <v>9142</v>
      </c>
    </row>
    <row r="1261" spans="1:6" x14ac:dyDescent="0.25">
      <c r="A1261" t="s">
        <v>160</v>
      </c>
      <c r="B1261" t="s">
        <v>2288</v>
      </c>
      <c r="C1261">
        <v>2011</v>
      </c>
      <c r="E1261" t="s">
        <v>2982</v>
      </c>
      <c r="F1261" t="s">
        <v>9143</v>
      </c>
    </row>
    <row r="1262" spans="1:6" x14ac:dyDescent="0.25">
      <c r="A1262" t="s">
        <v>160</v>
      </c>
      <c r="B1262" t="s">
        <v>90</v>
      </c>
      <c r="C1262">
        <v>2011</v>
      </c>
      <c r="E1262" t="s">
        <v>3166</v>
      </c>
    </row>
    <row r="1263" spans="1:6" x14ac:dyDescent="0.25">
      <c r="A1263" t="s">
        <v>160</v>
      </c>
      <c r="B1263" t="s">
        <v>2403</v>
      </c>
      <c r="C1263">
        <v>2011</v>
      </c>
      <c r="E1263" t="s">
        <v>3123</v>
      </c>
      <c r="F1263" t="s">
        <v>9144</v>
      </c>
    </row>
    <row r="1264" spans="1:6" x14ac:dyDescent="0.25">
      <c r="A1264" t="s">
        <v>160</v>
      </c>
      <c r="B1264" t="s">
        <v>7858</v>
      </c>
      <c r="C1264">
        <v>2011</v>
      </c>
      <c r="E1264" t="s">
        <v>7857</v>
      </c>
      <c r="F1264" t="s">
        <v>9145</v>
      </c>
    </row>
    <row r="1265" spans="1:6" x14ac:dyDescent="0.25">
      <c r="A1265" t="s">
        <v>160</v>
      </c>
      <c r="B1265" t="s">
        <v>2459</v>
      </c>
      <c r="C1265">
        <v>2011</v>
      </c>
      <c r="E1265" t="s">
        <v>3416</v>
      </c>
      <c r="F1265" t="s">
        <v>9146</v>
      </c>
    </row>
    <row r="1266" spans="1:6" x14ac:dyDescent="0.25">
      <c r="A1266" t="s">
        <v>160</v>
      </c>
      <c r="B1266" t="s">
        <v>2492</v>
      </c>
      <c r="C1266">
        <v>2011</v>
      </c>
      <c r="E1266" t="s">
        <v>3402</v>
      </c>
      <c r="F1266" t="s">
        <v>9147</v>
      </c>
    </row>
    <row r="1267" spans="1:6" x14ac:dyDescent="0.25">
      <c r="A1267" t="s">
        <v>160</v>
      </c>
      <c r="B1267" t="s">
        <v>2530</v>
      </c>
      <c r="C1267">
        <v>2011</v>
      </c>
      <c r="E1267" t="s">
        <v>3216</v>
      </c>
      <c r="F1267" t="s">
        <v>9148</v>
      </c>
    </row>
    <row r="1268" spans="1:6" x14ac:dyDescent="0.25">
      <c r="A1268" t="s">
        <v>160</v>
      </c>
      <c r="B1268" t="s">
        <v>2567</v>
      </c>
      <c r="C1268">
        <v>2011</v>
      </c>
      <c r="E1268" t="s">
        <v>2982</v>
      </c>
      <c r="F1268" t="s">
        <v>9149</v>
      </c>
    </row>
    <row r="1269" spans="1:6" x14ac:dyDescent="0.25">
      <c r="A1269" t="s">
        <v>160</v>
      </c>
      <c r="B1269" t="s">
        <v>2619</v>
      </c>
      <c r="C1269">
        <v>2011</v>
      </c>
      <c r="D1269" t="s">
        <v>187</v>
      </c>
    </row>
    <row r="1270" spans="1:6" x14ac:dyDescent="0.25">
      <c r="A1270" t="s">
        <v>160</v>
      </c>
      <c r="B1270" t="s">
        <v>2645</v>
      </c>
      <c r="C1270">
        <v>2011</v>
      </c>
      <c r="E1270" t="s">
        <v>3417</v>
      </c>
      <c r="F1270" t="s">
        <v>9150</v>
      </c>
    </row>
    <row r="1271" spans="1:6" x14ac:dyDescent="0.25">
      <c r="A1271" t="s">
        <v>160</v>
      </c>
      <c r="B1271" t="s">
        <v>2652</v>
      </c>
      <c r="C1271">
        <v>2011</v>
      </c>
      <c r="D1271" t="s">
        <v>187</v>
      </c>
    </row>
    <row r="1272" spans="1:6" x14ac:dyDescent="0.25">
      <c r="A1272" t="s">
        <v>160</v>
      </c>
      <c r="B1272" t="s">
        <v>2679</v>
      </c>
      <c r="C1272">
        <v>2011</v>
      </c>
      <c r="E1272" t="s">
        <v>3418</v>
      </c>
      <c r="F1272" t="s">
        <v>9151</v>
      </c>
    </row>
    <row r="1273" spans="1:6" x14ac:dyDescent="0.25">
      <c r="A1273" t="s">
        <v>160</v>
      </c>
      <c r="B1273" t="s">
        <v>2698</v>
      </c>
      <c r="C1273">
        <v>2011</v>
      </c>
      <c r="E1273" t="s">
        <v>3194</v>
      </c>
    </row>
    <row r="1274" spans="1:6" x14ac:dyDescent="0.25">
      <c r="A1274" t="s">
        <v>160</v>
      </c>
      <c r="B1274" t="s">
        <v>2711</v>
      </c>
      <c r="C1274">
        <v>2011</v>
      </c>
      <c r="E1274" t="s">
        <v>3195</v>
      </c>
      <c r="F1274" t="s">
        <v>9152</v>
      </c>
    </row>
    <row r="1275" spans="1:6" x14ac:dyDescent="0.25">
      <c r="A1275" t="s">
        <v>160</v>
      </c>
      <c r="B1275" t="s">
        <v>2747</v>
      </c>
      <c r="C1275">
        <v>2011</v>
      </c>
      <c r="E1275" t="s">
        <v>3419</v>
      </c>
      <c r="F1275" t="s">
        <v>9153</v>
      </c>
    </row>
    <row r="1276" spans="1:6" x14ac:dyDescent="0.25">
      <c r="A1276" t="s">
        <v>160</v>
      </c>
      <c r="B1276" t="s">
        <v>2760</v>
      </c>
      <c r="C1276">
        <v>2011</v>
      </c>
      <c r="E1276" t="s">
        <v>3163</v>
      </c>
    </row>
    <row r="1277" spans="1:6" x14ac:dyDescent="0.25">
      <c r="A1277" t="s">
        <v>160</v>
      </c>
      <c r="B1277" t="s">
        <v>2769</v>
      </c>
      <c r="C1277">
        <v>2011</v>
      </c>
      <c r="E1277" t="s">
        <v>3177</v>
      </c>
    </row>
    <row r="1278" spans="1:6" x14ac:dyDescent="0.25">
      <c r="A1278" t="s">
        <v>160</v>
      </c>
      <c r="B1278" t="s">
        <v>2782</v>
      </c>
      <c r="C1278">
        <v>2011</v>
      </c>
      <c r="E1278" t="s">
        <v>3125</v>
      </c>
      <c r="F1278" t="s">
        <v>9154</v>
      </c>
    </row>
    <row r="1279" spans="1:6" x14ac:dyDescent="0.25">
      <c r="A1279" t="s">
        <v>160</v>
      </c>
      <c r="B1279" t="s">
        <v>2890</v>
      </c>
      <c r="C1279">
        <v>2011</v>
      </c>
      <c r="E1279" t="s">
        <v>3076</v>
      </c>
      <c r="F1279" t="s">
        <v>9155</v>
      </c>
    </row>
    <row r="1280" spans="1:6" x14ac:dyDescent="0.25">
      <c r="A1280" t="s">
        <v>160</v>
      </c>
      <c r="B1280" t="s">
        <v>2914</v>
      </c>
      <c r="C1280">
        <v>2011</v>
      </c>
      <c r="E1280" t="s">
        <v>2982</v>
      </c>
      <c r="F1280" t="s">
        <v>9156</v>
      </c>
    </row>
    <row r="1281" spans="1:6" x14ac:dyDescent="0.25">
      <c r="A1281" t="s">
        <v>2625</v>
      </c>
      <c r="B1281" t="s">
        <v>1052</v>
      </c>
      <c r="C1281">
        <v>2000</v>
      </c>
      <c r="D1281" t="s">
        <v>187</v>
      </c>
      <c r="E1281" t="s">
        <v>3330</v>
      </c>
      <c r="F1281" t="s">
        <v>9157</v>
      </c>
    </row>
    <row r="1282" spans="1:6" x14ac:dyDescent="0.25">
      <c r="A1282" t="s">
        <v>2625</v>
      </c>
      <c r="B1282" t="s">
        <v>2166</v>
      </c>
      <c r="C1282">
        <v>2000</v>
      </c>
      <c r="D1282" t="s">
        <v>187</v>
      </c>
    </row>
    <row r="1283" spans="1:6" x14ac:dyDescent="0.25">
      <c r="A1283" t="s">
        <v>2634</v>
      </c>
      <c r="B1283" t="s">
        <v>2962</v>
      </c>
      <c r="C1283">
        <v>2014</v>
      </c>
      <c r="E1283" t="s">
        <v>3006</v>
      </c>
      <c r="F1283" t="s">
        <v>9158</v>
      </c>
    </row>
    <row r="1284" spans="1:6" x14ac:dyDescent="0.25">
      <c r="A1284" t="s">
        <v>2652</v>
      </c>
      <c r="B1284" t="s">
        <v>501</v>
      </c>
      <c r="C1284">
        <v>2019</v>
      </c>
      <c r="E1284" t="s">
        <v>3187</v>
      </c>
      <c r="F1284" t="s">
        <v>9159</v>
      </c>
    </row>
    <row r="1285" spans="1:6" x14ac:dyDescent="0.25">
      <c r="A1285" t="s">
        <v>2652</v>
      </c>
      <c r="B1285" t="s">
        <v>2028</v>
      </c>
      <c r="C1285">
        <v>2019</v>
      </c>
      <c r="E1285" t="s">
        <v>3420</v>
      </c>
      <c r="F1285" t="s">
        <v>9160</v>
      </c>
    </row>
    <row r="1286" spans="1:6" x14ac:dyDescent="0.25">
      <c r="A1286" t="s">
        <v>2675</v>
      </c>
      <c r="B1286" t="s">
        <v>394</v>
      </c>
      <c r="C1286">
        <v>2022</v>
      </c>
      <c r="E1286" t="s">
        <v>3056</v>
      </c>
    </row>
    <row r="1287" spans="1:6" x14ac:dyDescent="0.25">
      <c r="A1287" t="s">
        <v>2695</v>
      </c>
      <c r="B1287" t="s">
        <v>2332</v>
      </c>
      <c r="C1287">
        <v>2025</v>
      </c>
      <c r="D1287" t="s">
        <v>187</v>
      </c>
    </row>
    <row r="1288" spans="1:6" x14ac:dyDescent="0.25">
      <c r="A1288" t="s">
        <v>2698</v>
      </c>
      <c r="B1288" t="s">
        <v>1201</v>
      </c>
      <c r="C1288">
        <v>2022</v>
      </c>
      <c r="E1288" s="10" t="s">
        <v>8431</v>
      </c>
    </row>
    <row r="1289" spans="1:6" x14ac:dyDescent="0.25">
      <c r="A1289" t="s">
        <v>2698</v>
      </c>
      <c r="B1289" t="s">
        <v>2645</v>
      </c>
      <c r="C1289">
        <v>2022</v>
      </c>
      <c r="E1289" t="s">
        <v>3417</v>
      </c>
      <c r="F1289" t="s">
        <v>9161</v>
      </c>
    </row>
    <row r="1290" spans="1:6" x14ac:dyDescent="0.25">
      <c r="A1290" t="s">
        <v>2706</v>
      </c>
      <c r="B1290" t="s">
        <v>358</v>
      </c>
      <c r="C1290">
        <v>1991</v>
      </c>
      <c r="E1290" t="s">
        <v>3421</v>
      </c>
    </row>
    <row r="1291" spans="1:6" x14ac:dyDescent="0.25">
      <c r="A1291" t="s">
        <v>2706</v>
      </c>
      <c r="B1291" t="s">
        <v>2709</v>
      </c>
      <c r="C1291">
        <v>1991</v>
      </c>
      <c r="D1291" t="s">
        <v>187</v>
      </c>
    </row>
    <row r="1292" spans="1:6" x14ac:dyDescent="0.25">
      <c r="A1292" t="s">
        <v>2715</v>
      </c>
      <c r="B1292" t="s">
        <v>1155</v>
      </c>
      <c r="C1292">
        <v>1999</v>
      </c>
      <c r="E1292" t="s">
        <v>3422</v>
      </c>
      <c r="F1292" t="s">
        <v>9162</v>
      </c>
    </row>
    <row r="1293" spans="1:6" x14ac:dyDescent="0.25">
      <c r="A1293" t="s">
        <v>2715</v>
      </c>
      <c r="B1293" t="s">
        <v>2718</v>
      </c>
      <c r="C1293">
        <v>1999</v>
      </c>
      <c r="D1293" t="s">
        <v>187</v>
      </c>
    </row>
    <row r="1294" spans="1:6" x14ac:dyDescent="0.25">
      <c r="A1294" t="s">
        <v>2721</v>
      </c>
      <c r="B1294" t="s">
        <v>341</v>
      </c>
      <c r="C1294">
        <v>1993</v>
      </c>
      <c r="E1294" t="s">
        <v>3013</v>
      </c>
    </row>
    <row r="1295" spans="1:6" x14ac:dyDescent="0.25">
      <c r="A1295" t="s">
        <v>2721</v>
      </c>
      <c r="B1295" t="s">
        <v>379</v>
      </c>
      <c r="C1295">
        <v>1993</v>
      </c>
      <c r="E1295" s="10" t="s">
        <v>9321</v>
      </c>
      <c r="F1295" t="s">
        <v>9320</v>
      </c>
    </row>
    <row r="1296" spans="1:6" x14ac:dyDescent="0.25">
      <c r="A1296" t="s">
        <v>2721</v>
      </c>
      <c r="B1296" t="s">
        <v>581</v>
      </c>
      <c r="C1296">
        <v>1993</v>
      </c>
      <c r="D1296" t="s">
        <v>187</v>
      </c>
      <c r="E1296" t="s">
        <v>3032</v>
      </c>
    </row>
    <row r="1297" spans="1:6" x14ac:dyDescent="0.25">
      <c r="A1297" t="s">
        <v>2721</v>
      </c>
      <c r="B1297" t="s">
        <v>754</v>
      </c>
      <c r="C1297">
        <v>1993</v>
      </c>
      <c r="E1297" t="s">
        <v>3423</v>
      </c>
      <c r="F1297" t="s">
        <v>9163</v>
      </c>
    </row>
    <row r="1298" spans="1:6" x14ac:dyDescent="0.25">
      <c r="A1298" t="s">
        <v>2721</v>
      </c>
      <c r="B1298" t="s">
        <v>7851</v>
      </c>
      <c r="C1298">
        <v>1993</v>
      </c>
      <c r="D1298" t="s">
        <v>187</v>
      </c>
    </row>
    <row r="1299" spans="1:6" x14ac:dyDescent="0.25">
      <c r="A1299" t="s">
        <v>2721</v>
      </c>
      <c r="B1299" t="s">
        <v>937</v>
      </c>
      <c r="C1299">
        <v>1993</v>
      </c>
      <c r="D1299" t="s">
        <v>187</v>
      </c>
    </row>
    <row r="1300" spans="1:6" x14ac:dyDescent="0.25">
      <c r="A1300" t="s">
        <v>2721</v>
      </c>
      <c r="B1300" t="s">
        <v>971</v>
      </c>
      <c r="C1300">
        <v>1993</v>
      </c>
      <c r="E1300" t="s">
        <v>2982</v>
      </c>
    </row>
    <row r="1301" spans="1:6" x14ac:dyDescent="0.25">
      <c r="A1301" t="s">
        <v>2721</v>
      </c>
      <c r="B1301" t="s">
        <v>977</v>
      </c>
      <c r="C1301">
        <v>1993</v>
      </c>
      <c r="E1301" t="s">
        <v>3013</v>
      </c>
    </row>
    <row r="1302" spans="1:6" x14ac:dyDescent="0.25">
      <c r="A1302" t="s">
        <v>2721</v>
      </c>
      <c r="B1302" t="s">
        <v>1055</v>
      </c>
      <c r="C1302">
        <v>1993</v>
      </c>
      <c r="D1302" t="s">
        <v>187</v>
      </c>
    </row>
    <row r="1303" spans="1:6" x14ac:dyDescent="0.25">
      <c r="A1303" t="s">
        <v>2721</v>
      </c>
      <c r="B1303" t="s">
        <v>1382</v>
      </c>
      <c r="C1303">
        <v>1993</v>
      </c>
      <c r="E1303" t="s">
        <v>3013</v>
      </c>
    </row>
    <row r="1304" spans="1:6" x14ac:dyDescent="0.25">
      <c r="A1304" t="s">
        <v>2721</v>
      </c>
      <c r="B1304" t="s">
        <v>1388</v>
      </c>
      <c r="C1304">
        <v>1993</v>
      </c>
      <c r="E1304" t="s">
        <v>3274</v>
      </c>
    </row>
    <row r="1305" spans="1:6" x14ac:dyDescent="0.25">
      <c r="A1305" t="s">
        <v>2721</v>
      </c>
      <c r="B1305" t="s">
        <v>1460</v>
      </c>
      <c r="C1305">
        <v>1993</v>
      </c>
      <c r="E1305" t="s">
        <v>3013</v>
      </c>
    </row>
    <row r="1306" spans="1:6" x14ac:dyDescent="0.25">
      <c r="A1306" t="s">
        <v>2721</v>
      </c>
      <c r="B1306" t="s">
        <v>1666</v>
      </c>
      <c r="C1306">
        <v>1993</v>
      </c>
      <c r="E1306" t="s">
        <v>1669</v>
      </c>
      <c r="F1306" t="s">
        <v>9164</v>
      </c>
    </row>
    <row r="1307" spans="1:6" x14ac:dyDescent="0.25">
      <c r="A1307" t="s">
        <v>2721</v>
      </c>
      <c r="B1307" t="s">
        <v>1676</v>
      </c>
      <c r="C1307">
        <v>1993</v>
      </c>
      <c r="E1307" t="s">
        <v>3013</v>
      </c>
    </row>
    <row r="1308" spans="1:6" x14ac:dyDescent="0.25">
      <c r="A1308" t="s">
        <v>2721</v>
      </c>
      <c r="B1308" t="s">
        <v>1682</v>
      </c>
      <c r="C1308">
        <v>1993</v>
      </c>
      <c r="E1308" t="s">
        <v>3424</v>
      </c>
      <c r="F1308" t="s">
        <v>9165</v>
      </c>
    </row>
    <row r="1309" spans="1:6" x14ac:dyDescent="0.25">
      <c r="A1309" t="s">
        <v>2721</v>
      </c>
      <c r="B1309" t="s">
        <v>1761</v>
      </c>
      <c r="C1309">
        <v>1993</v>
      </c>
      <c r="D1309" t="s">
        <v>187</v>
      </c>
      <c r="E1309" t="s">
        <v>3032</v>
      </c>
    </row>
    <row r="1310" spans="1:6" x14ac:dyDescent="0.25">
      <c r="A1310" t="s">
        <v>2721</v>
      </c>
      <c r="B1310" t="s">
        <v>1885</v>
      </c>
      <c r="C1310">
        <v>1993</v>
      </c>
      <c r="D1310" t="s">
        <v>187</v>
      </c>
    </row>
    <row r="1311" spans="1:6" x14ac:dyDescent="0.25">
      <c r="A1311" t="s">
        <v>2721</v>
      </c>
      <c r="B1311" t="s">
        <v>1899</v>
      </c>
      <c r="C1311">
        <v>1993</v>
      </c>
      <c r="E1311" t="s">
        <v>3275</v>
      </c>
    </row>
    <row r="1312" spans="1:6" x14ac:dyDescent="0.25">
      <c r="A1312" t="s">
        <v>2721</v>
      </c>
      <c r="B1312" t="s">
        <v>2009</v>
      </c>
      <c r="C1312">
        <v>1993</v>
      </c>
      <c r="D1312" t="s">
        <v>187</v>
      </c>
    </row>
    <row r="1313" spans="1:6" x14ac:dyDescent="0.25">
      <c r="A1313" t="s">
        <v>2721</v>
      </c>
      <c r="B1313" t="s">
        <v>2625</v>
      </c>
      <c r="C1313">
        <v>1993</v>
      </c>
      <c r="E1313" t="s">
        <v>3425</v>
      </c>
    </row>
    <row r="1314" spans="1:6" x14ac:dyDescent="0.25">
      <c r="A1314" t="s">
        <v>2721</v>
      </c>
      <c r="B1314" t="s">
        <v>2656</v>
      </c>
      <c r="C1314">
        <v>1993</v>
      </c>
      <c r="D1314" t="s">
        <v>187</v>
      </c>
    </row>
    <row r="1315" spans="1:6" x14ac:dyDescent="0.25">
      <c r="A1315" t="s">
        <v>2721</v>
      </c>
      <c r="B1315" t="s">
        <v>2681</v>
      </c>
      <c r="C1315">
        <v>1993</v>
      </c>
      <c r="E1315" t="s">
        <v>3426</v>
      </c>
      <c r="F1315" t="s">
        <v>9166</v>
      </c>
    </row>
    <row r="1316" spans="1:6" x14ac:dyDescent="0.25">
      <c r="A1316" t="s">
        <v>2721</v>
      </c>
      <c r="B1316" t="s">
        <v>2715</v>
      </c>
      <c r="C1316">
        <v>1993</v>
      </c>
      <c r="D1316" t="s">
        <v>187</v>
      </c>
    </row>
    <row r="1317" spans="1:6" x14ac:dyDescent="0.25">
      <c r="A1317" t="s">
        <v>2721</v>
      </c>
      <c r="B1317" t="s">
        <v>2818</v>
      </c>
      <c r="C1317">
        <v>1993</v>
      </c>
      <c r="E1317" t="s">
        <v>3156</v>
      </c>
    </row>
    <row r="1318" spans="1:6" x14ac:dyDescent="0.25">
      <c r="A1318" t="s">
        <v>2721</v>
      </c>
      <c r="B1318" t="s">
        <v>2843</v>
      </c>
      <c r="C1318">
        <v>1993</v>
      </c>
      <c r="E1318" t="s">
        <v>3013</v>
      </c>
    </row>
    <row r="1319" spans="1:6" x14ac:dyDescent="0.25">
      <c r="A1319" t="s">
        <v>2721</v>
      </c>
      <c r="B1319" t="s">
        <v>2943</v>
      </c>
      <c r="C1319">
        <v>1993</v>
      </c>
      <c r="E1319" t="s">
        <v>3427</v>
      </c>
    </row>
    <row r="1320" spans="1:6" x14ac:dyDescent="0.25">
      <c r="A1320" t="s">
        <v>2747</v>
      </c>
      <c r="B1320" t="s">
        <v>1738</v>
      </c>
      <c r="C1320">
        <v>2014</v>
      </c>
      <c r="D1320" t="s">
        <v>187</v>
      </c>
    </row>
    <row r="1321" spans="1:6" x14ac:dyDescent="0.25">
      <c r="A1321" t="s">
        <v>2751</v>
      </c>
      <c r="B1321" t="s">
        <v>477</v>
      </c>
      <c r="C1321">
        <v>2021</v>
      </c>
      <c r="D1321" t="s">
        <v>187</v>
      </c>
    </row>
    <row r="1322" spans="1:6" x14ac:dyDescent="0.25">
      <c r="A1322" t="s">
        <v>2775</v>
      </c>
      <c r="B1322" t="s">
        <v>942</v>
      </c>
      <c r="C1322">
        <v>2021</v>
      </c>
      <c r="E1322" s="10" t="s">
        <v>8397</v>
      </c>
    </row>
    <row r="1323" spans="1:6" x14ac:dyDescent="0.25">
      <c r="A1323" t="s">
        <v>2782</v>
      </c>
      <c r="B1323" t="s">
        <v>2786</v>
      </c>
      <c r="C1323">
        <v>2019</v>
      </c>
      <c r="D1323" t="s">
        <v>187</v>
      </c>
    </row>
    <row r="1324" spans="1:6" x14ac:dyDescent="0.25">
      <c r="A1324" t="s">
        <v>2788</v>
      </c>
      <c r="B1324" t="s">
        <v>1719</v>
      </c>
      <c r="C1324">
        <v>2017</v>
      </c>
      <c r="E1324" t="s">
        <v>2982</v>
      </c>
      <c r="F1324" t="s">
        <v>9167</v>
      </c>
    </row>
    <row r="1325" spans="1:6" x14ac:dyDescent="0.25">
      <c r="A1325" t="s">
        <v>2788</v>
      </c>
      <c r="B1325" t="s">
        <v>2790</v>
      </c>
      <c r="C1325">
        <v>2017</v>
      </c>
      <c r="D1325" t="s">
        <v>187</v>
      </c>
    </row>
    <row r="1326" spans="1:6" x14ac:dyDescent="0.25">
      <c r="A1326" t="s">
        <v>2792</v>
      </c>
      <c r="B1326" t="s">
        <v>2393</v>
      </c>
      <c r="C1326">
        <v>1992</v>
      </c>
      <c r="E1326" t="s">
        <v>2997</v>
      </c>
      <c r="F1326" t="s">
        <v>9168</v>
      </c>
    </row>
    <row r="1327" spans="1:6" x14ac:dyDescent="0.25">
      <c r="A1327" t="s">
        <v>2804</v>
      </c>
      <c r="B1327" t="s">
        <v>185</v>
      </c>
      <c r="C1327">
        <v>2021</v>
      </c>
      <c r="E1327" t="s">
        <v>3013</v>
      </c>
    </row>
    <row r="1328" spans="1:6" x14ac:dyDescent="0.25">
      <c r="A1328" t="s">
        <v>2804</v>
      </c>
      <c r="B1328" t="s">
        <v>290</v>
      </c>
      <c r="C1328">
        <v>2021</v>
      </c>
      <c r="E1328" t="s">
        <v>3013</v>
      </c>
    </row>
    <row r="1329" spans="1:6" x14ac:dyDescent="0.25">
      <c r="A1329" t="s">
        <v>2804</v>
      </c>
      <c r="B1329" t="s">
        <v>294</v>
      </c>
      <c r="C1329">
        <v>2021</v>
      </c>
      <c r="E1329" t="s">
        <v>3065</v>
      </c>
      <c r="F1329" t="s">
        <v>9169</v>
      </c>
    </row>
    <row r="1330" spans="1:6" x14ac:dyDescent="0.25">
      <c r="A1330" t="s">
        <v>2804</v>
      </c>
      <c r="B1330" t="s">
        <v>297</v>
      </c>
      <c r="C1330">
        <v>2021</v>
      </c>
      <c r="E1330" t="s">
        <v>2982</v>
      </c>
      <c r="F1330" t="s">
        <v>9170</v>
      </c>
    </row>
    <row r="1331" spans="1:6" x14ac:dyDescent="0.25">
      <c r="A1331" t="s">
        <v>2804</v>
      </c>
      <c r="B1331" t="s">
        <v>303</v>
      </c>
      <c r="C1331">
        <v>2021</v>
      </c>
      <c r="E1331" t="s">
        <v>3013</v>
      </c>
    </row>
    <row r="1332" spans="1:6" x14ac:dyDescent="0.25">
      <c r="A1332" t="s">
        <v>2804</v>
      </c>
      <c r="B1332" t="s">
        <v>319</v>
      </c>
      <c r="C1332">
        <v>2021</v>
      </c>
      <c r="E1332" t="s">
        <v>2982</v>
      </c>
      <c r="F1332" t="s">
        <v>9171</v>
      </c>
    </row>
    <row r="1333" spans="1:6" x14ac:dyDescent="0.25">
      <c r="A1333" t="s">
        <v>2804</v>
      </c>
      <c r="B1333" t="s">
        <v>360</v>
      </c>
      <c r="C1333">
        <v>2021</v>
      </c>
      <c r="E1333" t="s">
        <v>7658</v>
      </c>
      <c r="F1333" t="s">
        <v>9172</v>
      </c>
    </row>
    <row r="1334" spans="1:6" x14ac:dyDescent="0.25">
      <c r="A1334" t="s">
        <v>2804</v>
      </c>
      <c r="B1334" t="s">
        <v>394</v>
      </c>
      <c r="C1334">
        <v>2021</v>
      </c>
      <c r="E1334" t="s">
        <v>3056</v>
      </c>
    </row>
    <row r="1335" spans="1:6" x14ac:dyDescent="0.25">
      <c r="A1335" t="s">
        <v>2804</v>
      </c>
      <c r="B1335" t="s">
        <v>425</v>
      </c>
      <c r="C1335">
        <v>2021</v>
      </c>
      <c r="E1335" t="s">
        <v>3013</v>
      </c>
    </row>
    <row r="1336" spans="1:6" x14ac:dyDescent="0.25">
      <c r="A1336" t="s">
        <v>2804</v>
      </c>
      <c r="B1336" t="s">
        <v>428</v>
      </c>
      <c r="C1336">
        <v>2021</v>
      </c>
      <c r="E1336" t="s">
        <v>3020</v>
      </c>
    </row>
    <row r="1337" spans="1:6" x14ac:dyDescent="0.25">
      <c r="A1337" t="s">
        <v>2804</v>
      </c>
      <c r="B1337" t="s">
        <v>447</v>
      </c>
      <c r="C1337">
        <v>2021</v>
      </c>
      <c r="E1337" t="s">
        <v>3013</v>
      </c>
    </row>
    <row r="1338" spans="1:6" x14ac:dyDescent="0.25">
      <c r="A1338" t="s">
        <v>2804</v>
      </c>
      <c r="B1338" t="s">
        <v>449</v>
      </c>
      <c r="C1338">
        <v>2021</v>
      </c>
      <c r="E1338" t="s">
        <v>3013</v>
      </c>
    </row>
    <row r="1339" spans="1:6" x14ac:dyDescent="0.25">
      <c r="A1339" t="s">
        <v>2804</v>
      </c>
      <c r="B1339" t="s">
        <v>457</v>
      </c>
      <c r="C1339">
        <v>2021</v>
      </c>
      <c r="E1339" t="s">
        <v>3013</v>
      </c>
    </row>
    <row r="1340" spans="1:6" x14ac:dyDescent="0.25">
      <c r="A1340" t="s">
        <v>2804</v>
      </c>
      <c r="B1340" t="s">
        <v>464</v>
      </c>
      <c r="C1340">
        <v>2021</v>
      </c>
      <c r="E1340" t="s">
        <v>3013</v>
      </c>
    </row>
    <row r="1341" spans="1:6" x14ac:dyDescent="0.25">
      <c r="A1341" t="s">
        <v>2804</v>
      </c>
      <c r="B1341" t="s">
        <v>497</v>
      </c>
      <c r="C1341">
        <v>2021</v>
      </c>
      <c r="E1341" t="s">
        <v>3013</v>
      </c>
    </row>
    <row r="1342" spans="1:6" x14ac:dyDescent="0.25">
      <c r="A1342" t="s">
        <v>2804</v>
      </c>
      <c r="B1342" t="s">
        <v>571</v>
      </c>
      <c r="C1342">
        <v>2021</v>
      </c>
      <c r="E1342" t="s">
        <v>3085</v>
      </c>
    </row>
    <row r="1343" spans="1:6" x14ac:dyDescent="0.25">
      <c r="A1343" t="s">
        <v>2804</v>
      </c>
      <c r="B1343" t="s">
        <v>586</v>
      </c>
      <c r="C1343">
        <v>2021</v>
      </c>
      <c r="E1343" t="s">
        <v>3013</v>
      </c>
    </row>
    <row r="1344" spans="1:6" x14ac:dyDescent="0.25">
      <c r="A1344" t="s">
        <v>2804</v>
      </c>
      <c r="B1344" t="s">
        <v>659</v>
      </c>
      <c r="C1344">
        <v>2021</v>
      </c>
      <c r="E1344" t="s">
        <v>3013</v>
      </c>
    </row>
    <row r="1345" spans="1:6" x14ac:dyDescent="0.25">
      <c r="A1345" t="s">
        <v>2804</v>
      </c>
      <c r="B1345" t="s">
        <v>7836</v>
      </c>
      <c r="C1345">
        <v>2021</v>
      </c>
      <c r="E1345" t="s">
        <v>7838</v>
      </c>
      <c r="F1345" t="s">
        <v>9173</v>
      </c>
    </row>
    <row r="1346" spans="1:6" x14ac:dyDescent="0.25">
      <c r="A1346" t="s">
        <v>2804</v>
      </c>
      <c r="B1346" t="s">
        <v>741</v>
      </c>
      <c r="C1346">
        <v>2021</v>
      </c>
      <c r="E1346" t="s">
        <v>3428</v>
      </c>
      <c r="F1346" t="s">
        <v>9174</v>
      </c>
    </row>
    <row r="1347" spans="1:6" x14ac:dyDescent="0.25">
      <c r="A1347" t="s">
        <v>2804</v>
      </c>
      <c r="B1347" t="s">
        <v>778</v>
      </c>
      <c r="C1347">
        <v>2021</v>
      </c>
      <c r="E1347" t="s">
        <v>3134</v>
      </c>
    </row>
    <row r="1348" spans="1:6" x14ac:dyDescent="0.25">
      <c r="A1348" t="s">
        <v>2804</v>
      </c>
      <c r="B1348" t="s">
        <v>811</v>
      </c>
      <c r="C1348">
        <v>2021</v>
      </c>
      <c r="E1348" t="s">
        <v>3013</v>
      </c>
    </row>
    <row r="1349" spans="1:6" x14ac:dyDescent="0.25">
      <c r="A1349" t="s">
        <v>2804</v>
      </c>
      <c r="B1349" t="s">
        <v>838</v>
      </c>
      <c r="C1349">
        <v>2021</v>
      </c>
      <c r="E1349" t="s">
        <v>3429</v>
      </c>
    </row>
    <row r="1350" spans="1:6" x14ac:dyDescent="0.25">
      <c r="A1350" t="s">
        <v>2804</v>
      </c>
      <c r="B1350" t="s">
        <v>889</v>
      </c>
      <c r="C1350">
        <v>2021</v>
      </c>
      <c r="E1350" t="s">
        <v>2982</v>
      </c>
      <c r="F1350" t="s">
        <v>9175</v>
      </c>
    </row>
    <row r="1351" spans="1:6" x14ac:dyDescent="0.25">
      <c r="A1351" t="s">
        <v>2804</v>
      </c>
      <c r="B1351" t="s">
        <v>1017</v>
      </c>
      <c r="C1351">
        <v>2021</v>
      </c>
      <c r="E1351" t="s">
        <v>3013</v>
      </c>
    </row>
    <row r="1352" spans="1:6" x14ac:dyDescent="0.25">
      <c r="A1352" t="s">
        <v>2804</v>
      </c>
      <c r="B1352" t="s">
        <v>1021</v>
      </c>
      <c r="C1352">
        <v>2021</v>
      </c>
      <c r="E1352" t="s">
        <v>3013</v>
      </c>
    </row>
    <row r="1353" spans="1:6" x14ac:dyDescent="0.25">
      <c r="A1353" t="s">
        <v>2804</v>
      </c>
      <c r="B1353" t="s">
        <v>1096</v>
      </c>
      <c r="C1353">
        <v>2021</v>
      </c>
      <c r="E1353" t="s">
        <v>1099</v>
      </c>
      <c r="F1353" t="s">
        <v>9176</v>
      </c>
    </row>
    <row r="1354" spans="1:6" x14ac:dyDescent="0.25">
      <c r="A1354" t="s">
        <v>2804</v>
      </c>
      <c r="B1354" t="s">
        <v>1180</v>
      </c>
      <c r="C1354">
        <v>2021</v>
      </c>
      <c r="E1354" t="s">
        <v>2982</v>
      </c>
      <c r="F1354" t="s">
        <v>9177</v>
      </c>
    </row>
    <row r="1355" spans="1:6" x14ac:dyDescent="0.25">
      <c r="A1355" t="s">
        <v>2804</v>
      </c>
      <c r="B1355" t="s">
        <v>1195</v>
      </c>
      <c r="C1355">
        <v>2021</v>
      </c>
      <c r="E1355" t="s">
        <v>3430</v>
      </c>
      <c r="F1355" t="s">
        <v>9178</v>
      </c>
    </row>
    <row r="1356" spans="1:6" x14ac:dyDescent="0.25">
      <c r="A1356" t="s">
        <v>2804</v>
      </c>
      <c r="B1356" t="s">
        <v>1211</v>
      </c>
      <c r="C1356">
        <v>2021</v>
      </c>
      <c r="E1356" t="s">
        <v>3013</v>
      </c>
    </row>
    <row r="1357" spans="1:6" x14ac:dyDescent="0.25">
      <c r="A1357" t="s">
        <v>2804</v>
      </c>
      <c r="B1357" t="s">
        <v>1243</v>
      </c>
      <c r="C1357">
        <v>2021</v>
      </c>
      <c r="E1357" t="s">
        <v>3013</v>
      </c>
    </row>
    <row r="1358" spans="1:6" x14ac:dyDescent="0.25">
      <c r="A1358" t="s">
        <v>2804</v>
      </c>
      <c r="B1358" t="s">
        <v>1251</v>
      </c>
      <c r="C1358">
        <v>2021</v>
      </c>
      <c r="E1358" t="s">
        <v>1254</v>
      </c>
      <c r="F1358" t="s">
        <v>9179</v>
      </c>
    </row>
    <row r="1359" spans="1:6" x14ac:dyDescent="0.25">
      <c r="A1359" t="s">
        <v>2804</v>
      </c>
      <c r="B1359" t="s">
        <v>1276</v>
      </c>
      <c r="C1359">
        <v>2021</v>
      </c>
      <c r="E1359" t="s">
        <v>2982</v>
      </c>
      <c r="F1359" t="s">
        <v>9180</v>
      </c>
    </row>
    <row r="1360" spans="1:6" x14ac:dyDescent="0.25">
      <c r="A1360" t="s">
        <v>2804</v>
      </c>
      <c r="B1360" t="s">
        <v>1302</v>
      </c>
      <c r="C1360">
        <v>2021</v>
      </c>
      <c r="E1360" t="s">
        <v>3013</v>
      </c>
    </row>
    <row r="1361" spans="1:6" x14ac:dyDescent="0.25">
      <c r="A1361" t="s">
        <v>2804</v>
      </c>
      <c r="B1361" t="s">
        <v>1348</v>
      </c>
      <c r="C1361">
        <v>2021</v>
      </c>
      <c r="E1361" t="s">
        <v>3241</v>
      </c>
      <c r="F1361" t="s">
        <v>9181</v>
      </c>
    </row>
    <row r="1362" spans="1:6" x14ac:dyDescent="0.25">
      <c r="A1362" t="s">
        <v>2804</v>
      </c>
      <c r="B1362" t="s">
        <v>1361</v>
      </c>
      <c r="C1362">
        <v>2021</v>
      </c>
      <c r="E1362" t="s">
        <v>3013</v>
      </c>
    </row>
    <row r="1363" spans="1:6" x14ac:dyDescent="0.25">
      <c r="A1363" t="s">
        <v>2804</v>
      </c>
      <c r="B1363" t="s">
        <v>1378</v>
      </c>
      <c r="C1363">
        <v>2021</v>
      </c>
      <c r="E1363" s="10" t="s">
        <v>1381</v>
      </c>
      <c r="F1363" t="s">
        <v>9182</v>
      </c>
    </row>
    <row r="1364" spans="1:6" x14ac:dyDescent="0.25">
      <c r="A1364" t="s">
        <v>2804</v>
      </c>
      <c r="B1364" t="s">
        <v>1396</v>
      </c>
      <c r="C1364">
        <v>2021</v>
      </c>
      <c r="E1364" t="s">
        <v>3013</v>
      </c>
    </row>
    <row r="1365" spans="1:6" x14ac:dyDescent="0.25">
      <c r="A1365" t="s">
        <v>2804</v>
      </c>
      <c r="B1365" t="s">
        <v>1403</v>
      </c>
      <c r="C1365">
        <v>2021</v>
      </c>
      <c r="E1365" t="s">
        <v>3013</v>
      </c>
    </row>
    <row r="1366" spans="1:6" x14ac:dyDescent="0.25">
      <c r="A1366" t="s">
        <v>2804</v>
      </c>
      <c r="B1366" t="s">
        <v>1409</v>
      </c>
      <c r="C1366">
        <v>2021</v>
      </c>
      <c r="E1366" t="s">
        <v>3431</v>
      </c>
    </row>
    <row r="1367" spans="1:6" x14ac:dyDescent="0.25">
      <c r="A1367" t="s">
        <v>2804</v>
      </c>
      <c r="B1367" t="s">
        <v>1463</v>
      </c>
      <c r="C1367">
        <v>2021</v>
      </c>
      <c r="E1367" t="s">
        <v>3127</v>
      </c>
      <c r="F1367" t="s">
        <v>9183</v>
      </c>
    </row>
    <row r="1368" spans="1:6" x14ac:dyDescent="0.25">
      <c r="A1368" t="s">
        <v>2804</v>
      </c>
      <c r="B1368" t="s">
        <v>1486</v>
      </c>
      <c r="C1368">
        <v>2021</v>
      </c>
      <c r="E1368" t="s">
        <v>3013</v>
      </c>
    </row>
    <row r="1369" spans="1:6" x14ac:dyDescent="0.25">
      <c r="A1369" t="s">
        <v>2804</v>
      </c>
      <c r="B1369" t="s">
        <v>1492</v>
      </c>
      <c r="C1369">
        <v>2021</v>
      </c>
      <c r="E1369" t="s">
        <v>3087</v>
      </c>
      <c r="F1369" t="s">
        <v>9184</v>
      </c>
    </row>
    <row r="1370" spans="1:6" x14ac:dyDescent="0.25">
      <c r="A1370" t="s">
        <v>2804</v>
      </c>
      <c r="B1370" t="s">
        <v>1500</v>
      </c>
      <c r="C1370">
        <v>2021</v>
      </c>
      <c r="E1370" t="s">
        <v>3013</v>
      </c>
    </row>
    <row r="1371" spans="1:6" x14ac:dyDescent="0.25">
      <c r="A1371" t="s">
        <v>2804</v>
      </c>
      <c r="B1371" t="s">
        <v>7963</v>
      </c>
      <c r="C1371">
        <v>2021</v>
      </c>
      <c r="E1371" s="10" t="s">
        <v>7962</v>
      </c>
      <c r="F1371" t="s">
        <v>9185</v>
      </c>
    </row>
    <row r="1372" spans="1:6" x14ac:dyDescent="0.25">
      <c r="A1372" t="s">
        <v>2804</v>
      </c>
      <c r="B1372" t="s">
        <v>1530</v>
      </c>
      <c r="C1372">
        <v>2021</v>
      </c>
      <c r="E1372" t="s">
        <v>3013</v>
      </c>
    </row>
    <row r="1373" spans="1:6" x14ac:dyDescent="0.25">
      <c r="A1373" t="s">
        <v>2804</v>
      </c>
      <c r="B1373" t="s">
        <v>1613</v>
      </c>
      <c r="C1373">
        <v>2021</v>
      </c>
      <c r="E1373" t="s">
        <v>3432</v>
      </c>
    </row>
    <row r="1374" spans="1:6" x14ac:dyDescent="0.25">
      <c r="A1374" t="s">
        <v>2804</v>
      </c>
      <c r="B1374" t="s">
        <v>1621</v>
      </c>
      <c r="C1374">
        <v>2021</v>
      </c>
      <c r="E1374" t="s">
        <v>2982</v>
      </c>
      <c r="F1374" t="s">
        <v>9186</v>
      </c>
    </row>
    <row r="1375" spans="1:6" x14ac:dyDescent="0.25">
      <c r="A1375" t="s">
        <v>2804</v>
      </c>
      <c r="B1375" t="s">
        <v>1670</v>
      </c>
      <c r="C1375">
        <v>2021</v>
      </c>
      <c r="E1375" t="s">
        <v>3013</v>
      </c>
    </row>
    <row r="1376" spans="1:6" x14ac:dyDescent="0.25">
      <c r="A1376" t="s">
        <v>2804</v>
      </c>
      <c r="B1376" t="s">
        <v>1696</v>
      </c>
      <c r="C1376">
        <v>2021</v>
      </c>
      <c r="E1376" t="s">
        <v>3146</v>
      </c>
      <c r="F1376" t="s">
        <v>9187</v>
      </c>
    </row>
    <row r="1377" spans="1:6" x14ac:dyDescent="0.25">
      <c r="A1377" t="s">
        <v>2804</v>
      </c>
      <c r="B1377" t="s">
        <v>1734</v>
      </c>
      <c r="C1377">
        <v>2021</v>
      </c>
      <c r="E1377" t="s">
        <v>2982</v>
      </c>
      <c r="F1377" t="s">
        <v>9188</v>
      </c>
    </row>
    <row r="1378" spans="1:6" x14ac:dyDescent="0.25">
      <c r="A1378" t="s">
        <v>2804</v>
      </c>
      <c r="B1378" t="s">
        <v>1764</v>
      </c>
      <c r="C1378">
        <v>2021</v>
      </c>
      <c r="E1378" t="s">
        <v>3013</v>
      </c>
    </row>
    <row r="1379" spans="1:6" x14ac:dyDescent="0.25">
      <c r="A1379" t="s">
        <v>2804</v>
      </c>
      <c r="B1379" t="s">
        <v>1793</v>
      </c>
      <c r="C1379">
        <v>2021</v>
      </c>
      <c r="E1379" t="s">
        <v>3013</v>
      </c>
    </row>
    <row r="1380" spans="1:6" x14ac:dyDescent="0.25">
      <c r="A1380" t="s">
        <v>2804</v>
      </c>
      <c r="B1380" t="s">
        <v>1804</v>
      </c>
      <c r="C1380">
        <v>2021</v>
      </c>
      <c r="E1380" t="s">
        <v>3013</v>
      </c>
    </row>
    <row r="1381" spans="1:6" x14ac:dyDescent="0.25">
      <c r="A1381" t="s">
        <v>2804</v>
      </c>
      <c r="B1381" t="s">
        <v>1809</v>
      </c>
      <c r="C1381">
        <v>2021</v>
      </c>
      <c r="E1381" t="s">
        <v>2982</v>
      </c>
      <c r="F1381" t="s">
        <v>9189</v>
      </c>
    </row>
    <row r="1382" spans="1:6" x14ac:dyDescent="0.25">
      <c r="A1382" t="s">
        <v>2804</v>
      </c>
      <c r="B1382" t="s">
        <v>1821</v>
      </c>
      <c r="C1382">
        <v>2021</v>
      </c>
      <c r="E1382" t="s">
        <v>3013</v>
      </c>
    </row>
    <row r="1383" spans="1:6" x14ac:dyDescent="0.25">
      <c r="A1383" t="s">
        <v>2804</v>
      </c>
      <c r="B1383" t="s">
        <v>1829</v>
      </c>
      <c r="C1383">
        <v>2021</v>
      </c>
      <c r="E1383" t="s">
        <v>3013</v>
      </c>
    </row>
    <row r="1384" spans="1:6" x14ac:dyDescent="0.25">
      <c r="A1384" t="s">
        <v>2804</v>
      </c>
      <c r="B1384" t="s">
        <v>1837</v>
      </c>
      <c r="C1384">
        <v>2021</v>
      </c>
      <c r="E1384" t="s">
        <v>3013</v>
      </c>
    </row>
    <row r="1385" spans="1:6" x14ac:dyDescent="0.25">
      <c r="A1385" t="s">
        <v>2804</v>
      </c>
      <c r="B1385" t="s">
        <v>1851</v>
      </c>
      <c r="C1385">
        <v>2021</v>
      </c>
      <c r="E1385" t="s">
        <v>2982</v>
      </c>
      <c r="F1385" t="s">
        <v>9190</v>
      </c>
    </row>
    <row r="1386" spans="1:6" x14ac:dyDescent="0.25">
      <c r="A1386" t="s">
        <v>2804</v>
      </c>
      <c r="B1386" t="s">
        <v>1958</v>
      </c>
      <c r="C1386">
        <v>2021</v>
      </c>
      <c r="E1386" s="10" t="s">
        <v>1961</v>
      </c>
      <c r="F1386" t="s">
        <v>9191</v>
      </c>
    </row>
    <row r="1387" spans="1:6" x14ac:dyDescent="0.25">
      <c r="A1387" t="s">
        <v>2804</v>
      </c>
      <c r="B1387" t="s">
        <v>1962</v>
      </c>
      <c r="C1387">
        <v>2021</v>
      </c>
      <c r="E1387" t="s">
        <v>3013</v>
      </c>
    </row>
    <row r="1388" spans="1:6" x14ac:dyDescent="0.25">
      <c r="A1388" t="s">
        <v>2804</v>
      </c>
      <c r="B1388" t="s">
        <v>7945</v>
      </c>
      <c r="C1388">
        <v>2021</v>
      </c>
      <c r="E1388" s="10" t="s">
        <v>7948</v>
      </c>
    </row>
    <row r="1389" spans="1:6" x14ac:dyDescent="0.25">
      <c r="A1389" t="s">
        <v>2804</v>
      </c>
      <c r="B1389" t="s">
        <v>2091</v>
      </c>
      <c r="C1389">
        <v>2021</v>
      </c>
      <c r="E1389" t="s">
        <v>3013</v>
      </c>
    </row>
    <row r="1390" spans="1:6" x14ac:dyDescent="0.25">
      <c r="A1390" t="s">
        <v>2804</v>
      </c>
      <c r="B1390" t="s">
        <v>2103</v>
      </c>
      <c r="C1390">
        <v>2021</v>
      </c>
      <c r="E1390" t="s">
        <v>3013</v>
      </c>
    </row>
    <row r="1391" spans="1:6" x14ac:dyDescent="0.25">
      <c r="A1391" t="s">
        <v>2804</v>
      </c>
      <c r="B1391" t="s">
        <v>7935</v>
      </c>
      <c r="C1391">
        <v>2021</v>
      </c>
      <c r="E1391" s="10" t="s">
        <v>7934</v>
      </c>
    </row>
    <row r="1392" spans="1:6" x14ac:dyDescent="0.25">
      <c r="A1392" t="s">
        <v>2804</v>
      </c>
      <c r="B1392" t="s">
        <v>2162</v>
      </c>
      <c r="C1392">
        <v>2021</v>
      </c>
      <c r="E1392" t="s">
        <v>2982</v>
      </c>
      <c r="F1392" t="s">
        <v>9192</v>
      </c>
    </row>
    <row r="1393" spans="1:6" x14ac:dyDescent="0.25">
      <c r="A1393" t="s">
        <v>2804</v>
      </c>
      <c r="B1393" t="s">
        <v>2192</v>
      </c>
      <c r="C1393">
        <v>2021</v>
      </c>
      <c r="E1393" s="10" t="s">
        <v>8384</v>
      </c>
      <c r="F1393" t="s">
        <v>9193</v>
      </c>
    </row>
    <row r="1394" spans="1:6" x14ac:dyDescent="0.25">
      <c r="A1394" t="s">
        <v>2804</v>
      </c>
      <c r="B1394" t="s">
        <v>8385</v>
      </c>
      <c r="C1394">
        <v>2021</v>
      </c>
      <c r="E1394" t="s">
        <v>3013</v>
      </c>
    </row>
    <row r="1395" spans="1:6" x14ac:dyDescent="0.25">
      <c r="A1395" t="s">
        <v>2804</v>
      </c>
      <c r="B1395" t="s">
        <v>2247</v>
      </c>
      <c r="C1395">
        <v>2021</v>
      </c>
      <c r="E1395" t="s">
        <v>3013</v>
      </c>
    </row>
    <row r="1396" spans="1:6" x14ac:dyDescent="0.25">
      <c r="A1396" t="s">
        <v>2804</v>
      </c>
      <c r="B1396" t="s">
        <v>2258</v>
      </c>
      <c r="C1396">
        <v>2021</v>
      </c>
      <c r="E1396" t="s">
        <v>3013</v>
      </c>
    </row>
    <row r="1397" spans="1:6" x14ac:dyDescent="0.25">
      <c r="A1397" t="s">
        <v>2804</v>
      </c>
      <c r="B1397" t="s">
        <v>2365</v>
      </c>
      <c r="C1397">
        <v>2021</v>
      </c>
      <c r="E1397" s="10" t="s">
        <v>8389</v>
      </c>
      <c r="F1397" t="s">
        <v>9194</v>
      </c>
    </row>
    <row r="1398" spans="1:6" x14ac:dyDescent="0.25">
      <c r="A1398" t="s">
        <v>2804</v>
      </c>
      <c r="B1398" t="s">
        <v>2381</v>
      </c>
      <c r="C1398">
        <v>2021</v>
      </c>
      <c r="E1398" t="s">
        <v>2982</v>
      </c>
      <c r="F1398" t="s">
        <v>9195</v>
      </c>
    </row>
    <row r="1399" spans="1:6" x14ac:dyDescent="0.25">
      <c r="A1399" t="s">
        <v>2804</v>
      </c>
      <c r="B1399" t="s">
        <v>2397</v>
      </c>
      <c r="C1399">
        <v>2021</v>
      </c>
      <c r="E1399" t="s">
        <v>3236</v>
      </c>
      <c r="F1399" t="s">
        <v>9196</v>
      </c>
    </row>
    <row r="1400" spans="1:6" x14ac:dyDescent="0.25">
      <c r="A1400" t="s">
        <v>2804</v>
      </c>
      <c r="B1400" t="s">
        <v>2410</v>
      </c>
      <c r="C1400">
        <v>2021</v>
      </c>
      <c r="E1400" t="s">
        <v>3013</v>
      </c>
    </row>
    <row r="1401" spans="1:6" x14ac:dyDescent="0.25">
      <c r="A1401" t="s">
        <v>2804</v>
      </c>
      <c r="B1401" t="s">
        <v>2435</v>
      </c>
      <c r="C1401">
        <v>2021</v>
      </c>
      <c r="E1401" t="s">
        <v>3013</v>
      </c>
    </row>
    <row r="1402" spans="1:6" x14ac:dyDescent="0.25">
      <c r="A1402" t="s">
        <v>2804</v>
      </c>
      <c r="B1402" t="s">
        <v>2463</v>
      </c>
      <c r="C1402">
        <v>2021</v>
      </c>
      <c r="E1402" s="10" t="s">
        <v>2466</v>
      </c>
    </row>
    <row r="1403" spans="1:6" x14ac:dyDescent="0.25">
      <c r="A1403" t="s">
        <v>2804</v>
      </c>
      <c r="B1403" t="s">
        <v>8113</v>
      </c>
      <c r="C1403">
        <v>2021</v>
      </c>
      <c r="E1403" s="10" t="s">
        <v>8132</v>
      </c>
      <c r="F1403" t="s">
        <v>9197</v>
      </c>
    </row>
    <row r="1404" spans="1:6" x14ac:dyDescent="0.25">
      <c r="A1404" t="s">
        <v>2804</v>
      </c>
      <c r="B1404" t="s">
        <v>2526</v>
      </c>
      <c r="C1404">
        <v>2021</v>
      </c>
      <c r="E1404" t="s">
        <v>3433</v>
      </c>
      <c r="F1404" t="s">
        <v>9198</v>
      </c>
    </row>
    <row r="1405" spans="1:6" x14ac:dyDescent="0.25">
      <c r="A1405" t="s">
        <v>2804</v>
      </c>
      <c r="B1405" t="s">
        <v>2603</v>
      </c>
      <c r="C1405">
        <v>2021</v>
      </c>
      <c r="E1405" t="s">
        <v>3013</v>
      </c>
    </row>
    <row r="1406" spans="1:6" x14ac:dyDescent="0.25">
      <c r="A1406" t="s">
        <v>2804</v>
      </c>
      <c r="B1406" t="s">
        <v>2609</v>
      </c>
      <c r="C1406">
        <v>2021</v>
      </c>
      <c r="E1406" t="s">
        <v>3434</v>
      </c>
    </row>
    <row r="1407" spans="1:6" x14ac:dyDescent="0.25">
      <c r="A1407" t="s">
        <v>2804</v>
      </c>
      <c r="B1407" t="s">
        <v>8150</v>
      </c>
      <c r="C1407">
        <v>2021</v>
      </c>
      <c r="E1407" s="10" t="s">
        <v>8151</v>
      </c>
      <c r="F1407" t="s">
        <v>9215</v>
      </c>
    </row>
    <row r="1408" spans="1:6" x14ac:dyDescent="0.25">
      <c r="A1408" t="s">
        <v>2804</v>
      </c>
      <c r="B1408" t="s">
        <v>2669</v>
      </c>
      <c r="C1408">
        <v>2021</v>
      </c>
      <c r="E1408" t="s">
        <v>3013</v>
      </c>
    </row>
    <row r="1409" spans="1:6" x14ac:dyDescent="0.25">
      <c r="A1409" t="s">
        <v>2804</v>
      </c>
      <c r="B1409" t="s">
        <v>2688</v>
      </c>
      <c r="C1409">
        <v>2021</v>
      </c>
      <c r="E1409" t="s">
        <v>3435</v>
      </c>
      <c r="F1409" t="s">
        <v>9199</v>
      </c>
    </row>
    <row r="1410" spans="1:6" x14ac:dyDescent="0.25">
      <c r="A1410" t="s">
        <v>2804</v>
      </c>
      <c r="B1410" t="s">
        <v>2691</v>
      </c>
      <c r="C1410">
        <v>2021</v>
      </c>
      <c r="E1410" t="s">
        <v>3013</v>
      </c>
    </row>
    <row r="1411" spans="1:6" x14ac:dyDescent="0.25">
      <c r="A1411" t="s">
        <v>2804</v>
      </c>
      <c r="B1411" t="s">
        <v>2698</v>
      </c>
      <c r="C1411">
        <v>2021</v>
      </c>
      <c r="E1411" t="s">
        <v>3194</v>
      </c>
    </row>
    <row r="1412" spans="1:6" x14ac:dyDescent="0.25">
      <c r="A1412" t="s">
        <v>2804</v>
      </c>
      <c r="B1412" t="s">
        <v>2742</v>
      </c>
      <c r="C1412">
        <v>2021</v>
      </c>
      <c r="E1412" t="s">
        <v>2982</v>
      </c>
      <c r="F1412" t="s">
        <v>9200</v>
      </c>
    </row>
    <row r="1413" spans="1:6" x14ac:dyDescent="0.25">
      <c r="A1413" t="s">
        <v>2804</v>
      </c>
      <c r="B1413" t="s">
        <v>2798</v>
      </c>
      <c r="C1413">
        <v>2021</v>
      </c>
      <c r="D1413" t="s">
        <v>187</v>
      </c>
    </row>
    <row r="1414" spans="1:6" x14ac:dyDescent="0.25">
      <c r="A1414" t="s">
        <v>2804</v>
      </c>
      <c r="B1414" t="s">
        <v>2800</v>
      </c>
      <c r="C1414">
        <v>2021</v>
      </c>
      <c r="E1414" t="s">
        <v>2982</v>
      </c>
      <c r="F1414" t="s">
        <v>9201</v>
      </c>
    </row>
    <row r="1415" spans="1:6" x14ac:dyDescent="0.25">
      <c r="A1415" t="s">
        <v>2804</v>
      </c>
      <c r="B1415" t="s">
        <v>2814</v>
      </c>
      <c r="C1415">
        <v>2021</v>
      </c>
      <c r="E1415" t="s">
        <v>2982</v>
      </c>
      <c r="F1415" t="s">
        <v>9202</v>
      </c>
    </row>
    <row r="1416" spans="1:6" x14ac:dyDescent="0.25">
      <c r="A1416" t="s">
        <v>2804</v>
      </c>
      <c r="B1416" t="s">
        <v>2828</v>
      </c>
      <c r="C1416">
        <v>2021</v>
      </c>
      <c r="E1416" t="s">
        <v>2982</v>
      </c>
      <c r="F1416" t="s">
        <v>9203</v>
      </c>
    </row>
    <row r="1417" spans="1:6" x14ac:dyDescent="0.25">
      <c r="A1417" t="s">
        <v>2804</v>
      </c>
      <c r="B1417" t="s">
        <v>7853</v>
      </c>
      <c r="C1417">
        <v>2021</v>
      </c>
      <c r="E1417" t="s">
        <v>7856</v>
      </c>
      <c r="F1417" t="s">
        <v>9204</v>
      </c>
    </row>
    <row r="1418" spans="1:6" x14ac:dyDescent="0.25">
      <c r="A1418" t="s">
        <v>2804</v>
      </c>
      <c r="B1418" t="s">
        <v>2852</v>
      </c>
      <c r="C1418">
        <v>2021</v>
      </c>
      <c r="D1418" t="s">
        <v>187</v>
      </c>
      <c r="E1418" t="s">
        <v>3436</v>
      </c>
    </row>
    <row r="1419" spans="1:6" x14ac:dyDescent="0.25">
      <c r="A1419" t="s">
        <v>2804</v>
      </c>
      <c r="B1419" t="s">
        <v>2882</v>
      </c>
      <c r="C1419">
        <v>2021</v>
      </c>
      <c r="E1419" t="s">
        <v>3437</v>
      </c>
      <c r="F1419" t="s">
        <v>9205</v>
      </c>
    </row>
    <row r="1420" spans="1:6" x14ac:dyDescent="0.25">
      <c r="A1420" t="s">
        <v>2804</v>
      </c>
      <c r="B1420" t="s">
        <v>2933</v>
      </c>
      <c r="C1420">
        <v>2021</v>
      </c>
      <c r="E1420" t="s">
        <v>3013</v>
      </c>
    </row>
    <row r="1421" spans="1:6" x14ac:dyDescent="0.25">
      <c r="A1421" t="s">
        <v>2818</v>
      </c>
      <c r="B1421" t="s">
        <v>2820</v>
      </c>
      <c r="C1421">
        <v>2021</v>
      </c>
      <c r="D1421" t="s">
        <v>187</v>
      </c>
    </row>
    <row r="1422" spans="1:6" x14ac:dyDescent="0.25">
      <c r="A1422" t="s">
        <v>2824</v>
      </c>
      <c r="B1422" t="s">
        <v>2886</v>
      </c>
      <c r="C1422">
        <v>2019</v>
      </c>
      <c r="D1422" t="s">
        <v>187</v>
      </c>
    </row>
    <row r="1423" spans="1:6" x14ac:dyDescent="0.25">
      <c r="A1423" t="s">
        <v>2828</v>
      </c>
      <c r="B1423" t="s">
        <v>2339</v>
      </c>
      <c r="C1423">
        <v>2022</v>
      </c>
      <c r="D1423" t="s">
        <v>187</v>
      </c>
    </row>
    <row r="1424" spans="1:6" x14ac:dyDescent="0.25">
      <c r="A1424" t="s">
        <v>2828</v>
      </c>
      <c r="B1424" t="s">
        <v>2463</v>
      </c>
      <c r="C1424">
        <v>2022</v>
      </c>
      <c r="E1424" s="10" t="s">
        <v>2466</v>
      </c>
      <c r="F1424" t="s">
        <v>9270</v>
      </c>
    </row>
    <row r="1425" spans="1:6" x14ac:dyDescent="0.25">
      <c r="A1425" t="s">
        <v>2846</v>
      </c>
      <c r="B1425" t="s">
        <v>2850</v>
      </c>
      <c r="C1425">
        <v>2023</v>
      </c>
      <c r="D1425" t="s">
        <v>187</v>
      </c>
    </row>
    <row r="1426" spans="1:6" x14ac:dyDescent="0.25">
      <c r="A1426" t="s">
        <v>2874</v>
      </c>
      <c r="B1426" t="s">
        <v>1144</v>
      </c>
      <c r="C1426">
        <v>2005</v>
      </c>
      <c r="E1426" s="10" t="s">
        <v>8410</v>
      </c>
      <c r="F1426" t="s">
        <v>9285</v>
      </c>
    </row>
    <row r="1427" spans="1:6" x14ac:dyDescent="0.25">
      <c r="A1427" t="s">
        <v>2874</v>
      </c>
      <c r="B1427" t="s">
        <v>1423</v>
      </c>
      <c r="C1427">
        <v>2005</v>
      </c>
      <c r="D1427" t="s">
        <v>187</v>
      </c>
    </row>
    <row r="1428" spans="1:6" x14ac:dyDescent="0.25">
      <c r="A1428" t="s">
        <v>2878</v>
      </c>
      <c r="B1428" t="s">
        <v>1351</v>
      </c>
      <c r="C1428">
        <v>2020</v>
      </c>
      <c r="D1428" t="s">
        <v>187</v>
      </c>
    </row>
    <row r="1429" spans="1:6" x14ac:dyDescent="0.25">
      <c r="A1429" t="s">
        <v>2890</v>
      </c>
      <c r="B1429" t="s">
        <v>803</v>
      </c>
      <c r="C1429">
        <v>2023</v>
      </c>
      <c r="E1429" t="s">
        <v>2982</v>
      </c>
      <c r="F1429" t="s">
        <v>9206</v>
      </c>
    </row>
    <row r="1430" spans="1:6" x14ac:dyDescent="0.25">
      <c r="A1430" t="s">
        <v>2890</v>
      </c>
      <c r="B1430" t="s">
        <v>1394</v>
      </c>
      <c r="C1430">
        <v>2023</v>
      </c>
      <c r="E1430" t="s">
        <v>3032</v>
      </c>
    </row>
    <row r="1431" spans="1:6" x14ac:dyDescent="0.25">
      <c r="A1431" t="s">
        <v>2901</v>
      </c>
      <c r="B1431" t="s">
        <v>7957</v>
      </c>
      <c r="C1431">
        <v>2023</v>
      </c>
      <c r="E1431" s="10" t="s">
        <v>7960</v>
      </c>
      <c r="F1431" t="s">
        <v>9207</v>
      </c>
    </row>
    <row r="1432" spans="1:6" x14ac:dyDescent="0.25">
      <c r="A1432" t="s">
        <v>2901</v>
      </c>
      <c r="B1432" t="s">
        <v>2840</v>
      </c>
      <c r="C1432">
        <v>2023</v>
      </c>
      <c r="E1432" t="s">
        <v>3438</v>
      </c>
      <c r="F1432" t="s">
        <v>9208</v>
      </c>
    </row>
    <row r="1433" spans="1:6" x14ac:dyDescent="0.25">
      <c r="A1433" t="s">
        <v>2906</v>
      </c>
      <c r="B1433" t="s">
        <v>226</v>
      </c>
      <c r="C1433">
        <v>2018</v>
      </c>
      <c r="E1433" t="s">
        <v>3182</v>
      </c>
    </row>
    <row r="1434" spans="1:6" x14ac:dyDescent="0.25">
      <c r="A1434" t="s">
        <v>2906</v>
      </c>
      <c r="B1434" t="s">
        <v>310</v>
      </c>
      <c r="C1434">
        <v>2018</v>
      </c>
      <c r="E1434" t="s">
        <v>3077</v>
      </c>
      <c r="F1434" t="s">
        <v>9209</v>
      </c>
    </row>
    <row r="1435" spans="1:6" x14ac:dyDescent="0.25">
      <c r="A1435" t="s">
        <v>2906</v>
      </c>
      <c r="B1435" t="s">
        <v>1294</v>
      </c>
      <c r="C1435">
        <v>2018</v>
      </c>
      <c r="E1435" s="10" t="s">
        <v>8368</v>
      </c>
      <c r="F1435" t="s">
        <v>9236</v>
      </c>
    </row>
    <row r="1436" spans="1:6" x14ac:dyDescent="0.25">
      <c r="A1436" t="s">
        <v>2906</v>
      </c>
      <c r="B1436" t="s">
        <v>2031</v>
      </c>
      <c r="C1436">
        <v>2018</v>
      </c>
      <c r="E1436" t="s">
        <v>3234</v>
      </c>
      <c r="F1436" t="s">
        <v>9210</v>
      </c>
    </row>
    <row r="1437" spans="1:6" x14ac:dyDescent="0.25">
      <c r="A1437" t="s">
        <v>2906</v>
      </c>
      <c r="B1437" t="s">
        <v>2910</v>
      </c>
      <c r="C1437">
        <v>2018</v>
      </c>
      <c r="D1437" t="s">
        <v>187</v>
      </c>
    </row>
    <row r="1438" spans="1:6" x14ac:dyDescent="0.25">
      <c r="A1438" t="s">
        <v>2943</v>
      </c>
      <c r="B1438" t="s">
        <v>2637</v>
      </c>
      <c r="C1438">
        <v>2010</v>
      </c>
      <c r="D1438" t="s">
        <v>187</v>
      </c>
      <c r="E1438" t="s">
        <v>3439</v>
      </c>
    </row>
    <row r="1439" spans="1:6" x14ac:dyDescent="0.25">
      <c r="A1439" t="s">
        <v>2947</v>
      </c>
      <c r="B1439" t="s">
        <v>698</v>
      </c>
      <c r="C1439">
        <v>1994</v>
      </c>
      <c r="E1439" t="s">
        <v>3440</v>
      </c>
      <c r="F1439" t="s">
        <v>9211</v>
      </c>
    </row>
    <row r="1440" spans="1:6" x14ac:dyDescent="0.25">
      <c r="A1440" t="s">
        <v>2947</v>
      </c>
      <c r="B1440" t="s">
        <v>2571</v>
      </c>
      <c r="C1440">
        <v>1994</v>
      </c>
      <c r="E1440" t="s">
        <v>3441</v>
      </c>
      <c r="F1440" t="s">
        <v>9212</v>
      </c>
    </row>
    <row r="1441" spans="1:6" x14ac:dyDescent="0.25">
      <c r="A1441" t="s">
        <v>2947</v>
      </c>
      <c r="B1441" t="s">
        <v>2962</v>
      </c>
      <c r="C1441">
        <v>1994</v>
      </c>
      <c r="E1441" t="s">
        <v>3006</v>
      </c>
      <c r="F1441" t="s">
        <v>9213</v>
      </c>
    </row>
    <row r="1442" spans="1:6" x14ac:dyDescent="0.25">
      <c r="A1442" t="s">
        <v>2954</v>
      </c>
      <c r="B1442" t="s">
        <v>1413</v>
      </c>
      <c r="C1442">
        <v>2014</v>
      </c>
      <c r="E1442" s="10" t="s">
        <v>8416</v>
      </c>
      <c r="F1442" t="s">
        <v>9294</v>
      </c>
    </row>
    <row r="1443" spans="1:6" x14ac:dyDescent="0.25">
      <c r="A1443" t="s">
        <v>2954</v>
      </c>
      <c r="B1443" t="s">
        <v>2812</v>
      </c>
      <c r="C1443">
        <v>2014</v>
      </c>
      <c r="E1443" t="s">
        <v>3082</v>
      </c>
      <c r="F1443" t="s">
        <v>9214</v>
      </c>
    </row>
    <row r="1444" spans="1:6" x14ac:dyDescent="0.25">
      <c r="A1444" t="s">
        <v>2954</v>
      </c>
      <c r="B1444" t="s">
        <v>2958</v>
      </c>
      <c r="C1444">
        <v>2014</v>
      </c>
      <c r="D1444" t="s">
        <v>187</v>
      </c>
    </row>
    <row r="1445" spans="1:6" x14ac:dyDescent="0.25">
      <c r="A1445" t="s">
        <v>2965</v>
      </c>
      <c r="B1445" t="s">
        <v>2103</v>
      </c>
      <c r="C1445">
        <v>2023</v>
      </c>
      <c r="D1445" t="s">
        <v>187</v>
      </c>
    </row>
    <row r="1446" spans="1:6" x14ac:dyDescent="0.25">
      <c r="A1446" t="s">
        <v>2154</v>
      </c>
      <c r="B1446" t="s">
        <v>379</v>
      </c>
      <c r="C1446">
        <v>1980</v>
      </c>
      <c r="E1446" s="10" t="s">
        <v>9321</v>
      </c>
      <c r="F1446" t="s">
        <v>9322</v>
      </c>
    </row>
    <row r="1447" spans="1:6" x14ac:dyDescent="0.25">
      <c r="A1447" t="s">
        <v>2428</v>
      </c>
      <c r="B1447" t="s">
        <v>517</v>
      </c>
      <c r="C1447">
        <v>2008</v>
      </c>
      <c r="E1447" s="10" t="s">
        <v>9324</v>
      </c>
      <c r="F1447" t="s">
        <v>9323</v>
      </c>
    </row>
    <row r="1448" spans="1:6" x14ac:dyDescent="0.25">
      <c r="A1448" t="s">
        <v>836</v>
      </c>
      <c r="B1448" t="s">
        <v>517</v>
      </c>
      <c r="C1448">
        <v>2010</v>
      </c>
      <c r="E1448" s="10" t="s">
        <v>9324</v>
      </c>
      <c r="F1448" t="s">
        <v>9325</v>
      </c>
    </row>
    <row r="1449" spans="1:6" x14ac:dyDescent="0.25">
      <c r="A1449" t="s">
        <v>490</v>
      </c>
      <c r="B1449" t="s">
        <v>517</v>
      </c>
      <c r="C1449">
        <v>2009</v>
      </c>
      <c r="E1449" s="10" t="s">
        <v>9324</v>
      </c>
      <c r="F1449" t="s">
        <v>9326</v>
      </c>
    </row>
    <row r="1450" spans="1:6" x14ac:dyDescent="0.25">
      <c r="A1450" t="s">
        <v>1443</v>
      </c>
      <c r="B1450" t="s">
        <v>619</v>
      </c>
      <c r="C1450">
        <v>2018</v>
      </c>
      <c r="E1450" s="10" t="s">
        <v>9329</v>
      </c>
      <c r="F1450" t="s">
        <v>9327</v>
      </c>
    </row>
    <row r="1451" spans="1:6" x14ac:dyDescent="0.25">
      <c r="A1451" t="s">
        <v>1294</v>
      </c>
      <c r="B1451" t="s">
        <v>619</v>
      </c>
      <c r="C1451">
        <v>2019</v>
      </c>
      <c r="E1451" s="10" t="s">
        <v>9329</v>
      </c>
      <c r="F1451" t="s">
        <v>9328</v>
      </c>
    </row>
    <row r="1452" spans="1:6" x14ac:dyDescent="0.25">
      <c r="A1452" t="s">
        <v>256</v>
      </c>
      <c r="B1452" t="s">
        <v>1171</v>
      </c>
      <c r="C1452">
        <v>1994</v>
      </c>
      <c r="E1452" s="10" t="s">
        <v>9330</v>
      </c>
      <c r="F1452" t="s">
        <v>9331</v>
      </c>
    </row>
    <row r="1453" spans="1:6" x14ac:dyDescent="0.25">
      <c r="A1453" t="s">
        <v>1795</v>
      </c>
      <c r="B1453" t="s">
        <v>1761</v>
      </c>
      <c r="C1453">
        <v>1987</v>
      </c>
      <c r="E1453" s="10" t="s">
        <v>9332</v>
      </c>
      <c r="F1453" t="s">
        <v>9333</v>
      </c>
    </row>
    <row r="1454" spans="1:6" x14ac:dyDescent="0.25">
      <c r="A1454" t="s">
        <v>1294</v>
      </c>
      <c r="B1454" t="s">
        <v>2279</v>
      </c>
      <c r="C1454">
        <v>2019</v>
      </c>
      <c r="E1454" s="10" t="s">
        <v>3106</v>
      </c>
      <c r="F1454" t="s">
        <v>9334</v>
      </c>
    </row>
    <row r="1455" spans="1:6" x14ac:dyDescent="0.25">
      <c r="A1455" t="s">
        <v>497</v>
      </c>
      <c r="B1455" t="s">
        <v>8113</v>
      </c>
      <c r="C1455">
        <v>2022</v>
      </c>
      <c r="E1455" s="10" t="s">
        <v>8132</v>
      </c>
      <c r="F1455" t="s">
        <v>9335</v>
      </c>
    </row>
    <row r="1456" spans="1:6" x14ac:dyDescent="0.25">
      <c r="A1456" t="s">
        <v>847</v>
      </c>
      <c r="B1456" t="s">
        <v>832</v>
      </c>
      <c r="C1456">
        <v>1996</v>
      </c>
      <c r="E1456" s="10" t="s">
        <v>9336</v>
      </c>
      <c r="F1456" t="s">
        <v>9337</v>
      </c>
    </row>
    <row r="1457" spans="1:6" x14ac:dyDescent="0.25">
      <c r="A1457" t="s">
        <v>1144</v>
      </c>
      <c r="B1457" t="s">
        <v>1334</v>
      </c>
      <c r="C1457">
        <v>2012</v>
      </c>
      <c r="E1457" s="10" t="s">
        <v>9339</v>
      </c>
      <c r="F1457" t="s">
        <v>9338</v>
      </c>
    </row>
    <row r="1458" spans="1:6" x14ac:dyDescent="0.25">
      <c r="A1458" t="s">
        <v>2154</v>
      </c>
      <c r="B1458" t="s">
        <v>1882</v>
      </c>
      <c r="C1458">
        <v>1980</v>
      </c>
      <c r="E1458" s="10" t="s">
        <v>9340</v>
      </c>
      <c r="F1458" t="s">
        <v>9341</v>
      </c>
    </row>
    <row r="1459" spans="1:6" x14ac:dyDescent="0.25">
      <c r="A1459" t="s">
        <v>847</v>
      </c>
      <c r="B1459" t="s">
        <v>2796</v>
      </c>
      <c r="C1459">
        <v>1996</v>
      </c>
      <c r="E1459" s="10" t="s">
        <v>3169</v>
      </c>
      <c r="F1459" t="s">
        <v>9342</v>
      </c>
    </row>
    <row r="1460" spans="1:6" x14ac:dyDescent="0.25">
      <c r="A1460" t="s">
        <v>2804</v>
      </c>
      <c r="B1460" t="s">
        <v>2567</v>
      </c>
      <c r="C1460">
        <v>2021</v>
      </c>
      <c r="E1460" s="10" t="s">
        <v>9343</v>
      </c>
      <c r="F1460" t="s">
        <v>9344</v>
      </c>
    </row>
  </sheetData>
  <hyperlinks>
    <hyperlink ref="E6" r:id="rId1" xr:uid="{00000000-0004-0000-0100-000000000000}"/>
    <hyperlink ref="E12" r:id="rId2" xr:uid="{00000000-0004-0000-0100-000001000000}"/>
    <hyperlink ref="E13" r:id="rId3" xr:uid="{00000000-0004-0000-0100-000002000000}"/>
    <hyperlink ref="E14" r:id="rId4" xr:uid="{00000000-0004-0000-0100-000003000000}"/>
    <hyperlink ref="E16" r:id="rId5" xr:uid="{00000000-0004-0000-0100-000004000000}"/>
    <hyperlink ref="E17" r:id="rId6" xr:uid="{00000000-0004-0000-0100-000005000000}"/>
    <hyperlink ref="E19" r:id="rId7" xr:uid="{00000000-0004-0000-0100-000006000000}"/>
    <hyperlink ref="E20" r:id="rId8" xr:uid="{00000000-0004-0000-0100-000007000000}"/>
    <hyperlink ref="E21" r:id="rId9" xr:uid="{00000000-0004-0000-0100-000008000000}"/>
    <hyperlink ref="E24" r:id="rId10" xr:uid="{00000000-0004-0000-0100-000009000000}"/>
    <hyperlink ref="E26" r:id="rId11" xr:uid="{00000000-0004-0000-0100-00000A000000}"/>
    <hyperlink ref="E27" r:id="rId12" xr:uid="{00000000-0004-0000-0100-00000B000000}"/>
    <hyperlink ref="E28" r:id="rId13" xr:uid="{00000000-0004-0000-0100-00000C000000}"/>
    <hyperlink ref="E29" r:id="rId14" xr:uid="{00000000-0004-0000-0100-00000D000000}"/>
    <hyperlink ref="E30" r:id="rId15" xr:uid="{00000000-0004-0000-0100-00000E000000}"/>
    <hyperlink ref="E31" r:id="rId16" xr:uid="{00000000-0004-0000-0100-00000F000000}"/>
    <hyperlink ref="E33" r:id="rId17" xr:uid="{00000000-0004-0000-0100-000010000000}"/>
    <hyperlink ref="E34" r:id="rId18" xr:uid="{00000000-0004-0000-0100-000011000000}"/>
    <hyperlink ref="E35" r:id="rId19" xr:uid="{00000000-0004-0000-0100-000012000000}"/>
    <hyperlink ref="E36" r:id="rId20" xr:uid="{00000000-0004-0000-0100-000013000000}"/>
    <hyperlink ref="E40" r:id="rId21" xr:uid="{00000000-0004-0000-0100-000014000000}"/>
    <hyperlink ref="E41" r:id="rId22" xr:uid="{00000000-0004-0000-0100-000015000000}"/>
    <hyperlink ref="E42" r:id="rId23" xr:uid="{00000000-0004-0000-0100-000016000000}"/>
    <hyperlink ref="E43" r:id="rId24" xr:uid="{00000000-0004-0000-0100-000017000000}"/>
    <hyperlink ref="E44" r:id="rId25" xr:uid="{00000000-0004-0000-0100-000018000000}"/>
    <hyperlink ref="E45" r:id="rId26" xr:uid="{00000000-0004-0000-0100-000019000000}"/>
    <hyperlink ref="E48" r:id="rId27" xr:uid="{00000000-0004-0000-0100-00001A000000}"/>
    <hyperlink ref="E49" r:id="rId28" xr:uid="{00000000-0004-0000-0100-00001B000000}"/>
    <hyperlink ref="E50" r:id="rId29" xr:uid="{00000000-0004-0000-0100-00001C000000}"/>
    <hyperlink ref="E51" r:id="rId30" xr:uid="{00000000-0004-0000-0100-00001D000000}"/>
    <hyperlink ref="E52" r:id="rId31" xr:uid="{00000000-0004-0000-0100-00001E000000}"/>
    <hyperlink ref="E55" r:id="rId32" xr:uid="{00000000-0004-0000-0100-00001F000000}"/>
    <hyperlink ref="E56" r:id="rId33" location=":~:text=A%20downloadable%20game%20for%20Windows,it%20to%20the%20next%20round." xr:uid="{00000000-0004-0000-0100-000020000000}"/>
    <hyperlink ref="E59" r:id="rId34" xr:uid="{00000000-0004-0000-0100-000021000000}"/>
    <hyperlink ref="E61" r:id="rId35" xr:uid="{00000000-0004-0000-0100-000022000000}"/>
    <hyperlink ref="E62" r:id="rId36" xr:uid="{00000000-0004-0000-0100-000023000000}"/>
    <hyperlink ref="E63" r:id="rId37" xr:uid="{00000000-0004-0000-0100-000024000000}"/>
    <hyperlink ref="E67" r:id="rId38" location="c4335355681661031211" xr:uid="{00000000-0004-0000-0100-000025000000}"/>
    <hyperlink ref="E73" r:id="rId39" xr:uid="{00000000-0004-0000-0100-000026000000}"/>
    <hyperlink ref="E75" r:id="rId40" xr:uid="{00000000-0004-0000-0100-000027000000}"/>
    <hyperlink ref="E76" r:id="rId41" xr:uid="{00000000-0004-0000-0100-000028000000}"/>
    <hyperlink ref="E77" r:id="rId42" xr:uid="{00000000-0004-0000-0100-000029000000}"/>
    <hyperlink ref="E78" r:id="rId43" xr:uid="{00000000-0004-0000-0100-00002A000000}"/>
    <hyperlink ref="E79" r:id="rId44" location=":~:text=With%20inspirations%20from%20hometown%20superstars%20Nikola%20Jokić%2C,passion%20project%20using%20basketball%20as%20the%20medium." xr:uid="{00000000-0004-0000-0100-00002B000000}"/>
    <hyperlink ref="E82" r:id="rId45" xr:uid="{00000000-0004-0000-0100-00002C000000}"/>
    <hyperlink ref="E83" r:id="rId46" xr:uid="{00000000-0004-0000-0100-00002D000000}"/>
    <hyperlink ref="E84" r:id="rId47" xr:uid="{00000000-0004-0000-0100-00002E000000}"/>
    <hyperlink ref="E87" r:id="rId48" xr:uid="{00000000-0004-0000-0100-00002F000000}"/>
    <hyperlink ref="E92" r:id="rId49" xr:uid="{00000000-0004-0000-0100-000030000000}"/>
    <hyperlink ref="E94" r:id="rId50" xr:uid="{00000000-0004-0000-0100-000031000000}"/>
    <hyperlink ref="E100" r:id="rId51" location=":~:text=A%20downloadable%20game%20for%20Windows,it%20to%20the%20next%20round." xr:uid="{00000000-0004-0000-0100-000032000000}"/>
    <hyperlink ref="E101" r:id="rId52" xr:uid="{00000000-0004-0000-0100-000033000000}"/>
    <hyperlink ref="E102" r:id="rId53" xr:uid="{00000000-0004-0000-0100-000034000000}"/>
    <hyperlink ref="E103" r:id="rId54" xr:uid="{00000000-0004-0000-0100-000035000000}"/>
    <hyperlink ref="E104" r:id="rId55" xr:uid="{00000000-0004-0000-0100-000036000000}"/>
    <hyperlink ref="E105" r:id="rId56" xr:uid="{00000000-0004-0000-0100-000037000000}"/>
    <hyperlink ref="E106" r:id="rId57" xr:uid="{00000000-0004-0000-0100-000038000000}"/>
    <hyperlink ref="E108" r:id="rId58" xr:uid="{00000000-0004-0000-0100-000039000000}"/>
    <hyperlink ref="E109" r:id="rId59" xr:uid="{00000000-0004-0000-0100-00003A000000}"/>
    <hyperlink ref="E112" r:id="rId60" location=":~:text=RollScape%20is%20a%20game%20inspired,I%20played%20throughout%20the%20years." xr:uid="{00000000-0004-0000-0100-00003B000000}"/>
    <hyperlink ref="E113" r:id="rId61" xr:uid="{00000000-0004-0000-0100-00003C000000}"/>
    <hyperlink ref="E114" r:id="rId62" location=":~:text=%2C%20say%2C%20Arco?-,RunebornGame,make%20it%20even%20more%20unique." xr:uid="{00000000-0004-0000-0100-00003D000000}"/>
    <hyperlink ref="E115" r:id="rId63" xr:uid="{00000000-0004-0000-0100-00003E000000}"/>
    <hyperlink ref="E118" r:id="rId64" xr:uid="{00000000-0004-0000-0100-00003F000000}"/>
    <hyperlink ref="E119" r:id="rId65" xr:uid="{00000000-0004-0000-0100-000040000000}"/>
    <hyperlink ref="E120" r:id="rId66" xr:uid="{00000000-0004-0000-0100-000041000000}"/>
    <hyperlink ref="E122" r:id="rId67" xr:uid="{00000000-0004-0000-0100-000042000000}"/>
    <hyperlink ref="E124" r:id="rId68" xr:uid="{00000000-0004-0000-0100-000043000000}"/>
    <hyperlink ref="E127" r:id="rId69" xr:uid="{00000000-0004-0000-0100-000044000000}"/>
    <hyperlink ref="E129" r:id="rId70" xr:uid="{00000000-0004-0000-0100-000045000000}"/>
    <hyperlink ref="E132" r:id="rId71" xr:uid="{00000000-0004-0000-0100-000046000000}"/>
    <hyperlink ref="E133" r:id="rId72" xr:uid="{00000000-0004-0000-0100-000047000000}"/>
    <hyperlink ref="E138" r:id="rId73" location=":~:text=The%20Last%20Spell's%20unique%20blend,build%20characters%20however%20they%20want." xr:uid="{00000000-0004-0000-0100-000048000000}"/>
    <hyperlink ref="E141" r:id="rId74" xr:uid="{00000000-0004-0000-0100-000049000000}"/>
    <hyperlink ref="E144" r:id="rId75" xr:uid="{00000000-0004-0000-0100-00004A000000}"/>
    <hyperlink ref="E146" r:id="rId76" xr:uid="{00000000-0004-0000-0100-00004B000000}"/>
    <hyperlink ref="E147" r:id="rId77" xr:uid="{00000000-0004-0000-0100-00004C000000}"/>
    <hyperlink ref="E149" r:id="rId78" xr:uid="{00000000-0004-0000-0100-00004D000000}"/>
    <hyperlink ref="E151" r:id="rId79" xr:uid="{00000000-0004-0000-0100-00004E000000}"/>
    <hyperlink ref="E152" r:id="rId80" location="c494631967651765393" xr:uid="{00000000-0004-0000-0100-00004F000000}"/>
    <hyperlink ref="E153" r:id="rId81" xr:uid="{00000000-0004-0000-0100-000050000000}"/>
    <hyperlink ref="E154" r:id="rId82" xr:uid="{00000000-0004-0000-0100-000051000000}"/>
    <hyperlink ref="E155" r:id="rId83" location="c735910198043297427" xr:uid="{00000000-0004-0000-0100-000052000000}"/>
    <hyperlink ref="E157" r:id="rId84" xr:uid="{00000000-0004-0000-0100-000053000000}"/>
    <hyperlink ref="E160" r:id="rId85" xr:uid="{00000000-0004-0000-0100-000054000000}"/>
    <hyperlink ref="E162" r:id="rId86" xr:uid="{00000000-0004-0000-0100-000055000000}"/>
    <hyperlink ref="E163" r:id="rId87" xr:uid="{00000000-0004-0000-0100-000056000000}"/>
    <hyperlink ref="E164" r:id="rId88" xr:uid="{00000000-0004-0000-0100-000057000000}"/>
    <hyperlink ref="E167" r:id="rId89" xr:uid="{00000000-0004-0000-0100-000058000000}"/>
    <hyperlink ref="E168" r:id="rId90" xr:uid="{00000000-0004-0000-0100-000059000000}"/>
    <hyperlink ref="E169" r:id="rId91" xr:uid="{00000000-0004-0000-0100-00005A000000}"/>
    <hyperlink ref="E173" r:id="rId92" xr:uid="{00000000-0004-0000-0100-00005B000000}"/>
    <hyperlink ref="E174" r:id="rId93" xr:uid="{00000000-0004-0000-0100-00005C000000}"/>
    <hyperlink ref="E177" r:id="rId94" xr:uid="{00000000-0004-0000-0100-00005D000000}"/>
    <hyperlink ref="E178" r:id="rId95" xr:uid="{00000000-0004-0000-0100-00005E000000}"/>
    <hyperlink ref="E179" r:id="rId96" xr:uid="{00000000-0004-0000-0100-00005F000000}"/>
    <hyperlink ref="E180" r:id="rId97" xr:uid="{00000000-0004-0000-0100-000060000000}"/>
    <hyperlink ref="E182" r:id="rId98" xr:uid="{00000000-0004-0000-0100-000061000000}"/>
    <hyperlink ref="E188" r:id="rId99" xr:uid="{00000000-0004-0000-0100-000062000000}"/>
    <hyperlink ref="E194" r:id="rId100" location=":~:text=*Mainframe%20Defenders*%20is%20a%20roguelite%20game%20available,**Earning%20Matter%20and%20drops**%20*%20**Upgrading%20mechs**" xr:uid="{00000000-0004-0000-0100-000063000000}"/>
    <hyperlink ref="E195" r:id="rId101" location="c5456682769558786398" xr:uid="{00000000-0004-0000-0100-000064000000}"/>
    <hyperlink ref="E197" r:id="rId102" xr:uid="{00000000-0004-0000-0100-000065000000}"/>
    <hyperlink ref="E198" r:id="rId103" location=":~:text=Vellum's%20Inspirations,chapter%20of%20the%20original%20series." xr:uid="{00000000-0004-0000-0100-000066000000}"/>
    <hyperlink ref="E199" r:id="rId104" xr:uid="{00000000-0004-0000-0100-000067000000}"/>
    <hyperlink ref="E200" r:id="rId105" location=":~:text=The%20game%20was%20inspired%20by,of%20the%20NecroDancer%20and%20Cuphead." xr:uid="{00000000-0004-0000-0100-000068000000}"/>
    <hyperlink ref="E202" r:id="rId106" xr:uid="{00000000-0004-0000-0100-000069000000}"/>
    <hyperlink ref="E203" r:id="rId107" xr:uid="{00000000-0004-0000-0100-00006A000000}"/>
    <hyperlink ref="E205" r:id="rId108" xr:uid="{00000000-0004-0000-0100-00006B000000}"/>
    <hyperlink ref="E208" r:id="rId109" xr:uid="{00000000-0004-0000-0100-00006C000000}"/>
    <hyperlink ref="E209" r:id="rId110" xr:uid="{00000000-0004-0000-0100-00006D000000}"/>
    <hyperlink ref="E210" r:id="rId111" xr:uid="{00000000-0004-0000-0100-00006E000000}"/>
    <hyperlink ref="E211" r:id="rId112" xr:uid="{00000000-0004-0000-0100-00006F000000}"/>
    <hyperlink ref="E212" r:id="rId113" xr:uid="{00000000-0004-0000-0100-000070000000}"/>
    <hyperlink ref="E213" r:id="rId114" xr:uid="{00000000-0004-0000-0100-000071000000}"/>
    <hyperlink ref="E214" r:id="rId115" xr:uid="{00000000-0004-0000-0100-000072000000}"/>
    <hyperlink ref="E216" r:id="rId116" xr:uid="{00000000-0004-0000-0100-000073000000}"/>
    <hyperlink ref="E219" r:id="rId117" xr:uid="{00000000-0004-0000-0100-000074000000}"/>
    <hyperlink ref="E221" r:id="rId118" xr:uid="{00000000-0004-0000-0100-000075000000}"/>
    <hyperlink ref="E223" r:id="rId119" xr:uid="{00000000-0004-0000-0100-000076000000}"/>
    <hyperlink ref="E225" r:id="rId120" xr:uid="{00000000-0004-0000-0100-000077000000}"/>
    <hyperlink ref="E226" r:id="rId121" xr:uid="{00000000-0004-0000-0100-000078000000}"/>
    <hyperlink ref="E227" r:id="rId122" xr:uid="{00000000-0004-0000-0100-000079000000}"/>
    <hyperlink ref="E228" r:id="rId123" location="c352788917764129482" xr:uid="{00000000-0004-0000-0100-00007A000000}"/>
    <hyperlink ref="E229" r:id="rId124" xr:uid="{00000000-0004-0000-0100-00007B000000}"/>
    <hyperlink ref="E232" r:id="rId125" xr:uid="{00000000-0004-0000-0100-00007C000000}"/>
    <hyperlink ref="E233" r:id="rId126" xr:uid="{00000000-0004-0000-0100-00007D000000}"/>
    <hyperlink ref="E236" r:id="rId127" xr:uid="{00000000-0004-0000-0100-00007E000000}"/>
    <hyperlink ref="E237" r:id="rId128" xr:uid="{00000000-0004-0000-0100-00007F000000}"/>
    <hyperlink ref="E239" r:id="rId129" xr:uid="{00000000-0004-0000-0100-000080000000}"/>
    <hyperlink ref="E240" r:id="rId130" xr:uid="{00000000-0004-0000-0100-000081000000}"/>
    <hyperlink ref="E242" r:id="rId131" xr:uid="{00000000-0004-0000-0100-000082000000}"/>
    <hyperlink ref="E244" r:id="rId132" xr:uid="{00000000-0004-0000-0100-000083000000}"/>
    <hyperlink ref="E245" r:id="rId133" xr:uid="{00000000-0004-0000-0100-000084000000}"/>
    <hyperlink ref="E246" r:id="rId134" xr:uid="{00000000-0004-0000-0100-000085000000}"/>
    <hyperlink ref="E248" r:id="rId135" xr:uid="{00000000-0004-0000-0100-000086000000}"/>
    <hyperlink ref="E250" r:id="rId136" xr:uid="{00000000-0004-0000-0100-000087000000}"/>
    <hyperlink ref="E251" r:id="rId137" xr:uid="{00000000-0004-0000-0100-000088000000}"/>
    <hyperlink ref="E255" r:id="rId138" location=":~:text=A%20big%20of%20Rogue%20Legacy%2C%20Spelunky%2C%20Hades.,kinda%20got%20inspiration%20from%20all%20of%20them." xr:uid="{00000000-0004-0000-0100-000089000000}"/>
    <hyperlink ref="E257" r:id="rId139" location=":~:text=Fury%20Unleashed%20was%20created%20by,like%20Contra%20and%20Metal%20Slug." xr:uid="{00000000-0004-0000-0100-00008A000000}"/>
    <hyperlink ref="E258" r:id="rId140" xr:uid="{00000000-0004-0000-0100-00008B000000}"/>
    <hyperlink ref="E260" r:id="rId141" xr:uid="{00000000-0004-0000-0100-00008C000000}"/>
    <hyperlink ref="E261" r:id="rId142" location=":~:text=Felix%20Soumpholphakdy:%20Dead%20Cells%20is%20a%20big,we%20wanted%20to%20craft%20a%20big%20world." xr:uid="{00000000-0004-0000-0100-00008D000000}"/>
    <hyperlink ref="E265" r:id="rId143" xr:uid="{00000000-0004-0000-0100-00008E000000}"/>
    <hyperlink ref="E267" r:id="rId144" xr:uid="{00000000-0004-0000-0100-00008F000000}"/>
    <hyperlink ref="E269" r:id="rId145" xr:uid="{00000000-0004-0000-0100-000090000000}"/>
    <hyperlink ref="E270" r:id="rId146" xr:uid="{00000000-0004-0000-0100-000091000000}"/>
    <hyperlink ref="E273" r:id="rId147" xr:uid="{00000000-0004-0000-0100-000092000000}"/>
    <hyperlink ref="E274" r:id="rId148" xr:uid="{00000000-0004-0000-0100-000093000000}"/>
    <hyperlink ref="E277" r:id="rId149" xr:uid="{00000000-0004-0000-0100-000094000000}"/>
    <hyperlink ref="E287" r:id="rId150" xr:uid="{00000000-0004-0000-0100-000095000000}"/>
    <hyperlink ref="E292" r:id="rId151" location="c758430178052462886" xr:uid="{00000000-0004-0000-0100-000096000000}"/>
    <hyperlink ref="E293" r:id="rId152" location="c353915309337431749" xr:uid="{00000000-0004-0000-0100-000097000000}"/>
    <hyperlink ref="E294" r:id="rId153" xr:uid="{00000000-0004-0000-0100-000098000000}"/>
    <hyperlink ref="E297" r:id="rId154" xr:uid="{00000000-0004-0000-0100-000099000000}"/>
    <hyperlink ref="E298" r:id="rId155" xr:uid="{00000000-0004-0000-0100-00009A000000}"/>
    <hyperlink ref="E300" r:id="rId156" xr:uid="{00000000-0004-0000-0100-00009B000000}"/>
    <hyperlink ref="E301" r:id="rId157" xr:uid="{00000000-0004-0000-0100-00009C000000}"/>
    <hyperlink ref="E304" r:id="rId158" xr:uid="{00000000-0004-0000-0100-00009D000000}"/>
    <hyperlink ref="E305" r:id="rId159" xr:uid="{00000000-0004-0000-0100-00009E000000}"/>
    <hyperlink ref="E306" r:id="rId160" xr:uid="{00000000-0004-0000-0100-00009F000000}"/>
    <hyperlink ref="E307" r:id="rId161" xr:uid="{00000000-0004-0000-0100-0000A0000000}"/>
    <hyperlink ref="E308" r:id="rId162" xr:uid="{00000000-0004-0000-0100-0000A1000000}"/>
    <hyperlink ref="E311" r:id="rId163" xr:uid="{00000000-0004-0000-0100-0000A2000000}"/>
    <hyperlink ref="E313" r:id="rId164" xr:uid="{00000000-0004-0000-0100-0000A3000000}"/>
    <hyperlink ref="E315" r:id="rId165" xr:uid="{00000000-0004-0000-0100-0000A4000000}"/>
    <hyperlink ref="E317" r:id="rId166" xr:uid="{00000000-0004-0000-0100-0000A5000000}"/>
    <hyperlink ref="E319" r:id="rId167" xr:uid="{00000000-0004-0000-0100-0000A6000000}"/>
    <hyperlink ref="E321" r:id="rId168" xr:uid="{00000000-0004-0000-0100-0000A7000000}"/>
    <hyperlink ref="E322" r:id="rId169" xr:uid="{00000000-0004-0000-0100-0000A8000000}"/>
    <hyperlink ref="E328" r:id="rId170" xr:uid="{00000000-0004-0000-0100-0000A9000000}"/>
    <hyperlink ref="E330" r:id="rId171" xr:uid="{00000000-0004-0000-0100-0000AA000000}"/>
    <hyperlink ref="E331" r:id="rId172" xr:uid="{00000000-0004-0000-0100-0000AB000000}"/>
    <hyperlink ref="E334" r:id="rId173" xr:uid="{00000000-0004-0000-0100-0000AC000000}"/>
    <hyperlink ref="E336" r:id="rId174" xr:uid="{00000000-0004-0000-0100-0000AD000000}"/>
    <hyperlink ref="E339" r:id="rId175" xr:uid="{00000000-0004-0000-0100-0000AE000000}"/>
    <hyperlink ref="E340" r:id="rId176" xr:uid="{00000000-0004-0000-0100-0000AF000000}"/>
    <hyperlink ref="E341" r:id="rId177" xr:uid="{00000000-0004-0000-0100-0000B0000000}"/>
    <hyperlink ref="E342" r:id="rId178" xr:uid="{00000000-0004-0000-0100-0000B1000000}"/>
    <hyperlink ref="E343" r:id="rId179" xr:uid="{00000000-0004-0000-0100-0000B2000000}"/>
    <hyperlink ref="E347" r:id="rId180" location="c494631967651765393" xr:uid="{00000000-0004-0000-0100-0000B3000000}"/>
    <hyperlink ref="E351" r:id="rId181" xr:uid="{00000000-0004-0000-0100-0000B4000000}"/>
    <hyperlink ref="E352" r:id="rId182" xr:uid="{00000000-0004-0000-0100-0000B5000000}"/>
    <hyperlink ref="E353" r:id="rId183" xr:uid="{00000000-0004-0000-0100-0000B6000000}"/>
    <hyperlink ref="E354" r:id="rId184" xr:uid="{00000000-0004-0000-0100-0000B7000000}"/>
    <hyperlink ref="E356" r:id="rId185" xr:uid="{00000000-0004-0000-0100-0000B8000000}"/>
    <hyperlink ref="E357" r:id="rId186" location=":~:text=As%20inspiration%20from%20different%20games,dangerous%20to%20go%20alone%22%20line." xr:uid="{00000000-0004-0000-0100-0000B9000000}"/>
    <hyperlink ref="E358" r:id="rId187" xr:uid="{00000000-0004-0000-0100-0000BA000000}"/>
    <hyperlink ref="E359" r:id="rId188" location="c1319962683447326488" xr:uid="{00000000-0004-0000-0100-0000BB000000}"/>
    <hyperlink ref="E361" r:id="rId189" xr:uid="{00000000-0004-0000-0100-0000BC000000}"/>
    <hyperlink ref="E362" r:id="rId190" xr:uid="{00000000-0004-0000-0100-0000BD000000}"/>
    <hyperlink ref="E363" r:id="rId191" xr:uid="{00000000-0004-0000-0100-0000BE000000}"/>
    <hyperlink ref="E364" r:id="rId192" xr:uid="{00000000-0004-0000-0100-0000BF000000}"/>
    <hyperlink ref="E365" r:id="rId193" xr:uid="{00000000-0004-0000-0100-0000C0000000}"/>
    <hyperlink ref="E366" r:id="rId194" xr:uid="{00000000-0004-0000-0100-0000C1000000}"/>
    <hyperlink ref="E367" r:id="rId195" xr:uid="{00000000-0004-0000-0100-0000C2000000}"/>
    <hyperlink ref="E369" r:id="rId196" xr:uid="{00000000-0004-0000-0100-0000C3000000}"/>
    <hyperlink ref="E370" r:id="rId197" location="msg5316" xr:uid="{00000000-0004-0000-0100-0000C4000000}"/>
    <hyperlink ref="E371" r:id="rId198" xr:uid="{00000000-0004-0000-0100-0000C5000000}"/>
    <hyperlink ref="E372" r:id="rId199" xr:uid="{00000000-0004-0000-0100-0000C6000000}"/>
    <hyperlink ref="E375" r:id="rId200" xr:uid="{00000000-0004-0000-0100-0000C7000000}"/>
    <hyperlink ref="E376" r:id="rId201" xr:uid="{00000000-0004-0000-0100-0000C8000000}"/>
    <hyperlink ref="E377" r:id="rId202" xr:uid="{00000000-0004-0000-0100-0000C9000000}"/>
    <hyperlink ref="E378" r:id="rId203" xr:uid="{00000000-0004-0000-0100-0000CA000000}"/>
    <hyperlink ref="E379" r:id="rId204" xr:uid="{00000000-0004-0000-0100-0000CB000000}"/>
    <hyperlink ref="E380" r:id="rId205" xr:uid="{00000000-0004-0000-0100-0000CC000000}"/>
    <hyperlink ref="E382" r:id="rId206" xr:uid="{00000000-0004-0000-0100-0000CD000000}"/>
    <hyperlink ref="E383" r:id="rId207" location="c5456682769558786398" xr:uid="{00000000-0004-0000-0100-0000CE000000}"/>
    <hyperlink ref="E386" r:id="rId208" xr:uid="{00000000-0004-0000-0100-0000CF000000}"/>
    <hyperlink ref="E387" r:id="rId209" location="c606068060818832019" xr:uid="{00000000-0004-0000-0100-0000D0000000}"/>
    <hyperlink ref="E388" r:id="rId210" location=":~:text=Escaped%20Lunatic-,Soulash%202%20%2D%20Adventures%20and%20Conquest%20in%20Procedural%20Fantasy%20Worlds,to%20the%20Roguelike%20design%20formula." xr:uid="{00000000-0004-0000-0100-0000D1000000}"/>
    <hyperlink ref="E389" r:id="rId211" xr:uid="{00000000-0004-0000-0100-0000D2000000}"/>
    <hyperlink ref="E391" r:id="rId212" xr:uid="{00000000-0004-0000-0100-0000D3000000}"/>
    <hyperlink ref="E392" r:id="rId213" xr:uid="{00000000-0004-0000-0100-0000D4000000}"/>
    <hyperlink ref="E393" r:id="rId214" xr:uid="{00000000-0004-0000-0100-0000D5000000}"/>
    <hyperlink ref="E394" r:id="rId215" xr:uid="{00000000-0004-0000-0100-0000D6000000}"/>
    <hyperlink ref="E395" r:id="rId216" xr:uid="{00000000-0004-0000-0100-0000D7000000}"/>
    <hyperlink ref="E396" r:id="rId217" xr:uid="{00000000-0004-0000-0100-0000D8000000}"/>
    <hyperlink ref="E398" r:id="rId218" location=":~:text=Vellum's%20Inspirations,chapter%20of%20the%20original%20series." xr:uid="{00000000-0004-0000-0100-0000D9000000}"/>
    <hyperlink ref="E400" r:id="rId219" xr:uid="{00000000-0004-0000-0100-0000DA000000}"/>
    <hyperlink ref="E401" r:id="rId220" xr:uid="{00000000-0004-0000-0100-0000DB000000}"/>
    <hyperlink ref="E404" r:id="rId221" location=":~:text=I%20got%20addicted%20to%20Stardew,simply%20stat%20upgrades%20or%20something)." xr:uid="{00000000-0004-0000-0100-0000DC000000}"/>
    <hyperlink ref="E405" r:id="rId222" xr:uid="{00000000-0004-0000-0100-0000DD000000}"/>
    <hyperlink ref="E409" r:id="rId223" xr:uid="{00000000-0004-0000-0100-0000DE000000}"/>
    <hyperlink ref="E411" r:id="rId224" xr:uid="{00000000-0004-0000-0100-0000DF000000}"/>
    <hyperlink ref="E413" r:id="rId225" location=":~:text=Gunfire%20Reborn%20is%20developed%20by,would%20be%20most%20beneficial%20design." xr:uid="{00000000-0004-0000-0100-0000E0000000}"/>
    <hyperlink ref="E417" r:id="rId226" xr:uid="{00000000-0004-0000-0100-0000E1000000}"/>
    <hyperlink ref="E419" r:id="rId227" location=":~:text=Odinfall%20Early%20Access%20on%20Steam&amp;text=According%20to%20Oscar%20Axelsson%20from,Throne%20and%20Enter%20the%20Gungeon." xr:uid="{00000000-0004-0000-0100-0000E2000000}"/>
    <hyperlink ref="E422" r:id="rId228" xr:uid="{00000000-0004-0000-0100-0000E3000000}"/>
    <hyperlink ref="E423" r:id="rId229" xr:uid="{00000000-0004-0000-0100-0000E4000000}"/>
    <hyperlink ref="E426" r:id="rId230" xr:uid="{00000000-0004-0000-0100-0000E5000000}"/>
    <hyperlink ref="E429" r:id="rId231" xr:uid="{00000000-0004-0000-0100-0000E6000000}"/>
    <hyperlink ref="E432" r:id="rId232" xr:uid="{00000000-0004-0000-0100-0000E7000000}"/>
    <hyperlink ref="E437" r:id="rId233" xr:uid="{00000000-0004-0000-0100-0000E8000000}"/>
    <hyperlink ref="E440" r:id="rId234" xr:uid="{00000000-0004-0000-0100-0000E9000000}"/>
    <hyperlink ref="E444" r:id="rId235" xr:uid="{00000000-0004-0000-0100-0000EA000000}"/>
    <hyperlink ref="E445" r:id="rId236" xr:uid="{00000000-0004-0000-0100-0000EB000000}"/>
    <hyperlink ref="E446" r:id="rId237" location="c6027566653452797874" xr:uid="{00000000-0004-0000-0100-0000EC000000}"/>
    <hyperlink ref="E448" r:id="rId238" xr:uid="{00000000-0004-0000-0100-0000ED000000}"/>
    <hyperlink ref="E449" r:id="rId239" xr:uid="{00000000-0004-0000-0100-0000EE000000}"/>
    <hyperlink ref="E450" r:id="rId240" xr:uid="{00000000-0004-0000-0100-0000EF000000}"/>
    <hyperlink ref="E452" r:id="rId241" location="c617320168065346307" xr:uid="{00000000-0004-0000-0100-0000F0000000}"/>
    <hyperlink ref="E453" r:id="rId242" xr:uid="{00000000-0004-0000-0100-0000F1000000}"/>
    <hyperlink ref="E455" r:id="rId243" xr:uid="{00000000-0004-0000-0100-0000F2000000}"/>
    <hyperlink ref="E457" r:id="rId244" xr:uid="{00000000-0004-0000-0100-0000F3000000}"/>
    <hyperlink ref="E458" r:id="rId245" xr:uid="{00000000-0004-0000-0100-0000F4000000}"/>
    <hyperlink ref="E460" r:id="rId246" xr:uid="{00000000-0004-0000-0100-0000F5000000}"/>
    <hyperlink ref="E463" r:id="rId247" xr:uid="{00000000-0004-0000-0100-0000F6000000}"/>
    <hyperlink ref="E464" r:id="rId248" location="c1675812484339955409" xr:uid="{00000000-0004-0000-0100-0000F7000000}"/>
    <hyperlink ref="E467" r:id="rId249" xr:uid="{00000000-0004-0000-0100-0000F8000000}"/>
    <hyperlink ref="E468" r:id="rId250" location="c483368526581048948" xr:uid="{00000000-0004-0000-0100-0000F9000000}"/>
    <hyperlink ref="E469" r:id="rId251" xr:uid="{00000000-0004-0000-0100-0000FA000000}"/>
    <hyperlink ref="E470" r:id="rId252" location="c4335355681661031211" xr:uid="{00000000-0004-0000-0100-0000FB000000}"/>
    <hyperlink ref="E471" r:id="rId253" location=":~:text=MOBAs%20were%20a%20key%20inspiration,like%20action%20roguelites%20in%20general." xr:uid="{00000000-0004-0000-0100-0000FC000000}"/>
    <hyperlink ref="E472" r:id="rId254" location=":~:text=Their%20initial%20goal%20was%20to,built%20on%20the%20libGDX%20framework." xr:uid="{00000000-0004-0000-0100-0000FD000000}"/>
    <hyperlink ref="E474" r:id="rId255" xr:uid="{00000000-0004-0000-0100-0000FE000000}"/>
    <hyperlink ref="E476" r:id="rId256" xr:uid="{00000000-0004-0000-0100-0000FF000000}"/>
    <hyperlink ref="E477" r:id="rId257" xr:uid="{00000000-0004-0000-0100-000000010000}"/>
    <hyperlink ref="E481" r:id="rId258" xr:uid="{00000000-0004-0000-0100-000001010000}"/>
    <hyperlink ref="E482" r:id="rId259" xr:uid="{00000000-0004-0000-0100-000002010000}"/>
    <hyperlink ref="E483" r:id="rId260" xr:uid="{00000000-0004-0000-0100-000003010000}"/>
    <hyperlink ref="E496" r:id="rId261" xr:uid="{00000000-0004-0000-0100-000004010000}"/>
    <hyperlink ref="E498" r:id="rId262" xr:uid="{00000000-0004-0000-0100-000005010000}"/>
    <hyperlink ref="E500" r:id="rId263" location=":~:text=JW%2C%20GF:%20What%20are%20some,us%20a%20lot%20of%20motivation." xr:uid="{00000000-0004-0000-0100-000006010000}"/>
    <hyperlink ref="E502" r:id="rId264" xr:uid="{00000000-0004-0000-0100-000007010000}"/>
    <hyperlink ref="E505" r:id="rId265" location=":~:text=Vellum's%20Inspirations,chapter%20of%20the%20original%20series." xr:uid="{00000000-0004-0000-0100-000008010000}"/>
    <hyperlink ref="E507" r:id="rId266" xr:uid="{00000000-0004-0000-0100-000009010000}"/>
    <hyperlink ref="E508" r:id="rId267" xr:uid="{00000000-0004-0000-0100-00000A010000}"/>
    <hyperlink ref="E509" r:id="rId268" xr:uid="{00000000-0004-0000-0100-00000B010000}"/>
    <hyperlink ref="E510" r:id="rId269" xr:uid="{00000000-0004-0000-0100-00000C010000}"/>
    <hyperlink ref="E512" r:id="rId270" xr:uid="{00000000-0004-0000-0100-00000D010000}"/>
    <hyperlink ref="E513" r:id="rId271" xr:uid="{00000000-0004-0000-0100-00000E010000}"/>
    <hyperlink ref="E515" r:id="rId272" xr:uid="{00000000-0004-0000-0100-00000F010000}"/>
    <hyperlink ref="E516" r:id="rId273" xr:uid="{00000000-0004-0000-0100-000010010000}"/>
    <hyperlink ref="E518" r:id="rId274" xr:uid="{00000000-0004-0000-0100-000011010000}"/>
    <hyperlink ref="E519" r:id="rId275" xr:uid="{00000000-0004-0000-0100-000012010000}"/>
    <hyperlink ref="E521" r:id="rId276" location=":~:text=JW%2C%20GF:%20What%20are%20some,us%20a%20lot%20of%20motivation." xr:uid="{00000000-0004-0000-0100-000013010000}"/>
    <hyperlink ref="E527" r:id="rId277" xr:uid="{00000000-0004-0000-0100-000014010000}"/>
    <hyperlink ref="E528" r:id="rId278" location=":~:text=Death%20Must%20Die%20opens%20up,appropriation%2C%20even%20a%20love%20letter." xr:uid="{00000000-0004-0000-0100-000015010000}"/>
    <hyperlink ref="E529" r:id="rId279" xr:uid="{00000000-0004-0000-0100-000016010000}"/>
    <hyperlink ref="E531" r:id="rId280" location=":~:text=A%20big%20of%20Rogue%20Legacy%2C%20Spelunky%2C%20Hades.,kinda%20got%20inspiration%20from%20all%20of%20them." xr:uid="{00000000-0004-0000-0100-000017010000}"/>
    <hyperlink ref="E533" r:id="rId281" xr:uid="{00000000-0004-0000-0100-000018010000}"/>
    <hyperlink ref="E534" r:id="rId282" xr:uid="{00000000-0004-0000-0100-000019010000}"/>
    <hyperlink ref="E537" r:id="rId283" location=":~:text=Have%20a%20Nice%20Death%20also,movies%2C%20shorts%2C%20and%20ads." xr:uid="{00000000-0004-0000-0100-00001A010000}"/>
    <hyperlink ref="E538" r:id="rId284" xr:uid="{00000000-0004-0000-0100-00001B010000}"/>
    <hyperlink ref="E539" r:id="rId285" xr:uid="{00000000-0004-0000-0100-00001C010000}"/>
    <hyperlink ref="E540" r:id="rId286" xr:uid="{00000000-0004-0000-0100-00001D010000}"/>
    <hyperlink ref="E542" r:id="rId287" xr:uid="{00000000-0004-0000-0100-00001E010000}"/>
    <hyperlink ref="E543" r:id="rId288" xr:uid="{00000000-0004-0000-0100-00001F010000}"/>
    <hyperlink ref="E546" r:id="rId289" xr:uid="{00000000-0004-0000-0100-000020010000}"/>
    <hyperlink ref="E552" r:id="rId290" xr:uid="{00000000-0004-0000-0100-000021010000}"/>
    <hyperlink ref="E556" r:id="rId291" xr:uid="{00000000-0004-0000-0100-000022010000}"/>
    <hyperlink ref="E559" r:id="rId292" xr:uid="{00000000-0004-0000-0100-000023010000}"/>
    <hyperlink ref="E560" r:id="rId293" xr:uid="{00000000-0004-0000-0100-000024010000}"/>
    <hyperlink ref="E561" r:id="rId294" xr:uid="{00000000-0004-0000-0100-000025010000}"/>
    <hyperlink ref="E562" r:id="rId295" location=":~:text=Tape%20to%20Tape%20is%20a,the%20Spire%20and%20NHL%2094!" xr:uid="{00000000-0004-0000-0100-000026010000}"/>
    <hyperlink ref="E563" r:id="rId296" xr:uid="{00000000-0004-0000-0100-000027010000}"/>
    <hyperlink ref="E566" r:id="rId297" location=":~:text=Vellum's%20Inspirations,chapter%20of%20the%20original%20series." xr:uid="{00000000-0004-0000-0100-000028010000}"/>
    <hyperlink ref="E570" r:id="rId298" xr:uid="{00000000-0004-0000-0100-000029010000}"/>
    <hyperlink ref="E571" r:id="rId299" xr:uid="{00000000-0004-0000-0100-00002A010000}"/>
    <hyperlink ref="E578" r:id="rId300" xr:uid="{00000000-0004-0000-0100-00002B010000}"/>
    <hyperlink ref="E581" r:id="rId301" xr:uid="{00000000-0004-0000-0100-00002C010000}"/>
    <hyperlink ref="E582" r:id="rId302" xr:uid="{00000000-0004-0000-0100-00002D010000}"/>
    <hyperlink ref="E585" r:id="rId303" xr:uid="{00000000-0004-0000-0100-00002E010000}"/>
    <hyperlink ref="E587" r:id="rId304" xr:uid="{00000000-0004-0000-0100-00002F010000}"/>
    <hyperlink ref="E590" r:id="rId305" xr:uid="{00000000-0004-0000-0100-000031010000}"/>
    <hyperlink ref="E592" r:id="rId306" location="c695373095208229623" xr:uid="{00000000-0004-0000-0100-000032010000}"/>
    <hyperlink ref="E595" r:id="rId307" xr:uid="{00000000-0004-0000-0100-000033010000}"/>
    <hyperlink ref="E597" r:id="rId308" xr:uid="{00000000-0004-0000-0100-000034010000}"/>
    <hyperlink ref="E598" r:id="rId309" xr:uid="{00000000-0004-0000-0100-000035010000}"/>
    <hyperlink ref="E601" r:id="rId310" xr:uid="{00000000-0004-0000-0100-000036010000}"/>
    <hyperlink ref="E602" r:id="rId311" location=":~:text=About%20This%20Game-,ABOUT,and%20'Into%20the%20Breach'." xr:uid="{00000000-0004-0000-0100-000037010000}"/>
    <hyperlink ref="E605" r:id="rId312" location=":~:text=Main%20developer%20Jasper%20Cole%20stated,inventory%20as%20an%20additional%20inspiration." xr:uid="{00000000-0004-0000-0100-000038010000}"/>
    <hyperlink ref="E608" r:id="rId313" xr:uid="{00000000-0004-0000-0100-000039010000}"/>
    <hyperlink ref="E613" r:id="rId314" xr:uid="{00000000-0004-0000-0100-00003A010000}"/>
    <hyperlink ref="E614" r:id="rId315" xr:uid="{00000000-0004-0000-0100-00003B010000}"/>
    <hyperlink ref="E616" r:id="rId316" xr:uid="{00000000-0004-0000-0100-00003C010000}"/>
    <hyperlink ref="E617" r:id="rId317" xr:uid="{00000000-0004-0000-0100-00003D010000}"/>
    <hyperlink ref="E618" r:id="rId318" xr:uid="{00000000-0004-0000-0100-00003E010000}"/>
    <hyperlink ref="E619" r:id="rId319" location="c4335355681661031211" xr:uid="{00000000-0004-0000-0100-00003F010000}"/>
    <hyperlink ref="E621" r:id="rId320" location=":~:text=is%20blowing%20up!-,830%20concurrent%20players%2C%20I%20can't%20believe%20it!,has%20been%20a%20wild%20ride." xr:uid="{00000000-0004-0000-0100-000040010000}"/>
    <hyperlink ref="E624" r:id="rId321" location=":~:text=The%20Last%20Spell's%20unique%20blend,build%20characters%20however%20they%20want." xr:uid="{00000000-0004-0000-0100-000041010000}"/>
    <hyperlink ref="E625" r:id="rId322" xr:uid="{00000000-0004-0000-0100-000042010000}"/>
    <hyperlink ref="E627" r:id="rId323" xr:uid="{00000000-0004-0000-0100-000043010000}"/>
    <hyperlink ref="E631" r:id="rId324" location="c4346617656897843847" xr:uid="{00000000-0004-0000-0100-000044010000}"/>
    <hyperlink ref="E635" r:id="rId325" xr:uid="{00000000-0004-0000-0100-000045010000}"/>
    <hyperlink ref="E636" r:id="rId326" xr:uid="{00000000-0004-0000-0100-000046010000}"/>
    <hyperlink ref="E637" r:id="rId327" xr:uid="{00000000-0004-0000-0100-000047010000}"/>
    <hyperlink ref="E638" r:id="rId328" xr:uid="{00000000-0004-0000-0100-000048010000}"/>
    <hyperlink ref="E640" r:id="rId329" xr:uid="{00000000-0004-0000-0100-000049010000}"/>
    <hyperlink ref="E641" r:id="rId330" xr:uid="{00000000-0004-0000-0100-00004A010000}"/>
    <hyperlink ref="E642" r:id="rId331" xr:uid="{00000000-0004-0000-0100-00004B010000}"/>
    <hyperlink ref="E644" r:id="rId332" xr:uid="{00000000-0004-0000-0100-00004C010000}"/>
    <hyperlink ref="E645" r:id="rId333" xr:uid="{00000000-0004-0000-0100-00004D010000}"/>
    <hyperlink ref="E648" r:id="rId334" xr:uid="{00000000-0004-0000-0100-00004E010000}"/>
    <hyperlink ref="E652" r:id="rId335" xr:uid="{00000000-0004-0000-0100-00004F010000}"/>
    <hyperlink ref="E656" r:id="rId336" xr:uid="{00000000-0004-0000-0100-000050010000}"/>
    <hyperlink ref="E658" r:id="rId337" xr:uid="{00000000-0004-0000-0100-000051010000}"/>
    <hyperlink ref="E664" r:id="rId338" xr:uid="{00000000-0004-0000-0100-000052010000}"/>
    <hyperlink ref="E665" r:id="rId339" xr:uid="{00000000-0004-0000-0100-000053010000}"/>
    <hyperlink ref="E666" r:id="rId340" xr:uid="{00000000-0004-0000-0100-000054010000}"/>
    <hyperlink ref="E667" r:id="rId341"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668" r:id="rId342" xr:uid="{00000000-0004-0000-0100-000056010000}"/>
    <hyperlink ref="E670" r:id="rId343" xr:uid="{00000000-0004-0000-0100-000057010000}"/>
    <hyperlink ref="E671" r:id="rId344" xr:uid="{00000000-0004-0000-0100-000058010000}"/>
    <hyperlink ref="E674" r:id="rId345" location=":~:text=The%20game%20was%20inspired%20by,assets%2C%20art%2C%20and%20music." xr:uid="{00000000-0004-0000-0100-000059010000}"/>
    <hyperlink ref="E684" r:id="rId346" xr:uid="{00000000-0004-0000-0100-00005A010000}"/>
    <hyperlink ref="E687" r:id="rId347" xr:uid="{00000000-0004-0000-0100-00005B010000}"/>
    <hyperlink ref="E690" r:id="rId348" xr:uid="{00000000-0004-0000-0100-00005C010000}"/>
    <hyperlink ref="E691" r:id="rId349" xr:uid="{00000000-0004-0000-0100-00005D010000}"/>
    <hyperlink ref="E693" r:id="rId350" xr:uid="{00000000-0004-0000-0100-00005E010000}"/>
    <hyperlink ref="E695" r:id="rId351" xr:uid="{00000000-0004-0000-0100-00005F010000}"/>
    <hyperlink ref="E699" r:id="rId352" xr:uid="{00000000-0004-0000-0100-000060010000}"/>
    <hyperlink ref="E701" r:id="rId353" xr:uid="{00000000-0004-0000-0100-000061010000}"/>
    <hyperlink ref="E702" r:id="rId354" xr:uid="{00000000-0004-0000-0100-000062010000}"/>
    <hyperlink ref="E703" r:id="rId355" xr:uid="{00000000-0004-0000-0100-000063010000}"/>
    <hyperlink ref="E706" r:id="rId356" xr:uid="{00000000-0004-0000-0100-000064010000}"/>
    <hyperlink ref="E708" r:id="rId357" xr:uid="{00000000-0004-0000-0100-000065010000}"/>
    <hyperlink ref="E711" r:id="rId358" location=":~:text=House%20of%20Necrosis%20is%20a,Linux)%20and%20the%20Steam%20Deck" xr:uid="{00000000-0004-0000-0100-000066010000}"/>
    <hyperlink ref="E713" r:id="rId359" xr:uid="{00000000-0004-0000-0100-000067010000}"/>
    <hyperlink ref="E716" r:id="rId360" xr:uid="{00000000-0004-0000-0100-000068010000}"/>
    <hyperlink ref="E717" r:id="rId361" xr:uid="{00000000-0004-0000-0100-000069010000}"/>
    <hyperlink ref="E718" r:id="rId362" xr:uid="{00000000-0004-0000-0100-00006A010000}"/>
    <hyperlink ref="E722" r:id="rId363" xr:uid="{00000000-0004-0000-0100-00006B010000}"/>
    <hyperlink ref="E724" r:id="rId364" xr:uid="{00000000-0004-0000-0100-00006C010000}"/>
    <hyperlink ref="E726" r:id="rId365" xr:uid="{00000000-0004-0000-0100-00006D010000}"/>
    <hyperlink ref="E727" r:id="rId366" xr:uid="{00000000-0004-0000-0100-00006E010000}"/>
    <hyperlink ref="E728" r:id="rId367" xr:uid="{00000000-0004-0000-0100-00006F010000}"/>
    <hyperlink ref="E730" r:id="rId368" xr:uid="{00000000-0004-0000-0100-000070010000}"/>
    <hyperlink ref="E731" r:id="rId369" xr:uid="{00000000-0004-0000-0100-000071010000}"/>
    <hyperlink ref="E734" r:id="rId370" xr:uid="{00000000-0004-0000-0100-000072010000}"/>
    <hyperlink ref="E736" r:id="rId371" xr:uid="{00000000-0004-0000-0100-000073010000}"/>
    <hyperlink ref="E738" r:id="rId372" xr:uid="{00000000-0004-0000-0100-000074010000}"/>
    <hyperlink ref="E739" r:id="rId373" xr:uid="{00000000-0004-0000-0100-000075010000}"/>
    <hyperlink ref="E743" r:id="rId374" xr:uid="{00000000-0004-0000-0100-000076010000}"/>
    <hyperlink ref="E744" r:id="rId375" xr:uid="{00000000-0004-0000-0100-000077010000}"/>
    <hyperlink ref="E745" r:id="rId376" xr:uid="{00000000-0004-0000-0100-000078010000}"/>
    <hyperlink ref="E747" r:id="rId377" xr:uid="{00000000-0004-0000-0100-000079010000}"/>
    <hyperlink ref="E750" r:id="rId378" xr:uid="{00000000-0004-0000-0100-00007A010000}"/>
    <hyperlink ref="E751" r:id="rId379" xr:uid="{00000000-0004-0000-0100-00007B010000}"/>
    <hyperlink ref="E753" r:id="rId380" xr:uid="{00000000-0004-0000-0100-00007C010000}"/>
    <hyperlink ref="E754" r:id="rId381" xr:uid="{00000000-0004-0000-0100-00007D010000}"/>
    <hyperlink ref="E758" r:id="rId382" xr:uid="{00000000-0004-0000-0100-00007E010000}"/>
    <hyperlink ref="E759" r:id="rId383" location="c574921459914427191" xr:uid="{00000000-0004-0000-0100-00007F010000}"/>
    <hyperlink ref="E760" r:id="rId384" xr:uid="{00000000-0004-0000-0100-000080010000}"/>
    <hyperlink ref="E764" r:id="rId385" xr:uid="{00000000-0004-0000-0100-000081010000}"/>
    <hyperlink ref="E766" r:id="rId386" xr:uid="{00000000-0004-0000-0100-000082010000}"/>
    <hyperlink ref="E768" r:id="rId387" xr:uid="{00000000-0004-0000-0100-000083010000}"/>
    <hyperlink ref="E770" r:id="rId388" location=":~:text=I%20got%20addicted%20to%20Stardew,simply%20stat%20upgrades%20or%20something)." xr:uid="{00000000-0004-0000-0100-000084010000}"/>
    <hyperlink ref="E774" r:id="rId389" xr:uid="{00000000-0004-0000-0100-000085010000}"/>
    <hyperlink ref="E776" r:id="rId390" location=":~:text=Though%20Crooks%20stated%20that%20The,Souls%2C%20and%20Metal%20Gear%20Solid." xr:uid="{00000000-0004-0000-0100-000086010000}"/>
    <hyperlink ref="E777" r:id="rId391" xr:uid="{00000000-0004-0000-0100-000087010000}"/>
    <hyperlink ref="E779" r:id="rId392" xr:uid="{00000000-0004-0000-0100-000088010000}"/>
    <hyperlink ref="E780" r:id="rId393" location=":~:text=As%20inspiration%20from%20different%20games,dangerous%20to%20go%20alone%22%20line." xr:uid="{00000000-0004-0000-0100-000089010000}"/>
    <hyperlink ref="E781" r:id="rId394" xr:uid="{00000000-0004-0000-0100-00008A010000}"/>
    <hyperlink ref="E782" r:id="rId395" location=":~:text=Odinfall%20Early%20Access%20on%20Steam&amp;text=According%20to%20Oscar%20Axelsson%20from,Throne%20and%20Enter%20the%20Gungeon." xr:uid="{00000000-0004-0000-0100-00008B010000}"/>
    <hyperlink ref="E783" r:id="rId396" xr:uid="{00000000-0004-0000-0100-00008C010000}"/>
    <hyperlink ref="E785" r:id="rId397" xr:uid="{00000000-0004-0000-0100-00008D010000}"/>
    <hyperlink ref="E787" r:id="rId398" xr:uid="{00000000-0004-0000-0100-00008E010000}"/>
    <hyperlink ref="E790" r:id="rId399" xr:uid="{00000000-0004-0000-0100-00008F010000}"/>
    <hyperlink ref="E797" r:id="rId400" xr:uid="{00000000-0004-0000-0100-000090010000}"/>
    <hyperlink ref="E798" r:id="rId401" xr:uid="{00000000-0004-0000-0100-000091010000}"/>
    <hyperlink ref="E803" r:id="rId402" xr:uid="{00000000-0004-0000-0100-000092010000}"/>
    <hyperlink ref="E804" r:id="rId403" xr:uid="{00000000-0004-0000-0100-000093010000}"/>
    <hyperlink ref="E805" r:id="rId404" xr:uid="{00000000-0004-0000-0100-000094010000}"/>
    <hyperlink ref="E806" r:id="rId405" xr:uid="{00000000-0004-0000-0100-000095010000}"/>
    <hyperlink ref="E809" r:id="rId406" xr:uid="{00000000-0004-0000-0100-000096010000}"/>
    <hyperlink ref="E811" r:id="rId407" xr:uid="{00000000-0004-0000-0100-000097010000}"/>
    <hyperlink ref="E812" r:id="rId408" xr:uid="{00000000-0004-0000-0100-000098010000}"/>
    <hyperlink ref="E813" r:id="rId409" xr:uid="{00000000-0004-0000-0100-000099010000}"/>
    <hyperlink ref="E817" r:id="rId410" xr:uid="{00000000-0004-0000-0100-00009A010000}"/>
    <hyperlink ref="E822" r:id="rId411" xr:uid="{00000000-0004-0000-0100-00009B010000}"/>
    <hyperlink ref="E823" r:id="rId412" xr:uid="{00000000-0004-0000-0100-00009C010000}"/>
    <hyperlink ref="E824" r:id="rId413" xr:uid="{00000000-0004-0000-0100-00009D010000}"/>
    <hyperlink ref="E825" r:id="rId414" xr:uid="{00000000-0004-0000-0100-00009E010000}"/>
    <hyperlink ref="E826" r:id="rId415" xr:uid="{00000000-0004-0000-0100-00009F010000}"/>
    <hyperlink ref="E827" r:id="rId416" xr:uid="{00000000-0004-0000-0100-0000A0010000}"/>
    <hyperlink ref="E828" r:id="rId417" xr:uid="{00000000-0004-0000-0100-0000A1010000}"/>
    <hyperlink ref="E829" r:id="rId418" xr:uid="{00000000-0004-0000-0100-0000A2010000}"/>
    <hyperlink ref="E830" r:id="rId419" xr:uid="{00000000-0004-0000-0100-0000A3010000}"/>
    <hyperlink ref="E831" r:id="rId420" location=":~:text=MOBAs%20were%20a%20key%20inspiration,like%20action%20roguelites%20in%20general." xr:uid="{00000000-0004-0000-0100-0000A4010000}"/>
    <hyperlink ref="E835" r:id="rId421" xr:uid="{00000000-0004-0000-0100-0000A5010000}"/>
    <hyperlink ref="E838" r:id="rId422" xr:uid="{00000000-0004-0000-0100-0000A6010000}"/>
    <hyperlink ref="E846" r:id="rId423" xr:uid="{00000000-0004-0000-0100-0000A7010000}"/>
    <hyperlink ref="E850" r:id="rId424" location=":~:text=MOBAs%20were%20a%20key%20inspiration,like%20action%20roguelites%20in%20general." xr:uid="{00000000-0004-0000-0100-0000A8010000}"/>
    <hyperlink ref="E851" r:id="rId425" xr:uid="{00000000-0004-0000-0100-0000A9010000}"/>
    <hyperlink ref="E854" r:id="rId426" xr:uid="{00000000-0004-0000-0100-0000AA010000}"/>
    <hyperlink ref="E856" r:id="rId427" location="c595137684887857500" xr:uid="{00000000-0004-0000-0100-0000AB010000}"/>
    <hyperlink ref="E859" r:id="rId428" xr:uid="{00000000-0004-0000-0100-0000AC010000}"/>
    <hyperlink ref="E862" r:id="rId429" xr:uid="{00000000-0004-0000-0100-0000AD010000}"/>
    <hyperlink ref="E866" r:id="rId430" xr:uid="{00000000-0004-0000-0100-0000AE010000}"/>
    <hyperlink ref="E868" r:id="rId431" xr:uid="{00000000-0004-0000-0100-0000AF010000}"/>
    <hyperlink ref="E869" r:id="rId432" xr:uid="{00000000-0004-0000-0100-0000B0010000}"/>
    <hyperlink ref="E871" r:id="rId433" location=":~:text=Vellum's%20Inspirations,chapter%20of%20the%20original%20series." xr:uid="{00000000-0004-0000-0100-0000B1010000}"/>
    <hyperlink ref="E873" r:id="rId434" location=":~:text=JW%2C%20GF:%20What%20are%20some,us%20a%20lot%20of%20motivation." xr:uid="{00000000-0004-0000-0100-0000B2010000}"/>
    <hyperlink ref="E876" r:id="rId435" xr:uid="{00000000-0004-0000-0100-0000B3010000}"/>
    <hyperlink ref="E877" r:id="rId436" xr:uid="{00000000-0004-0000-0100-0000B4010000}"/>
    <hyperlink ref="E879" r:id="rId437" xr:uid="{00000000-0004-0000-0100-0000B5010000}"/>
    <hyperlink ref="E881" r:id="rId438" xr:uid="{00000000-0004-0000-0100-0000B6010000}"/>
    <hyperlink ref="E882" r:id="rId439" xr:uid="{00000000-0004-0000-0100-0000B7010000}"/>
    <hyperlink ref="E884" r:id="rId440" location=":~:text=Fatal%20Labyrinth%20is%20Sega's%20first,is%20a%20game%2Dbreaking%20affair.%20Also%20it%20shares%20a%20lot%20of%20similarities" xr:uid="{00000000-0004-0000-0100-0000B8010000}"/>
    <hyperlink ref="E885" r:id="rId441" xr:uid="{00000000-0004-0000-0100-0000B9010000}"/>
    <hyperlink ref="E887" r:id="rId442" xr:uid="{00000000-0004-0000-0100-0000BA010000}"/>
    <hyperlink ref="E889" r:id="rId443" xr:uid="{00000000-0004-0000-0100-0000BB010000}"/>
    <hyperlink ref="E892" r:id="rId444" xr:uid="{00000000-0004-0000-0100-0000BC010000}"/>
    <hyperlink ref="E895" r:id="rId445" xr:uid="{00000000-0004-0000-0100-0000BD010000}"/>
    <hyperlink ref="E896" r:id="rId446" location=":~:text=Apparently%2C%20Ota%20was%20a%20well%20known%20figure,to%20connect%20Tokyo's%20three%20main%20universities%20that" xr:uid="{00000000-0004-0000-0100-0000BE010000}"/>
    <hyperlink ref="E897" r:id="rId447" xr:uid="{00000000-0004-0000-0100-0000BF010000}"/>
    <hyperlink ref="E898" r:id="rId448" xr:uid="{00000000-0004-0000-0100-0000C0010000}"/>
    <hyperlink ref="E899" r:id="rId449" xr:uid="{00000000-0004-0000-0100-0000C1010000}"/>
    <hyperlink ref="E900" r:id="rId450" location=":~:text=Apparently%2C%20Ota%20was%20a%20well%20known%20figure,to%20connect%20Tokyo's%20three%20main%20universities%20that" xr:uid="{00000000-0004-0000-0100-0000C2010000}"/>
    <hyperlink ref="E901" r:id="rId451" xr:uid="{00000000-0004-0000-0100-0000C3010000}"/>
    <hyperlink ref="E902" r:id="rId452" xr:uid="{00000000-0004-0000-0100-0000C4010000}"/>
    <hyperlink ref="E905" r:id="rId453" xr:uid="{00000000-0004-0000-0100-0000C5010000}"/>
    <hyperlink ref="E906" r:id="rId454" xr:uid="{00000000-0004-0000-0100-0000C6010000}"/>
    <hyperlink ref="E908" r:id="rId455" location=":~:text=A%20big%20of%20Rogue%20Legacy%2C%20Spelunky%2C%20Hades.,kinda%20got%20inspiration%20from%20all%20of%20them." xr:uid="{00000000-0004-0000-0100-0000C7010000}"/>
    <hyperlink ref="E910" r:id="rId456" location=":~:text=Fury%20Unleashed%20was%20created%20by,like%20Contra%20and%20Metal%20Slug." xr:uid="{00000000-0004-0000-0100-0000C8010000}"/>
    <hyperlink ref="E912" r:id="rId457" xr:uid="{00000000-0004-0000-0100-0000C9010000}"/>
    <hyperlink ref="E913" r:id="rId458" xr:uid="{00000000-0004-0000-0100-0000CA010000}"/>
    <hyperlink ref="E915" r:id="rId459" xr:uid="{00000000-0004-0000-0100-0000CB010000}"/>
    <hyperlink ref="E917" r:id="rId460" xr:uid="{00000000-0004-0000-0100-0000CC010000}"/>
    <hyperlink ref="E919" r:id="rId461" location="c1693785035807819716" xr:uid="{00000000-0004-0000-0100-0000CD010000}"/>
    <hyperlink ref="E922" r:id="rId462" xr:uid="{00000000-0004-0000-0100-0000CE010000}"/>
    <hyperlink ref="E925" r:id="rId463" xr:uid="{00000000-0004-0000-0100-0000CF010000}"/>
    <hyperlink ref="E926" r:id="rId464" location=":~:text=RollScape%20is%20a%20game%20inspired,I%20played%20throughout%20the%20years." xr:uid="{00000000-0004-0000-0100-0000D0010000}"/>
    <hyperlink ref="E930" r:id="rId465" xr:uid="{00000000-0004-0000-0100-0000D1010000}"/>
    <hyperlink ref="E932" r:id="rId466" xr:uid="{00000000-0004-0000-0100-0000D2010000}"/>
    <hyperlink ref="E940" r:id="rId467" xr:uid="{00000000-0004-0000-0100-0000D3010000}"/>
    <hyperlink ref="E942" r:id="rId468" xr:uid="{00000000-0004-0000-0100-0000D4010000}"/>
    <hyperlink ref="E944" r:id="rId469" xr:uid="{00000000-0004-0000-0100-0000D5010000}"/>
    <hyperlink ref="E945" r:id="rId470" xr:uid="{00000000-0004-0000-0100-0000D6010000}"/>
    <hyperlink ref="E947" r:id="rId471" xr:uid="{00000000-0004-0000-0100-0000D7010000}"/>
    <hyperlink ref="E948" r:id="rId472" xr:uid="{00000000-0004-0000-0100-0000D8010000}"/>
    <hyperlink ref="E949" r:id="rId473" xr:uid="{00000000-0004-0000-0100-0000D9010000}"/>
    <hyperlink ref="E951" r:id="rId474" location=":~:text=About%20This%20Game-,ABOUT,and%20'Into%20the%20Breach'." xr:uid="{00000000-0004-0000-0100-0000DA010000}"/>
    <hyperlink ref="E953" r:id="rId475" xr:uid="{00000000-0004-0000-0100-0000DB010000}"/>
    <hyperlink ref="E954" r:id="rId476" xr:uid="{00000000-0004-0000-0100-0000DC010000}"/>
    <hyperlink ref="E955" r:id="rId477" xr:uid="{00000000-0004-0000-0100-0000DD010000}"/>
    <hyperlink ref="E957" r:id="rId478" location=":~:text=Inspired%20by%20rogue%2Dlite%20games,set%20of%20attacks%20and%20spells." xr:uid="{00000000-0004-0000-0100-0000DE010000}"/>
    <hyperlink ref="E958" r:id="rId479" xr:uid="{00000000-0004-0000-0100-0000DF010000}"/>
    <hyperlink ref="E959" r:id="rId480" location=":~:text=I%20got%20addicted%20to%20Stardew,simply%20stat%20upgrades%20or%20something)." xr:uid="{00000000-0004-0000-0100-0000E0010000}"/>
    <hyperlink ref="E962" r:id="rId481" xr:uid="{00000000-0004-0000-0100-0000E1010000}"/>
    <hyperlink ref="E963" r:id="rId482" location=":~:text=What%20they%20said%20about%20it,rewards%20that%20come%20with%20them." xr:uid="{00000000-0004-0000-0100-0000E2010000}"/>
    <hyperlink ref="E964" r:id="rId483" xr:uid="{00000000-0004-0000-0100-0000E3010000}"/>
    <hyperlink ref="E965" r:id="rId484" xr:uid="{00000000-0004-0000-0100-0000E4010000}"/>
    <hyperlink ref="E968" r:id="rId485" xr:uid="{00000000-0004-0000-0100-0000E5010000}"/>
    <hyperlink ref="E969" r:id="rId486" location="c6027566653452797874" xr:uid="{00000000-0004-0000-0100-0000E6010000}"/>
    <hyperlink ref="E971" r:id="rId487" xr:uid="{00000000-0004-0000-0100-0000E7010000}"/>
    <hyperlink ref="E972" r:id="rId488" xr:uid="{00000000-0004-0000-0100-0000E8010000}"/>
    <hyperlink ref="E974" r:id="rId489" xr:uid="{00000000-0004-0000-0100-0000E9010000}"/>
    <hyperlink ref="E976" r:id="rId490" xr:uid="{00000000-0004-0000-0100-0000EA010000}"/>
    <hyperlink ref="E977" r:id="rId491" location=":~:text=Oh%20and%20did%20I%20mention,insanely%20replayable%20for%20similar%20reasons." xr:uid="{00000000-0004-0000-0100-0000EB010000}"/>
    <hyperlink ref="E981" r:id="rId492" xr:uid="{00000000-0004-0000-0100-0000EC010000}"/>
    <hyperlink ref="E982" r:id="rId493" xr:uid="{00000000-0004-0000-0100-0000ED010000}"/>
    <hyperlink ref="E983" r:id="rId494" xr:uid="{00000000-0004-0000-0100-0000EE010000}"/>
    <hyperlink ref="E984" r:id="rId495" xr:uid="{00000000-0004-0000-0100-0000EF010000}"/>
    <hyperlink ref="E986" r:id="rId496" xr:uid="{00000000-0004-0000-0100-0000F0010000}"/>
    <hyperlink ref="E988" r:id="rId497" xr:uid="{00000000-0004-0000-0100-0000F1010000}"/>
    <hyperlink ref="E989" r:id="rId498" xr:uid="{00000000-0004-0000-0100-0000F2010000}"/>
    <hyperlink ref="E991" r:id="rId499" xr:uid="{00000000-0004-0000-0100-0000F3010000}"/>
    <hyperlink ref="E993" r:id="rId500" xr:uid="{00000000-0004-0000-0100-0000F4010000}"/>
    <hyperlink ref="E994" r:id="rId501" xr:uid="{00000000-0004-0000-0100-0000F5010000}"/>
    <hyperlink ref="E996" r:id="rId502" xr:uid="{00000000-0004-0000-0100-0000F6010000}"/>
    <hyperlink ref="E1001" r:id="rId503" xr:uid="{00000000-0004-0000-0100-0000F7010000}"/>
    <hyperlink ref="E1002" r:id="rId504" xr:uid="{00000000-0004-0000-0100-0000F8010000}"/>
    <hyperlink ref="E1003" r:id="rId505" xr:uid="{00000000-0004-0000-0100-0000F9010000}"/>
    <hyperlink ref="E1004" r:id="rId506" xr:uid="{00000000-0004-0000-0100-0000FA010000}"/>
    <hyperlink ref="E1006" r:id="rId507" xr:uid="{00000000-0004-0000-0100-0000FB010000}"/>
    <hyperlink ref="E1011" r:id="rId508" xr:uid="{00000000-0004-0000-0100-0000FC010000}"/>
    <hyperlink ref="E1012" r:id="rId509" xr:uid="{00000000-0004-0000-0100-0000FD010000}"/>
    <hyperlink ref="E1015" r:id="rId510" xr:uid="{00000000-0004-0000-0100-0000FE010000}"/>
    <hyperlink ref="E1017" r:id="rId511" xr:uid="{00000000-0004-0000-0100-0000FF010000}"/>
    <hyperlink ref="E1021" r:id="rId512" xr:uid="{00000000-0004-0000-0100-000000020000}"/>
    <hyperlink ref="E1022" r:id="rId513" location="c3194745319530070972" xr:uid="{00000000-0004-0000-0100-000001020000}"/>
    <hyperlink ref="E1024" r:id="rId514" location=":~:text=Dan%20DiIorio%20developed%20Luck%20Be,pondering%20why%20rent%20was%20necessary." xr:uid="{00000000-0004-0000-0100-000002020000}"/>
    <hyperlink ref="E1025" r:id="rId515" xr:uid="{00000000-0004-0000-0100-000003020000}"/>
    <hyperlink ref="E1026" r:id="rId516" xr:uid="{00000000-0004-0000-0100-000004020000}"/>
    <hyperlink ref="E1028" r:id="rId517" xr:uid="{00000000-0004-0000-0100-000005020000}"/>
    <hyperlink ref="E1029" r:id="rId518" xr:uid="{00000000-0004-0000-0100-000006020000}"/>
    <hyperlink ref="E1031" r:id="rId519" xr:uid="{00000000-0004-0000-0100-000007020000}"/>
    <hyperlink ref="E1032" r:id="rId520" xr:uid="{00000000-0004-0000-0100-000008020000}"/>
    <hyperlink ref="E1034" r:id="rId521" xr:uid="{00000000-0004-0000-0100-000009020000}"/>
    <hyperlink ref="E1037" r:id="rId522" xr:uid="{00000000-0004-0000-0100-00000A020000}"/>
    <hyperlink ref="E1040" r:id="rId523" xr:uid="{00000000-0004-0000-0100-00000B020000}"/>
    <hyperlink ref="E1041" r:id="rId524" location=":~:text=As%20design%20of%20the%20game,Bandicoot%20and%20Donkey%20Kong%20Country." xr:uid="{00000000-0004-0000-0100-00000C020000}"/>
    <hyperlink ref="E1043" r:id="rId525" xr:uid="{00000000-0004-0000-0100-00000D020000}"/>
    <hyperlink ref="E1045" r:id="rId526" xr:uid="{00000000-0004-0000-0100-00000E020000}"/>
    <hyperlink ref="E1047" r:id="rId527" xr:uid="{00000000-0004-0000-0100-00000F020000}"/>
    <hyperlink ref="E1048" r:id="rId528" xr:uid="{00000000-0004-0000-0100-000010020000}"/>
    <hyperlink ref="E1050" r:id="rId529" xr:uid="{00000000-0004-0000-0100-000011020000}"/>
    <hyperlink ref="E1052" r:id="rId530" location="c4335355681661031211" xr:uid="{00000000-0004-0000-0100-000012020000}"/>
    <hyperlink ref="E1055" r:id="rId531"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056" r:id="rId532" xr:uid="{00000000-0004-0000-0100-000014020000}"/>
    <hyperlink ref="E1057" r:id="rId533" xr:uid="{00000000-0004-0000-0100-000015020000}"/>
    <hyperlink ref="E1058" r:id="rId534" xr:uid="{00000000-0004-0000-0100-000016020000}"/>
    <hyperlink ref="E1059" r:id="rId535" xr:uid="{00000000-0004-0000-0100-000017020000}"/>
    <hyperlink ref="E1065" r:id="rId536" xr:uid="{00000000-0004-0000-0100-000018020000}"/>
    <hyperlink ref="E1066" r:id="rId537" xr:uid="{00000000-0004-0000-0100-000019020000}"/>
    <hyperlink ref="E1071" r:id="rId538" xr:uid="{00000000-0004-0000-0100-00001A020000}"/>
    <hyperlink ref="E1073" r:id="rId539" xr:uid="{00000000-0004-0000-0100-00001B020000}"/>
    <hyperlink ref="E1074" r:id="rId540" location="c3005556719742617866" xr:uid="{00000000-0004-0000-0100-00001C020000}"/>
    <hyperlink ref="E1075" r:id="rId541" xr:uid="{00000000-0004-0000-0100-00001D020000}"/>
    <hyperlink ref="E1077" r:id="rId542" location=":~:text=hotloopgames-,I%20am%20a%20solo%20developer%20working%20on%20The%20Last%20Flame,plays%20as%20an%20auto%2Dbattler." xr:uid="{00000000-0004-0000-0100-00001E020000}"/>
    <hyperlink ref="E1079" r:id="rId543" xr:uid="{00000000-0004-0000-0100-00001F020000}"/>
    <hyperlink ref="E1080" r:id="rId544" xr:uid="{00000000-0004-0000-0100-000020020000}"/>
    <hyperlink ref="E1084" r:id="rId545" xr:uid="{00000000-0004-0000-0100-000021020000}"/>
    <hyperlink ref="E1087" r:id="rId546" xr:uid="{00000000-0004-0000-0100-000022020000}"/>
    <hyperlink ref="E1088" r:id="rId547" xr:uid="{00000000-0004-0000-0100-000023020000}"/>
    <hyperlink ref="E1089" r:id="rId548" xr:uid="{00000000-0004-0000-0100-000024020000}"/>
    <hyperlink ref="E1091" r:id="rId549" xr:uid="{00000000-0004-0000-0100-000025020000}"/>
    <hyperlink ref="E1092" r:id="rId550" xr:uid="{00000000-0004-0000-0100-000026020000}"/>
    <hyperlink ref="E1093" r:id="rId551" xr:uid="{00000000-0004-0000-0100-000027020000}"/>
    <hyperlink ref="E1094" r:id="rId552" xr:uid="{00000000-0004-0000-0100-000028020000}"/>
    <hyperlink ref="E1095" r:id="rId553" xr:uid="{00000000-0004-0000-0100-000029020000}"/>
    <hyperlink ref="E1098" r:id="rId554" xr:uid="{00000000-0004-0000-0100-00002A020000}"/>
    <hyperlink ref="E1099" r:id="rId555" xr:uid="{00000000-0004-0000-0100-00002B020000}"/>
    <hyperlink ref="E1104" r:id="rId556" xr:uid="{00000000-0004-0000-0100-00002C020000}"/>
    <hyperlink ref="E1107" r:id="rId557" location=":~:text=As%20inspiration%20from%20different%20games,dangerous%20to%20go%20alone%22%20line." xr:uid="{00000000-0004-0000-0100-00002D020000}"/>
    <hyperlink ref="E1119" r:id="rId558" xr:uid="{00000000-0004-0000-0100-00002E020000}"/>
    <hyperlink ref="E1121" r:id="rId559" xr:uid="{00000000-0004-0000-0100-00002F020000}"/>
    <hyperlink ref="E1122" r:id="rId560" xr:uid="{00000000-0004-0000-0100-000030020000}"/>
    <hyperlink ref="E1123" r:id="rId561" xr:uid="{00000000-0004-0000-0100-000031020000}"/>
    <hyperlink ref="E1124" r:id="rId562" xr:uid="{00000000-0004-0000-0100-000032020000}"/>
    <hyperlink ref="E1126" r:id="rId563" xr:uid="{00000000-0004-0000-0100-000033020000}"/>
    <hyperlink ref="E1128" r:id="rId564" location=":~:text=Much%20of%20the%20game%20was,similar%20gameplay%20would%20be%20like." xr:uid="{00000000-0004-0000-0100-000034020000}"/>
    <hyperlink ref="E1129" r:id="rId565" location=":~:text=A%20big%20of%20Rogue%20Legacy%2C%20Spelunky%2C%20Hades.,kinda%20got%20inspiration%20from%20all%20of%20them." xr:uid="{00000000-0004-0000-0100-000035020000}"/>
    <hyperlink ref="E1130" r:id="rId566" xr:uid="{00000000-0004-0000-0100-000036020000}"/>
    <hyperlink ref="E1136" r:id="rId567" xr:uid="{00000000-0004-0000-0100-000037020000}"/>
    <hyperlink ref="E1141" r:id="rId568" xr:uid="{00000000-0004-0000-0100-000038020000}"/>
    <hyperlink ref="E1142" r:id="rId569" xr:uid="{00000000-0004-0000-0100-000039020000}"/>
    <hyperlink ref="E1143" r:id="rId570" xr:uid="{00000000-0004-0000-0100-00003A020000}"/>
    <hyperlink ref="E1144" r:id="rId571" xr:uid="{00000000-0004-0000-0100-00003B020000}"/>
    <hyperlink ref="E1148" r:id="rId572" xr:uid="{00000000-0004-0000-0100-00003C020000}"/>
    <hyperlink ref="E1149" r:id="rId573" location=":~:text=The%20game%20was%20developed%20by,development%2C%20including%20an%20experience%20system." xr:uid="{00000000-0004-0000-0100-00003D020000}"/>
    <hyperlink ref="E1150" r:id="rId574" xr:uid="{00000000-0004-0000-0100-00003E020000}"/>
    <hyperlink ref="E1153" r:id="rId575" xr:uid="{00000000-0004-0000-0100-00003F020000}"/>
    <hyperlink ref="E1154" r:id="rId576" xr:uid="{00000000-0004-0000-0100-000040020000}"/>
    <hyperlink ref="E1155" r:id="rId577" location=":~:text=Lead%20designer%20Matt%20Dabrowski%20credited,inspirations%20for%20Streets%20of%20Rogue." xr:uid="{00000000-0004-0000-0100-000041020000}"/>
    <hyperlink ref="E1156" r:id="rId578" xr:uid="{00000000-0004-0000-0100-000042020000}"/>
    <hyperlink ref="E1158" r:id="rId579" xr:uid="{00000000-0004-0000-0100-000043020000}"/>
    <hyperlink ref="E1159" r:id="rId580" xr:uid="{00000000-0004-0000-0100-000044020000}"/>
    <hyperlink ref="E1162" r:id="rId581" xr:uid="{00000000-0004-0000-0100-000045020000}"/>
    <hyperlink ref="E1165" r:id="rId582" xr:uid="{00000000-0004-0000-0100-000046020000}"/>
    <hyperlink ref="E1171" r:id="rId583" xr:uid="{00000000-0004-0000-0100-000047020000}"/>
    <hyperlink ref="E1174" r:id="rId584" xr:uid="{00000000-0004-0000-0100-000048020000}"/>
    <hyperlink ref="E1180" r:id="rId585" xr:uid="{00000000-0004-0000-0100-000049020000}"/>
    <hyperlink ref="E1181" r:id="rId586" xr:uid="{00000000-0004-0000-0100-00004A020000}"/>
    <hyperlink ref="E1183" r:id="rId587" xr:uid="{00000000-0004-0000-0100-00004B020000}"/>
    <hyperlink ref="E1185" r:id="rId588" xr:uid="{00000000-0004-0000-0100-00004C020000}"/>
    <hyperlink ref="E1188" r:id="rId589" xr:uid="{00000000-0004-0000-0100-00004D020000}"/>
    <hyperlink ref="E1189" r:id="rId590" xr:uid="{00000000-0004-0000-0100-00004E020000}"/>
    <hyperlink ref="E1191" r:id="rId591" xr:uid="{00000000-0004-0000-0100-00004F020000}"/>
    <hyperlink ref="E1193" r:id="rId592" xr:uid="{00000000-0004-0000-0100-000050020000}"/>
    <hyperlink ref="E1194" r:id="rId593" xr:uid="{00000000-0004-0000-0100-000051020000}"/>
    <hyperlink ref="E1195" r:id="rId594" xr:uid="{00000000-0004-0000-0100-000052020000}"/>
    <hyperlink ref="E1196" r:id="rId595" xr:uid="{00000000-0004-0000-0100-000053020000}"/>
    <hyperlink ref="E1199" r:id="rId596" xr:uid="{00000000-0004-0000-0100-000054020000}"/>
    <hyperlink ref="E1200" r:id="rId597" xr:uid="{00000000-0004-0000-0100-000055020000}"/>
    <hyperlink ref="E1201" r:id="rId598" xr:uid="{00000000-0004-0000-0100-000056020000}"/>
    <hyperlink ref="E1202" r:id="rId599" xr:uid="{00000000-0004-0000-0100-000057020000}"/>
    <hyperlink ref="E1205" r:id="rId600" xr:uid="{00000000-0004-0000-0100-000058020000}"/>
    <hyperlink ref="E1206" r:id="rId601" xr:uid="{00000000-0004-0000-0100-000059020000}"/>
    <hyperlink ref="E1207" r:id="rId602" xr:uid="{00000000-0004-0000-0100-00005A020000}"/>
    <hyperlink ref="E1208" r:id="rId603" location=":~:text=I%20left%20my%20old%20job,as%20The%20Binding%20of%20Isaac." xr:uid="{00000000-0004-0000-0100-00005B020000}"/>
    <hyperlink ref="E1209" r:id="rId604" xr:uid="{00000000-0004-0000-0100-00005C020000}"/>
    <hyperlink ref="E1211" r:id="rId605" xr:uid="{00000000-0004-0000-0100-00005D020000}"/>
    <hyperlink ref="E1213" r:id="rId606" xr:uid="{00000000-0004-0000-0100-00005E020000}"/>
    <hyperlink ref="E1214" r:id="rId607" xr:uid="{00000000-0004-0000-0100-00005F020000}"/>
    <hyperlink ref="E1216" r:id="rId608" xr:uid="{00000000-0004-0000-0100-000060020000}"/>
    <hyperlink ref="E1217" r:id="rId609" xr:uid="{00000000-0004-0000-0100-000061020000}"/>
    <hyperlink ref="E1220" r:id="rId610" xr:uid="{00000000-0004-0000-0100-000062020000}"/>
    <hyperlink ref="E1223" r:id="rId611" xr:uid="{00000000-0004-0000-0100-000063020000}"/>
    <hyperlink ref="E1231" r:id="rId612" location="c846961716375428005" xr:uid="{00000000-0004-0000-0100-000064020000}"/>
    <hyperlink ref="E1233" r:id="rId613" xr:uid="{00000000-0004-0000-0100-000065020000}"/>
    <hyperlink ref="E1235" r:id="rId614" xr:uid="{00000000-0004-0000-0100-000066020000}"/>
    <hyperlink ref="E1238" r:id="rId615" xr:uid="{00000000-0004-0000-0100-000067020000}"/>
    <hyperlink ref="E1239" r:id="rId616" xr:uid="{00000000-0004-0000-0100-000068020000}"/>
    <hyperlink ref="E1240" r:id="rId617" xr:uid="{00000000-0004-0000-0100-000069020000}"/>
    <hyperlink ref="E1242" r:id="rId618" xr:uid="{00000000-0004-0000-0100-00006A020000}"/>
    <hyperlink ref="E1243" r:id="rId619" xr:uid="{00000000-0004-0000-0100-00006B020000}"/>
    <hyperlink ref="E1245" r:id="rId620" xr:uid="{00000000-0004-0000-0100-00006C020000}"/>
    <hyperlink ref="E1247" r:id="rId621" xr:uid="{00000000-0004-0000-0100-00006D020000}"/>
    <hyperlink ref="E1250" r:id="rId622" xr:uid="{00000000-0004-0000-0100-00006E020000}"/>
    <hyperlink ref="E1251" r:id="rId623" xr:uid="{00000000-0004-0000-0100-00006F020000}"/>
    <hyperlink ref="E1253" r:id="rId624" xr:uid="{00000000-0004-0000-0100-000070020000}"/>
    <hyperlink ref="E1254" r:id="rId625" xr:uid="{00000000-0004-0000-0100-000071020000}"/>
    <hyperlink ref="E1256" r:id="rId626" xr:uid="{00000000-0004-0000-0100-000072020000}"/>
    <hyperlink ref="E1257" r:id="rId627" xr:uid="{00000000-0004-0000-0100-000073020000}"/>
    <hyperlink ref="E1259" r:id="rId628" location=":~:text=The%20game%20was%20developed%20by,development%2C%20including%20an%20experience%20system." xr:uid="{00000000-0004-0000-0100-000074020000}"/>
    <hyperlink ref="E1262" r:id="rId629" xr:uid="{00000000-0004-0000-0100-000075020000}"/>
    <hyperlink ref="E1263" r:id="rId630" xr:uid="{00000000-0004-0000-0100-000076020000}"/>
    <hyperlink ref="E1265" r:id="rId631" xr:uid="{00000000-0004-0000-0100-000077020000}"/>
    <hyperlink ref="E1267" r:id="rId632" xr:uid="{00000000-0004-0000-0100-000078020000}"/>
    <hyperlink ref="E1270" r:id="rId633" location="c592882772895432824" xr:uid="{00000000-0004-0000-0100-000079020000}"/>
    <hyperlink ref="E1274" r:id="rId634" xr:uid="{00000000-0004-0000-0100-00007A020000}"/>
    <hyperlink ref="E1275" r:id="rId635" xr:uid="{00000000-0004-0000-0100-00007B020000}"/>
    <hyperlink ref="E1276" r:id="rId636" xr:uid="{00000000-0004-0000-0100-00007C020000}"/>
    <hyperlink ref="E1277" r:id="rId637" xr:uid="{00000000-0004-0000-0100-00007D020000}"/>
    <hyperlink ref="E1278" r:id="rId638" xr:uid="{00000000-0004-0000-0100-00007E020000}"/>
    <hyperlink ref="E1281" r:id="rId639" location=":~:text=Apparently%2C%20Ota%20was%20a%20well%20known%20figure,to%20connect%20Tokyo's%20three%20main%20universities%20that" xr:uid="{00000000-0004-0000-0100-00007F020000}"/>
    <hyperlink ref="E1283" r:id="rId640" xr:uid="{00000000-0004-0000-0100-000080020000}"/>
    <hyperlink ref="E1284" r:id="rId641" xr:uid="{00000000-0004-0000-0100-000081020000}"/>
    <hyperlink ref="E1285" r:id="rId642" xr:uid="{00000000-0004-0000-0100-000082020000}"/>
    <hyperlink ref="E1286" r:id="rId643" xr:uid="{00000000-0004-0000-0100-000083020000}"/>
    <hyperlink ref="E1289" r:id="rId644" location="c592882772895432824" xr:uid="{00000000-0004-0000-0100-000084020000}"/>
    <hyperlink ref="E1290" r:id="rId645" xr:uid="{00000000-0004-0000-0100-000085020000}"/>
    <hyperlink ref="E1292" r:id="rId646" xr:uid="{00000000-0004-0000-0100-000086020000}"/>
    <hyperlink ref="E1296" r:id="rId647" xr:uid="{00000000-0004-0000-0100-000088020000}"/>
    <hyperlink ref="E1297" r:id="rId648" xr:uid="{00000000-0004-0000-0100-000089020000}"/>
    <hyperlink ref="E1304" r:id="rId649" location=":~:text=House%20of%20Necrosis%20is%20a,Linux)%20and%20the%20Steam%20Deck" xr:uid="{00000000-0004-0000-0100-00008A020000}"/>
    <hyperlink ref="E1306" r:id="rId650" xr:uid="{00000000-0004-0000-0100-00008B020000}"/>
    <hyperlink ref="E1308" r:id="rId651" xr:uid="{00000000-0004-0000-0100-00008C020000}"/>
    <hyperlink ref="E1309" r:id="rId652" xr:uid="{00000000-0004-0000-0100-00008D020000}"/>
    <hyperlink ref="E1311" r:id="rId653" xr:uid="{00000000-0004-0000-0100-00008E020000}"/>
    <hyperlink ref="E1313" r:id="rId654" xr:uid="{00000000-0004-0000-0100-00008F020000}"/>
    <hyperlink ref="E1315" r:id="rId655" xr:uid="{00000000-0004-0000-0100-000090020000}"/>
    <hyperlink ref="E1317" r:id="rId656" xr:uid="{00000000-0004-0000-0100-000091020000}"/>
    <hyperlink ref="E1326" r:id="rId657" xr:uid="{00000000-0004-0000-0100-000092020000}"/>
    <hyperlink ref="E1329" r:id="rId658" location="c735910198043297427" xr:uid="{00000000-0004-0000-0100-000093020000}"/>
    <hyperlink ref="E1334" r:id="rId659" xr:uid="{00000000-0004-0000-0100-000095020000}"/>
    <hyperlink ref="E1336" r:id="rId660" xr:uid="{00000000-0004-0000-0100-000096020000}"/>
    <hyperlink ref="E1342" r:id="rId661" xr:uid="{00000000-0004-0000-0100-000097020000}"/>
    <hyperlink ref="E1346" r:id="rId662" location="c562532756309107833" xr:uid="{00000000-0004-0000-0100-000098020000}"/>
    <hyperlink ref="E1347" r:id="rId663" xr:uid="{00000000-0004-0000-0100-000099020000}"/>
    <hyperlink ref="E1349" r:id="rId664" xr:uid="{00000000-0004-0000-0100-00009A020000}"/>
    <hyperlink ref="E1355" r:id="rId665" xr:uid="{00000000-0004-0000-0100-00009B020000}"/>
    <hyperlink ref="E1358" r:id="rId666" xr:uid="{00000000-0004-0000-0100-00009C020000}"/>
    <hyperlink ref="E1361" r:id="rId667" xr:uid="{00000000-0004-0000-0100-00009D020000}"/>
    <hyperlink ref="E1366" r:id="rId668" xr:uid="{00000000-0004-0000-0100-00009E020000}"/>
    <hyperlink ref="E1376" r:id="rId669" xr:uid="{00000000-0004-0000-0100-00009F020000}"/>
    <hyperlink ref="E1386" r:id="rId670" xr:uid="{00000000-0004-0000-0100-0000A0020000}"/>
    <hyperlink ref="E1404" r:id="rId671" xr:uid="{00000000-0004-0000-0100-0000A2020000}"/>
    <hyperlink ref="E1406" r:id="rId672" xr:uid="{00000000-0004-0000-0100-0000A3020000}"/>
    <hyperlink ref="E1409" r:id="rId673" xr:uid="{00000000-0004-0000-0100-0000A4020000}"/>
    <hyperlink ref="E1419" r:id="rId674" location=":~:text=Runs%20in%20Whisker%20Squadron:%20Survivor,to%20engage%20the%20boost%20thrusters." xr:uid="{00000000-0004-0000-0100-0000A5020000}"/>
    <hyperlink ref="E1432" r:id="rId675" xr:uid="{00000000-0004-0000-0100-0000A6020000}"/>
    <hyperlink ref="E1433" r:id="rId676" xr:uid="{00000000-0004-0000-0100-0000A7020000}"/>
    <hyperlink ref="E1434" r:id="rId677" xr:uid="{00000000-0004-0000-0100-0000A8020000}"/>
    <hyperlink ref="E1439" r:id="rId678" xr:uid="{00000000-0004-0000-0100-0000A9020000}"/>
    <hyperlink ref="E1440" r:id="rId679" xr:uid="{00000000-0004-0000-0100-0000AA020000}"/>
    <hyperlink ref="E1441" r:id="rId680" xr:uid="{00000000-0004-0000-0100-0000AB020000}"/>
    <hyperlink ref="E1443" r:id="rId681" location=":~:text=Vellum's%20Inspirations,chapter%20of%20the%20original%20series." xr:uid="{00000000-0004-0000-0100-0000AC020000}"/>
    <hyperlink ref="E654" r:id="rId682" xr:uid="{DC257F92-B893-4A80-84AF-3BA7F10C76A1}"/>
    <hyperlink ref="E80" r:id="rId683" xr:uid="{7306A171-7F4B-47C2-B91E-E6BB1E82D970}"/>
    <hyperlink ref="E166" r:id="rId684" xr:uid="{9998D6E1-A959-4C80-BCA2-BE69C5A7A99B}"/>
    <hyperlink ref="E5" r:id="rId685" xr:uid="{B9E4EED7-E892-464F-9EBD-AA4E7BD71993}"/>
    <hyperlink ref="E1255" r:id="rId686" xr:uid="{B56B3719-2C0F-4F11-9155-40E4DB5FD2F2}"/>
    <hyperlink ref="E193" r:id="rId687" xr:uid="{3273FC85-56B0-4591-95CD-373A480AC68B}"/>
    <hyperlink ref="E130" r:id="rId688" xr:uid="{3264C784-5E91-4DBF-993E-1FEF95430F6C}"/>
    <hyperlink ref="E676" r:id="rId689" xr:uid="{8F547E23-D0FA-4AF7-B467-053D4459C3E3}"/>
    <hyperlink ref="E282" r:id="rId690" xr:uid="{2EDB5F00-8479-4A8F-BB77-B6BDE0431C57}"/>
    <hyperlink ref="E280" r:id="rId691" xr:uid="{D89045FC-4BEC-49BE-8903-287735AA0711}"/>
    <hyperlink ref="E1182" r:id="rId692" xr:uid="{17049E58-CC8C-463C-9767-C1A2569408D4}"/>
    <hyperlink ref="E126" r:id="rId693" xr:uid="{B62B2547-7D21-4B1B-94F2-4AFC24DACA33}"/>
    <hyperlink ref="E778" r:id="rId694" xr:uid="{234AA154-DC6F-4634-8B71-CC47EBBC5B91}"/>
    <hyperlink ref="E1179" r:id="rId695" xr:uid="{756853BF-0C1D-4493-A2E8-263710241BDE}"/>
    <hyperlink ref="E643" r:id="rId696" xr:uid="{1B3C08D6-6EDC-4ADD-BB77-852F9AAA6A80}"/>
    <hyperlink ref="E525" r:id="rId697" xr:uid="{CA2B30A3-EBB5-47EB-A4E7-44FF06BC11B7}"/>
    <hyperlink ref="E1345" r:id="rId698" xr:uid="{AD1A4BDA-AB26-44FB-977C-6D4B0B1D0018}"/>
    <hyperlink ref="E1417" r:id="rId699" xr:uid="{A51A4A30-5304-4DC4-8375-CC026AF08628}"/>
    <hyperlink ref="E70" r:id="rId700" xr:uid="{4C958F54-1C40-43A7-92EF-A9310F99312E}"/>
    <hyperlink ref="E475" r:id="rId701" xr:uid="{C119554A-953F-485E-9B46-A70B4EB12957}"/>
    <hyperlink ref="E1264" r:id="rId702" xr:uid="{1ABE2D94-FE62-43D5-8CEE-063DFE0E2DAA}"/>
    <hyperlink ref="E918" r:id="rId703" xr:uid="{7C8D1E95-463B-4139-B901-2361FC6FBF28}"/>
    <hyperlink ref="E1010" r:id="rId704" xr:uid="{F1783B7A-9900-4667-B9BB-65FBD38E7C11}"/>
    <hyperlink ref="E767" r:id="rId705" xr:uid="{2ACB47B8-071E-42EF-B4CC-D5635A151212}"/>
    <hyperlink ref="E872" r:id="rId706" xr:uid="{FAE39DDD-5E06-4849-9826-36858752CACC}"/>
    <hyperlink ref="E499" r:id="rId707" xr:uid="{56EFD205-F197-49E0-959D-67AE62661490}"/>
    <hyperlink ref="E553" r:id="rId708" xr:uid="{62145C9D-17FD-49E4-91A9-15463C8D4953}"/>
    <hyperlink ref="E312" r:id="rId709" xr:uid="{9441C145-D2B7-4DDC-966C-EEF4E3AB0D09}"/>
    <hyperlink ref="E420" r:id="rId710" xr:uid="{B8B18927-8DBA-4A3C-8766-2BA089C10618}"/>
    <hyperlink ref="E299" r:id="rId711" xr:uid="{E1E9E0DE-0275-4E22-B235-2D70703E5EF6}"/>
    <hyperlink ref="E883" r:id="rId712" xr:uid="{C64C902E-5CF7-473F-9209-D3742DCCF37C}"/>
    <hyperlink ref="E725" r:id="rId713" xr:uid="{4EB89765-CE1B-453D-AE3B-8A2E8F62FAD6}"/>
    <hyperlink ref="E285" r:id="rId714" xr:uid="{C9381C14-D9BA-490C-B78E-D8D7978D4295}"/>
    <hyperlink ref="E1391" r:id="rId715" xr:uid="{5D6A7A9E-8E93-4677-B335-07D810F5F2CE}"/>
    <hyperlink ref="E864" r:id="rId716" xr:uid="{02E4BCE0-E5A5-438F-BAA4-3B55B72ABA69}"/>
    <hyperlink ref="E573" r:id="rId717" xr:uid="{F9C0DC33-F291-48A5-BAA6-CD749F38B8F7}"/>
    <hyperlink ref="E1388" r:id="rId718" xr:uid="{C6DAE36B-9FFF-40F4-A975-40308D682ABB}"/>
    <hyperlink ref="E1062" r:id="rId719" xr:uid="{A28AAA5F-E3AF-4CB4-AC75-ED4C73D4241A}"/>
    <hyperlink ref="E599" r:id="rId720" xr:uid="{684CF565-3C19-420F-ABEF-80608A7964D0}"/>
    <hyperlink ref="E1203" r:id="rId721" xr:uid="{C3ACE80B-944E-4458-A021-866DA3743B12}"/>
    <hyperlink ref="E1431" r:id="rId722" xr:uid="{70D4547A-51BA-461F-AD30-640DF48CD22D}"/>
    <hyperlink ref="E855" r:id="rId723" xr:uid="{78E56607-57DD-4F76-9014-6DBAEEDF827E}"/>
    <hyperlink ref="E875" r:id="rId724" xr:uid="{7341875F-BDED-41CC-B25D-136FCED18006}"/>
    <hyperlink ref="E503" r:id="rId725" xr:uid="{E0D4E947-25EC-492F-BC8B-0B1CBC953CF7}"/>
    <hyperlink ref="E316" r:id="rId726" xr:uid="{4F24E171-1AF4-474B-B100-D115B2BFEE71}"/>
    <hyperlink ref="E567" r:id="rId727" xr:uid="{4A06958D-32E3-4D6F-858C-3E2C787D20FD}"/>
    <hyperlink ref="E1371" r:id="rId728" location="c842879193508275230" xr:uid="{F47CC886-9EFA-4939-8863-C8F17F77FDAD}"/>
    <hyperlink ref="E1083" r:id="rId729" xr:uid="{3AB3A00F-98CF-4435-8833-0A851E2C073C}"/>
    <hyperlink ref="E762" r:id="rId730" xr:uid="{C406D397-30DB-48EC-8075-D7B6C232C5C8}"/>
    <hyperlink ref="E135" r:id="rId731" xr:uid="{007CFBC1-8CEA-4212-B4F0-0FF066C08E2A}"/>
    <hyperlink ref="E88" r:id="rId732" xr:uid="{C5B07F6A-C6B6-4369-9FE3-E7625C1D2C8A}"/>
    <hyperlink ref="E96" r:id="rId733" xr:uid="{9003B96D-F683-49D5-81C9-E8A2CCEE4A21}"/>
    <hyperlink ref="E98" r:id="rId734" xr:uid="{400C9351-54FE-4B8D-9B9A-0B0C219C35CE}"/>
    <hyperlink ref="E136" r:id="rId735" xr:uid="{760CA5D1-BE1A-4AFE-8811-4667F5691EB8}"/>
    <hyperlink ref="E89" r:id="rId736" xr:uid="{F9FC197E-E9FE-4CD7-ADA1-1321F785AE10}"/>
    <hyperlink ref="E97" r:id="rId737" xr:uid="{D37D4B00-C269-473F-A26C-3D2E87C1AAC1}"/>
    <hyperlink ref="E99" r:id="rId738" xr:uid="{ABDDBD02-2EC2-49CC-B72B-4F6636A8E145}"/>
    <hyperlink ref="E890" r:id="rId739" xr:uid="{ED53DE22-9D86-4500-B1B3-6F8BDF546600}"/>
    <hyperlink ref="E1403" r:id="rId740" xr:uid="{9B852CA2-E54A-49EA-8814-23E1B14CD3C1}"/>
    <hyperlink ref="E314" r:id="rId741" xr:uid="{94E018E0-042D-408B-9779-5894F881B159}"/>
    <hyperlink ref="E337" r:id="rId742" xr:uid="{B5B7069D-BF7F-482C-915D-665DFFD3BABF}"/>
    <hyperlink ref="E241" r:id="rId743" xr:uid="{396298D9-2ACA-4C5D-B2C6-C5EE2CDEFB0B}"/>
    <hyperlink ref="E495" r:id="rId744" xr:uid="{FAF1DFA1-959D-4AEE-BB2F-EA12E94967CF}"/>
    <hyperlink ref="E557" r:id="rId745" xr:uid="{EC4E5489-3B8D-43C5-BF19-2C2EA22E2606}"/>
    <hyperlink ref="E218" r:id="rId746" xr:uid="{C2596C1D-9A69-44EE-BF12-80C2168233D1}"/>
    <hyperlink ref="E603" r:id="rId747" xr:uid="{F621E8F5-0491-493D-B769-B7CD77BC5B23}"/>
    <hyperlink ref="E626" r:id="rId748" xr:uid="{4127133D-D589-4277-AA21-D2599470279E}"/>
    <hyperlink ref="E1109" r:id="rId749" xr:uid="{34B7B3C3-0C4A-46CD-92BB-6FF3B597AAD7}"/>
    <hyperlink ref="E165" r:id="rId750" xr:uid="{E49398C4-F888-4174-851D-12018E96BA3D}"/>
    <hyperlink ref="E1407" r:id="rId751" xr:uid="{9139EA07-E310-4E9B-ABA2-63D541902482}"/>
    <hyperlink ref="E853" r:id="rId752" xr:uid="{76A98E02-4371-4D92-BF10-7771BDF4B0F6}"/>
    <hyperlink ref="E757" r:id="rId753" xr:uid="{8AB47C2C-DCB0-459E-AB93-D035E87D88FF}"/>
    <hyperlink ref="E1125" r:id="rId754" xr:uid="{FBD758DD-5EB8-4F17-834D-B309931C342F}"/>
    <hyperlink ref="E978" r:id="rId755" xr:uid="{C357B225-7211-4499-8BFB-A49F13205C07}"/>
    <hyperlink ref="E523" r:id="rId756" xr:uid="{00F517EE-3EC6-4A52-8DFC-A393770262A5}"/>
    <hyperlink ref="E501" r:id="rId757" xr:uid="{0E72ABCF-08D0-4F45-A663-49A14B6D3325}"/>
    <hyperlink ref="E1218" r:id="rId758" xr:uid="{11C937CA-10C7-48B7-AC81-1843474BD01D}"/>
    <hyperlink ref="E268" r:id="rId759" xr:uid="{FD39470D-1885-4635-9DE7-3856687F8611}"/>
    <hyperlink ref="E1070" r:id="rId760" xr:uid="{B4C62739-016F-4CAE-877E-BF3AEB7ADA8F}"/>
    <hyperlink ref="E622" r:id="rId761" xr:uid="{09DF1C7B-5846-4CAD-A11F-2136F1192AF6}"/>
    <hyperlink ref="E907" r:id="rId762" xr:uid="{CBC0B082-DD9E-43F8-A179-EB2FFD643FC6}"/>
    <hyperlink ref="E158" r:id="rId763" xr:uid="{5B454A0F-BECB-457F-91B8-ABBCD80D5EE9}"/>
    <hyperlink ref="E807" r:id="rId764" xr:uid="{70D922DB-1822-47F7-8B64-F66186EE28F1}"/>
    <hyperlink ref="E64" r:id="rId765" xr:uid="{0DAEA923-B4B1-4CE6-AB24-DD07A4C5365C}"/>
    <hyperlink ref="E775" r:id="rId766" xr:uid="{95BE4862-33A9-41C4-8487-E447A22797B8}"/>
    <hyperlink ref="E1219" r:id="rId767" xr:uid="{5D7AF87A-D596-4C40-8C0F-2F19514A0A9D}"/>
    <hyperlink ref="E295" r:id="rId768" xr:uid="{3914E137-AC2F-4C98-A6AB-2D587913BF39}"/>
    <hyperlink ref="E459" r:id="rId769" xr:uid="{84ADC6BC-5F07-417B-9B2B-58031F51D973}"/>
    <hyperlink ref="E709" r:id="rId770" xr:uid="{4F864965-905D-417C-B363-49B2D25D94EC}"/>
    <hyperlink ref="E808" r:id="rId771" xr:uid="{CA9C0EC1-29DC-44CD-B0A4-2A7DDED681BC}"/>
    <hyperlink ref="E588" r:id="rId772" xr:uid="{785E53CE-FB4B-4280-B57B-EE316B786B50}"/>
    <hyperlink ref="E1215" r:id="rId773" xr:uid="{0A8F7EBD-A01D-4336-ADAF-3E8859ED6C33}"/>
    <hyperlink ref="E904" r:id="rId774" xr:uid="{925C99C9-F4C2-4063-9736-FCABD2EEBF72}"/>
    <hyperlink ref="E772" r:id="rId775" xr:uid="{9699B4B8-EC77-439B-95B7-F7574579CD6B}"/>
    <hyperlink ref="E1234" r:id="rId776" xr:uid="{8BBD1517-1DCE-403B-8565-4BFD22DDFA25}"/>
    <hyperlink ref="E414" r:id="rId777" xr:uid="{3FA28012-FC78-4A3F-86BA-7FA7BE001059}"/>
    <hyperlink ref="E231" r:id="rId778" xr:uid="{63657D3F-DEFB-4369-85C3-789E96AA8DA6}"/>
    <hyperlink ref="E1138" r:id="rId779" xr:uid="{47813FC8-AFE1-427F-AE89-3CCA78408CDC}"/>
    <hyperlink ref="E911" r:id="rId780" xr:uid="{8EE78B8A-CFD9-4BD2-BF05-F408D13A3E25}"/>
    <hyperlink ref="E1435" r:id="rId781" xr:uid="{7A6842FA-45F0-40DD-BE37-924F321DF9C9}"/>
    <hyperlink ref="E259" r:id="rId782" xr:uid="{4E0E38B3-9659-4837-A810-D00636B0F10E}"/>
    <hyperlink ref="E1009" r:id="rId783" xr:uid="{3EE1E877-C07F-4E95-9F44-3EDCCAF9EBFB}"/>
    <hyperlink ref="E71" r:id="rId784" xr:uid="{DFD5D4A8-7664-41B0-9962-1C8FEF851212}"/>
    <hyperlink ref="E952" r:id="rId785" xr:uid="{9629D6C9-CF08-4AC0-8B04-519412692BBD}"/>
    <hyperlink ref="E685" r:id="rId786" xr:uid="{4295EFFB-07CE-41CD-A14C-BB24DAE390ED}"/>
    <hyperlink ref="E646" r:id="rId787" xr:uid="{9B4A4D25-5438-41E3-ACD7-DD973CE47DD7}"/>
    <hyperlink ref="E653" r:id="rId788" xr:uid="{BACCE9B6-8ECA-41FB-996C-80C0BBD415CD}"/>
    <hyperlink ref="E327" r:id="rId789" xr:uid="{EA72B976-24C7-4518-87D0-8D6F01A0FB47}"/>
    <hyperlink ref="E980" r:id="rId790" xr:uid="{FF59F731-3E2D-4AB5-89ED-B4165A50B489}"/>
    <hyperlink ref="E526" r:id="rId791" xr:uid="{0A249B19-B1F8-4F67-9C2D-71FBBCA252A4}"/>
    <hyperlink ref="E296" r:id="rId792" xr:uid="{12E79190-6A49-41BE-8F44-8CA69A0A8A44}"/>
    <hyperlink ref="E222" r:id="rId793" xr:uid="{E9B5AA31-7CD9-4E41-9454-B6162DBA1459}"/>
    <hyperlink ref="E611" r:id="rId794" xr:uid="{726AE619-0F35-48FB-9070-2DCF26273A7E}"/>
    <hyperlink ref="E65" r:id="rId795" xr:uid="{3296730B-09C4-46E7-9B11-07FEBF67FEB1}"/>
    <hyperlink ref="E302" r:id="rId796" xr:uid="{8845AD77-949C-4FC1-9539-BD096F56CB51}"/>
    <hyperlink ref="E672" r:id="rId797" xr:uid="{359A4A08-94B1-422A-9D9E-365B26FBDD74}"/>
    <hyperlink ref="E1363" r:id="rId798" xr:uid="{F9BEED06-E57B-48E9-ABF3-6585B5B3DD63}"/>
    <hyperlink ref="E673" r:id="rId799" xr:uid="{B02B0A49-D286-479A-85A0-76A995A240D2}"/>
    <hyperlink ref="E1246" r:id="rId800" xr:uid="{07C49B31-0A15-4F18-8CE5-D295AAB93256}"/>
    <hyperlink ref="E914" r:id="rId801" xr:uid="{B34B45B8-CB27-4006-8F1B-38115E7B81EE}"/>
    <hyperlink ref="E11" r:id="rId802" xr:uid="{ABDD3C61-D776-44CB-8F85-C5D4E7AF66EF}"/>
    <hyperlink ref="E1101" r:id="rId803" xr:uid="{5D28E741-06CB-471F-AA5B-C6279839952F}"/>
    <hyperlink ref="E943" r:id="rId804" xr:uid="{E4D6DAFF-DB98-4039-BDDF-E2905AEA2385}"/>
    <hyperlink ref="E335" r:id="rId805" xr:uid="{79A1D462-8052-48AD-A68B-D0084DBAA7CF}"/>
    <hyperlink ref="E309" r:id="rId806" xr:uid="{6C22384B-4E97-4E31-B844-A350F9331DF2}"/>
    <hyperlink ref="E310" r:id="rId807" xr:uid="{1C3C92C2-D6A0-4FF2-825C-129534F4D777}"/>
    <hyperlink ref="E424" r:id="rId808" xr:uid="{8F81F563-6034-417A-ADBA-73030B013656}"/>
    <hyperlink ref="E810" r:id="rId809" xr:uid="{EECFB546-0535-4851-899A-9C580A482C6F}"/>
    <hyperlink ref="E58" r:id="rId810" xr:uid="{CBC2BBAD-B637-4106-BCD6-E9E4C844256B}"/>
    <hyperlink ref="E1053" r:id="rId811" xr:uid="{1F25C809-BB94-4A11-937B-D24471D02480}"/>
    <hyperlink ref="E1393" r:id="rId812" xr:uid="{97D98395-3C28-4831-B9C4-7B4829982C41}"/>
    <hyperlink ref="E150" r:id="rId813" xr:uid="{C0E7C7EF-C119-405A-AE69-5F625741B5F3}"/>
    <hyperlink ref="E1402" r:id="rId814" xr:uid="{FD983225-12F5-46E5-A904-A1A9774FC711}"/>
    <hyperlink ref="E171" r:id="rId815" xr:uid="{7C2AF8B1-58BF-4182-B42A-0F6104811C8E}"/>
    <hyperlink ref="E1113" r:id="rId816" xr:uid="{F30E44C9-EDD2-4BB8-B6FA-25CAF04351F8}"/>
    <hyperlink ref="E8" r:id="rId817" xr:uid="{F4ECDF04-F27A-4F84-8CB9-7356501E47FD}"/>
    <hyperlink ref="E923" r:id="rId818" xr:uid="{08A19CA9-DB9A-4EE0-9B5B-D245133EE9B9}"/>
    <hyperlink ref="E1116" r:id="rId819" xr:uid="{65642D69-0458-4C57-8626-D97111EBF706}"/>
    <hyperlink ref="E1424" r:id="rId820" xr:uid="{0AE53E53-BBA4-453D-9A0C-99E74A37CA52}"/>
    <hyperlink ref="E142" r:id="rId821" xr:uid="{47A80645-C8E0-457D-B80A-EC24FB351F8D}"/>
    <hyperlink ref="E763" r:id="rId822" xr:uid="{0C918335-C59E-49B6-AA43-C0CD9D8C4CF8}"/>
    <hyperlink ref="E928" r:id="rId823" xr:uid="{1CB6077E-3092-489F-9B0C-6BAB87F17770}"/>
    <hyperlink ref="E326" r:id="rId824" xr:uid="{3599CE02-A1AD-432F-9855-98EFC546B7C0}"/>
    <hyperlink ref="E1397" r:id="rId825" xr:uid="{ECA9D5F3-38EC-498C-B3FC-78D322956F5C}"/>
    <hyperlink ref="E1166" r:id="rId826" xr:uid="{8076755B-565E-4386-9385-FC02DF98FC86}"/>
    <hyperlink ref="E839" r:id="rId827" xr:uid="{7FF7EDF5-A200-4775-9665-1C31DEADB023}"/>
    <hyperlink ref="E867" r:id="rId828" xr:uid="{B4062A1F-3513-4E54-9725-FE70A8E2102C}"/>
    <hyperlink ref="E874" r:id="rId829" location="c591779267908675739" xr:uid="{8E09EE43-7AB1-4EFD-96D7-1D97BCB75A35}"/>
    <hyperlink ref="E1322" r:id="rId830" xr:uid="{7AE028C1-55B7-49AF-A33B-C95B2C367207}"/>
    <hyperlink ref="E927" r:id="rId831" xr:uid="{6E425835-5875-41B2-97A4-FA58DA438409}"/>
    <hyperlink ref="E1072" r:id="rId832" xr:uid="{A9769E26-0749-461F-861E-611D6D59A357}"/>
    <hyperlink ref="E712" r:id="rId833" xr:uid="{490B68C1-1A21-42E5-A4E5-45420F7FAE91}"/>
    <hyperlink ref="E544" r:id="rId834" xr:uid="{B422FF40-64E0-4B24-8F53-496AF4717AFF}"/>
    <hyperlink ref="E348" r:id="rId835" xr:uid="{616EFB2C-AC95-483E-A44D-39F69D8AAE04}"/>
    <hyperlink ref="E594" r:id="rId836" xr:uid="{CF9B0B49-4BC6-4E6E-A28C-97AD2449D1F4}"/>
    <hyperlink ref="E456" r:id="rId837" xr:uid="{CC3D205F-F4A2-4C98-812B-DFCFF767C3AE}"/>
    <hyperlink ref="E1137" r:id="rId838" xr:uid="{0F0790E3-9AC0-413F-984C-498AA74C3589}"/>
    <hyperlink ref="E1147" r:id="rId839" xr:uid="{8EF70CC2-1F7C-44FC-B27F-D40F33719C00}"/>
    <hyperlink ref="E746" r:id="rId840" xr:uid="{2D78A1F7-4C7B-4BBB-81A4-11B12B8FADDA}"/>
    <hyperlink ref="E1426" r:id="rId841" xr:uid="{20287799-1A8F-4339-9E95-0AA01F352BD4}"/>
    <hyperlink ref="E385" r:id="rId842" xr:uid="{CAFAA947-4D25-464D-B292-52BCA67FD2CF}"/>
    <hyperlink ref="E903" r:id="rId843" xr:uid="{4AC722E2-BCE9-43C4-A80B-4BBCC96FDAEE}"/>
    <hyperlink ref="E752" r:id="rId844" xr:uid="{96213E6F-FE44-40A6-807C-E0126EE2DDC9}"/>
    <hyperlink ref="E418" r:id="rId845" xr:uid="{4F1594D2-3031-43C8-B872-3A5312FF9FDF}"/>
    <hyperlink ref="E262" r:id="rId846" xr:uid="{676A4F1E-EFAA-4DDC-8D28-7E9C8508C7F1}"/>
    <hyperlink ref="E789" r:id="rId847" xr:uid="{488C3614-7E9C-44DA-9CFF-02ED9DA6D335}"/>
    <hyperlink ref="E584" r:id="rId848" xr:uid="{7B3BFBD2-3751-4A52-8F1F-FC662C98C177}"/>
    <hyperlink ref="E878" r:id="rId849" xr:uid="{BFB33606-7E8A-49A2-9856-BB5128AD9376}"/>
    <hyperlink ref="E721" r:id="rId850" xr:uid="{56249F62-B66B-48AF-9B7E-3D57F062A187}"/>
    <hyperlink ref="E1442" r:id="rId851" xr:uid="{275CD9A7-2606-4BD7-8AB4-6F7F649B0D82}"/>
    <hyperlink ref="E415" r:id="rId852" xr:uid="{D782717C-86B3-4AB9-9BAE-50DC60637C21}"/>
    <hyperlink ref="E1140" r:id="rId853" xr:uid="{B4136A1E-1840-4253-B890-D50610D9B7FF}"/>
    <hyperlink ref="E465" r:id="rId854" xr:uid="{F010C842-1A27-45E7-91BD-D6A667117A83}"/>
    <hyperlink ref="E1146" r:id="rId855" xr:uid="{7A735F72-FCBF-4C95-B717-33123075389C}"/>
    <hyperlink ref="E1249" r:id="rId856" xr:uid="{0DAFB786-CEC3-42A8-9F7A-4F3B58233AB6}"/>
    <hyperlink ref="E172" r:id="rId857" xr:uid="{7647C012-527B-47FA-AA69-5F88131531AA}"/>
    <hyperlink ref="E1114" r:id="rId858" xr:uid="{466561B0-4A38-497E-9D82-476E22D32111}"/>
    <hyperlink ref="E421" r:id="rId859" xr:uid="{1F54E98D-2D75-4E65-9A48-E714F01AAEAE}"/>
    <hyperlink ref="E324" r:id="rId860" xr:uid="{C7A1DF84-E16D-4F1B-9452-9D09780CAB3C}"/>
    <hyperlink ref="E600" r:id="rId861" xr:uid="{27E54E7F-D861-41B7-A5CB-0379F6FCE10A}"/>
    <hyperlink ref="E407" r:id="rId862" xr:uid="{098EDA8A-FC68-4111-B577-99F1B304BAB2}"/>
    <hyperlink ref="E795" r:id="rId863" xr:uid="{694E1CFD-5FA2-4B53-95A3-ED335D58CE37}"/>
    <hyperlink ref="E338" r:id="rId864" xr:uid="{DC2E963B-8BB6-4612-927B-0C9EA135745A}"/>
    <hyperlink ref="E794" r:id="rId865" xr:uid="{775D1500-27BD-4FBE-BB82-12C0B18B2018}"/>
    <hyperlink ref="E723" r:id="rId866" xr:uid="{55744FEF-21E1-4B4A-BBEE-FD5B94DE8333}"/>
    <hyperlink ref="E634" r:id="rId867" xr:uid="{22C5AEF3-D8A0-494C-9B46-B4D333E55377}"/>
    <hyperlink ref="E837" r:id="rId868" xr:uid="{5D245017-B18B-409F-9B15-14C242BCD0D6}"/>
    <hyperlink ref="E628" r:id="rId869" xr:uid="{851E31D8-E443-46B1-9D46-BF582D4B9332}"/>
    <hyperlink ref="E355" r:id="rId870" xr:uid="{D6991607-8EBB-408C-8E7B-5174D1FE7C25}"/>
    <hyperlink ref="E639" r:id="rId871" xr:uid="{B23B7F09-3736-473F-82D1-8854D9E5C331}"/>
    <hyperlink ref="E159" r:id="rId872" xr:uid="{D57488C7-0308-4F7D-B7CF-AF40CAE04472}"/>
    <hyperlink ref="E1288" r:id="rId873" xr:uid="{1755DCC3-224A-4152-BCC8-91981498AEEA}"/>
    <hyperlink ref="E230" r:id="rId874" xr:uid="{85D4F570-895C-488C-AEA6-5A95B93B5E1E}"/>
    <hyperlink ref="E303" r:id="rId875" xr:uid="{D1B3C96A-0C81-4008-828E-3BFAF10EED79}"/>
    <hyperlink ref="E1139" r:id="rId876" xr:uid="{83D780E2-27AD-4B1C-BF2E-B3DF2589421A}"/>
    <hyperlink ref="E583" r:id="rId877" xr:uid="{AC1196BC-823B-4E18-B98E-7B1DA3BCA411}"/>
    <hyperlink ref="E615" r:id="rId878" xr:uid="{5D671CD6-0D00-4D6B-ACAE-C99CDCDB4448}"/>
    <hyperlink ref="E545" r:id="rId879" xr:uid="{4CD7DA82-E939-4B3D-98DD-54522C1793F9}"/>
    <hyperlink ref="E836" r:id="rId880" xr:uid="{E1F3E9F4-E70F-4F16-A094-D418B14B769B}"/>
    <hyperlink ref="E550" r:id="rId881" xr:uid="{6693F16F-A7B4-44BB-AEBE-E88D3EB7D2F7}"/>
    <hyperlink ref="E170" r:id="rId882" xr:uid="{D8A1008B-A01D-4497-B3E9-9891BA45CAB2}"/>
    <hyperlink ref="E7" r:id="rId883" xr:uid="{82C02E44-C4DC-473C-BDD8-A6E324C69864}"/>
    <hyperlink ref="E574" r:id="rId884" xr:uid="{F1CB7E5D-3685-4C6E-9108-2997A0AD6DBC}"/>
    <hyperlink ref="E1112" r:id="rId885" xr:uid="{03B04C2D-E6F0-440A-91A9-8F416D1240BA}"/>
    <hyperlink ref="E350" r:id="rId886" xr:uid="{0AAD27CE-179A-46C7-9DE7-1181659193FE}"/>
    <hyperlink ref="E430" r:id="rId887" xr:uid="{7270D518-4F12-42D1-BD6E-647FF9122757}"/>
    <hyperlink ref="E93" r:id="rId888" xr:uid="{A0B4227F-FBD1-42C8-BEFA-134B9493FB24}"/>
    <hyperlink ref="E1295" r:id="rId889" xr:uid="{3CE67439-D239-4023-8A19-D6F26C6CA8BA}"/>
    <hyperlink ref="E1446" r:id="rId890" xr:uid="{C2C160AB-6C9B-414E-A8DB-DCAA600B5072}"/>
    <hyperlink ref="E1447" r:id="rId891" xr:uid="{49C2C811-46C2-4B58-9309-B7C58B5B2ABC}"/>
    <hyperlink ref="E1448" r:id="rId892" xr:uid="{5FE2E83A-CB29-4B37-B96C-9BBBCC8914FE}"/>
    <hyperlink ref="E1449" r:id="rId893" xr:uid="{4CACDD5A-E810-4BD7-B13F-DDC8A372CD63}"/>
    <hyperlink ref="E1450" r:id="rId894" xr:uid="{CB5AEC32-697D-40F3-BA64-6B3893675488}"/>
    <hyperlink ref="E1451" r:id="rId895" xr:uid="{231242F9-3604-4FE0-9058-1BDA1AABB819}"/>
    <hyperlink ref="E975" r:id="rId896" xr:uid="{91F61043-B371-4C99-87BB-E8FFCDF21E47}"/>
    <hyperlink ref="E589" r:id="rId897" xr:uid="{481E9431-DB0B-468A-8511-238D002E429E}"/>
    <hyperlink ref="E1452" r:id="rId898" xr:uid="{BC0C56FF-7E02-4782-A758-30EA62F91D58}"/>
    <hyperlink ref="E1453" r:id="rId899" xr:uid="{693AF152-A04D-404E-832F-D81C4C6C72FE}"/>
    <hyperlink ref="E1454" r:id="rId900" xr:uid="{6F248362-153F-424C-B354-6378D4D86F9C}"/>
    <hyperlink ref="E1455" r:id="rId901" xr:uid="{72BB5EFD-4348-413A-A37F-B4261299BADA}"/>
    <hyperlink ref="E1456" r:id="rId902" xr:uid="{3A4D9878-45DC-465A-829F-2C4D66BB6733}"/>
    <hyperlink ref="E1457" r:id="rId903" xr:uid="{CED3A7A0-6700-4430-A9D8-EAD1DBB90DDF}"/>
    <hyperlink ref="E1458" r:id="rId904" xr:uid="{764782B1-752B-4ADB-854C-43DC3582A794}"/>
    <hyperlink ref="E1459" r:id="rId905" xr:uid="{408BADD1-F02E-4742-A102-A3054E30FF9A}"/>
    <hyperlink ref="E1460" r:id="rId906" xr:uid="{A8B96687-1D31-40EF-965F-99E753AE39D9}"/>
  </hyperlinks>
  <pageMargins left="0.7" right="0.7" top="0.75" bottom="0.75" header="0.511811023622047" footer="0.511811023622047"/>
  <pageSetup orientation="portrait" horizontalDpi="300" verticalDpi="300"/>
  <tableParts count="1">
    <tablePart r:id="rId90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M2" sqref="M2"/>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40.140625" bestFit="1" customWidth="1"/>
    <col min="15" max="15" width="70.7109375" customWidth="1"/>
    <col min="16" max="16" width="18.7109375" bestFit="1" customWidth="1"/>
    <col min="17" max="17" width="16.42578125" bestFit="1" customWidth="1"/>
  </cols>
  <sheetData>
    <row r="1" spans="1:17" x14ac:dyDescent="0.25">
      <c r="A1" t="s">
        <v>165</v>
      </c>
      <c r="B1" t="s">
        <v>1</v>
      </c>
      <c r="C1" t="s">
        <v>3442</v>
      </c>
      <c r="D1" t="s">
        <v>3443</v>
      </c>
      <c r="E1" t="s">
        <v>3444</v>
      </c>
      <c r="F1" t="s">
        <v>3445</v>
      </c>
      <c r="G1" t="s">
        <v>3446</v>
      </c>
      <c r="H1" t="s">
        <v>3447</v>
      </c>
      <c r="I1" t="s">
        <v>3448</v>
      </c>
      <c r="J1" t="s">
        <v>3449</v>
      </c>
      <c r="K1" t="s">
        <v>3450</v>
      </c>
      <c r="L1" t="s">
        <v>3451</v>
      </c>
      <c r="M1" t="s">
        <v>3452</v>
      </c>
      <c r="N1" t="s">
        <v>3453</v>
      </c>
      <c r="O1" t="s">
        <v>3454</v>
      </c>
      <c r="P1" t="s">
        <v>8309</v>
      </c>
      <c r="Q1" t="s">
        <v>171</v>
      </c>
    </row>
    <row r="2" spans="1:17" x14ac:dyDescent="0.25">
      <c r="A2" t="s">
        <v>3456</v>
      </c>
      <c r="B2" t="s">
        <v>2804</v>
      </c>
      <c r="C2">
        <v>7</v>
      </c>
      <c r="D2">
        <v>3</v>
      </c>
      <c r="E2">
        <v>1</v>
      </c>
      <c r="F2">
        <v>0</v>
      </c>
      <c r="G2">
        <v>1</v>
      </c>
      <c r="H2">
        <v>0</v>
      </c>
      <c r="I2">
        <v>0</v>
      </c>
      <c r="J2">
        <v>0</v>
      </c>
      <c r="K2">
        <v>0</v>
      </c>
      <c r="L2">
        <v>0</v>
      </c>
      <c r="M2" t="s">
        <v>8298</v>
      </c>
      <c r="N2" t="s">
        <v>3457</v>
      </c>
      <c r="O2" t="s">
        <v>3458</v>
      </c>
      <c r="P2" t="s">
        <v>8316</v>
      </c>
      <c r="Q2" t="s">
        <v>3460</v>
      </c>
    </row>
    <row r="3" spans="1:17" x14ac:dyDescent="0.25">
      <c r="A3" t="s">
        <v>3461</v>
      </c>
      <c r="B3" t="s">
        <v>353</v>
      </c>
      <c r="C3">
        <v>7</v>
      </c>
      <c r="D3">
        <v>3</v>
      </c>
      <c r="E3">
        <v>0</v>
      </c>
      <c r="F3">
        <v>0</v>
      </c>
      <c r="G3">
        <v>0</v>
      </c>
      <c r="H3">
        <v>0</v>
      </c>
      <c r="I3">
        <v>0</v>
      </c>
      <c r="J3">
        <v>0</v>
      </c>
      <c r="K3">
        <v>0</v>
      </c>
      <c r="L3">
        <v>2</v>
      </c>
      <c r="M3" t="s">
        <v>8094</v>
      </c>
      <c r="N3" t="s">
        <v>7987</v>
      </c>
      <c r="O3" t="s">
        <v>3463</v>
      </c>
      <c r="P3" t="s">
        <v>8310</v>
      </c>
      <c r="Q3" t="s">
        <v>3464</v>
      </c>
    </row>
    <row r="4" spans="1:17" x14ac:dyDescent="0.25">
      <c r="A4" t="s">
        <v>3465</v>
      </c>
      <c r="B4" t="s">
        <v>90</v>
      </c>
      <c r="C4">
        <v>8</v>
      </c>
      <c r="D4">
        <v>3</v>
      </c>
      <c r="E4">
        <v>2</v>
      </c>
      <c r="F4">
        <v>0</v>
      </c>
      <c r="G4">
        <v>0</v>
      </c>
      <c r="H4">
        <v>0</v>
      </c>
      <c r="I4">
        <v>0</v>
      </c>
      <c r="J4">
        <v>0</v>
      </c>
      <c r="K4">
        <v>0</v>
      </c>
      <c r="L4">
        <v>0</v>
      </c>
      <c r="M4" t="s">
        <v>8077</v>
      </c>
      <c r="N4" t="s">
        <v>3466</v>
      </c>
      <c r="O4" t="s">
        <v>3467</v>
      </c>
      <c r="P4" t="s">
        <v>3468</v>
      </c>
      <c r="Q4" t="s">
        <v>3465</v>
      </c>
    </row>
    <row r="5" spans="1:17" x14ac:dyDescent="0.25">
      <c r="A5" t="s">
        <v>3469</v>
      </c>
      <c r="B5" t="s">
        <v>160</v>
      </c>
      <c r="C5">
        <v>6</v>
      </c>
      <c r="D5">
        <v>3</v>
      </c>
      <c r="E5">
        <v>0</v>
      </c>
      <c r="F5">
        <v>0</v>
      </c>
      <c r="G5">
        <v>0</v>
      </c>
      <c r="H5">
        <v>0</v>
      </c>
      <c r="I5">
        <v>0</v>
      </c>
      <c r="J5">
        <v>1</v>
      </c>
      <c r="K5">
        <v>0</v>
      </c>
      <c r="L5">
        <v>0</v>
      </c>
      <c r="M5" t="s">
        <v>8078</v>
      </c>
      <c r="N5" t="s">
        <v>3470</v>
      </c>
      <c r="O5" t="s">
        <v>3471</v>
      </c>
      <c r="P5" t="s">
        <v>3472</v>
      </c>
      <c r="Q5" t="s">
        <v>3469</v>
      </c>
    </row>
    <row r="6" spans="1:17" x14ac:dyDescent="0.25">
      <c r="A6" t="s">
        <v>3473</v>
      </c>
      <c r="B6" t="s">
        <v>2045</v>
      </c>
      <c r="C6">
        <v>7</v>
      </c>
      <c r="D6">
        <v>3</v>
      </c>
      <c r="E6">
        <v>0</v>
      </c>
      <c r="F6">
        <v>0</v>
      </c>
      <c r="G6">
        <v>2</v>
      </c>
      <c r="H6">
        <v>0</v>
      </c>
      <c r="I6">
        <v>0</v>
      </c>
      <c r="J6">
        <v>0</v>
      </c>
      <c r="K6">
        <v>0</v>
      </c>
      <c r="L6">
        <v>0</v>
      </c>
      <c r="M6" t="s">
        <v>8071</v>
      </c>
      <c r="N6" t="s">
        <v>3474</v>
      </c>
      <c r="O6" t="s">
        <v>3475</v>
      </c>
      <c r="P6" t="s">
        <v>3459</v>
      </c>
      <c r="Q6" t="s">
        <v>3473</v>
      </c>
    </row>
    <row r="7" spans="1:17" x14ac:dyDescent="0.25">
      <c r="A7" t="s">
        <v>3476</v>
      </c>
      <c r="B7" t="s">
        <v>1817</v>
      </c>
      <c r="C7">
        <v>7</v>
      </c>
      <c r="D7">
        <v>3</v>
      </c>
      <c r="E7">
        <v>0</v>
      </c>
      <c r="F7">
        <v>0</v>
      </c>
      <c r="G7">
        <v>0</v>
      </c>
      <c r="H7">
        <v>2</v>
      </c>
      <c r="I7">
        <v>0</v>
      </c>
      <c r="J7">
        <v>0</v>
      </c>
      <c r="K7">
        <v>0</v>
      </c>
      <c r="L7">
        <v>0</v>
      </c>
      <c r="M7" t="s">
        <v>8072</v>
      </c>
      <c r="N7" t="s">
        <v>3478</v>
      </c>
      <c r="O7" t="s">
        <v>3479</v>
      </c>
      <c r="P7" t="s">
        <v>8314</v>
      </c>
      <c r="Q7" t="s">
        <v>3476</v>
      </c>
    </row>
    <row r="8" spans="1:17" x14ac:dyDescent="0.25">
      <c r="A8" t="s">
        <v>3480</v>
      </c>
      <c r="B8" t="s">
        <v>2804</v>
      </c>
      <c r="C8">
        <v>7</v>
      </c>
      <c r="D8">
        <v>3</v>
      </c>
      <c r="E8">
        <v>0</v>
      </c>
      <c r="F8">
        <v>0</v>
      </c>
      <c r="G8">
        <v>2</v>
      </c>
      <c r="H8">
        <v>0</v>
      </c>
      <c r="I8">
        <v>0</v>
      </c>
      <c r="J8">
        <v>0</v>
      </c>
      <c r="K8">
        <v>0</v>
      </c>
      <c r="L8">
        <v>0</v>
      </c>
      <c r="M8" t="s">
        <v>8074</v>
      </c>
      <c r="N8" t="s">
        <v>3457</v>
      </c>
      <c r="O8" t="s">
        <v>3481</v>
      </c>
      <c r="P8" t="s">
        <v>3482</v>
      </c>
      <c r="Q8" t="s">
        <v>3483</v>
      </c>
    </row>
    <row r="9" spans="1:17" x14ac:dyDescent="0.25">
      <c r="A9" t="s">
        <v>3484</v>
      </c>
      <c r="B9" t="s">
        <v>38</v>
      </c>
      <c r="C9">
        <v>7</v>
      </c>
      <c r="D9">
        <v>3</v>
      </c>
      <c r="E9">
        <v>0</v>
      </c>
      <c r="F9">
        <v>0</v>
      </c>
      <c r="G9">
        <v>1</v>
      </c>
      <c r="H9">
        <v>1</v>
      </c>
      <c r="I9">
        <v>0</v>
      </c>
      <c r="J9">
        <v>0</v>
      </c>
      <c r="K9">
        <v>0</v>
      </c>
      <c r="L9">
        <v>0</v>
      </c>
      <c r="M9" t="s">
        <v>8076</v>
      </c>
      <c r="N9" t="s">
        <v>3466</v>
      </c>
      <c r="O9" t="s">
        <v>3485</v>
      </c>
      <c r="P9" t="s">
        <v>3459</v>
      </c>
      <c r="Q9" t="s">
        <v>3484</v>
      </c>
    </row>
    <row r="10" spans="1:17" x14ac:dyDescent="0.25">
      <c r="A10" t="s">
        <v>3486</v>
      </c>
      <c r="B10" t="s">
        <v>2154</v>
      </c>
      <c r="C10">
        <v>5</v>
      </c>
      <c r="D10">
        <v>3</v>
      </c>
      <c r="E10">
        <v>0</v>
      </c>
      <c r="F10">
        <v>0</v>
      </c>
      <c r="G10">
        <v>0</v>
      </c>
      <c r="H10">
        <v>0</v>
      </c>
      <c r="I10">
        <v>0</v>
      </c>
      <c r="J10">
        <v>0</v>
      </c>
      <c r="K10">
        <v>0</v>
      </c>
      <c r="L10">
        <v>2</v>
      </c>
      <c r="M10" t="s">
        <v>3487</v>
      </c>
      <c r="N10" t="s">
        <v>7485</v>
      </c>
      <c r="O10" t="s">
        <v>3488</v>
      </c>
      <c r="P10" t="s">
        <v>3459</v>
      </c>
      <c r="Q10" t="s">
        <v>3486</v>
      </c>
    </row>
    <row r="11" spans="1:17" x14ac:dyDescent="0.25">
      <c r="A11" t="s">
        <v>3489</v>
      </c>
      <c r="B11" t="s">
        <v>1294</v>
      </c>
      <c r="C11">
        <v>7</v>
      </c>
      <c r="D11">
        <v>3</v>
      </c>
      <c r="E11">
        <v>1</v>
      </c>
      <c r="F11">
        <v>1</v>
      </c>
      <c r="G11">
        <v>0</v>
      </c>
      <c r="H11">
        <v>0</v>
      </c>
      <c r="I11">
        <v>0</v>
      </c>
      <c r="J11">
        <v>0</v>
      </c>
      <c r="K11">
        <v>0</v>
      </c>
      <c r="L11">
        <v>0</v>
      </c>
      <c r="M11" t="s">
        <v>8073</v>
      </c>
      <c r="N11" t="s">
        <v>3490</v>
      </c>
      <c r="O11" t="s">
        <v>3491</v>
      </c>
      <c r="P11" t="s">
        <v>3459</v>
      </c>
      <c r="Q11" t="s">
        <v>3489</v>
      </c>
    </row>
    <row r="12" spans="1:17" x14ac:dyDescent="0.25">
      <c r="A12" t="s">
        <v>3492</v>
      </c>
      <c r="B12" t="s">
        <v>1322</v>
      </c>
      <c r="C12">
        <v>7</v>
      </c>
      <c r="D12">
        <v>3</v>
      </c>
      <c r="E12">
        <v>0</v>
      </c>
      <c r="F12">
        <v>1</v>
      </c>
      <c r="G12">
        <v>1</v>
      </c>
      <c r="H12">
        <v>0</v>
      </c>
      <c r="I12">
        <v>0</v>
      </c>
      <c r="J12">
        <v>0</v>
      </c>
      <c r="K12">
        <v>0</v>
      </c>
      <c r="L12">
        <v>0</v>
      </c>
      <c r="M12" t="s">
        <v>8093</v>
      </c>
      <c r="N12" t="s">
        <v>3494</v>
      </c>
      <c r="O12" t="s">
        <v>3495</v>
      </c>
      <c r="P12" t="s">
        <v>3459</v>
      </c>
      <c r="Q12" t="s">
        <v>3492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1"/>
  <sheetViews>
    <sheetView workbookViewId="0">
      <selection activeCell="G26" sqref="G26"/>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3496</v>
      </c>
      <c r="C1" t="s">
        <v>167</v>
      </c>
      <c r="D1" t="s">
        <v>3454</v>
      </c>
      <c r="E1" t="s">
        <v>3497</v>
      </c>
      <c r="F1" t="s">
        <v>3498</v>
      </c>
      <c r="G1" t="s">
        <v>3499</v>
      </c>
      <c r="H1" t="s">
        <v>3500</v>
      </c>
      <c r="I1" t="s">
        <v>171</v>
      </c>
      <c r="J1" t="s">
        <v>3501</v>
      </c>
    </row>
    <row r="2" spans="1:10" x14ac:dyDescent="0.25">
      <c r="A2" t="s">
        <v>3502</v>
      </c>
      <c r="B2" t="s">
        <v>3503</v>
      </c>
      <c r="C2" t="s">
        <v>3541</v>
      </c>
      <c r="D2" t="s">
        <v>3505</v>
      </c>
      <c r="E2" t="s">
        <v>3506</v>
      </c>
      <c r="F2" t="s">
        <v>497</v>
      </c>
      <c r="G2" t="s">
        <v>3507</v>
      </c>
      <c r="I2" t="s">
        <v>3508</v>
      </c>
      <c r="J2" t="s">
        <v>3442</v>
      </c>
    </row>
    <row r="3" spans="1:10" x14ac:dyDescent="0.25">
      <c r="A3" t="s">
        <v>3509</v>
      </c>
      <c r="B3" t="s">
        <v>41</v>
      </c>
      <c r="C3" t="s">
        <v>3510</v>
      </c>
      <c r="D3" t="s">
        <v>7468</v>
      </c>
      <c r="E3" t="s">
        <v>3511</v>
      </c>
      <c r="F3" t="s">
        <v>90</v>
      </c>
      <c r="G3" t="s">
        <v>3512</v>
      </c>
      <c r="I3" t="s">
        <v>3509</v>
      </c>
      <c r="J3" t="s">
        <v>3513</v>
      </c>
    </row>
    <row r="4" spans="1:10" x14ac:dyDescent="0.25">
      <c r="A4" t="s">
        <v>3514</v>
      </c>
      <c r="B4" t="s">
        <v>3515</v>
      </c>
      <c r="C4" t="s">
        <v>3516</v>
      </c>
      <c r="D4" t="s">
        <v>3517</v>
      </c>
      <c r="E4" t="s">
        <v>3518</v>
      </c>
      <c r="F4" t="s">
        <v>2933</v>
      </c>
      <c r="G4" t="s">
        <v>3519</v>
      </c>
      <c r="I4" t="s">
        <v>3520</v>
      </c>
      <c r="J4" t="s">
        <v>3521</v>
      </c>
    </row>
    <row r="5" spans="1:10" x14ac:dyDescent="0.25">
      <c r="A5" t="s">
        <v>3523</v>
      </c>
      <c r="B5" t="s">
        <v>3515</v>
      </c>
      <c r="C5" t="s">
        <v>3524</v>
      </c>
      <c r="D5" t="s">
        <v>3525</v>
      </c>
      <c r="E5" t="s">
        <v>3526</v>
      </c>
      <c r="F5" t="s">
        <v>1649</v>
      </c>
      <c r="G5" t="s">
        <v>3527</v>
      </c>
      <c r="I5" t="s">
        <v>3528</v>
      </c>
      <c r="J5" t="s">
        <v>3521</v>
      </c>
    </row>
    <row r="6" spans="1:10" x14ac:dyDescent="0.25">
      <c r="A6" t="s">
        <v>3529</v>
      </c>
      <c r="B6" t="s">
        <v>0</v>
      </c>
      <c r="C6" t="s">
        <v>3516</v>
      </c>
      <c r="D6" t="s">
        <v>3530</v>
      </c>
      <c r="E6" t="s">
        <v>3531</v>
      </c>
      <c r="F6" t="s">
        <v>160</v>
      </c>
      <c r="G6" t="s">
        <v>3532</v>
      </c>
      <c r="I6" t="s">
        <v>3533</v>
      </c>
      <c r="J6" t="s">
        <v>3442</v>
      </c>
    </row>
    <row r="7" spans="1:10" x14ac:dyDescent="0.25">
      <c r="A7" t="s">
        <v>3534</v>
      </c>
      <c r="B7" t="s">
        <v>3515</v>
      </c>
      <c r="C7" t="s">
        <v>3504</v>
      </c>
      <c r="D7" t="s">
        <v>3535</v>
      </c>
      <c r="E7" t="s">
        <v>3536</v>
      </c>
      <c r="F7" t="s">
        <v>2619</v>
      </c>
      <c r="G7" t="s">
        <v>3537</v>
      </c>
      <c r="I7" t="s">
        <v>3538</v>
      </c>
      <c r="J7" t="s">
        <v>3539</v>
      </c>
    </row>
    <row r="8" spans="1:10" x14ac:dyDescent="0.25">
      <c r="A8" t="s">
        <v>3540</v>
      </c>
      <c r="B8" t="s">
        <v>3503</v>
      </c>
      <c r="C8" t="s">
        <v>3541</v>
      </c>
      <c r="D8" t="s">
        <v>8325</v>
      </c>
      <c r="E8" t="s">
        <v>3542</v>
      </c>
      <c r="F8" t="s">
        <v>2619</v>
      </c>
      <c r="G8" t="s">
        <v>3543</v>
      </c>
      <c r="H8" t="s">
        <v>3544</v>
      </c>
      <c r="I8" t="s">
        <v>3545</v>
      </c>
      <c r="J8" t="s">
        <v>3546</v>
      </c>
    </row>
    <row r="9" spans="1:10" x14ac:dyDescent="0.25">
      <c r="A9" t="s">
        <v>3468</v>
      </c>
      <c r="B9" t="s">
        <v>3547</v>
      </c>
      <c r="C9" t="s">
        <v>3510</v>
      </c>
      <c r="D9" t="s">
        <v>3548</v>
      </c>
      <c r="E9" t="s">
        <v>3549</v>
      </c>
      <c r="F9" t="s">
        <v>90</v>
      </c>
      <c r="I9" t="s">
        <v>3550</v>
      </c>
      <c r="J9" t="s">
        <v>3442</v>
      </c>
    </row>
    <row r="10" spans="1:10" x14ac:dyDescent="0.25">
      <c r="A10" t="s">
        <v>3551</v>
      </c>
      <c r="B10" t="s">
        <v>41</v>
      </c>
      <c r="C10" t="s">
        <v>3552</v>
      </c>
      <c r="D10" t="s">
        <v>3553</v>
      </c>
      <c r="E10" t="s">
        <v>3554</v>
      </c>
      <c r="F10" t="s">
        <v>2619</v>
      </c>
      <c r="G10" t="s">
        <v>3555</v>
      </c>
      <c r="I10" t="s">
        <v>3556</v>
      </c>
      <c r="J10" t="s">
        <v>3557</v>
      </c>
    </row>
    <row r="11" spans="1:10" x14ac:dyDescent="0.25">
      <c r="A11" t="s">
        <v>3558</v>
      </c>
      <c r="B11" t="s">
        <v>3559</v>
      </c>
      <c r="C11" t="s">
        <v>3516</v>
      </c>
      <c r="D11" t="s">
        <v>3560</v>
      </c>
      <c r="E11" t="s">
        <v>3561</v>
      </c>
      <c r="F11" t="s">
        <v>90</v>
      </c>
      <c r="I11" t="s">
        <v>3562</v>
      </c>
      <c r="J11" t="s">
        <v>3563</v>
      </c>
    </row>
    <row r="12" spans="1:10" x14ac:dyDescent="0.25">
      <c r="A12" t="s">
        <v>7362</v>
      </c>
      <c r="B12" t="s">
        <v>3503</v>
      </c>
      <c r="C12" t="s">
        <v>3516</v>
      </c>
      <c r="D12" t="s">
        <v>7370</v>
      </c>
      <c r="E12" t="s">
        <v>7376</v>
      </c>
      <c r="F12" t="s">
        <v>90</v>
      </c>
      <c r="G12" t="s">
        <v>7363</v>
      </c>
      <c r="H12" t="s">
        <v>3670</v>
      </c>
      <c r="I12" t="s">
        <v>7362</v>
      </c>
      <c r="J12" t="s">
        <v>3589</v>
      </c>
    </row>
    <row r="13" spans="1:10" x14ac:dyDescent="0.25">
      <c r="A13" t="s">
        <v>7866</v>
      </c>
      <c r="B13" t="s">
        <v>3515</v>
      </c>
      <c r="C13" t="s">
        <v>3524</v>
      </c>
      <c r="D13" t="s">
        <v>8299</v>
      </c>
      <c r="E13" t="s">
        <v>8326</v>
      </c>
      <c r="F13" t="s">
        <v>2619</v>
      </c>
      <c r="G13" t="s">
        <v>4661</v>
      </c>
      <c r="H13" t="s">
        <v>3706</v>
      </c>
      <c r="I13" t="s">
        <v>7866</v>
      </c>
      <c r="J13" t="s">
        <v>3978</v>
      </c>
    </row>
    <row r="14" spans="1:10" x14ac:dyDescent="0.25">
      <c r="A14" t="s">
        <v>3564</v>
      </c>
      <c r="B14" t="s">
        <v>3515</v>
      </c>
      <c r="C14" t="s">
        <v>3565</v>
      </c>
      <c r="D14" t="s">
        <v>3566</v>
      </c>
      <c r="E14" t="s">
        <v>3567</v>
      </c>
      <c r="F14" t="s">
        <v>160</v>
      </c>
      <c r="G14" t="s">
        <v>3568</v>
      </c>
      <c r="I14" t="s">
        <v>3569</v>
      </c>
      <c r="J14" t="s">
        <v>3442</v>
      </c>
    </row>
    <row r="15" spans="1:10" x14ac:dyDescent="0.25">
      <c r="A15" t="s">
        <v>3570</v>
      </c>
      <c r="B15" t="s">
        <v>3515</v>
      </c>
      <c r="C15" t="s">
        <v>3524</v>
      </c>
      <c r="D15" t="s">
        <v>3571</v>
      </c>
      <c r="E15" t="s">
        <v>3572</v>
      </c>
      <c r="F15" t="s">
        <v>2804</v>
      </c>
      <c r="G15" t="s">
        <v>3573</v>
      </c>
      <c r="I15" t="s">
        <v>3570</v>
      </c>
      <c r="J15" t="s">
        <v>3521</v>
      </c>
    </row>
    <row r="16" spans="1:10" x14ac:dyDescent="0.25">
      <c r="A16" t="s">
        <v>3574</v>
      </c>
      <c r="B16" t="s">
        <v>3515</v>
      </c>
      <c r="C16" t="s">
        <v>3510</v>
      </c>
      <c r="D16" t="s">
        <v>3575</v>
      </c>
      <c r="E16" t="s">
        <v>3576</v>
      </c>
      <c r="F16" t="s">
        <v>2804</v>
      </c>
      <c r="G16" t="s">
        <v>3577</v>
      </c>
      <c r="I16" t="s">
        <v>3574</v>
      </c>
      <c r="J16" t="s">
        <v>3578</v>
      </c>
    </row>
    <row r="17" spans="1:10" x14ac:dyDescent="0.25">
      <c r="A17" t="s">
        <v>3579</v>
      </c>
      <c r="B17" t="s">
        <v>41</v>
      </c>
      <c r="C17" t="s">
        <v>3580</v>
      </c>
      <c r="D17" t="s">
        <v>3581</v>
      </c>
      <c r="E17" t="s">
        <v>3582</v>
      </c>
      <c r="F17" t="s">
        <v>2619</v>
      </c>
      <c r="G17" t="s">
        <v>315</v>
      </c>
      <c r="I17" t="s">
        <v>3579</v>
      </c>
      <c r="J17" t="s">
        <v>3583</v>
      </c>
    </row>
    <row r="18" spans="1:10" x14ac:dyDescent="0.25">
      <c r="A18" t="s">
        <v>3472</v>
      </c>
      <c r="B18" t="s">
        <v>3515</v>
      </c>
      <c r="C18" t="s">
        <v>3580</v>
      </c>
      <c r="D18" t="s">
        <v>3462</v>
      </c>
      <c r="E18" t="s">
        <v>3584</v>
      </c>
      <c r="F18" t="s">
        <v>160</v>
      </c>
      <c r="G18" t="s">
        <v>315</v>
      </c>
      <c r="I18" t="s">
        <v>3472</v>
      </c>
      <c r="J18" t="s">
        <v>3521</v>
      </c>
    </row>
    <row r="19" spans="1:10" x14ac:dyDescent="0.25">
      <c r="A19" t="s">
        <v>8180</v>
      </c>
      <c r="B19" t="s">
        <v>3515</v>
      </c>
      <c r="C19" t="s">
        <v>3580</v>
      </c>
      <c r="D19" t="s">
        <v>8181</v>
      </c>
      <c r="E19" t="s">
        <v>8187</v>
      </c>
      <c r="F19" t="s">
        <v>160</v>
      </c>
      <c r="I19" t="s">
        <v>8182</v>
      </c>
      <c r="J19" t="s">
        <v>3589</v>
      </c>
    </row>
    <row r="20" spans="1:10" x14ac:dyDescent="0.25">
      <c r="A20" t="s">
        <v>7826</v>
      </c>
      <c r="B20" t="s">
        <v>3503</v>
      </c>
      <c r="C20" t="s">
        <v>3510</v>
      </c>
      <c r="D20" t="s">
        <v>7829</v>
      </c>
      <c r="E20" t="s">
        <v>7834</v>
      </c>
      <c r="F20" t="s">
        <v>38</v>
      </c>
      <c r="G20" t="s">
        <v>3635</v>
      </c>
      <c r="H20" t="s">
        <v>3670</v>
      </c>
      <c r="I20" t="s">
        <v>7827</v>
      </c>
      <c r="J20" t="s">
        <v>3578</v>
      </c>
    </row>
    <row r="21" spans="1:10" x14ac:dyDescent="0.25">
      <c r="A21" t="s">
        <v>3585</v>
      </c>
      <c r="B21" t="s">
        <v>3503</v>
      </c>
      <c r="C21" t="s">
        <v>3524</v>
      </c>
      <c r="D21" t="s">
        <v>3586</v>
      </c>
      <c r="E21" t="s">
        <v>3587</v>
      </c>
      <c r="F21" t="s">
        <v>2619</v>
      </c>
      <c r="I21" t="s">
        <v>3588</v>
      </c>
      <c r="J21" t="s">
        <v>3589</v>
      </c>
    </row>
    <row r="22" spans="1:10" x14ac:dyDescent="0.25">
      <c r="A22" t="s">
        <v>7867</v>
      </c>
      <c r="B22" t="s">
        <v>3515</v>
      </c>
      <c r="C22" t="s">
        <v>3524</v>
      </c>
      <c r="D22" t="s">
        <v>7868</v>
      </c>
      <c r="E22" t="s">
        <v>7871</v>
      </c>
      <c r="F22" t="s">
        <v>2619</v>
      </c>
      <c r="G22" t="s">
        <v>7869</v>
      </c>
      <c r="I22" t="s">
        <v>7870</v>
      </c>
      <c r="J22" t="s">
        <v>3578</v>
      </c>
    </row>
    <row r="23" spans="1:10" x14ac:dyDescent="0.25">
      <c r="A23" t="s">
        <v>3590</v>
      </c>
      <c r="B23" t="s">
        <v>41</v>
      </c>
      <c r="C23" t="s">
        <v>3510</v>
      </c>
      <c r="D23" t="s">
        <v>3591</v>
      </c>
      <c r="E23" t="s">
        <v>3592</v>
      </c>
      <c r="F23" t="s">
        <v>1649</v>
      </c>
      <c r="G23" t="s">
        <v>3593</v>
      </c>
      <c r="I23" t="s">
        <v>3594</v>
      </c>
      <c r="J23" t="s">
        <v>3578</v>
      </c>
    </row>
    <row r="24" spans="1:10" x14ac:dyDescent="0.25">
      <c r="A24" t="s">
        <v>7840</v>
      </c>
      <c r="B24" t="s">
        <v>41</v>
      </c>
      <c r="C24" t="s">
        <v>3524</v>
      </c>
      <c r="D24" t="s">
        <v>7841</v>
      </c>
      <c r="E24" t="s">
        <v>7848</v>
      </c>
      <c r="F24" t="s">
        <v>2136</v>
      </c>
      <c r="G24" t="s">
        <v>3676</v>
      </c>
      <c r="I24" t="s">
        <v>7840</v>
      </c>
      <c r="J24" t="s">
        <v>3583</v>
      </c>
    </row>
    <row r="25" spans="1:10" x14ac:dyDescent="0.25">
      <c r="A25" t="s">
        <v>131</v>
      </c>
      <c r="B25" t="s">
        <v>0</v>
      </c>
      <c r="C25" t="s">
        <v>3524</v>
      </c>
      <c r="D25" t="s">
        <v>3595</v>
      </c>
      <c r="E25" t="s">
        <v>3596</v>
      </c>
      <c r="F25" t="s">
        <v>90</v>
      </c>
      <c r="G25" t="s">
        <v>3597</v>
      </c>
      <c r="I25" t="s">
        <v>132</v>
      </c>
      <c r="J25" t="s">
        <v>3578</v>
      </c>
    </row>
    <row r="26" spans="1:10" x14ac:dyDescent="0.25">
      <c r="A26" t="s">
        <v>3598</v>
      </c>
      <c r="B26" t="s">
        <v>41</v>
      </c>
      <c r="C26" t="s">
        <v>3516</v>
      </c>
      <c r="D26" t="s">
        <v>7844</v>
      </c>
      <c r="E26" t="s">
        <v>3599</v>
      </c>
      <c r="F26" t="s">
        <v>2804</v>
      </c>
      <c r="G26" t="s">
        <v>3600</v>
      </c>
      <c r="I26" t="s">
        <v>3601</v>
      </c>
      <c r="J26" t="s">
        <v>3442</v>
      </c>
    </row>
    <row r="27" spans="1:10" x14ac:dyDescent="0.25">
      <c r="A27" t="s">
        <v>3602</v>
      </c>
      <c r="B27" t="s">
        <v>3515</v>
      </c>
      <c r="C27" t="s">
        <v>3524</v>
      </c>
      <c r="D27" t="s">
        <v>7614</v>
      </c>
      <c r="E27" t="s">
        <v>3603</v>
      </c>
      <c r="F27" t="s">
        <v>2619</v>
      </c>
      <c r="G27" t="s">
        <v>3604</v>
      </c>
      <c r="I27" t="s">
        <v>3605</v>
      </c>
      <c r="J27" t="s">
        <v>3546</v>
      </c>
    </row>
    <row r="28" spans="1:10" x14ac:dyDescent="0.25">
      <c r="A28" t="s">
        <v>7842</v>
      </c>
      <c r="B28" t="s">
        <v>3515</v>
      </c>
      <c r="C28" t="s">
        <v>3510</v>
      </c>
      <c r="D28" t="s">
        <v>7843</v>
      </c>
      <c r="E28" t="s">
        <v>7849</v>
      </c>
      <c r="F28" t="s">
        <v>2136</v>
      </c>
      <c r="G28" t="s">
        <v>3532</v>
      </c>
      <c r="I28" t="s">
        <v>7842</v>
      </c>
      <c r="J28" t="s">
        <v>3442</v>
      </c>
    </row>
    <row r="29" spans="1:10" x14ac:dyDescent="0.25">
      <c r="A29" t="s">
        <v>3606</v>
      </c>
      <c r="B29" t="s">
        <v>0</v>
      </c>
      <c r="C29" t="s">
        <v>3607</v>
      </c>
      <c r="D29" t="s">
        <v>3608</v>
      </c>
      <c r="E29" t="s">
        <v>3609</v>
      </c>
      <c r="F29" t="s">
        <v>160</v>
      </c>
      <c r="G29" t="s">
        <v>3532</v>
      </c>
      <c r="I29" t="s">
        <v>3610</v>
      </c>
      <c r="J29" t="s">
        <v>3578</v>
      </c>
    </row>
    <row r="30" spans="1:10" x14ac:dyDescent="0.25">
      <c r="A30" t="s">
        <v>3611</v>
      </c>
      <c r="B30" t="s">
        <v>3515</v>
      </c>
      <c r="C30" t="s">
        <v>3524</v>
      </c>
      <c r="D30" t="s">
        <v>3612</v>
      </c>
      <c r="E30" t="s">
        <v>3613</v>
      </c>
      <c r="F30" t="s">
        <v>497</v>
      </c>
      <c r="G30" t="s">
        <v>3543</v>
      </c>
      <c r="I30" t="s">
        <v>3611</v>
      </c>
      <c r="J30" t="s">
        <v>3583</v>
      </c>
    </row>
    <row r="31" spans="1:10" x14ac:dyDescent="0.25">
      <c r="A31" t="s">
        <v>3614</v>
      </c>
      <c r="B31" t="s">
        <v>3559</v>
      </c>
      <c r="C31" t="s">
        <v>3524</v>
      </c>
      <c r="D31" t="s">
        <v>3615</v>
      </c>
      <c r="E31" t="s">
        <v>3616</v>
      </c>
      <c r="F31" t="s">
        <v>38</v>
      </c>
      <c r="G31" t="s">
        <v>3617</v>
      </c>
      <c r="I31" t="s">
        <v>3618</v>
      </c>
      <c r="J31" t="s">
        <v>3563</v>
      </c>
    </row>
    <row r="32" spans="1:10" x14ac:dyDescent="0.25">
      <c r="A32" t="s">
        <v>3619</v>
      </c>
      <c r="B32" t="s">
        <v>3515</v>
      </c>
      <c r="C32" t="s">
        <v>3552</v>
      </c>
      <c r="D32" t="s">
        <v>3620</v>
      </c>
      <c r="E32" t="s">
        <v>3621</v>
      </c>
      <c r="F32" t="s">
        <v>160</v>
      </c>
      <c r="G32" t="s">
        <v>3622</v>
      </c>
      <c r="I32" t="s">
        <v>3623</v>
      </c>
      <c r="J32" t="s">
        <v>3557</v>
      </c>
    </row>
    <row r="33" spans="1:10" x14ac:dyDescent="0.25">
      <c r="A33" t="s">
        <v>7828</v>
      </c>
      <c r="B33" t="s">
        <v>3515</v>
      </c>
      <c r="C33" t="s">
        <v>3510</v>
      </c>
      <c r="D33" t="s">
        <v>7830</v>
      </c>
      <c r="E33" t="s">
        <v>7835</v>
      </c>
      <c r="F33" t="s">
        <v>38</v>
      </c>
      <c r="G33" t="s">
        <v>3847</v>
      </c>
      <c r="I33" t="s">
        <v>7831</v>
      </c>
      <c r="J33" t="s">
        <v>3578</v>
      </c>
    </row>
    <row r="34" spans="1:10" x14ac:dyDescent="0.25">
      <c r="A34" t="s">
        <v>3624</v>
      </c>
      <c r="B34" t="s">
        <v>41</v>
      </c>
      <c r="C34" t="s">
        <v>3524</v>
      </c>
      <c r="D34" t="s">
        <v>3625</v>
      </c>
      <c r="E34" t="s">
        <v>3626</v>
      </c>
      <c r="F34" t="s">
        <v>1649</v>
      </c>
      <c r="G34" t="s">
        <v>3627</v>
      </c>
      <c r="I34" t="s">
        <v>3628</v>
      </c>
      <c r="J34" t="s">
        <v>3521</v>
      </c>
    </row>
    <row r="35" spans="1:10" x14ac:dyDescent="0.25">
      <c r="A35" t="s">
        <v>3629</v>
      </c>
      <c r="B35" t="s">
        <v>41</v>
      </c>
      <c r="C35" t="s">
        <v>3516</v>
      </c>
      <c r="D35" t="s">
        <v>3630</v>
      </c>
      <c r="E35" t="s">
        <v>3631</v>
      </c>
      <c r="F35" t="s">
        <v>160</v>
      </c>
      <c r="G35" t="s">
        <v>264</v>
      </c>
      <c r="I35" t="s">
        <v>3629</v>
      </c>
      <c r="J35" t="s">
        <v>3442</v>
      </c>
    </row>
    <row r="36" spans="1:10" x14ac:dyDescent="0.25">
      <c r="A36" t="s">
        <v>3632</v>
      </c>
      <c r="B36" t="s">
        <v>3503</v>
      </c>
      <c r="C36" t="s">
        <v>3516</v>
      </c>
      <c r="D36" t="s">
        <v>3633</v>
      </c>
      <c r="E36" t="s">
        <v>3634</v>
      </c>
      <c r="F36" t="s">
        <v>90</v>
      </c>
      <c r="G36" t="s">
        <v>3635</v>
      </c>
      <c r="I36" t="s">
        <v>3632</v>
      </c>
      <c r="J36" t="s">
        <v>3442</v>
      </c>
    </row>
    <row r="37" spans="1:10" x14ac:dyDescent="0.25">
      <c r="A37" t="s">
        <v>3636</v>
      </c>
      <c r="B37" t="s">
        <v>3515</v>
      </c>
      <c r="C37" t="s">
        <v>3510</v>
      </c>
      <c r="D37" t="s">
        <v>3637</v>
      </c>
      <c r="E37" t="s">
        <v>3638</v>
      </c>
      <c r="F37" t="s">
        <v>90</v>
      </c>
      <c r="G37" t="s">
        <v>3639</v>
      </c>
      <c r="I37" t="s">
        <v>3640</v>
      </c>
      <c r="J37" t="s">
        <v>3442</v>
      </c>
    </row>
    <row r="38" spans="1:10" x14ac:dyDescent="0.25">
      <c r="A38" t="s">
        <v>3641</v>
      </c>
      <c r="B38" t="s">
        <v>3515</v>
      </c>
      <c r="C38" t="s">
        <v>3524</v>
      </c>
      <c r="D38" t="s">
        <v>3642</v>
      </c>
      <c r="E38" t="s">
        <v>3643</v>
      </c>
      <c r="F38" t="s">
        <v>493</v>
      </c>
      <c r="G38" t="s">
        <v>3644</v>
      </c>
      <c r="I38" t="s">
        <v>3645</v>
      </c>
      <c r="J38" t="s">
        <v>3583</v>
      </c>
    </row>
    <row r="39" spans="1:10" x14ac:dyDescent="0.25">
      <c r="A39" t="s">
        <v>3646</v>
      </c>
      <c r="B39" t="s">
        <v>41</v>
      </c>
      <c r="C39" t="s">
        <v>3580</v>
      </c>
      <c r="D39" t="s">
        <v>3647</v>
      </c>
      <c r="E39" t="s">
        <v>3648</v>
      </c>
      <c r="F39" t="s">
        <v>160</v>
      </c>
      <c r="G39" t="s">
        <v>3649</v>
      </c>
      <c r="I39" t="s">
        <v>3650</v>
      </c>
      <c r="J39" t="s">
        <v>3589</v>
      </c>
    </row>
    <row r="40" spans="1:10" x14ac:dyDescent="0.25">
      <c r="A40" t="s">
        <v>3651</v>
      </c>
      <c r="B40" t="s">
        <v>41</v>
      </c>
      <c r="C40" t="s">
        <v>3516</v>
      </c>
      <c r="D40" t="s">
        <v>3652</v>
      </c>
      <c r="E40" t="s">
        <v>3653</v>
      </c>
      <c r="F40" t="s">
        <v>160</v>
      </c>
      <c r="G40" t="s">
        <v>3654</v>
      </c>
      <c r="I40" t="s">
        <v>3655</v>
      </c>
      <c r="J40" t="s">
        <v>3589</v>
      </c>
    </row>
    <row r="41" spans="1:10" x14ac:dyDescent="0.25">
      <c r="A41" t="s">
        <v>3656</v>
      </c>
      <c r="B41" t="s">
        <v>41</v>
      </c>
      <c r="C41" t="s">
        <v>3657</v>
      </c>
      <c r="D41" t="s">
        <v>3658</v>
      </c>
      <c r="E41" t="s">
        <v>3659</v>
      </c>
      <c r="F41" t="s">
        <v>90</v>
      </c>
      <c r="G41" t="s">
        <v>3660</v>
      </c>
      <c r="I41" t="s">
        <v>3661</v>
      </c>
      <c r="J41" t="s">
        <v>3521</v>
      </c>
    </row>
    <row r="42" spans="1:10" x14ac:dyDescent="0.25">
      <c r="A42" t="s">
        <v>4746</v>
      </c>
      <c r="B42" t="s">
        <v>3503</v>
      </c>
      <c r="C42" t="s">
        <v>3516</v>
      </c>
      <c r="D42" t="s">
        <v>7372</v>
      </c>
      <c r="E42" t="s">
        <v>7377</v>
      </c>
      <c r="F42" t="s">
        <v>90</v>
      </c>
      <c r="G42" t="s">
        <v>4654</v>
      </c>
      <c r="I42" t="s">
        <v>4749</v>
      </c>
      <c r="J42" t="s">
        <v>3578</v>
      </c>
    </row>
    <row r="43" spans="1:10" x14ac:dyDescent="0.25">
      <c r="A43" t="s">
        <v>3662</v>
      </c>
      <c r="B43" t="s">
        <v>3559</v>
      </c>
      <c r="C43" t="s">
        <v>3524</v>
      </c>
      <c r="D43" t="s">
        <v>3663</v>
      </c>
      <c r="E43" t="s">
        <v>3664</v>
      </c>
      <c r="F43" t="s">
        <v>90</v>
      </c>
      <c r="G43" t="s">
        <v>3660</v>
      </c>
      <c r="I43" t="s">
        <v>3665</v>
      </c>
      <c r="J43" t="s">
        <v>3583</v>
      </c>
    </row>
    <row r="44" spans="1:10" x14ac:dyDescent="0.25">
      <c r="A44" t="s">
        <v>3666</v>
      </c>
      <c r="B44" t="s">
        <v>3515</v>
      </c>
      <c r="C44" t="s">
        <v>3524</v>
      </c>
      <c r="D44" t="s">
        <v>3667</v>
      </c>
      <c r="E44" t="s">
        <v>3668</v>
      </c>
      <c r="F44" t="s">
        <v>2619</v>
      </c>
      <c r="G44" t="s">
        <v>3669</v>
      </c>
      <c r="H44" t="s">
        <v>3670</v>
      </c>
      <c r="I44" t="s">
        <v>3671</v>
      </c>
      <c r="J44" t="s">
        <v>3578</v>
      </c>
    </row>
    <row r="45" spans="1:10" x14ac:dyDescent="0.25">
      <c r="A45" t="s">
        <v>3482</v>
      </c>
      <c r="B45" t="s">
        <v>3515</v>
      </c>
      <c r="C45" t="s">
        <v>3510</v>
      </c>
      <c r="D45" t="s">
        <v>3548</v>
      </c>
      <c r="E45" t="s">
        <v>3549</v>
      </c>
      <c r="F45" t="s">
        <v>2804</v>
      </c>
      <c r="G45" t="s">
        <v>3600</v>
      </c>
      <c r="I45" t="s">
        <v>3482</v>
      </c>
      <c r="J45" t="s">
        <v>3442</v>
      </c>
    </row>
    <row r="46" spans="1:10" x14ac:dyDescent="0.25">
      <c r="A46" t="s">
        <v>3672</v>
      </c>
      <c r="B46" t="s">
        <v>41</v>
      </c>
      <c r="C46" t="s">
        <v>3673</v>
      </c>
      <c r="D46" t="s">
        <v>3674</v>
      </c>
      <c r="E46" t="s">
        <v>3675</v>
      </c>
      <c r="F46" t="s">
        <v>2619</v>
      </c>
      <c r="G46" t="s">
        <v>3676</v>
      </c>
      <c r="H46" t="s">
        <v>3670</v>
      </c>
      <c r="I46" t="s">
        <v>3677</v>
      </c>
      <c r="J46" t="s">
        <v>3583</v>
      </c>
    </row>
    <row r="47" spans="1:10" x14ac:dyDescent="0.25">
      <c r="A47" t="s">
        <v>7845</v>
      </c>
      <c r="B47" t="s">
        <v>3503</v>
      </c>
      <c r="C47" t="s">
        <v>3524</v>
      </c>
      <c r="D47" t="s">
        <v>7846</v>
      </c>
      <c r="E47" t="s">
        <v>7850</v>
      </c>
      <c r="F47" t="s">
        <v>2136</v>
      </c>
      <c r="I47" t="s">
        <v>7847</v>
      </c>
      <c r="J47" t="s">
        <v>3442</v>
      </c>
    </row>
    <row r="48" spans="1:10" x14ac:dyDescent="0.25">
      <c r="A48" t="s">
        <v>7364</v>
      </c>
      <c r="B48" t="s">
        <v>3515</v>
      </c>
      <c r="C48" t="s">
        <v>3510</v>
      </c>
      <c r="D48" t="s">
        <v>7365</v>
      </c>
      <c r="E48" t="s">
        <v>7378</v>
      </c>
      <c r="F48" t="s">
        <v>38</v>
      </c>
      <c r="I48" t="s">
        <v>7366</v>
      </c>
      <c r="J48" t="s">
        <v>3557</v>
      </c>
    </row>
    <row r="49" spans="1:10" x14ac:dyDescent="0.25">
      <c r="A49" t="s">
        <v>7373</v>
      </c>
      <c r="B49" t="s">
        <v>3515</v>
      </c>
      <c r="C49" t="s">
        <v>3510</v>
      </c>
      <c r="D49" t="s">
        <v>7375</v>
      </c>
      <c r="E49" t="s">
        <v>7379</v>
      </c>
      <c r="F49" t="s">
        <v>38</v>
      </c>
      <c r="I49" t="s">
        <v>7374</v>
      </c>
      <c r="J49" t="s">
        <v>3978</v>
      </c>
    </row>
    <row r="50" spans="1:10" x14ac:dyDescent="0.25">
      <c r="A50" t="s">
        <v>3682</v>
      </c>
      <c r="B50" t="s">
        <v>3559</v>
      </c>
      <c r="C50" t="s">
        <v>3524</v>
      </c>
      <c r="D50" t="s">
        <v>3683</v>
      </c>
      <c r="E50" t="s">
        <v>3684</v>
      </c>
      <c r="F50" t="s">
        <v>90</v>
      </c>
      <c r="I50" t="s">
        <v>3685</v>
      </c>
      <c r="J50" t="s">
        <v>3583</v>
      </c>
    </row>
    <row r="51" spans="1:10" x14ac:dyDescent="0.25">
      <c r="A51" t="s">
        <v>3686</v>
      </c>
      <c r="B51" t="s">
        <v>3559</v>
      </c>
      <c r="C51" t="s">
        <v>3524</v>
      </c>
      <c r="D51" t="s">
        <v>3687</v>
      </c>
      <c r="E51" t="s">
        <v>3688</v>
      </c>
      <c r="F51" t="s">
        <v>90</v>
      </c>
      <c r="G51" t="s">
        <v>3689</v>
      </c>
      <c r="I51" t="s">
        <v>3690</v>
      </c>
      <c r="J51" t="s">
        <v>3563</v>
      </c>
    </row>
    <row r="52" spans="1:10" x14ac:dyDescent="0.25">
      <c r="A52" t="s">
        <v>3691</v>
      </c>
      <c r="B52" t="s">
        <v>3515</v>
      </c>
      <c r="C52" t="s">
        <v>3510</v>
      </c>
      <c r="D52" t="s">
        <v>3692</v>
      </c>
      <c r="E52" t="s">
        <v>3693</v>
      </c>
      <c r="F52" t="s">
        <v>497</v>
      </c>
      <c r="G52" t="s">
        <v>3694</v>
      </c>
      <c r="I52" t="s">
        <v>3691</v>
      </c>
      <c r="J52" t="s">
        <v>3521</v>
      </c>
    </row>
    <row r="53" spans="1:10" x14ac:dyDescent="0.25">
      <c r="A53" t="s">
        <v>3695</v>
      </c>
      <c r="B53" t="s">
        <v>3503</v>
      </c>
      <c r="C53" t="s">
        <v>3580</v>
      </c>
      <c r="D53" t="s">
        <v>3696</v>
      </c>
      <c r="E53" t="s">
        <v>3697</v>
      </c>
      <c r="F53" t="s">
        <v>1649</v>
      </c>
      <c r="G53" t="s">
        <v>3698</v>
      </c>
      <c r="I53" t="s">
        <v>3699</v>
      </c>
      <c r="J53" t="s">
        <v>3583</v>
      </c>
    </row>
    <row r="54" spans="1:10" x14ac:dyDescent="0.25">
      <c r="A54" t="s">
        <v>3700</v>
      </c>
      <c r="B54" t="s">
        <v>3515</v>
      </c>
      <c r="C54" t="s">
        <v>3504</v>
      </c>
      <c r="D54" t="s">
        <v>7615</v>
      </c>
      <c r="E54" t="s">
        <v>7638</v>
      </c>
      <c r="F54" t="s">
        <v>2619</v>
      </c>
      <c r="G54" t="s">
        <v>3701</v>
      </c>
      <c r="I54" t="s">
        <v>3702</v>
      </c>
      <c r="J54" t="s">
        <v>3539</v>
      </c>
    </row>
    <row r="55" spans="1:10" x14ac:dyDescent="0.25">
      <c r="A55" t="s">
        <v>3703</v>
      </c>
      <c r="B55" t="s">
        <v>3515</v>
      </c>
      <c r="C55" t="s">
        <v>3516</v>
      </c>
      <c r="D55" t="s">
        <v>3704</v>
      </c>
      <c r="E55" t="s">
        <v>3705</v>
      </c>
      <c r="F55" t="s">
        <v>160</v>
      </c>
      <c r="G55" t="s">
        <v>3689</v>
      </c>
      <c r="H55" t="s">
        <v>3706</v>
      </c>
      <c r="I55" t="s">
        <v>3703</v>
      </c>
      <c r="J55" t="s">
        <v>3707</v>
      </c>
    </row>
    <row r="56" spans="1:10" x14ac:dyDescent="0.25">
      <c r="A56" t="s">
        <v>3708</v>
      </c>
      <c r="B56" t="s">
        <v>3515</v>
      </c>
      <c r="C56" t="s">
        <v>3541</v>
      </c>
      <c r="D56" t="s">
        <v>3709</v>
      </c>
      <c r="E56" t="s">
        <v>3710</v>
      </c>
      <c r="F56" t="s">
        <v>160</v>
      </c>
      <c r="G56" t="s">
        <v>3711</v>
      </c>
      <c r="H56" t="s">
        <v>3544</v>
      </c>
      <c r="I56" t="s">
        <v>3712</v>
      </c>
      <c r="J56" t="s">
        <v>3521</v>
      </c>
    </row>
    <row r="57" spans="1:10" x14ac:dyDescent="0.25">
      <c r="A57" t="s">
        <v>3713</v>
      </c>
      <c r="B57" t="s">
        <v>3515</v>
      </c>
      <c r="C57" t="s">
        <v>3524</v>
      </c>
      <c r="D57" t="s">
        <v>3714</v>
      </c>
      <c r="E57" t="s">
        <v>3715</v>
      </c>
      <c r="F57" t="s">
        <v>2619</v>
      </c>
      <c r="H57" t="s">
        <v>3670</v>
      </c>
      <c r="I57" t="s">
        <v>3716</v>
      </c>
      <c r="J57" t="s">
        <v>3521</v>
      </c>
    </row>
    <row r="58" spans="1:10" x14ac:dyDescent="0.25">
      <c r="A58" t="s">
        <v>3717</v>
      </c>
      <c r="B58" t="s">
        <v>3515</v>
      </c>
      <c r="C58" t="s">
        <v>3510</v>
      </c>
      <c r="D58" t="s">
        <v>3718</v>
      </c>
      <c r="E58" t="s">
        <v>3719</v>
      </c>
      <c r="F58" t="s">
        <v>553</v>
      </c>
      <c r="G58" t="s">
        <v>3720</v>
      </c>
      <c r="I58" t="s">
        <v>3721</v>
      </c>
      <c r="J58" t="s">
        <v>3578</v>
      </c>
    </row>
    <row r="59" spans="1:10" x14ac:dyDescent="0.25">
      <c r="A59" t="s">
        <v>3722</v>
      </c>
      <c r="B59" t="s">
        <v>41</v>
      </c>
      <c r="C59" t="s">
        <v>3657</v>
      </c>
      <c r="D59" t="s">
        <v>3723</v>
      </c>
      <c r="E59" t="s">
        <v>3724</v>
      </c>
      <c r="F59" t="s">
        <v>90</v>
      </c>
      <c r="I59" t="s">
        <v>3722</v>
      </c>
      <c r="J59" t="s">
        <v>3521</v>
      </c>
    </row>
    <row r="60" spans="1:10" x14ac:dyDescent="0.25">
      <c r="A60" t="s">
        <v>7367</v>
      </c>
      <c r="B60" t="s">
        <v>3515</v>
      </c>
      <c r="C60" t="s">
        <v>3524</v>
      </c>
      <c r="D60" t="s">
        <v>7369</v>
      </c>
      <c r="E60" t="s">
        <v>7380</v>
      </c>
      <c r="F60" t="s">
        <v>90</v>
      </c>
      <c r="G60" t="s">
        <v>7371</v>
      </c>
      <c r="I60" t="s">
        <v>7368</v>
      </c>
      <c r="J60" t="s">
        <v>3589</v>
      </c>
    </row>
    <row r="61" spans="1:10" x14ac:dyDescent="0.25">
      <c r="A61" t="s">
        <v>3730</v>
      </c>
      <c r="B61" t="s">
        <v>41</v>
      </c>
      <c r="C61" t="s">
        <v>3673</v>
      </c>
      <c r="D61" t="s">
        <v>3731</v>
      </c>
      <c r="E61" t="s">
        <v>3732</v>
      </c>
      <c r="F61" t="s">
        <v>2619</v>
      </c>
      <c r="G61" t="s">
        <v>3733</v>
      </c>
      <c r="I61" t="s">
        <v>3734</v>
      </c>
      <c r="J61" t="s">
        <v>3578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topLeftCell="A13"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3735</v>
      </c>
      <c r="D1" t="s">
        <v>3736</v>
      </c>
      <c r="E1" t="s">
        <v>1</v>
      </c>
      <c r="F1" t="s">
        <v>3442</v>
      </c>
      <c r="G1" t="s">
        <v>3737</v>
      </c>
      <c r="H1" t="s">
        <v>3738</v>
      </c>
      <c r="I1" t="s">
        <v>3739</v>
      </c>
      <c r="J1" t="s">
        <v>3740</v>
      </c>
      <c r="K1" t="s">
        <v>171</v>
      </c>
      <c r="L1" t="s">
        <v>3741</v>
      </c>
      <c r="M1" t="s">
        <v>8063</v>
      </c>
      <c r="N1" t="s">
        <v>8040</v>
      </c>
    </row>
    <row r="2" spans="1:14" x14ac:dyDescent="0.25">
      <c r="A2" t="s">
        <v>3742</v>
      </c>
      <c r="B2" t="s">
        <v>176</v>
      </c>
      <c r="C2" t="s">
        <v>3743</v>
      </c>
      <c r="D2" t="s">
        <v>3744</v>
      </c>
      <c r="E2" t="s">
        <v>160</v>
      </c>
      <c r="F2">
        <v>1</v>
      </c>
      <c r="G2">
        <v>1</v>
      </c>
      <c r="H2" t="s">
        <v>3745</v>
      </c>
      <c r="I2" t="s">
        <v>8067</v>
      </c>
      <c r="J2" t="s">
        <v>3459</v>
      </c>
      <c r="K2" t="s">
        <v>3746</v>
      </c>
      <c r="L2" t="s">
        <v>3747</v>
      </c>
      <c r="M2" t="s">
        <v>8064</v>
      </c>
      <c r="N2" t="s">
        <v>4325</v>
      </c>
    </row>
    <row r="3" spans="1:14" x14ac:dyDescent="0.25">
      <c r="A3" t="s">
        <v>3748</v>
      </c>
      <c r="B3" t="s">
        <v>176</v>
      </c>
      <c r="C3" t="s">
        <v>3743</v>
      </c>
      <c r="D3" t="s">
        <v>3744</v>
      </c>
      <c r="E3" t="s">
        <v>497</v>
      </c>
      <c r="F3">
        <v>1</v>
      </c>
      <c r="G3">
        <v>1</v>
      </c>
      <c r="H3" t="s">
        <v>3745</v>
      </c>
      <c r="I3" t="s">
        <v>3749</v>
      </c>
      <c r="J3" t="s">
        <v>3459</v>
      </c>
      <c r="K3" t="s">
        <v>3750</v>
      </c>
      <c r="L3" t="s">
        <v>3507</v>
      </c>
      <c r="M3" t="s">
        <v>8064</v>
      </c>
    </row>
    <row r="4" spans="1:14" x14ac:dyDescent="0.25">
      <c r="A4" t="s">
        <v>7880</v>
      </c>
      <c r="B4" t="s">
        <v>176</v>
      </c>
      <c r="C4" t="s">
        <v>3743</v>
      </c>
      <c r="D4" t="s">
        <v>3744</v>
      </c>
      <c r="E4" t="s">
        <v>1046</v>
      </c>
      <c r="F4">
        <v>1</v>
      </c>
      <c r="G4">
        <v>1</v>
      </c>
      <c r="H4" t="s">
        <v>3752</v>
      </c>
      <c r="I4" t="s">
        <v>7881</v>
      </c>
      <c r="J4" t="s">
        <v>3459</v>
      </c>
      <c r="K4" t="s">
        <v>7880</v>
      </c>
      <c r="L4" t="s">
        <v>7883</v>
      </c>
      <c r="M4" t="s">
        <v>8064</v>
      </c>
    </row>
    <row r="5" spans="1:14" x14ac:dyDescent="0.25">
      <c r="A5" t="s">
        <v>7357</v>
      </c>
      <c r="B5" t="s">
        <v>176</v>
      </c>
      <c r="C5" t="s">
        <v>3743</v>
      </c>
      <c r="D5" t="s">
        <v>3744</v>
      </c>
      <c r="E5" t="s">
        <v>2173</v>
      </c>
      <c r="F5">
        <v>1</v>
      </c>
      <c r="G5">
        <v>1</v>
      </c>
      <c r="H5" t="s">
        <v>3752</v>
      </c>
      <c r="I5" t="s">
        <v>7358</v>
      </c>
      <c r="J5" t="s">
        <v>3459</v>
      </c>
      <c r="K5" t="s">
        <v>7357</v>
      </c>
      <c r="L5" t="s">
        <v>7359</v>
      </c>
      <c r="M5" t="s">
        <v>8064</v>
      </c>
    </row>
    <row r="6" spans="1:14" x14ac:dyDescent="0.25">
      <c r="A6" t="s">
        <v>3751</v>
      </c>
      <c r="B6" t="s">
        <v>176</v>
      </c>
      <c r="C6" t="s">
        <v>3743</v>
      </c>
      <c r="D6" t="s">
        <v>3744</v>
      </c>
      <c r="E6" t="s">
        <v>2619</v>
      </c>
      <c r="F6">
        <v>1</v>
      </c>
      <c r="G6">
        <v>1</v>
      </c>
      <c r="H6" t="s">
        <v>3752</v>
      </c>
      <c r="I6" t="s">
        <v>3753</v>
      </c>
      <c r="J6" t="s">
        <v>7446</v>
      </c>
      <c r="K6" t="s">
        <v>3754</v>
      </c>
      <c r="L6" t="s">
        <v>3676</v>
      </c>
      <c r="M6" t="s">
        <v>8064</v>
      </c>
    </row>
    <row r="7" spans="1:14" x14ac:dyDescent="0.25">
      <c r="A7" t="s">
        <v>3755</v>
      </c>
      <c r="B7" t="s">
        <v>176</v>
      </c>
      <c r="C7" t="s">
        <v>3743</v>
      </c>
      <c r="D7" t="s">
        <v>3744</v>
      </c>
      <c r="E7" t="s">
        <v>1046</v>
      </c>
      <c r="F7">
        <v>1</v>
      </c>
      <c r="G7">
        <v>1</v>
      </c>
      <c r="H7" t="s">
        <v>3756</v>
      </c>
      <c r="I7" t="s">
        <v>8060</v>
      </c>
      <c r="J7" t="s">
        <v>3459</v>
      </c>
      <c r="K7" t="s">
        <v>3757</v>
      </c>
      <c r="L7" t="s">
        <v>7882</v>
      </c>
      <c r="M7" t="s">
        <v>8064</v>
      </c>
    </row>
    <row r="8" spans="1:14" x14ac:dyDescent="0.25">
      <c r="A8" t="s">
        <v>3758</v>
      </c>
      <c r="B8" t="s">
        <v>176</v>
      </c>
      <c r="C8" t="s">
        <v>3743</v>
      </c>
      <c r="D8" t="s">
        <v>3744</v>
      </c>
      <c r="E8" t="s">
        <v>1752</v>
      </c>
      <c r="F8">
        <v>1</v>
      </c>
      <c r="G8">
        <v>1</v>
      </c>
      <c r="H8" t="s">
        <v>3752</v>
      </c>
      <c r="I8" t="s">
        <v>3759</v>
      </c>
      <c r="J8" t="s">
        <v>3459</v>
      </c>
      <c r="K8" t="s">
        <v>3760</v>
      </c>
      <c r="M8" t="s">
        <v>8064</v>
      </c>
    </row>
    <row r="9" spans="1:14" x14ac:dyDescent="0.25">
      <c r="A9" t="s">
        <v>3761</v>
      </c>
      <c r="B9" t="s">
        <v>176</v>
      </c>
      <c r="C9" t="s">
        <v>3743</v>
      </c>
      <c r="D9" t="s">
        <v>3744</v>
      </c>
      <c r="E9" t="s">
        <v>1294</v>
      </c>
      <c r="F9">
        <v>1</v>
      </c>
      <c r="G9">
        <v>1</v>
      </c>
      <c r="H9" t="s">
        <v>3745</v>
      </c>
      <c r="I9" t="s">
        <v>3762</v>
      </c>
      <c r="J9" t="s">
        <v>3459</v>
      </c>
      <c r="K9" t="s">
        <v>3761</v>
      </c>
      <c r="L9" t="s">
        <v>3763</v>
      </c>
      <c r="M9" t="s">
        <v>8064</v>
      </c>
    </row>
    <row r="10" spans="1:14" x14ac:dyDescent="0.25">
      <c r="A10" t="s">
        <v>5083</v>
      </c>
      <c r="B10" t="s">
        <v>176</v>
      </c>
      <c r="C10" t="s">
        <v>3743</v>
      </c>
      <c r="D10" t="s">
        <v>3744</v>
      </c>
      <c r="E10" t="s">
        <v>160</v>
      </c>
      <c r="F10">
        <v>1</v>
      </c>
      <c r="G10">
        <v>1</v>
      </c>
      <c r="H10" t="s">
        <v>3745</v>
      </c>
      <c r="I10" t="s">
        <v>7986</v>
      </c>
      <c r="J10" t="s">
        <v>3459</v>
      </c>
      <c r="K10" t="s">
        <v>5083</v>
      </c>
      <c r="M10" t="s">
        <v>8064</v>
      </c>
    </row>
    <row r="11" spans="1:14" x14ac:dyDescent="0.25">
      <c r="A11" t="s">
        <v>3764</v>
      </c>
      <c r="B11" t="s">
        <v>176</v>
      </c>
      <c r="C11" t="s">
        <v>3743</v>
      </c>
      <c r="D11" t="s">
        <v>3744</v>
      </c>
      <c r="E11" t="s">
        <v>2619</v>
      </c>
      <c r="F11">
        <v>1</v>
      </c>
      <c r="G11">
        <v>1</v>
      </c>
      <c r="H11" t="s">
        <v>3752</v>
      </c>
      <c r="I11" t="s">
        <v>3765</v>
      </c>
      <c r="J11" t="s">
        <v>7452</v>
      </c>
      <c r="K11" t="s">
        <v>3766</v>
      </c>
      <c r="M11" t="s">
        <v>8064</v>
      </c>
    </row>
    <row r="12" spans="1:14" x14ac:dyDescent="0.25">
      <c r="A12" t="s">
        <v>3767</v>
      </c>
      <c r="B12" t="s">
        <v>176</v>
      </c>
      <c r="C12" t="s">
        <v>3743</v>
      </c>
      <c r="D12" t="s">
        <v>3744</v>
      </c>
      <c r="E12" t="s">
        <v>360</v>
      </c>
      <c r="F12">
        <v>1</v>
      </c>
      <c r="G12">
        <v>1</v>
      </c>
      <c r="H12" t="s">
        <v>3745</v>
      </c>
      <c r="I12" t="s">
        <v>3768</v>
      </c>
      <c r="J12" t="s">
        <v>3459</v>
      </c>
      <c r="K12" t="s">
        <v>3769</v>
      </c>
      <c r="L12" t="s">
        <v>3763</v>
      </c>
      <c r="M12" t="s">
        <v>8064</v>
      </c>
    </row>
    <row r="13" spans="1:14" x14ac:dyDescent="0.25">
      <c r="A13" t="s">
        <v>3770</v>
      </c>
      <c r="B13" t="s">
        <v>176</v>
      </c>
      <c r="C13" t="s">
        <v>3743</v>
      </c>
      <c r="D13" t="s">
        <v>3744</v>
      </c>
      <c r="E13" t="s">
        <v>160</v>
      </c>
      <c r="F13">
        <v>1</v>
      </c>
      <c r="G13">
        <v>1</v>
      </c>
      <c r="H13" t="s">
        <v>3745</v>
      </c>
      <c r="I13" t="s">
        <v>8069</v>
      </c>
      <c r="J13" t="s">
        <v>3459</v>
      </c>
      <c r="K13" t="s">
        <v>3770</v>
      </c>
      <c r="L13" t="s">
        <v>3771</v>
      </c>
      <c r="M13" t="s">
        <v>8064</v>
      </c>
      <c r="N13" t="s">
        <v>4325</v>
      </c>
    </row>
    <row r="14" spans="1:14" x14ac:dyDescent="0.25">
      <c r="A14" t="s">
        <v>3772</v>
      </c>
      <c r="B14" t="s">
        <v>176</v>
      </c>
      <c r="C14" t="s">
        <v>3743</v>
      </c>
      <c r="D14" t="s">
        <v>3744</v>
      </c>
      <c r="E14" t="s">
        <v>2132</v>
      </c>
      <c r="F14">
        <v>1</v>
      </c>
      <c r="G14">
        <v>1</v>
      </c>
      <c r="H14" t="s">
        <v>3745</v>
      </c>
      <c r="I14" t="s">
        <v>3773</v>
      </c>
      <c r="J14" t="s">
        <v>3459</v>
      </c>
      <c r="K14" t="s">
        <v>3772</v>
      </c>
      <c r="L14" t="s">
        <v>3676</v>
      </c>
      <c r="M14" t="s">
        <v>8064</v>
      </c>
    </row>
    <row r="15" spans="1:14" x14ac:dyDescent="0.25">
      <c r="A15" t="s">
        <v>3774</v>
      </c>
      <c r="B15" t="s">
        <v>176</v>
      </c>
      <c r="C15" t="s">
        <v>3743</v>
      </c>
      <c r="D15" t="s">
        <v>3744</v>
      </c>
      <c r="E15" t="s">
        <v>1294</v>
      </c>
      <c r="F15">
        <v>1</v>
      </c>
      <c r="G15">
        <v>1</v>
      </c>
      <c r="H15" t="s">
        <v>3752</v>
      </c>
      <c r="I15" t="s">
        <v>3775</v>
      </c>
      <c r="J15" t="s">
        <v>3459</v>
      </c>
      <c r="K15" t="s">
        <v>3774</v>
      </c>
      <c r="L15" t="s">
        <v>458</v>
      </c>
      <c r="M15" t="s">
        <v>8064</v>
      </c>
    </row>
    <row r="16" spans="1:14" x14ac:dyDescent="0.25">
      <c r="A16" t="s">
        <v>3776</v>
      </c>
      <c r="B16" t="s">
        <v>176</v>
      </c>
      <c r="C16" t="s">
        <v>3777</v>
      </c>
      <c r="D16" t="s">
        <v>3744</v>
      </c>
      <c r="E16" t="s">
        <v>2619</v>
      </c>
      <c r="F16">
        <v>1</v>
      </c>
      <c r="G16">
        <v>2</v>
      </c>
      <c r="H16" t="s">
        <v>3745</v>
      </c>
      <c r="I16" t="s">
        <v>8066</v>
      </c>
      <c r="J16" t="s">
        <v>7438</v>
      </c>
      <c r="K16" t="s">
        <v>3776</v>
      </c>
      <c r="L16" t="s">
        <v>3763</v>
      </c>
      <c r="M16" t="s">
        <v>8064</v>
      </c>
      <c r="N16" t="s">
        <v>4331</v>
      </c>
    </row>
    <row r="17" spans="1:14" x14ac:dyDescent="0.25">
      <c r="A17" t="s">
        <v>3778</v>
      </c>
      <c r="B17" t="s">
        <v>176</v>
      </c>
      <c r="C17" t="s">
        <v>3777</v>
      </c>
      <c r="D17" t="s">
        <v>3744</v>
      </c>
      <c r="E17" t="s">
        <v>2132</v>
      </c>
      <c r="F17">
        <v>1</v>
      </c>
      <c r="G17">
        <v>2</v>
      </c>
      <c r="H17" t="s">
        <v>3745</v>
      </c>
      <c r="I17" t="s">
        <v>3779</v>
      </c>
      <c r="J17" t="s">
        <v>3459</v>
      </c>
      <c r="K17" t="s">
        <v>3778</v>
      </c>
      <c r="L17" t="s">
        <v>3507</v>
      </c>
      <c r="M17" t="s">
        <v>8064</v>
      </c>
    </row>
    <row r="18" spans="1:14" x14ac:dyDescent="0.25">
      <c r="A18" t="s">
        <v>3780</v>
      </c>
      <c r="B18" t="s">
        <v>176</v>
      </c>
      <c r="C18" t="s">
        <v>3777</v>
      </c>
      <c r="D18" t="s">
        <v>3744</v>
      </c>
      <c r="E18" t="s">
        <v>2619</v>
      </c>
      <c r="F18">
        <v>1</v>
      </c>
      <c r="G18">
        <v>2</v>
      </c>
      <c r="H18" t="s">
        <v>3752</v>
      </c>
      <c r="I18" t="s">
        <v>3781</v>
      </c>
      <c r="J18" t="s">
        <v>3459</v>
      </c>
      <c r="K18" t="s">
        <v>3782</v>
      </c>
      <c r="L18" t="s">
        <v>3783</v>
      </c>
      <c r="M18" t="s">
        <v>8064</v>
      </c>
    </row>
    <row r="19" spans="1:14" x14ac:dyDescent="0.25">
      <c r="A19" t="s">
        <v>3784</v>
      </c>
      <c r="B19" t="s">
        <v>176</v>
      </c>
      <c r="C19" t="s">
        <v>3777</v>
      </c>
      <c r="D19" t="s">
        <v>3744</v>
      </c>
      <c r="E19" t="s">
        <v>160</v>
      </c>
      <c r="F19">
        <v>1</v>
      </c>
      <c r="G19">
        <v>2</v>
      </c>
      <c r="H19" t="s">
        <v>3745</v>
      </c>
      <c r="I19" t="s">
        <v>3785</v>
      </c>
      <c r="J19" t="s">
        <v>7456</v>
      </c>
      <c r="K19" t="s">
        <v>3786</v>
      </c>
      <c r="L19" t="s">
        <v>3676</v>
      </c>
      <c r="M19" t="s">
        <v>8064</v>
      </c>
    </row>
    <row r="20" spans="1:14" x14ac:dyDescent="0.25">
      <c r="A20" t="s">
        <v>7886</v>
      </c>
      <c r="B20" t="s">
        <v>176</v>
      </c>
      <c r="C20" t="s">
        <v>3777</v>
      </c>
      <c r="D20" t="s">
        <v>3744</v>
      </c>
      <c r="E20" t="s">
        <v>1046</v>
      </c>
      <c r="F20">
        <v>1</v>
      </c>
      <c r="G20">
        <v>2</v>
      </c>
      <c r="H20" t="s">
        <v>3752</v>
      </c>
      <c r="I20" t="s">
        <v>7887</v>
      </c>
      <c r="J20" t="s">
        <v>3459</v>
      </c>
      <c r="K20" t="s">
        <v>7886</v>
      </c>
      <c r="L20" t="s">
        <v>3808</v>
      </c>
      <c r="M20" t="s">
        <v>8064</v>
      </c>
    </row>
    <row r="21" spans="1:14" x14ac:dyDescent="0.25">
      <c r="A21" t="s">
        <v>7884</v>
      </c>
      <c r="B21" t="s">
        <v>176</v>
      </c>
      <c r="C21" t="s">
        <v>3777</v>
      </c>
      <c r="D21" t="s">
        <v>3744</v>
      </c>
      <c r="E21" t="s">
        <v>1046</v>
      </c>
      <c r="F21">
        <v>1</v>
      </c>
      <c r="G21">
        <v>2</v>
      </c>
      <c r="H21" t="s">
        <v>3752</v>
      </c>
      <c r="I21" t="s">
        <v>8090</v>
      </c>
      <c r="J21" t="s">
        <v>3459</v>
      </c>
      <c r="K21" t="s">
        <v>7885</v>
      </c>
      <c r="L21" t="s">
        <v>7883</v>
      </c>
      <c r="M21" t="s">
        <v>8064</v>
      </c>
      <c r="N21" t="s">
        <v>4323</v>
      </c>
    </row>
    <row r="22" spans="1:14" x14ac:dyDescent="0.25">
      <c r="A22" t="s">
        <v>3787</v>
      </c>
      <c r="B22" t="s">
        <v>176</v>
      </c>
      <c r="C22" t="s">
        <v>3777</v>
      </c>
      <c r="D22" t="s">
        <v>3788</v>
      </c>
      <c r="E22" t="s">
        <v>360</v>
      </c>
      <c r="F22">
        <v>1</v>
      </c>
      <c r="G22">
        <v>2</v>
      </c>
      <c r="H22" t="s">
        <v>3745</v>
      </c>
      <c r="I22" t="s">
        <v>8058</v>
      </c>
      <c r="J22" t="s">
        <v>3459</v>
      </c>
      <c r="K22" t="s">
        <v>3789</v>
      </c>
      <c r="L22" t="s">
        <v>3763</v>
      </c>
      <c r="M22" t="s">
        <v>8064</v>
      </c>
      <c r="N22" t="s">
        <v>4323</v>
      </c>
    </row>
    <row r="23" spans="1:14" x14ac:dyDescent="0.25">
      <c r="A23" t="s">
        <v>3790</v>
      </c>
      <c r="B23" t="s">
        <v>176</v>
      </c>
      <c r="C23" t="s">
        <v>3791</v>
      </c>
      <c r="D23" t="s">
        <v>3744</v>
      </c>
      <c r="E23" t="s">
        <v>2619</v>
      </c>
      <c r="F23">
        <v>1</v>
      </c>
      <c r="G23">
        <v>3</v>
      </c>
      <c r="H23" t="s">
        <v>3752</v>
      </c>
      <c r="I23" t="s">
        <v>7435</v>
      </c>
      <c r="J23" t="s">
        <v>7437</v>
      </c>
      <c r="K23" t="s">
        <v>3790</v>
      </c>
      <c r="M23" t="s">
        <v>8064</v>
      </c>
    </row>
    <row r="24" spans="1:14" x14ac:dyDescent="0.25">
      <c r="A24" t="s">
        <v>3792</v>
      </c>
      <c r="B24" t="s">
        <v>176</v>
      </c>
      <c r="C24" t="s">
        <v>3791</v>
      </c>
      <c r="D24" t="s">
        <v>3793</v>
      </c>
      <c r="E24" t="s">
        <v>1294</v>
      </c>
      <c r="F24">
        <v>1</v>
      </c>
      <c r="G24">
        <v>3</v>
      </c>
      <c r="H24" t="s">
        <v>3745</v>
      </c>
      <c r="I24" t="s">
        <v>3794</v>
      </c>
      <c r="J24" t="s">
        <v>3459</v>
      </c>
      <c r="K24" t="s">
        <v>3795</v>
      </c>
      <c r="L24" t="s">
        <v>3796</v>
      </c>
      <c r="M24" t="s">
        <v>8064</v>
      </c>
    </row>
    <row r="25" spans="1:14" x14ac:dyDescent="0.25">
      <c r="A25" t="s">
        <v>3797</v>
      </c>
      <c r="B25" t="s">
        <v>176</v>
      </c>
      <c r="C25" t="s">
        <v>3791</v>
      </c>
      <c r="D25" t="s">
        <v>3744</v>
      </c>
      <c r="E25" t="s">
        <v>1294</v>
      </c>
      <c r="F25">
        <v>1</v>
      </c>
      <c r="G25">
        <v>3</v>
      </c>
      <c r="H25" t="s">
        <v>3752</v>
      </c>
      <c r="I25" t="s">
        <v>3798</v>
      </c>
      <c r="J25" t="s">
        <v>7429</v>
      </c>
      <c r="K25" t="s">
        <v>3799</v>
      </c>
      <c r="M25" t="s">
        <v>8064</v>
      </c>
    </row>
    <row r="26" spans="1:14" x14ac:dyDescent="0.25">
      <c r="A26" t="s">
        <v>3800</v>
      </c>
      <c r="B26" t="s">
        <v>176</v>
      </c>
      <c r="C26" t="s">
        <v>3791</v>
      </c>
      <c r="D26" t="s">
        <v>3801</v>
      </c>
      <c r="E26" t="s">
        <v>360</v>
      </c>
      <c r="F26">
        <v>1</v>
      </c>
      <c r="G26">
        <v>3</v>
      </c>
      <c r="H26" t="s">
        <v>3745</v>
      </c>
      <c r="I26" t="s">
        <v>8059</v>
      </c>
      <c r="J26" t="s">
        <v>3459</v>
      </c>
      <c r="K26" t="s">
        <v>3802</v>
      </c>
      <c r="L26" t="s">
        <v>3763</v>
      </c>
      <c r="M26" t="s">
        <v>8064</v>
      </c>
      <c r="N26" t="s">
        <v>4325</v>
      </c>
    </row>
    <row r="27" spans="1:14" x14ac:dyDescent="0.25">
      <c r="A27" t="s">
        <v>3803</v>
      </c>
      <c r="B27" t="s">
        <v>182</v>
      </c>
      <c r="C27" t="s">
        <v>3743</v>
      </c>
      <c r="D27" t="s">
        <v>3744</v>
      </c>
      <c r="E27" t="s">
        <v>90</v>
      </c>
      <c r="F27">
        <v>1</v>
      </c>
      <c r="G27">
        <v>1</v>
      </c>
      <c r="H27" t="s">
        <v>3752</v>
      </c>
      <c r="I27" t="s">
        <v>3804</v>
      </c>
      <c r="J27" t="s">
        <v>5263</v>
      </c>
      <c r="K27" t="s">
        <v>3803</v>
      </c>
      <c r="M27" t="s">
        <v>8064</v>
      </c>
    </row>
    <row r="28" spans="1:14" x14ac:dyDescent="0.25">
      <c r="A28" t="s">
        <v>3805</v>
      </c>
      <c r="B28" t="s">
        <v>182</v>
      </c>
      <c r="C28" t="s">
        <v>3743</v>
      </c>
      <c r="D28" t="s">
        <v>3744</v>
      </c>
      <c r="E28" t="s">
        <v>90</v>
      </c>
      <c r="F28">
        <v>1</v>
      </c>
      <c r="G28">
        <v>1</v>
      </c>
      <c r="H28" t="s">
        <v>3752</v>
      </c>
      <c r="I28" t="s">
        <v>3806</v>
      </c>
      <c r="J28" t="s">
        <v>3459</v>
      </c>
      <c r="K28" t="s">
        <v>3807</v>
      </c>
      <c r="L28" t="s">
        <v>3808</v>
      </c>
      <c r="M28" t="s">
        <v>8064</v>
      </c>
    </row>
    <row r="29" spans="1:14" x14ac:dyDescent="0.25">
      <c r="A29" t="s">
        <v>3809</v>
      </c>
      <c r="B29" t="s">
        <v>182</v>
      </c>
      <c r="C29" t="s">
        <v>3743</v>
      </c>
      <c r="D29" t="s">
        <v>3744</v>
      </c>
      <c r="E29" t="s">
        <v>960</v>
      </c>
      <c r="F29">
        <v>1</v>
      </c>
      <c r="G29">
        <v>1</v>
      </c>
      <c r="H29" t="s">
        <v>3752</v>
      </c>
      <c r="I29" t="s">
        <v>3810</v>
      </c>
      <c r="J29" t="s">
        <v>3459</v>
      </c>
      <c r="K29" t="s">
        <v>3811</v>
      </c>
      <c r="L29" t="s">
        <v>3812</v>
      </c>
      <c r="M29" t="s">
        <v>8064</v>
      </c>
    </row>
    <row r="30" spans="1:14" x14ac:dyDescent="0.25">
      <c r="A30" t="s">
        <v>3813</v>
      </c>
      <c r="B30" t="s">
        <v>182</v>
      </c>
      <c r="C30" t="s">
        <v>3743</v>
      </c>
      <c r="D30" t="s">
        <v>3744</v>
      </c>
      <c r="E30" t="s">
        <v>960</v>
      </c>
      <c r="F30">
        <v>1</v>
      </c>
      <c r="G30">
        <v>1</v>
      </c>
      <c r="H30" t="s">
        <v>3752</v>
      </c>
      <c r="I30" t="s">
        <v>3814</v>
      </c>
      <c r="J30" t="s">
        <v>7455</v>
      </c>
      <c r="K30" t="s">
        <v>3815</v>
      </c>
      <c r="L30" t="s">
        <v>3816</v>
      </c>
      <c r="M30" t="s">
        <v>8064</v>
      </c>
    </row>
    <row r="31" spans="1:14" x14ac:dyDescent="0.25">
      <c r="A31" t="s">
        <v>3817</v>
      </c>
      <c r="B31" t="s">
        <v>182</v>
      </c>
      <c r="C31" t="s">
        <v>3743</v>
      </c>
      <c r="D31" t="s">
        <v>3744</v>
      </c>
      <c r="E31" t="s">
        <v>38</v>
      </c>
      <c r="F31">
        <v>1</v>
      </c>
      <c r="G31">
        <v>1</v>
      </c>
      <c r="H31" t="s">
        <v>3752</v>
      </c>
      <c r="I31" t="s">
        <v>3818</v>
      </c>
      <c r="J31" t="s">
        <v>3459</v>
      </c>
      <c r="K31" t="s">
        <v>3819</v>
      </c>
      <c r="L31" t="s">
        <v>3820</v>
      </c>
      <c r="M31" t="s">
        <v>8064</v>
      </c>
    </row>
    <row r="32" spans="1:14" x14ac:dyDescent="0.25">
      <c r="A32" t="s">
        <v>3821</v>
      </c>
      <c r="B32" t="s">
        <v>182</v>
      </c>
      <c r="C32" t="s">
        <v>3743</v>
      </c>
      <c r="D32" t="s">
        <v>3744</v>
      </c>
      <c r="E32" t="s">
        <v>38</v>
      </c>
      <c r="F32">
        <v>1</v>
      </c>
      <c r="G32">
        <v>1</v>
      </c>
      <c r="H32" t="s">
        <v>3752</v>
      </c>
      <c r="I32" t="s">
        <v>3822</v>
      </c>
      <c r="J32" t="s">
        <v>3459</v>
      </c>
      <c r="K32" t="s">
        <v>3823</v>
      </c>
      <c r="L32" t="s">
        <v>3824</v>
      </c>
      <c r="M32" t="s">
        <v>8064</v>
      </c>
    </row>
    <row r="33" spans="1:14" x14ac:dyDescent="0.25">
      <c r="A33" t="s">
        <v>3825</v>
      </c>
      <c r="B33" t="s">
        <v>182</v>
      </c>
      <c r="C33" t="s">
        <v>3743</v>
      </c>
      <c r="D33" t="s">
        <v>3793</v>
      </c>
      <c r="E33" t="s">
        <v>90</v>
      </c>
      <c r="F33">
        <v>1</v>
      </c>
      <c r="G33">
        <v>1</v>
      </c>
      <c r="H33" t="s">
        <v>3745</v>
      </c>
      <c r="I33" t="s">
        <v>3826</v>
      </c>
      <c r="J33" t="s">
        <v>7428</v>
      </c>
      <c r="K33" t="s">
        <v>3827</v>
      </c>
      <c r="L33" t="s">
        <v>3828</v>
      </c>
      <c r="M33" t="s">
        <v>8064</v>
      </c>
    </row>
    <row r="34" spans="1:14" x14ac:dyDescent="0.25">
      <c r="A34" t="s">
        <v>3829</v>
      </c>
      <c r="B34" t="s">
        <v>182</v>
      </c>
      <c r="C34" t="s">
        <v>3777</v>
      </c>
      <c r="D34" t="s">
        <v>3744</v>
      </c>
      <c r="E34" t="s">
        <v>90</v>
      </c>
      <c r="F34">
        <v>1</v>
      </c>
      <c r="G34">
        <v>2</v>
      </c>
      <c r="H34" t="s">
        <v>3745</v>
      </c>
      <c r="I34" t="s">
        <v>3830</v>
      </c>
      <c r="J34" t="s">
        <v>3459</v>
      </c>
      <c r="K34" t="s">
        <v>3831</v>
      </c>
      <c r="M34" t="s">
        <v>8064</v>
      </c>
    </row>
    <row r="35" spans="1:14" x14ac:dyDescent="0.25">
      <c r="A35" t="s">
        <v>3832</v>
      </c>
      <c r="B35" t="s">
        <v>182</v>
      </c>
      <c r="C35" t="s">
        <v>3777</v>
      </c>
      <c r="D35" t="s">
        <v>3744</v>
      </c>
      <c r="E35" t="s">
        <v>90</v>
      </c>
      <c r="F35">
        <v>1</v>
      </c>
      <c r="G35">
        <v>2</v>
      </c>
      <c r="H35" t="s">
        <v>3833</v>
      </c>
      <c r="I35" t="s">
        <v>8094</v>
      </c>
      <c r="J35" t="s">
        <v>3459</v>
      </c>
      <c r="K35" t="s">
        <v>3832</v>
      </c>
      <c r="M35" t="s">
        <v>8065</v>
      </c>
    </row>
    <row r="36" spans="1:14" x14ac:dyDescent="0.25">
      <c r="A36" t="s">
        <v>3834</v>
      </c>
      <c r="B36" t="s">
        <v>182</v>
      </c>
      <c r="C36" t="s">
        <v>3777</v>
      </c>
      <c r="D36" t="s">
        <v>3744</v>
      </c>
      <c r="E36" t="s">
        <v>38</v>
      </c>
      <c r="F36">
        <v>1</v>
      </c>
      <c r="G36">
        <v>2</v>
      </c>
      <c r="H36" t="s">
        <v>3752</v>
      </c>
      <c r="I36" t="s">
        <v>3835</v>
      </c>
      <c r="J36" t="s">
        <v>7465</v>
      </c>
      <c r="K36" t="s">
        <v>3836</v>
      </c>
      <c r="M36" t="s">
        <v>8064</v>
      </c>
    </row>
    <row r="37" spans="1:14" x14ac:dyDescent="0.25">
      <c r="A37" t="s">
        <v>3837</v>
      </c>
      <c r="B37" t="s">
        <v>182</v>
      </c>
      <c r="C37" t="s">
        <v>3791</v>
      </c>
      <c r="D37" t="s">
        <v>3744</v>
      </c>
      <c r="E37" t="s">
        <v>90</v>
      </c>
      <c r="F37">
        <v>1</v>
      </c>
      <c r="G37">
        <v>3</v>
      </c>
      <c r="H37" t="s">
        <v>3833</v>
      </c>
      <c r="I37" t="s">
        <v>8083</v>
      </c>
      <c r="J37" t="s">
        <v>7411</v>
      </c>
      <c r="K37" t="s">
        <v>3837</v>
      </c>
      <c r="M37" t="s">
        <v>8065</v>
      </c>
    </row>
    <row r="38" spans="1:14" x14ac:dyDescent="0.25">
      <c r="A38" t="s">
        <v>3838</v>
      </c>
      <c r="B38" t="s">
        <v>182</v>
      </c>
      <c r="C38" t="s">
        <v>3791</v>
      </c>
      <c r="D38" t="s">
        <v>3793</v>
      </c>
      <c r="E38" t="s">
        <v>90</v>
      </c>
      <c r="F38">
        <v>1</v>
      </c>
      <c r="G38">
        <v>3</v>
      </c>
      <c r="H38" t="s">
        <v>3839</v>
      </c>
      <c r="I38" t="s">
        <v>3840</v>
      </c>
      <c r="J38" t="s">
        <v>7423</v>
      </c>
      <c r="K38" t="s">
        <v>3838</v>
      </c>
      <c r="M38" t="s">
        <v>8064</v>
      </c>
    </row>
    <row r="39" spans="1:14" x14ac:dyDescent="0.25">
      <c r="A39" t="s">
        <v>3841</v>
      </c>
      <c r="B39" t="s">
        <v>222</v>
      </c>
      <c r="C39" t="s">
        <v>3743</v>
      </c>
      <c r="D39" t="s">
        <v>3744</v>
      </c>
      <c r="E39" t="s">
        <v>1649</v>
      </c>
      <c r="F39">
        <v>1</v>
      </c>
      <c r="G39">
        <v>1</v>
      </c>
      <c r="H39" t="s">
        <v>3745</v>
      </c>
      <c r="I39" t="s">
        <v>3842</v>
      </c>
      <c r="J39" t="s">
        <v>7439</v>
      </c>
      <c r="K39" t="s">
        <v>3841</v>
      </c>
      <c r="M39" t="s">
        <v>8064</v>
      </c>
    </row>
    <row r="40" spans="1:14" x14ac:dyDescent="0.25">
      <c r="A40" t="s">
        <v>7701</v>
      </c>
      <c r="B40" t="s">
        <v>222</v>
      </c>
      <c r="C40" t="s">
        <v>3743</v>
      </c>
      <c r="D40" t="s">
        <v>3744</v>
      </c>
      <c r="E40" t="s">
        <v>1649</v>
      </c>
      <c r="F40">
        <v>1</v>
      </c>
      <c r="G40">
        <v>1</v>
      </c>
      <c r="H40" t="s">
        <v>3752</v>
      </c>
      <c r="I40" t="s">
        <v>7702</v>
      </c>
      <c r="J40" t="s">
        <v>3459</v>
      </c>
      <c r="K40" t="s">
        <v>7703</v>
      </c>
      <c r="L40" t="s">
        <v>7704</v>
      </c>
      <c r="M40" t="s">
        <v>8064</v>
      </c>
    </row>
    <row r="41" spans="1:14" x14ac:dyDescent="0.25">
      <c r="A41" t="s">
        <v>3843</v>
      </c>
      <c r="B41" t="s">
        <v>222</v>
      </c>
      <c r="C41" t="s">
        <v>3743</v>
      </c>
      <c r="D41" t="s">
        <v>3744</v>
      </c>
      <c r="E41" t="s">
        <v>1201</v>
      </c>
      <c r="F41">
        <v>1</v>
      </c>
      <c r="G41">
        <v>1</v>
      </c>
      <c r="H41" t="s">
        <v>3745</v>
      </c>
      <c r="I41" t="s">
        <v>8068</v>
      </c>
      <c r="J41" t="s">
        <v>3459</v>
      </c>
      <c r="K41" t="s">
        <v>3843</v>
      </c>
      <c r="L41" t="s">
        <v>3844</v>
      </c>
      <c r="M41" t="s">
        <v>8064</v>
      </c>
      <c r="N41" t="s">
        <v>4325</v>
      </c>
    </row>
    <row r="42" spans="1:14" x14ac:dyDescent="0.25">
      <c r="A42" t="s">
        <v>7440</v>
      </c>
      <c r="B42" t="s">
        <v>222</v>
      </c>
      <c r="C42" t="s">
        <v>3743</v>
      </c>
      <c r="D42" t="s">
        <v>3744</v>
      </c>
      <c r="E42" t="s">
        <v>1649</v>
      </c>
      <c r="F42">
        <v>1</v>
      </c>
      <c r="G42">
        <v>1</v>
      </c>
      <c r="H42" t="s">
        <v>3745</v>
      </c>
      <c r="I42" t="s">
        <v>7441</v>
      </c>
      <c r="J42" t="s">
        <v>3459</v>
      </c>
      <c r="K42" t="s">
        <v>7440</v>
      </c>
      <c r="L42" t="s">
        <v>7442</v>
      </c>
      <c r="M42" t="s">
        <v>8064</v>
      </c>
    </row>
    <row r="43" spans="1:14" x14ac:dyDescent="0.25">
      <c r="A43" t="s">
        <v>3845</v>
      </c>
      <c r="B43" t="s">
        <v>222</v>
      </c>
      <c r="C43" t="s">
        <v>3743</v>
      </c>
      <c r="D43" t="s">
        <v>3744</v>
      </c>
      <c r="E43" t="s">
        <v>501</v>
      </c>
      <c r="F43">
        <v>1</v>
      </c>
      <c r="G43">
        <v>1</v>
      </c>
      <c r="H43" t="s">
        <v>3756</v>
      </c>
      <c r="I43" t="s">
        <v>3846</v>
      </c>
      <c r="J43" t="s">
        <v>3459</v>
      </c>
      <c r="K43" t="s">
        <v>3845</v>
      </c>
      <c r="L43" t="s">
        <v>3847</v>
      </c>
      <c r="M43" t="s">
        <v>8064</v>
      </c>
    </row>
    <row r="44" spans="1:14" x14ac:dyDescent="0.25">
      <c r="A44" t="s">
        <v>7690</v>
      </c>
      <c r="B44" t="s">
        <v>222</v>
      </c>
      <c r="C44" t="s">
        <v>3777</v>
      </c>
      <c r="D44" t="s">
        <v>3744</v>
      </c>
      <c r="E44" t="s">
        <v>1649</v>
      </c>
      <c r="F44">
        <v>1</v>
      </c>
      <c r="G44">
        <v>2</v>
      </c>
      <c r="H44" t="s">
        <v>3745</v>
      </c>
      <c r="I44" t="s">
        <v>7691</v>
      </c>
      <c r="J44" t="s">
        <v>3459</v>
      </c>
      <c r="K44" t="s">
        <v>7692</v>
      </c>
      <c r="L44" t="s">
        <v>7693</v>
      </c>
      <c r="M44" t="s">
        <v>8064</v>
      </c>
    </row>
    <row r="45" spans="1:14" x14ac:dyDescent="0.25">
      <c r="A45" t="s">
        <v>7981</v>
      </c>
      <c r="B45" t="s">
        <v>222</v>
      </c>
      <c r="C45" t="s">
        <v>3777</v>
      </c>
      <c r="D45" t="s">
        <v>3744</v>
      </c>
      <c r="E45" t="s">
        <v>1649</v>
      </c>
      <c r="F45">
        <v>1</v>
      </c>
      <c r="G45">
        <v>2</v>
      </c>
      <c r="H45" t="s">
        <v>3839</v>
      </c>
      <c r="I45" t="s">
        <v>7982</v>
      </c>
      <c r="J45" t="s">
        <v>7985</v>
      </c>
      <c r="K45" t="s">
        <v>7984</v>
      </c>
      <c r="M45" t="s">
        <v>8064</v>
      </c>
    </row>
    <row r="46" spans="1:14" x14ac:dyDescent="0.25">
      <c r="A46" t="s">
        <v>7970</v>
      </c>
      <c r="B46" t="s">
        <v>222</v>
      </c>
      <c r="C46" t="s">
        <v>3777</v>
      </c>
      <c r="D46" t="s">
        <v>3744</v>
      </c>
      <c r="E46" t="s">
        <v>1649</v>
      </c>
      <c r="F46">
        <v>1</v>
      </c>
      <c r="G46">
        <v>2</v>
      </c>
      <c r="H46" t="s">
        <v>3756</v>
      </c>
      <c r="I46" t="s">
        <v>7971</v>
      </c>
      <c r="J46" t="s">
        <v>3459</v>
      </c>
      <c r="K46" t="s">
        <v>7970</v>
      </c>
      <c r="L46" t="s">
        <v>7983</v>
      </c>
      <c r="M46" t="s">
        <v>8064</v>
      </c>
    </row>
    <row r="47" spans="1:14" x14ac:dyDescent="0.25">
      <c r="A47" t="s">
        <v>3848</v>
      </c>
      <c r="B47" t="s">
        <v>222</v>
      </c>
      <c r="C47" t="s">
        <v>3777</v>
      </c>
      <c r="D47" t="s">
        <v>3744</v>
      </c>
      <c r="E47" t="s">
        <v>1649</v>
      </c>
      <c r="F47">
        <v>1</v>
      </c>
      <c r="G47">
        <v>2</v>
      </c>
      <c r="H47" t="s">
        <v>3752</v>
      </c>
      <c r="I47" t="s">
        <v>3849</v>
      </c>
      <c r="J47" t="s">
        <v>7410</v>
      </c>
      <c r="K47" t="s">
        <v>3848</v>
      </c>
      <c r="M47" t="s">
        <v>8064</v>
      </c>
    </row>
    <row r="48" spans="1:14" x14ac:dyDescent="0.25">
      <c r="A48" t="s">
        <v>3850</v>
      </c>
      <c r="B48" t="s">
        <v>222</v>
      </c>
      <c r="C48" t="s">
        <v>3777</v>
      </c>
      <c r="D48" t="s">
        <v>3744</v>
      </c>
      <c r="E48" t="s">
        <v>1649</v>
      </c>
      <c r="F48">
        <v>1</v>
      </c>
      <c r="G48">
        <v>2</v>
      </c>
      <c r="H48" t="s">
        <v>3752</v>
      </c>
      <c r="I48" t="s">
        <v>3851</v>
      </c>
      <c r="J48" t="s">
        <v>7406</v>
      </c>
      <c r="K48" t="s">
        <v>3852</v>
      </c>
      <c r="L48" t="s">
        <v>3820</v>
      </c>
      <c r="M48" t="s">
        <v>8064</v>
      </c>
    </row>
    <row r="49" spans="1:13" x14ac:dyDescent="0.25">
      <c r="A49" t="s">
        <v>3853</v>
      </c>
      <c r="B49" t="s">
        <v>222</v>
      </c>
      <c r="C49" t="s">
        <v>3777</v>
      </c>
      <c r="D49" t="s">
        <v>3788</v>
      </c>
      <c r="E49" t="s">
        <v>501</v>
      </c>
      <c r="F49">
        <v>1</v>
      </c>
      <c r="G49">
        <v>2</v>
      </c>
      <c r="H49" t="s">
        <v>3752</v>
      </c>
      <c r="I49" t="s">
        <v>3854</v>
      </c>
      <c r="J49" t="s">
        <v>7403</v>
      </c>
      <c r="K49" t="s">
        <v>3853</v>
      </c>
      <c r="M49" t="s">
        <v>8064</v>
      </c>
    </row>
    <row r="50" spans="1:13" x14ac:dyDescent="0.25">
      <c r="A50" t="s">
        <v>3855</v>
      </c>
      <c r="B50" t="s">
        <v>222</v>
      </c>
      <c r="C50" t="s">
        <v>3777</v>
      </c>
      <c r="D50" t="s">
        <v>3744</v>
      </c>
      <c r="E50" t="s">
        <v>1649</v>
      </c>
      <c r="F50">
        <v>1</v>
      </c>
      <c r="G50">
        <v>2</v>
      </c>
      <c r="H50" t="s">
        <v>3745</v>
      </c>
      <c r="I50" t="s">
        <v>3856</v>
      </c>
      <c r="J50" t="s">
        <v>3459</v>
      </c>
      <c r="K50" t="s">
        <v>3855</v>
      </c>
      <c r="L50" t="s">
        <v>3857</v>
      </c>
      <c r="M50" t="s">
        <v>8064</v>
      </c>
    </row>
    <row r="51" spans="1:13" x14ac:dyDescent="0.25">
      <c r="A51" t="s">
        <v>3858</v>
      </c>
      <c r="B51" t="s">
        <v>222</v>
      </c>
      <c r="C51" t="s">
        <v>3777</v>
      </c>
      <c r="D51" t="s">
        <v>3744</v>
      </c>
      <c r="E51" t="s">
        <v>1649</v>
      </c>
      <c r="F51">
        <v>1</v>
      </c>
      <c r="G51">
        <v>2</v>
      </c>
      <c r="H51" t="s">
        <v>3752</v>
      </c>
      <c r="I51" t="s">
        <v>3859</v>
      </c>
      <c r="J51" t="s">
        <v>7686</v>
      </c>
      <c r="K51" t="s">
        <v>3858</v>
      </c>
      <c r="L51" t="s">
        <v>3860</v>
      </c>
      <c r="M51" t="s">
        <v>8064</v>
      </c>
    </row>
    <row r="52" spans="1:13" x14ac:dyDescent="0.25">
      <c r="A52" t="s">
        <v>3861</v>
      </c>
      <c r="B52" t="s">
        <v>222</v>
      </c>
      <c r="C52" t="s">
        <v>3777</v>
      </c>
      <c r="D52" t="s">
        <v>3744</v>
      </c>
      <c r="E52" t="s">
        <v>1649</v>
      </c>
      <c r="F52">
        <v>1</v>
      </c>
      <c r="G52">
        <v>2</v>
      </c>
      <c r="H52" t="s">
        <v>3752</v>
      </c>
      <c r="I52" t="s">
        <v>3862</v>
      </c>
      <c r="J52" t="s">
        <v>3459</v>
      </c>
      <c r="K52" t="s">
        <v>3863</v>
      </c>
      <c r="L52" t="s">
        <v>3864</v>
      </c>
      <c r="M52" t="s">
        <v>8064</v>
      </c>
    </row>
    <row r="53" spans="1:13" x14ac:dyDescent="0.25">
      <c r="A53" t="s">
        <v>3865</v>
      </c>
      <c r="B53" t="s">
        <v>222</v>
      </c>
      <c r="C53" t="s">
        <v>3777</v>
      </c>
      <c r="D53" t="s">
        <v>3744</v>
      </c>
      <c r="E53" t="s">
        <v>1129</v>
      </c>
      <c r="F53">
        <v>1</v>
      </c>
      <c r="G53">
        <v>2</v>
      </c>
      <c r="H53" t="s">
        <v>3839</v>
      </c>
      <c r="I53" t="s">
        <v>3866</v>
      </c>
      <c r="J53" t="s">
        <v>3459</v>
      </c>
      <c r="K53" t="s">
        <v>3865</v>
      </c>
      <c r="M53" t="s">
        <v>8064</v>
      </c>
    </row>
    <row r="54" spans="1:13" x14ac:dyDescent="0.25">
      <c r="A54" t="s">
        <v>3867</v>
      </c>
      <c r="B54" t="s">
        <v>222</v>
      </c>
      <c r="C54" t="s">
        <v>3791</v>
      </c>
      <c r="D54" t="s">
        <v>3744</v>
      </c>
      <c r="E54" t="s">
        <v>501</v>
      </c>
      <c r="F54">
        <v>1</v>
      </c>
      <c r="G54">
        <v>3</v>
      </c>
      <c r="H54" t="s">
        <v>3839</v>
      </c>
      <c r="I54" t="s">
        <v>3868</v>
      </c>
      <c r="J54" t="s">
        <v>7466</v>
      </c>
      <c r="K54" t="s">
        <v>3869</v>
      </c>
      <c r="M54" t="s">
        <v>8064</v>
      </c>
    </row>
    <row r="55" spans="1:13" x14ac:dyDescent="0.25">
      <c r="A55" t="s">
        <v>7975</v>
      </c>
      <c r="B55" t="s">
        <v>222</v>
      </c>
      <c r="C55" t="s">
        <v>3791</v>
      </c>
      <c r="D55" t="s">
        <v>3744</v>
      </c>
      <c r="E55" t="s">
        <v>1649</v>
      </c>
      <c r="F55">
        <v>1</v>
      </c>
      <c r="G55">
        <v>3</v>
      </c>
      <c r="H55" t="s">
        <v>3745</v>
      </c>
      <c r="I55" t="s">
        <v>7978</v>
      </c>
      <c r="J55" t="s">
        <v>7976</v>
      </c>
      <c r="K55" t="s">
        <v>7980</v>
      </c>
      <c r="L55" t="s">
        <v>7979</v>
      </c>
      <c r="M55" t="s">
        <v>8064</v>
      </c>
    </row>
    <row r="56" spans="1:13" x14ac:dyDescent="0.25">
      <c r="A56" t="s">
        <v>3870</v>
      </c>
      <c r="B56" t="s">
        <v>222</v>
      </c>
      <c r="C56" t="s">
        <v>3791</v>
      </c>
      <c r="D56" t="s">
        <v>3744</v>
      </c>
      <c r="E56" t="s">
        <v>1649</v>
      </c>
      <c r="F56">
        <v>1</v>
      </c>
      <c r="G56">
        <v>3</v>
      </c>
      <c r="H56" t="s">
        <v>3752</v>
      </c>
      <c r="I56" t="s">
        <v>3871</v>
      </c>
      <c r="J56" t="s">
        <v>7685</v>
      </c>
      <c r="K56" t="s">
        <v>3872</v>
      </c>
      <c r="L56" t="s">
        <v>3873</v>
      </c>
      <c r="M56" t="s">
        <v>8064</v>
      </c>
    </row>
    <row r="57" spans="1:13" x14ac:dyDescent="0.25">
      <c r="A57" t="s">
        <v>1168</v>
      </c>
      <c r="B57" t="s">
        <v>222</v>
      </c>
      <c r="C57" t="s">
        <v>3911</v>
      </c>
      <c r="D57" t="s">
        <v>3744</v>
      </c>
      <c r="E57" t="s">
        <v>1649</v>
      </c>
      <c r="F57">
        <v>1</v>
      </c>
      <c r="G57">
        <v>4</v>
      </c>
      <c r="H57" t="s">
        <v>3752</v>
      </c>
      <c r="I57" t="s">
        <v>7694</v>
      </c>
      <c r="J57" t="s">
        <v>7700</v>
      </c>
      <c r="K57" t="s">
        <v>1168</v>
      </c>
      <c r="L57" t="s">
        <v>458</v>
      </c>
      <c r="M57" t="s">
        <v>8064</v>
      </c>
    </row>
    <row r="58" spans="1:13" x14ac:dyDescent="0.25">
      <c r="A58" t="s">
        <v>7972</v>
      </c>
      <c r="B58" t="s">
        <v>222</v>
      </c>
      <c r="C58" t="s">
        <v>3911</v>
      </c>
      <c r="D58" t="s">
        <v>3744</v>
      </c>
      <c r="E58" t="s">
        <v>1649</v>
      </c>
      <c r="F58">
        <v>1</v>
      </c>
      <c r="G58">
        <v>4</v>
      </c>
      <c r="H58" t="s">
        <v>3745</v>
      </c>
      <c r="I58" t="s">
        <v>7973</v>
      </c>
      <c r="J58" t="s">
        <v>3459</v>
      </c>
      <c r="K58" t="s">
        <v>7974</v>
      </c>
      <c r="L58" t="s">
        <v>3864</v>
      </c>
      <c r="M58" t="s">
        <v>8064</v>
      </c>
    </row>
    <row r="59" spans="1:13" x14ac:dyDescent="0.25">
      <c r="A59" t="s">
        <v>7895</v>
      </c>
      <c r="B59" t="s">
        <v>179</v>
      </c>
      <c r="C59" t="s">
        <v>3743</v>
      </c>
      <c r="D59" t="s">
        <v>3744</v>
      </c>
      <c r="E59" t="s">
        <v>1795</v>
      </c>
      <c r="F59">
        <v>1</v>
      </c>
      <c r="G59">
        <v>1</v>
      </c>
      <c r="H59" t="s">
        <v>3833</v>
      </c>
      <c r="I59" t="s">
        <v>8084</v>
      </c>
      <c r="J59" t="s">
        <v>3459</v>
      </c>
      <c r="K59" t="s">
        <v>7896</v>
      </c>
      <c r="M59" t="s">
        <v>8065</v>
      </c>
    </row>
    <row r="60" spans="1:13" x14ac:dyDescent="0.25">
      <c r="A60" t="s">
        <v>3874</v>
      </c>
      <c r="B60" t="s">
        <v>179</v>
      </c>
      <c r="C60" t="s">
        <v>3743</v>
      </c>
      <c r="D60" t="s">
        <v>3744</v>
      </c>
      <c r="E60" t="s">
        <v>1795</v>
      </c>
      <c r="F60">
        <v>1</v>
      </c>
      <c r="G60">
        <v>1</v>
      </c>
      <c r="H60" t="s">
        <v>3839</v>
      </c>
      <c r="I60" t="s">
        <v>3875</v>
      </c>
      <c r="J60" t="s">
        <v>7467</v>
      </c>
      <c r="K60" t="s">
        <v>3874</v>
      </c>
      <c r="M60" t="s">
        <v>8064</v>
      </c>
    </row>
    <row r="61" spans="1:13" x14ac:dyDescent="0.25">
      <c r="A61" t="s">
        <v>7687</v>
      </c>
      <c r="B61" t="s">
        <v>179</v>
      </c>
      <c r="C61" t="s">
        <v>3743</v>
      </c>
      <c r="D61" t="s">
        <v>3744</v>
      </c>
      <c r="E61" t="s">
        <v>689</v>
      </c>
      <c r="F61">
        <v>1</v>
      </c>
      <c r="G61">
        <v>1</v>
      </c>
      <c r="H61" t="s">
        <v>3745</v>
      </c>
      <c r="I61" t="s">
        <v>7688</v>
      </c>
      <c r="J61" t="s">
        <v>3459</v>
      </c>
      <c r="K61" t="s">
        <v>7687</v>
      </c>
      <c r="L61" t="s">
        <v>7689</v>
      </c>
      <c r="M61" t="s">
        <v>8064</v>
      </c>
    </row>
    <row r="62" spans="1:13" x14ac:dyDescent="0.25">
      <c r="A62" t="s">
        <v>3876</v>
      </c>
      <c r="B62" t="s">
        <v>179</v>
      </c>
      <c r="C62" t="s">
        <v>3777</v>
      </c>
      <c r="D62" t="s">
        <v>3744</v>
      </c>
      <c r="E62" t="s">
        <v>1795</v>
      </c>
      <c r="F62">
        <v>1</v>
      </c>
      <c r="G62">
        <v>2</v>
      </c>
      <c r="H62" t="s">
        <v>3833</v>
      </c>
      <c r="I62" t="s">
        <v>8085</v>
      </c>
      <c r="J62" t="s">
        <v>7398</v>
      </c>
      <c r="K62" t="s">
        <v>3877</v>
      </c>
      <c r="M62" t="s">
        <v>8065</v>
      </c>
    </row>
    <row r="63" spans="1:13" x14ac:dyDescent="0.25">
      <c r="A63" t="s">
        <v>3878</v>
      </c>
      <c r="B63" t="s">
        <v>179</v>
      </c>
      <c r="C63" t="s">
        <v>3777</v>
      </c>
      <c r="D63" t="s">
        <v>3744</v>
      </c>
      <c r="E63" t="s">
        <v>1795</v>
      </c>
      <c r="F63">
        <v>1</v>
      </c>
      <c r="G63">
        <v>2</v>
      </c>
      <c r="H63" t="s">
        <v>3752</v>
      </c>
      <c r="I63" t="s">
        <v>3879</v>
      </c>
      <c r="J63" t="s">
        <v>7399</v>
      </c>
      <c r="K63" t="s">
        <v>3878</v>
      </c>
      <c r="M63" t="s">
        <v>8064</v>
      </c>
    </row>
    <row r="64" spans="1:13" x14ac:dyDescent="0.25">
      <c r="A64" t="s">
        <v>7892</v>
      </c>
      <c r="B64" t="s">
        <v>179</v>
      </c>
      <c r="C64" t="s">
        <v>3791</v>
      </c>
      <c r="D64" t="s">
        <v>3744</v>
      </c>
      <c r="E64" t="s">
        <v>553</v>
      </c>
      <c r="F64">
        <v>1</v>
      </c>
      <c r="G64">
        <v>3</v>
      </c>
      <c r="H64" t="s">
        <v>3752</v>
      </c>
      <c r="I64" t="s">
        <v>7893</v>
      </c>
      <c r="J64" t="s">
        <v>3459</v>
      </c>
      <c r="K64" t="s">
        <v>7894</v>
      </c>
      <c r="L64" t="s">
        <v>3820</v>
      </c>
      <c r="M64" t="s">
        <v>8064</v>
      </c>
    </row>
    <row r="65" spans="1:13" x14ac:dyDescent="0.25">
      <c r="A65" t="s">
        <v>3880</v>
      </c>
      <c r="B65" t="s">
        <v>179</v>
      </c>
      <c r="C65" t="s">
        <v>3791</v>
      </c>
      <c r="D65" t="s">
        <v>3744</v>
      </c>
      <c r="E65" t="s">
        <v>1795</v>
      </c>
      <c r="F65">
        <v>1</v>
      </c>
      <c r="G65">
        <v>3</v>
      </c>
      <c r="H65" t="s">
        <v>3752</v>
      </c>
      <c r="I65" t="s">
        <v>3881</v>
      </c>
      <c r="J65" t="s">
        <v>3459</v>
      </c>
      <c r="K65" t="s">
        <v>3880</v>
      </c>
      <c r="M65" t="s">
        <v>8064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3735</v>
      </c>
      <c r="D1" t="s">
        <v>3736</v>
      </c>
      <c r="E1" t="s">
        <v>1</v>
      </c>
      <c r="F1" t="s">
        <v>3442</v>
      </c>
      <c r="G1" t="s">
        <v>3737</v>
      </c>
      <c r="H1" t="s">
        <v>3738</v>
      </c>
      <c r="I1" t="s">
        <v>3739</v>
      </c>
      <c r="J1" t="s">
        <v>3740</v>
      </c>
      <c r="K1" t="s">
        <v>171</v>
      </c>
      <c r="L1" t="s">
        <v>3741</v>
      </c>
      <c r="M1" t="s">
        <v>7469</v>
      </c>
      <c r="N1" t="s">
        <v>8063</v>
      </c>
      <c r="O1" t="s">
        <v>8040</v>
      </c>
    </row>
    <row r="2" spans="1:15" x14ac:dyDescent="0.25">
      <c r="A2" t="s">
        <v>3882</v>
      </c>
      <c r="B2" t="s">
        <v>176</v>
      </c>
      <c r="C2" t="s">
        <v>3743</v>
      </c>
      <c r="D2" t="s">
        <v>3793</v>
      </c>
      <c r="E2" t="s">
        <v>1046</v>
      </c>
      <c r="F2">
        <v>1</v>
      </c>
      <c r="G2">
        <v>3</v>
      </c>
      <c r="H2" t="s">
        <v>3756</v>
      </c>
      <c r="I2" t="s">
        <v>8089</v>
      </c>
      <c r="J2" t="s">
        <v>7450</v>
      </c>
      <c r="K2" t="s">
        <v>3882</v>
      </c>
      <c r="L2" t="s">
        <v>3883</v>
      </c>
      <c r="N2" t="s">
        <v>8064</v>
      </c>
    </row>
    <row r="3" spans="1:15" x14ac:dyDescent="0.25">
      <c r="A3" t="s">
        <v>3884</v>
      </c>
      <c r="B3" t="s">
        <v>176</v>
      </c>
      <c r="C3" t="s">
        <v>3743</v>
      </c>
      <c r="D3" t="s">
        <v>3793</v>
      </c>
      <c r="E3" t="s">
        <v>1752</v>
      </c>
      <c r="F3">
        <v>1</v>
      </c>
      <c r="G3">
        <v>3</v>
      </c>
      <c r="H3" t="s">
        <v>3745</v>
      </c>
      <c r="I3" t="s">
        <v>3885</v>
      </c>
      <c r="J3" t="s">
        <v>3459</v>
      </c>
      <c r="K3" t="s">
        <v>3886</v>
      </c>
      <c r="L3" t="s">
        <v>3887</v>
      </c>
      <c r="N3" t="s">
        <v>8064</v>
      </c>
    </row>
    <row r="4" spans="1:15" x14ac:dyDescent="0.25">
      <c r="A4" t="s">
        <v>3888</v>
      </c>
      <c r="B4" t="s">
        <v>176</v>
      </c>
      <c r="C4" t="s">
        <v>3743</v>
      </c>
      <c r="D4" t="s">
        <v>3793</v>
      </c>
      <c r="E4" t="s">
        <v>2132</v>
      </c>
      <c r="F4">
        <v>1</v>
      </c>
      <c r="G4">
        <v>3</v>
      </c>
      <c r="H4" t="s">
        <v>3839</v>
      </c>
      <c r="I4" t="s">
        <v>3889</v>
      </c>
      <c r="J4" t="s">
        <v>7381</v>
      </c>
      <c r="K4" t="s">
        <v>3888</v>
      </c>
      <c r="N4" t="s">
        <v>8064</v>
      </c>
    </row>
    <row r="5" spans="1:15" x14ac:dyDescent="0.25">
      <c r="A5" t="s">
        <v>3890</v>
      </c>
      <c r="B5" t="s">
        <v>176</v>
      </c>
      <c r="C5" t="s">
        <v>3743</v>
      </c>
      <c r="D5" t="s">
        <v>3744</v>
      </c>
      <c r="E5" t="s">
        <v>160</v>
      </c>
      <c r="F5">
        <v>1</v>
      </c>
      <c r="G5">
        <v>3</v>
      </c>
      <c r="H5" t="s">
        <v>3833</v>
      </c>
      <c r="I5" t="s">
        <v>8086</v>
      </c>
      <c r="J5" t="s">
        <v>7458</v>
      </c>
      <c r="K5" t="s">
        <v>3890</v>
      </c>
      <c r="N5" t="s">
        <v>8065</v>
      </c>
    </row>
    <row r="6" spans="1:15" x14ac:dyDescent="0.25">
      <c r="A6" t="s">
        <v>7360</v>
      </c>
      <c r="B6" t="s">
        <v>176</v>
      </c>
      <c r="C6" t="s">
        <v>3743</v>
      </c>
      <c r="D6" t="s">
        <v>3793</v>
      </c>
      <c r="E6" t="s">
        <v>2173</v>
      </c>
      <c r="F6">
        <v>1</v>
      </c>
      <c r="G6">
        <v>3</v>
      </c>
      <c r="H6" t="s">
        <v>3752</v>
      </c>
      <c r="I6" t="s">
        <v>7361</v>
      </c>
      <c r="J6" t="s">
        <v>3459</v>
      </c>
      <c r="K6" t="s">
        <v>7360</v>
      </c>
      <c r="L6" t="s">
        <v>4571</v>
      </c>
      <c r="N6" t="s">
        <v>8064</v>
      </c>
    </row>
    <row r="7" spans="1:15" x14ac:dyDescent="0.25">
      <c r="A7" t="s">
        <v>3891</v>
      </c>
      <c r="B7" t="s">
        <v>176</v>
      </c>
      <c r="C7" t="s">
        <v>3743</v>
      </c>
      <c r="D7" t="s">
        <v>3793</v>
      </c>
      <c r="E7" t="s">
        <v>2619</v>
      </c>
      <c r="F7">
        <v>1</v>
      </c>
      <c r="G7">
        <v>3</v>
      </c>
      <c r="H7" t="s">
        <v>3745</v>
      </c>
      <c r="I7" t="s">
        <v>3892</v>
      </c>
      <c r="J7" t="s">
        <v>7460</v>
      </c>
      <c r="K7" t="s">
        <v>3893</v>
      </c>
      <c r="N7" t="s">
        <v>8064</v>
      </c>
    </row>
    <row r="8" spans="1:15" x14ac:dyDescent="0.25">
      <c r="A8" t="s">
        <v>3894</v>
      </c>
      <c r="B8" t="s">
        <v>176</v>
      </c>
      <c r="C8" t="s">
        <v>3743</v>
      </c>
      <c r="D8" t="s">
        <v>3744</v>
      </c>
      <c r="E8" t="s">
        <v>1294</v>
      </c>
      <c r="F8">
        <v>1</v>
      </c>
      <c r="G8">
        <v>3</v>
      </c>
      <c r="H8" t="s">
        <v>3756</v>
      </c>
      <c r="I8" t="s">
        <v>3895</v>
      </c>
      <c r="J8" t="s">
        <v>3459</v>
      </c>
      <c r="K8" t="s">
        <v>3894</v>
      </c>
      <c r="N8" t="s">
        <v>8064</v>
      </c>
    </row>
    <row r="9" spans="1:15" x14ac:dyDescent="0.25">
      <c r="A9" t="s">
        <v>3896</v>
      </c>
      <c r="B9" t="s">
        <v>176</v>
      </c>
      <c r="C9" t="s">
        <v>3743</v>
      </c>
      <c r="D9" t="s">
        <v>3744</v>
      </c>
      <c r="E9" t="s">
        <v>160</v>
      </c>
      <c r="F9">
        <v>1</v>
      </c>
      <c r="G9">
        <v>3</v>
      </c>
      <c r="H9" t="s">
        <v>3839</v>
      </c>
      <c r="I9" t="s">
        <v>3897</v>
      </c>
      <c r="J9" t="s">
        <v>3459</v>
      </c>
      <c r="K9" t="s">
        <v>3896</v>
      </c>
      <c r="N9" t="s">
        <v>8064</v>
      </c>
    </row>
    <row r="10" spans="1:15" x14ac:dyDescent="0.25">
      <c r="A10" t="s">
        <v>7905</v>
      </c>
      <c r="B10" t="s">
        <v>176</v>
      </c>
      <c r="C10" t="s">
        <v>3743</v>
      </c>
      <c r="D10" t="s">
        <v>3744</v>
      </c>
      <c r="E10" t="s">
        <v>2619</v>
      </c>
      <c r="F10">
        <v>1</v>
      </c>
      <c r="G10">
        <v>3</v>
      </c>
      <c r="H10" t="s">
        <v>3752</v>
      </c>
      <c r="I10" t="s">
        <v>7906</v>
      </c>
      <c r="J10" t="s">
        <v>3459</v>
      </c>
      <c r="K10" t="s">
        <v>7907</v>
      </c>
      <c r="N10" t="s">
        <v>8064</v>
      </c>
    </row>
    <row r="11" spans="1:15" x14ac:dyDescent="0.25">
      <c r="A11" t="s">
        <v>3898</v>
      </c>
      <c r="B11" t="s">
        <v>176</v>
      </c>
      <c r="C11" t="s">
        <v>3777</v>
      </c>
      <c r="D11" t="s">
        <v>3899</v>
      </c>
      <c r="E11" t="s">
        <v>1294</v>
      </c>
      <c r="F11">
        <v>1</v>
      </c>
      <c r="G11">
        <v>5</v>
      </c>
      <c r="H11" t="s">
        <v>3756</v>
      </c>
      <c r="I11" t="s">
        <v>3900</v>
      </c>
      <c r="J11" t="s">
        <v>3459</v>
      </c>
      <c r="K11" t="s">
        <v>3898</v>
      </c>
      <c r="N11" t="s">
        <v>8064</v>
      </c>
    </row>
    <row r="12" spans="1:15" x14ac:dyDescent="0.25">
      <c r="A12" t="s">
        <v>3901</v>
      </c>
      <c r="B12" t="s">
        <v>176</v>
      </c>
      <c r="C12" t="s">
        <v>3777</v>
      </c>
      <c r="D12" t="s">
        <v>3744</v>
      </c>
      <c r="E12" t="s">
        <v>160</v>
      </c>
      <c r="F12">
        <v>1</v>
      </c>
      <c r="G12">
        <v>5</v>
      </c>
      <c r="H12" t="s">
        <v>3752</v>
      </c>
      <c r="I12" t="s">
        <v>3902</v>
      </c>
      <c r="J12" t="s">
        <v>3459</v>
      </c>
      <c r="K12" t="s">
        <v>3903</v>
      </c>
      <c r="N12" t="s">
        <v>8064</v>
      </c>
    </row>
    <row r="13" spans="1:15" x14ac:dyDescent="0.25">
      <c r="A13" t="s">
        <v>7888</v>
      </c>
      <c r="B13" t="s">
        <v>176</v>
      </c>
      <c r="C13" t="s">
        <v>3777</v>
      </c>
      <c r="D13" t="s">
        <v>3744</v>
      </c>
      <c r="E13" t="s">
        <v>1046</v>
      </c>
      <c r="F13">
        <v>1</v>
      </c>
      <c r="G13">
        <v>5</v>
      </c>
      <c r="H13" t="s">
        <v>3752</v>
      </c>
      <c r="I13" t="s">
        <v>7889</v>
      </c>
      <c r="J13" t="s">
        <v>3459</v>
      </c>
      <c r="K13" t="s">
        <v>7890</v>
      </c>
      <c r="L13" t="s">
        <v>7891</v>
      </c>
      <c r="N13" t="s">
        <v>8064</v>
      </c>
    </row>
    <row r="14" spans="1:15" x14ac:dyDescent="0.25">
      <c r="A14" t="s">
        <v>3904</v>
      </c>
      <c r="B14" t="s">
        <v>176</v>
      </c>
      <c r="C14" t="s">
        <v>3777</v>
      </c>
      <c r="D14" t="s">
        <v>3744</v>
      </c>
      <c r="E14" t="s">
        <v>1029</v>
      </c>
      <c r="F14">
        <v>1</v>
      </c>
      <c r="G14">
        <v>5</v>
      </c>
      <c r="H14" t="s">
        <v>3752</v>
      </c>
      <c r="I14" t="s">
        <v>3905</v>
      </c>
      <c r="J14" t="s">
        <v>7448</v>
      </c>
      <c r="K14" t="s">
        <v>3906</v>
      </c>
      <c r="N14" t="s">
        <v>8064</v>
      </c>
    </row>
    <row r="15" spans="1:15" x14ac:dyDescent="0.25">
      <c r="A15" t="s">
        <v>3907</v>
      </c>
      <c r="B15" t="s">
        <v>176</v>
      </c>
      <c r="C15" t="s">
        <v>3777</v>
      </c>
      <c r="D15" t="s">
        <v>3744</v>
      </c>
      <c r="E15" t="s">
        <v>1298</v>
      </c>
      <c r="F15">
        <v>1</v>
      </c>
      <c r="G15">
        <v>5</v>
      </c>
      <c r="H15" t="s">
        <v>3752</v>
      </c>
      <c r="I15" t="s">
        <v>3908</v>
      </c>
      <c r="J15" t="s">
        <v>3459</v>
      </c>
      <c r="K15" t="s">
        <v>3907</v>
      </c>
      <c r="N15" t="s">
        <v>8064</v>
      </c>
    </row>
    <row r="16" spans="1:15" x14ac:dyDescent="0.25">
      <c r="A16" t="s">
        <v>7903</v>
      </c>
      <c r="B16" t="s">
        <v>176</v>
      </c>
      <c r="C16" t="s">
        <v>3777</v>
      </c>
      <c r="D16" t="s">
        <v>7904</v>
      </c>
      <c r="E16" t="s">
        <v>1046</v>
      </c>
      <c r="F16">
        <v>1</v>
      </c>
      <c r="G16">
        <v>5</v>
      </c>
      <c r="H16" t="s">
        <v>3752</v>
      </c>
      <c r="I16" t="s">
        <v>7902</v>
      </c>
      <c r="J16" t="s">
        <v>3459</v>
      </c>
      <c r="K16" t="s">
        <v>7903</v>
      </c>
      <c r="N16" t="s">
        <v>8064</v>
      </c>
    </row>
    <row r="17" spans="1:14" x14ac:dyDescent="0.25">
      <c r="A17" t="s">
        <v>3469</v>
      </c>
      <c r="B17" t="s">
        <v>176</v>
      </c>
      <c r="C17" t="s">
        <v>3791</v>
      </c>
      <c r="D17" t="s">
        <v>3744</v>
      </c>
      <c r="E17" t="s">
        <v>160</v>
      </c>
      <c r="F17">
        <v>1</v>
      </c>
      <c r="G17">
        <v>7</v>
      </c>
      <c r="H17" t="s">
        <v>3745</v>
      </c>
      <c r="I17" t="s">
        <v>3909</v>
      </c>
      <c r="J17" t="s">
        <v>3459</v>
      </c>
      <c r="K17" t="s">
        <v>3469</v>
      </c>
      <c r="N17" t="s">
        <v>8064</v>
      </c>
    </row>
    <row r="18" spans="1:14" x14ac:dyDescent="0.25">
      <c r="A18" t="s">
        <v>3910</v>
      </c>
      <c r="B18" t="s">
        <v>176</v>
      </c>
      <c r="C18" t="s">
        <v>3911</v>
      </c>
      <c r="D18" t="s">
        <v>3788</v>
      </c>
      <c r="E18" t="s">
        <v>1046</v>
      </c>
      <c r="F18">
        <v>1</v>
      </c>
      <c r="G18">
        <v>9</v>
      </c>
      <c r="H18" t="s">
        <v>3745</v>
      </c>
      <c r="I18" t="s">
        <v>3912</v>
      </c>
      <c r="J18" t="s">
        <v>3459</v>
      </c>
      <c r="K18" t="s">
        <v>3910</v>
      </c>
      <c r="L18" t="s">
        <v>3763</v>
      </c>
      <c r="N18" t="s">
        <v>8064</v>
      </c>
    </row>
    <row r="19" spans="1:14" x14ac:dyDescent="0.25">
      <c r="A19" t="s">
        <v>7908</v>
      </c>
      <c r="B19" t="s">
        <v>176</v>
      </c>
      <c r="C19" t="s">
        <v>3911</v>
      </c>
      <c r="D19" t="s">
        <v>3793</v>
      </c>
      <c r="E19" t="s">
        <v>709</v>
      </c>
      <c r="F19">
        <v>1</v>
      </c>
      <c r="G19">
        <v>9</v>
      </c>
      <c r="H19" t="s">
        <v>3752</v>
      </c>
      <c r="I19" t="s">
        <v>7909</v>
      </c>
      <c r="J19" t="s">
        <v>3459</v>
      </c>
      <c r="K19" t="s">
        <v>7910</v>
      </c>
      <c r="N19" t="s">
        <v>8064</v>
      </c>
    </row>
    <row r="20" spans="1:14" x14ac:dyDescent="0.25">
      <c r="A20" t="s">
        <v>7898</v>
      </c>
      <c r="B20" t="s">
        <v>182</v>
      </c>
      <c r="C20" t="s">
        <v>3743</v>
      </c>
      <c r="D20" t="s">
        <v>3744</v>
      </c>
      <c r="E20" t="s">
        <v>90</v>
      </c>
      <c r="F20">
        <v>1</v>
      </c>
      <c r="G20">
        <v>3</v>
      </c>
      <c r="H20" t="s">
        <v>3752</v>
      </c>
      <c r="I20" t="s">
        <v>7897</v>
      </c>
      <c r="J20" t="s">
        <v>3459</v>
      </c>
      <c r="K20" t="s">
        <v>7899</v>
      </c>
      <c r="N20" t="s">
        <v>8064</v>
      </c>
    </row>
    <row r="21" spans="1:14" x14ac:dyDescent="0.25">
      <c r="A21" t="s">
        <v>3913</v>
      </c>
      <c r="B21" t="s">
        <v>182</v>
      </c>
      <c r="C21" t="s">
        <v>3743</v>
      </c>
      <c r="D21" t="s">
        <v>3793</v>
      </c>
      <c r="E21" t="s">
        <v>90</v>
      </c>
      <c r="F21">
        <v>1</v>
      </c>
      <c r="G21">
        <v>3</v>
      </c>
      <c r="H21" t="s">
        <v>3752</v>
      </c>
      <c r="I21" t="s">
        <v>3914</v>
      </c>
      <c r="J21" t="s">
        <v>3459</v>
      </c>
      <c r="K21" t="s">
        <v>3915</v>
      </c>
      <c r="N21" t="s">
        <v>8064</v>
      </c>
    </row>
    <row r="22" spans="1:14" x14ac:dyDescent="0.25">
      <c r="A22" t="s">
        <v>3916</v>
      </c>
      <c r="B22" t="s">
        <v>182</v>
      </c>
      <c r="C22" t="s">
        <v>3743</v>
      </c>
      <c r="D22" t="s">
        <v>3744</v>
      </c>
      <c r="E22" t="s">
        <v>38</v>
      </c>
      <c r="F22">
        <v>1</v>
      </c>
      <c r="G22">
        <v>3</v>
      </c>
      <c r="H22" t="s">
        <v>3752</v>
      </c>
      <c r="I22" t="s">
        <v>3917</v>
      </c>
      <c r="J22" t="s">
        <v>7413</v>
      </c>
      <c r="K22" t="s">
        <v>3916</v>
      </c>
      <c r="N22" t="s">
        <v>8064</v>
      </c>
    </row>
    <row r="23" spans="1:14" x14ac:dyDescent="0.25">
      <c r="A23" t="s">
        <v>3918</v>
      </c>
      <c r="B23" t="s">
        <v>182</v>
      </c>
      <c r="C23" t="s">
        <v>3777</v>
      </c>
      <c r="D23" t="s">
        <v>3744</v>
      </c>
      <c r="E23" t="s">
        <v>353</v>
      </c>
      <c r="F23">
        <v>1</v>
      </c>
      <c r="G23">
        <v>5</v>
      </c>
      <c r="H23" t="s">
        <v>3833</v>
      </c>
      <c r="I23" t="s">
        <v>8079</v>
      </c>
      <c r="J23" t="s">
        <v>3459</v>
      </c>
      <c r="K23" t="s">
        <v>3919</v>
      </c>
      <c r="N23" t="s">
        <v>8065</v>
      </c>
    </row>
    <row r="24" spans="1:14" x14ac:dyDescent="0.25">
      <c r="A24" t="s">
        <v>3920</v>
      </c>
      <c r="B24" t="s">
        <v>182</v>
      </c>
      <c r="C24" t="s">
        <v>3777</v>
      </c>
      <c r="D24" t="s">
        <v>3744</v>
      </c>
      <c r="E24" t="s">
        <v>353</v>
      </c>
      <c r="F24">
        <v>1</v>
      </c>
      <c r="G24">
        <v>5</v>
      </c>
      <c r="H24" t="s">
        <v>3833</v>
      </c>
      <c r="I24" t="s">
        <v>8082</v>
      </c>
      <c r="J24" t="s">
        <v>3459</v>
      </c>
      <c r="K24" t="s">
        <v>3921</v>
      </c>
      <c r="N24" t="s">
        <v>8065</v>
      </c>
    </row>
    <row r="25" spans="1:14" x14ac:dyDescent="0.25">
      <c r="A25" t="s">
        <v>3922</v>
      </c>
      <c r="B25" t="s">
        <v>182</v>
      </c>
      <c r="C25" t="s">
        <v>3777</v>
      </c>
      <c r="D25" t="s">
        <v>3744</v>
      </c>
      <c r="E25" t="s">
        <v>353</v>
      </c>
      <c r="F25">
        <v>1</v>
      </c>
      <c r="G25">
        <v>5</v>
      </c>
      <c r="H25" t="s">
        <v>3833</v>
      </c>
      <c r="I25" t="s">
        <v>8080</v>
      </c>
      <c r="J25" t="s">
        <v>3459</v>
      </c>
      <c r="K25" t="s">
        <v>3923</v>
      </c>
      <c r="N25" t="s">
        <v>8065</v>
      </c>
    </row>
    <row r="26" spans="1:14" x14ac:dyDescent="0.25">
      <c r="A26" t="s">
        <v>3924</v>
      </c>
      <c r="B26" t="s">
        <v>182</v>
      </c>
      <c r="C26" t="s">
        <v>3777</v>
      </c>
      <c r="D26" t="s">
        <v>3793</v>
      </c>
      <c r="E26" t="s">
        <v>38</v>
      </c>
      <c r="F26">
        <v>1</v>
      </c>
      <c r="G26">
        <v>5</v>
      </c>
      <c r="H26" t="s">
        <v>3745</v>
      </c>
      <c r="I26" t="s">
        <v>3925</v>
      </c>
      <c r="J26" t="s">
        <v>7464</v>
      </c>
      <c r="K26" t="s">
        <v>3926</v>
      </c>
      <c r="N26" t="s">
        <v>8064</v>
      </c>
    </row>
    <row r="27" spans="1:14" x14ac:dyDescent="0.25">
      <c r="A27" t="s">
        <v>3927</v>
      </c>
      <c r="B27" t="s">
        <v>182</v>
      </c>
      <c r="C27" t="s">
        <v>3777</v>
      </c>
      <c r="D27" t="s">
        <v>3744</v>
      </c>
      <c r="E27" t="s">
        <v>353</v>
      </c>
      <c r="F27">
        <v>1</v>
      </c>
      <c r="G27">
        <v>5</v>
      </c>
      <c r="H27" t="s">
        <v>3833</v>
      </c>
      <c r="I27" t="s">
        <v>8081</v>
      </c>
      <c r="J27" t="s">
        <v>3459</v>
      </c>
      <c r="K27" t="s">
        <v>3928</v>
      </c>
      <c r="N27" t="s">
        <v>8065</v>
      </c>
    </row>
    <row r="28" spans="1:14" x14ac:dyDescent="0.25">
      <c r="A28" t="s">
        <v>3929</v>
      </c>
      <c r="B28" t="s">
        <v>182</v>
      </c>
      <c r="C28" t="s">
        <v>3791</v>
      </c>
      <c r="D28" t="s">
        <v>3744</v>
      </c>
      <c r="E28" t="s">
        <v>353</v>
      </c>
      <c r="F28">
        <v>1</v>
      </c>
      <c r="G28">
        <v>7</v>
      </c>
      <c r="H28" t="s">
        <v>3833</v>
      </c>
      <c r="I28" t="s">
        <v>8095</v>
      </c>
      <c r="J28" t="s">
        <v>3459</v>
      </c>
      <c r="K28" t="s">
        <v>3931</v>
      </c>
      <c r="N28" t="s">
        <v>8065</v>
      </c>
    </row>
    <row r="29" spans="1:14" x14ac:dyDescent="0.25">
      <c r="A29" t="s">
        <v>7900</v>
      </c>
      <c r="B29" t="s">
        <v>182</v>
      </c>
      <c r="C29" t="s">
        <v>3791</v>
      </c>
      <c r="D29" t="s">
        <v>3744</v>
      </c>
      <c r="E29" t="s">
        <v>353</v>
      </c>
      <c r="F29">
        <v>1</v>
      </c>
      <c r="G29">
        <v>7</v>
      </c>
      <c r="H29" t="s">
        <v>3833</v>
      </c>
      <c r="I29" t="s">
        <v>8087</v>
      </c>
      <c r="J29" t="s">
        <v>3459</v>
      </c>
      <c r="K29" t="s">
        <v>7901</v>
      </c>
      <c r="N29" t="s">
        <v>8065</v>
      </c>
    </row>
    <row r="30" spans="1:14" x14ac:dyDescent="0.25">
      <c r="A30" t="s">
        <v>3932</v>
      </c>
      <c r="B30" t="s">
        <v>182</v>
      </c>
      <c r="C30" t="s">
        <v>3791</v>
      </c>
      <c r="D30" t="s">
        <v>3744</v>
      </c>
      <c r="E30" t="s">
        <v>90</v>
      </c>
      <c r="F30">
        <v>1</v>
      </c>
      <c r="G30">
        <v>7</v>
      </c>
      <c r="H30" t="s">
        <v>3833</v>
      </c>
      <c r="I30" t="s">
        <v>3933</v>
      </c>
      <c r="J30" t="s">
        <v>7434</v>
      </c>
      <c r="K30" t="s">
        <v>3934</v>
      </c>
      <c r="N30" t="s">
        <v>8065</v>
      </c>
    </row>
    <row r="31" spans="1:14" x14ac:dyDescent="0.25">
      <c r="A31" t="s">
        <v>3935</v>
      </c>
      <c r="B31" t="s">
        <v>182</v>
      </c>
      <c r="C31" t="s">
        <v>3911</v>
      </c>
      <c r="D31" t="s">
        <v>3793</v>
      </c>
      <c r="E31" t="s">
        <v>90</v>
      </c>
      <c r="F31">
        <v>1</v>
      </c>
      <c r="G31">
        <v>9</v>
      </c>
      <c r="H31" t="s">
        <v>3752</v>
      </c>
      <c r="I31" t="s">
        <v>3936</v>
      </c>
      <c r="J31" t="s">
        <v>7461</v>
      </c>
      <c r="K31" t="s">
        <v>3937</v>
      </c>
      <c r="N31" t="s">
        <v>8064</v>
      </c>
    </row>
    <row r="32" spans="1:14" x14ac:dyDescent="0.25">
      <c r="A32" t="s">
        <v>3938</v>
      </c>
      <c r="B32" t="s">
        <v>222</v>
      </c>
      <c r="C32" t="s">
        <v>3743</v>
      </c>
      <c r="D32" t="s">
        <v>3793</v>
      </c>
      <c r="E32" t="s">
        <v>1129</v>
      </c>
      <c r="F32">
        <v>1</v>
      </c>
      <c r="G32">
        <v>3</v>
      </c>
      <c r="H32" t="s">
        <v>3745</v>
      </c>
      <c r="I32" t="s">
        <v>3939</v>
      </c>
      <c r="J32" t="s">
        <v>3459</v>
      </c>
      <c r="K32" t="s">
        <v>3940</v>
      </c>
      <c r="L32" t="s">
        <v>3771</v>
      </c>
      <c r="N32" t="s">
        <v>8064</v>
      </c>
    </row>
    <row r="33" spans="1:14" x14ac:dyDescent="0.25">
      <c r="A33" t="s">
        <v>3941</v>
      </c>
      <c r="B33" t="s">
        <v>222</v>
      </c>
      <c r="C33" t="s">
        <v>3743</v>
      </c>
      <c r="D33" t="s">
        <v>3744</v>
      </c>
      <c r="E33" t="s">
        <v>501</v>
      </c>
      <c r="F33">
        <v>1</v>
      </c>
      <c r="G33">
        <v>3</v>
      </c>
      <c r="H33" t="s">
        <v>3752</v>
      </c>
      <c r="I33" t="s">
        <v>3942</v>
      </c>
      <c r="J33" t="s">
        <v>7455</v>
      </c>
      <c r="K33" t="s">
        <v>3941</v>
      </c>
      <c r="L33" t="s">
        <v>3676</v>
      </c>
      <c r="N33" t="s">
        <v>8064</v>
      </c>
    </row>
    <row r="34" spans="1:14" x14ac:dyDescent="0.25">
      <c r="A34" t="s">
        <v>3943</v>
      </c>
      <c r="B34" t="s">
        <v>222</v>
      </c>
      <c r="C34" t="s">
        <v>3743</v>
      </c>
      <c r="D34" t="s">
        <v>3744</v>
      </c>
      <c r="E34" t="s">
        <v>1649</v>
      </c>
      <c r="F34">
        <v>1</v>
      </c>
      <c r="G34">
        <v>3</v>
      </c>
      <c r="H34" t="s">
        <v>3752</v>
      </c>
      <c r="I34" t="s">
        <v>3944</v>
      </c>
      <c r="J34" t="s">
        <v>3459</v>
      </c>
      <c r="K34" t="s">
        <v>3943</v>
      </c>
      <c r="L34" t="s">
        <v>3864</v>
      </c>
      <c r="N34" t="s">
        <v>8064</v>
      </c>
    </row>
    <row r="35" spans="1:14" x14ac:dyDescent="0.25">
      <c r="A35" t="s">
        <v>3945</v>
      </c>
      <c r="B35" t="s">
        <v>222</v>
      </c>
      <c r="C35" t="s">
        <v>3743</v>
      </c>
      <c r="D35" t="s">
        <v>3793</v>
      </c>
      <c r="E35" t="s">
        <v>501</v>
      </c>
      <c r="F35">
        <v>1</v>
      </c>
      <c r="G35">
        <v>3</v>
      </c>
      <c r="H35" t="s">
        <v>3756</v>
      </c>
      <c r="I35" t="s">
        <v>3946</v>
      </c>
      <c r="J35" t="s">
        <v>3459</v>
      </c>
      <c r="K35" t="s">
        <v>3945</v>
      </c>
      <c r="L35" t="s">
        <v>3847</v>
      </c>
      <c r="N35" t="s">
        <v>8064</v>
      </c>
    </row>
    <row r="36" spans="1:14" x14ac:dyDescent="0.25">
      <c r="A36" t="s">
        <v>3947</v>
      </c>
      <c r="B36" t="s">
        <v>222</v>
      </c>
      <c r="C36" t="s">
        <v>3743</v>
      </c>
      <c r="D36" t="s">
        <v>3744</v>
      </c>
      <c r="E36" t="s">
        <v>1649</v>
      </c>
      <c r="F36">
        <v>1</v>
      </c>
      <c r="G36">
        <v>3</v>
      </c>
      <c r="H36" t="s">
        <v>3752</v>
      </c>
      <c r="I36" t="s">
        <v>3948</v>
      </c>
      <c r="J36" t="s">
        <v>7447</v>
      </c>
      <c r="K36" t="s">
        <v>3947</v>
      </c>
      <c r="L36" t="s">
        <v>3864</v>
      </c>
      <c r="N36" t="s">
        <v>8064</v>
      </c>
    </row>
    <row r="37" spans="1:14" x14ac:dyDescent="0.25">
      <c r="A37" t="s">
        <v>3949</v>
      </c>
      <c r="B37" t="s">
        <v>222</v>
      </c>
      <c r="C37" t="s">
        <v>3743</v>
      </c>
      <c r="D37" t="s">
        <v>3744</v>
      </c>
      <c r="E37" t="s">
        <v>501</v>
      </c>
      <c r="F37">
        <v>1</v>
      </c>
      <c r="G37">
        <v>3</v>
      </c>
      <c r="H37" t="s">
        <v>3745</v>
      </c>
      <c r="I37" t="s">
        <v>3950</v>
      </c>
      <c r="J37" t="s">
        <v>3459</v>
      </c>
      <c r="K37" t="s">
        <v>3951</v>
      </c>
      <c r="N37" t="s">
        <v>8064</v>
      </c>
    </row>
    <row r="38" spans="1:14" x14ac:dyDescent="0.25">
      <c r="A38" t="s">
        <v>7912</v>
      </c>
      <c r="B38" t="s">
        <v>222</v>
      </c>
      <c r="C38" t="s">
        <v>3777</v>
      </c>
      <c r="D38" t="s">
        <v>3788</v>
      </c>
      <c r="E38" t="s">
        <v>1649</v>
      </c>
      <c r="F38">
        <v>1</v>
      </c>
      <c r="G38">
        <v>5</v>
      </c>
      <c r="H38" t="s">
        <v>3752</v>
      </c>
      <c r="I38" t="s">
        <v>7913</v>
      </c>
      <c r="J38" t="s">
        <v>3459</v>
      </c>
      <c r="K38" t="s">
        <v>7911</v>
      </c>
      <c r="L38" t="s">
        <v>7914</v>
      </c>
      <c r="N38" t="s">
        <v>8064</v>
      </c>
    </row>
    <row r="39" spans="1:14" x14ac:dyDescent="0.25">
      <c r="A39" t="s">
        <v>3952</v>
      </c>
      <c r="B39" t="s">
        <v>222</v>
      </c>
      <c r="C39" t="s">
        <v>3777</v>
      </c>
      <c r="D39" t="s">
        <v>3744</v>
      </c>
      <c r="E39" t="s">
        <v>1649</v>
      </c>
      <c r="F39">
        <v>1</v>
      </c>
      <c r="G39">
        <v>5</v>
      </c>
      <c r="H39" t="s">
        <v>3752</v>
      </c>
      <c r="I39" t="s">
        <v>3953</v>
      </c>
      <c r="J39" t="s">
        <v>3459</v>
      </c>
      <c r="K39" t="s">
        <v>3952</v>
      </c>
      <c r="N39" t="s">
        <v>8064</v>
      </c>
    </row>
    <row r="40" spans="1:14" x14ac:dyDescent="0.25">
      <c r="A40" t="s">
        <v>7430</v>
      </c>
      <c r="B40" t="s">
        <v>222</v>
      </c>
      <c r="C40" t="s">
        <v>3777</v>
      </c>
      <c r="D40" t="s">
        <v>3793</v>
      </c>
      <c r="E40" t="s">
        <v>1649</v>
      </c>
      <c r="F40">
        <v>1</v>
      </c>
      <c r="G40">
        <v>5</v>
      </c>
      <c r="H40" t="s">
        <v>7470</v>
      </c>
      <c r="I40" t="s">
        <v>8096</v>
      </c>
      <c r="J40" t="s">
        <v>7459</v>
      </c>
      <c r="K40" t="s">
        <v>7471</v>
      </c>
      <c r="L40" t="s">
        <v>3864</v>
      </c>
      <c r="M40">
        <v>3</v>
      </c>
      <c r="N40" t="s">
        <v>8064</v>
      </c>
    </row>
    <row r="41" spans="1:14" x14ac:dyDescent="0.25">
      <c r="A41" t="s">
        <v>3954</v>
      </c>
      <c r="B41" t="s">
        <v>222</v>
      </c>
      <c r="C41" t="s">
        <v>3777</v>
      </c>
      <c r="D41" t="s">
        <v>3899</v>
      </c>
      <c r="E41" t="s">
        <v>1649</v>
      </c>
      <c r="F41">
        <v>1</v>
      </c>
      <c r="G41">
        <v>5</v>
      </c>
      <c r="H41" t="s">
        <v>3756</v>
      </c>
      <c r="I41" t="s">
        <v>3955</v>
      </c>
      <c r="J41" t="s">
        <v>7464</v>
      </c>
      <c r="K41" t="s">
        <v>3956</v>
      </c>
      <c r="N41" t="s">
        <v>8064</v>
      </c>
    </row>
    <row r="42" spans="1:14" x14ac:dyDescent="0.25">
      <c r="A42" t="s">
        <v>3957</v>
      </c>
      <c r="B42" t="s">
        <v>222</v>
      </c>
      <c r="C42" t="s">
        <v>3777</v>
      </c>
      <c r="D42" t="s">
        <v>3744</v>
      </c>
      <c r="E42" t="s">
        <v>1649</v>
      </c>
      <c r="F42">
        <v>1</v>
      </c>
      <c r="G42">
        <v>5</v>
      </c>
      <c r="H42" t="s">
        <v>3752</v>
      </c>
      <c r="I42" t="s">
        <v>3958</v>
      </c>
      <c r="J42" t="s">
        <v>3459</v>
      </c>
      <c r="K42" t="s">
        <v>3957</v>
      </c>
      <c r="L42" t="s">
        <v>3864</v>
      </c>
      <c r="N42" t="s">
        <v>8064</v>
      </c>
    </row>
    <row r="43" spans="1:14" x14ac:dyDescent="0.25">
      <c r="A43" t="s">
        <v>3959</v>
      </c>
      <c r="B43" t="s">
        <v>222</v>
      </c>
      <c r="C43" t="s">
        <v>3791</v>
      </c>
      <c r="D43" t="s">
        <v>3960</v>
      </c>
      <c r="E43" t="s">
        <v>1649</v>
      </c>
      <c r="F43">
        <v>1</v>
      </c>
      <c r="G43">
        <v>7</v>
      </c>
      <c r="H43" t="s">
        <v>3839</v>
      </c>
      <c r="I43" t="s">
        <v>3961</v>
      </c>
      <c r="J43" t="s">
        <v>7381</v>
      </c>
      <c r="K43" t="s">
        <v>3962</v>
      </c>
      <c r="N43" t="s">
        <v>8064</v>
      </c>
    </row>
    <row r="44" spans="1:14" x14ac:dyDescent="0.25">
      <c r="A44" t="s">
        <v>3963</v>
      </c>
      <c r="B44" t="s">
        <v>222</v>
      </c>
      <c r="C44" t="s">
        <v>3791</v>
      </c>
      <c r="D44" t="s">
        <v>3793</v>
      </c>
      <c r="E44" t="s">
        <v>1649</v>
      </c>
      <c r="F44">
        <v>1</v>
      </c>
      <c r="G44">
        <v>7</v>
      </c>
      <c r="H44" t="s">
        <v>3756</v>
      </c>
      <c r="I44" t="s">
        <v>3964</v>
      </c>
      <c r="J44" t="s">
        <v>7451</v>
      </c>
      <c r="K44" t="s">
        <v>3965</v>
      </c>
      <c r="N44" t="s">
        <v>8064</v>
      </c>
    </row>
    <row r="45" spans="1:14" x14ac:dyDescent="0.25">
      <c r="A45" t="s">
        <v>3966</v>
      </c>
      <c r="B45" t="s">
        <v>222</v>
      </c>
      <c r="C45" t="s">
        <v>3911</v>
      </c>
      <c r="D45" t="s">
        <v>3793</v>
      </c>
      <c r="E45" t="s">
        <v>1649</v>
      </c>
      <c r="F45">
        <v>1</v>
      </c>
      <c r="G45">
        <v>9</v>
      </c>
      <c r="H45" t="s">
        <v>3745</v>
      </c>
      <c r="I45" t="s">
        <v>8070</v>
      </c>
      <c r="J45" t="s">
        <v>3459</v>
      </c>
      <c r="K45" t="s">
        <v>3967</v>
      </c>
      <c r="L45" t="s">
        <v>3968</v>
      </c>
      <c r="N45" t="s">
        <v>8064</v>
      </c>
    </row>
    <row r="46" spans="1:14" x14ac:dyDescent="0.25">
      <c r="A46" t="s">
        <v>3969</v>
      </c>
      <c r="B46" t="s">
        <v>179</v>
      </c>
      <c r="C46" t="s">
        <v>3743</v>
      </c>
      <c r="D46" t="s">
        <v>3744</v>
      </c>
      <c r="E46" t="s">
        <v>689</v>
      </c>
      <c r="F46">
        <v>1</v>
      </c>
      <c r="G46">
        <v>3</v>
      </c>
      <c r="H46" t="s">
        <v>3833</v>
      </c>
      <c r="I46" t="s">
        <v>8075</v>
      </c>
      <c r="J46" t="s">
        <v>3459</v>
      </c>
      <c r="K46" t="s">
        <v>3969</v>
      </c>
      <c r="N46" t="s">
        <v>8065</v>
      </c>
    </row>
    <row r="47" spans="1:14" x14ac:dyDescent="0.25">
      <c r="A47" t="s">
        <v>3970</v>
      </c>
      <c r="B47" t="s">
        <v>179</v>
      </c>
      <c r="C47" t="s">
        <v>3777</v>
      </c>
      <c r="D47" t="s">
        <v>3744</v>
      </c>
      <c r="E47" t="s">
        <v>689</v>
      </c>
      <c r="F47">
        <v>1</v>
      </c>
      <c r="G47">
        <v>5</v>
      </c>
      <c r="H47" t="s">
        <v>3833</v>
      </c>
      <c r="I47" t="s">
        <v>8075</v>
      </c>
      <c r="J47" t="s">
        <v>3459</v>
      </c>
      <c r="K47" t="s">
        <v>3971</v>
      </c>
      <c r="N47" t="s">
        <v>8065</v>
      </c>
    </row>
    <row r="48" spans="1:14" x14ac:dyDescent="0.25">
      <c r="A48" t="s">
        <v>3972</v>
      </c>
      <c r="B48" t="s">
        <v>179</v>
      </c>
      <c r="C48" t="s">
        <v>3791</v>
      </c>
      <c r="D48" t="s">
        <v>3788</v>
      </c>
      <c r="E48" t="s">
        <v>2154</v>
      </c>
      <c r="F48">
        <v>1</v>
      </c>
      <c r="G48">
        <v>7</v>
      </c>
      <c r="H48" t="s">
        <v>3745</v>
      </c>
      <c r="I48" t="s">
        <v>3973</v>
      </c>
      <c r="J48" t="s">
        <v>7457</v>
      </c>
      <c r="K48" t="s">
        <v>3972</v>
      </c>
      <c r="N48" t="s">
        <v>8064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7384</v>
      </c>
      <c r="D1" t="s">
        <v>3454</v>
      </c>
      <c r="E1" t="s">
        <v>3497</v>
      </c>
    </row>
    <row r="2" spans="1:5" x14ac:dyDescent="0.25">
      <c r="A2" t="s">
        <v>7443</v>
      </c>
      <c r="B2" t="s">
        <v>7414</v>
      </c>
      <c r="C2" t="s">
        <v>7445</v>
      </c>
      <c r="D2" t="s">
        <v>7444</v>
      </c>
      <c r="E2" t="s">
        <v>8004</v>
      </c>
    </row>
    <row r="3" spans="1:5" x14ac:dyDescent="0.25">
      <c r="A3" t="s">
        <v>7472</v>
      </c>
      <c r="B3" t="s">
        <v>3681</v>
      </c>
      <c r="C3" t="s">
        <v>3459</v>
      </c>
      <c r="D3" t="s">
        <v>7473</v>
      </c>
      <c r="E3" t="s">
        <v>8005</v>
      </c>
    </row>
    <row r="4" spans="1:5" x14ac:dyDescent="0.25">
      <c r="A4" t="s">
        <v>7433</v>
      </c>
      <c r="B4" t="s">
        <v>3984</v>
      </c>
      <c r="C4" t="s">
        <v>7397</v>
      </c>
      <c r="D4" t="s">
        <v>7436</v>
      </c>
      <c r="E4" t="s">
        <v>8006</v>
      </c>
    </row>
    <row r="5" spans="1:5" x14ac:dyDescent="0.25">
      <c r="A5" t="s">
        <v>7403</v>
      </c>
      <c r="B5" t="s">
        <v>5287</v>
      </c>
      <c r="C5" t="s">
        <v>7392</v>
      </c>
      <c r="D5" t="s">
        <v>7405</v>
      </c>
      <c r="E5" t="s">
        <v>8007</v>
      </c>
    </row>
    <row r="6" spans="1:5" x14ac:dyDescent="0.25">
      <c r="A6" t="s">
        <v>7398</v>
      </c>
      <c r="B6" t="s">
        <v>5723</v>
      </c>
      <c r="C6" t="s">
        <v>7391</v>
      </c>
      <c r="D6" t="s">
        <v>7412</v>
      </c>
      <c r="E6" t="s">
        <v>8008</v>
      </c>
    </row>
    <row r="7" spans="1:5" x14ac:dyDescent="0.25">
      <c r="A7" t="s">
        <v>7449</v>
      </c>
      <c r="B7" t="s">
        <v>5723</v>
      </c>
      <c r="C7" t="s">
        <v>3459</v>
      </c>
      <c r="D7" t="s">
        <v>7463</v>
      </c>
      <c r="E7" t="s">
        <v>8009</v>
      </c>
    </row>
    <row r="8" spans="1:5" x14ac:dyDescent="0.25">
      <c r="A8" t="s">
        <v>7695</v>
      </c>
      <c r="B8" t="s">
        <v>5723</v>
      </c>
      <c r="C8" t="s">
        <v>7696</v>
      </c>
      <c r="D8" t="s">
        <v>7697</v>
      </c>
      <c r="E8" t="s">
        <v>8010</v>
      </c>
    </row>
    <row r="9" spans="1:5" x14ac:dyDescent="0.25">
      <c r="A9" t="s">
        <v>7698</v>
      </c>
      <c r="B9" t="s">
        <v>7385</v>
      </c>
      <c r="C9" t="s">
        <v>7387</v>
      </c>
      <c r="D9" t="s">
        <v>7699</v>
      </c>
      <c r="E9" t="s">
        <v>8011</v>
      </c>
    </row>
    <row r="10" spans="1:5" x14ac:dyDescent="0.25">
      <c r="A10" t="s">
        <v>5203</v>
      </c>
      <c r="B10" t="s">
        <v>7414</v>
      </c>
      <c r="C10" t="s">
        <v>7391</v>
      </c>
      <c r="D10" t="s">
        <v>7415</v>
      </c>
      <c r="E10" t="s">
        <v>8012</v>
      </c>
    </row>
    <row r="11" spans="1:5" x14ac:dyDescent="0.25">
      <c r="A11" t="s">
        <v>7389</v>
      </c>
      <c r="B11" t="s">
        <v>7390</v>
      </c>
      <c r="C11" t="s">
        <v>3459</v>
      </c>
      <c r="D11" t="s">
        <v>7422</v>
      </c>
      <c r="E11" t="s">
        <v>8013</v>
      </c>
    </row>
    <row r="12" spans="1:5" x14ac:dyDescent="0.25">
      <c r="A12" t="s">
        <v>1322</v>
      </c>
      <c r="B12" t="s">
        <v>3984</v>
      </c>
      <c r="C12" t="s">
        <v>7392</v>
      </c>
      <c r="D12" t="s">
        <v>7420</v>
      </c>
      <c r="E12" t="s">
        <v>8014</v>
      </c>
    </row>
    <row r="13" spans="1:5" x14ac:dyDescent="0.25">
      <c r="A13" t="s">
        <v>7411</v>
      </c>
      <c r="B13" t="s">
        <v>5723</v>
      </c>
      <c r="C13" t="s">
        <v>7391</v>
      </c>
      <c r="D13" t="s">
        <v>7474</v>
      </c>
      <c r="E13" t="s">
        <v>8015</v>
      </c>
    </row>
    <row r="14" spans="1:5" x14ac:dyDescent="0.25">
      <c r="A14" t="s">
        <v>7426</v>
      </c>
      <c r="B14" t="s">
        <v>7414</v>
      </c>
      <c r="C14" t="s">
        <v>3459</v>
      </c>
      <c r="D14" t="s">
        <v>7427</v>
      </c>
      <c r="E14" t="s">
        <v>8016</v>
      </c>
    </row>
    <row r="15" spans="1:5" x14ac:dyDescent="0.25">
      <c r="A15" t="s">
        <v>7424</v>
      </c>
      <c r="B15" t="s">
        <v>7385</v>
      </c>
      <c r="C15" t="s">
        <v>7387</v>
      </c>
      <c r="D15" t="s">
        <v>7425</v>
      </c>
      <c r="E15" t="s">
        <v>8017</v>
      </c>
    </row>
    <row r="16" spans="1:5" x14ac:dyDescent="0.25">
      <c r="A16" t="s">
        <v>7407</v>
      </c>
      <c r="B16" t="s">
        <v>3681</v>
      </c>
      <c r="C16" t="s">
        <v>3459</v>
      </c>
      <c r="D16" t="s">
        <v>7409</v>
      </c>
      <c r="E16" t="s">
        <v>8018</v>
      </c>
    </row>
    <row r="17" spans="1:5" x14ac:dyDescent="0.25">
      <c r="A17" t="s">
        <v>7453</v>
      </c>
      <c r="B17" t="s">
        <v>5723</v>
      </c>
      <c r="C17" t="s">
        <v>7397</v>
      </c>
      <c r="D17" t="s">
        <v>7454</v>
      </c>
      <c r="E17" t="s">
        <v>8019</v>
      </c>
    </row>
    <row r="18" spans="1:5" x14ac:dyDescent="0.25">
      <c r="A18" t="s">
        <v>7399</v>
      </c>
      <c r="B18" t="s">
        <v>3984</v>
      </c>
      <c r="C18" t="s">
        <v>3459</v>
      </c>
      <c r="D18" t="s">
        <v>7417</v>
      </c>
      <c r="E18" t="s">
        <v>8020</v>
      </c>
    </row>
    <row r="19" spans="1:5" x14ac:dyDescent="0.25">
      <c r="A19" t="s">
        <v>7413</v>
      </c>
      <c r="B19" t="s">
        <v>5723</v>
      </c>
      <c r="C19" t="s">
        <v>3459</v>
      </c>
      <c r="D19" t="s">
        <v>7475</v>
      </c>
      <c r="E19" t="s">
        <v>8021</v>
      </c>
    </row>
    <row r="20" spans="1:5" x14ac:dyDescent="0.25">
      <c r="A20" t="s">
        <v>7395</v>
      </c>
      <c r="B20" t="s">
        <v>5287</v>
      </c>
      <c r="C20" t="s">
        <v>7397</v>
      </c>
      <c r="D20" t="s">
        <v>7396</v>
      </c>
      <c r="E20" t="s">
        <v>8022</v>
      </c>
    </row>
    <row r="21" spans="1:5" x14ac:dyDescent="0.25">
      <c r="A21" t="s">
        <v>7388</v>
      </c>
      <c r="B21" t="s">
        <v>7385</v>
      </c>
      <c r="C21" t="s">
        <v>7391</v>
      </c>
      <c r="D21" t="s">
        <v>7419</v>
      </c>
      <c r="E21" t="s">
        <v>8023</v>
      </c>
    </row>
    <row r="22" spans="1:5" x14ac:dyDescent="0.25">
      <c r="A22" t="s">
        <v>7386</v>
      </c>
      <c r="B22" t="s">
        <v>7385</v>
      </c>
      <c r="C22" t="s">
        <v>7387</v>
      </c>
      <c r="D22" t="s">
        <v>7421</v>
      </c>
      <c r="E22" t="s">
        <v>8024</v>
      </c>
    </row>
    <row r="23" spans="1:5" x14ac:dyDescent="0.25">
      <c r="A23" t="s">
        <v>7402</v>
      </c>
      <c r="B23" t="s">
        <v>3681</v>
      </c>
      <c r="C23" t="s">
        <v>3459</v>
      </c>
      <c r="D23" t="s">
        <v>7416</v>
      </c>
      <c r="E23" t="s">
        <v>8025</v>
      </c>
    </row>
    <row r="24" spans="1:5" x14ac:dyDescent="0.25">
      <c r="A24" t="s">
        <v>5450</v>
      </c>
      <c r="B24" t="s">
        <v>5723</v>
      </c>
      <c r="C24" t="s">
        <v>7383</v>
      </c>
      <c r="D24" t="s">
        <v>7408</v>
      </c>
      <c r="E24" t="s">
        <v>8026</v>
      </c>
    </row>
    <row r="25" spans="1:5" x14ac:dyDescent="0.25">
      <c r="A25" t="s">
        <v>5263</v>
      </c>
      <c r="B25" t="s">
        <v>5287</v>
      </c>
      <c r="C25" t="s">
        <v>3459</v>
      </c>
      <c r="D25" t="s">
        <v>7404</v>
      </c>
      <c r="E25" t="s">
        <v>8027</v>
      </c>
    </row>
    <row r="26" spans="1:5" x14ac:dyDescent="0.25">
      <c r="A26" t="s">
        <v>7451</v>
      </c>
      <c r="B26" t="s">
        <v>5723</v>
      </c>
      <c r="C26" t="s">
        <v>3459</v>
      </c>
      <c r="D26" t="s">
        <v>7462</v>
      </c>
      <c r="E26" t="s">
        <v>8028</v>
      </c>
    </row>
    <row r="27" spans="1:5" x14ac:dyDescent="0.25">
      <c r="A27" t="s">
        <v>5277</v>
      </c>
      <c r="B27" t="s">
        <v>7414</v>
      </c>
      <c r="C27" t="s">
        <v>7387</v>
      </c>
      <c r="D27" t="s">
        <v>7394</v>
      </c>
      <c r="E27" t="s">
        <v>8029</v>
      </c>
    </row>
    <row r="28" spans="1:5" x14ac:dyDescent="0.25">
      <c r="A28" t="s">
        <v>7393</v>
      </c>
      <c r="B28" t="s">
        <v>3984</v>
      </c>
      <c r="C28" t="s">
        <v>7392</v>
      </c>
      <c r="D28" t="s">
        <v>7418</v>
      </c>
      <c r="E28" t="s">
        <v>8030</v>
      </c>
    </row>
    <row r="29" spans="1:5" x14ac:dyDescent="0.25">
      <c r="A29" t="s">
        <v>7401</v>
      </c>
      <c r="B29" t="s">
        <v>5287</v>
      </c>
      <c r="C29" t="s">
        <v>7400</v>
      </c>
      <c r="D29" t="s">
        <v>7476</v>
      </c>
      <c r="E29" t="s">
        <v>8031</v>
      </c>
    </row>
    <row r="30" spans="1:5" x14ac:dyDescent="0.25">
      <c r="A30" t="s">
        <v>7381</v>
      </c>
      <c r="B30" t="s">
        <v>3681</v>
      </c>
      <c r="C30" t="s">
        <v>3459</v>
      </c>
      <c r="D30" t="s">
        <v>7382</v>
      </c>
      <c r="E30" t="s">
        <v>8032</v>
      </c>
    </row>
    <row r="31" spans="1:5" x14ac:dyDescent="0.25">
      <c r="A31" t="s">
        <v>7431</v>
      </c>
      <c r="B31" t="s">
        <v>7414</v>
      </c>
      <c r="C31" t="s">
        <v>7391</v>
      </c>
      <c r="D31" t="s">
        <v>7432</v>
      </c>
      <c r="E31" t="s">
        <v>8033</v>
      </c>
    </row>
    <row r="32" spans="1:5" x14ac:dyDescent="0.25">
      <c r="A32" t="s">
        <v>7976</v>
      </c>
      <c r="B32" t="s">
        <v>7414</v>
      </c>
      <c r="C32" t="s">
        <v>3459</v>
      </c>
      <c r="D32" t="s">
        <v>7977</v>
      </c>
      <c r="E32" t="s">
        <v>8034</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3974</v>
      </c>
      <c r="E1" t="s">
        <v>3975</v>
      </c>
      <c r="F1" t="s">
        <v>3976</v>
      </c>
      <c r="G1" t="s">
        <v>3977</v>
      </c>
      <c r="H1" t="s">
        <v>3978</v>
      </c>
      <c r="I1" t="s">
        <v>3979</v>
      </c>
      <c r="J1" t="s">
        <v>3980</v>
      </c>
      <c r="K1" t="s">
        <v>3981</v>
      </c>
      <c r="L1" t="s">
        <v>3982</v>
      </c>
      <c r="M1" t="s">
        <v>7</v>
      </c>
    </row>
    <row r="2" spans="1:13" x14ac:dyDescent="0.25">
      <c r="A2" t="s">
        <v>4003</v>
      </c>
      <c r="B2" t="s">
        <v>3993</v>
      </c>
      <c r="C2" t="s">
        <v>501</v>
      </c>
      <c r="D2" t="s">
        <v>8097</v>
      </c>
      <c r="E2" t="s">
        <v>4004</v>
      </c>
      <c r="F2" t="s">
        <v>8098</v>
      </c>
      <c r="G2" t="s">
        <v>4005</v>
      </c>
      <c r="H2" t="s">
        <v>4006</v>
      </c>
      <c r="I2" t="s">
        <v>3997</v>
      </c>
      <c r="J2" t="s">
        <v>187</v>
      </c>
      <c r="K2" t="s">
        <v>4007</v>
      </c>
      <c r="L2" t="s">
        <v>4008</v>
      </c>
      <c r="M2" t="s">
        <v>4003</v>
      </c>
    </row>
    <row r="3" spans="1:13" x14ac:dyDescent="0.25">
      <c r="A3" t="s">
        <v>4000</v>
      </c>
      <c r="B3" t="s">
        <v>3984</v>
      </c>
      <c r="C3" t="s">
        <v>90</v>
      </c>
      <c r="D3" t="s">
        <v>8099</v>
      </c>
      <c r="E3" t="s">
        <v>7481</v>
      </c>
      <c r="F3" t="s">
        <v>8100</v>
      </c>
      <c r="G3" t="s">
        <v>7482</v>
      </c>
      <c r="H3" t="s">
        <v>4001</v>
      </c>
      <c r="I3" t="s">
        <v>3459</v>
      </c>
      <c r="J3" t="s">
        <v>187</v>
      </c>
      <c r="K3" t="s">
        <v>4002</v>
      </c>
      <c r="L3" t="s">
        <v>3987</v>
      </c>
      <c r="M3" t="s">
        <v>4000</v>
      </c>
    </row>
    <row r="4" spans="1:13" x14ac:dyDescent="0.25">
      <c r="A4" t="s">
        <v>3992</v>
      </c>
      <c r="B4" t="s">
        <v>3993</v>
      </c>
      <c r="C4" t="s">
        <v>1649</v>
      </c>
      <c r="D4" t="s">
        <v>8101</v>
      </c>
      <c r="E4" t="s">
        <v>3994</v>
      </c>
      <c r="F4" t="s">
        <v>8102</v>
      </c>
      <c r="G4" t="s">
        <v>3995</v>
      </c>
      <c r="H4" t="s">
        <v>3996</v>
      </c>
      <c r="I4" t="s">
        <v>3997</v>
      </c>
      <c r="J4" t="s">
        <v>3998</v>
      </c>
      <c r="K4" t="s">
        <v>3999</v>
      </c>
      <c r="L4" t="s">
        <v>3987</v>
      </c>
      <c r="M4" t="s">
        <v>3992</v>
      </c>
    </row>
    <row r="5" spans="1:13" x14ac:dyDescent="0.25">
      <c r="A5" t="s">
        <v>3988</v>
      </c>
      <c r="B5" t="s">
        <v>3984</v>
      </c>
      <c r="C5" t="s">
        <v>1649</v>
      </c>
      <c r="D5" t="s">
        <v>8035</v>
      </c>
      <c r="E5" t="s">
        <v>3989</v>
      </c>
      <c r="F5" t="s">
        <v>8103</v>
      </c>
      <c r="G5" t="s">
        <v>8104</v>
      </c>
      <c r="H5" t="s">
        <v>3990</v>
      </c>
      <c r="I5" t="s">
        <v>3459</v>
      </c>
      <c r="J5" t="s">
        <v>187</v>
      </c>
      <c r="K5" t="s">
        <v>3991</v>
      </c>
      <c r="L5" t="s">
        <v>3987</v>
      </c>
      <c r="M5" t="s">
        <v>3988</v>
      </c>
    </row>
    <row r="6" spans="1:13" x14ac:dyDescent="0.25">
      <c r="A6" t="s">
        <v>3983</v>
      </c>
      <c r="B6" t="s">
        <v>3984</v>
      </c>
      <c r="C6" t="s">
        <v>90</v>
      </c>
      <c r="D6" t="s">
        <v>7676</v>
      </c>
      <c r="E6" t="s">
        <v>7483</v>
      </c>
      <c r="F6" t="s">
        <v>8105</v>
      </c>
      <c r="G6" t="s">
        <v>7484</v>
      </c>
      <c r="H6" t="s">
        <v>3985</v>
      </c>
      <c r="I6" t="s">
        <v>3459</v>
      </c>
      <c r="J6" t="s">
        <v>187</v>
      </c>
      <c r="K6" t="s">
        <v>3986</v>
      </c>
      <c r="L6" t="s">
        <v>3987</v>
      </c>
      <c r="M6" t="s">
        <v>3983</v>
      </c>
    </row>
    <row r="7" spans="1:13" x14ac:dyDescent="0.25">
      <c r="A7" t="s">
        <v>5152</v>
      </c>
      <c r="B7" t="s">
        <v>3993</v>
      </c>
      <c r="C7" t="s">
        <v>1649</v>
      </c>
      <c r="D7" t="s">
        <v>8106</v>
      </c>
      <c r="E7" t="s">
        <v>7639</v>
      </c>
      <c r="F7" t="s">
        <v>8107</v>
      </c>
      <c r="G7" t="s">
        <v>7640</v>
      </c>
      <c r="H7" t="s">
        <v>7621</v>
      </c>
      <c r="I7" t="s">
        <v>7622</v>
      </c>
      <c r="J7" t="s">
        <v>187</v>
      </c>
      <c r="K7" t="s">
        <v>7641</v>
      </c>
      <c r="L7" t="s">
        <v>3987</v>
      </c>
      <c r="M7" t="s">
        <v>5152</v>
      </c>
    </row>
    <row r="8" spans="1:13" x14ac:dyDescent="0.25">
      <c r="A8" t="s">
        <v>5281</v>
      </c>
      <c r="B8" t="s">
        <v>3993</v>
      </c>
      <c r="C8" t="s">
        <v>90</v>
      </c>
      <c r="D8" t="s">
        <v>7642</v>
      </c>
      <c r="E8" t="s">
        <v>7643</v>
      </c>
      <c r="F8" t="s">
        <v>7705</v>
      </c>
      <c r="G8" t="s">
        <v>7644</v>
      </c>
      <c r="H8" t="s">
        <v>7619</v>
      </c>
      <c r="I8" t="s">
        <v>7618</v>
      </c>
      <c r="J8" t="s">
        <v>187</v>
      </c>
      <c r="K8" t="s">
        <v>7645</v>
      </c>
      <c r="L8" t="s">
        <v>3987</v>
      </c>
      <c r="M8" t="s">
        <v>5281</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7779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7796</v>
      </c>
      <c r="B6" t="s">
        <v>2698</v>
      </c>
      <c r="C6" t="s">
        <v>39</v>
      </c>
      <c r="F6" t="s">
        <v>40</v>
      </c>
      <c r="G6" t="s">
        <v>41</v>
      </c>
      <c r="H6" t="s">
        <v>7797</v>
      </c>
      <c r="O6" t="s">
        <v>7798</v>
      </c>
      <c r="R6" t="s">
        <v>7799</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7793</v>
      </c>
      <c r="B9" t="s">
        <v>2698</v>
      </c>
      <c r="C9" t="s">
        <v>39</v>
      </c>
      <c r="F9" t="s">
        <v>40</v>
      </c>
      <c r="G9" t="s">
        <v>3503</v>
      </c>
      <c r="H9" t="s">
        <v>7794</v>
      </c>
      <c r="J9" t="s">
        <v>7795</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7780</v>
      </c>
      <c r="B11" t="s">
        <v>38</v>
      </c>
      <c r="C11" t="s">
        <v>39</v>
      </c>
      <c r="E11" t="s">
        <v>7781</v>
      </c>
      <c r="F11" t="s">
        <v>40</v>
      </c>
      <c r="G11" t="s">
        <v>41</v>
      </c>
      <c r="H11" t="s">
        <v>7782</v>
      </c>
      <c r="I11" t="s">
        <v>7783</v>
      </c>
      <c r="O11" t="s">
        <v>7784</v>
      </c>
      <c r="Q11" t="s">
        <v>7785</v>
      </c>
      <c r="R11" t="s">
        <v>7786</v>
      </c>
      <c r="S11" t="s">
        <v>7787</v>
      </c>
      <c r="U11" t="s">
        <v>7788</v>
      </c>
      <c r="V11" t="s">
        <v>7789</v>
      </c>
      <c r="W11" t="s">
        <v>7790</v>
      </c>
      <c r="Y11" t="s">
        <v>7791</v>
      </c>
      <c r="Z11" t="s">
        <v>7792</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7810</v>
      </c>
      <c r="B14" t="s">
        <v>90</v>
      </c>
      <c r="C14" t="s">
        <v>39</v>
      </c>
      <c r="E14" t="s">
        <v>7811</v>
      </c>
      <c r="F14" t="s">
        <v>40</v>
      </c>
      <c r="G14" t="s">
        <v>41</v>
      </c>
      <c r="H14" t="s">
        <v>7812</v>
      </c>
      <c r="I14" t="s">
        <v>7813</v>
      </c>
      <c r="O14" t="s">
        <v>7814</v>
      </c>
      <c r="Q14" t="s">
        <v>7815</v>
      </c>
      <c r="R14" t="s">
        <v>7816</v>
      </c>
      <c r="S14" t="s">
        <v>7817</v>
      </c>
      <c r="U14" t="s">
        <v>7815</v>
      </c>
      <c r="V14" t="s">
        <v>7818</v>
      </c>
      <c r="W14" t="s">
        <v>7819</v>
      </c>
      <c r="Y14" t="s">
        <v>7815</v>
      </c>
      <c r="Z14" t="s">
        <v>7820</v>
      </c>
      <c r="AA14" t="s">
        <v>99</v>
      </c>
      <c r="AC14" t="s">
        <v>7821</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7800</v>
      </c>
      <c r="B16" t="s">
        <v>90</v>
      </c>
      <c r="C16" t="s">
        <v>39</v>
      </c>
      <c r="E16" t="s">
        <v>7801</v>
      </c>
      <c r="F16" t="s">
        <v>40</v>
      </c>
      <c r="G16" t="s">
        <v>41</v>
      </c>
      <c r="H16" t="s">
        <v>7802</v>
      </c>
      <c r="I16" t="s">
        <v>7803</v>
      </c>
      <c r="O16" t="s">
        <v>7787</v>
      </c>
      <c r="Q16" t="s">
        <v>7804</v>
      </c>
      <c r="R16" t="s">
        <v>7789</v>
      </c>
      <c r="S16" t="s">
        <v>7784</v>
      </c>
      <c r="U16" t="s">
        <v>7805</v>
      </c>
      <c r="V16" t="s">
        <v>7786</v>
      </c>
      <c r="W16" t="s">
        <v>7806</v>
      </c>
      <c r="Y16" t="s">
        <v>7807</v>
      </c>
      <c r="Z16" t="s">
        <v>7808</v>
      </c>
      <c r="AA16" t="s">
        <v>5723</v>
      </c>
      <c r="AC16" t="s">
        <v>7809</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1"/>
  <sheetViews>
    <sheetView workbookViewId="0">
      <selection activeCell="F15" sqref="F15"/>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3454</v>
      </c>
      <c r="E1" t="s">
        <v>3497</v>
      </c>
      <c r="F1" t="s">
        <v>170</v>
      </c>
      <c r="G1" t="s">
        <v>1</v>
      </c>
      <c r="H1" t="s">
        <v>7</v>
      </c>
      <c r="I1" t="s">
        <v>7494</v>
      </c>
    </row>
    <row r="2" spans="1:9" x14ac:dyDescent="0.25">
      <c r="A2" t="s">
        <v>7526</v>
      </c>
      <c r="B2" t="s">
        <v>3515</v>
      </c>
      <c r="C2" t="s">
        <v>4509</v>
      </c>
      <c r="D2" t="s">
        <v>7527</v>
      </c>
      <c r="E2" t="s">
        <v>7537</v>
      </c>
      <c r="G2" t="s">
        <v>2619</v>
      </c>
      <c r="H2" t="s">
        <v>7538</v>
      </c>
      <c r="I2" t="s">
        <v>7509</v>
      </c>
    </row>
    <row r="3" spans="1:9" x14ac:dyDescent="0.25">
      <c r="A3" t="s">
        <v>7505</v>
      </c>
      <c r="B3" t="s">
        <v>3515</v>
      </c>
      <c r="C3" t="s">
        <v>4509</v>
      </c>
      <c r="D3" t="s">
        <v>7507</v>
      </c>
      <c r="E3" t="s">
        <v>7531</v>
      </c>
      <c r="F3" t="s">
        <v>8311</v>
      </c>
      <c r="G3" t="s">
        <v>160</v>
      </c>
      <c r="H3" t="s">
        <v>7506</v>
      </c>
      <c r="I3" t="s">
        <v>7496</v>
      </c>
    </row>
    <row r="4" spans="1:9" x14ac:dyDescent="0.25">
      <c r="A4" t="s">
        <v>7510</v>
      </c>
      <c r="B4" t="s">
        <v>3503</v>
      </c>
      <c r="C4" t="s">
        <v>4509</v>
      </c>
      <c r="D4" t="s">
        <v>7511</v>
      </c>
      <c r="E4" t="s">
        <v>7532</v>
      </c>
      <c r="F4" t="s">
        <v>8312</v>
      </c>
      <c r="G4" t="s">
        <v>160</v>
      </c>
      <c r="H4" t="s">
        <v>7515</v>
      </c>
      <c r="I4" t="s">
        <v>7509</v>
      </c>
    </row>
    <row r="5" spans="1:9" x14ac:dyDescent="0.25">
      <c r="A5" t="s">
        <v>7512</v>
      </c>
      <c r="B5" t="s">
        <v>3503</v>
      </c>
      <c r="C5" t="s">
        <v>4509</v>
      </c>
      <c r="D5" t="s">
        <v>7513</v>
      </c>
      <c r="E5" t="s">
        <v>7533</v>
      </c>
      <c r="F5" t="s">
        <v>8312</v>
      </c>
      <c r="G5" t="s">
        <v>160</v>
      </c>
      <c r="H5" t="s">
        <v>7514</v>
      </c>
      <c r="I5" t="s">
        <v>7509</v>
      </c>
    </row>
    <row r="6" spans="1:9" x14ac:dyDescent="0.25">
      <c r="A6" t="s">
        <v>7516</v>
      </c>
      <c r="B6" t="s">
        <v>3503</v>
      </c>
      <c r="C6" t="s">
        <v>4509</v>
      </c>
      <c r="D6" t="s">
        <v>7518</v>
      </c>
      <c r="E6" t="s">
        <v>7534</v>
      </c>
      <c r="F6" t="s">
        <v>8312</v>
      </c>
      <c r="G6" t="s">
        <v>160</v>
      </c>
      <c r="H6" t="s">
        <v>7517</v>
      </c>
      <c r="I6" t="s">
        <v>7509</v>
      </c>
    </row>
    <row r="7" spans="1:9" x14ac:dyDescent="0.25">
      <c r="A7" t="s">
        <v>7522</v>
      </c>
      <c r="B7" t="s">
        <v>3503</v>
      </c>
      <c r="C7" t="s">
        <v>4509</v>
      </c>
      <c r="D7" t="s">
        <v>7523</v>
      </c>
      <c r="E7" t="s">
        <v>7536</v>
      </c>
      <c r="G7" t="s">
        <v>2619</v>
      </c>
      <c r="H7" t="s">
        <v>7524</v>
      </c>
      <c r="I7" t="s">
        <v>7525</v>
      </c>
    </row>
    <row r="8" spans="1:9" x14ac:dyDescent="0.25">
      <c r="A8" t="s">
        <v>3522</v>
      </c>
      <c r="B8" t="s">
        <v>3503</v>
      </c>
      <c r="C8" t="s">
        <v>3524</v>
      </c>
      <c r="D8" t="s">
        <v>8237</v>
      </c>
      <c r="E8" t="s">
        <v>8188</v>
      </c>
      <c r="G8" t="s">
        <v>90</v>
      </c>
      <c r="H8" t="s">
        <v>3522</v>
      </c>
      <c r="I8" t="s">
        <v>7495</v>
      </c>
    </row>
    <row r="9" spans="1:9" x14ac:dyDescent="0.25">
      <c r="A9" t="s">
        <v>8178</v>
      </c>
      <c r="B9" t="s">
        <v>3503</v>
      </c>
      <c r="C9" t="s">
        <v>3524</v>
      </c>
      <c r="D9" t="s">
        <v>8236</v>
      </c>
      <c r="E9" t="s">
        <v>8189</v>
      </c>
      <c r="F9" t="s">
        <v>8313</v>
      </c>
      <c r="G9" t="s">
        <v>353</v>
      </c>
      <c r="H9" t="s">
        <v>8178</v>
      </c>
      <c r="I9" t="s">
        <v>7508</v>
      </c>
    </row>
    <row r="10" spans="1:9" x14ac:dyDescent="0.25">
      <c r="A10" t="s">
        <v>8153</v>
      </c>
      <c r="B10" t="s">
        <v>41</v>
      </c>
      <c r="C10" t="s">
        <v>3524</v>
      </c>
      <c r="D10" t="s">
        <v>8235</v>
      </c>
      <c r="E10" t="s">
        <v>8190</v>
      </c>
      <c r="F10" t="s">
        <v>8313</v>
      </c>
      <c r="G10" t="s">
        <v>353</v>
      </c>
      <c r="H10" t="s">
        <v>8154</v>
      </c>
      <c r="I10" t="s">
        <v>7508</v>
      </c>
    </row>
    <row r="11" spans="1:9" x14ac:dyDescent="0.25">
      <c r="A11" t="s">
        <v>7714</v>
      </c>
      <c r="B11" t="s">
        <v>3503</v>
      </c>
      <c r="C11" t="s">
        <v>3524</v>
      </c>
      <c r="D11" t="s">
        <v>8234</v>
      </c>
      <c r="E11" t="s">
        <v>8191</v>
      </c>
      <c r="G11" t="s">
        <v>90</v>
      </c>
      <c r="H11" t="s">
        <v>7715</v>
      </c>
      <c r="I11" t="s">
        <v>7716</v>
      </c>
    </row>
    <row r="12" spans="1:9" x14ac:dyDescent="0.25">
      <c r="A12" t="s">
        <v>8169</v>
      </c>
      <c r="B12" t="s">
        <v>41</v>
      </c>
      <c r="C12" t="s">
        <v>4509</v>
      </c>
      <c r="D12" t="s">
        <v>8170</v>
      </c>
      <c r="E12" t="s">
        <v>8192</v>
      </c>
      <c r="F12" t="s">
        <v>8311</v>
      </c>
      <c r="G12" t="s">
        <v>160</v>
      </c>
      <c r="H12" t="s">
        <v>8171</v>
      </c>
      <c r="I12" t="s">
        <v>7496</v>
      </c>
    </row>
    <row r="13" spans="1:9" x14ac:dyDescent="0.25">
      <c r="A13" t="s">
        <v>7500</v>
      </c>
      <c r="B13" t="s">
        <v>3515</v>
      </c>
      <c r="C13" t="s">
        <v>4509</v>
      </c>
      <c r="D13" t="s">
        <v>8108</v>
      </c>
      <c r="E13" t="s">
        <v>8109</v>
      </c>
      <c r="F13" t="s">
        <v>8311</v>
      </c>
      <c r="G13" t="s">
        <v>160</v>
      </c>
      <c r="H13" t="s">
        <v>7501</v>
      </c>
      <c r="I13" t="s">
        <v>7496</v>
      </c>
    </row>
    <row r="14" spans="1:9" x14ac:dyDescent="0.25">
      <c r="A14" t="s">
        <v>7519</v>
      </c>
      <c r="B14" t="s">
        <v>3503</v>
      </c>
      <c r="C14" t="s">
        <v>4509</v>
      </c>
      <c r="D14" t="s">
        <v>7520</v>
      </c>
      <c r="E14" t="s">
        <v>7535</v>
      </c>
      <c r="F14" t="s">
        <v>8312</v>
      </c>
      <c r="G14" t="s">
        <v>2619</v>
      </c>
      <c r="H14" t="s">
        <v>7521</v>
      </c>
      <c r="I14" t="s">
        <v>7509</v>
      </c>
    </row>
    <row r="15" spans="1:9" x14ac:dyDescent="0.25">
      <c r="A15" t="s">
        <v>3678</v>
      </c>
      <c r="B15" t="s">
        <v>3515</v>
      </c>
      <c r="C15" t="s">
        <v>4509</v>
      </c>
      <c r="D15" t="s">
        <v>3679</v>
      </c>
      <c r="E15" t="s">
        <v>7528</v>
      </c>
      <c r="F15" t="s">
        <v>8313</v>
      </c>
      <c r="G15" t="s">
        <v>353</v>
      </c>
      <c r="H15" t="s">
        <v>3680</v>
      </c>
      <c r="I15" t="s">
        <v>7508</v>
      </c>
    </row>
    <row r="16" spans="1:9" x14ac:dyDescent="0.25">
      <c r="A16" t="s">
        <v>8179</v>
      </c>
      <c r="B16" t="s">
        <v>3515</v>
      </c>
      <c r="C16" t="s">
        <v>3524</v>
      </c>
      <c r="D16" t="s">
        <v>8231</v>
      </c>
      <c r="E16" t="s">
        <v>8193</v>
      </c>
      <c r="F16" t="s">
        <v>8313</v>
      </c>
      <c r="G16" t="s">
        <v>353</v>
      </c>
      <c r="H16" t="s">
        <v>8179</v>
      </c>
      <c r="I16" t="s">
        <v>7508</v>
      </c>
    </row>
    <row r="17" spans="1:9" x14ac:dyDescent="0.25">
      <c r="A17" t="s">
        <v>8185</v>
      </c>
      <c r="B17" t="s">
        <v>3515</v>
      </c>
      <c r="C17" t="s">
        <v>3524</v>
      </c>
      <c r="D17" t="s">
        <v>8232</v>
      </c>
      <c r="E17" t="s">
        <v>8194</v>
      </c>
      <c r="F17" t="s">
        <v>8313</v>
      </c>
      <c r="G17" t="s">
        <v>353</v>
      </c>
      <c r="H17" t="s">
        <v>8186</v>
      </c>
      <c r="I17" t="s">
        <v>7508</v>
      </c>
    </row>
    <row r="18" spans="1:9" x14ac:dyDescent="0.25">
      <c r="A18" t="s">
        <v>8183</v>
      </c>
      <c r="B18" t="s">
        <v>3515</v>
      </c>
      <c r="C18" t="s">
        <v>3524</v>
      </c>
      <c r="D18" t="s">
        <v>8233</v>
      </c>
      <c r="E18" t="s">
        <v>8195</v>
      </c>
      <c r="F18" t="s">
        <v>8313</v>
      </c>
      <c r="G18" t="s">
        <v>353</v>
      </c>
      <c r="H18" t="s">
        <v>8184</v>
      </c>
      <c r="I18" t="s">
        <v>7508</v>
      </c>
    </row>
    <row r="19" spans="1:9" x14ac:dyDescent="0.25">
      <c r="A19" t="s">
        <v>7497</v>
      </c>
      <c r="B19" t="s">
        <v>41</v>
      </c>
      <c r="C19" t="s">
        <v>4509</v>
      </c>
      <c r="D19" t="s">
        <v>4154</v>
      </c>
      <c r="E19" t="s">
        <v>4155</v>
      </c>
      <c r="F19" t="s">
        <v>8311</v>
      </c>
      <c r="G19" t="s">
        <v>160</v>
      </c>
      <c r="H19" t="s">
        <v>7529</v>
      </c>
      <c r="I19" t="s">
        <v>7496</v>
      </c>
    </row>
    <row r="20" spans="1:9" x14ac:dyDescent="0.25">
      <c r="A20" t="s">
        <v>7498</v>
      </c>
      <c r="B20" t="s">
        <v>41</v>
      </c>
      <c r="C20" t="s">
        <v>4509</v>
      </c>
      <c r="D20" t="s">
        <v>4209</v>
      </c>
      <c r="E20" t="s">
        <v>4210</v>
      </c>
      <c r="F20" t="s">
        <v>8311</v>
      </c>
      <c r="G20" t="s">
        <v>160</v>
      </c>
      <c r="H20" t="s">
        <v>7499</v>
      </c>
      <c r="I20" t="s">
        <v>7496</v>
      </c>
    </row>
    <row r="21" spans="1:9" x14ac:dyDescent="0.25">
      <c r="A21" t="s">
        <v>7502</v>
      </c>
      <c r="B21" t="s">
        <v>41</v>
      </c>
      <c r="C21" t="s">
        <v>4509</v>
      </c>
      <c r="D21" t="s">
        <v>7504</v>
      </c>
      <c r="E21" t="s">
        <v>7530</v>
      </c>
      <c r="F21" t="s">
        <v>8311</v>
      </c>
      <c r="G21" t="s">
        <v>160</v>
      </c>
      <c r="H21" t="s">
        <v>7503</v>
      </c>
      <c r="I21" t="s">
        <v>7496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H12" sqref="H12"/>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4009</v>
      </c>
      <c r="B1" t="s">
        <v>1</v>
      </c>
      <c r="C1" t="s">
        <v>4010</v>
      </c>
      <c r="D1" t="s">
        <v>6</v>
      </c>
      <c r="E1" t="s">
        <v>3454</v>
      </c>
      <c r="F1" t="s">
        <v>3497</v>
      </c>
      <c r="G1" t="s">
        <v>170</v>
      </c>
      <c r="H1" t="s">
        <v>171</v>
      </c>
      <c r="I1" t="s">
        <v>4011</v>
      </c>
      <c r="K1" t="s">
        <v>4012</v>
      </c>
      <c r="L1" t="s">
        <v>1</v>
      </c>
      <c r="N1" t="s">
        <v>4013</v>
      </c>
      <c r="O1" t="s">
        <v>1</v>
      </c>
    </row>
    <row r="2" spans="1:15" x14ac:dyDescent="0.25">
      <c r="A2" t="s">
        <v>4014</v>
      </c>
      <c r="B2" t="s">
        <v>2154</v>
      </c>
      <c r="C2" t="s">
        <v>4015</v>
      </c>
      <c r="D2" t="s">
        <v>41</v>
      </c>
      <c r="E2" t="s">
        <v>4016</v>
      </c>
      <c r="F2" t="s">
        <v>4017</v>
      </c>
      <c r="K2" t="s">
        <v>4018</v>
      </c>
      <c r="L2" t="s">
        <v>1795</v>
      </c>
      <c r="N2" t="s">
        <v>4019</v>
      </c>
      <c r="O2" t="s">
        <v>2154</v>
      </c>
    </row>
    <row r="3" spans="1:15" x14ac:dyDescent="0.25">
      <c r="A3" t="s">
        <v>4020</v>
      </c>
      <c r="B3" t="s">
        <v>1284</v>
      </c>
      <c r="C3" t="s">
        <v>4015</v>
      </c>
      <c r="D3" t="s">
        <v>3515</v>
      </c>
      <c r="E3" t="s">
        <v>4021</v>
      </c>
      <c r="F3" t="s">
        <v>4022</v>
      </c>
      <c r="H3" t="s">
        <v>4023</v>
      </c>
      <c r="K3" t="s">
        <v>4024</v>
      </c>
      <c r="L3" t="s">
        <v>1795</v>
      </c>
      <c r="N3" t="s">
        <v>4025</v>
      </c>
      <c r="O3" t="s">
        <v>2154</v>
      </c>
    </row>
    <row r="4" spans="1:15" x14ac:dyDescent="0.25">
      <c r="A4" t="s">
        <v>4026</v>
      </c>
      <c r="B4" t="s">
        <v>2154</v>
      </c>
      <c r="C4" t="s">
        <v>4015</v>
      </c>
      <c r="D4" t="s">
        <v>3515</v>
      </c>
      <c r="E4" t="s">
        <v>4027</v>
      </c>
      <c r="F4" t="s">
        <v>4028</v>
      </c>
      <c r="K4" t="s">
        <v>4029</v>
      </c>
      <c r="L4" t="s">
        <v>1795</v>
      </c>
      <c r="N4" t="s">
        <v>4030</v>
      </c>
      <c r="O4" t="s">
        <v>2154</v>
      </c>
    </row>
    <row r="5" spans="1:15" x14ac:dyDescent="0.25">
      <c r="A5" t="s">
        <v>4031</v>
      </c>
      <c r="B5" t="s">
        <v>2154</v>
      </c>
      <c r="C5" t="s">
        <v>4032</v>
      </c>
      <c r="D5" t="s">
        <v>41</v>
      </c>
      <c r="E5" t="s">
        <v>4033</v>
      </c>
      <c r="F5" t="s">
        <v>4034</v>
      </c>
      <c r="H5" t="s">
        <v>4035</v>
      </c>
      <c r="I5" t="s">
        <v>7477</v>
      </c>
      <c r="K5" t="s">
        <v>4036</v>
      </c>
      <c r="L5" t="s">
        <v>1795</v>
      </c>
      <c r="N5" t="s">
        <v>4037</v>
      </c>
      <c r="O5" t="s">
        <v>2154</v>
      </c>
    </row>
    <row r="6" spans="1:15" x14ac:dyDescent="0.25">
      <c r="A6" t="s">
        <v>4038</v>
      </c>
      <c r="B6" t="s">
        <v>2154</v>
      </c>
      <c r="C6" t="s">
        <v>4032</v>
      </c>
      <c r="D6" t="s">
        <v>3515</v>
      </c>
      <c r="E6" t="s">
        <v>7620</v>
      </c>
      <c r="F6" t="s">
        <v>4039</v>
      </c>
      <c r="K6" t="s">
        <v>4040</v>
      </c>
      <c r="L6" t="s">
        <v>1795</v>
      </c>
      <c r="N6" t="s">
        <v>4041</v>
      </c>
      <c r="O6" t="s">
        <v>2154</v>
      </c>
    </row>
    <row r="7" spans="1:15" x14ac:dyDescent="0.25">
      <c r="A7" t="s">
        <v>4042</v>
      </c>
      <c r="B7" t="s">
        <v>2154</v>
      </c>
      <c r="C7" t="s">
        <v>4043</v>
      </c>
      <c r="D7" t="s">
        <v>41</v>
      </c>
      <c r="E7" t="s">
        <v>4044</v>
      </c>
      <c r="F7" t="s">
        <v>4045</v>
      </c>
      <c r="H7" t="s">
        <v>4046</v>
      </c>
      <c r="K7" t="s">
        <v>4047</v>
      </c>
      <c r="L7" t="s">
        <v>1795</v>
      </c>
      <c r="N7" t="s">
        <v>4048</v>
      </c>
      <c r="O7" t="s">
        <v>2154</v>
      </c>
    </row>
    <row r="8" spans="1:15" x14ac:dyDescent="0.25">
      <c r="A8" t="s">
        <v>4049</v>
      </c>
      <c r="B8" t="s">
        <v>1284</v>
      </c>
      <c r="C8" t="s">
        <v>4015</v>
      </c>
      <c r="D8" t="s">
        <v>3515</v>
      </c>
      <c r="E8" t="s">
        <v>4050</v>
      </c>
      <c r="F8" t="s">
        <v>4051</v>
      </c>
      <c r="G8" t="s">
        <v>8221</v>
      </c>
      <c r="K8" t="s">
        <v>4052</v>
      </c>
      <c r="L8" t="s">
        <v>1795</v>
      </c>
      <c r="N8" t="s">
        <v>4053</v>
      </c>
      <c r="O8" t="s">
        <v>2154</v>
      </c>
    </row>
    <row r="9" spans="1:15" x14ac:dyDescent="0.25">
      <c r="A9" t="s">
        <v>4054</v>
      </c>
      <c r="B9" t="s">
        <v>2154</v>
      </c>
      <c r="C9" t="s">
        <v>4032</v>
      </c>
      <c r="D9" t="s">
        <v>3503</v>
      </c>
      <c r="E9" t="s">
        <v>4055</v>
      </c>
      <c r="F9" t="s">
        <v>4056</v>
      </c>
      <c r="K9" t="s">
        <v>4057</v>
      </c>
      <c r="L9" t="s">
        <v>1795</v>
      </c>
      <c r="N9" t="s">
        <v>4058</v>
      </c>
      <c r="O9" t="s">
        <v>2154</v>
      </c>
    </row>
    <row r="10" spans="1:15" x14ac:dyDescent="0.25">
      <c r="K10" t="s">
        <v>4059</v>
      </c>
      <c r="L10" t="s">
        <v>1795</v>
      </c>
      <c r="N10" t="s">
        <v>4060</v>
      </c>
      <c r="O10" t="s">
        <v>2154</v>
      </c>
    </row>
    <row r="11" spans="1:15" x14ac:dyDescent="0.25">
      <c r="K11" t="s">
        <v>4061</v>
      </c>
      <c r="L11" t="s">
        <v>1795</v>
      </c>
      <c r="N11" t="s">
        <v>4062</v>
      </c>
      <c r="O11" t="s">
        <v>2154</v>
      </c>
    </row>
    <row r="12" spans="1:15" x14ac:dyDescent="0.25">
      <c r="K12" t="s">
        <v>4063</v>
      </c>
      <c r="L12" t="s">
        <v>1795</v>
      </c>
      <c r="N12" t="s">
        <v>4064</v>
      </c>
      <c r="O12" t="s">
        <v>2154</v>
      </c>
    </row>
    <row r="13" spans="1:15" x14ac:dyDescent="0.25">
      <c r="K13" t="s">
        <v>4065</v>
      </c>
      <c r="L13" t="s">
        <v>1795</v>
      </c>
      <c r="N13" t="s">
        <v>4066</v>
      </c>
      <c r="O13" t="s">
        <v>2154</v>
      </c>
    </row>
    <row r="14" spans="1:15" x14ac:dyDescent="0.25">
      <c r="K14" t="s">
        <v>4067</v>
      </c>
      <c r="L14" t="s">
        <v>1795</v>
      </c>
      <c r="N14" t="s">
        <v>4068</v>
      </c>
      <c r="O14" t="s">
        <v>2154</v>
      </c>
    </row>
    <row r="15" spans="1:15" x14ac:dyDescent="0.25">
      <c r="K15" t="s">
        <v>4069</v>
      </c>
      <c r="L15" t="s">
        <v>1795</v>
      </c>
      <c r="N15" t="s">
        <v>4070</v>
      </c>
      <c r="O15" t="s">
        <v>2154</v>
      </c>
    </row>
    <row r="16" spans="1:15" x14ac:dyDescent="0.25">
      <c r="K16" t="s">
        <v>4071</v>
      </c>
      <c r="L16" t="s">
        <v>1795</v>
      </c>
      <c r="N16" t="s">
        <v>4072</v>
      </c>
      <c r="O16" t="s">
        <v>2154</v>
      </c>
    </row>
    <row r="17" spans="11:15" x14ac:dyDescent="0.25">
      <c r="K17" t="s">
        <v>4073</v>
      </c>
      <c r="L17" t="s">
        <v>1795</v>
      </c>
      <c r="N17" t="s">
        <v>4074</v>
      </c>
      <c r="O17" t="s">
        <v>2154</v>
      </c>
    </row>
    <row r="18" spans="11:15" x14ac:dyDescent="0.25">
      <c r="K18" t="s">
        <v>4075</v>
      </c>
      <c r="L18" t="s">
        <v>1795</v>
      </c>
      <c r="N18" t="s">
        <v>4076</v>
      </c>
      <c r="O18" t="s">
        <v>2154</v>
      </c>
    </row>
    <row r="19" spans="11:15" x14ac:dyDescent="0.25">
      <c r="K19" t="s">
        <v>4077</v>
      </c>
      <c r="L19" t="s">
        <v>1795</v>
      </c>
      <c r="N19" t="s">
        <v>4078</v>
      </c>
      <c r="O19" t="s">
        <v>2154</v>
      </c>
    </row>
    <row r="20" spans="11:15" x14ac:dyDescent="0.25">
      <c r="K20" t="s">
        <v>4079</v>
      </c>
      <c r="L20" t="s">
        <v>1795</v>
      </c>
      <c r="N20" t="s">
        <v>4080</v>
      </c>
      <c r="O20" t="s">
        <v>2154</v>
      </c>
    </row>
    <row r="21" spans="11:15" x14ac:dyDescent="0.25">
      <c r="K21" t="s">
        <v>4081</v>
      </c>
      <c r="L21" t="s">
        <v>1795</v>
      </c>
      <c r="N21" t="s">
        <v>4082</v>
      </c>
      <c r="O21" t="s">
        <v>2154</v>
      </c>
    </row>
    <row r="22" spans="11:15" x14ac:dyDescent="0.25">
      <c r="K22" t="s">
        <v>4083</v>
      </c>
      <c r="L22" t="s">
        <v>1795</v>
      </c>
      <c r="N22" t="s">
        <v>4084</v>
      </c>
      <c r="O22" t="s">
        <v>2154</v>
      </c>
    </row>
    <row r="23" spans="11:15" x14ac:dyDescent="0.25">
      <c r="K23" t="s">
        <v>4085</v>
      </c>
      <c r="L23" t="s">
        <v>1795</v>
      </c>
      <c r="N23" t="s">
        <v>4086</v>
      </c>
      <c r="O23" t="s">
        <v>2154</v>
      </c>
    </row>
    <row r="24" spans="11:15" x14ac:dyDescent="0.25">
      <c r="K24" t="s">
        <v>4087</v>
      </c>
      <c r="L24" t="s">
        <v>1795</v>
      </c>
      <c r="N24" t="s">
        <v>4088</v>
      </c>
      <c r="O24" t="s">
        <v>2154</v>
      </c>
    </row>
    <row r="25" spans="11:15" x14ac:dyDescent="0.25">
      <c r="K25" t="s">
        <v>4089</v>
      </c>
      <c r="L25" t="s">
        <v>1795</v>
      </c>
      <c r="N25" t="s">
        <v>4090</v>
      </c>
      <c r="O25" t="s">
        <v>2154</v>
      </c>
    </row>
    <row r="26" spans="11:15" x14ac:dyDescent="0.25">
      <c r="K26" t="s">
        <v>4091</v>
      </c>
      <c r="L26" t="s">
        <v>1795</v>
      </c>
      <c r="N26" t="s">
        <v>4092</v>
      </c>
      <c r="O26" t="s">
        <v>2154</v>
      </c>
    </row>
    <row r="27" spans="11:15" x14ac:dyDescent="0.25">
      <c r="K27" t="s">
        <v>4093</v>
      </c>
      <c r="L27" t="s">
        <v>2866</v>
      </c>
      <c r="N27" t="s">
        <v>4094</v>
      </c>
      <c r="O27" t="s">
        <v>2154</v>
      </c>
    </row>
    <row r="28" spans="11:15" x14ac:dyDescent="0.25">
      <c r="K28" t="s">
        <v>4095</v>
      </c>
      <c r="L28" t="s">
        <v>2866</v>
      </c>
      <c r="N28" t="s">
        <v>4096</v>
      </c>
      <c r="O28" t="s">
        <v>2154</v>
      </c>
    </row>
    <row r="29" spans="11:15" x14ac:dyDescent="0.25">
      <c r="K29" t="s">
        <v>4097</v>
      </c>
      <c r="L29" t="s">
        <v>2866</v>
      </c>
      <c r="N29" t="s">
        <v>4098</v>
      </c>
      <c r="O29" t="s">
        <v>2154</v>
      </c>
    </row>
    <row r="30" spans="11:15" x14ac:dyDescent="0.25">
      <c r="K30" t="s">
        <v>4099</v>
      </c>
      <c r="L30" t="s">
        <v>2866</v>
      </c>
      <c r="N30" t="s">
        <v>4100</v>
      </c>
      <c r="O30" t="s">
        <v>2154</v>
      </c>
    </row>
    <row r="31" spans="11:15" x14ac:dyDescent="0.25">
      <c r="K31" t="s">
        <v>4101</v>
      </c>
      <c r="L31" t="s">
        <v>2866</v>
      </c>
      <c r="N31" t="s">
        <v>4102</v>
      </c>
      <c r="O31" t="s">
        <v>2154</v>
      </c>
    </row>
    <row r="32" spans="11:15" x14ac:dyDescent="0.25">
      <c r="K32" t="s">
        <v>4103</v>
      </c>
      <c r="L32" t="s">
        <v>2866</v>
      </c>
      <c r="N32" t="s">
        <v>4104</v>
      </c>
      <c r="O32" t="s">
        <v>2154</v>
      </c>
    </row>
    <row r="33" spans="11:15" x14ac:dyDescent="0.25">
      <c r="K33" t="s">
        <v>4105</v>
      </c>
      <c r="L33" t="s">
        <v>2866</v>
      </c>
      <c r="N33" t="s">
        <v>4106</v>
      </c>
      <c r="O33" t="s">
        <v>2154</v>
      </c>
    </row>
    <row r="34" spans="11:15" x14ac:dyDescent="0.25">
      <c r="K34" t="s">
        <v>4107</v>
      </c>
      <c r="L34" t="s">
        <v>2866</v>
      </c>
      <c r="N34" t="s">
        <v>4108</v>
      </c>
      <c r="O34" t="s">
        <v>2154</v>
      </c>
    </row>
    <row r="35" spans="11:15" x14ac:dyDescent="0.25">
      <c r="K35" t="s">
        <v>4109</v>
      </c>
      <c r="L35" t="s">
        <v>2866</v>
      </c>
      <c r="N35" t="s">
        <v>4110</v>
      </c>
      <c r="O35" t="s">
        <v>2154</v>
      </c>
    </row>
    <row r="36" spans="11:15" x14ac:dyDescent="0.25">
      <c r="K36" t="s">
        <v>4075</v>
      </c>
      <c r="L36" t="s">
        <v>2866</v>
      </c>
      <c r="N36" t="s">
        <v>4111</v>
      </c>
      <c r="O36" t="s">
        <v>2154</v>
      </c>
    </row>
    <row r="37" spans="11:15" x14ac:dyDescent="0.25">
      <c r="K37" t="s">
        <v>4112</v>
      </c>
      <c r="L37" t="s">
        <v>2866</v>
      </c>
      <c r="N37" t="s">
        <v>4113</v>
      </c>
      <c r="O37" t="s">
        <v>2154</v>
      </c>
    </row>
    <row r="38" spans="11:15" x14ac:dyDescent="0.25">
      <c r="N38" t="s">
        <v>4114</v>
      </c>
      <c r="O38" t="s">
        <v>2154</v>
      </c>
    </row>
    <row r="39" spans="11:15" x14ac:dyDescent="0.25">
      <c r="N39" t="s">
        <v>4115</v>
      </c>
      <c r="O39" t="s">
        <v>2154</v>
      </c>
    </row>
    <row r="40" spans="11:15" x14ac:dyDescent="0.25">
      <c r="N40" t="s">
        <v>4116</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4010</v>
      </c>
      <c r="C1" t="s">
        <v>3454</v>
      </c>
      <c r="D1" t="s">
        <v>3497</v>
      </c>
      <c r="E1" t="s">
        <v>4117</v>
      </c>
      <c r="F1" t="s">
        <v>4118</v>
      </c>
      <c r="G1" t="s">
        <v>4011</v>
      </c>
    </row>
    <row r="2" spans="1:7" x14ac:dyDescent="0.25">
      <c r="A2" t="s">
        <v>4131</v>
      </c>
      <c r="B2" t="s">
        <v>4032</v>
      </c>
      <c r="C2" t="s">
        <v>8288</v>
      </c>
      <c r="D2" t="s">
        <v>4132</v>
      </c>
      <c r="E2" t="s">
        <v>8289</v>
      </c>
      <c r="F2" t="s">
        <v>4133</v>
      </c>
    </row>
    <row r="3" spans="1:7" x14ac:dyDescent="0.25">
      <c r="A3" t="s">
        <v>4023</v>
      </c>
      <c r="B3" t="s">
        <v>4015</v>
      </c>
      <c r="C3" t="s">
        <v>7735</v>
      </c>
      <c r="D3" t="s">
        <v>7736</v>
      </c>
      <c r="E3" t="s">
        <v>4158</v>
      </c>
      <c r="F3" t="s">
        <v>4159</v>
      </c>
    </row>
    <row r="4" spans="1:7" x14ac:dyDescent="0.25">
      <c r="A4" t="s">
        <v>4142</v>
      </c>
      <c r="B4" t="s">
        <v>4015</v>
      </c>
      <c r="C4" t="s">
        <v>4143</v>
      </c>
      <c r="D4" t="s">
        <v>4144</v>
      </c>
      <c r="E4" t="s">
        <v>4145</v>
      </c>
      <c r="F4" t="s">
        <v>4146</v>
      </c>
      <c r="G4" t="s">
        <v>4147</v>
      </c>
    </row>
    <row r="5" spans="1:7" x14ac:dyDescent="0.25">
      <c r="A5" t="s">
        <v>4153</v>
      </c>
      <c r="B5" t="s">
        <v>4032</v>
      </c>
      <c r="C5" t="s">
        <v>4154</v>
      </c>
      <c r="D5" t="s">
        <v>4155</v>
      </c>
      <c r="E5" t="s">
        <v>4156</v>
      </c>
      <c r="F5" t="s">
        <v>4157</v>
      </c>
    </row>
    <row r="6" spans="1:7" x14ac:dyDescent="0.25">
      <c r="A6" t="s">
        <v>4148</v>
      </c>
      <c r="B6" t="s">
        <v>4032</v>
      </c>
      <c r="C6" t="s">
        <v>4149</v>
      </c>
      <c r="D6" t="s">
        <v>4150</v>
      </c>
      <c r="E6" t="s">
        <v>4151</v>
      </c>
      <c r="F6" t="s">
        <v>4152</v>
      </c>
    </row>
    <row r="7" spans="1:7" x14ac:dyDescent="0.25">
      <c r="A7" t="s">
        <v>4137</v>
      </c>
      <c r="B7" t="s">
        <v>4015</v>
      </c>
      <c r="C7" t="s">
        <v>4138</v>
      </c>
      <c r="D7" t="s">
        <v>4139</v>
      </c>
      <c r="E7" t="s">
        <v>4140</v>
      </c>
      <c r="F7" t="s">
        <v>4141</v>
      </c>
    </row>
    <row r="8" spans="1:7" x14ac:dyDescent="0.25">
      <c r="A8" t="s">
        <v>4134</v>
      </c>
      <c r="B8" t="s">
        <v>4032</v>
      </c>
      <c r="C8" t="s">
        <v>3630</v>
      </c>
      <c r="D8" t="s">
        <v>4135</v>
      </c>
      <c r="E8" t="s">
        <v>3633</v>
      </c>
      <c r="F8" t="s">
        <v>4136</v>
      </c>
    </row>
    <row r="9" spans="1:7" x14ac:dyDescent="0.25">
      <c r="A9" t="s">
        <v>4123</v>
      </c>
      <c r="B9" t="s">
        <v>4015</v>
      </c>
      <c r="C9" t="s">
        <v>4124</v>
      </c>
      <c r="D9" t="s">
        <v>4125</v>
      </c>
      <c r="E9" t="s">
        <v>4126</v>
      </c>
      <c r="F9" t="s">
        <v>4127</v>
      </c>
    </row>
    <row r="10" spans="1:7" x14ac:dyDescent="0.25">
      <c r="A10" t="s">
        <v>4119</v>
      </c>
      <c r="B10" t="s">
        <v>4032</v>
      </c>
      <c r="C10" t="s">
        <v>3571</v>
      </c>
      <c r="D10" t="s">
        <v>4120</v>
      </c>
      <c r="E10" t="s">
        <v>4121</v>
      </c>
      <c r="F10" t="s">
        <v>4122</v>
      </c>
    </row>
    <row r="11" spans="1:7" x14ac:dyDescent="0.25">
      <c r="A11" t="s">
        <v>4128</v>
      </c>
      <c r="B11" t="s">
        <v>4043</v>
      </c>
      <c r="C11" t="s">
        <v>4044</v>
      </c>
      <c r="D11" t="s">
        <v>4045</v>
      </c>
      <c r="E11" t="s">
        <v>4129</v>
      </c>
      <c r="F11" t="s">
        <v>4130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4010</v>
      </c>
      <c r="D1" t="s">
        <v>3974</v>
      </c>
      <c r="E1" t="s">
        <v>3975</v>
      </c>
      <c r="F1" t="s">
        <v>4160</v>
      </c>
      <c r="G1" t="s">
        <v>4161</v>
      </c>
      <c r="H1" t="s">
        <v>170</v>
      </c>
      <c r="I1" t="s">
        <v>3498</v>
      </c>
      <c r="J1" t="s">
        <v>171</v>
      </c>
    </row>
    <row r="2" spans="1:10" x14ac:dyDescent="0.25">
      <c r="A2" t="s">
        <v>4162</v>
      </c>
      <c r="B2" t="s">
        <v>41</v>
      </c>
      <c r="C2" t="s">
        <v>4015</v>
      </c>
      <c r="D2" t="s">
        <v>7745</v>
      </c>
      <c r="E2" t="s">
        <v>7746</v>
      </c>
      <c r="F2" t="s">
        <v>7747</v>
      </c>
      <c r="G2" t="s">
        <v>7748</v>
      </c>
      <c r="H2" t="s">
        <v>8221</v>
      </c>
      <c r="I2" t="s">
        <v>90</v>
      </c>
      <c r="J2" t="s">
        <v>4163</v>
      </c>
    </row>
    <row r="3" spans="1:10" x14ac:dyDescent="0.25">
      <c r="A3" t="s">
        <v>4164</v>
      </c>
      <c r="B3" t="s">
        <v>41</v>
      </c>
      <c r="C3" t="s">
        <v>4032</v>
      </c>
      <c r="D3" t="s">
        <v>4154</v>
      </c>
      <c r="E3" t="s">
        <v>4155</v>
      </c>
      <c r="F3" t="s">
        <v>4165</v>
      </c>
      <c r="G3" t="s">
        <v>4166</v>
      </c>
      <c r="I3" t="s">
        <v>90</v>
      </c>
      <c r="J3" t="s">
        <v>4167</v>
      </c>
    </row>
    <row r="4" spans="1:10" x14ac:dyDescent="0.25">
      <c r="A4" t="s">
        <v>4168</v>
      </c>
      <c r="B4" t="s">
        <v>41</v>
      </c>
      <c r="C4" t="s">
        <v>4032</v>
      </c>
      <c r="D4" t="s">
        <v>4169</v>
      </c>
      <c r="E4" t="s">
        <v>4170</v>
      </c>
      <c r="F4" t="s">
        <v>4171</v>
      </c>
      <c r="G4" t="s">
        <v>4172</v>
      </c>
      <c r="I4" t="s">
        <v>90</v>
      </c>
      <c r="J4" t="s">
        <v>4173</v>
      </c>
    </row>
    <row r="5" spans="1:10" x14ac:dyDescent="0.25">
      <c r="A5" t="s">
        <v>4174</v>
      </c>
      <c r="B5" t="s">
        <v>41</v>
      </c>
      <c r="C5" t="s">
        <v>4032</v>
      </c>
      <c r="D5" t="s">
        <v>4175</v>
      </c>
      <c r="E5" t="s">
        <v>4176</v>
      </c>
      <c r="F5" t="s">
        <v>4177</v>
      </c>
      <c r="G5" t="s">
        <v>4178</v>
      </c>
      <c r="I5" t="s">
        <v>90</v>
      </c>
      <c r="J5" t="s">
        <v>4179</v>
      </c>
    </row>
    <row r="6" spans="1:10" x14ac:dyDescent="0.25">
      <c r="A6" t="s">
        <v>4180</v>
      </c>
      <c r="B6" t="s">
        <v>3503</v>
      </c>
      <c r="C6" t="s">
        <v>4032</v>
      </c>
      <c r="D6" t="s">
        <v>3630</v>
      </c>
      <c r="E6" t="s">
        <v>4135</v>
      </c>
      <c r="F6" t="s">
        <v>4181</v>
      </c>
      <c r="G6" t="s">
        <v>4182</v>
      </c>
      <c r="I6" t="s">
        <v>90</v>
      </c>
      <c r="J6" t="s">
        <v>4183</v>
      </c>
    </row>
    <row r="7" spans="1:10" x14ac:dyDescent="0.25">
      <c r="A7" t="s">
        <v>4184</v>
      </c>
      <c r="B7" t="s">
        <v>41</v>
      </c>
      <c r="C7" t="s">
        <v>4032</v>
      </c>
      <c r="D7" t="s">
        <v>4185</v>
      </c>
      <c r="E7" t="s">
        <v>4186</v>
      </c>
      <c r="F7" t="s">
        <v>4187</v>
      </c>
      <c r="G7" t="s">
        <v>4188</v>
      </c>
      <c r="I7" t="s">
        <v>90</v>
      </c>
      <c r="J7" t="s">
        <v>4189</v>
      </c>
    </row>
    <row r="8" spans="1:10" x14ac:dyDescent="0.25">
      <c r="A8" t="s">
        <v>4190</v>
      </c>
      <c r="B8" t="s">
        <v>41</v>
      </c>
      <c r="C8" t="s">
        <v>4032</v>
      </c>
      <c r="D8" t="s">
        <v>4191</v>
      </c>
      <c r="E8" t="s">
        <v>4192</v>
      </c>
      <c r="F8" t="s">
        <v>4193</v>
      </c>
      <c r="G8" t="s">
        <v>4194</v>
      </c>
      <c r="I8" t="s">
        <v>90</v>
      </c>
      <c r="J8" t="s">
        <v>4195</v>
      </c>
    </row>
    <row r="9" spans="1:10" x14ac:dyDescent="0.25">
      <c r="A9" t="s">
        <v>4196</v>
      </c>
      <c r="B9" t="s">
        <v>41</v>
      </c>
      <c r="C9" t="s">
        <v>4015</v>
      </c>
      <c r="D9" t="s">
        <v>4197</v>
      </c>
      <c r="E9" t="s">
        <v>4198</v>
      </c>
      <c r="F9" t="s">
        <v>4199</v>
      </c>
      <c r="G9" t="s">
        <v>4200</v>
      </c>
      <c r="I9" t="s">
        <v>90</v>
      </c>
      <c r="J9" t="s">
        <v>4201</v>
      </c>
    </row>
    <row r="10" spans="1:10" x14ac:dyDescent="0.25">
      <c r="A10" t="s">
        <v>4202</v>
      </c>
      <c r="B10" t="s">
        <v>3515</v>
      </c>
      <c r="C10" t="s">
        <v>4032</v>
      </c>
      <c r="D10" t="s">
        <v>4203</v>
      </c>
      <c r="E10" t="s">
        <v>4204</v>
      </c>
      <c r="F10" t="s">
        <v>4205</v>
      </c>
      <c r="G10" t="s">
        <v>4206</v>
      </c>
      <c r="I10" t="s">
        <v>38</v>
      </c>
      <c r="J10" t="s">
        <v>4207</v>
      </c>
    </row>
    <row r="11" spans="1:10" x14ac:dyDescent="0.25">
      <c r="A11" t="s">
        <v>4208</v>
      </c>
      <c r="B11" t="s">
        <v>41</v>
      </c>
      <c r="C11" t="s">
        <v>4032</v>
      </c>
      <c r="D11" t="s">
        <v>4209</v>
      </c>
      <c r="E11" t="s">
        <v>4210</v>
      </c>
      <c r="F11" t="s">
        <v>4211</v>
      </c>
      <c r="G11" t="s">
        <v>4212</v>
      </c>
      <c r="I11" t="s">
        <v>2154</v>
      </c>
      <c r="J11" t="s">
        <v>3459</v>
      </c>
    </row>
    <row r="12" spans="1:10" x14ac:dyDescent="0.25">
      <c r="A12" t="s">
        <v>4213</v>
      </c>
      <c r="B12" t="s">
        <v>3503</v>
      </c>
      <c r="C12" t="s">
        <v>4032</v>
      </c>
      <c r="D12" t="s">
        <v>4214</v>
      </c>
      <c r="E12" t="s">
        <v>4215</v>
      </c>
      <c r="F12" t="s">
        <v>3459</v>
      </c>
      <c r="G12" t="s">
        <v>4216</v>
      </c>
      <c r="I12" t="s">
        <v>2154</v>
      </c>
      <c r="J12" t="s">
        <v>3459</v>
      </c>
    </row>
    <row r="13" spans="1:10" x14ac:dyDescent="0.25">
      <c r="A13" t="s">
        <v>4217</v>
      </c>
      <c r="B13" t="s">
        <v>3503</v>
      </c>
      <c r="C13" t="s">
        <v>4032</v>
      </c>
      <c r="D13" t="s">
        <v>4218</v>
      </c>
      <c r="E13" t="s">
        <v>4219</v>
      </c>
      <c r="F13" t="s">
        <v>4220</v>
      </c>
      <c r="G13" t="s">
        <v>4221</v>
      </c>
      <c r="I13" t="s">
        <v>2154</v>
      </c>
      <c r="J13" t="s">
        <v>3459</v>
      </c>
    </row>
    <row r="14" spans="1:10" x14ac:dyDescent="0.25">
      <c r="A14" t="s">
        <v>4222</v>
      </c>
      <c r="B14" t="s">
        <v>3515</v>
      </c>
      <c r="C14" t="s">
        <v>4032</v>
      </c>
      <c r="D14" t="s">
        <v>4223</v>
      </c>
      <c r="E14" t="s">
        <v>4224</v>
      </c>
      <c r="F14" t="s">
        <v>4225</v>
      </c>
      <c r="G14" t="s">
        <v>4226</v>
      </c>
      <c r="I14" t="s">
        <v>2154</v>
      </c>
      <c r="J14" t="s">
        <v>3459</v>
      </c>
    </row>
    <row r="15" spans="1:10" x14ac:dyDescent="0.25">
      <c r="A15" t="s">
        <v>4227</v>
      </c>
      <c r="B15" t="s">
        <v>41</v>
      </c>
      <c r="C15" t="s">
        <v>4015</v>
      </c>
      <c r="D15" t="s">
        <v>4197</v>
      </c>
      <c r="E15" t="s">
        <v>4198</v>
      </c>
      <c r="F15" t="s">
        <v>4228</v>
      </c>
      <c r="G15" t="s">
        <v>4229</v>
      </c>
      <c r="I15" t="s">
        <v>256</v>
      </c>
      <c r="J15" t="s">
        <v>3459</v>
      </c>
    </row>
    <row r="16" spans="1:10" x14ac:dyDescent="0.25">
      <c r="A16" t="s">
        <v>4230</v>
      </c>
      <c r="B16" t="s">
        <v>3515</v>
      </c>
      <c r="C16" t="s">
        <v>4043</v>
      </c>
      <c r="D16" t="s">
        <v>4231</v>
      </c>
      <c r="E16" t="s">
        <v>4216</v>
      </c>
      <c r="F16" t="s">
        <v>4231</v>
      </c>
      <c r="G16" t="s">
        <v>4216</v>
      </c>
      <c r="I16" t="s">
        <v>256</v>
      </c>
      <c r="J16" t="s">
        <v>3459</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I5" sqref="I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4010</v>
      </c>
      <c r="E1" t="s">
        <v>167</v>
      </c>
      <c r="F1" t="s">
        <v>7628</v>
      </c>
      <c r="G1" t="s">
        <v>3454</v>
      </c>
      <c r="H1" t="s">
        <v>3497</v>
      </c>
      <c r="I1" t="s">
        <v>170</v>
      </c>
      <c r="J1" t="s">
        <v>171</v>
      </c>
    </row>
    <row r="2" spans="1:10" x14ac:dyDescent="0.25">
      <c r="A2" t="s">
        <v>7662</v>
      </c>
      <c r="B2" t="s">
        <v>3515</v>
      </c>
      <c r="C2" t="s">
        <v>2154</v>
      </c>
      <c r="D2" t="s">
        <v>4032</v>
      </c>
      <c r="E2" t="s">
        <v>7634</v>
      </c>
      <c r="F2">
        <v>2</v>
      </c>
      <c r="G2" t="s">
        <v>7670</v>
      </c>
      <c r="H2" t="s">
        <v>7677</v>
      </c>
      <c r="J2" t="s">
        <v>3459</v>
      </c>
    </row>
    <row r="3" spans="1:10" x14ac:dyDescent="0.25">
      <c r="A3" t="s">
        <v>7637</v>
      </c>
      <c r="B3" t="s">
        <v>3503</v>
      </c>
      <c r="C3" t="s">
        <v>1795</v>
      </c>
      <c r="D3" t="s">
        <v>4015</v>
      </c>
      <c r="E3" t="s">
        <v>7633</v>
      </c>
      <c r="F3">
        <v>4</v>
      </c>
      <c r="G3" t="s">
        <v>7636</v>
      </c>
      <c r="H3" t="s">
        <v>4028</v>
      </c>
      <c r="J3" t="s">
        <v>3459</v>
      </c>
    </row>
    <row r="4" spans="1:10" x14ac:dyDescent="0.25">
      <c r="A4" t="s">
        <v>7664</v>
      </c>
      <c r="B4" t="s">
        <v>3726</v>
      </c>
      <c r="C4" t="s">
        <v>1795</v>
      </c>
      <c r="D4" t="s">
        <v>4032</v>
      </c>
      <c r="E4" t="s">
        <v>7634</v>
      </c>
      <c r="F4">
        <v>1</v>
      </c>
      <c r="G4" t="s">
        <v>7672</v>
      </c>
      <c r="H4" t="s">
        <v>7678</v>
      </c>
      <c r="J4" t="s">
        <v>3459</v>
      </c>
    </row>
    <row r="5" spans="1:10" x14ac:dyDescent="0.25">
      <c r="A5" t="s">
        <v>7635</v>
      </c>
      <c r="B5" t="s">
        <v>3503</v>
      </c>
      <c r="C5" t="s">
        <v>2154</v>
      </c>
      <c r="D5" t="s">
        <v>4032</v>
      </c>
      <c r="E5" t="s">
        <v>7634</v>
      </c>
      <c r="F5">
        <v>3</v>
      </c>
      <c r="G5" t="s">
        <v>7666</v>
      </c>
      <c r="H5" t="s">
        <v>7647</v>
      </c>
      <c r="I5" t="s">
        <v>8222</v>
      </c>
      <c r="J5" t="s">
        <v>3459</v>
      </c>
    </row>
    <row r="6" spans="1:10" x14ac:dyDescent="0.25">
      <c r="A6" t="s">
        <v>7660</v>
      </c>
      <c r="B6" t="s">
        <v>41</v>
      </c>
      <c r="C6" t="s">
        <v>2154</v>
      </c>
      <c r="D6" t="s">
        <v>4015</v>
      </c>
      <c r="E6" t="s">
        <v>7634</v>
      </c>
      <c r="F6">
        <v>3</v>
      </c>
      <c r="G6" t="s">
        <v>7668</v>
      </c>
      <c r="H6" t="s">
        <v>7679</v>
      </c>
      <c r="J6" t="s">
        <v>3459</v>
      </c>
    </row>
    <row r="7" spans="1:10" x14ac:dyDescent="0.25">
      <c r="A7" t="s">
        <v>7659</v>
      </c>
      <c r="B7" t="s">
        <v>41</v>
      </c>
      <c r="C7" t="s">
        <v>2154</v>
      </c>
      <c r="D7" t="s">
        <v>4015</v>
      </c>
      <c r="E7" t="s">
        <v>7634</v>
      </c>
      <c r="F7">
        <v>3</v>
      </c>
      <c r="G7" t="s">
        <v>7667</v>
      </c>
      <c r="H7" t="s">
        <v>7680</v>
      </c>
      <c r="J7" t="s">
        <v>3459</v>
      </c>
    </row>
    <row r="8" spans="1:10" x14ac:dyDescent="0.25">
      <c r="A8" t="s">
        <v>7661</v>
      </c>
      <c r="B8" t="s">
        <v>41</v>
      </c>
      <c r="C8" t="s">
        <v>2154</v>
      </c>
      <c r="D8" t="s">
        <v>4032</v>
      </c>
      <c r="E8" t="s">
        <v>7634</v>
      </c>
      <c r="F8">
        <v>2</v>
      </c>
      <c r="G8" t="s">
        <v>7669</v>
      </c>
      <c r="H8" t="s">
        <v>7681</v>
      </c>
      <c r="J8" t="s">
        <v>3459</v>
      </c>
    </row>
    <row r="9" spans="1:10" x14ac:dyDescent="0.25">
      <c r="A9" t="s">
        <v>7632</v>
      </c>
      <c r="B9" t="s">
        <v>41</v>
      </c>
      <c r="C9" t="s">
        <v>2154</v>
      </c>
      <c r="D9" t="s">
        <v>4043</v>
      </c>
      <c r="E9" t="s">
        <v>3451</v>
      </c>
      <c r="F9">
        <v>4</v>
      </c>
      <c r="G9" t="s">
        <v>4231</v>
      </c>
      <c r="H9" t="s">
        <v>101</v>
      </c>
      <c r="J9" t="s">
        <v>3459</v>
      </c>
    </row>
    <row r="10" spans="1:10" x14ac:dyDescent="0.25">
      <c r="A10" t="s">
        <v>7674</v>
      </c>
      <c r="B10" t="s">
        <v>3515</v>
      </c>
      <c r="C10" t="s">
        <v>490</v>
      </c>
      <c r="D10" t="s">
        <v>4043</v>
      </c>
      <c r="E10" t="s">
        <v>7634</v>
      </c>
      <c r="F10">
        <v>2</v>
      </c>
      <c r="G10" t="s">
        <v>7675</v>
      </c>
      <c r="H10" t="s">
        <v>7682</v>
      </c>
      <c r="J10" t="s">
        <v>3459</v>
      </c>
    </row>
    <row r="11" spans="1:10" x14ac:dyDescent="0.25">
      <c r="A11" t="s">
        <v>7663</v>
      </c>
      <c r="B11" t="s">
        <v>3503</v>
      </c>
      <c r="C11" t="s">
        <v>2154</v>
      </c>
      <c r="D11" t="s">
        <v>4032</v>
      </c>
      <c r="E11" t="s">
        <v>7634</v>
      </c>
      <c r="F11">
        <v>3</v>
      </c>
      <c r="G11" t="s">
        <v>7671</v>
      </c>
      <c r="H11" t="s">
        <v>7683</v>
      </c>
      <c r="J11" t="s">
        <v>3459</v>
      </c>
    </row>
    <row r="12" spans="1:10" x14ac:dyDescent="0.25">
      <c r="A12" t="s">
        <v>7665</v>
      </c>
      <c r="B12" t="s">
        <v>3503</v>
      </c>
      <c r="C12" t="s">
        <v>2154</v>
      </c>
      <c r="D12" t="s">
        <v>4032</v>
      </c>
      <c r="E12" t="s">
        <v>7634</v>
      </c>
      <c r="F12">
        <v>3</v>
      </c>
      <c r="G12" t="s">
        <v>7673</v>
      </c>
      <c r="H12" t="s">
        <v>7684</v>
      </c>
      <c r="J12" t="s">
        <v>3459</v>
      </c>
    </row>
    <row r="13" spans="1:10" x14ac:dyDescent="0.25">
      <c r="A13" t="s">
        <v>3725</v>
      </c>
      <c r="B13" t="s">
        <v>3726</v>
      </c>
      <c r="C13" t="s">
        <v>1795</v>
      </c>
      <c r="D13" t="s">
        <v>4032</v>
      </c>
      <c r="E13" t="s">
        <v>7633</v>
      </c>
      <c r="F13">
        <v>1</v>
      </c>
      <c r="G13" t="s">
        <v>3727</v>
      </c>
      <c r="H13" t="s">
        <v>7646</v>
      </c>
      <c r="J13" t="s">
        <v>3459</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9"/>
  <sheetViews>
    <sheetView workbookViewId="0">
      <selection activeCell="A10" sqref="A10"/>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3736</v>
      </c>
      <c r="D1" t="s">
        <v>167</v>
      </c>
      <c r="E1" t="s">
        <v>3454</v>
      </c>
      <c r="F1" t="s">
        <v>3497</v>
      </c>
      <c r="G1" t="s">
        <v>3741</v>
      </c>
      <c r="H1" t="s">
        <v>1</v>
      </c>
      <c r="I1" t="s">
        <v>7</v>
      </c>
    </row>
    <row r="2" spans="1:9" x14ac:dyDescent="0.25">
      <c r="A2" t="s">
        <v>8157</v>
      </c>
      <c r="B2" t="s">
        <v>41</v>
      </c>
      <c r="C2" t="s">
        <v>3744</v>
      </c>
      <c r="D2" t="s">
        <v>3524</v>
      </c>
      <c r="E2" t="s">
        <v>8224</v>
      </c>
      <c r="F2" t="s">
        <v>8196</v>
      </c>
      <c r="G2" t="s">
        <v>8160</v>
      </c>
      <c r="H2" t="s">
        <v>160</v>
      </c>
      <c r="I2" t="s">
        <v>8158</v>
      </c>
    </row>
    <row r="3" spans="1:9" x14ac:dyDescent="0.25">
      <c r="A3" t="s">
        <v>8213</v>
      </c>
      <c r="B3" t="s">
        <v>3515</v>
      </c>
      <c r="C3" t="s">
        <v>3899</v>
      </c>
      <c r="D3" t="s">
        <v>8223</v>
      </c>
      <c r="E3" t="s">
        <v>8238</v>
      </c>
      <c r="F3" t="s">
        <v>8280</v>
      </c>
      <c r="G3" t="s">
        <v>4622</v>
      </c>
      <c r="H3" t="s">
        <v>344</v>
      </c>
      <c r="I3" t="s">
        <v>8213</v>
      </c>
    </row>
    <row r="4" spans="1:9" x14ac:dyDescent="0.25">
      <c r="A4" t="s">
        <v>8155</v>
      </c>
      <c r="B4" t="s">
        <v>3515</v>
      </c>
      <c r="C4" t="s">
        <v>3744</v>
      </c>
      <c r="D4" t="s">
        <v>3524</v>
      </c>
      <c r="E4" t="s">
        <v>8225</v>
      </c>
      <c r="F4" t="s">
        <v>8197</v>
      </c>
      <c r="G4" t="s">
        <v>4654</v>
      </c>
      <c r="H4" t="s">
        <v>160</v>
      </c>
      <c r="I4" t="s">
        <v>8156</v>
      </c>
    </row>
    <row r="5" spans="1:9" x14ac:dyDescent="0.25">
      <c r="A5" t="s">
        <v>8218</v>
      </c>
      <c r="B5" t="s">
        <v>3515</v>
      </c>
      <c r="C5" t="s">
        <v>3788</v>
      </c>
      <c r="D5" t="s">
        <v>8223</v>
      </c>
      <c r="E5" t="s">
        <v>8239</v>
      </c>
      <c r="F5" t="s">
        <v>8281</v>
      </c>
      <c r="G5" t="s">
        <v>4622</v>
      </c>
      <c r="H5" t="s">
        <v>344</v>
      </c>
      <c r="I5" t="s">
        <v>8218</v>
      </c>
    </row>
    <row r="6" spans="1:9" x14ac:dyDescent="0.25">
      <c r="A6" t="s">
        <v>8162</v>
      </c>
      <c r="B6" t="s">
        <v>3515</v>
      </c>
      <c r="C6" t="s">
        <v>3744</v>
      </c>
      <c r="D6" t="s">
        <v>3524</v>
      </c>
      <c r="E6" t="s">
        <v>8282</v>
      </c>
      <c r="F6" t="s">
        <v>8198</v>
      </c>
      <c r="G6" t="s">
        <v>4654</v>
      </c>
      <c r="H6" t="s">
        <v>2619</v>
      </c>
      <c r="I6" t="s">
        <v>8163</v>
      </c>
    </row>
    <row r="7" spans="1:9" x14ac:dyDescent="0.25">
      <c r="A7" t="s">
        <v>8216</v>
      </c>
      <c r="B7" t="s">
        <v>3503</v>
      </c>
      <c r="C7" t="s">
        <v>3788</v>
      </c>
      <c r="D7" t="s">
        <v>8223</v>
      </c>
      <c r="E7" t="s">
        <v>8240</v>
      </c>
      <c r="F7" t="s">
        <v>8283</v>
      </c>
      <c r="G7" t="s">
        <v>8217</v>
      </c>
      <c r="H7" t="s">
        <v>344</v>
      </c>
      <c r="I7" t="s">
        <v>8216</v>
      </c>
    </row>
    <row r="8" spans="1:9" x14ac:dyDescent="0.25">
      <c r="A8" t="s">
        <v>8159</v>
      </c>
      <c r="B8" t="s">
        <v>3503</v>
      </c>
      <c r="C8" t="s">
        <v>3744</v>
      </c>
      <c r="D8" t="s">
        <v>3524</v>
      </c>
      <c r="E8" t="s">
        <v>8226</v>
      </c>
      <c r="F8" t="s">
        <v>8199</v>
      </c>
      <c r="G8" t="s">
        <v>4654</v>
      </c>
      <c r="H8" t="s">
        <v>160</v>
      </c>
      <c r="I8" t="s">
        <v>8161</v>
      </c>
    </row>
    <row r="9" spans="1:9" x14ac:dyDescent="0.25">
      <c r="A9" t="s">
        <v>8214</v>
      </c>
      <c r="B9" t="s">
        <v>3503</v>
      </c>
      <c r="C9" t="s">
        <v>3744</v>
      </c>
      <c r="D9" t="s">
        <v>8223</v>
      </c>
      <c r="E9" t="s">
        <v>8241</v>
      </c>
      <c r="F9" t="s">
        <v>8284</v>
      </c>
      <c r="G9" t="s">
        <v>8215</v>
      </c>
      <c r="H9" t="s">
        <v>344</v>
      </c>
      <c r="I9" t="s">
        <v>8214</v>
      </c>
    </row>
    <row r="10" spans="1:9" x14ac:dyDescent="0.25">
      <c r="A10" t="s">
        <v>4590</v>
      </c>
      <c r="B10" t="s">
        <v>3503</v>
      </c>
      <c r="C10" t="s">
        <v>3744</v>
      </c>
      <c r="D10" t="s">
        <v>3524</v>
      </c>
      <c r="E10" t="s">
        <v>8300</v>
      </c>
      <c r="F10" t="s">
        <v>8327</v>
      </c>
      <c r="G10" t="s">
        <v>4806</v>
      </c>
      <c r="H10" t="s">
        <v>2804</v>
      </c>
      <c r="I10" t="s">
        <v>4590</v>
      </c>
    </row>
    <row r="11" spans="1:9" x14ac:dyDescent="0.25">
      <c r="A11" t="s">
        <v>8172</v>
      </c>
      <c r="B11" t="s">
        <v>3515</v>
      </c>
      <c r="C11" t="s">
        <v>3744</v>
      </c>
      <c r="D11" t="s">
        <v>3524</v>
      </c>
      <c r="E11" t="s">
        <v>8227</v>
      </c>
      <c r="F11" t="s">
        <v>8200</v>
      </c>
      <c r="H11" t="s">
        <v>2619</v>
      </c>
      <c r="I11" t="s">
        <v>8173</v>
      </c>
    </row>
    <row r="12" spans="1:9" x14ac:dyDescent="0.25">
      <c r="A12" t="s">
        <v>4619</v>
      </c>
      <c r="B12" t="s">
        <v>41</v>
      </c>
      <c r="C12" t="s">
        <v>3899</v>
      </c>
      <c r="D12" t="s">
        <v>8223</v>
      </c>
      <c r="E12" t="s">
        <v>8242</v>
      </c>
      <c r="F12" t="s">
        <v>8285</v>
      </c>
      <c r="G12" t="s">
        <v>8261</v>
      </c>
      <c r="H12" t="s">
        <v>344</v>
      </c>
      <c r="I12" t="s">
        <v>4619</v>
      </c>
    </row>
    <row r="13" spans="1:9" x14ac:dyDescent="0.25">
      <c r="A13" t="s">
        <v>8176</v>
      </c>
      <c r="B13" t="s">
        <v>41</v>
      </c>
      <c r="C13" t="s">
        <v>3744</v>
      </c>
      <c r="D13" t="s">
        <v>3524</v>
      </c>
      <c r="E13" t="s">
        <v>4435</v>
      </c>
      <c r="F13" t="s">
        <v>8201</v>
      </c>
      <c r="H13" t="s">
        <v>160</v>
      </c>
      <c r="I13" t="s">
        <v>8177</v>
      </c>
    </row>
    <row r="14" spans="1:9" x14ac:dyDescent="0.25">
      <c r="A14" t="s">
        <v>8168</v>
      </c>
      <c r="B14" t="s">
        <v>41</v>
      </c>
      <c r="C14" t="s">
        <v>3744</v>
      </c>
      <c r="D14" t="s">
        <v>3524</v>
      </c>
      <c r="E14" t="s">
        <v>8286</v>
      </c>
      <c r="F14" t="s">
        <v>8202</v>
      </c>
      <c r="H14" t="s">
        <v>2619</v>
      </c>
      <c r="I14" t="s">
        <v>8168</v>
      </c>
    </row>
    <row r="15" spans="1:9" x14ac:dyDescent="0.25">
      <c r="A15" t="s">
        <v>8174</v>
      </c>
      <c r="B15" t="s">
        <v>41</v>
      </c>
      <c r="C15" t="s">
        <v>3744</v>
      </c>
      <c r="D15" t="s">
        <v>3524</v>
      </c>
      <c r="E15" t="s">
        <v>8228</v>
      </c>
      <c r="F15" t="s">
        <v>8203</v>
      </c>
      <c r="H15" t="s">
        <v>160</v>
      </c>
      <c r="I15" t="s">
        <v>8175</v>
      </c>
    </row>
    <row r="16" spans="1:9" x14ac:dyDescent="0.25">
      <c r="A16" t="s">
        <v>4707</v>
      </c>
      <c r="B16" t="s">
        <v>3515</v>
      </c>
      <c r="C16" t="s">
        <v>3744</v>
      </c>
      <c r="D16" t="s">
        <v>3524</v>
      </c>
      <c r="E16" t="s">
        <v>3571</v>
      </c>
      <c r="F16" t="s">
        <v>3572</v>
      </c>
      <c r="H16" t="s">
        <v>160</v>
      </c>
      <c r="I16" t="s">
        <v>4709</v>
      </c>
    </row>
    <row r="17" spans="1:9" x14ac:dyDescent="0.25">
      <c r="A17" t="s">
        <v>8164</v>
      </c>
      <c r="B17" t="s">
        <v>3515</v>
      </c>
      <c r="C17" t="s">
        <v>3744</v>
      </c>
      <c r="D17" t="s">
        <v>3524</v>
      </c>
      <c r="E17" t="s">
        <v>8229</v>
      </c>
      <c r="F17" t="s">
        <v>3668</v>
      </c>
      <c r="G17" t="s">
        <v>4654</v>
      </c>
      <c r="H17" t="s">
        <v>2619</v>
      </c>
      <c r="I17" t="s">
        <v>8165</v>
      </c>
    </row>
    <row r="18" spans="1:9" x14ac:dyDescent="0.25">
      <c r="A18" t="s">
        <v>4913</v>
      </c>
      <c r="B18" t="s">
        <v>41</v>
      </c>
      <c r="C18" t="s">
        <v>3744</v>
      </c>
      <c r="D18" t="s">
        <v>3524</v>
      </c>
      <c r="E18" t="s">
        <v>8260</v>
      </c>
      <c r="F18" t="s">
        <v>8287</v>
      </c>
      <c r="G18" t="s">
        <v>8262</v>
      </c>
      <c r="H18" t="s">
        <v>344</v>
      </c>
      <c r="I18" t="s">
        <v>4913</v>
      </c>
    </row>
    <row r="19" spans="1:9" x14ac:dyDescent="0.25">
      <c r="A19" t="s">
        <v>8166</v>
      </c>
      <c r="B19" t="s">
        <v>3503</v>
      </c>
      <c r="C19" t="s">
        <v>3744</v>
      </c>
      <c r="D19" t="s">
        <v>3524</v>
      </c>
      <c r="E19" t="s">
        <v>8230</v>
      </c>
      <c r="F19" t="s">
        <v>3511</v>
      </c>
      <c r="G19" t="s">
        <v>3689</v>
      </c>
      <c r="H19" t="s">
        <v>2619</v>
      </c>
      <c r="I19" t="s">
        <v>8167</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1"/>
  <sheetViews>
    <sheetView workbookViewId="0">
      <selection activeCell="F17" sqref="F17"/>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3736</v>
      </c>
      <c r="D1" t="s">
        <v>8247</v>
      </c>
      <c r="E1" t="s">
        <v>8248</v>
      </c>
      <c r="F1" t="s">
        <v>3497</v>
      </c>
      <c r="G1" t="s">
        <v>167</v>
      </c>
      <c r="H1" t="s">
        <v>3524</v>
      </c>
      <c r="I1" t="s">
        <v>8290</v>
      </c>
      <c r="J1" t="s">
        <v>3739</v>
      </c>
      <c r="K1" t="s">
        <v>8220</v>
      </c>
      <c r="L1" t="s">
        <v>3741</v>
      </c>
      <c r="M1" t="s">
        <v>1</v>
      </c>
      <c r="N1" t="s">
        <v>7</v>
      </c>
    </row>
    <row r="2" spans="1:14" x14ac:dyDescent="0.25">
      <c r="A2" t="s">
        <v>8319</v>
      </c>
      <c r="B2" t="s">
        <v>3503</v>
      </c>
      <c r="C2" t="s">
        <v>3793</v>
      </c>
      <c r="D2" t="s">
        <v>8249</v>
      </c>
      <c r="E2" t="s">
        <v>8206</v>
      </c>
      <c r="F2" t="s">
        <v>8268</v>
      </c>
      <c r="G2" t="s">
        <v>5443</v>
      </c>
      <c r="H2" t="s">
        <v>8320</v>
      </c>
      <c r="I2" t="s">
        <v>8328</v>
      </c>
      <c r="J2" t="s">
        <v>8317</v>
      </c>
      <c r="K2">
        <v>3</v>
      </c>
      <c r="L2" t="s">
        <v>3532</v>
      </c>
      <c r="M2" t="s">
        <v>2804</v>
      </c>
      <c r="N2" t="s">
        <v>8321</v>
      </c>
    </row>
    <row r="3" spans="1:14" x14ac:dyDescent="0.25">
      <c r="A3" t="s">
        <v>8266</v>
      </c>
      <c r="B3" t="s">
        <v>3503</v>
      </c>
      <c r="C3" t="s">
        <v>8267</v>
      </c>
      <c r="D3" t="s">
        <v>8249</v>
      </c>
      <c r="E3" t="s">
        <v>8271</v>
      </c>
      <c r="F3" t="s">
        <v>8308</v>
      </c>
      <c r="G3" t="s">
        <v>5443</v>
      </c>
      <c r="H3" t="s">
        <v>8269</v>
      </c>
      <c r="I3" t="s">
        <v>8291</v>
      </c>
      <c r="J3" t="s">
        <v>8246</v>
      </c>
      <c r="K3">
        <v>3</v>
      </c>
      <c r="M3" t="s">
        <v>344</v>
      </c>
      <c r="N3" t="s">
        <v>8270</v>
      </c>
    </row>
    <row r="4" spans="1:14" x14ac:dyDescent="0.25">
      <c r="A4" t="s">
        <v>8245</v>
      </c>
      <c r="B4" t="s">
        <v>3515</v>
      </c>
      <c r="C4" t="s">
        <v>3899</v>
      </c>
      <c r="D4" t="s">
        <v>8249</v>
      </c>
      <c r="E4" t="s">
        <v>3899</v>
      </c>
      <c r="F4" t="s">
        <v>8250</v>
      </c>
      <c r="G4" t="s">
        <v>5443</v>
      </c>
      <c r="H4" t="s">
        <v>8253</v>
      </c>
      <c r="I4" t="s">
        <v>8292</v>
      </c>
      <c r="J4" t="s">
        <v>8246</v>
      </c>
      <c r="K4">
        <v>3</v>
      </c>
      <c r="M4" t="s">
        <v>344</v>
      </c>
      <c r="N4" t="s">
        <v>8251</v>
      </c>
    </row>
    <row r="5" spans="1:14" x14ac:dyDescent="0.25">
      <c r="A5" t="s">
        <v>6833</v>
      </c>
      <c r="B5" t="s">
        <v>3503</v>
      </c>
      <c r="C5" t="s">
        <v>3788</v>
      </c>
      <c r="D5" t="s">
        <v>8274</v>
      </c>
      <c r="E5" t="s">
        <v>8275</v>
      </c>
      <c r="F5" t="s">
        <v>8268</v>
      </c>
      <c r="G5" t="s">
        <v>5450</v>
      </c>
      <c r="H5" t="s">
        <v>8293</v>
      </c>
      <c r="I5" t="s">
        <v>8294</v>
      </c>
      <c r="J5" t="s">
        <v>8276</v>
      </c>
      <c r="K5">
        <v>3</v>
      </c>
      <c r="M5" t="s">
        <v>1046</v>
      </c>
      <c r="N5" t="s">
        <v>8279</v>
      </c>
    </row>
    <row r="6" spans="1:14" x14ac:dyDescent="0.25">
      <c r="A6" t="s">
        <v>8301</v>
      </c>
      <c r="B6" t="s">
        <v>3515</v>
      </c>
      <c r="C6" t="s">
        <v>3744</v>
      </c>
      <c r="D6" t="s">
        <v>8302</v>
      </c>
      <c r="E6" t="s">
        <v>3744</v>
      </c>
      <c r="F6" t="s">
        <v>8250</v>
      </c>
      <c r="G6" t="s">
        <v>5450</v>
      </c>
      <c r="H6" t="s">
        <v>8315</v>
      </c>
      <c r="I6" t="s">
        <v>8329</v>
      </c>
      <c r="J6" t="s">
        <v>8303</v>
      </c>
      <c r="K6">
        <v>3</v>
      </c>
      <c r="L6" t="s">
        <v>8305</v>
      </c>
      <c r="M6" t="s">
        <v>2804</v>
      </c>
      <c r="N6" t="s">
        <v>8304</v>
      </c>
    </row>
    <row r="7" spans="1:14" x14ac:dyDescent="0.25">
      <c r="A7" t="s">
        <v>4694</v>
      </c>
      <c r="B7" t="s">
        <v>41</v>
      </c>
      <c r="C7" t="s">
        <v>3788</v>
      </c>
      <c r="D7" t="s">
        <v>8274</v>
      </c>
      <c r="E7" t="s">
        <v>8275</v>
      </c>
      <c r="F7" t="s">
        <v>8250</v>
      </c>
      <c r="G7" t="s">
        <v>5450</v>
      </c>
      <c r="H7" t="s">
        <v>3459</v>
      </c>
      <c r="J7" t="s">
        <v>8276</v>
      </c>
      <c r="K7">
        <v>3</v>
      </c>
      <c r="M7" t="s">
        <v>1046</v>
      </c>
      <c r="N7" t="s">
        <v>4697</v>
      </c>
    </row>
    <row r="8" spans="1:14" x14ac:dyDescent="0.25">
      <c r="A8" t="s">
        <v>8252</v>
      </c>
      <c r="B8" t="s">
        <v>3503</v>
      </c>
      <c r="C8" t="s">
        <v>3899</v>
      </c>
      <c r="D8" t="s">
        <v>8249</v>
      </c>
      <c r="E8" t="s">
        <v>3899</v>
      </c>
      <c r="F8" t="s">
        <v>8250</v>
      </c>
      <c r="G8" t="s">
        <v>5443</v>
      </c>
      <c r="H8" t="s">
        <v>8254</v>
      </c>
      <c r="I8" t="s">
        <v>8295</v>
      </c>
      <c r="J8" t="s">
        <v>8256</v>
      </c>
      <c r="K8">
        <v>3</v>
      </c>
      <c r="M8" t="s">
        <v>344</v>
      </c>
      <c r="N8" t="s">
        <v>8255</v>
      </c>
    </row>
    <row r="9" spans="1:14" x14ac:dyDescent="0.25">
      <c r="A9" t="s">
        <v>8306</v>
      </c>
      <c r="B9" t="s">
        <v>3503</v>
      </c>
      <c r="C9" t="s">
        <v>3744</v>
      </c>
      <c r="D9" t="s">
        <v>8302</v>
      </c>
      <c r="E9" t="s">
        <v>8275</v>
      </c>
      <c r="F9" t="s">
        <v>8250</v>
      </c>
      <c r="G9" t="s">
        <v>5450</v>
      </c>
      <c r="H9" t="s">
        <v>8315</v>
      </c>
      <c r="I9" t="s">
        <v>8329</v>
      </c>
      <c r="J9" t="s">
        <v>8303</v>
      </c>
      <c r="K9">
        <v>3</v>
      </c>
      <c r="L9" t="s">
        <v>8305</v>
      </c>
      <c r="M9" t="s">
        <v>2804</v>
      </c>
      <c r="N9" t="s">
        <v>8307</v>
      </c>
    </row>
    <row r="10" spans="1:14" x14ac:dyDescent="0.25">
      <c r="A10" t="s">
        <v>8316</v>
      </c>
      <c r="B10" t="s">
        <v>41</v>
      </c>
      <c r="C10" t="s">
        <v>3793</v>
      </c>
      <c r="D10" t="s">
        <v>8249</v>
      </c>
      <c r="E10" t="s">
        <v>8267</v>
      </c>
      <c r="F10" t="s">
        <v>8250</v>
      </c>
      <c r="G10" t="s">
        <v>5443</v>
      </c>
      <c r="H10" t="s">
        <v>3459</v>
      </c>
      <c r="J10" t="s">
        <v>8317</v>
      </c>
      <c r="K10">
        <v>3</v>
      </c>
      <c r="M10" t="s">
        <v>2804</v>
      </c>
      <c r="N10" t="s">
        <v>8316</v>
      </c>
    </row>
    <row r="11" spans="1:14" x14ac:dyDescent="0.25">
      <c r="A11" t="s">
        <v>8257</v>
      </c>
      <c r="B11" t="s">
        <v>41</v>
      </c>
      <c r="C11" t="s">
        <v>3899</v>
      </c>
      <c r="D11" t="s">
        <v>8249</v>
      </c>
      <c r="E11" t="s">
        <v>3899</v>
      </c>
      <c r="F11" t="s">
        <v>8250</v>
      </c>
      <c r="G11" t="s">
        <v>5443</v>
      </c>
      <c r="H11" t="s">
        <v>3459</v>
      </c>
      <c r="J11" t="s">
        <v>8259</v>
      </c>
      <c r="K11">
        <v>3</v>
      </c>
      <c r="L11" t="s">
        <v>3689</v>
      </c>
      <c r="M11" t="s">
        <v>344</v>
      </c>
      <c r="N11" t="s">
        <v>8258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6830</v>
      </c>
      <c r="C1" t="s">
        <v>6831</v>
      </c>
      <c r="D1" t="s">
        <v>8264</v>
      </c>
    </row>
    <row r="2" spans="1:4" x14ac:dyDescent="0.25">
      <c r="A2" t="s">
        <v>8266</v>
      </c>
      <c r="B2" t="s">
        <v>8245</v>
      </c>
      <c r="C2" t="s">
        <v>8272</v>
      </c>
      <c r="D2" t="s">
        <v>8273</v>
      </c>
    </row>
    <row r="3" spans="1:4" x14ac:dyDescent="0.25">
      <c r="A3" t="s">
        <v>8245</v>
      </c>
      <c r="B3" t="s">
        <v>8257</v>
      </c>
      <c r="C3" t="s">
        <v>8263</v>
      </c>
      <c r="D3" t="s">
        <v>8273</v>
      </c>
    </row>
    <row r="4" spans="1:4" x14ac:dyDescent="0.25">
      <c r="A4" t="s">
        <v>6833</v>
      </c>
      <c r="B4" t="s">
        <v>4694</v>
      </c>
      <c r="C4" t="s">
        <v>8278</v>
      </c>
      <c r="D4" t="s">
        <v>8277</v>
      </c>
    </row>
    <row r="5" spans="1:4" x14ac:dyDescent="0.25">
      <c r="A5" t="s">
        <v>8252</v>
      </c>
      <c r="B5" t="s">
        <v>8245</v>
      </c>
      <c r="C5" t="s">
        <v>8265</v>
      </c>
      <c r="D5" t="s">
        <v>8273</v>
      </c>
    </row>
    <row r="6" spans="1:4" x14ac:dyDescent="0.25">
      <c r="A6" t="s">
        <v>8306</v>
      </c>
      <c r="B6" t="s">
        <v>8301</v>
      </c>
      <c r="C6" t="s">
        <v>4590</v>
      </c>
      <c r="D6" t="s">
        <v>8277</v>
      </c>
    </row>
    <row r="7" spans="1:4" x14ac:dyDescent="0.25">
      <c r="A7" t="s">
        <v>8319</v>
      </c>
      <c r="B7" t="s">
        <v>8316</v>
      </c>
      <c r="C7" t="s">
        <v>8318</v>
      </c>
      <c r="D7" t="s">
        <v>8277</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17" sqref="D17"/>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3736</v>
      </c>
      <c r="D1" t="s">
        <v>3454</v>
      </c>
      <c r="E1" t="s">
        <v>3497</v>
      </c>
      <c r="F1" t="s">
        <v>1</v>
      </c>
      <c r="G1" t="s">
        <v>7</v>
      </c>
    </row>
    <row r="2" spans="1:7" x14ac:dyDescent="0.25">
      <c r="A2" t="s">
        <v>7867</v>
      </c>
      <c r="B2" t="s">
        <v>41</v>
      </c>
      <c r="C2" t="s">
        <v>3788</v>
      </c>
      <c r="D2" t="s">
        <v>8243</v>
      </c>
      <c r="E2" t="s">
        <v>8296</v>
      </c>
      <c r="F2" t="s">
        <v>344</v>
      </c>
      <c r="G2" t="s">
        <v>7870</v>
      </c>
    </row>
    <row r="3" spans="1:7" x14ac:dyDescent="0.25">
      <c r="A3" t="s">
        <v>8219</v>
      </c>
      <c r="B3" t="s">
        <v>3503</v>
      </c>
      <c r="C3" t="s">
        <v>7904</v>
      </c>
      <c r="D3" t="s">
        <v>8244</v>
      </c>
      <c r="E3" t="s">
        <v>8297</v>
      </c>
      <c r="F3" t="s">
        <v>344</v>
      </c>
      <c r="G3" t="s">
        <v>8219</v>
      </c>
    </row>
    <row r="4" spans="1:7" x14ac:dyDescent="0.25">
      <c r="A4" t="s">
        <v>8210</v>
      </c>
      <c r="B4" t="s">
        <v>41</v>
      </c>
      <c r="C4" t="s">
        <v>3793</v>
      </c>
      <c r="D4" t="s">
        <v>3459</v>
      </c>
      <c r="E4" t="s">
        <v>3459</v>
      </c>
      <c r="F4" t="s">
        <v>344</v>
      </c>
      <c r="G4" t="s">
        <v>8211</v>
      </c>
    </row>
    <row r="5" spans="1:7" x14ac:dyDescent="0.25">
      <c r="A5" t="s">
        <v>8204</v>
      </c>
      <c r="B5" t="s">
        <v>3503</v>
      </c>
      <c r="C5" t="s">
        <v>8206</v>
      </c>
      <c r="D5" t="s">
        <v>8207</v>
      </c>
      <c r="E5" t="s">
        <v>8212</v>
      </c>
      <c r="F5" t="s">
        <v>344</v>
      </c>
      <c r="G5" t="s">
        <v>8208</v>
      </c>
    </row>
    <row r="6" spans="1:7" x14ac:dyDescent="0.25">
      <c r="A6" t="s">
        <v>8205</v>
      </c>
      <c r="B6" t="s">
        <v>3515</v>
      </c>
      <c r="C6" t="s">
        <v>3744</v>
      </c>
      <c r="D6" t="s">
        <v>7468</v>
      </c>
      <c r="E6" t="s">
        <v>3511</v>
      </c>
      <c r="F6" t="s">
        <v>344</v>
      </c>
      <c r="G6" t="s">
        <v>8209</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3741</v>
      </c>
      <c r="D1" t="s">
        <v>7</v>
      </c>
      <c r="E1" t="s">
        <v>6</v>
      </c>
      <c r="F1" t="s">
        <v>4232</v>
      </c>
      <c r="G1" t="s">
        <v>4233</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4234</v>
      </c>
      <c r="B2" t="s">
        <v>160</v>
      </c>
      <c r="C2" t="s">
        <v>4235</v>
      </c>
      <c r="D2" t="s">
        <v>4236</v>
      </c>
      <c r="E2" t="s">
        <v>41</v>
      </c>
      <c r="L2" t="s">
        <v>4237</v>
      </c>
      <c r="N2" t="s">
        <v>4238</v>
      </c>
      <c r="O2" t="s">
        <v>49</v>
      </c>
      <c r="Q2" t="s">
        <v>4239</v>
      </c>
      <c r="R2" t="s">
        <v>3539</v>
      </c>
      <c r="U2" t="s">
        <v>4240</v>
      </c>
    </row>
    <row r="3" spans="1:37" x14ac:dyDescent="0.25">
      <c r="A3" t="s">
        <v>4241</v>
      </c>
      <c r="B3" t="s">
        <v>2619</v>
      </c>
      <c r="C3" t="s">
        <v>4235</v>
      </c>
      <c r="D3" t="s">
        <v>4242</v>
      </c>
      <c r="E3" t="s">
        <v>41</v>
      </c>
      <c r="G3" t="s">
        <v>187</v>
      </c>
      <c r="N3" t="s">
        <v>4243</v>
      </c>
      <c r="O3" t="s">
        <v>49</v>
      </c>
      <c r="Q3" t="s">
        <v>4244</v>
      </c>
      <c r="R3" t="s">
        <v>3539</v>
      </c>
      <c r="U3" t="s">
        <v>4245</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4246</v>
      </c>
      <c r="B1" t="s">
        <v>1</v>
      </c>
      <c r="C1" t="s">
        <v>4247</v>
      </c>
      <c r="D1" t="s">
        <v>4248</v>
      </c>
      <c r="E1" t="s">
        <v>4249</v>
      </c>
      <c r="F1" t="s">
        <v>7</v>
      </c>
    </row>
    <row r="2" spans="1:6" x14ac:dyDescent="0.25">
      <c r="A2" t="s">
        <v>4250</v>
      </c>
      <c r="B2" t="s">
        <v>90</v>
      </c>
      <c r="C2" t="s">
        <v>4251</v>
      </c>
      <c r="D2" t="s">
        <v>4252</v>
      </c>
      <c r="E2" t="s">
        <v>3459</v>
      </c>
      <c r="F2" t="s">
        <v>4253</v>
      </c>
    </row>
    <row r="3" spans="1:6" x14ac:dyDescent="0.25">
      <c r="A3" t="s">
        <v>4254</v>
      </c>
      <c r="B3" t="s">
        <v>38</v>
      </c>
      <c r="C3" t="s">
        <v>4255</v>
      </c>
      <c r="D3" t="s">
        <v>4252</v>
      </c>
      <c r="E3">
        <v>3</v>
      </c>
      <c r="F3" t="s">
        <v>4254</v>
      </c>
    </row>
    <row r="4" spans="1:6" x14ac:dyDescent="0.25">
      <c r="A4" t="s">
        <v>4256</v>
      </c>
      <c r="B4" t="s">
        <v>38</v>
      </c>
      <c r="C4" t="s">
        <v>4257</v>
      </c>
      <c r="D4" t="s">
        <v>4252</v>
      </c>
      <c r="E4">
        <v>3</v>
      </c>
      <c r="F4" t="s">
        <v>4258</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3454</v>
      </c>
      <c r="C1" t="s">
        <v>3497</v>
      </c>
      <c r="D1" t="s">
        <v>4259</v>
      </c>
      <c r="E1" t="s">
        <v>4260</v>
      </c>
      <c r="F1" t="s">
        <v>4261</v>
      </c>
    </row>
    <row r="2" spans="1:6" x14ac:dyDescent="0.25">
      <c r="A2" t="s">
        <v>4262</v>
      </c>
      <c r="B2" t="s">
        <v>4263</v>
      </c>
      <c r="C2" t="s">
        <v>4264</v>
      </c>
      <c r="E2" t="s">
        <v>4265</v>
      </c>
      <c r="F2" t="s">
        <v>4262</v>
      </c>
    </row>
    <row r="3" spans="1:6" x14ac:dyDescent="0.25">
      <c r="A3" t="s">
        <v>7613</v>
      </c>
      <c r="B3" t="s">
        <v>7616</v>
      </c>
      <c r="C3" t="s">
        <v>7648</v>
      </c>
      <c r="E3" t="s">
        <v>7617</v>
      </c>
      <c r="F3" t="s">
        <v>7613</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3454</v>
      </c>
      <c r="D1" t="s">
        <v>3497</v>
      </c>
      <c r="E1" t="s">
        <v>4259</v>
      </c>
      <c r="F1" t="s">
        <v>3442</v>
      </c>
      <c r="G1" t="s">
        <v>4261</v>
      </c>
    </row>
    <row r="2" spans="1:7" x14ac:dyDescent="0.25">
      <c r="A2" t="s">
        <v>4266</v>
      </c>
      <c r="B2" t="s">
        <v>4267</v>
      </c>
      <c r="C2" t="s">
        <v>4268</v>
      </c>
      <c r="D2" t="s">
        <v>4269</v>
      </c>
      <c r="E2" t="s">
        <v>4270</v>
      </c>
      <c r="F2">
        <v>1</v>
      </c>
      <c r="G2" t="s">
        <v>4266</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45"/>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3739</v>
      </c>
      <c r="B1" t="s">
        <v>167</v>
      </c>
      <c r="C1" t="s">
        <v>3735</v>
      </c>
      <c r="D1" t="s">
        <v>8036</v>
      </c>
      <c r="E1" t="s">
        <v>8037</v>
      </c>
      <c r="F1" t="s">
        <v>8038</v>
      </c>
      <c r="G1" t="s">
        <v>8039</v>
      </c>
      <c r="H1" t="s">
        <v>8063</v>
      </c>
      <c r="I1" t="s">
        <v>8040</v>
      </c>
      <c r="J1" t="s">
        <v>170</v>
      </c>
    </row>
    <row r="2" spans="1:10" x14ac:dyDescent="0.25">
      <c r="A2" t="s">
        <v>3897</v>
      </c>
      <c r="B2" t="s">
        <v>3839</v>
      </c>
      <c r="C2" t="s">
        <v>3743</v>
      </c>
      <c r="D2" t="s">
        <v>8043</v>
      </c>
      <c r="E2" t="s">
        <v>3896</v>
      </c>
      <c r="G2" t="s">
        <v>8042</v>
      </c>
      <c r="H2" t="s">
        <v>8064</v>
      </c>
    </row>
    <row r="3" spans="1:10" x14ac:dyDescent="0.25">
      <c r="A3" t="s">
        <v>8057</v>
      </c>
      <c r="D3" t="s">
        <v>6460</v>
      </c>
      <c r="E3" t="s">
        <v>5281</v>
      </c>
      <c r="F3" t="s">
        <v>8053</v>
      </c>
      <c r="G3" t="s">
        <v>8054</v>
      </c>
      <c r="H3" t="s">
        <v>8065</v>
      </c>
    </row>
    <row r="4" spans="1:10" x14ac:dyDescent="0.25">
      <c r="A4" t="s">
        <v>3487</v>
      </c>
      <c r="D4" t="s">
        <v>8051</v>
      </c>
      <c r="E4" t="s">
        <v>3486</v>
      </c>
      <c r="G4" t="s">
        <v>8042</v>
      </c>
      <c r="H4" t="s">
        <v>8065</v>
      </c>
    </row>
    <row r="5" spans="1:10" x14ac:dyDescent="0.25">
      <c r="A5" t="s">
        <v>7889</v>
      </c>
      <c r="B5" t="s">
        <v>3752</v>
      </c>
      <c r="C5" t="s">
        <v>3777</v>
      </c>
      <c r="D5" t="s">
        <v>8043</v>
      </c>
      <c r="E5" t="s">
        <v>7888</v>
      </c>
      <c r="G5" t="s">
        <v>8042</v>
      </c>
      <c r="H5" t="s">
        <v>8064</v>
      </c>
    </row>
    <row r="6" spans="1:10" x14ac:dyDescent="0.25">
      <c r="A6" t="s">
        <v>8061</v>
      </c>
      <c r="D6" t="s">
        <v>6460</v>
      </c>
      <c r="E6" t="s">
        <v>5152</v>
      </c>
      <c r="F6" t="s">
        <v>8053</v>
      </c>
      <c r="G6" t="s">
        <v>8054</v>
      </c>
      <c r="H6" t="s">
        <v>8065</v>
      </c>
    </row>
    <row r="7" spans="1:10" x14ac:dyDescent="0.25">
      <c r="A7" t="s">
        <v>8062</v>
      </c>
      <c r="D7" t="s">
        <v>6460</v>
      </c>
      <c r="E7" t="s">
        <v>4003</v>
      </c>
      <c r="F7" t="s">
        <v>8053</v>
      </c>
      <c r="G7" t="s">
        <v>8054</v>
      </c>
      <c r="H7" t="s">
        <v>8065</v>
      </c>
    </row>
    <row r="8" spans="1:10" x14ac:dyDescent="0.25">
      <c r="A8" t="s">
        <v>3933</v>
      </c>
      <c r="B8" t="s">
        <v>3833</v>
      </c>
      <c r="C8" t="s">
        <v>3791</v>
      </c>
      <c r="D8" t="s">
        <v>8043</v>
      </c>
      <c r="E8" t="s">
        <v>3932</v>
      </c>
      <c r="G8" t="s">
        <v>8042</v>
      </c>
      <c r="H8" t="s">
        <v>8065</v>
      </c>
    </row>
    <row r="9" spans="1:10" x14ac:dyDescent="0.25">
      <c r="A9" t="s">
        <v>8091</v>
      </c>
      <c r="D9" t="s">
        <v>6460</v>
      </c>
      <c r="E9" t="s">
        <v>3992</v>
      </c>
      <c r="F9" t="s">
        <v>8053</v>
      </c>
      <c r="G9" t="s">
        <v>8054</v>
      </c>
      <c r="H9" t="s">
        <v>8065</v>
      </c>
    </row>
    <row r="10" spans="1:10" x14ac:dyDescent="0.25">
      <c r="A10" t="s">
        <v>3955</v>
      </c>
      <c r="B10" t="s">
        <v>3756</v>
      </c>
      <c r="C10" t="s">
        <v>3777</v>
      </c>
      <c r="D10" t="s">
        <v>8043</v>
      </c>
      <c r="E10" t="s">
        <v>3954</v>
      </c>
      <c r="G10" t="s">
        <v>8042</v>
      </c>
      <c r="H10" t="s">
        <v>8064</v>
      </c>
    </row>
    <row r="11" spans="1:10" x14ac:dyDescent="0.25">
      <c r="A11" t="s">
        <v>3879</v>
      </c>
      <c r="B11" t="s">
        <v>3752</v>
      </c>
      <c r="C11" t="s">
        <v>3777</v>
      </c>
      <c r="D11" t="s">
        <v>8041</v>
      </c>
      <c r="E11" t="s">
        <v>3878</v>
      </c>
      <c r="G11" t="s">
        <v>8042</v>
      </c>
      <c r="H11" t="s">
        <v>8064</v>
      </c>
    </row>
    <row r="12" spans="1:10" x14ac:dyDescent="0.25">
      <c r="A12" t="s">
        <v>3881</v>
      </c>
      <c r="B12" t="s">
        <v>3752</v>
      </c>
      <c r="C12" t="s">
        <v>3791</v>
      </c>
      <c r="D12" t="s">
        <v>8041</v>
      </c>
      <c r="E12" t="s">
        <v>3880</v>
      </c>
      <c r="G12" t="s">
        <v>8042</v>
      </c>
      <c r="H12" t="s">
        <v>8064</v>
      </c>
    </row>
    <row r="13" spans="1:10" x14ac:dyDescent="0.25">
      <c r="A13" t="s">
        <v>3859</v>
      </c>
      <c r="B13" t="s">
        <v>3752</v>
      </c>
      <c r="C13" t="s">
        <v>3777</v>
      </c>
      <c r="D13" t="s">
        <v>8041</v>
      </c>
      <c r="E13" t="s">
        <v>3858</v>
      </c>
      <c r="G13" t="s">
        <v>8042</v>
      </c>
      <c r="H13" t="s">
        <v>8064</v>
      </c>
    </row>
    <row r="14" spans="1:10" x14ac:dyDescent="0.25">
      <c r="A14" t="s">
        <v>3905</v>
      </c>
      <c r="B14" t="s">
        <v>3752</v>
      </c>
      <c r="C14" t="s">
        <v>3777</v>
      </c>
      <c r="D14" t="s">
        <v>8043</v>
      </c>
      <c r="E14" t="s">
        <v>3904</v>
      </c>
      <c r="G14" t="s">
        <v>8042</v>
      </c>
      <c r="H14" t="s">
        <v>8064</v>
      </c>
    </row>
    <row r="15" spans="1:10" x14ac:dyDescent="0.25">
      <c r="A15" t="s">
        <v>7435</v>
      </c>
      <c r="B15" t="s">
        <v>3752</v>
      </c>
      <c r="C15" t="s">
        <v>3791</v>
      </c>
      <c r="D15" t="s">
        <v>8041</v>
      </c>
      <c r="E15" t="s">
        <v>3790</v>
      </c>
      <c r="G15" t="s">
        <v>8042</v>
      </c>
      <c r="H15" t="s">
        <v>8064</v>
      </c>
    </row>
    <row r="16" spans="1:10" x14ac:dyDescent="0.25">
      <c r="A16" t="s">
        <v>3854</v>
      </c>
      <c r="B16" t="s">
        <v>3752</v>
      </c>
      <c r="C16" t="s">
        <v>3777</v>
      </c>
      <c r="D16" t="s">
        <v>8041</v>
      </c>
      <c r="E16" t="s">
        <v>3853</v>
      </c>
      <c r="G16" t="s">
        <v>8042</v>
      </c>
      <c r="H16" t="s">
        <v>8064</v>
      </c>
    </row>
    <row r="17" spans="1:9" x14ac:dyDescent="0.25">
      <c r="A17" t="s">
        <v>3902</v>
      </c>
      <c r="B17" t="s">
        <v>3752</v>
      </c>
      <c r="C17" t="s">
        <v>3777</v>
      </c>
      <c r="D17" t="s">
        <v>8043</v>
      </c>
      <c r="E17" t="s">
        <v>3901</v>
      </c>
      <c r="G17" t="s">
        <v>8042</v>
      </c>
      <c r="H17" t="s">
        <v>8064</v>
      </c>
    </row>
    <row r="18" spans="1:9" x14ac:dyDescent="0.25">
      <c r="A18" t="s">
        <v>3862</v>
      </c>
      <c r="B18" t="s">
        <v>3752</v>
      </c>
      <c r="C18" t="s">
        <v>3777</v>
      </c>
      <c r="D18" t="s">
        <v>8041</v>
      </c>
      <c r="E18" t="s">
        <v>3861</v>
      </c>
      <c r="G18" t="s">
        <v>8042</v>
      </c>
      <c r="H18" t="s">
        <v>8064</v>
      </c>
    </row>
    <row r="19" spans="1:9" x14ac:dyDescent="0.25">
      <c r="A19" t="s">
        <v>8071</v>
      </c>
      <c r="D19" t="s">
        <v>8051</v>
      </c>
      <c r="E19" t="s">
        <v>3473</v>
      </c>
      <c r="G19" t="s">
        <v>8042</v>
      </c>
      <c r="H19" t="s">
        <v>8065</v>
      </c>
    </row>
    <row r="20" spans="1:9" x14ac:dyDescent="0.25">
      <c r="A20" t="s">
        <v>3925</v>
      </c>
      <c r="B20" t="s">
        <v>3745</v>
      </c>
      <c r="C20" t="s">
        <v>3777</v>
      </c>
      <c r="D20" t="s">
        <v>8043</v>
      </c>
      <c r="E20" t="s">
        <v>8044</v>
      </c>
      <c r="G20" t="s">
        <v>8042</v>
      </c>
      <c r="H20" t="s">
        <v>8064</v>
      </c>
    </row>
    <row r="21" spans="1:9" x14ac:dyDescent="0.25">
      <c r="A21" t="s">
        <v>8072</v>
      </c>
      <c r="D21" t="s">
        <v>8051</v>
      </c>
      <c r="E21" t="s">
        <v>3476</v>
      </c>
      <c r="G21" t="s">
        <v>8042</v>
      </c>
      <c r="H21" t="s">
        <v>8065</v>
      </c>
    </row>
    <row r="22" spans="1:9" x14ac:dyDescent="0.25">
      <c r="A22" t="s">
        <v>3835</v>
      </c>
      <c r="B22" t="s">
        <v>3752</v>
      </c>
      <c r="C22" t="s">
        <v>3777</v>
      </c>
      <c r="D22" t="s">
        <v>8041</v>
      </c>
      <c r="E22" t="s">
        <v>3834</v>
      </c>
      <c r="G22" t="s">
        <v>8042</v>
      </c>
      <c r="H22" t="s">
        <v>8064</v>
      </c>
    </row>
    <row r="23" spans="1:9" x14ac:dyDescent="0.25">
      <c r="A23" t="s">
        <v>3895</v>
      </c>
      <c r="B23" t="s">
        <v>3756</v>
      </c>
      <c r="C23" t="s">
        <v>3743</v>
      </c>
      <c r="D23" t="s">
        <v>8043</v>
      </c>
      <c r="E23" t="s">
        <v>3894</v>
      </c>
      <c r="G23" t="s">
        <v>8042</v>
      </c>
      <c r="H23" t="s">
        <v>8064</v>
      </c>
    </row>
    <row r="24" spans="1:9" x14ac:dyDescent="0.25">
      <c r="A24" t="s">
        <v>8067</v>
      </c>
      <c r="B24" t="s">
        <v>3745</v>
      </c>
      <c r="C24" t="s">
        <v>3743</v>
      </c>
      <c r="D24" t="s">
        <v>8041</v>
      </c>
      <c r="E24" t="s">
        <v>3742</v>
      </c>
      <c r="G24" t="s">
        <v>8042</v>
      </c>
      <c r="H24" t="s">
        <v>8064</v>
      </c>
      <c r="I24">
        <v>3</v>
      </c>
    </row>
    <row r="25" spans="1:9" x14ac:dyDescent="0.25">
      <c r="A25" t="s">
        <v>8068</v>
      </c>
      <c r="B25" t="s">
        <v>3745</v>
      </c>
      <c r="C25" t="s">
        <v>3743</v>
      </c>
      <c r="D25" t="s">
        <v>8041</v>
      </c>
      <c r="E25" t="s">
        <v>3843</v>
      </c>
      <c r="G25" t="s">
        <v>8042</v>
      </c>
      <c r="H25" t="s">
        <v>8064</v>
      </c>
      <c r="I25">
        <v>3</v>
      </c>
    </row>
    <row r="26" spans="1:9" x14ac:dyDescent="0.25">
      <c r="A26" t="s">
        <v>8066</v>
      </c>
      <c r="B26" t="s">
        <v>3745</v>
      </c>
      <c r="C26" t="s">
        <v>3777</v>
      </c>
      <c r="D26" t="s">
        <v>8041</v>
      </c>
      <c r="E26" t="s">
        <v>3776</v>
      </c>
      <c r="G26" t="s">
        <v>8042</v>
      </c>
      <c r="H26" t="s">
        <v>8064</v>
      </c>
      <c r="I26">
        <v>5</v>
      </c>
    </row>
    <row r="27" spans="1:9" x14ac:dyDescent="0.25">
      <c r="A27" t="s">
        <v>8069</v>
      </c>
      <c r="B27" t="s">
        <v>3745</v>
      </c>
      <c r="C27" t="s">
        <v>3743</v>
      </c>
      <c r="D27" t="s">
        <v>8041</v>
      </c>
      <c r="E27" t="s">
        <v>3770</v>
      </c>
      <c r="G27" t="s">
        <v>8042</v>
      </c>
      <c r="H27" t="s">
        <v>8064</v>
      </c>
      <c r="I27">
        <v>3</v>
      </c>
    </row>
    <row r="28" spans="1:9" x14ac:dyDescent="0.25">
      <c r="A28" t="s">
        <v>3939</v>
      </c>
      <c r="B28" t="s">
        <v>3745</v>
      </c>
      <c r="C28" t="s">
        <v>3743</v>
      </c>
      <c r="D28" t="s">
        <v>8043</v>
      </c>
      <c r="E28" t="s">
        <v>3938</v>
      </c>
      <c r="G28" t="s">
        <v>8042</v>
      </c>
      <c r="H28" t="s">
        <v>8064</v>
      </c>
    </row>
    <row r="29" spans="1:9" x14ac:dyDescent="0.25">
      <c r="A29" t="s">
        <v>3779</v>
      </c>
      <c r="B29" t="s">
        <v>3745</v>
      </c>
      <c r="C29" t="s">
        <v>3777</v>
      </c>
      <c r="D29" t="s">
        <v>8041</v>
      </c>
      <c r="E29" t="s">
        <v>3778</v>
      </c>
      <c r="G29" t="s">
        <v>8042</v>
      </c>
      <c r="H29" t="s">
        <v>8064</v>
      </c>
    </row>
    <row r="30" spans="1:9" x14ac:dyDescent="0.25">
      <c r="A30" t="s">
        <v>3950</v>
      </c>
      <c r="B30" t="s">
        <v>3745</v>
      </c>
      <c r="C30" t="s">
        <v>3743</v>
      </c>
      <c r="D30" t="s">
        <v>8043</v>
      </c>
      <c r="E30" t="s">
        <v>3949</v>
      </c>
      <c r="G30" t="s">
        <v>8042</v>
      </c>
      <c r="H30" t="s">
        <v>8064</v>
      </c>
    </row>
    <row r="31" spans="1:9" x14ac:dyDescent="0.25">
      <c r="A31" t="s">
        <v>7986</v>
      </c>
      <c r="B31" t="s">
        <v>3745</v>
      </c>
      <c r="C31" t="s">
        <v>3743</v>
      </c>
      <c r="D31" t="s">
        <v>8041</v>
      </c>
      <c r="E31" t="s">
        <v>5083</v>
      </c>
      <c r="G31" t="s">
        <v>8042</v>
      </c>
      <c r="H31" t="s">
        <v>8064</v>
      </c>
    </row>
    <row r="32" spans="1:9" x14ac:dyDescent="0.25">
      <c r="A32" t="s">
        <v>3794</v>
      </c>
      <c r="B32" t="s">
        <v>3745</v>
      </c>
      <c r="C32" t="s">
        <v>3791</v>
      </c>
      <c r="D32" t="s">
        <v>8041</v>
      </c>
      <c r="E32" t="s">
        <v>3792</v>
      </c>
      <c r="G32" t="s">
        <v>8042</v>
      </c>
      <c r="H32" t="s">
        <v>8064</v>
      </c>
    </row>
    <row r="33" spans="1:9" x14ac:dyDescent="0.25">
      <c r="A33" t="s">
        <v>3912</v>
      </c>
      <c r="B33" t="s">
        <v>3745</v>
      </c>
      <c r="C33" t="s">
        <v>3911</v>
      </c>
      <c r="D33" t="s">
        <v>8043</v>
      </c>
      <c r="E33" t="s">
        <v>3910</v>
      </c>
      <c r="G33" t="s">
        <v>8042</v>
      </c>
      <c r="H33" t="s">
        <v>8064</v>
      </c>
    </row>
    <row r="34" spans="1:9" x14ac:dyDescent="0.25">
      <c r="A34" t="s">
        <v>7691</v>
      </c>
      <c r="B34" t="s">
        <v>3745</v>
      </c>
      <c r="C34" t="s">
        <v>3777</v>
      </c>
      <c r="D34" t="s">
        <v>8041</v>
      </c>
      <c r="E34" t="s">
        <v>7690</v>
      </c>
      <c r="G34" t="s">
        <v>8042</v>
      </c>
      <c r="H34" t="s">
        <v>8064</v>
      </c>
    </row>
    <row r="35" spans="1:9" x14ac:dyDescent="0.25">
      <c r="A35" t="s">
        <v>3856</v>
      </c>
      <c r="B35" t="s">
        <v>3745</v>
      </c>
      <c r="C35" t="s">
        <v>3777</v>
      </c>
      <c r="D35" t="s">
        <v>8041</v>
      </c>
      <c r="E35" t="s">
        <v>3855</v>
      </c>
      <c r="G35" t="s">
        <v>8042</v>
      </c>
      <c r="H35" t="s">
        <v>8064</v>
      </c>
    </row>
    <row r="36" spans="1:9" x14ac:dyDescent="0.25">
      <c r="A36" t="s">
        <v>8049</v>
      </c>
      <c r="B36" t="s">
        <v>3745</v>
      </c>
      <c r="C36" t="s">
        <v>3777</v>
      </c>
      <c r="D36" t="s">
        <v>8043</v>
      </c>
      <c r="E36" t="s">
        <v>7430</v>
      </c>
      <c r="F36" t="s">
        <v>8050</v>
      </c>
      <c r="G36" t="s">
        <v>8042</v>
      </c>
      <c r="H36" t="s">
        <v>8064</v>
      </c>
    </row>
    <row r="37" spans="1:9" x14ac:dyDescent="0.25">
      <c r="A37" t="s">
        <v>7978</v>
      </c>
      <c r="B37" t="s">
        <v>3745</v>
      </c>
      <c r="C37" t="s">
        <v>3791</v>
      </c>
      <c r="D37" t="s">
        <v>8041</v>
      </c>
      <c r="E37" t="s">
        <v>7975</v>
      </c>
      <c r="G37" t="s">
        <v>8042</v>
      </c>
      <c r="H37" t="s">
        <v>8064</v>
      </c>
    </row>
    <row r="38" spans="1:9" x14ac:dyDescent="0.25">
      <c r="A38" t="s">
        <v>3768</v>
      </c>
      <c r="B38" t="s">
        <v>3745</v>
      </c>
      <c r="C38" t="s">
        <v>3743</v>
      </c>
      <c r="D38" t="s">
        <v>8041</v>
      </c>
      <c r="E38" t="s">
        <v>3767</v>
      </c>
      <c r="G38" t="s">
        <v>8042</v>
      </c>
      <c r="H38" t="s">
        <v>8064</v>
      </c>
    </row>
    <row r="39" spans="1:9" x14ac:dyDescent="0.25">
      <c r="A39" t="s">
        <v>8058</v>
      </c>
      <c r="B39" t="s">
        <v>3745</v>
      </c>
      <c r="C39" t="s">
        <v>3777</v>
      </c>
      <c r="D39" t="s">
        <v>8041</v>
      </c>
      <c r="E39" t="s">
        <v>3787</v>
      </c>
      <c r="G39" t="s">
        <v>8042</v>
      </c>
      <c r="H39" t="s">
        <v>8064</v>
      </c>
      <c r="I39">
        <v>2</v>
      </c>
    </row>
    <row r="40" spans="1:9" x14ac:dyDescent="0.25">
      <c r="A40" t="s">
        <v>8059</v>
      </c>
      <c r="B40" t="s">
        <v>3745</v>
      </c>
      <c r="C40" t="s">
        <v>3791</v>
      </c>
      <c r="D40" t="s">
        <v>8041</v>
      </c>
      <c r="E40" t="s">
        <v>3800</v>
      </c>
      <c r="G40" t="s">
        <v>8042</v>
      </c>
      <c r="H40" t="s">
        <v>8064</v>
      </c>
      <c r="I40">
        <v>3</v>
      </c>
    </row>
    <row r="41" spans="1:9" x14ac:dyDescent="0.25">
      <c r="A41" t="s">
        <v>3762</v>
      </c>
      <c r="B41" t="s">
        <v>3745</v>
      </c>
      <c r="C41" t="s">
        <v>3743</v>
      </c>
      <c r="D41" t="s">
        <v>8041</v>
      </c>
      <c r="E41" t="s">
        <v>3761</v>
      </c>
      <c r="G41" t="s">
        <v>8042</v>
      </c>
      <c r="H41" t="s">
        <v>8064</v>
      </c>
    </row>
    <row r="42" spans="1:9" x14ac:dyDescent="0.25">
      <c r="A42" t="s">
        <v>3773</v>
      </c>
      <c r="B42" t="s">
        <v>3745</v>
      </c>
      <c r="C42" t="s">
        <v>3743</v>
      </c>
      <c r="D42" t="s">
        <v>8041</v>
      </c>
      <c r="E42" t="s">
        <v>3772</v>
      </c>
      <c r="G42" t="s">
        <v>8042</v>
      </c>
      <c r="H42" t="s">
        <v>8064</v>
      </c>
    </row>
    <row r="43" spans="1:9" x14ac:dyDescent="0.25">
      <c r="A43" t="s">
        <v>3885</v>
      </c>
      <c r="B43" t="s">
        <v>3745</v>
      </c>
      <c r="C43" t="s">
        <v>3743</v>
      </c>
      <c r="D43" t="s">
        <v>8043</v>
      </c>
      <c r="E43" t="s">
        <v>3884</v>
      </c>
      <c r="G43" t="s">
        <v>8042</v>
      </c>
      <c r="H43" t="s">
        <v>8064</v>
      </c>
    </row>
    <row r="44" spans="1:9" x14ac:dyDescent="0.25">
      <c r="A44" t="s">
        <v>7973</v>
      </c>
      <c r="B44" t="s">
        <v>3745</v>
      </c>
      <c r="C44" t="s">
        <v>3911</v>
      </c>
      <c r="D44" t="s">
        <v>8041</v>
      </c>
      <c r="E44" t="s">
        <v>7972</v>
      </c>
      <c r="G44" t="s">
        <v>8042</v>
      </c>
      <c r="H44" t="s">
        <v>8064</v>
      </c>
    </row>
    <row r="45" spans="1:9" x14ac:dyDescent="0.25">
      <c r="A45" t="s">
        <v>3749</v>
      </c>
      <c r="B45" t="s">
        <v>3745</v>
      </c>
      <c r="C45" t="s">
        <v>3743</v>
      </c>
      <c r="D45" t="s">
        <v>8041</v>
      </c>
      <c r="E45" t="s">
        <v>3748</v>
      </c>
      <c r="G45" t="s">
        <v>8042</v>
      </c>
      <c r="H45" t="s">
        <v>8064</v>
      </c>
    </row>
    <row r="46" spans="1:9" x14ac:dyDescent="0.25">
      <c r="A46" t="s">
        <v>7688</v>
      </c>
      <c r="B46" t="s">
        <v>3745</v>
      </c>
      <c r="C46" t="s">
        <v>3743</v>
      </c>
      <c r="D46" t="s">
        <v>8041</v>
      </c>
      <c r="E46" t="s">
        <v>7687</v>
      </c>
      <c r="G46" t="s">
        <v>8042</v>
      </c>
      <c r="H46" t="s">
        <v>8064</v>
      </c>
    </row>
    <row r="47" spans="1:9" x14ac:dyDescent="0.25">
      <c r="A47" t="s">
        <v>3830</v>
      </c>
      <c r="B47" t="s">
        <v>3745</v>
      </c>
      <c r="C47" t="s">
        <v>3777</v>
      </c>
      <c r="D47" t="s">
        <v>8041</v>
      </c>
      <c r="E47" t="s">
        <v>3829</v>
      </c>
      <c r="G47" t="s">
        <v>8042</v>
      </c>
      <c r="H47" t="s">
        <v>8064</v>
      </c>
    </row>
    <row r="48" spans="1:9" x14ac:dyDescent="0.25">
      <c r="A48" t="s">
        <v>3826</v>
      </c>
      <c r="B48" t="s">
        <v>3745</v>
      </c>
      <c r="C48" t="s">
        <v>3743</v>
      </c>
      <c r="D48" t="s">
        <v>8041</v>
      </c>
      <c r="E48" t="s">
        <v>3825</v>
      </c>
      <c r="G48" t="s">
        <v>8042</v>
      </c>
      <c r="H48" t="s">
        <v>8064</v>
      </c>
    </row>
    <row r="49" spans="1:8" x14ac:dyDescent="0.25">
      <c r="A49" t="s">
        <v>3785</v>
      </c>
      <c r="B49" t="s">
        <v>3745</v>
      </c>
      <c r="C49" t="s">
        <v>3777</v>
      </c>
      <c r="D49" t="s">
        <v>8041</v>
      </c>
      <c r="E49" t="s">
        <v>3784</v>
      </c>
      <c r="G49" t="s">
        <v>8042</v>
      </c>
      <c r="H49" t="s">
        <v>8064</v>
      </c>
    </row>
    <row r="50" spans="1:8" x14ac:dyDescent="0.25">
      <c r="A50" t="s">
        <v>7441</v>
      </c>
      <c r="B50" t="s">
        <v>3745</v>
      </c>
      <c r="C50" t="s">
        <v>3743</v>
      </c>
      <c r="D50" t="s">
        <v>8041</v>
      </c>
      <c r="E50" t="s">
        <v>7440</v>
      </c>
      <c r="G50" t="s">
        <v>8042</v>
      </c>
      <c r="H50" t="s">
        <v>8064</v>
      </c>
    </row>
    <row r="51" spans="1:8" x14ac:dyDescent="0.25">
      <c r="A51" t="s">
        <v>3892</v>
      </c>
      <c r="B51" t="s">
        <v>3745</v>
      </c>
      <c r="C51" t="s">
        <v>3743</v>
      </c>
      <c r="D51" t="s">
        <v>8043</v>
      </c>
      <c r="E51" t="s">
        <v>3891</v>
      </c>
      <c r="G51" t="s">
        <v>8042</v>
      </c>
      <c r="H51" t="s">
        <v>8064</v>
      </c>
    </row>
    <row r="52" spans="1:8" x14ac:dyDescent="0.25">
      <c r="A52" t="s">
        <v>3909</v>
      </c>
      <c r="B52" t="s">
        <v>3745</v>
      </c>
      <c r="C52" t="s">
        <v>3791</v>
      </c>
      <c r="D52" t="s">
        <v>8043</v>
      </c>
      <c r="E52" t="s">
        <v>3469</v>
      </c>
      <c r="G52" t="s">
        <v>8042</v>
      </c>
      <c r="H52" t="s">
        <v>8064</v>
      </c>
    </row>
    <row r="53" spans="1:8" x14ac:dyDescent="0.25">
      <c r="A53" t="s">
        <v>7702</v>
      </c>
      <c r="B53" t="s">
        <v>3752</v>
      </c>
      <c r="C53" t="s">
        <v>3743</v>
      </c>
      <c r="D53" t="s">
        <v>8041</v>
      </c>
      <c r="E53" t="s">
        <v>7701</v>
      </c>
      <c r="G53" t="s">
        <v>8042</v>
      </c>
      <c r="H53" t="s">
        <v>8064</v>
      </c>
    </row>
    <row r="54" spans="1:8" x14ac:dyDescent="0.25">
      <c r="A54" t="s">
        <v>7358</v>
      </c>
      <c r="B54" t="s">
        <v>3752</v>
      </c>
      <c r="C54" t="s">
        <v>3743</v>
      </c>
      <c r="D54" t="s">
        <v>8041</v>
      </c>
      <c r="E54" t="s">
        <v>7357</v>
      </c>
      <c r="G54" t="s">
        <v>8042</v>
      </c>
      <c r="H54" t="s">
        <v>8064</v>
      </c>
    </row>
    <row r="55" spans="1:8" x14ac:dyDescent="0.25">
      <c r="A55" t="s">
        <v>7902</v>
      </c>
      <c r="B55" t="s">
        <v>3752</v>
      </c>
      <c r="C55" t="s">
        <v>3777</v>
      </c>
      <c r="D55" t="s">
        <v>8043</v>
      </c>
      <c r="E55" t="s">
        <v>7903</v>
      </c>
      <c r="G55" t="s">
        <v>8042</v>
      </c>
      <c r="H55" t="s">
        <v>8064</v>
      </c>
    </row>
    <row r="56" spans="1:8" x14ac:dyDescent="0.25">
      <c r="A56" t="s">
        <v>3759</v>
      </c>
      <c r="B56" t="s">
        <v>3752</v>
      </c>
      <c r="C56" t="s">
        <v>3743</v>
      </c>
      <c r="D56" t="s">
        <v>8041</v>
      </c>
      <c r="E56" t="s">
        <v>3758</v>
      </c>
      <c r="G56" t="s">
        <v>8042</v>
      </c>
      <c r="H56" t="s">
        <v>8064</v>
      </c>
    </row>
    <row r="57" spans="1:8" x14ac:dyDescent="0.25">
      <c r="A57" t="s">
        <v>3842</v>
      </c>
      <c r="B57" t="s">
        <v>3745</v>
      </c>
      <c r="C57" t="s">
        <v>3743</v>
      </c>
      <c r="D57" t="s">
        <v>8041</v>
      </c>
      <c r="E57" t="s">
        <v>3841</v>
      </c>
      <c r="G57" t="s">
        <v>8042</v>
      </c>
      <c r="H57" t="s">
        <v>8064</v>
      </c>
    </row>
    <row r="58" spans="1:8" x14ac:dyDescent="0.25">
      <c r="A58" t="s">
        <v>8079</v>
      </c>
      <c r="B58" t="s">
        <v>3833</v>
      </c>
      <c r="C58" t="s">
        <v>3777</v>
      </c>
      <c r="D58" t="s">
        <v>8043</v>
      </c>
      <c r="E58" t="s">
        <v>3918</v>
      </c>
      <c r="G58" t="s">
        <v>8042</v>
      </c>
      <c r="H58" t="s">
        <v>8065</v>
      </c>
    </row>
    <row r="59" spans="1:8" x14ac:dyDescent="0.25">
      <c r="A59" t="s">
        <v>8080</v>
      </c>
      <c r="B59" t="s">
        <v>3833</v>
      </c>
      <c r="C59" t="s">
        <v>3777</v>
      </c>
      <c r="D59" t="s">
        <v>8043</v>
      </c>
      <c r="E59" t="s">
        <v>3922</v>
      </c>
      <c r="G59" t="s">
        <v>8042</v>
      </c>
      <c r="H59" t="s">
        <v>8065</v>
      </c>
    </row>
    <row r="60" spans="1:8" x14ac:dyDescent="0.25">
      <c r="A60" t="s">
        <v>8081</v>
      </c>
      <c r="B60" t="s">
        <v>3833</v>
      </c>
      <c r="C60" t="s">
        <v>3777</v>
      </c>
      <c r="D60" t="s">
        <v>8043</v>
      </c>
      <c r="E60" t="s">
        <v>3927</v>
      </c>
      <c r="G60" t="s">
        <v>8042</v>
      </c>
      <c r="H60" t="s">
        <v>8065</v>
      </c>
    </row>
    <row r="61" spans="1:8" x14ac:dyDescent="0.25">
      <c r="A61" t="s">
        <v>8082</v>
      </c>
      <c r="B61" t="s">
        <v>3833</v>
      </c>
      <c r="C61" t="s">
        <v>3777</v>
      </c>
      <c r="D61" t="s">
        <v>8043</v>
      </c>
      <c r="E61" t="s">
        <v>3920</v>
      </c>
      <c r="G61" t="s">
        <v>8042</v>
      </c>
      <c r="H61" t="s">
        <v>8065</v>
      </c>
    </row>
    <row r="62" spans="1:8" x14ac:dyDescent="0.25">
      <c r="A62" t="s">
        <v>8083</v>
      </c>
      <c r="B62" t="s">
        <v>3833</v>
      </c>
      <c r="C62" t="s">
        <v>3791</v>
      </c>
      <c r="D62" t="s">
        <v>8041</v>
      </c>
      <c r="E62" t="s">
        <v>3837</v>
      </c>
      <c r="G62" t="s">
        <v>8042</v>
      </c>
      <c r="H62" t="s">
        <v>8065</v>
      </c>
    </row>
    <row r="63" spans="1:8" x14ac:dyDescent="0.25">
      <c r="A63" t="s">
        <v>8084</v>
      </c>
      <c r="B63" t="s">
        <v>3833</v>
      </c>
      <c r="C63" t="s">
        <v>3743</v>
      </c>
      <c r="D63" t="s">
        <v>8041</v>
      </c>
      <c r="E63" t="s">
        <v>7895</v>
      </c>
      <c r="G63" t="s">
        <v>8042</v>
      </c>
      <c r="H63" t="s">
        <v>8065</v>
      </c>
    </row>
    <row r="64" spans="1:8" x14ac:dyDescent="0.25">
      <c r="A64" t="s">
        <v>8085</v>
      </c>
      <c r="B64" t="s">
        <v>3833</v>
      </c>
      <c r="C64" t="s">
        <v>3777</v>
      </c>
      <c r="D64" t="s">
        <v>8041</v>
      </c>
      <c r="E64" t="s">
        <v>3876</v>
      </c>
      <c r="G64" t="s">
        <v>8042</v>
      </c>
      <c r="H64" t="s">
        <v>8065</v>
      </c>
    </row>
    <row r="65" spans="1:8" x14ac:dyDescent="0.25">
      <c r="A65" t="s">
        <v>8086</v>
      </c>
      <c r="B65" t="s">
        <v>3833</v>
      </c>
      <c r="C65" t="s">
        <v>3743</v>
      </c>
      <c r="D65" t="s">
        <v>8043</v>
      </c>
      <c r="E65" t="s">
        <v>3890</v>
      </c>
      <c r="G65" t="s">
        <v>8042</v>
      </c>
      <c r="H65" t="s">
        <v>8065</v>
      </c>
    </row>
    <row r="66" spans="1:8" x14ac:dyDescent="0.25">
      <c r="A66" t="s">
        <v>8045</v>
      </c>
      <c r="B66" t="s">
        <v>3752</v>
      </c>
      <c r="C66" t="s">
        <v>3777</v>
      </c>
      <c r="D66" t="s">
        <v>8043</v>
      </c>
      <c r="E66" t="s">
        <v>7430</v>
      </c>
      <c r="F66" t="s">
        <v>8046</v>
      </c>
      <c r="G66" t="s">
        <v>8042</v>
      </c>
      <c r="H66" t="s">
        <v>8064</v>
      </c>
    </row>
    <row r="67" spans="1:8" x14ac:dyDescent="0.25">
      <c r="A67" t="s">
        <v>7913</v>
      </c>
      <c r="B67" t="s">
        <v>3752</v>
      </c>
      <c r="C67" t="s">
        <v>3777</v>
      </c>
      <c r="D67" t="s">
        <v>8043</v>
      </c>
      <c r="E67" t="s">
        <v>7912</v>
      </c>
      <c r="G67" t="s">
        <v>8042</v>
      </c>
      <c r="H67" t="s">
        <v>8064</v>
      </c>
    </row>
    <row r="68" spans="1:8" x14ac:dyDescent="0.25">
      <c r="A68" t="s">
        <v>7909</v>
      </c>
      <c r="B68" t="s">
        <v>3752</v>
      </c>
      <c r="C68" t="s">
        <v>3911</v>
      </c>
      <c r="D68" t="s">
        <v>8043</v>
      </c>
      <c r="E68" t="s">
        <v>7908</v>
      </c>
      <c r="G68" t="s">
        <v>8042</v>
      </c>
      <c r="H68" t="s">
        <v>8064</v>
      </c>
    </row>
    <row r="69" spans="1:8" x14ac:dyDescent="0.25">
      <c r="A69" t="s">
        <v>7971</v>
      </c>
      <c r="B69" t="s">
        <v>3756</v>
      </c>
      <c r="C69" t="s">
        <v>3777</v>
      </c>
      <c r="D69" t="s">
        <v>8041</v>
      </c>
      <c r="E69" t="s">
        <v>7970</v>
      </c>
      <c r="G69" t="s">
        <v>8042</v>
      </c>
      <c r="H69" t="s">
        <v>8064</v>
      </c>
    </row>
    <row r="70" spans="1:8" x14ac:dyDescent="0.25">
      <c r="A70" t="s">
        <v>3866</v>
      </c>
      <c r="B70" t="s">
        <v>3839</v>
      </c>
      <c r="C70" t="s">
        <v>3777</v>
      </c>
      <c r="D70" t="s">
        <v>8041</v>
      </c>
      <c r="E70" t="s">
        <v>3865</v>
      </c>
      <c r="G70" t="s">
        <v>8042</v>
      </c>
      <c r="H70" t="s">
        <v>8064</v>
      </c>
    </row>
    <row r="71" spans="1:8" x14ac:dyDescent="0.25">
      <c r="A71" t="s">
        <v>3953</v>
      </c>
      <c r="B71" t="s">
        <v>3752</v>
      </c>
      <c r="C71" t="s">
        <v>3777</v>
      </c>
      <c r="D71" t="s">
        <v>8043</v>
      </c>
      <c r="E71" t="s">
        <v>3952</v>
      </c>
      <c r="G71" t="s">
        <v>8042</v>
      </c>
      <c r="H71" t="s">
        <v>8064</v>
      </c>
    </row>
    <row r="72" spans="1:8" x14ac:dyDescent="0.25">
      <c r="A72" t="s">
        <v>3810</v>
      </c>
      <c r="B72" t="s">
        <v>3752</v>
      </c>
      <c r="C72" t="s">
        <v>3743</v>
      </c>
      <c r="D72" t="s">
        <v>8041</v>
      </c>
      <c r="E72" t="s">
        <v>3809</v>
      </c>
      <c r="G72" t="s">
        <v>8042</v>
      </c>
      <c r="H72" t="s">
        <v>8064</v>
      </c>
    </row>
    <row r="73" spans="1:8" x14ac:dyDescent="0.25">
      <c r="A73" t="s">
        <v>7893</v>
      </c>
      <c r="B73" t="s">
        <v>3752</v>
      </c>
      <c r="C73" t="s">
        <v>3791</v>
      </c>
      <c r="D73" t="s">
        <v>8041</v>
      </c>
      <c r="E73" t="s">
        <v>7892</v>
      </c>
      <c r="G73" t="s">
        <v>8042</v>
      </c>
      <c r="H73" t="s">
        <v>8064</v>
      </c>
    </row>
    <row r="74" spans="1:8" x14ac:dyDescent="0.25">
      <c r="A74" t="s">
        <v>3958</v>
      </c>
      <c r="B74" t="s">
        <v>3752</v>
      </c>
      <c r="C74" t="s">
        <v>3777</v>
      </c>
      <c r="D74" t="s">
        <v>8043</v>
      </c>
      <c r="E74" t="s">
        <v>3957</v>
      </c>
      <c r="G74" t="s">
        <v>8042</v>
      </c>
      <c r="H74" t="s">
        <v>8064</v>
      </c>
    </row>
    <row r="75" spans="1:8" x14ac:dyDescent="0.25">
      <c r="A75" t="s">
        <v>8073</v>
      </c>
      <c r="D75" t="s">
        <v>8051</v>
      </c>
      <c r="E75" t="s">
        <v>3489</v>
      </c>
      <c r="G75" t="s">
        <v>8042</v>
      </c>
      <c r="H75" t="s">
        <v>8065</v>
      </c>
    </row>
    <row r="76" spans="1:8" x14ac:dyDescent="0.25">
      <c r="A76" t="s">
        <v>3806</v>
      </c>
      <c r="B76" t="s">
        <v>3752</v>
      </c>
      <c r="C76" t="s">
        <v>3743</v>
      </c>
      <c r="D76" t="s">
        <v>8041</v>
      </c>
      <c r="E76" t="s">
        <v>3805</v>
      </c>
      <c r="G76" t="s">
        <v>8042</v>
      </c>
      <c r="H76" t="s">
        <v>8064</v>
      </c>
    </row>
    <row r="77" spans="1:8" x14ac:dyDescent="0.25">
      <c r="A77" t="s">
        <v>3868</v>
      </c>
      <c r="B77" t="s">
        <v>3839</v>
      </c>
      <c r="C77" t="s">
        <v>3791</v>
      </c>
      <c r="D77" t="s">
        <v>8041</v>
      </c>
      <c r="E77" t="s">
        <v>3867</v>
      </c>
      <c r="G77" t="s">
        <v>8042</v>
      </c>
      <c r="H77" t="s">
        <v>8064</v>
      </c>
    </row>
    <row r="78" spans="1:8" x14ac:dyDescent="0.25">
      <c r="A78" t="s">
        <v>3936</v>
      </c>
      <c r="B78" t="s">
        <v>3752</v>
      </c>
      <c r="C78" t="s">
        <v>3911</v>
      </c>
      <c r="D78" t="s">
        <v>8043</v>
      </c>
      <c r="E78" t="s">
        <v>3935</v>
      </c>
      <c r="G78" t="s">
        <v>8042</v>
      </c>
      <c r="H78" t="s">
        <v>8064</v>
      </c>
    </row>
    <row r="79" spans="1:8" x14ac:dyDescent="0.25">
      <c r="A79" t="s">
        <v>3961</v>
      </c>
      <c r="B79" t="s">
        <v>3839</v>
      </c>
      <c r="C79" t="s">
        <v>3791</v>
      </c>
      <c r="D79" t="s">
        <v>8043</v>
      </c>
      <c r="E79" t="s">
        <v>3959</v>
      </c>
      <c r="G79" t="s">
        <v>8042</v>
      </c>
      <c r="H79" t="s">
        <v>8064</v>
      </c>
    </row>
    <row r="80" spans="1:8" x14ac:dyDescent="0.25">
      <c r="A80" t="s">
        <v>3914</v>
      </c>
      <c r="B80" t="s">
        <v>3752</v>
      </c>
      <c r="C80" t="s">
        <v>3743</v>
      </c>
      <c r="D80" t="s">
        <v>8043</v>
      </c>
      <c r="E80" t="s">
        <v>3915</v>
      </c>
      <c r="G80" t="s">
        <v>8042</v>
      </c>
      <c r="H80" t="s">
        <v>8064</v>
      </c>
    </row>
    <row r="81" spans="1:8" x14ac:dyDescent="0.25">
      <c r="A81" t="s">
        <v>3775</v>
      </c>
      <c r="B81" t="s">
        <v>3752</v>
      </c>
      <c r="C81" t="s">
        <v>3743</v>
      </c>
      <c r="D81" t="s">
        <v>8041</v>
      </c>
      <c r="E81" t="s">
        <v>3774</v>
      </c>
      <c r="G81" t="s">
        <v>8042</v>
      </c>
      <c r="H81" t="s">
        <v>8064</v>
      </c>
    </row>
    <row r="82" spans="1:8" x14ac:dyDescent="0.25">
      <c r="A82" t="s">
        <v>3944</v>
      </c>
      <c r="B82" t="s">
        <v>3752</v>
      </c>
      <c r="C82" t="s">
        <v>3743</v>
      </c>
      <c r="D82" t="s">
        <v>8043</v>
      </c>
      <c r="E82" t="s">
        <v>3943</v>
      </c>
      <c r="G82" t="s">
        <v>8042</v>
      </c>
      <c r="H82" t="s">
        <v>8064</v>
      </c>
    </row>
    <row r="83" spans="1:8" x14ac:dyDescent="0.25">
      <c r="A83" t="s">
        <v>3798</v>
      </c>
      <c r="B83" t="s">
        <v>3752</v>
      </c>
      <c r="C83" t="s">
        <v>3791</v>
      </c>
      <c r="D83" t="s">
        <v>8041</v>
      </c>
      <c r="E83" t="s">
        <v>3797</v>
      </c>
      <c r="G83" t="s">
        <v>8042</v>
      </c>
      <c r="H83" t="s">
        <v>8064</v>
      </c>
    </row>
    <row r="84" spans="1:8" x14ac:dyDescent="0.25">
      <c r="A84" t="s">
        <v>8055</v>
      </c>
      <c r="D84" t="s">
        <v>6460</v>
      </c>
      <c r="E84" t="s">
        <v>3988</v>
      </c>
      <c r="F84" t="s">
        <v>8053</v>
      </c>
      <c r="G84" t="s">
        <v>8054</v>
      </c>
      <c r="H84" t="s">
        <v>8065</v>
      </c>
    </row>
    <row r="85" spans="1:8" x14ac:dyDescent="0.25">
      <c r="A85" t="s">
        <v>8056</v>
      </c>
      <c r="D85" t="s">
        <v>6460</v>
      </c>
      <c r="E85" t="s">
        <v>3983</v>
      </c>
      <c r="F85" t="s">
        <v>8053</v>
      </c>
      <c r="G85" t="s">
        <v>8054</v>
      </c>
      <c r="H85" t="s">
        <v>8065</v>
      </c>
    </row>
    <row r="86" spans="1:8" x14ac:dyDescent="0.25">
      <c r="A86" t="s">
        <v>8092</v>
      </c>
      <c r="D86" t="s">
        <v>6460</v>
      </c>
      <c r="E86" t="s">
        <v>4000</v>
      </c>
      <c r="F86" t="s">
        <v>8053</v>
      </c>
      <c r="G86" t="s">
        <v>8054</v>
      </c>
      <c r="H86" t="s">
        <v>8065</v>
      </c>
    </row>
    <row r="87" spans="1:8" x14ac:dyDescent="0.25">
      <c r="A87" t="s">
        <v>8070</v>
      </c>
      <c r="B87" t="s">
        <v>3745</v>
      </c>
      <c r="C87" t="s">
        <v>3911</v>
      </c>
      <c r="D87" t="s">
        <v>8043</v>
      </c>
      <c r="E87" t="s">
        <v>3966</v>
      </c>
      <c r="G87" t="s">
        <v>8042</v>
      </c>
      <c r="H87" t="s">
        <v>8064</v>
      </c>
    </row>
    <row r="88" spans="1:8" x14ac:dyDescent="0.25">
      <c r="A88" t="s">
        <v>8298</v>
      </c>
      <c r="D88" t="s">
        <v>8051</v>
      </c>
      <c r="E88" t="s">
        <v>3456</v>
      </c>
      <c r="G88" t="s">
        <v>8042</v>
      </c>
      <c r="H88" t="s">
        <v>8065</v>
      </c>
    </row>
    <row r="89" spans="1:8" x14ac:dyDescent="0.25">
      <c r="A89" t="s">
        <v>3942</v>
      </c>
      <c r="B89" t="s">
        <v>3752</v>
      </c>
      <c r="C89" t="s">
        <v>3743</v>
      </c>
      <c r="D89" t="s">
        <v>8043</v>
      </c>
      <c r="E89" t="s">
        <v>3941</v>
      </c>
      <c r="G89" t="s">
        <v>8042</v>
      </c>
      <c r="H89" t="s">
        <v>8064</v>
      </c>
    </row>
    <row r="90" spans="1:8" x14ac:dyDescent="0.25">
      <c r="A90" t="s">
        <v>8077</v>
      </c>
      <c r="D90" t="s">
        <v>8051</v>
      </c>
      <c r="E90" t="s">
        <v>3465</v>
      </c>
      <c r="G90" t="s">
        <v>8042</v>
      </c>
      <c r="H90" t="s">
        <v>8065</v>
      </c>
    </row>
    <row r="91" spans="1:8" x14ac:dyDescent="0.25">
      <c r="A91" t="s">
        <v>8076</v>
      </c>
      <c r="D91" t="s">
        <v>8051</v>
      </c>
      <c r="E91" t="s">
        <v>3484</v>
      </c>
      <c r="G91" t="s">
        <v>8042</v>
      </c>
      <c r="H91" t="s">
        <v>8065</v>
      </c>
    </row>
    <row r="92" spans="1:8" x14ac:dyDescent="0.25">
      <c r="A92" t="s">
        <v>8075</v>
      </c>
      <c r="B92" t="s">
        <v>3833</v>
      </c>
      <c r="C92" t="s">
        <v>3743</v>
      </c>
      <c r="D92" t="s">
        <v>8043</v>
      </c>
      <c r="E92" t="s">
        <v>3969</v>
      </c>
      <c r="G92" t="s">
        <v>8042</v>
      </c>
      <c r="H92" t="s">
        <v>8065</v>
      </c>
    </row>
    <row r="93" spans="1:8" x14ac:dyDescent="0.25">
      <c r="A93" t="s">
        <v>8075</v>
      </c>
      <c r="B93" t="s">
        <v>3833</v>
      </c>
      <c r="C93" t="s">
        <v>3777</v>
      </c>
      <c r="D93" t="s">
        <v>8043</v>
      </c>
      <c r="E93" t="s">
        <v>3970</v>
      </c>
      <c r="G93" t="s">
        <v>8042</v>
      </c>
      <c r="H93" t="s">
        <v>8065</v>
      </c>
    </row>
    <row r="94" spans="1:8" x14ac:dyDescent="0.25">
      <c r="A94" t="s">
        <v>3846</v>
      </c>
      <c r="B94" t="s">
        <v>3756</v>
      </c>
      <c r="C94" t="s">
        <v>3743</v>
      </c>
      <c r="D94" t="s">
        <v>8041</v>
      </c>
      <c r="E94" t="s">
        <v>3845</v>
      </c>
      <c r="G94" t="s">
        <v>8042</v>
      </c>
      <c r="H94" t="s">
        <v>8064</v>
      </c>
    </row>
    <row r="95" spans="1:8" x14ac:dyDescent="0.25">
      <c r="A95" t="s">
        <v>8060</v>
      </c>
      <c r="B95" t="s">
        <v>3756</v>
      </c>
      <c r="C95" t="s">
        <v>3743</v>
      </c>
      <c r="D95" t="s">
        <v>8041</v>
      </c>
      <c r="E95" t="s">
        <v>3755</v>
      </c>
      <c r="G95" t="s">
        <v>8042</v>
      </c>
      <c r="H95" t="s">
        <v>8064</v>
      </c>
    </row>
    <row r="96" spans="1:8" x14ac:dyDescent="0.25">
      <c r="A96" t="s">
        <v>8089</v>
      </c>
      <c r="B96" t="s">
        <v>3756</v>
      </c>
      <c r="C96" t="s">
        <v>3743</v>
      </c>
      <c r="D96" t="s">
        <v>8043</v>
      </c>
      <c r="E96" t="s">
        <v>3882</v>
      </c>
      <c r="G96" t="s">
        <v>8042</v>
      </c>
      <c r="H96" t="s">
        <v>8064</v>
      </c>
    </row>
    <row r="97" spans="1:9" x14ac:dyDescent="0.25">
      <c r="A97" t="s">
        <v>3946</v>
      </c>
      <c r="B97" t="s">
        <v>3756</v>
      </c>
      <c r="C97" t="s">
        <v>3743</v>
      </c>
      <c r="D97" t="s">
        <v>8043</v>
      </c>
      <c r="E97" t="s">
        <v>3945</v>
      </c>
      <c r="G97" t="s">
        <v>8042</v>
      </c>
      <c r="H97" t="s">
        <v>8064</v>
      </c>
    </row>
    <row r="98" spans="1:9" x14ac:dyDescent="0.25">
      <c r="A98" t="s">
        <v>8087</v>
      </c>
      <c r="B98" t="s">
        <v>3833</v>
      </c>
      <c r="C98" t="s">
        <v>3791</v>
      </c>
      <c r="D98" t="s">
        <v>8043</v>
      </c>
      <c r="E98" t="s">
        <v>7900</v>
      </c>
      <c r="G98" t="s">
        <v>8042</v>
      </c>
      <c r="H98" t="s">
        <v>8065</v>
      </c>
    </row>
    <row r="99" spans="1:9" x14ac:dyDescent="0.25">
      <c r="A99" t="s">
        <v>8093</v>
      </c>
      <c r="D99" t="s">
        <v>8051</v>
      </c>
      <c r="E99" t="s">
        <v>3492</v>
      </c>
      <c r="G99" t="s">
        <v>8042</v>
      </c>
      <c r="H99" t="s">
        <v>8065</v>
      </c>
    </row>
    <row r="100" spans="1:9" x14ac:dyDescent="0.25">
      <c r="A100" t="s">
        <v>3804</v>
      </c>
      <c r="B100" t="s">
        <v>3752</v>
      </c>
      <c r="C100" t="s">
        <v>3743</v>
      </c>
      <c r="D100" t="s">
        <v>8041</v>
      </c>
      <c r="E100" t="s">
        <v>3803</v>
      </c>
      <c r="G100" t="s">
        <v>8042</v>
      </c>
      <c r="H100" t="s">
        <v>8064</v>
      </c>
    </row>
    <row r="101" spans="1:9" x14ac:dyDescent="0.25">
      <c r="A101" t="s">
        <v>3908</v>
      </c>
      <c r="B101" t="s">
        <v>3752</v>
      </c>
      <c r="C101" t="s">
        <v>3777</v>
      </c>
      <c r="D101" t="s">
        <v>8043</v>
      </c>
      <c r="E101" t="s">
        <v>3907</v>
      </c>
      <c r="G101" t="s">
        <v>8042</v>
      </c>
      <c r="H101" t="s">
        <v>8064</v>
      </c>
    </row>
    <row r="102" spans="1:9" x14ac:dyDescent="0.25">
      <c r="A102" t="s">
        <v>7361</v>
      </c>
      <c r="B102" t="s">
        <v>3752</v>
      </c>
      <c r="C102" t="s">
        <v>3743</v>
      </c>
      <c r="D102" t="s">
        <v>8043</v>
      </c>
      <c r="E102" t="s">
        <v>7360</v>
      </c>
      <c r="G102" t="s">
        <v>8042</v>
      </c>
      <c r="H102" t="s">
        <v>8064</v>
      </c>
    </row>
    <row r="103" spans="1:9" x14ac:dyDescent="0.25">
      <c r="A103" t="s">
        <v>3818</v>
      </c>
      <c r="B103" t="s">
        <v>3752</v>
      </c>
      <c r="C103" t="s">
        <v>3743</v>
      </c>
      <c r="D103" t="s">
        <v>8041</v>
      </c>
      <c r="E103" t="s">
        <v>3817</v>
      </c>
      <c r="G103" t="s">
        <v>8042</v>
      </c>
      <c r="H103" t="s">
        <v>8064</v>
      </c>
    </row>
    <row r="104" spans="1:9" x14ac:dyDescent="0.25">
      <c r="A104" t="s">
        <v>3753</v>
      </c>
      <c r="B104" t="s">
        <v>3752</v>
      </c>
      <c r="C104" t="s">
        <v>3743</v>
      </c>
      <c r="D104" t="s">
        <v>8041</v>
      </c>
      <c r="E104" t="s">
        <v>3751</v>
      </c>
      <c r="G104" t="s">
        <v>8042</v>
      </c>
      <c r="H104" t="s">
        <v>8064</v>
      </c>
    </row>
    <row r="105" spans="1:9" x14ac:dyDescent="0.25">
      <c r="A105" t="s">
        <v>3948</v>
      </c>
      <c r="B105" t="s">
        <v>3752</v>
      </c>
      <c r="C105" t="s">
        <v>3743</v>
      </c>
      <c r="D105" t="s">
        <v>8043</v>
      </c>
      <c r="E105" t="s">
        <v>3947</v>
      </c>
      <c r="G105" t="s">
        <v>8042</v>
      </c>
      <c r="H105" t="s">
        <v>8064</v>
      </c>
    </row>
    <row r="106" spans="1:9" x14ac:dyDescent="0.25">
      <c r="A106" t="s">
        <v>8094</v>
      </c>
      <c r="D106" t="s">
        <v>8051</v>
      </c>
      <c r="E106" t="s">
        <v>3461</v>
      </c>
      <c r="G106" t="s">
        <v>8042</v>
      </c>
      <c r="H106" t="s">
        <v>8065</v>
      </c>
    </row>
    <row r="107" spans="1:9" x14ac:dyDescent="0.25">
      <c r="A107" t="s">
        <v>3849</v>
      </c>
      <c r="B107" t="s">
        <v>3752</v>
      </c>
      <c r="C107" t="s">
        <v>3777</v>
      </c>
      <c r="D107" t="s">
        <v>8041</v>
      </c>
      <c r="E107" t="s">
        <v>3848</v>
      </c>
      <c r="G107" t="s">
        <v>8042</v>
      </c>
      <c r="H107" t="s">
        <v>8064</v>
      </c>
    </row>
    <row r="108" spans="1:9" x14ac:dyDescent="0.25">
      <c r="A108" t="s">
        <v>3875</v>
      </c>
      <c r="B108" t="s">
        <v>3839</v>
      </c>
      <c r="C108" t="s">
        <v>3743</v>
      </c>
      <c r="D108" t="s">
        <v>8041</v>
      </c>
      <c r="E108" t="s">
        <v>3874</v>
      </c>
      <c r="G108" t="s">
        <v>8042</v>
      </c>
      <c r="H108" t="s">
        <v>8064</v>
      </c>
    </row>
    <row r="109" spans="1:9" x14ac:dyDescent="0.25">
      <c r="A109" t="s">
        <v>3781</v>
      </c>
      <c r="B109" t="s">
        <v>3752</v>
      </c>
      <c r="C109" t="s">
        <v>3777</v>
      </c>
      <c r="D109" t="s">
        <v>8041</v>
      </c>
      <c r="E109" t="s">
        <v>3780</v>
      </c>
      <c r="G109" t="s">
        <v>8042</v>
      </c>
      <c r="H109" t="s">
        <v>8064</v>
      </c>
    </row>
    <row r="110" spans="1:9" x14ac:dyDescent="0.25">
      <c r="A110" t="s">
        <v>7887</v>
      </c>
      <c r="B110" t="s">
        <v>3752</v>
      </c>
      <c r="C110" t="s">
        <v>3777</v>
      </c>
      <c r="D110" t="s">
        <v>8041</v>
      </c>
      <c r="E110" t="s">
        <v>7886</v>
      </c>
      <c r="G110" t="s">
        <v>8042</v>
      </c>
      <c r="H110" t="s">
        <v>8064</v>
      </c>
    </row>
    <row r="111" spans="1:9" x14ac:dyDescent="0.25">
      <c r="A111" t="s">
        <v>7881</v>
      </c>
      <c r="B111" t="s">
        <v>3752</v>
      </c>
      <c r="C111" t="s">
        <v>3743</v>
      </c>
      <c r="D111" t="s">
        <v>8041</v>
      </c>
      <c r="E111" t="s">
        <v>7880</v>
      </c>
      <c r="G111" t="s">
        <v>8042</v>
      </c>
      <c r="H111" t="s">
        <v>8064</v>
      </c>
    </row>
    <row r="112" spans="1:9" x14ac:dyDescent="0.25">
      <c r="A112" t="s">
        <v>8090</v>
      </c>
      <c r="B112" t="s">
        <v>3752</v>
      </c>
      <c r="C112" t="s">
        <v>3777</v>
      </c>
      <c r="D112" t="s">
        <v>8041</v>
      </c>
      <c r="E112" t="s">
        <v>7884</v>
      </c>
      <c r="G112" t="s">
        <v>8042</v>
      </c>
      <c r="H112" t="s">
        <v>8064</v>
      </c>
      <c r="I112">
        <v>2</v>
      </c>
    </row>
    <row r="113" spans="1:8" x14ac:dyDescent="0.25">
      <c r="A113" t="s">
        <v>3822</v>
      </c>
      <c r="B113" t="s">
        <v>3752</v>
      </c>
      <c r="C113" t="s">
        <v>3743</v>
      </c>
      <c r="D113" t="s">
        <v>8041</v>
      </c>
      <c r="E113" t="s">
        <v>3821</v>
      </c>
      <c r="G113" t="s">
        <v>8042</v>
      </c>
      <c r="H113" t="s">
        <v>8064</v>
      </c>
    </row>
    <row r="114" spans="1:8" x14ac:dyDescent="0.25">
      <c r="A114" t="s">
        <v>3973</v>
      </c>
      <c r="B114" t="s">
        <v>3745</v>
      </c>
      <c r="C114" t="s">
        <v>3791</v>
      </c>
      <c r="D114" t="s">
        <v>8043</v>
      </c>
      <c r="E114" t="s">
        <v>3972</v>
      </c>
      <c r="G114" t="s">
        <v>8042</v>
      </c>
      <c r="H114" t="s">
        <v>8064</v>
      </c>
    </row>
    <row r="115" spans="1:8" x14ac:dyDescent="0.25">
      <c r="A115" t="s">
        <v>3964</v>
      </c>
      <c r="B115" t="s">
        <v>3756</v>
      </c>
      <c r="C115" t="s">
        <v>3791</v>
      </c>
      <c r="D115" t="s">
        <v>8043</v>
      </c>
      <c r="E115" t="s">
        <v>3963</v>
      </c>
      <c r="G115" t="s">
        <v>8042</v>
      </c>
      <c r="H115" t="s">
        <v>8064</v>
      </c>
    </row>
    <row r="116" spans="1:8" x14ac:dyDescent="0.25">
      <c r="A116" t="s">
        <v>7694</v>
      </c>
      <c r="B116" t="s">
        <v>3752</v>
      </c>
      <c r="C116" t="s">
        <v>3911</v>
      </c>
      <c r="D116" t="s">
        <v>8041</v>
      </c>
      <c r="E116" t="s">
        <v>1168</v>
      </c>
      <c r="G116" t="s">
        <v>8042</v>
      </c>
      <c r="H116" t="s">
        <v>8064</v>
      </c>
    </row>
    <row r="117" spans="1:8" x14ac:dyDescent="0.25">
      <c r="A117" t="s">
        <v>3900</v>
      </c>
      <c r="B117" t="s">
        <v>3756</v>
      </c>
      <c r="C117" t="s">
        <v>3777</v>
      </c>
      <c r="D117" t="s">
        <v>8043</v>
      </c>
      <c r="E117" t="s">
        <v>3898</v>
      </c>
      <c r="G117" t="s">
        <v>8042</v>
      </c>
      <c r="H117" t="s">
        <v>8064</v>
      </c>
    </row>
    <row r="118" spans="1:8" x14ac:dyDescent="0.25">
      <c r="A118" t="s">
        <v>8074</v>
      </c>
      <c r="D118" t="s">
        <v>8051</v>
      </c>
      <c r="E118" t="s">
        <v>3480</v>
      </c>
      <c r="G118" t="s">
        <v>8042</v>
      </c>
      <c r="H118" t="s">
        <v>8065</v>
      </c>
    </row>
    <row r="119" spans="1:8" x14ac:dyDescent="0.25">
      <c r="A119" t="s">
        <v>7906</v>
      </c>
      <c r="B119" t="s">
        <v>3752</v>
      </c>
      <c r="C119" t="s">
        <v>3743</v>
      </c>
      <c r="D119" t="s">
        <v>8043</v>
      </c>
      <c r="E119" t="s">
        <v>7905</v>
      </c>
      <c r="G119" t="s">
        <v>8042</v>
      </c>
      <c r="H119" t="s">
        <v>8064</v>
      </c>
    </row>
    <row r="120" spans="1:8" x14ac:dyDescent="0.25">
      <c r="A120" t="s">
        <v>7897</v>
      </c>
      <c r="B120" t="s">
        <v>3752</v>
      </c>
      <c r="C120" t="s">
        <v>3743</v>
      </c>
      <c r="D120" t="s">
        <v>8043</v>
      </c>
      <c r="E120" t="s">
        <v>7898</v>
      </c>
      <c r="G120" t="s">
        <v>8042</v>
      </c>
      <c r="H120" t="s">
        <v>8064</v>
      </c>
    </row>
    <row r="121" spans="1:8" x14ac:dyDescent="0.25">
      <c r="A121" t="s">
        <v>8047</v>
      </c>
      <c r="B121" t="s">
        <v>3752</v>
      </c>
      <c r="C121" t="s">
        <v>3777</v>
      </c>
      <c r="D121" t="s">
        <v>8043</v>
      </c>
      <c r="E121" t="s">
        <v>7430</v>
      </c>
      <c r="F121" t="s">
        <v>8048</v>
      </c>
      <c r="G121" t="s">
        <v>8042</v>
      </c>
      <c r="H121" t="s">
        <v>8064</v>
      </c>
    </row>
    <row r="122" spans="1:8" x14ac:dyDescent="0.25">
      <c r="A122" t="s">
        <v>3814</v>
      </c>
      <c r="B122" t="s">
        <v>3752</v>
      </c>
      <c r="C122" t="s">
        <v>3743</v>
      </c>
      <c r="D122" t="s">
        <v>8041</v>
      </c>
      <c r="E122" t="s">
        <v>3813</v>
      </c>
      <c r="G122" t="s">
        <v>8042</v>
      </c>
      <c r="H122" t="s">
        <v>8064</v>
      </c>
    </row>
    <row r="123" spans="1:8" x14ac:dyDescent="0.25">
      <c r="A123" t="s">
        <v>3871</v>
      </c>
      <c r="B123" t="s">
        <v>3752</v>
      </c>
      <c r="C123" t="s">
        <v>3791</v>
      </c>
      <c r="D123" t="s">
        <v>8041</v>
      </c>
      <c r="E123" t="s">
        <v>3870</v>
      </c>
      <c r="G123" t="s">
        <v>8042</v>
      </c>
      <c r="H123" t="s">
        <v>8064</v>
      </c>
    </row>
    <row r="124" spans="1:8" x14ac:dyDescent="0.25">
      <c r="A124" t="s">
        <v>3765</v>
      </c>
      <c r="B124" t="s">
        <v>3752</v>
      </c>
      <c r="C124" t="s">
        <v>3743</v>
      </c>
      <c r="D124" t="s">
        <v>8041</v>
      </c>
      <c r="E124" t="s">
        <v>3764</v>
      </c>
      <c r="G124" t="s">
        <v>8042</v>
      </c>
      <c r="H124" t="s">
        <v>8064</v>
      </c>
    </row>
    <row r="125" spans="1:8" x14ac:dyDescent="0.25">
      <c r="A125" t="s">
        <v>3917</v>
      </c>
      <c r="B125" t="s">
        <v>3752</v>
      </c>
      <c r="C125" t="s">
        <v>3743</v>
      </c>
      <c r="D125" t="s">
        <v>8043</v>
      </c>
      <c r="E125" t="s">
        <v>3916</v>
      </c>
      <c r="G125" t="s">
        <v>8042</v>
      </c>
      <c r="H125" t="s">
        <v>8064</v>
      </c>
    </row>
    <row r="126" spans="1:8" x14ac:dyDescent="0.25">
      <c r="A126" t="s">
        <v>8078</v>
      </c>
      <c r="D126" t="s">
        <v>8051</v>
      </c>
      <c r="E126" t="s">
        <v>3469</v>
      </c>
      <c r="G126" t="s">
        <v>8042</v>
      </c>
      <c r="H126" t="s">
        <v>8065</v>
      </c>
    </row>
    <row r="127" spans="1:8" x14ac:dyDescent="0.25">
      <c r="A127" t="s">
        <v>3851</v>
      </c>
      <c r="B127" t="s">
        <v>3752</v>
      </c>
      <c r="C127" t="s">
        <v>3777</v>
      </c>
      <c r="D127" t="s">
        <v>8041</v>
      </c>
      <c r="E127" t="s">
        <v>3850</v>
      </c>
      <c r="G127" t="s">
        <v>8042</v>
      </c>
      <c r="H127" t="s">
        <v>8064</v>
      </c>
    </row>
    <row r="128" spans="1:8" x14ac:dyDescent="0.25">
      <c r="A128" t="s">
        <v>8088</v>
      </c>
      <c r="B128" t="s">
        <v>3833</v>
      </c>
      <c r="C128" t="s">
        <v>3791</v>
      </c>
      <c r="D128" t="s">
        <v>8043</v>
      </c>
      <c r="E128" t="s">
        <v>3929</v>
      </c>
      <c r="G128" t="s">
        <v>8042</v>
      </c>
      <c r="H128" t="s">
        <v>8065</v>
      </c>
    </row>
    <row r="129" spans="1:8" x14ac:dyDescent="0.25">
      <c r="A129" t="s">
        <v>7982</v>
      </c>
      <c r="B129" t="s">
        <v>3839</v>
      </c>
      <c r="C129" t="s">
        <v>3777</v>
      </c>
      <c r="D129" t="s">
        <v>8041</v>
      </c>
      <c r="E129" t="s">
        <v>7981</v>
      </c>
      <c r="G129" t="s">
        <v>8042</v>
      </c>
      <c r="H129" t="s">
        <v>8064</v>
      </c>
    </row>
    <row r="130" spans="1:8" x14ac:dyDescent="0.25">
      <c r="A130" t="s">
        <v>3889</v>
      </c>
      <c r="B130" t="s">
        <v>3839</v>
      </c>
      <c r="C130" t="s">
        <v>3743</v>
      </c>
      <c r="D130" t="s">
        <v>8043</v>
      </c>
      <c r="E130" t="s">
        <v>3888</v>
      </c>
      <c r="G130" t="s">
        <v>8042</v>
      </c>
      <c r="H130" t="s">
        <v>8064</v>
      </c>
    </row>
    <row r="131" spans="1:8" x14ac:dyDescent="0.25">
      <c r="A131" t="s">
        <v>3840</v>
      </c>
      <c r="B131" t="s">
        <v>3839</v>
      </c>
      <c r="C131" t="s">
        <v>3791</v>
      </c>
      <c r="D131" t="s">
        <v>8041</v>
      </c>
      <c r="E131" t="s">
        <v>3838</v>
      </c>
      <c r="G131" t="s">
        <v>8042</v>
      </c>
      <c r="H131" t="s">
        <v>8064</v>
      </c>
    </row>
    <row r="132" spans="1:8" x14ac:dyDescent="0.25">
      <c r="A132" t="s">
        <v>4251</v>
      </c>
      <c r="D132" t="s">
        <v>8052</v>
      </c>
      <c r="E132" t="s">
        <v>4250</v>
      </c>
      <c r="G132" t="s">
        <v>8042</v>
      </c>
      <c r="H132" t="s">
        <v>8065</v>
      </c>
    </row>
    <row r="133" spans="1:8" x14ac:dyDescent="0.25">
      <c r="A133" t="s">
        <v>4255</v>
      </c>
      <c r="D133" t="s">
        <v>8052</v>
      </c>
      <c r="E133" t="s">
        <v>4254</v>
      </c>
      <c r="G133" t="s">
        <v>8042</v>
      </c>
      <c r="H133" t="s">
        <v>8065</v>
      </c>
    </row>
    <row r="134" spans="1:8" x14ac:dyDescent="0.25">
      <c r="A134" t="s">
        <v>8094</v>
      </c>
      <c r="B134" t="s">
        <v>3833</v>
      </c>
      <c r="C134" t="s">
        <v>3777</v>
      </c>
      <c r="D134" t="s">
        <v>8041</v>
      </c>
      <c r="E134" t="s">
        <v>3832</v>
      </c>
      <c r="G134" t="s">
        <v>8042</v>
      </c>
      <c r="H134" t="s">
        <v>8065</v>
      </c>
    </row>
    <row r="135" spans="1:8" x14ac:dyDescent="0.25">
      <c r="A135" t="s">
        <v>4257</v>
      </c>
      <c r="D135" t="s">
        <v>8052</v>
      </c>
      <c r="E135" t="s">
        <v>4256</v>
      </c>
      <c r="G135" t="s">
        <v>8042</v>
      </c>
      <c r="H135" t="s">
        <v>8065</v>
      </c>
    </row>
    <row r="136" spans="1:8" x14ac:dyDescent="0.25">
      <c r="A136" t="s">
        <v>8246</v>
      </c>
      <c r="B136" t="s">
        <v>3752</v>
      </c>
      <c r="D136" t="s">
        <v>5756</v>
      </c>
      <c r="E136" t="s">
        <v>8245</v>
      </c>
      <c r="G136" t="s">
        <v>8042</v>
      </c>
      <c r="H136" t="s">
        <v>8064</v>
      </c>
    </row>
    <row r="137" spans="1:8" x14ac:dyDescent="0.25">
      <c r="A137" t="s">
        <v>8256</v>
      </c>
      <c r="B137" t="s">
        <v>3752</v>
      </c>
      <c r="D137" t="s">
        <v>5756</v>
      </c>
      <c r="E137" t="s">
        <v>8252</v>
      </c>
      <c r="G137" t="s">
        <v>8042</v>
      </c>
      <c r="H137" t="s">
        <v>8064</v>
      </c>
    </row>
    <row r="138" spans="1:8" x14ac:dyDescent="0.25">
      <c r="A138" t="s">
        <v>8259</v>
      </c>
      <c r="B138" t="s">
        <v>3745</v>
      </c>
      <c r="D138" t="s">
        <v>5756</v>
      </c>
      <c r="E138" t="s">
        <v>8257</v>
      </c>
      <c r="G138" t="s">
        <v>8042</v>
      </c>
      <c r="H138" t="s">
        <v>8064</v>
      </c>
    </row>
    <row r="139" spans="1:8" x14ac:dyDescent="0.25">
      <c r="A139" t="s">
        <v>8246</v>
      </c>
      <c r="B139" t="s">
        <v>3752</v>
      </c>
      <c r="D139" t="s">
        <v>5756</v>
      </c>
      <c r="E139" t="s">
        <v>8266</v>
      </c>
      <c r="G139" t="s">
        <v>8042</v>
      </c>
      <c r="H139" t="s">
        <v>8064</v>
      </c>
    </row>
    <row r="140" spans="1:8" x14ac:dyDescent="0.25">
      <c r="A140" t="s">
        <v>8276</v>
      </c>
      <c r="B140" t="s">
        <v>3752</v>
      </c>
      <c r="D140" t="s">
        <v>5756</v>
      </c>
      <c r="E140" t="s">
        <v>4694</v>
      </c>
      <c r="G140" t="s">
        <v>8042</v>
      </c>
      <c r="H140" t="s">
        <v>8064</v>
      </c>
    </row>
    <row r="141" spans="1:8" x14ac:dyDescent="0.25">
      <c r="A141" t="s">
        <v>8276</v>
      </c>
      <c r="B141" t="s">
        <v>3752</v>
      </c>
      <c r="D141" t="s">
        <v>5756</v>
      </c>
      <c r="E141" t="s">
        <v>6833</v>
      </c>
      <c r="G141" t="s">
        <v>8042</v>
      </c>
      <c r="H141" t="s">
        <v>8064</v>
      </c>
    </row>
    <row r="142" spans="1:8" x14ac:dyDescent="0.25">
      <c r="A142" t="s">
        <v>8303</v>
      </c>
      <c r="B142" t="s">
        <v>3745</v>
      </c>
      <c r="D142" t="s">
        <v>5756</v>
      </c>
      <c r="E142" t="s">
        <v>8301</v>
      </c>
      <c r="G142" t="s">
        <v>8042</v>
      </c>
      <c r="H142" t="s">
        <v>8064</v>
      </c>
    </row>
    <row r="143" spans="1:8" x14ac:dyDescent="0.25">
      <c r="A143" t="s">
        <v>8303</v>
      </c>
      <c r="B143" t="s">
        <v>3745</v>
      </c>
      <c r="D143" t="s">
        <v>5756</v>
      </c>
      <c r="E143" t="s">
        <v>8306</v>
      </c>
      <c r="G143" t="s">
        <v>8042</v>
      </c>
      <c r="H143" t="s">
        <v>8064</v>
      </c>
    </row>
    <row r="144" spans="1:8" x14ac:dyDescent="0.25">
      <c r="A144" t="s">
        <v>8317</v>
      </c>
      <c r="B144" t="s">
        <v>3745</v>
      </c>
      <c r="D144" t="s">
        <v>5756</v>
      </c>
      <c r="E144" t="s">
        <v>8316</v>
      </c>
      <c r="G144" t="s">
        <v>8042</v>
      </c>
      <c r="H144" t="s">
        <v>8064</v>
      </c>
    </row>
    <row r="145" spans="1:8" x14ac:dyDescent="0.25">
      <c r="A145" t="s">
        <v>8317</v>
      </c>
      <c r="B145" t="s">
        <v>3745</v>
      </c>
      <c r="D145" t="s">
        <v>5756</v>
      </c>
      <c r="E145" t="s">
        <v>8319</v>
      </c>
      <c r="G145" t="s">
        <v>8042</v>
      </c>
      <c r="H145" t="s">
        <v>8064</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L22" sqref="L22"/>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4303</v>
      </c>
    </row>
    <row r="2" spans="1:28" x14ac:dyDescent="0.25">
      <c r="A2" s="13" t="s">
        <v>4304</v>
      </c>
    </row>
    <row r="4" spans="1:28" ht="25.5" customHeight="1" x14ac:dyDescent="0.25">
      <c r="A4" s="14" t="s">
        <v>4305</v>
      </c>
      <c r="B4" s="14" t="s">
        <v>4306</v>
      </c>
      <c r="C4" s="14" t="s">
        <v>4307</v>
      </c>
      <c r="E4" s="14" t="s">
        <v>4308</v>
      </c>
      <c r="F4" s="14" t="s">
        <v>4309</v>
      </c>
      <c r="G4" s="14" t="s">
        <v>172</v>
      </c>
      <c r="I4" s="14" t="s">
        <v>4310</v>
      </c>
      <c r="J4" s="14" t="s">
        <v>4309</v>
      </c>
      <c r="K4" s="14" t="s">
        <v>172</v>
      </c>
      <c r="L4" s="14" t="s">
        <v>4311</v>
      </c>
      <c r="N4" s="14" t="s">
        <v>4312</v>
      </c>
      <c r="O4" s="14" t="s">
        <v>1</v>
      </c>
      <c r="P4" s="14" t="s">
        <v>4308</v>
      </c>
      <c r="R4" s="14" t="s">
        <v>4312</v>
      </c>
      <c r="S4" s="14" t="s">
        <v>4313</v>
      </c>
      <c r="T4" s="14" t="s">
        <v>4308</v>
      </c>
      <c r="V4" s="14" t="s">
        <v>166</v>
      </c>
      <c r="W4" s="14" t="s">
        <v>4309</v>
      </c>
      <c r="X4" s="14" t="s">
        <v>172</v>
      </c>
      <c r="Y4" s="14" t="s">
        <v>4314</v>
      </c>
      <c r="AA4" s="14" t="s">
        <v>4315</v>
      </c>
      <c r="AB4" s="14" t="s">
        <v>4314</v>
      </c>
    </row>
    <row r="5" spans="1:28" x14ac:dyDescent="0.25">
      <c r="A5" s="15" t="s">
        <v>4309</v>
      </c>
      <c r="B5" s="16">
        <f>COUNTA(games!$A$2:$A$950)</f>
        <v>895</v>
      </c>
      <c r="C5" s="17" t="s">
        <v>4316</v>
      </c>
      <c r="E5" t="s">
        <v>4317</v>
      </c>
      <c r="F5">
        <f>COUNTIF('Map Calc'!$D$2:$D$950,0)</f>
        <v>59</v>
      </c>
      <c r="G5">
        <f>COUNTIFS('Map Calc'!$D$2:$D$950,0,'Map Calc'!$P$2:$P$950,"Yes")</f>
        <v>34</v>
      </c>
      <c r="I5" t="s">
        <v>176</v>
      </c>
      <c r="J5">
        <f>COUNTIF(games!$C$2:$C$950,$I5)</f>
        <v>386</v>
      </c>
      <c r="K5">
        <f>COUNTIFS(games!$C$2:$C$950,$I5,games!$H$2:$H$950,"Yes")</f>
        <v>258</v>
      </c>
      <c r="L5" s="18">
        <f>IF($J5=0,0,$K5/$J5)</f>
        <v>0.66839378238341973</v>
      </c>
      <c r="N5">
        <v>1</v>
      </c>
      <c r="O5" t="str">
        <f>IFERROR(INDEX('Map Calc'!$A$2:$A$950,MATCH(LARGE('Map Calc'!$O$2:$O$950,1),'Map Calc'!$O$2:$O$950,0)),"")</f>
        <v>Slay the Spire</v>
      </c>
      <c r="P5">
        <f>IFERROR(INDEX('Map Calc'!$D$2:$D$950,MATCH(LARGE('Map Calc'!$O$2:$O$950,1),'Map Calc'!$O$2:$O$950,0)),"")</f>
        <v>156</v>
      </c>
      <c r="R5">
        <v>1</v>
      </c>
      <c r="S5" t="str">
        <f>IFERROR(INDEX('Map Calc'!$A$2:$A$950,MATCH(LARGE('Map Calc'!$Q$2:$Q$950,1),'Map Calc'!$Q$2:$Q$950,0)),"")</f>
        <v>Slay the Spire</v>
      </c>
      <c r="T5">
        <f>IFERROR(INDEX('Map Calc'!$D$2:$D$950,MATCH(LARGE('Map Calc'!$Q$2:$Q$950,1),'Map Calc'!$Q$2:$Q$950,0)),"")</f>
        <v>156</v>
      </c>
      <c r="V5">
        <v>1978</v>
      </c>
      <c r="W5">
        <f>COUNTIF(games!$B$2:$B$950,$V5)</f>
        <v>1</v>
      </c>
      <c r="X5">
        <f>COUNTIFS(games!$B$2:$B$950,$V5,games!$H$2:$H$950,"Yes")</f>
        <v>1</v>
      </c>
      <c r="Y5">
        <f>COUNTIF('Map Calc'!$T$2:$T$1400,$V5)</f>
        <v>0</v>
      </c>
      <c r="AA5">
        <v>0</v>
      </c>
      <c r="AB5">
        <f>COUNTIF('Map Calc'!$V$2:$V$1400,$AA5)</f>
        <v>12</v>
      </c>
    </row>
    <row r="6" spans="1:28" x14ac:dyDescent="0.25">
      <c r="A6" s="15" t="s">
        <v>4318</v>
      </c>
      <c r="B6" s="16">
        <f>COUNTIF(games!$H$2:$H$950,"Yes")</f>
        <v>563</v>
      </c>
      <c r="C6" s="17" t="s">
        <v>4319</v>
      </c>
      <c r="E6" t="s">
        <v>4320</v>
      </c>
      <c r="F6">
        <f>COUNTIF('Map Calc'!$D$2:$D$950,1)</f>
        <v>333</v>
      </c>
      <c r="G6">
        <f>COUNTIFS('Map Calc'!$D$2:$D$950,1,'Map Calc'!$P$2:$P$950,"Yes")</f>
        <v>201</v>
      </c>
      <c r="I6" t="s">
        <v>222</v>
      </c>
      <c r="J6">
        <f>COUNTIF(games!$C$2:$C$950,$I6)</f>
        <v>157</v>
      </c>
      <c r="K6">
        <f>COUNTIFS(games!$C$2:$C$950,$I6,games!$H$2:$H$950,"Yes")</f>
        <v>100</v>
      </c>
      <c r="L6" s="18">
        <f>IF($J6=0,0,$K6/$J6)</f>
        <v>0.63694267515923564</v>
      </c>
      <c r="N6">
        <v>2</v>
      </c>
      <c r="O6" t="str">
        <f>IFERROR(INDEX('Map Calc'!$A$2:$A$950,MATCH(LARGE('Map Calc'!$O$2:$O$950,2),'Map Calc'!$O$2:$O$950,0)),"")</f>
        <v>Vampire Survivors</v>
      </c>
      <c r="P6">
        <f>IFERROR(INDEX('Map Calc'!$D$2:$D$950,MATCH(LARGE('Map Calc'!$O$2:$O$950,2),'Map Calc'!$O$2:$O$950,0)),"")</f>
        <v>96</v>
      </c>
      <c r="R6">
        <v>2</v>
      </c>
      <c r="S6" t="str">
        <f>IFERROR(INDEX('Map Calc'!$A$2:$A$950,MATCH(LARGE('Map Calc'!$Q$2:$Q$950,2),'Map Calc'!$Q$2:$Q$950,0)),"")</f>
        <v>Vampire Survivors</v>
      </c>
      <c r="T6">
        <f>IFERROR(INDEX('Map Calc'!$D$2:$D$950,MATCH(LARGE('Map Calc'!$Q$2:$Q$950,2),'Map Calc'!$Q$2:$Q$950,0)),"")</f>
        <v>96</v>
      </c>
      <c r="V6">
        <v>1979</v>
      </c>
      <c r="W6">
        <f>COUNTIF(games!$B$2:$B$950,$V6)</f>
        <v>0</v>
      </c>
      <c r="X6">
        <f>COUNTIFS(games!$B$2:$B$950,$V6,games!$H$2:$H$950,"Yes")</f>
        <v>0</v>
      </c>
      <c r="Y6">
        <f>COUNTIF('Map Calc'!$T$2:$T$1400,$V6)</f>
        <v>0</v>
      </c>
      <c r="AA6">
        <v>1</v>
      </c>
      <c r="AB6">
        <f>COUNTIF('Map Calc'!$V$2:$V$1400,$AA6)</f>
        <v>109</v>
      </c>
    </row>
    <row r="7" spans="1:28" x14ac:dyDescent="0.25">
      <c r="A7" s="15" t="s">
        <v>4321</v>
      </c>
      <c r="B7" s="19">
        <f>IF(B5=0,0,B6/B5)</f>
        <v>0.62905027932960889</v>
      </c>
      <c r="C7" s="17" t="s">
        <v>4322</v>
      </c>
      <c r="E7" t="s">
        <v>4323</v>
      </c>
      <c r="F7">
        <f>COUNTIF('Map Calc'!$D$2:$D$950,2)</f>
        <v>211</v>
      </c>
      <c r="G7">
        <f>COUNTIFS('Map Calc'!$D$2:$D$950,2,'Map Calc'!$P$2:$P$950,"Yes")</f>
        <v>119</v>
      </c>
      <c r="I7" t="s">
        <v>182</v>
      </c>
      <c r="J7">
        <f>COUNTIF(games!$C$2:$C$950,$I7)</f>
        <v>186</v>
      </c>
      <c r="K7">
        <f>COUNTIFS(games!$C$2:$C$950,$I7,games!$H$2:$H$950,"Yes")</f>
        <v>99</v>
      </c>
      <c r="L7" s="18">
        <f>IF($J7=0,0,$K7/$J7)</f>
        <v>0.532258064516129</v>
      </c>
      <c r="N7">
        <v>3</v>
      </c>
      <c r="O7" t="str">
        <f>IFERROR(INDEX('Map Calc'!$A$2:$A$950,MATCH(LARGE('Map Calc'!$O$2:$O$950,3),'Map Calc'!$O$2:$O$950,0)),"")</f>
        <v>The Binding of Isaac</v>
      </c>
      <c r="P7">
        <f>IFERROR(INDEX('Map Calc'!$D$2:$D$950,MATCH(LARGE('Map Calc'!$O$2:$O$950,3),'Map Calc'!$O$2:$O$950,0)),"")</f>
        <v>77</v>
      </c>
      <c r="R7">
        <v>3</v>
      </c>
      <c r="S7" t="str">
        <f>IFERROR(INDEX('Map Calc'!$A$2:$A$950,MATCH(LARGE('Map Calc'!$Q$2:$Q$950,3),'Map Calc'!$Q$2:$Q$950,0)),"")</f>
        <v>The Binding of Isaac</v>
      </c>
      <c r="T7">
        <f>IFERROR(INDEX('Map Calc'!$D$2:$D$950,MATCH(LARGE('Map Calc'!$Q$2:$Q$950,3),'Map Calc'!$Q$2:$Q$950,0)),"")</f>
        <v>77</v>
      </c>
      <c r="V7">
        <v>1980</v>
      </c>
      <c r="W7">
        <f>COUNTIF(games!$B$2:$B$950,$V7)</f>
        <v>1</v>
      </c>
      <c r="X7">
        <f>COUNTIFS(games!$B$2:$B$950,$V7,games!$H$2:$H$950,"Yes")</f>
        <v>1</v>
      </c>
      <c r="Y7">
        <f>COUNTIF('Map Calc'!$T$2:$T$1400,$V7)</f>
        <v>27</v>
      </c>
      <c r="AA7">
        <v>2</v>
      </c>
      <c r="AB7">
        <f>COUNTIF('Map Calc'!$V$2:$V$1400,$AA7)</f>
        <v>170</v>
      </c>
    </row>
    <row r="8" spans="1:28" x14ac:dyDescent="0.25">
      <c r="A8" s="15" t="s">
        <v>4314</v>
      </c>
      <c r="B8" s="25">
        <f>COUNTA(connections!$A$2:$A$1460)</f>
        <v>1459</v>
      </c>
      <c r="C8" s="17" t="s">
        <v>4324</v>
      </c>
      <c r="E8" t="s">
        <v>4325</v>
      </c>
      <c r="F8">
        <f>COUNTIF('Map Calc'!$D$2:$D$950,3)</f>
        <v>127</v>
      </c>
      <c r="G8">
        <f>COUNTIFS('Map Calc'!$D$2:$D$950,3,'Map Calc'!$P$2:$P$950,"Yes")</f>
        <v>90</v>
      </c>
      <c r="I8" t="s">
        <v>179</v>
      </c>
      <c r="J8">
        <f>COUNTIF(games!$C$2:$C$950,$I8)</f>
        <v>166</v>
      </c>
      <c r="K8">
        <f>COUNTIFS(games!$C$2:$C$950,$I8,games!$H$2:$H$950,"Yes")</f>
        <v>106</v>
      </c>
      <c r="L8" s="18">
        <f>IF($J8=0,0,$K8/$J8)</f>
        <v>0.63855421686746983</v>
      </c>
      <c r="N8">
        <v>4</v>
      </c>
      <c r="O8" t="str">
        <f>IFERROR(INDEX('Map Calc'!$A$2:$A$950,MATCH(LARGE('Map Calc'!$O$2:$O$950,4),'Map Calc'!$O$2:$O$950,0)),"")</f>
        <v>Hades</v>
      </c>
      <c r="P8">
        <f>IFERROR(INDEX('Map Calc'!$D$2:$D$950,MATCH(LARGE('Map Calc'!$O$2:$O$950,4),'Map Calc'!$O$2:$O$950,0)),"")</f>
        <v>66</v>
      </c>
      <c r="R8">
        <v>4</v>
      </c>
      <c r="S8" t="str">
        <f>IFERROR(INDEX('Map Calc'!$A$2:$A$950,MATCH(LARGE('Map Calc'!$Q$2:$Q$950,4),'Map Calc'!$Q$2:$Q$950,0)),"")</f>
        <v>Hades</v>
      </c>
      <c r="T8">
        <f>IFERROR(INDEX('Map Calc'!$D$2:$D$950,MATCH(LARGE('Map Calc'!$Q$2:$Q$950,4),'Map Calc'!$Q$2:$Q$950,0)),"")</f>
        <v>66</v>
      </c>
      <c r="V8">
        <v>1981</v>
      </c>
      <c r="W8">
        <f>COUNTIF(games!$B$2:$B$950,$V8)</f>
        <v>0</v>
      </c>
      <c r="X8">
        <f>COUNTIFS(games!$B$2:$B$950,$V8,games!$H$2:$H$950,"Yes")</f>
        <v>0</v>
      </c>
      <c r="Y8">
        <f>COUNTIF('Map Calc'!$T$2:$T$1400,$V8)</f>
        <v>0</v>
      </c>
      <c r="AA8">
        <v>3</v>
      </c>
      <c r="AB8">
        <f>COUNTIF('Map Calc'!$V$2:$V$1400,$AA8)</f>
        <v>169</v>
      </c>
    </row>
    <row r="9" spans="1:28" x14ac:dyDescent="0.25">
      <c r="A9" s="15" t="s">
        <v>4326</v>
      </c>
      <c r="B9" s="20">
        <f>IF(B5=0,0,2*B8/B5)</f>
        <v>3.2603351955307263</v>
      </c>
      <c r="C9" s="17" t="s">
        <v>4327</v>
      </c>
      <c r="E9" t="s">
        <v>4328</v>
      </c>
      <c r="F9">
        <f>COUNTIF('Map Calc'!$D$2:$D$950,4)</f>
        <v>61</v>
      </c>
      <c r="G9">
        <f>COUNTIFS('Map Calc'!$D$2:$D$950,4,'Map Calc'!$P$2:$P$950,"Yes")</f>
        <v>36</v>
      </c>
      <c r="I9" s="21" t="s">
        <v>39</v>
      </c>
      <c r="J9" s="21">
        <f>SUM(J5:J8)</f>
        <v>895</v>
      </c>
      <c r="K9" s="21">
        <f>SUM(K5:K8)</f>
        <v>563</v>
      </c>
      <c r="L9" s="22">
        <f>IF($J9=0,0,$K9/$J9)</f>
        <v>0.62905027932960889</v>
      </c>
      <c r="N9">
        <v>5</v>
      </c>
      <c r="O9" t="str">
        <f>IFERROR(INDEX('Map Calc'!$A$2:$A$950,MATCH(LARGE('Map Calc'!$O$2:$O$950,5),'Map Calc'!$O$2:$O$950,0)),"")</f>
        <v>Balatro</v>
      </c>
      <c r="P9">
        <f>IFERROR(INDEX('Map Calc'!$D$2:$D$950,MATCH(LARGE('Map Calc'!$O$2:$O$950,5),'Map Calc'!$O$2:$O$950,0)),"")</f>
        <v>60</v>
      </c>
      <c r="R9">
        <v>5</v>
      </c>
      <c r="S9" t="str">
        <f>IFERROR(INDEX('Map Calc'!$A$2:$A$950,MATCH(LARGE('Map Calc'!$Q$2:$Q$950,5),'Map Calc'!$Q$2:$Q$950,0)),"")</f>
        <v>Balatro</v>
      </c>
      <c r="T9">
        <f>IFERROR(INDEX('Map Calc'!$D$2:$D$950,MATCH(LARGE('Map Calc'!$Q$2:$Q$950,5),'Map Calc'!$Q$2:$Q$950,0)),"")</f>
        <v>60</v>
      </c>
      <c r="V9">
        <v>1982</v>
      </c>
      <c r="W9">
        <f>COUNTIF(games!$B$2:$B$950,$V9)</f>
        <v>1</v>
      </c>
      <c r="X9">
        <f>COUNTIFS(games!$B$2:$B$950,$V9,games!$H$2:$H$950,"Yes")</f>
        <v>0</v>
      </c>
      <c r="Y9">
        <f>COUNTIF('Map Calc'!$T$2:$T$1400,$V9)</f>
        <v>1</v>
      </c>
      <c r="AA9">
        <v>4</v>
      </c>
      <c r="AB9">
        <f>COUNTIF('Map Calc'!$V$2:$V$1400,$AA9)</f>
        <v>151</v>
      </c>
    </row>
    <row r="10" spans="1:28" x14ac:dyDescent="0.25">
      <c r="A10" s="15" t="s">
        <v>4329</v>
      </c>
      <c r="B10" s="20">
        <f>IFERROR(SUMIFS('Map Calc'!$D$2:$D$950,games!$H$2:$H$950,"Yes")/B6,0)</f>
        <v>4.0301953818827707</v>
      </c>
      <c r="C10" s="17" t="s">
        <v>4330</v>
      </c>
      <c r="E10" t="s">
        <v>4331</v>
      </c>
      <c r="F10">
        <f>COUNTIF('Map Calc'!$D$2:$D$950,5)</f>
        <v>28</v>
      </c>
      <c r="G10">
        <f>COUNTIFS('Map Calc'!$D$2:$D$950,5,'Map Calc'!$P$2:$P$950,"Yes")</f>
        <v>16</v>
      </c>
      <c r="N10">
        <v>6</v>
      </c>
      <c r="O10" t="str">
        <f>IFERROR(INDEX('Map Calc'!$A$2:$A$950,MATCH(LARGE('Map Calc'!$O$2:$O$950,6),'Map Calc'!$O$2:$O$950,0)),"")</f>
        <v>Spelunky Classic</v>
      </c>
      <c r="P10">
        <f>IFERROR(INDEX('Map Calc'!$D$2:$D$950,MATCH(LARGE('Map Calc'!$O$2:$O$950,6),'Map Calc'!$O$2:$O$950,0)),"")</f>
        <v>45</v>
      </c>
      <c r="R10">
        <v>6</v>
      </c>
      <c r="S10" t="str">
        <f>IFERROR(INDEX('Map Calc'!$A$2:$A$950,MATCH(LARGE('Map Calc'!$Q$2:$Q$950,6),'Map Calc'!$Q$2:$Q$950,0)),"")</f>
        <v>Spelunky Classic</v>
      </c>
      <c r="T10">
        <f>IFERROR(INDEX('Map Calc'!$D$2:$D$950,MATCH(LARGE('Map Calc'!$Q$2:$Q$950,6),'Map Calc'!$Q$2:$Q$950,0)),"")</f>
        <v>45</v>
      </c>
      <c r="V10">
        <v>1983</v>
      </c>
      <c r="W10">
        <f>COUNTIF(games!$B$2:$B$950,$V10)</f>
        <v>1</v>
      </c>
      <c r="X10">
        <f>COUNTIFS(games!$B$2:$B$950,$V10,games!$H$2:$H$950,"Yes")</f>
        <v>1</v>
      </c>
      <c r="Y10">
        <f>COUNTIF('Map Calc'!$T$2:$T$1400,$V10)</f>
        <v>3</v>
      </c>
      <c r="AA10">
        <v>5</v>
      </c>
      <c r="AB10">
        <f>COUNTIF('Map Calc'!$V$2:$V$1400,$AA10)</f>
        <v>139</v>
      </c>
    </row>
    <row r="11" spans="1:28" x14ac:dyDescent="0.25">
      <c r="A11" s="15" t="s">
        <v>4332</v>
      </c>
      <c r="B11" s="16">
        <f>MEDIAN('Map Calc'!$D$2:$D$950)</f>
        <v>2</v>
      </c>
      <c r="C11" s="17" t="s">
        <v>4333</v>
      </c>
      <c r="E11" t="s">
        <v>4334</v>
      </c>
      <c r="F11">
        <f>COUNTIFS('Map Calc'!$D$2:$D$950,"&gt;=6",'Map Calc'!$D$2:$D$950,"&lt;=9")</f>
        <v>38</v>
      </c>
      <c r="G11">
        <f>COUNTIFS('Map Calc'!$D$2:$D$950,"&gt;=6",'Map Calc'!$D$2:$D$950,"&lt;=9",'Map Calc'!$P$2:$P$950,"Yes")</f>
        <v>29</v>
      </c>
      <c r="N11">
        <v>7</v>
      </c>
      <c r="O11" t="str">
        <f>IFERROR(INDEX('Map Calc'!$A$2:$A$950,MATCH(LARGE('Map Calc'!$O$2:$O$950,7),'Map Calc'!$O$2:$O$950,0)),"")</f>
        <v>FTL</v>
      </c>
      <c r="P11">
        <f>IFERROR(INDEX('Map Calc'!$D$2:$D$950,MATCH(LARGE('Map Calc'!$O$2:$O$950,7),'Map Calc'!$O$2:$O$950,0)),"")</f>
        <v>43</v>
      </c>
      <c r="R11">
        <v>7</v>
      </c>
      <c r="S11" t="str">
        <f>IFERROR(INDEX('Map Calc'!$A$2:$A$950,MATCH(LARGE('Map Calc'!$Q$2:$Q$950,7),'Map Calc'!$Q$2:$Q$950,0)),"")</f>
        <v>FTL</v>
      </c>
      <c r="T11">
        <f>IFERROR(INDEX('Map Calc'!$D$2:$D$950,MATCH(LARGE('Map Calc'!$Q$2:$Q$950,7),'Map Calc'!$Q$2:$Q$950,0)),"")</f>
        <v>43</v>
      </c>
      <c r="V11">
        <v>1984</v>
      </c>
      <c r="W11">
        <f>COUNTIF(games!$B$2:$B$950,$V11)</f>
        <v>1</v>
      </c>
      <c r="X11">
        <f>COUNTIFS(games!$B$2:$B$950,$V11,games!$H$2:$H$950,"Yes")</f>
        <v>1</v>
      </c>
      <c r="Y11">
        <f>COUNTIF('Map Calc'!$T$2:$T$1400,$V11)</f>
        <v>6</v>
      </c>
      <c r="AA11">
        <v>6</v>
      </c>
      <c r="AB11">
        <f>COUNTIF('Map Calc'!$V$2:$V$1400,$AA11)</f>
        <v>109</v>
      </c>
    </row>
    <row r="12" spans="1:28" x14ac:dyDescent="0.25">
      <c r="A12" s="15" t="s">
        <v>4335</v>
      </c>
      <c r="B12" s="16">
        <f>MAX('Map Calc'!$D$2:$D$950)</f>
        <v>156</v>
      </c>
      <c r="C12" s="17" t="s">
        <v>4336</v>
      </c>
      <c r="E12" t="s">
        <v>4337</v>
      </c>
      <c r="F12">
        <f>COUNTIFS('Map Calc'!$D$2:$D$950,"&gt;=10",'Map Calc'!$D$2:$D$950,"&lt;=24")</f>
        <v>21</v>
      </c>
      <c r="G12">
        <f>COUNTIFS('Map Calc'!$D$2:$D$950,"&gt;=10",'Map Calc'!$D$2:$D$950,"&lt;=24",'Map Calc'!$P$2:$P$950,"Yes")</f>
        <v>21</v>
      </c>
      <c r="N12">
        <v>8</v>
      </c>
      <c r="O12" t="str">
        <f>IFERROR(INDEX('Map Calc'!$A$2:$A$950,MATCH(LARGE('Map Calc'!$O$2:$O$950,8),'Map Calc'!$O$2:$O$950,0)),"")</f>
        <v>NetHack</v>
      </c>
      <c r="P12">
        <f>IFERROR(INDEX('Map Calc'!$D$2:$D$950,MATCH(LARGE('Map Calc'!$O$2:$O$950,8),'Map Calc'!$O$2:$O$950,0)),"")</f>
        <v>36</v>
      </c>
      <c r="R12">
        <v>8</v>
      </c>
      <c r="S12" t="str">
        <f>IFERROR(INDEX('Map Calc'!$A$2:$A$950,MATCH(LARGE('Map Calc'!$Q$2:$Q$950,8),'Map Calc'!$Q$2:$Q$950,0)),"")</f>
        <v>NetHack</v>
      </c>
      <c r="T12">
        <f>IFERROR(INDEX('Map Calc'!$D$2:$D$950,MATCH(LARGE('Map Calc'!$Q$2:$Q$950,8),'Map Calc'!$Q$2:$Q$950,0)),"")</f>
        <v>36</v>
      </c>
      <c r="V12">
        <v>1985</v>
      </c>
      <c r="W12">
        <f>COUNTIF(games!$B$2:$B$950,$V12)</f>
        <v>0</v>
      </c>
      <c r="X12">
        <f>COUNTIFS(games!$B$2:$B$950,$V12,games!$H$2:$H$950,"Yes")</f>
        <v>0</v>
      </c>
      <c r="Y12">
        <f>COUNTIF('Map Calc'!$T$2:$T$1400,$V12)</f>
        <v>0</v>
      </c>
      <c r="AA12">
        <v>7</v>
      </c>
      <c r="AB12">
        <f>COUNTIF('Map Calc'!$V$2:$V$1400,$AA12)</f>
        <v>96</v>
      </c>
    </row>
    <row r="13" spans="1:28" x14ac:dyDescent="0.25">
      <c r="A13" s="15" t="s">
        <v>4338</v>
      </c>
      <c r="B13" s="16">
        <f>COUNTIF('Map Calc'!$D$2:$D$950,1)</f>
        <v>333</v>
      </c>
      <c r="C13" s="17" t="s">
        <v>4339</v>
      </c>
      <c r="E13" t="s">
        <v>4340</v>
      </c>
      <c r="F13">
        <f>COUNTIF('Map Calc'!$D$2:$D$950,"&gt;=25")</f>
        <v>17</v>
      </c>
      <c r="G13">
        <f>COUNTIFS('Map Calc'!$D$2:$D$950,"&gt;=25",'Map Calc'!$P$2:$P$950,"Yes")</f>
        <v>17</v>
      </c>
      <c r="N13">
        <v>9</v>
      </c>
      <c r="O13" t="str">
        <f>IFERROR(INDEX('Map Calc'!$A$2:$A$950,MATCH(LARGE('Map Calc'!$O$2:$O$950,9),'Map Calc'!$O$2:$O$950,0)),"")</f>
        <v>Enter the Gungeon</v>
      </c>
      <c r="P13">
        <f>IFERROR(INDEX('Map Calc'!$D$2:$D$950,MATCH(LARGE('Map Calc'!$O$2:$O$950,9),'Map Calc'!$O$2:$O$950,0)),"")</f>
        <v>34</v>
      </c>
      <c r="R13">
        <v>9</v>
      </c>
      <c r="S13" t="str">
        <f>IFERROR(INDEX('Map Calc'!$A$2:$A$950,MATCH(LARGE('Map Calc'!$Q$2:$Q$950,9),'Map Calc'!$Q$2:$Q$950,0)),"")</f>
        <v>Enter the Gungeon</v>
      </c>
      <c r="T13">
        <f>IFERROR(INDEX('Map Calc'!$D$2:$D$950,MATCH(LARGE('Map Calc'!$Q$2:$Q$950,9),'Map Calc'!$Q$2:$Q$950,0)),"")</f>
        <v>34</v>
      </c>
      <c r="V13">
        <v>1986</v>
      </c>
      <c r="W13">
        <f>COUNTIF(games!$B$2:$B$950,$V13)</f>
        <v>1</v>
      </c>
      <c r="X13">
        <f>COUNTIFS(games!$B$2:$B$950,$V13,games!$H$2:$H$950,"Yes")</f>
        <v>1</v>
      </c>
      <c r="Y13">
        <f>COUNTIF('Map Calc'!$T$2:$T$1400,$V13)</f>
        <v>1</v>
      </c>
      <c r="AA13">
        <v>8</v>
      </c>
      <c r="AB13">
        <f>COUNTIF('Map Calc'!$V$2:$V$1400,$AA13)</f>
        <v>77</v>
      </c>
    </row>
    <row r="14" spans="1:28" x14ac:dyDescent="0.25">
      <c r="A14" s="15" t="s">
        <v>4341</v>
      </c>
      <c r="B14" s="16">
        <f>COUNTIF('Map Calc'!$D$2:$D$950,0)</f>
        <v>59</v>
      </c>
      <c r="C14" s="17" t="s">
        <v>4342</v>
      </c>
      <c r="N14">
        <v>10</v>
      </c>
      <c r="O14" t="str">
        <f>IFERROR(INDEX('Map Calc'!$A$2:$A$950,MATCH(LARGE('Map Calc'!$O$2:$O$950,10),'Map Calc'!$O$2:$O$950,0)),"")</f>
        <v>Dead Cells</v>
      </c>
      <c r="P14">
        <f>IFERROR(INDEX('Map Calc'!$D$2:$D$950,MATCH(LARGE('Map Calc'!$O$2:$O$950,10),'Map Calc'!$O$2:$O$950,0)),"")</f>
        <v>31</v>
      </c>
      <c r="R14">
        <v>10</v>
      </c>
      <c r="S14" t="str">
        <f>IFERROR(INDEX('Map Calc'!$A$2:$A$950,MATCH(LARGE('Map Calc'!$Q$2:$Q$950,10),'Map Calc'!$Q$2:$Q$950,0)),"")</f>
        <v>Dead Cells</v>
      </c>
      <c r="T14">
        <f>IFERROR(INDEX('Map Calc'!$D$2:$D$950,MATCH(LARGE('Map Calc'!$Q$2:$Q$950,10),'Map Calc'!$Q$2:$Q$950,0)),"")</f>
        <v>31</v>
      </c>
      <c r="V14">
        <v>1987</v>
      </c>
      <c r="W14">
        <f>COUNTIF(games!$B$2:$B$950,$V14)</f>
        <v>3</v>
      </c>
      <c r="X14">
        <f>COUNTIFS(games!$B$2:$B$950,$V14,games!$H$2:$H$950,"Yes")</f>
        <v>3</v>
      </c>
      <c r="Y14">
        <f>COUNTIF('Map Calc'!$T$2:$T$1400,$V14)</f>
        <v>39</v>
      </c>
      <c r="AA14">
        <v>9</v>
      </c>
      <c r="AB14">
        <f>COUNTIF('Map Calc'!$V$2:$V$1400,$AA14)</f>
        <v>70</v>
      </c>
    </row>
    <row r="15" spans="1:28" x14ac:dyDescent="0.25">
      <c r="A15" s="15" t="s">
        <v>4343</v>
      </c>
      <c r="B15" s="16">
        <f>B13+B14</f>
        <v>392</v>
      </c>
      <c r="C15" s="17" t="s">
        <v>4344</v>
      </c>
      <c r="N15">
        <v>11</v>
      </c>
      <c r="O15" t="str">
        <f>IFERROR(INDEX('Map Calc'!$A$2:$A$950,MATCH(LARGE('Map Calc'!$O$2:$O$950,11),'Map Calc'!$O$2:$O$950,0)),"")</f>
        <v>Nuclear Throne</v>
      </c>
      <c r="P15">
        <f>IFERROR(INDEX('Map Calc'!$D$2:$D$950,MATCH(LARGE('Map Calc'!$O$2:$O$950,11),'Map Calc'!$O$2:$O$950,0)),"")</f>
        <v>30</v>
      </c>
      <c r="R15">
        <v>11</v>
      </c>
      <c r="S15" t="str">
        <f>IFERROR(INDEX('Map Calc'!$A$2:$A$950,MATCH(LARGE('Map Calc'!$Q$2:$Q$950,11),'Map Calc'!$Q$2:$Q$950,0)),"")</f>
        <v>Nuclear Throne</v>
      </c>
      <c r="T15">
        <f>IFERROR(INDEX('Map Calc'!$D$2:$D$950,MATCH(LARGE('Map Calc'!$Q$2:$Q$950,11),'Map Calc'!$Q$2:$Q$950,0)),"")</f>
        <v>30</v>
      </c>
      <c r="V15">
        <v>1988</v>
      </c>
      <c r="W15">
        <f>COUNTIF(games!$B$2:$B$950,$V15)</f>
        <v>0</v>
      </c>
      <c r="X15">
        <f>COUNTIFS(games!$B$2:$B$950,$V15,games!$H$2:$H$950,"Yes")</f>
        <v>0</v>
      </c>
      <c r="Y15">
        <f>COUNTIF('Map Calc'!$T$2:$T$1400,$V15)</f>
        <v>0</v>
      </c>
      <c r="AA15">
        <v>10</v>
      </c>
      <c r="AB15">
        <f>COUNTIF('Map Calc'!$V$2:$V$1400,$AA15)</f>
        <v>32</v>
      </c>
    </row>
    <row r="16" spans="1:28" x14ac:dyDescent="0.25">
      <c r="A16" s="15" t="s">
        <v>4345</v>
      </c>
      <c r="B16" s="16">
        <f>COUNTIFS(games!$H$2:$H$950,"Yes",'Map Calc'!$D$2:$D$950,"&gt;1")</f>
        <v>328</v>
      </c>
      <c r="C16" s="17" t="s">
        <v>4346</v>
      </c>
      <c r="N16">
        <v>12</v>
      </c>
      <c r="O16" t="str">
        <f>IFERROR(INDEX('Map Calc'!$A$2:$A$950,MATCH(LARGE('Map Calc'!$O$2:$O$950,12),'Map Calc'!$O$2:$O$950,0)),"")</f>
        <v>Diablo</v>
      </c>
      <c r="P16">
        <f>IFERROR(INDEX('Map Calc'!$D$2:$D$950,MATCH(LARGE('Map Calc'!$O$2:$O$950,12),'Map Calc'!$O$2:$O$950,0)),"")</f>
        <v>30</v>
      </c>
      <c r="R16">
        <v>12</v>
      </c>
      <c r="S16" t="str">
        <f>IFERROR(INDEX('Map Calc'!$A$2:$A$950,MATCH(LARGE('Map Calc'!$Q$2:$Q$950,12),'Map Calc'!$Q$2:$Q$950,0)),"")</f>
        <v>Diablo</v>
      </c>
      <c r="T16">
        <f>IFERROR(INDEX('Map Calc'!$D$2:$D$950,MATCH(LARGE('Map Calc'!$Q$2:$Q$950,12),'Map Calc'!$Q$2:$Q$950,0)),"")</f>
        <v>30</v>
      </c>
      <c r="V16">
        <v>1989</v>
      </c>
      <c r="W16">
        <f>COUNTIF(games!$B$2:$B$950,$V16)</f>
        <v>0</v>
      </c>
      <c r="X16">
        <f>COUNTIFS(games!$B$2:$B$950,$V16,games!$H$2:$H$950,"Yes")</f>
        <v>0</v>
      </c>
      <c r="Y16">
        <f>COUNTIF('Map Calc'!$T$2:$T$1400,$V16)</f>
        <v>0</v>
      </c>
      <c r="AA16" t="s">
        <v>4347</v>
      </c>
      <c r="AB16">
        <f>COUNTIFS('Map Calc'!$V$2:$V$1400,"&gt;=11",'Map Calc'!$V$2:$V$1400,"&lt;=20")</f>
        <v>157</v>
      </c>
    </row>
    <row r="17" spans="1:28" x14ac:dyDescent="0.25">
      <c r="A17" s="15" t="s">
        <v>4348</v>
      </c>
      <c r="B17" s="16">
        <f>COUNTIFS(games!$H$2:$H$950,"Yes",'Map Calc'!$D$2:$D$950,"&lt;=1")</f>
        <v>235</v>
      </c>
      <c r="C17" s="17" t="s">
        <v>4349</v>
      </c>
      <c r="N17">
        <v>13</v>
      </c>
      <c r="O17" t="str">
        <f>IFERROR(INDEX('Map Calc'!$A$2:$A$950,MATCH(LARGE('Map Calc'!$O$2:$O$950,13),'Map Calc'!$O$2:$O$950,0)),"")</f>
        <v>Rogue</v>
      </c>
      <c r="P17">
        <f>IFERROR(INDEX('Map Calc'!$D$2:$D$950,MATCH(LARGE('Map Calc'!$O$2:$O$950,13),'Map Calc'!$O$2:$O$950,0)),"")</f>
        <v>29</v>
      </c>
      <c r="R17">
        <v>13</v>
      </c>
      <c r="S17" t="str">
        <f>IFERROR(INDEX('Map Calc'!$A$2:$A$950,MATCH(LARGE('Map Calc'!$Q$2:$Q$950,13),'Map Calc'!$Q$2:$Q$950,0)),"")</f>
        <v>Rogue</v>
      </c>
      <c r="T17">
        <f>IFERROR(INDEX('Map Calc'!$D$2:$D$950,MATCH(LARGE('Map Calc'!$Q$2:$Q$950,13),'Map Calc'!$Q$2:$Q$950,0)),"")</f>
        <v>29</v>
      </c>
      <c r="V17">
        <v>1990</v>
      </c>
      <c r="W17">
        <f>COUNTIF(games!$B$2:$B$950,$V17)</f>
        <v>3</v>
      </c>
      <c r="X17">
        <f>COUNTIFS(games!$B$2:$B$950,$V17,games!$H$2:$H$950,"Yes")</f>
        <v>3</v>
      </c>
      <c r="Y17">
        <f>COUNTIF('Map Calc'!$T$2:$T$1400,$V17)</f>
        <v>15</v>
      </c>
      <c r="AA17" t="s">
        <v>4350</v>
      </c>
      <c r="AB17">
        <f>COUNTIF('Map Calc'!$V$2:$V$1400,"&gt;=21")</f>
        <v>104</v>
      </c>
    </row>
    <row r="18" spans="1:28" x14ac:dyDescent="0.25">
      <c r="A18" s="15" t="s">
        <v>4351</v>
      </c>
      <c r="B18" s="23">
        <f>SUMPRODUCT(('Map Calc'!$V$2:$V$1400&lt;&gt;"")*('Map Calc'!$V$2:$V$1400&lt;0))</f>
        <v>3</v>
      </c>
      <c r="C18" s="17" t="s">
        <v>4352</v>
      </c>
      <c r="N18">
        <v>14</v>
      </c>
      <c r="O18" t="str">
        <f>IFERROR(INDEX('Map Calc'!$A$2:$A$950,MATCH(LARGE('Map Calc'!$O$2:$O$950,14),'Map Calc'!$O$2:$O$950,0)),"")</f>
        <v>Into the Breach</v>
      </c>
      <c r="P18">
        <f>IFERROR(INDEX('Map Calc'!$D$2:$D$950,MATCH(LARGE('Map Calc'!$O$2:$O$950,14),'Map Calc'!$O$2:$O$950,0)),"")</f>
        <v>28</v>
      </c>
      <c r="R18">
        <v>14</v>
      </c>
      <c r="S18" t="str">
        <f>IFERROR(INDEX('Map Calc'!$A$2:$A$950,MATCH(LARGE('Map Calc'!$Q$2:$Q$950,14),'Map Calc'!$Q$2:$Q$950,0)),"")</f>
        <v>Into the Breach</v>
      </c>
      <c r="T18">
        <f>IFERROR(INDEX('Map Calc'!$D$2:$D$950,MATCH(LARGE('Map Calc'!$Q$2:$Q$950,14),'Map Calc'!$Q$2:$Q$950,0)),"")</f>
        <v>28</v>
      </c>
      <c r="V18">
        <v>1991</v>
      </c>
      <c r="W18">
        <f>COUNTIF(games!$B$2:$B$950,$V18)</f>
        <v>2</v>
      </c>
      <c r="X18">
        <f>COUNTIFS(games!$B$2:$B$950,$V18,games!$H$2:$H$950,"Yes")</f>
        <v>2</v>
      </c>
      <c r="Y18">
        <f>COUNTIF('Map Calc'!$T$2:$T$1400,$V18)</f>
        <v>2</v>
      </c>
    </row>
    <row r="19" spans="1:28" x14ac:dyDescent="0.25">
      <c r="A19" s="15" t="s">
        <v>4353</v>
      </c>
      <c r="B19" s="16">
        <f>SUMPRODUCT(('Map Calc'!$V$2:$V$1400&lt;&gt;"")*('Map Calc'!$V$2:$V$1400=0))</f>
        <v>12</v>
      </c>
      <c r="C19" s="17" t="s">
        <v>4354</v>
      </c>
      <c r="N19">
        <v>15</v>
      </c>
      <c r="O19" t="str">
        <f>IFERROR(INDEX('Map Calc'!$A$2:$A$950,MATCH(LARGE('Map Calc'!$O$2:$O$950,15),'Map Calc'!$O$2:$O$950,0)),"")</f>
        <v>Darkest Dungeon</v>
      </c>
      <c r="P19">
        <f>IFERROR(INDEX('Map Calc'!$D$2:$D$950,MATCH(LARGE('Map Calc'!$O$2:$O$950,15),'Map Calc'!$O$2:$O$950,0)),"")</f>
        <v>28</v>
      </c>
      <c r="R19">
        <v>15</v>
      </c>
      <c r="S19" t="str">
        <f>IFERROR(INDEX('Map Calc'!$A$2:$A$950,MATCH(LARGE('Map Calc'!$Q$2:$Q$950,15),'Map Calc'!$Q$2:$Q$950,0)),"")</f>
        <v>Darkest Dungeon</v>
      </c>
      <c r="T19">
        <f>IFERROR(INDEX('Map Calc'!$D$2:$D$950,MATCH(LARGE('Map Calc'!$Q$2:$Q$950,15),'Map Calc'!$Q$2:$Q$950,0)),"")</f>
        <v>28</v>
      </c>
      <c r="V19">
        <v>1992</v>
      </c>
      <c r="W19">
        <f>COUNTIF(games!$B$2:$B$950,$V19)</f>
        <v>2</v>
      </c>
      <c r="X19">
        <f>COUNTIFS(games!$B$2:$B$950,$V19,games!$H$2:$H$950,"Yes")</f>
        <v>2</v>
      </c>
      <c r="Y19">
        <f>COUNTIF('Map Calc'!$T$2:$T$1400,$V19)</f>
        <v>2</v>
      </c>
    </row>
    <row r="20" spans="1:28" x14ac:dyDescent="0.25">
      <c r="A20" s="15" t="s">
        <v>4355</v>
      </c>
      <c r="B20" s="24">
        <f>MEDIAN('Map Calc'!$V$2:$V$1400)</f>
        <v>5</v>
      </c>
      <c r="C20" s="17" t="s">
        <v>4356</v>
      </c>
      <c r="N20">
        <v>16</v>
      </c>
      <c r="O20" t="str">
        <f>IFERROR(INDEX('Map Calc'!$A$2:$A$950,MATCH(LARGE('Map Calc'!$O$2:$O$950,16),'Map Calc'!$O$2:$O$950,0)),"")</f>
        <v>Torneko's Great Adventure: Mystery Dungeon</v>
      </c>
      <c r="P20">
        <f>IFERROR(INDEX('Map Calc'!$D$2:$D$950,MATCH(LARGE('Map Calc'!$O$2:$O$950,16),'Map Calc'!$O$2:$O$950,0)),"")</f>
        <v>27</v>
      </c>
      <c r="V20">
        <v>1993</v>
      </c>
      <c r="W20">
        <f>COUNTIF(games!$B$2:$B$950,$V20)</f>
        <v>2</v>
      </c>
      <c r="X20">
        <f>COUNTIFS(games!$B$2:$B$950,$V20,games!$H$2:$H$950,"Yes")</f>
        <v>1</v>
      </c>
      <c r="Y20">
        <f>COUNTIF('Map Calc'!$T$2:$T$1400,$V20)</f>
        <v>26</v>
      </c>
    </row>
    <row r="21" spans="1:28" x14ac:dyDescent="0.25">
      <c r="A21" s="15" t="s">
        <v>4357</v>
      </c>
      <c r="B21" s="25">
        <f>COUNTIF(connections!$D$2:$D$1460,"Yes")</f>
        <v>148</v>
      </c>
      <c r="C21" s="17" t="s">
        <v>4358</v>
      </c>
      <c r="N21">
        <v>17</v>
      </c>
      <c r="O21" t="str">
        <f>IFERROR(INDEX('Map Calc'!$A$2:$A$950,MATCH(LARGE('Map Calc'!$O$2:$O$950,17),'Map Calc'!$O$2:$O$950,0)),"")</f>
        <v>Luck be a Landlord</v>
      </c>
      <c r="P21">
        <f>IFERROR(INDEX('Map Calc'!$D$2:$D$950,MATCH(LARGE('Map Calc'!$O$2:$O$950,17),'Map Calc'!$O$2:$O$950,0)),"")</f>
        <v>27</v>
      </c>
      <c r="V21">
        <v>1994</v>
      </c>
      <c r="W21">
        <f>COUNTIF(games!$B$2:$B$950,$V21)</f>
        <v>3</v>
      </c>
      <c r="X21">
        <f>COUNTIFS(games!$B$2:$B$950,$V21,games!$H$2:$H$950,"Yes")</f>
        <v>3</v>
      </c>
      <c r="Y21">
        <f>COUNTIF('Map Calc'!$T$2:$T$1400,$V21)</f>
        <v>19</v>
      </c>
    </row>
    <row r="22" spans="1:28" x14ac:dyDescent="0.25">
      <c r="A22" s="15" t="s">
        <v>4359</v>
      </c>
      <c r="B22" s="25">
        <f>COUNTA(connections!$E$2:$E$1460)</f>
        <v>1309</v>
      </c>
      <c r="C22" s="17" t="s">
        <v>4360</v>
      </c>
      <c r="N22">
        <v>18</v>
      </c>
      <c r="O22" t="str">
        <f>IFERROR(INDEX('Map Calc'!$A$2:$A$950,MATCH(LARGE('Map Calc'!$O$2:$O$950,18),'Map Calc'!$O$2:$O$950,0)),"")</f>
        <v>Brotato</v>
      </c>
      <c r="P22">
        <f>IFERROR(INDEX('Map Calc'!$D$2:$D$950,MATCH(LARGE('Map Calc'!$O$2:$O$950,18),'Map Calc'!$O$2:$O$950,0)),"")</f>
        <v>22</v>
      </c>
      <c r="V22">
        <v>1995</v>
      </c>
      <c r="W22">
        <f>COUNTIF(games!$B$2:$B$950,$V22)</f>
        <v>2</v>
      </c>
      <c r="X22">
        <f>COUNTIFS(games!$B$2:$B$950,$V22,games!$H$2:$H$950,"Yes")</f>
        <v>2</v>
      </c>
      <c r="Y22">
        <f>COUNTIF('Map Calc'!$T$2:$T$1400,$V22)</f>
        <v>14</v>
      </c>
    </row>
    <row r="23" spans="1:28" x14ac:dyDescent="0.25">
      <c r="A23" s="15" t="s">
        <v>4361</v>
      </c>
      <c r="B23" s="16">
        <f>COUNTIFS(games!$H$2:$H$950,"Yes",games!$J$2:$J$950,"")</f>
        <v>89</v>
      </c>
      <c r="C23" s="17" t="s">
        <v>4362</v>
      </c>
      <c r="N23">
        <v>19</v>
      </c>
      <c r="O23" t="str">
        <f>IFERROR(INDEX('Map Calc'!$A$2:$A$950,MATCH(LARGE('Map Calc'!$O$2:$O$950,19),'Map Calc'!$O$2:$O$950,0)),"")</f>
        <v>Ancient Domains of Mystery</v>
      </c>
      <c r="P23">
        <f>IFERROR(INDEX('Map Calc'!$D$2:$D$950,MATCH(LARGE('Map Calc'!$O$2:$O$950,19),'Map Calc'!$O$2:$O$950,0)),"")</f>
        <v>22</v>
      </c>
      <c r="V23">
        <v>1996</v>
      </c>
      <c r="W23">
        <f>COUNTIF(games!$B$2:$B$950,$V23)</f>
        <v>2</v>
      </c>
      <c r="X23">
        <f>COUNTIFS(games!$B$2:$B$950,$V23,games!$H$2:$H$950,"Yes")</f>
        <v>2</v>
      </c>
      <c r="Y23">
        <f>COUNTIF('Map Calc'!$T$2:$T$1400,$V23)</f>
        <v>26</v>
      </c>
    </row>
    <row r="24" spans="1:28" x14ac:dyDescent="0.25">
      <c r="N24">
        <v>20</v>
      </c>
      <c r="O24" t="str">
        <f>IFERROR(INDEX('Map Calc'!$A$2:$A$950,MATCH(LARGE('Map Calc'!$O$2:$O$950,20),'Map Calc'!$O$2:$O$950,0)),"")</f>
        <v>Risk of Rain 2</v>
      </c>
      <c r="P24">
        <f>IFERROR(INDEX('Map Calc'!$D$2:$D$950,MATCH(LARGE('Map Calc'!$O$2:$O$950,20),'Map Calc'!$O$2:$O$950,0)),"")</f>
        <v>20</v>
      </c>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12</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3</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6</v>
      </c>
    </row>
    <row r="33" spans="22:25" x14ac:dyDescent="0.25">
      <c r="V33">
        <v>2006</v>
      </c>
      <c r="W33">
        <f>COUNTIF(games!$B$2:$B$950,$V33)</f>
        <v>8</v>
      </c>
      <c r="X33">
        <f>COUNTIFS(games!$B$2:$B$950,$V33,games!$H$2:$H$950,"Yes")</f>
        <v>8</v>
      </c>
      <c r="Y33">
        <f>COUNTIF('Map Calc'!$T$2:$T$1400,$V33)</f>
        <v>22</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46</v>
      </c>
    </row>
    <row r="36" spans="22:25" x14ac:dyDescent="0.25">
      <c r="V36">
        <v>2009</v>
      </c>
      <c r="W36">
        <f>COUNTIF(games!$B$2:$B$950,$V36)</f>
        <v>2</v>
      </c>
      <c r="X36">
        <f>COUNTIFS(games!$B$2:$B$950,$V36,games!$H$2:$H$950,"Yes")</f>
        <v>2</v>
      </c>
      <c r="Y36">
        <f>COUNTIF('Map Calc'!$T$2:$T$1400,$V36)</f>
        <v>9</v>
      </c>
    </row>
    <row r="37" spans="22:25" x14ac:dyDescent="0.25">
      <c r="V37">
        <v>2010</v>
      </c>
      <c r="W37">
        <f>COUNTIF(games!$B$2:$B$950,$V37)</f>
        <v>14</v>
      </c>
      <c r="X37">
        <f>COUNTIFS(games!$B$2:$B$950,$V37,games!$H$2:$H$950,"Yes")</f>
        <v>7</v>
      </c>
      <c r="Y37">
        <f>COUNTIF('Map Calc'!$T$2:$T$1400,$V37)</f>
        <v>18</v>
      </c>
    </row>
    <row r="38" spans="22:25" x14ac:dyDescent="0.25">
      <c r="V38">
        <v>2011</v>
      </c>
      <c r="W38">
        <f>COUNTIF(games!$B$2:$B$950,$V38)</f>
        <v>6</v>
      </c>
      <c r="X38">
        <f>COUNTIFS(games!$B$2:$B$950,$V38,games!$H$2:$H$950,"Yes")</f>
        <v>3</v>
      </c>
      <c r="Y38">
        <f>COUNTIF('Map Calc'!$T$2:$T$1400,$V38)</f>
        <v>81</v>
      </c>
    </row>
    <row r="39" spans="22:25" x14ac:dyDescent="0.25">
      <c r="V39">
        <v>2012</v>
      </c>
      <c r="W39">
        <f>COUNTIF(games!$B$2:$B$950,$V39)</f>
        <v>11</v>
      </c>
      <c r="X39">
        <f>COUNTIFS(games!$B$2:$B$950,$V39,games!$H$2:$H$950,"Yes")</f>
        <v>5</v>
      </c>
      <c r="Y39">
        <f>COUNTIF('Map Calc'!$T$2:$T$1400,$V39)</f>
        <v>45</v>
      </c>
    </row>
    <row r="40" spans="22:25" x14ac:dyDescent="0.25">
      <c r="V40">
        <v>2013</v>
      </c>
      <c r="W40">
        <f>COUNTIF(games!$B$2:$B$950,$V40)</f>
        <v>13</v>
      </c>
      <c r="X40">
        <f>COUNTIFS(games!$B$2:$B$950,$V40,games!$H$2:$H$950,"Yes")</f>
        <v>8</v>
      </c>
      <c r="Y40">
        <f>COUNTIF('Map Calc'!$T$2:$T$1400,$V40)</f>
        <v>40</v>
      </c>
    </row>
    <row r="41" spans="22:25" x14ac:dyDescent="0.25">
      <c r="V41">
        <v>2014</v>
      </c>
      <c r="W41">
        <f>COUNTIF(games!$B$2:$B$950,$V41)</f>
        <v>23</v>
      </c>
      <c r="X41">
        <f>COUNTIFS(games!$B$2:$B$950,$V41,games!$H$2:$H$950,"Yes")</f>
        <v>14</v>
      </c>
      <c r="Y41">
        <f>COUNTIF('Map Calc'!$T$2:$T$1400,$V41)</f>
        <v>14</v>
      </c>
    </row>
    <row r="42" spans="22:25" x14ac:dyDescent="0.25">
      <c r="V42">
        <v>2015</v>
      </c>
      <c r="W42">
        <f>COUNTIF(games!$B$2:$B$950,$V42)</f>
        <v>21</v>
      </c>
      <c r="X42">
        <f>COUNTIFS(games!$B$2:$B$950,$V42,games!$H$2:$H$950,"Yes")</f>
        <v>14</v>
      </c>
      <c r="Y42">
        <f>COUNTIF('Map Calc'!$T$2:$T$1400,$V42)</f>
        <v>80</v>
      </c>
    </row>
    <row r="43" spans="22:25" x14ac:dyDescent="0.25">
      <c r="V43">
        <v>2016</v>
      </c>
      <c r="W43">
        <f>COUNTIF(games!$B$2:$B$950,$V43)</f>
        <v>15</v>
      </c>
      <c r="X43">
        <f>COUNTIFS(games!$B$2:$B$950,$V43,games!$H$2:$H$950,"Yes")</f>
        <v>13</v>
      </c>
      <c r="Y43">
        <f>COUNTIF('Map Calc'!$T$2:$T$1400,$V43)</f>
        <v>39</v>
      </c>
    </row>
    <row r="44" spans="22:25" x14ac:dyDescent="0.25">
      <c r="V44">
        <v>2017</v>
      </c>
      <c r="W44">
        <f>COUNTIF(games!$B$2:$B$950,$V44)</f>
        <v>32</v>
      </c>
      <c r="X44">
        <f>COUNTIFS(games!$B$2:$B$950,$V44,games!$H$2:$H$950,"Yes")</f>
        <v>21</v>
      </c>
      <c r="Y44">
        <f>COUNTIF('Map Calc'!$T$2:$T$1400,$V44)</f>
        <v>167</v>
      </c>
    </row>
    <row r="45" spans="22:25" x14ac:dyDescent="0.25">
      <c r="V45">
        <v>2018</v>
      </c>
      <c r="W45">
        <f>COUNTIF(games!$B$2:$B$950,$V45)</f>
        <v>23</v>
      </c>
      <c r="X45">
        <f>COUNTIFS(games!$B$2:$B$950,$V45,games!$H$2:$H$950,"Yes")</f>
        <v>16</v>
      </c>
      <c r="Y45">
        <f>COUNTIF('Map Calc'!$T$2:$T$1400,$V45)</f>
        <v>73</v>
      </c>
    </row>
    <row r="46" spans="22:25" x14ac:dyDescent="0.25">
      <c r="V46">
        <v>2019</v>
      </c>
      <c r="W46">
        <f>COUNTIF(games!$B$2:$B$950,$V46)</f>
        <v>39</v>
      </c>
      <c r="X46">
        <f>COUNTIFS(games!$B$2:$B$950,$V46,games!$H$2:$H$950,"Yes")</f>
        <v>27</v>
      </c>
      <c r="Y46">
        <f>COUNTIF('Map Calc'!$T$2:$T$1400,$V46)</f>
        <v>101</v>
      </c>
    </row>
    <row r="47" spans="22:25" x14ac:dyDescent="0.25">
      <c r="V47">
        <v>2020</v>
      </c>
      <c r="W47">
        <f>COUNTIF(games!$B$2:$B$950,$V47)</f>
        <v>51</v>
      </c>
      <c r="X47">
        <f>COUNTIFS(games!$B$2:$B$950,$V47,games!$H$2:$H$950,"Yes")</f>
        <v>43</v>
      </c>
      <c r="Y47">
        <f>COUNTIF('Map Calc'!$T$2:$T$1400,$V47)</f>
        <v>63</v>
      </c>
    </row>
    <row r="48" spans="22:25" x14ac:dyDescent="0.25">
      <c r="V48">
        <v>2021</v>
      </c>
      <c r="W48">
        <f>COUNTIF(games!$B$2:$B$950,$V48)</f>
        <v>44</v>
      </c>
      <c r="X48">
        <f>COUNTIFS(games!$B$2:$B$950,$V48,games!$H$2:$H$950,"Yes")</f>
        <v>38</v>
      </c>
      <c r="Y48">
        <f>COUNTIF('Map Calc'!$T$2:$T$1400,$V48)</f>
        <v>161</v>
      </c>
    </row>
    <row r="49" spans="22:25" x14ac:dyDescent="0.25">
      <c r="V49">
        <v>2022</v>
      </c>
      <c r="W49">
        <f>COUNTIF(games!$B$2:$B$950,$V49)</f>
        <v>70</v>
      </c>
      <c r="X49">
        <f>COUNTIFS(games!$B$2:$B$950,$V49,games!$H$2:$H$950,"Yes")</f>
        <v>57</v>
      </c>
      <c r="Y49">
        <f>COUNTIF('Map Calc'!$T$2:$T$1400,$V49)</f>
        <v>79</v>
      </c>
    </row>
    <row r="50" spans="22:25" x14ac:dyDescent="0.25">
      <c r="V50">
        <v>2023</v>
      </c>
      <c r="W50">
        <f>COUNTIF(games!$B$2:$B$950,$V50)</f>
        <v>97</v>
      </c>
      <c r="X50">
        <f>COUNTIFS(games!$B$2:$B$950,$V50,games!$H$2:$H$950,"Yes")</f>
        <v>77</v>
      </c>
      <c r="Y50">
        <f>COUNTIF('Map Calc'!$T$2:$T$1400,$V50)</f>
        <v>94</v>
      </c>
    </row>
    <row r="51" spans="22:25" x14ac:dyDescent="0.25">
      <c r="V51">
        <v>2024</v>
      </c>
      <c r="W51">
        <f>COUNTIF(games!$B$2:$B$950,$V51)</f>
        <v>100</v>
      </c>
      <c r="X51">
        <f>COUNTIFS(games!$B$2:$B$950,$V51,games!$H$2:$H$950,"Yes")</f>
        <v>59</v>
      </c>
      <c r="Y51">
        <f>COUNTIF('Map Calc'!$T$2:$T$1400,$V51)</f>
        <v>21</v>
      </c>
    </row>
    <row r="52" spans="22:25" x14ac:dyDescent="0.25">
      <c r="V52">
        <v>2025</v>
      </c>
      <c r="W52">
        <f>COUNTIF(games!$B$2:$B$950,$V52)</f>
        <v>155</v>
      </c>
      <c r="X52">
        <f>COUNTIFS(games!$B$2:$B$950,$V52,games!$H$2:$H$950,"Yes")</f>
        <v>78</v>
      </c>
      <c r="Y52">
        <f>COUNTIF('Map Calc'!$T$2:$T$1400,$V52)</f>
        <v>12</v>
      </c>
    </row>
    <row r="53" spans="22:25" x14ac:dyDescent="0.25">
      <c r="V53">
        <v>2026</v>
      </c>
      <c r="W53">
        <f>COUNTIF(games!$B$2:$B$950,$V53)</f>
        <v>108</v>
      </c>
      <c r="X53">
        <f>COUNTIFS(games!$B$2:$B$950,$V53,games!$H$2:$H$950,"Yes")</f>
        <v>18</v>
      </c>
      <c r="Y53">
        <f>COUNTIF('Map Calc'!$T$2:$T$1400,$V53)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4271</v>
      </c>
      <c r="F1" t="s">
        <v>3497</v>
      </c>
      <c r="G1" t="s">
        <v>4272</v>
      </c>
      <c r="H1" t="s">
        <v>7</v>
      </c>
    </row>
    <row r="2" spans="1:8" x14ac:dyDescent="0.25">
      <c r="B2" t="s">
        <v>4273</v>
      </c>
      <c r="C2" t="s">
        <v>3743</v>
      </c>
      <c r="D2" t="s">
        <v>41</v>
      </c>
      <c r="E2" t="s">
        <v>4274</v>
      </c>
      <c r="F2" t="s">
        <v>3459</v>
      </c>
      <c r="G2" t="s">
        <v>4275</v>
      </c>
    </row>
    <row r="3" spans="1:8" x14ac:dyDescent="0.25">
      <c r="B3" t="s">
        <v>4273</v>
      </c>
      <c r="C3" t="s">
        <v>3777</v>
      </c>
      <c r="D3" t="s">
        <v>41</v>
      </c>
      <c r="E3" t="s">
        <v>4276</v>
      </c>
      <c r="G3" t="s">
        <v>4277</v>
      </c>
    </row>
    <row r="4" spans="1:8" x14ac:dyDescent="0.25">
      <c r="B4" t="s">
        <v>4273</v>
      </c>
      <c r="C4" t="s">
        <v>3791</v>
      </c>
      <c r="D4" t="s">
        <v>41</v>
      </c>
      <c r="E4" t="s">
        <v>4278</v>
      </c>
      <c r="G4" t="s">
        <v>4279</v>
      </c>
    </row>
    <row r="5" spans="1:8" x14ac:dyDescent="0.25">
      <c r="B5" t="s">
        <v>4280</v>
      </c>
      <c r="C5" t="s">
        <v>3743</v>
      </c>
      <c r="D5" t="s">
        <v>41</v>
      </c>
      <c r="E5" t="s">
        <v>4281</v>
      </c>
      <c r="F5" t="s">
        <v>3459</v>
      </c>
      <c r="G5" t="s">
        <v>4282</v>
      </c>
    </row>
    <row r="6" spans="1:8" x14ac:dyDescent="0.25">
      <c r="B6" t="s">
        <v>4280</v>
      </c>
      <c r="C6" t="s">
        <v>3777</v>
      </c>
      <c r="D6" t="s">
        <v>41</v>
      </c>
      <c r="E6" t="s">
        <v>4283</v>
      </c>
      <c r="G6" t="s">
        <v>4284</v>
      </c>
    </row>
    <row r="7" spans="1:8" x14ac:dyDescent="0.25">
      <c r="B7" t="s">
        <v>4280</v>
      </c>
      <c r="C7" t="s">
        <v>3791</v>
      </c>
      <c r="D7" t="s">
        <v>41</v>
      </c>
      <c r="E7" t="s">
        <v>4285</v>
      </c>
      <c r="G7" t="s">
        <v>4286</v>
      </c>
    </row>
    <row r="8" spans="1:8" x14ac:dyDescent="0.25">
      <c r="B8" t="s">
        <v>4287</v>
      </c>
      <c r="C8" t="s">
        <v>3743</v>
      </c>
      <c r="D8" t="s">
        <v>41</v>
      </c>
      <c r="E8" t="s">
        <v>4288</v>
      </c>
      <c r="F8" t="s">
        <v>3459</v>
      </c>
    </row>
    <row r="9" spans="1:8" x14ac:dyDescent="0.25">
      <c r="B9" t="s">
        <v>4287</v>
      </c>
      <c r="C9" t="s">
        <v>3777</v>
      </c>
      <c r="D9" t="s">
        <v>41</v>
      </c>
      <c r="E9" t="s">
        <v>4289</v>
      </c>
    </row>
    <row r="10" spans="1:8" x14ac:dyDescent="0.25">
      <c r="B10" t="s">
        <v>4287</v>
      </c>
      <c r="C10" t="s">
        <v>3791</v>
      </c>
      <c r="D10" t="s">
        <v>41</v>
      </c>
      <c r="E10" t="s">
        <v>4290</v>
      </c>
    </row>
    <row r="11" spans="1:8" x14ac:dyDescent="0.25">
      <c r="B11" t="s">
        <v>4287</v>
      </c>
      <c r="C11" t="s">
        <v>3911</v>
      </c>
      <c r="D11" t="s">
        <v>41</v>
      </c>
      <c r="E11" t="s">
        <v>4291</v>
      </c>
      <c r="G11" t="s">
        <v>4292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3735</v>
      </c>
      <c r="D1" t="s">
        <v>3738</v>
      </c>
      <c r="E1" t="s">
        <v>3739</v>
      </c>
      <c r="F1" t="s">
        <v>4293</v>
      </c>
      <c r="G1" t="s">
        <v>4232</v>
      </c>
      <c r="H1" t="s">
        <v>4294</v>
      </c>
      <c r="I1" t="s">
        <v>4295</v>
      </c>
    </row>
    <row r="2" spans="1:9" x14ac:dyDescent="0.25">
      <c r="A2" t="s">
        <v>4296</v>
      </c>
      <c r="B2" t="s">
        <v>2619</v>
      </c>
      <c r="C2" t="s">
        <v>3743</v>
      </c>
      <c r="D2" t="s">
        <v>3752</v>
      </c>
      <c r="E2" t="s">
        <v>4297</v>
      </c>
      <c r="F2" t="s">
        <v>3466</v>
      </c>
      <c r="G2" t="s">
        <v>4298</v>
      </c>
      <c r="H2" t="s">
        <v>4299</v>
      </c>
      <c r="I2" t="s">
        <v>3676</v>
      </c>
    </row>
    <row r="3" spans="1:9" x14ac:dyDescent="0.25">
      <c r="A3" t="s">
        <v>4300</v>
      </c>
      <c r="B3" t="s">
        <v>2619</v>
      </c>
      <c r="C3" t="s">
        <v>3743</v>
      </c>
      <c r="D3" t="s">
        <v>3745</v>
      </c>
      <c r="E3" t="s">
        <v>4301</v>
      </c>
      <c r="F3" t="s">
        <v>3466</v>
      </c>
      <c r="G3" t="s">
        <v>4298</v>
      </c>
      <c r="I3" t="s">
        <v>4302</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7553</v>
      </c>
      <c r="B1" t="s">
        <v>7554</v>
      </c>
      <c r="C1" t="s">
        <v>7572</v>
      </c>
      <c r="D1" t="s">
        <v>7486</v>
      </c>
      <c r="E1" t="s">
        <v>7487</v>
      </c>
      <c r="F1" t="s">
        <v>7540</v>
      </c>
      <c r="G1" t="s">
        <v>7580</v>
      </c>
      <c r="H1" t="s">
        <v>7488</v>
      </c>
      <c r="I1" t="s">
        <v>7489</v>
      </c>
      <c r="J1" t="s">
        <v>7541</v>
      </c>
      <c r="K1" t="s">
        <v>7581</v>
      </c>
      <c r="L1" t="s">
        <v>7490</v>
      </c>
      <c r="M1" t="s">
        <v>7491</v>
      </c>
      <c r="N1" t="s">
        <v>7543</v>
      </c>
      <c r="O1" t="s">
        <v>7582</v>
      </c>
      <c r="P1" t="s">
        <v>7740</v>
      </c>
      <c r="Q1" t="s">
        <v>7741</v>
      </c>
      <c r="R1" t="s">
        <v>7742</v>
      </c>
      <c r="S1" t="s">
        <v>7743</v>
      </c>
      <c r="U1" t="s">
        <v>7562</v>
      </c>
      <c r="V1" t="s">
        <v>7744</v>
      </c>
      <c r="W1" t="s">
        <v>7583</v>
      </c>
    </row>
    <row r="2" spans="1:23" x14ac:dyDescent="0.25">
      <c r="A2" t="s">
        <v>7526</v>
      </c>
      <c r="B2" t="s">
        <v>7598</v>
      </c>
      <c r="C2" t="s">
        <v>4943</v>
      </c>
      <c r="D2" t="s">
        <v>7586</v>
      </c>
      <c r="E2" t="s">
        <v>7718</v>
      </c>
      <c r="F2" t="s">
        <v>7717</v>
      </c>
      <c r="G2" t="s">
        <v>7564</v>
      </c>
      <c r="U2" t="s">
        <v>3444</v>
      </c>
      <c r="V2" t="s">
        <v>7564</v>
      </c>
    </row>
    <row r="3" spans="1:23" x14ac:dyDescent="0.25">
      <c r="A3" t="s">
        <v>7505</v>
      </c>
      <c r="B3" t="s">
        <v>7598</v>
      </c>
      <c r="C3" t="s">
        <v>4943</v>
      </c>
      <c r="D3" t="s">
        <v>3681</v>
      </c>
      <c r="E3" t="s">
        <v>7763</v>
      </c>
      <c r="F3" t="s">
        <v>7717</v>
      </c>
      <c r="G3" t="s">
        <v>7564</v>
      </c>
      <c r="U3" t="s">
        <v>7548</v>
      </c>
      <c r="V3" t="s">
        <v>7564</v>
      </c>
      <c r="W3" t="s">
        <v>7594</v>
      </c>
    </row>
    <row r="4" spans="1:23" x14ac:dyDescent="0.25">
      <c r="A4" t="s">
        <v>7510</v>
      </c>
      <c r="B4" t="s">
        <v>7598</v>
      </c>
      <c r="C4" t="s">
        <v>4943</v>
      </c>
      <c r="D4" t="s">
        <v>3449</v>
      </c>
      <c r="E4" t="s">
        <v>7548</v>
      </c>
      <c r="F4" t="s">
        <v>7717</v>
      </c>
      <c r="G4" t="s">
        <v>7564</v>
      </c>
      <c r="U4" t="s">
        <v>7563</v>
      </c>
      <c r="V4" t="s">
        <v>7564</v>
      </c>
      <c r="W4" t="s">
        <v>3521</v>
      </c>
    </row>
    <row r="5" spans="1:23" x14ac:dyDescent="0.25">
      <c r="A5" t="s">
        <v>7512</v>
      </c>
      <c r="B5" t="s">
        <v>7598</v>
      </c>
      <c r="C5" t="s">
        <v>4943</v>
      </c>
      <c r="D5" t="s">
        <v>3578</v>
      </c>
      <c r="E5" t="s">
        <v>3443</v>
      </c>
      <c r="F5" t="s">
        <v>7717</v>
      </c>
      <c r="G5" t="s">
        <v>7564</v>
      </c>
      <c r="U5" t="s">
        <v>7731</v>
      </c>
      <c r="V5" t="s">
        <v>7564</v>
      </c>
      <c r="W5" t="s">
        <v>3442</v>
      </c>
    </row>
    <row r="6" spans="1:23" x14ac:dyDescent="0.25">
      <c r="A6" t="s">
        <v>7516</v>
      </c>
      <c r="B6" t="s">
        <v>7598</v>
      </c>
      <c r="C6" t="s">
        <v>4943</v>
      </c>
      <c r="D6" t="s">
        <v>3442</v>
      </c>
      <c r="E6" t="s">
        <v>7547</v>
      </c>
      <c r="F6" t="s">
        <v>7717</v>
      </c>
      <c r="G6" t="s">
        <v>7564</v>
      </c>
      <c r="U6" t="s">
        <v>7730</v>
      </c>
      <c r="V6" t="s">
        <v>7565</v>
      </c>
      <c r="W6" t="s">
        <v>3449</v>
      </c>
    </row>
    <row r="7" spans="1:23" x14ac:dyDescent="0.25">
      <c r="A7" t="s">
        <v>7522</v>
      </c>
      <c r="B7" t="s">
        <v>7598</v>
      </c>
      <c r="C7" t="s">
        <v>4943</v>
      </c>
      <c r="D7" t="s">
        <v>5425</v>
      </c>
      <c r="E7" t="s">
        <v>7719</v>
      </c>
      <c r="F7" t="s">
        <v>7717</v>
      </c>
      <c r="G7" t="s">
        <v>7564</v>
      </c>
      <c r="U7" t="s">
        <v>7719</v>
      </c>
      <c r="V7" t="s">
        <v>7564</v>
      </c>
      <c r="W7" t="s">
        <v>7585</v>
      </c>
    </row>
    <row r="8" spans="1:23" x14ac:dyDescent="0.25">
      <c r="A8" t="s">
        <v>3522</v>
      </c>
      <c r="B8" t="s">
        <v>7598</v>
      </c>
      <c r="C8" t="s">
        <v>4943</v>
      </c>
      <c r="D8" t="s">
        <v>7595</v>
      </c>
      <c r="E8" t="s">
        <v>7721</v>
      </c>
      <c r="F8" t="s">
        <v>7549</v>
      </c>
      <c r="G8" t="s">
        <v>7564</v>
      </c>
      <c r="U8" t="s">
        <v>7626</v>
      </c>
      <c r="V8" t="s">
        <v>7564</v>
      </c>
      <c r="W8" t="s">
        <v>7595</v>
      </c>
    </row>
    <row r="9" spans="1:23" x14ac:dyDescent="0.25">
      <c r="A9" t="s">
        <v>7714</v>
      </c>
      <c r="B9" t="s">
        <v>7598</v>
      </c>
      <c r="C9" t="s">
        <v>4943</v>
      </c>
      <c r="D9" t="s">
        <v>3589</v>
      </c>
      <c r="E9" t="s">
        <v>7584</v>
      </c>
      <c r="F9" t="s">
        <v>7717</v>
      </c>
      <c r="G9" t="s">
        <v>7564</v>
      </c>
      <c r="U9" t="s">
        <v>4246</v>
      </c>
      <c r="V9" t="s">
        <v>7565</v>
      </c>
      <c r="W9" t="s">
        <v>3443</v>
      </c>
    </row>
    <row r="10" spans="1:23" x14ac:dyDescent="0.25">
      <c r="A10" t="s">
        <v>7500</v>
      </c>
      <c r="B10" t="s">
        <v>7598</v>
      </c>
      <c r="C10" t="s">
        <v>4943</v>
      </c>
      <c r="D10" t="s">
        <v>3681</v>
      </c>
      <c r="E10" t="s">
        <v>7722</v>
      </c>
      <c r="F10" t="s">
        <v>7717</v>
      </c>
      <c r="G10" t="s">
        <v>7564</v>
      </c>
      <c r="U10" t="s">
        <v>3445</v>
      </c>
      <c r="V10" t="s">
        <v>7564</v>
      </c>
    </row>
    <row r="11" spans="1:23" x14ac:dyDescent="0.25">
      <c r="A11" t="s">
        <v>7519</v>
      </c>
      <c r="B11" t="s">
        <v>7598</v>
      </c>
      <c r="C11" t="s">
        <v>4943</v>
      </c>
      <c r="D11" t="s">
        <v>3442</v>
      </c>
      <c r="E11" t="s">
        <v>7547</v>
      </c>
      <c r="F11" t="s">
        <v>7717</v>
      </c>
      <c r="G11" t="s">
        <v>7564</v>
      </c>
      <c r="U11" t="s">
        <v>7752</v>
      </c>
      <c r="V11" t="s">
        <v>7565</v>
      </c>
      <c r="W11" t="s">
        <v>7585</v>
      </c>
    </row>
    <row r="12" spans="1:23" x14ac:dyDescent="0.25">
      <c r="A12" t="s">
        <v>3678</v>
      </c>
      <c r="B12" t="s">
        <v>7598</v>
      </c>
      <c r="C12" t="s">
        <v>4943</v>
      </c>
      <c r="D12" t="s">
        <v>3681</v>
      </c>
      <c r="E12" t="s">
        <v>7723</v>
      </c>
      <c r="F12" t="s">
        <v>7717</v>
      </c>
      <c r="G12" t="s">
        <v>7564</v>
      </c>
      <c r="U12" t="s">
        <v>7627</v>
      </c>
      <c r="V12" t="s">
        <v>7564</v>
      </c>
      <c r="W12" t="s">
        <v>7586</v>
      </c>
    </row>
    <row r="13" spans="1:23" x14ac:dyDescent="0.25">
      <c r="A13" t="s">
        <v>7497</v>
      </c>
      <c r="B13" t="s">
        <v>7598</v>
      </c>
      <c r="C13" t="s">
        <v>4943</v>
      </c>
      <c r="D13" t="s">
        <v>7595</v>
      </c>
      <c r="E13" t="s">
        <v>7721</v>
      </c>
      <c r="F13" t="s">
        <v>7717</v>
      </c>
      <c r="G13" t="s">
        <v>7564</v>
      </c>
      <c r="U13" t="s">
        <v>7627</v>
      </c>
      <c r="V13" t="s">
        <v>7564</v>
      </c>
      <c r="W13" t="s">
        <v>3589</v>
      </c>
    </row>
    <row r="14" spans="1:23" x14ac:dyDescent="0.25">
      <c r="A14" t="s">
        <v>7498</v>
      </c>
      <c r="B14" t="s">
        <v>7598</v>
      </c>
      <c r="C14" t="s">
        <v>4943</v>
      </c>
      <c r="D14" t="s">
        <v>3442</v>
      </c>
      <c r="E14" t="s">
        <v>7547</v>
      </c>
      <c r="F14" t="s">
        <v>7717</v>
      </c>
      <c r="G14" t="s">
        <v>7564</v>
      </c>
      <c r="U14" t="s">
        <v>7726</v>
      </c>
      <c r="V14" t="s">
        <v>7565</v>
      </c>
    </row>
    <row r="15" spans="1:23" x14ac:dyDescent="0.25">
      <c r="A15" t="s">
        <v>7502</v>
      </c>
      <c r="B15" t="s">
        <v>7598</v>
      </c>
      <c r="C15" t="s">
        <v>4943</v>
      </c>
      <c r="D15" t="s">
        <v>7596</v>
      </c>
      <c r="E15" t="s">
        <v>7591</v>
      </c>
      <c r="F15" t="s">
        <v>7717</v>
      </c>
      <c r="G15" t="s">
        <v>7564</v>
      </c>
      <c r="U15" t="s">
        <v>7753</v>
      </c>
      <c r="V15" t="s">
        <v>7565</v>
      </c>
      <c r="W15" t="s">
        <v>3589</v>
      </c>
    </row>
    <row r="16" spans="1:23" x14ac:dyDescent="0.25">
      <c r="A16" t="s">
        <v>7443</v>
      </c>
      <c r="B16" t="s">
        <v>7542</v>
      </c>
      <c r="C16" t="s">
        <v>7754</v>
      </c>
      <c r="D16" t="s">
        <v>7732</v>
      </c>
      <c r="E16" t="s">
        <v>7576</v>
      </c>
      <c r="F16" t="s">
        <v>7559</v>
      </c>
      <c r="G16" t="s">
        <v>7564</v>
      </c>
      <c r="U16" t="s">
        <v>7575</v>
      </c>
      <c r="V16" t="s">
        <v>7565</v>
      </c>
      <c r="W16" t="s">
        <v>7550</v>
      </c>
    </row>
    <row r="17" spans="1:23" x14ac:dyDescent="0.25">
      <c r="A17" t="s">
        <v>7472</v>
      </c>
      <c r="B17" t="s">
        <v>7542</v>
      </c>
      <c r="C17" t="s">
        <v>7754</v>
      </c>
      <c r="D17" t="s">
        <v>7597</v>
      </c>
      <c r="E17" t="s">
        <v>7755</v>
      </c>
      <c r="F17" t="s">
        <v>7579</v>
      </c>
      <c r="G17" t="s">
        <v>7565</v>
      </c>
      <c r="U17" t="s">
        <v>7755</v>
      </c>
      <c r="V17" t="s">
        <v>7564</v>
      </c>
      <c r="W17" t="s">
        <v>4009</v>
      </c>
    </row>
    <row r="18" spans="1:23" x14ac:dyDescent="0.25">
      <c r="A18" t="s">
        <v>7433</v>
      </c>
      <c r="B18" t="s">
        <v>7542</v>
      </c>
      <c r="C18" t="s">
        <v>7754</v>
      </c>
      <c r="D18" t="s">
        <v>5524</v>
      </c>
      <c r="E18" t="s">
        <v>7758</v>
      </c>
      <c r="F18" t="s">
        <v>7764</v>
      </c>
      <c r="G18" t="s">
        <v>7564</v>
      </c>
      <c r="U18" t="s">
        <v>7567</v>
      </c>
      <c r="V18" t="s">
        <v>7564</v>
      </c>
      <c r="W18" t="s">
        <v>7552</v>
      </c>
    </row>
    <row r="19" spans="1:23" x14ac:dyDescent="0.25">
      <c r="A19" t="s">
        <v>7403</v>
      </c>
      <c r="B19" t="s">
        <v>7542</v>
      </c>
      <c r="C19" t="s">
        <v>7754</v>
      </c>
      <c r="D19" t="s">
        <v>5524</v>
      </c>
      <c r="E19" t="s">
        <v>7752</v>
      </c>
      <c r="F19" t="s">
        <v>7759</v>
      </c>
      <c r="G19" t="s">
        <v>7564</v>
      </c>
      <c r="U19" t="s">
        <v>7576</v>
      </c>
      <c r="V19" t="s">
        <v>7564</v>
      </c>
      <c r="W19" t="s">
        <v>5425</v>
      </c>
    </row>
    <row r="20" spans="1:23" x14ac:dyDescent="0.25">
      <c r="A20" t="s">
        <v>7398</v>
      </c>
      <c r="B20" t="s">
        <v>7542</v>
      </c>
      <c r="C20" t="s">
        <v>7754</v>
      </c>
      <c r="D20" t="s">
        <v>3589</v>
      </c>
      <c r="E20" t="s">
        <v>7587</v>
      </c>
      <c r="F20" t="s">
        <v>7765</v>
      </c>
      <c r="G20" t="s">
        <v>7565</v>
      </c>
      <c r="U20" t="s">
        <v>7578</v>
      </c>
      <c r="V20" t="s">
        <v>7564</v>
      </c>
      <c r="W20" t="s">
        <v>7629</v>
      </c>
    </row>
    <row r="21" spans="1:23" x14ac:dyDescent="0.25">
      <c r="A21" t="s">
        <v>7449</v>
      </c>
      <c r="B21" t="s">
        <v>7542</v>
      </c>
      <c r="C21" t="s">
        <v>7754</v>
      </c>
      <c r="D21" t="s">
        <v>7766</v>
      </c>
      <c r="E21" t="s">
        <v>7767</v>
      </c>
      <c r="F21" t="s">
        <v>7765</v>
      </c>
      <c r="G21" t="s">
        <v>7564</v>
      </c>
      <c r="U21" t="s">
        <v>3443</v>
      </c>
      <c r="V21" t="s">
        <v>7564</v>
      </c>
    </row>
    <row r="22" spans="1:23" x14ac:dyDescent="0.25">
      <c r="A22" t="s">
        <v>7695</v>
      </c>
      <c r="B22" t="s">
        <v>7542</v>
      </c>
      <c r="C22" t="s">
        <v>7754</v>
      </c>
      <c r="D22" t="s">
        <v>3442</v>
      </c>
      <c r="E22" t="s">
        <v>7493</v>
      </c>
      <c r="F22" t="s">
        <v>7765</v>
      </c>
      <c r="G22" t="s">
        <v>7565</v>
      </c>
      <c r="U22" t="s">
        <v>7631</v>
      </c>
      <c r="V22" t="s">
        <v>7564</v>
      </c>
    </row>
    <row r="23" spans="1:23" x14ac:dyDescent="0.25">
      <c r="A23" t="s">
        <v>7698</v>
      </c>
      <c r="B23" t="s">
        <v>7542</v>
      </c>
      <c r="C23" t="s">
        <v>7754</v>
      </c>
      <c r="D23" t="s">
        <v>7597</v>
      </c>
      <c r="E23" t="s">
        <v>7726</v>
      </c>
      <c r="F23" t="s">
        <v>7759</v>
      </c>
      <c r="G23" t="s">
        <v>7564</v>
      </c>
      <c r="H23" t="s">
        <v>3589</v>
      </c>
      <c r="I23" t="s">
        <v>7587</v>
      </c>
      <c r="J23" t="s">
        <v>7559</v>
      </c>
      <c r="K23" t="s">
        <v>7564</v>
      </c>
      <c r="L23" t="s">
        <v>3578</v>
      </c>
      <c r="M23" t="s">
        <v>3443</v>
      </c>
      <c r="N23" t="s">
        <v>7559</v>
      </c>
      <c r="O23" t="s">
        <v>7564</v>
      </c>
      <c r="P23" t="s">
        <v>7588</v>
      </c>
      <c r="Q23" t="s">
        <v>7768</v>
      </c>
      <c r="R23" t="s">
        <v>7759</v>
      </c>
      <c r="S23" t="s">
        <v>7564</v>
      </c>
      <c r="U23" t="s">
        <v>7601</v>
      </c>
      <c r="V23" t="s">
        <v>7565</v>
      </c>
    </row>
    <row r="24" spans="1:23" x14ac:dyDescent="0.25">
      <c r="A24" t="s">
        <v>5203</v>
      </c>
      <c r="B24" t="s">
        <v>7542</v>
      </c>
      <c r="C24" t="s">
        <v>7754</v>
      </c>
      <c r="D24" t="s">
        <v>7597</v>
      </c>
      <c r="E24" t="s">
        <v>7753</v>
      </c>
      <c r="F24" t="s">
        <v>7759</v>
      </c>
      <c r="G24" t="s">
        <v>7565</v>
      </c>
      <c r="U24" t="s">
        <v>7602</v>
      </c>
      <c r="V24" t="s">
        <v>7564</v>
      </c>
    </row>
    <row r="25" spans="1:23" x14ac:dyDescent="0.25">
      <c r="A25" t="s">
        <v>7389</v>
      </c>
      <c r="B25" t="s">
        <v>7542</v>
      </c>
      <c r="C25" t="s">
        <v>7754</v>
      </c>
      <c r="D25" t="s">
        <v>5524</v>
      </c>
      <c r="E25" t="s">
        <v>7731</v>
      </c>
      <c r="F25" t="s">
        <v>7764</v>
      </c>
      <c r="G25" t="s">
        <v>7565</v>
      </c>
      <c r="U25" t="s">
        <v>7547</v>
      </c>
      <c r="V25" t="s">
        <v>7564</v>
      </c>
    </row>
    <row r="26" spans="1:23" x14ac:dyDescent="0.25">
      <c r="A26" t="s">
        <v>1322</v>
      </c>
      <c r="B26" t="s">
        <v>7542</v>
      </c>
      <c r="C26" t="s">
        <v>7754</v>
      </c>
      <c r="D26" t="s">
        <v>5524</v>
      </c>
      <c r="E26" t="s">
        <v>7752</v>
      </c>
      <c r="F26" t="s">
        <v>7542</v>
      </c>
      <c r="G26" t="s">
        <v>7564</v>
      </c>
      <c r="I26" t="s">
        <v>7751</v>
      </c>
      <c r="U26" t="s">
        <v>7557</v>
      </c>
      <c r="V26" t="s">
        <v>7564</v>
      </c>
    </row>
    <row r="27" spans="1:23" x14ac:dyDescent="0.25">
      <c r="A27" t="s">
        <v>7411</v>
      </c>
      <c r="B27" t="s">
        <v>7542</v>
      </c>
      <c r="C27" t="s">
        <v>7754</v>
      </c>
      <c r="D27" t="s">
        <v>7588</v>
      </c>
      <c r="E27" t="s">
        <v>4246</v>
      </c>
      <c r="F27" t="s">
        <v>7765</v>
      </c>
      <c r="G27" t="s">
        <v>7564</v>
      </c>
      <c r="U27" t="s">
        <v>7718</v>
      </c>
      <c r="V27" t="s">
        <v>7564</v>
      </c>
    </row>
    <row r="28" spans="1:23" x14ac:dyDescent="0.25">
      <c r="A28" t="s">
        <v>7426</v>
      </c>
      <c r="B28" t="s">
        <v>7542</v>
      </c>
      <c r="C28" t="s">
        <v>7754</v>
      </c>
      <c r="D28" t="s">
        <v>3459</v>
      </c>
      <c r="U28" t="s">
        <v>3452</v>
      </c>
      <c r="V28" t="s">
        <v>7564</v>
      </c>
    </row>
    <row r="29" spans="1:23" x14ac:dyDescent="0.25">
      <c r="A29" t="s">
        <v>7424</v>
      </c>
      <c r="B29" t="s">
        <v>7542</v>
      </c>
      <c r="C29" t="s">
        <v>7754</v>
      </c>
      <c r="D29" t="s">
        <v>7597</v>
      </c>
      <c r="E29" t="s">
        <v>7726</v>
      </c>
      <c r="F29" t="s">
        <v>7759</v>
      </c>
      <c r="G29" t="s">
        <v>7564</v>
      </c>
      <c r="H29" t="s">
        <v>3589</v>
      </c>
      <c r="I29" t="s">
        <v>7587</v>
      </c>
      <c r="J29" t="s">
        <v>7559</v>
      </c>
      <c r="K29" t="s">
        <v>7564</v>
      </c>
      <c r="L29" t="s">
        <v>3578</v>
      </c>
      <c r="M29" t="s">
        <v>3443</v>
      </c>
      <c r="N29" t="s">
        <v>7559</v>
      </c>
      <c r="O29" t="s">
        <v>7564</v>
      </c>
      <c r="P29" t="s">
        <v>7588</v>
      </c>
      <c r="Q29" t="s">
        <v>7768</v>
      </c>
      <c r="R29" t="s">
        <v>7759</v>
      </c>
      <c r="S29" t="s">
        <v>7564</v>
      </c>
      <c r="U29" t="s">
        <v>7587</v>
      </c>
      <c r="V29" t="s">
        <v>7564</v>
      </c>
    </row>
    <row r="30" spans="1:23" x14ac:dyDescent="0.25">
      <c r="A30" t="s">
        <v>7407</v>
      </c>
      <c r="B30" t="s">
        <v>7542</v>
      </c>
      <c r="C30" t="s">
        <v>7754</v>
      </c>
      <c r="D30" t="s">
        <v>7597</v>
      </c>
      <c r="E30" t="s">
        <v>7755</v>
      </c>
      <c r="F30" t="s">
        <v>7764</v>
      </c>
      <c r="G30" t="s">
        <v>7564</v>
      </c>
      <c r="U30" t="s">
        <v>7584</v>
      </c>
      <c r="V30" t="s">
        <v>7564</v>
      </c>
    </row>
    <row r="31" spans="1:23" x14ac:dyDescent="0.25">
      <c r="A31" t="s">
        <v>7453</v>
      </c>
      <c r="B31" t="s">
        <v>7542</v>
      </c>
      <c r="C31" t="s">
        <v>7754</v>
      </c>
      <c r="D31" t="s">
        <v>5524</v>
      </c>
      <c r="E31" t="s">
        <v>7760</v>
      </c>
      <c r="F31" t="s">
        <v>7765</v>
      </c>
      <c r="G31" t="s">
        <v>7564</v>
      </c>
      <c r="U31" t="s">
        <v>5679</v>
      </c>
      <c r="V31" t="s">
        <v>7564</v>
      </c>
    </row>
    <row r="32" spans="1:23" x14ac:dyDescent="0.25">
      <c r="A32" t="s">
        <v>7399</v>
      </c>
      <c r="B32" t="s">
        <v>7542</v>
      </c>
      <c r="C32" t="s">
        <v>7754</v>
      </c>
      <c r="D32" t="s">
        <v>7597</v>
      </c>
      <c r="E32" t="s">
        <v>7761</v>
      </c>
      <c r="F32" t="s">
        <v>7542</v>
      </c>
      <c r="G32" t="s">
        <v>7565</v>
      </c>
      <c r="U32" t="s">
        <v>7493</v>
      </c>
      <c r="V32" t="s">
        <v>7564</v>
      </c>
    </row>
    <row r="33" spans="1:22" x14ac:dyDescent="0.25">
      <c r="A33" t="s">
        <v>7413</v>
      </c>
      <c r="B33" t="s">
        <v>7542</v>
      </c>
      <c r="C33" t="s">
        <v>7754</v>
      </c>
      <c r="D33" t="s">
        <v>7588</v>
      </c>
      <c r="E33" t="s">
        <v>4246</v>
      </c>
      <c r="F33" t="s">
        <v>7765</v>
      </c>
      <c r="G33" t="s">
        <v>7564</v>
      </c>
      <c r="U33" t="s">
        <v>7591</v>
      </c>
      <c r="V33" t="s">
        <v>7564</v>
      </c>
    </row>
    <row r="34" spans="1:22" x14ac:dyDescent="0.25">
      <c r="A34" t="s">
        <v>7395</v>
      </c>
      <c r="B34" t="s">
        <v>7542</v>
      </c>
      <c r="C34" t="s">
        <v>7754</v>
      </c>
      <c r="D34" t="s">
        <v>5524</v>
      </c>
      <c r="E34" t="s">
        <v>7758</v>
      </c>
      <c r="F34" t="s">
        <v>7759</v>
      </c>
      <c r="G34" t="s">
        <v>7564</v>
      </c>
      <c r="U34" t="s">
        <v>7551</v>
      </c>
      <c r="V34" t="s">
        <v>7564</v>
      </c>
    </row>
    <row r="35" spans="1:22" x14ac:dyDescent="0.25">
      <c r="A35" t="s">
        <v>7388</v>
      </c>
      <c r="B35" t="s">
        <v>7542</v>
      </c>
      <c r="C35" t="s">
        <v>7754</v>
      </c>
      <c r="D35" t="s">
        <v>7597</v>
      </c>
      <c r="E35" t="s">
        <v>7726</v>
      </c>
      <c r="F35" t="s">
        <v>7759</v>
      </c>
      <c r="G35" t="s">
        <v>7564</v>
      </c>
      <c r="H35" t="s">
        <v>3589</v>
      </c>
      <c r="I35" t="s">
        <v>7587</v>
      </c>
      <c r="J35" t="s">
        <v>7559</v>
      </c>
      <c r="K35" t="s">
        <v>7564</v>
      </c>
      <c r="L35" t="s">
        <v>3578</v>
      </c>
      <c r="M35" t="s">
        <v>3443</v>
      </c>
      <c r="N35" t="s">
        <v>7559</v>
      </c>
      <c r="O35" t="s">
        <v>7564</v>
      </c>
      <c r="P35" t="s">
        <v>7588</v>
      </c>
      <c r="Q35" t="s">
        <v>7768</v>
      </c>
      <c r="R35" t="s">
        <v>7759</v>
      </c>
      <c r="S35" t="s">
        <v>7564</v>
      </c>
      <c r="U35" t="s">
        <v>7558</v>
      </c>
      <c r="V35" t="s">
        <v>7564</v>
      </c>
    </row>
    <row r="36" spans="1:22" x14ac:dyDescent="0.25">
      <c r="A36" t="s">
        <v>7386</v>
      </c>
      <c r="B36" t="s">
        <v>7542</v>
      </c>
      <c r="C36" t="s">
        <v>7754</v>
      </c>
      <c r="D36" t="s">
        <v>7597</v>
      </c>
      <c r="E36" t="s">
        <v>7726</v>
      </c>
      <c r="F36" t="s">
        <v>7759</v>
      </c>
      <c r="G36" t="s">
        <v>7564</v>
      </c>
      <c r="H36" t="s">
        <v>3589</v>
      </c>
      <c r="I36" t="s">
        <v>7587</v>
      </c>
      <c r="J36" t="s">
        <v>7559</v>
      </c>
      <c r="K36" t="s">
        <v>7564</v>
      </c>
      <c r="L36" t="s">
        <v>3578</v>
      </c>
      <c r="M36" t="s">
        <v>3443</v>
      </c>
      <c r="N36" t="s">
        <v>7559</v>
      </c>
      <c r="O36" t="s">
        <v>7564</v>
      </c>
      <c r="P36" t="s">
        <v>7588</v>
      </c>
      <c r="Q36" t="s">
        <v>7768</v>
      </c>
      <c r="R36" t="s">
        <v>7759</v>
      </c>
      <c r="S36" t="s">
        <v>7564</v>
      </c>
      <c r="U36" t="s">
        <v>7611</v>
      </c>
      <c r="V36" t="s">
        <v>7564</v>
      </c>
    </row>
    <row r="37" spans="1:22" x14ac:dyDescent="0.25">
      <c r="A37" t="s">
        <v>7402</v>
      </c>
      <c r="B37" t="s">
        <v>7542</v>
      </c>
      <c r="C37" t="s">
        <v>7754</v>
      </c>
      <c r="D37" t="s">
        <v>7597</v>
      </c>
      <c r="E37" t="s">
        <v>7759</v>
      </c>
      <c r="F37" t="s">
        <v>7769</v>
      </c>
      <c r="G37" t="s">
        <v>7564</v>
      </c>
      <c r="U37" t="s">
        <v>7610</v>
      </c>
      <c r="V37" t="s">
        <v>7564</v>
      </c>
    </row>
    <row r="38" spans="1:22" x14ac:dyDescent="0.25">
      <c r="A38" t="s">
        <v>5450</v>
      </c>
      <c r="B38" t="s">
        <v>7542</v>
      </c>
      <c r="C38" t="s">
        <v>7754</v>
      </c>
      <c r="D38" t="s">
        <v>7597</v>
      </c>
      <c r="E38" t="s">
        <v>7762</v>
      </c>
      <c r="F38" t="s">
        <v>7764</v>
      </c>
      <c r="G38" t="s">
        <v>7564</v>
      </c>
      <c r="U38" t="s">
        <v>7733</v>
      </c>
      <c r="V38" t="s">
        <v>7564</v>
      </c>
    </row>
    <row r="39" spans="1:22" x14ac:dyDescent="0.25">
      <c r="A39" t="s">
        <v>5263</v>
      </c>
      <c r="B39" t="s">
        <v>7542</v>
      </c>
      <c r="C39" t="s">
        <v>7754</v>
      </c>
      <c r="D39" t="s">
        <v>5524</v>
      </c>
      <c r="E39" t="s">
        <v>7604</v>
      </c>
      <c r="F39" t="s">
        <v>7759</v>
      </c>
      <c r="G39" t="s">
        <v>7564</v>
      </c>
      <c r="U39" t="s">
        <v>3448</v>
      </c>
      <c r="V39" t="s">
        <v>7564</v>
      </c>
    </row>
    <row r="40" spans="1:22" x14ac:dyDescent="0.25">
      <c r="A40" t="s">
        <v>7451</v>
      </c>
      <c r="B40" t="s">
        <v>7542</v>
      </c>
      <c r="C40" t="s">
        <v>7754</v>
      </c>
      <c r="D40" t="s">
        <v>7597</v>
      </c>
      <c r="E40" t="s">
        <v>7753</v>
      </c>
      <c r="F40" t="s">
        <v>7759</v>
      </c>
      <c r="G40" t="s">
        <v>7565</v>
      </c>
      <c r="U40" t="s">
        <v>7721</v>
      </c>
      <c r="V40" t="s">
        <v>7564</v>
      </c>
    </row>
    <row r="41" spans="1:22" x14ac:dyDescent="0.25">
      <c r="A41" t="s">
        <v>5277</v>
      </c>
      <c r="B41" t="s">
        <v>7542</v>
      </c>
      <c r="C41" t="s">
        <v>7754</v>
      </c>
      <c r="D41" t="s">
        <v>7597</v>
      </c>
      <c r="E41" t="s">
        <v>7726</v>
      </c>
      <c r="F41" t="s">
        <v>7559</v>
      </c>
      <c r="G41" t="s">
        <v>7564</v>
      </c>
      <c r="H41" t="s">
        <v>3589</v>
      </c>
      <c r="I41" t="s">
        <v>7587</v>
      </c>
      <c r="J41" t="s">
        <v>7559</v>
      </c>
      <c r="K41" t="s">
        <v>7564</v>
      </c>
      <c r="L41" t="s">
        <v>3578</v>
      </c>
      <c r="M41" t="s">
        <v>3443</v>
      </c>
      <c r="N41" t="s">
        <v>7559</v>
      </c>
      <c r="O41" t="s">
        <v>7564</v>
      </c>
      <c r="P41" t="s">
        <v>7588</v>
      </c>
      <c r="Q41" t="s">
        <v>7768</v>
      </c>
      <c r="R41" t="s">
        <v>7559</v>
      </c>
      <c r="S41" t="s">
        <v>7564</v>
      </c>
      <c r="U41" t="s">
        <v>7750</v>
      </c>
      <c r="V41" t="s">
        <v>7565</v>
      </c>
    </row>
    <row r="42" spans="1:22" x14ac:dyDescent="0.25">
      <c r="A42" t="s">
        <v>7393</v>
      </c>
      <c r="B42" t="s">
        <v>7542</v>
      </c>
      <c r="C42" t="s">
        <v>7754</v>
      </c>
      <c r="D42" t="s">
        <v>7597</v>
      </c>
      <c r="E42" t="s">
        <v>7753</v>
      </c>
      <c r="F42" t="s">
        <v>7542</v>
      </c>
      <c r="G42" t="s">
        <v>7564</v>
      </c>
      <c r="U42" t="s">
        <v>7751</v>
      </c>
      <c r="V42" t="s">
        <v>7565</v>
      </c>
    </row>
    <row r="43" spans="1:22" x14ac:dyDescent="0.25">
      <c r="A43" t="s">
        <v>7401</v>
      </c>
      <c r="B43" t="s">
        <v>7542</v>
      </c>
      <c r="C43" t="s">
        <v>7754</v>
      </c>
      <c r="D43" t="s">
        <v>7586</v>
      </c>
      <c r="E43" t="s">
        <v>7557</v>
      </c>
      <c r="F43" t="s">
        <v>7765</v>
      </c>
      <c r="G43" t="s">
        <v>7565</v>
      </c>
      <c r="H43" t="s">
        <v>3589</v>
      </c>
      <c r="I43" t="s">
        <v>7587</v>
      </c>
      <c r="J43" t="s">
        <v>7765</v>
      </c>
      <c r="K43" t="s">
        <v>7565</v>
      </c>
      <c r="L43" t="s">
        <v>3578</v>
      </c>
      <c r="M43" t="s">
        <v>3443</v>
      </c>
      <c r="N43" t="s">
        <v>7765</v>
      </c>
      <c r="O43" t="s">
        <v>7565</v>
      </c>
      <c r="U43" t="s">
        <v>7625</v>
      </c>
      <c r="V43" t="s">
        <v>7564</v>
      </c>
    </row>
    <row r="44" spans="1:22" x14ac:dyDescent="0.25">
      <c r="A44" t="s">
        <v>7381</v>
      </c>
      <c r="B44" t="s">
        <v>7542</v>
      </c>
      <c r="C44" t="s">
        <v>7754</v>
      </c>
      <c r="D44" t="s">
        <v>7597</v>
      </c>
      <c r="E44" t="s">
        <v>7755</v>
      </c>
      <c r="F44" t="s">
        <v>7759</v>
      </c>
      <c r="G44" t="s">
        <v>7564</v>
      </c>
      <c r="U44" t="s">
        <v>7604</v>
      </c>
      <c r="V44" t="s">
        <v>7565</v>
      </c>
    </row>
    <row r="45" spans="1:22" x14ac:dyDescent="0.25">
      <c r="A45" t="s">
        <v>7431</v>
      </c>
      <c r="B45" t="s">
        <v>7542</v>
      </c>
      <c r="C45" t="s">
        <v>7754</v>
      </c>
      <c r="D45" t="s">
        <v>7597</v>
      </c>
      <c r="E45" t="s">
        <v>7726</v>
      </c>
      <c r="F45" t="s">
        <v>7559</v>
      </c>
      <c r="G45" t="s">
        <v>7564</v>
      </c>
      <c r="U45" t="s">
        <v>7603</v>
      </c>
      <c r="V45" t="s">
        <v>7564</v>
      </c>
    </row>
    <row r="46" spans="1:22" x14ac:dyDescent="0.25">
      <c r="A46" t="s">
        <v>159</v>
      </c>
      <c r="B46" t="s">
        <v>7590</v>
      </c>
      <c r="C46" t="s">
        <v>0</v>
      </c>
      <c r="D46" t="s">
        <v>7596</v>
      </c>
      <c r="E46" t="s">
        <v>7591</v>
      </c>
      <c r="F46" t="s">
        <v>7592</v>
      </c>
      <c r="G46" t="s">
        <v>7564</v>
      </c>
      <c r="U46" t="s">
        <v>7727</v>
      </c>
      <c r="V46" t="s">
        <v>7564</v>
      </c>
    </row>
    <row r="47" spans="1:22" x14ac:dyDescent="0.25">
      <c r="A47" t="s">
        <v>3502</v>
      </c>
      <c r="B47" t="s">
        <v>7555</v>
      </c>
      <c r="C47" t="s">
        <v>7492</v>
      </c>
      <c r="D47" t="s">
        <v>3442</v>
      </c>
      <c r="E47" t="s">
        <v>7493</v>
      </c>
      <c r="F47" t="s">
        <v>7729</v>
      </c>
      <c r="G47" t="s">
        <v>7564</v>
      </c>
      <c r="H47" t="s">
        <v>3442</v>
      </c>
      <c r="I47" t="s">
        <v>7547</v>
      </c>
      <c r="J47" t="s">
        <v>7729</v>
      </c>
      <c r="K47" t="s">
        <v>7564</v>
      </c>
      <c r="L47" t="s">
        <v>7597</v>
      </c>
      <c r="M47" t="s">
        <v>7575</v>
      </c>
      <c r="N47" t="s">
        <v>7542</v>
      </c>
      <c r="O47" t="s">
        <v>7564</v>
      </c>
      <c r="U47" t="s">
        <v>7722</v>
      </c>
      <c r="V47" t="s">
        <v>7564</v>
      </c>
    </row>
    <row r="48" spans="1:22" x14ac:dyDescent="0.25">
      <c r="A48" t="s">
        <v>3509</v>
      </c>
      <c r="B48" t="s">
        <v>7555</v>
      </c>
      <c r="C48" t="s">
        <v>7492</v>
      </c>
      <c r="D48" t="s">
        <v>7595</v>
      </c>
      <c r="E48" t="s">
        <v>7720</v>
      </c>
      <c r="F48" t="s">
        <v>7544</v>
      </c>
      <c r="G48" t="s">
        <v>7564</v>
      </c>
      <c r="U48" t="s">
        <v>7728</v>
      </c>
      <c r="V48" t="s">
        <v>7564</v>
      </c>
    </row>
    <row r="49" spans="1:22" x14ac:dyDescent="0.25">
      <c r="A49" t="s">
        <v>3514</v>
      </c>
      <c r="B49" t="s">
        <v>7555</v>
      </c>
      <c r="C49" t="s">
        <v>7492</v>
      </c>
      <c r="D49" t="s">
        <v>3521</v>
      </c>
      <c r="E49" t="s">
        <v>3444</v>
      </c>
      <c r="F49" t="s">
        <v>7729</v>
      </c>
      <c r="G49" t="s">
        <v>7564</v>
      </c>
      <c r="U49" t="s">
        <v>7723</v>
      </c>
      <c r="V49" t="s">
        <v>7564</v>
      </c>
    </row>
    <row r="50" spans="1:22" x14ac:dyDescent="0.25">
      <c r="A50" t="s">
        <v>3523</v>
      </c>
      <c r="B50" t="s">
        <v>7555</v>
      </c>
      <c r="C50" t="s">
        <v>7492</v>
      </c>
      <c r="D50" t="s">
        <v>5524</v>
      </c>
      <c r="E50" t="s">
        <v>7625</v>
      </c>
      <c r="F50" t="s">
        <v>3524</v>
      </c>
      <c r="G50" t="s">
        <v>7564</v>
      </c>
      <c r="H50" t="s">
        <v>7586</v>
      </c>
      <c r="I50" t="s">
        <v>7557</v>
      </c>
      <c r="J50" t="s">
        <v>7545</v>
      </c>
      <c r="K50" t="s">
        <v>7565</v>
      </c>
      <c r="U50" t="s">
        <v>7763</v>
      </c>
      <c r="V50" t="s">
        <v>7565</v>
      </c>
    </row>
    <row r="51" spans="1:22" x14ac:dyDescent="0.25">
      <c r="A51" t="s">
        <v>3529</v>
      </c>
      <c r="B51" t="s">
        <v>7570</v>
      </c>
      <c r="C51" t="s">
        <v>7492</v>
      </c>
      <c r="D51" t="s">
        <v>3442</v>
      </c>
      <c r="E51" t="s">
        <v>7493</v>
      </c>
      <c r="F51" t="s">
        <v>7729</v>
      </c>
      <c r="G51" t="s">
        <v>7564</v>
      </c>
      <c r="H51" t="s">
        <v>3442</v>
      </c>
      <c r="I51" t="s">
        <v>7547</v>
      </c>
      <c r="J51" t="s">
        <v>7729</v>
      </c>
      <c r="K51" t="s">
        <v>7564</v>
      </c>
      <c r="U51" t="s">
        <v>7720</v>
      </c>
      <c r="V51" t="s">
        <v>7564</v>
      </c>
    </row>
    <row r="52" spans="1:22" x14ac:dyDescent="0.25">
      <c r="A52" t="s">
        <v>3534</v>
      </c>
      <c r="B52" t="s">
        <v>7555</v>
      </c>
      <c r="C52" t="s">
        <v>7492</v>
      </c>
      <c r="D52" t="s">
        <v>3449</v>
      </c>
      <c r="E52" t="s">
        <v>7548</v>
      </c>
      <c r="F52" t="s">
        <v>7729</v>
      </c>
      <c r="G52" t="s">
        <v>7564</v>
      </c>
      <c r="H52" t="s">
        <v>3442</v>
      </c>
      <c r="I52" t="s">
        <v>7547</v>
      </c>
      <c r="J52" t="s">
        <v>7546</v>
      </c>
      <c r="K52" t="s">
        <v>7564</v>
      </c>
      <c r="U52" t="s">
        <v>3447</v>
      </c>
      <c r="V52" t="s">
        <v>7564</v>
      </c>
    </row>
    <row r="53" spans="1:22" x14ac:dyDescent="0.25">
      <c r="A53" t="s">
        <v>3540</v>
      </c>
      <c r="B53" t="s">
        <v>7555</v>
      </c>
      <c r="C53" t="s">
        <v>7492</v>
      </c>
      <c r="D53" t="s">
        <v>3449</v>
      </c>
      <c r="E53" t="s">
        <v>7548</v>
      </c>
      <c r="F53" t="s">
        <v>7729</v>
      </c>
      <c r="G53" t="s">
        <v>7564</v>
      </c>
      <c r="H53" t="s">
        <v>3449</v>
      </c>
      <c r="I53" t="s">
        <v>7563</v>
      </c>
      <c r="J53" t="s">
        <v>3524</v>
      </c>
      <c r="K53" t="s">
        <v>7564</v>
      </c>
      <c r="U53" t="s">
        <v>7623</v>
      </c>
      <c r="V53" t="s">
        <v>7564</v>
      </c>
    </row>
    <row r="54" spans="1:22" x14ac:dyDescent="0.25">
      <c r="A54" t="s">
        <v>3468</v>
      </c>
      <c r="B54" t="s">
        <v>3547</v>
      </c>
      <c r="C54" t="s">
        <v>7492</v>
      </c>
      <c r="D54" t="s">
        <v>3442</v>
      </c>
      <c r="E54" t="s">
        <v>7547</v>
      </c>
      <c r="F54" t="s">
        <v>7549</v>
      </c>
      <c r="G54" t="s">
        <v>7564</v>
      </c>
      <c r="U54" t="s">
        <v>7725</v>
      </c>
      <c r="V54" t="s">
        <v>7564</v>
      </c>
    </row>
    <row r="55" spans="1:22" x14ac:dyDescent="0.25">
      <c r="A55" t="s">
        <v>3551</v>
      </c>
      <c r="B55" t="s">
        <v>7555</v>
      </c>
      <c r="C55" t="s">
        <v>7492</v>
      </c>
      <c r="D55" t="s">
        <v>5524</v>
      </c>
      <c r="E55" t="s">
        <v>7625</v>
      </c>
      <c r="F55" t="s">
        <v>3524</v>
      </c>
      <c r="G55" t="s">
        <v>7564</v>
      </c>
      <c r="H55" t="s">
        <v>7550</v>
      </c>
      <c r="I55" t="s">
        <v>7551</v>
      </c>
      <c r="J55" t="s">
        <v>7729</v>
      </c>
      <c r="K55" t="s">
        <v>7564</v>
      </c>
      <c r="U55" t="s">
        <v>7754</v>
      </c>
      <c r="V55" t="s">
        <v>7565</v>
      </c>
    </row>
    <row r="56" spans="1:22" x14ac:dyDescent="0.25">
      <c r="A56" t="s">
        <v>3558</v>
      </c>
      <c r="B56" t="s">
        <v>7556</v>
      </c>
      <c r="C56" t="s">
        <v>7492</v>
      </c>
      <c r="D56" t="s">
        <v>7588</v>
      </c>
      <c r="E56" t="s">
        <v>4246</v>
      </c>
      <c r="F56" t="s">
        <v>7729</v>
      </c>
      <c r="G56" t="s">
        <v>7564</v>
      </c>
      <c r="H56" t="s">
        <v>7586</v>
      </c>
      <c r="I56" t="s">
        <v>7557</v>
      </c>
      <c r="J56" t="s">
        <v>7729</v>
      </c>
      <c r="K56" t="s">
        <v>7564</v>
      </c>
      <c r="U56" t="s">
        <v>7600</v>
      </c>
      <c r="V56" t="s">
        <v>7564</v>
      </c>
    </row>
    <row r="57" spans="1:22" x14ac:dyDescent="0.25">
      <c r="A57" t="s">
        <v>7362</v>
      </c>
      <c r="B57" t="s">
        <v>7555</v>
      </c>
      <c r="C57" t="s">
        <v>7492</v>
      </c>
      <c r="D57" t="s">
        <v>7552</v>
      </c>
      <c r="E57" t="s">
        <v>7558</v>
      </c>
      <c r="F57" t="s">
        <v>7729</v>
      </c>
      <c r="G57" t="s">
        <v>7564</v>
      </c>
      <c r="U57" t="s">
        <v>7758</v>
      </c>
      <c r="V57" t="s">
        <v>7565</v>
      </c>
    </row>
    <row r="58" spans="1:22" x14ac:dyDescent="0.25">
      <c r="A58" t="s">
        <v>3564</v>
      </c>
      <c r="B58" t="s">
        <v>7555</v>
      </c>
      <c r="C58" t="s">
        <v>7492</v>
      </c>
      <c r="D58" t="s">
        <v>3442</v>
      </c>
      <c r="E58" t="s">
        <v>7547</v>
      </c>
      <c r="F58" t="s">
        <v>7559</v>
      </c>
      <c r="G58" t="s">
        <v>7564</v>
      </c>
      <c r="U58" t="s">
        <v>7760</v>
      </c>
      <c r="V58" t="s">
        <v>7565</v>
      </c>
    </row>
    <row r="59" spans="1:22" x14ac:dyDescent="0.25">
      <c r="A59" t="s">
        <v>3570</v>
      </c>
      <c r="B59" t="s">
        <v>7555</v>
      </c>
      <c r="C59" t="s">
        <v>7492</v>
      </c>
      <c r="D59" t="s">
        <v>3521</v>
      </c>
      <c r="E59" t="s">
        <v>5679</v>
      </c>
      <c r="F59" t="s">
        <v>3524</v>
      </c>
      <c r="G59" t="s">
        <v>7564</v>
      </c>
      <c r="U59" t="s">
        <v>7761</v>
      </c>
      <c r="V59" t="s">
        <v>7564</v>
      </c>
    </row>
    <row r="60" spans="1:22" x14ac:dyDescent="0.25">
      <c r="A60" t="s">
        <v>3574</v>
      </c>
      <c r="B60" t="s">
        <v>7555</v>
      </c>
      <c r="C60" t="s">
        <v>7492</v>
      </c>
      <c r="D60" t="s">
        <v>7588</v>
      </c>
      <c r="E60" t="s">
        <v>3452</v>
      </c>
      <c r="F60" t="s">
        <v>7561</v>
      </c>
      <c r="G60" t="s">
        <v>7564</v>
      </c>
      <c r="U60" t="s">
        <v>7759</v>
      </c>
      <c r="V60" t="s">
        <v>7565</v>
      </c>
    </row>
    <row r="61" spans="1:22" x14ac:dyDescent="0.25">
      <c r="A61" t="s">
        <v>3579</v>
      </c>
      <c r="B61" t="s">
        <v>7555</v>
      </c>
      <c r="C61" t="s">
        <v>7492</v>
      </c>
      <c r="D61" t="s">
        <v>7597</v>
      </c>
      <c r="E61" t="s">
        <v>7567</v>
      </c>
      <c r="F61" t="s">
        <v>7566</v>
      </c>
      <c r="G61" t="s">
        <v>7564</v>
      </c>
      <c r="U61" t="s">
        <v>7762</v>
      </c>
      <c r="V61" t="s">
        <v>7565</v>
      </c>
    </row>
    <row r="62" spans="1:22" x14ac:dyDescent="0.25">
      <c r="A62" t="s">
        <v>3472</v>
      </c>
      <c r="B62" t="s">
        <v>7560</v>
      </c>
      <c r="C62" t="s">
        <v>7492</v>
      </c>
      <c r="D62" t="s">
        <v>3521</v>
      </c>
      <c r="E62" t="s">
        <v>3448</v>
      </c>
      <c r="F62" t="s">
        <v>7566</v>
      </c>
      <c r="G62" t="s">
        <v>7564</v>
      </c>
      <c r="U62" t="s">
        <v>7767</v>
      </c>
      <c r="V62" t="s">
        <v>7565</v>
      </c>
    </row>
    <row r="63" spans="1:22" x14ac:dyDescent="0.25">
      <c r="A63" t="s">
        <v>3585</v>
      </c>
      <c r="B63" t="s">
        <v>7555</v>
      </c>
      <c r="C63" t="s">
        <v>7492</v>
      </c>
      <c r="D63" t="s">
        <v>3589</v>
      </c>
      <c r="E63" t="s">
        <v>7584</v>
      </c>
      <c r="F63" t="s">
        <v>7568</v>
      </c>
      <c r="G63" t="s">
        <v>7564</v>
      </c>
      <c r="U63" t="s">
        <v>7768</v>
      </c>
      <c r="V63" t="s">
        <v>7565</v>
      </c>
    </row>
    <row r="64" spans="1:22" x14ac:dyDescent="0.25">
      <c r="A64" t="s">
        <v>3590</v>
      </c>
      <c r="B64" t="s">
        <v>7555</v>
      </c>
      <c r="C64" t="s">
        <v>7492</v>
      </c>
      <c r="D64" t="s">
        <v>3521</v>
      </c>
      <c r="E64" t="s">
        <v>5679</v>
      </c>
      <c r="F64" t="s">
        <v>3524</v>
      </c>
      <c r="G64" t="s">
        <v>7564</v>
      </c>
      <c r="H64" t="s">
        <v>7586</v>
      </c>
      <c r="I64" t="s">
        <v>7557</v>
      </c>
      <c r="J64" t="s">
        <v>7545</v>
      </c>
      <c r="K64" t="s">
        <v>7565</v>
      </c>
    </row>
    <row r="65" spans="1:11" x14ac:dyDescent="0.25">
      <c r="A65" t="s">
        <v>131</v>
      </c>
      <c r="B65" t="s">
        <v>7569</v>
      </c>
      <c r="C65" t="s">
        <v>7492</v>
      </c>
      <c r="D65" t="s">
        <v>3578</v>
      </c>
      <c r="E65" t="s">
        <v>3443</v>
      </c>
      <c r="F65" t="s">
        <v>7559</v>
      </c>
      <c r="G65" t="s">
        <v>7564</v>
      </c>
    </row>
    <row r="66" spans="1:11" x14ac:dyDescent="0.25">
      <c r="A66" t="s">
        <v>3598</v>
      </c>
      <c r="B66" t="s">
        <v>7555</v>
      </c>
      <c r="C66" t="s">
        <v>7492</v>
      </c>
      <c r="D66" t="s">
        <v>3442</v>
      </c>
      <c r="E66" t="s">
        <v>7493</v>
      </c>
      <c r="F66" t="s">
        <v>7729</v>
      </c>
      <c r="G66" t="s">
        <v>7564</v>
      </c>
    </row>
    <row r="67" spans="1:11" x14ac:dyDescent="0.25">
      <c r="A67" t="s">
        <v>3602</v>
      </c>
      <c r="B67" t="s">
        <v>7555</v>
      </c>
      <c r="C67" t="s">
        <v>7492</v>
      </c>
      <c r="D67" t="s">
        <v>3449</v>
      </c>
      <c r="E67" t="s">
        <v>7548</v>
      </c>
      <c r="F67" t="s">
        <v>7729</v>
      </c>
      <c r="G67" t="s">
        <v>7564</v>
      </c>
      <c r="H67" t="s">
        <v>7732</v>
      </c>
      <c r="I67" t="s">
        <v>7576</v>
      </c>
      <c r="J67" t="s">
        <v>7546</v>
      </c>
      <c r="K67" t="s">
        <v>7564</v>
      </c>
    </row>
    <row r="68" spans="1:11" x14ac:dyDescent="0.25">
      <c r="A68" t="s">
        <v>3606</v>
      </c>
      <c r="B68" t="s">
        <v>7570</v>
      </c>
      <c r="C68" t="s">
        <v>7492</v>
      </c>
      <c r="D68" t="s">
        <v>3442</v>
      </c>
      <c r="E68" t="s">
        <v>7547</v>
      </c>
      <c r="F68" t="s">
        <v>7729</v>
      </c>
      <c r="G68" t="s">
        <v>7565</v>
      </c>
      <c r="H68" t="s">
        <v>3578</v>
      </c>
      <c r="I68" t="s">
        <v>3443</v>
      </c>
      <c r="J68" t="s">
        <v>7566</v>
      </c>
      <c r="K68" t="s">
        <v>7564</v>
      </c>
    </row>
    <row r="69" spans="1:11" x14ac:dyDescent="0.25">
      <c r="A69" t="s">
        <v>3611</v>
      </c>
      <c r="B69" t="s">
        <v>7555</v>
      </c>
      <c r="C69" t="s">
        <v>7492</v>
      </c>
      <c r="D69" t="s">
        <v>3583</v>
      </c>
      <c r="E69" t="s">
        <v>7578</v>
      </c>
      <c r="F69" t="s">
        <v>7549</v>
      </c>
      <c r="G69" t="s">
        <v>7564</v>
      </c>
    </row>
    <row r="70" spans="1:11" x14ac:dyDescent="0.25">
      <c r="A70" t="s">
        <v>3614</v>
      </c>
      <c r="B70" t="s">
        <v>7556</v>
      </c>
      <c r="C70" t="s">
        <v>7492</v>
      </c>
      <c r="D70" t="s">
        <v>7586</v>
      </c>
      <c r="E70" t="s">
        <v>7557</v>
      </c>
      <c r="F70" t="s">
        <v>7599</v>
      </c>
      <c r="G70" t="s">
        <v>7564</v>
      </c>
    </row>
    <row r="71" spans="1:11" x14ac:dyDescent="0.25">
      <c r="A71" t="s">
        <v>3619</v>
      </c>
      <c r="B71" t="s">
        <v>7555</v>
      </c>
      <c r="C71" t="s">
        <v>7492</v>
      </c>
      <c r="D71" t="s">
        <v>3521</v>
      </c>
      <c r="E71" t="s">
        <v>5679</v>
      </c>
      <c r="F71" t="s">
        <v>3524</v>
      </c>
      <c r="G71" t="s">
        <v>7564</v>
      </c>
      <c r="H71" t="s">
        <v>7550</v>
      </c>
      <c r="I71" t="s">
        <v>7600</v>
      </c>
      <c r="J71" t="s">
        <v>3524</v>
      </c>
      <c r="K71" t="s">
        <v>7564</v>
      </c>
    </row>
    <row r="72" spans="1:11" x14ac:dyDescent="0.25">
      <c r="A72" t="s">
        <v>3624</v>
      </c>
      <c r="B72" t="s">
        <v>7555</v>
      </c>
      <c r="C72" t="s">
        <v>7492</v>
      </c>
      <c r="D72" t="s">
        <v>3521</v>
      </c>
      <c r="E72" t="s">
        <v>5679</v>
      </c>
      <c r="F72" t="s">
        <v>3524</v>
      </c>
      <c r="G72" t="s">
        <v>7564</v>
      </c>
      <c r="H72" t="s">
        <v>7586</v>
      </c>
      <c r="I72" t="s">
        <v>7557</v>
      </c>
      <c r="J72" t="s">
        <v>7545</v>
      </c>
      <c r="K72" t="s">
        <v>7565</v>
      </c>
    </row>
    <row r="73" spans="1:11" x14ac:dyDescent="0.25">
      <c r="A73" t="s">
        <v>3629</v>
      </c>
      <c r="B73" t="s">
        <v>7555</v>
      </c>
      <c r="C73" t="s">
        <v>7492</v>
      </c>
      <c r="D73" t="s">
        <v>3442</v>
      </c>
      <c r="E73" t="s">
        <v>7493</v>
      </c>
      <c r="F73" t="s">
        <v>7729</v>
      </c>
      <c r="G73" t="s">
        <v>7564</v>
      </c>
      <c r="H73" t="s">
        <v>3442</v>
      </c>
      <c r="I73" t="s">
        <v>7547</v>
      </c>
      <c r="J73" t="s">
        <v>7729</v>
      </c>
      <c r="K73" t="s">
        <v>7564</v>
      </c>
    </row>
    <row r="74" spans="1:11" x14ac:dyDescent="0.25">
      <c r="A74" t="s">
        <v>3632</v>
      </c>
      <c r="B74" t="s">
        <v>7555</v>
      </c>
      <c r="C74" t="s">
        <v>7492</v>
      </c>
      <c r="D74" t="s">
        <v>3442</v>
      </c>
      <c r="E74" t="s">
        <v>7493</v>
      </c>
      <c r="F74" t="s">
        <v>7729</v>
      </c>
      <c r="G74" t="s">
        <v>7564</v>
      </c>
      <c r="H74" t="s">
        <v>3442</v>
      </c>
      <c r="I74" t="s">
        <v>7547</v>
      </c>
      <c r="J74" t="s">
        <v>7729</v>
      </c>
      <c r="K74" t="s">
        <v>7564</v>
      </c>
    </row>
    <row r="75" spans="1:11" x14ac:dyDescent="0.25">
      <c r="A75" t="s">
        <v>3636</v>
      </c>
      <c r="B75" t="s">
        <v>7555</v>
      </c>
      <c r="C75" t="s">
        <v>7492</v>
      </c>
      <c r="D75" t="s">
        <v>3442</v>
      </c>
      <c r="E75" t="s">
        <v>7547</v>
      </c>
      <c r="F75" t="s">
        <v>7549</v>
      </c>
      <c r="G75" t="s">
        <v>7564</v>
      </c>
    </row>
    <row r="76" spans="1:11" x14ac:dyDescent="0.25">
      <c r="A76" t="s">
        <v>3641</v>
      </c>
      <c r="B76" t="s">
        <v>7555</v>
      </c>
      <c r="C76" t="s">
        <v>7492</v>
      </c>
      <c r="D76" t="s">
        <v>3583</v>
      </c>
      <c r="E76" t="s">
        <v>7601</v>
      </c>
      <c r="F76" t="s">
        <v>7729</v>
      </c>
      <c r="G76" t="s">
        <v>7564</v>
      </c>
      <c r="H76" t="s">
        <v>3583</v>
      </c>
      <c r="I76" t="s">
        <v>7602</v>
      </c>
      <c r="J76" t="s">
        <v>7729</v>
      </c>
      <c r="K76" t="s">
        <v>7564</v>
      </c>
    </row>
    <row r="77" spans="1:11" x14ac:dyDescent="0.25">
      <c r="A77" t="s">
        <v>3646</v>
      </c>
      <c r="B77" t="s">
        <v>7555</v>
      </c>
      <c r="C77" t="s">
        <v>7492</v>
      </c>
      <c r="D77" t="s">
        <v>7550</v>
      </c>
      <c r="E77" t="s">
        <v>7551</v>
      </c>
      <c r="F77" t="s">
        <v>7566</v>
      </c>
      <c r="G77" t="s">
        <v>7564</v>
      </c>
    </row>
    <row r="78" spans="1:11" x14ac:dyDescent="0.25">
      <c r="A78" t="s">
        <v>3651</v>
      </c>
      <c r="B78" t="s">
        <v>7555</v>
      </c>
      <c r="C78" t="s">
        <v>7492</v>
      </c>
      <c r="D78" t="s">
        <v>7550</v>
      </c>
      <c r="E78" t="s">
        <v>7551</v>
      </c>
      <c r="F78" t="s">
        <v>7729</v>
      </c>
      <c r="G78" t="s">
        <v>7564</v>
      </c>
    </row>
    <row r="79" spans="1:11" x14ac:dyDescent="0.25">
      <c r="A79" t="s">
        <v>3656</v>
      </c>
      <c r="B79" t="s">
        <v>7555</v>
      </c>
      <c r="C79" t="s">
        <v>7492</v>
      </c>
      <c r="D79" t="s">
        <v>5524</v>
      </c>
      <c r="E79" t="s">
        <v>7627</v>
      </c>
      <c r="F79" t="s">
        <v>3524</v>
      </c>
      <c r="G79" t="s">
        <v>7564</v>
      </c>
    </row>
    <row r="80" spans="1:11" x14ac:dyDescent="0.25">
      <c r="A80" t="s">
        <v>4746</v>
      </c>
      <c r="B80" t="s">
        <v>7555</v>
      </c>
      <c r="C80" t="s">
        <v>7492</v>
      </c>
      <c r="D80" t="s">
        <v>3578</v>
      </c>
      <c r="E80" t="s">
        <v>3443</v>
      </c>
      <c r="F80" t="s">
        <v>7729</v>
      </c>
      <c r="G80" t="s">
        <v>7564</v>
      </c>
    </row>
    <row r="81" spans="1:15" x14ac:dyDescent="0.25">
      <c r="A81" t="s">
        <v>3662</v>
      </c>
      <c r="B81" t="s">
        <v>7556</v>
      </c>
      <c r="C81" t="s">
        <v>7492</v>
      </c>
      <c r="D81" t="s">
        <v>5524</v>
      </c>
      <c r="E81" t="s">
        <v>7604</v>
      </c>
      <c r="F81" t="s">
        <v>3524</v>
      </c>
      <c r="G81" t="s">
        <v>7564</v>
      </c>
      <c r="H81" t="s">
        <v>3583</v>
      </c>
      <c r="I81" t="s">
        <v>7602</v>
      </c>
      <c r="J81" t="s">
        <v>7729</v>
      </c>
      <c r="K81" t="s">
        <v>7564</v>
      </c>
    </row>
    <row r="82" spans="1:15" x14ac:dyDescent="0.25">
      <c r="A82" t="s">
        <v>3666</v>
      </c>
      <c r="B82" t="s">
        <v>7555</v>
      </c>
      <c r="C82" t="s">
        <v>7492</v>
      </c>
      <c r="D82" t="s">
        <v>3578</v>
      </c>
      <c r="E82" t="s">
        <v>3443</v>
      </c>
      <c r="F82" t="s">
        <v>7605</v>
      </c>
      <c r="G82" t="s">
        <v>7564</v>
      </c>
    </row>
    <row r="83" spans="1:15" x14ac:dyDescent="0.25">
      <c r="A83" t="s">
        <v>3482</v>
      </c>
      <c r="B83" t="s">
        <v>7606</v>
      </c>
      <c r="C83" t="s">
        <v>7492</v>
      </c>
      <c r="D83" t="s">
        <v>3442</v>
      </c>
      <c r="E83" t="s">
        <v>7547</v>
      </c>
      <c r="F83" t="s">
        <v>7549</v>
      </c>
      <c r="G83" t="s">
        <v>7564</v>
      </c>
    </row>
    <row r="84" spans="1:15" x14ac:dyDescent="0.25">
      <c r="A84" t="s">
        <v>3672</v>
      </c>
      <c r="B84" t="s">
        <v>7555</v>
      </c>
      <c r="C84" t="s">
        <v>7492</v>
      </c>
      <c r="D84" t="s">
        <v>7732</v>
      </c>
      <c r="E84" t="s">
        <v>7576</v>
      </c>
      <c r="F84" t="s">
        <v>7566</v>
      </c>
      <c r="G84" t="s">
        <v>7564</v>
      </c>
    </row>
    <row r="85" spans="1:15" x14ac:dyDescent="0.25">
      <c r="A85" t="s">
        <v>7364</v>
      </c>
      <c r="B85" t="s">
        <v>7555</v>
      </c>
      <c r="C85" t="s">
        <v>7492</v>
      </c>
      <c r="D85" t="s">
        <v>5524</v>
      </c>
      <c r="E85" t="s">
        <v>7603</v>
      </c>
      <c r="F85" t="s">
        <v>7607</v>
      </c>
      <c r="G85" t="s">
        <v>7564</v>
      </c>
    </row>
    <row r="86" spans="1:15" x14ac:dyDescent="0.25">
      <c r="A86" t="s">
        <v>7373</v>
      </c>
      <c r="B86" t="s">
        <v>7555</v>
      </c>
      <c r="C86" t="s">
        <v>7492</v>
      </c>
      <c r="D86" t="s">
        <v>7595</v>
      </c>
      <c r="E86" t="s">
        <v>7720</v>
      </c>
      <c r="F86" t="s">
        <v>7608</v>
      </c>
      <c r="G86" t="s">
        <v>7564</v>
      </c>
    </row>
    <row r="87" spans="1:15" x14ac:dyDescent="0.25">
      <c r="A87" t="s">
        <v>3682</v>
      </c>
      <c r="B87" t="s">
        <v>7556</v>
      </c>
      <c r="C87" t="s">
        <v>7492</v>
      </c>
      <c r="D87" t="s">
        <v>7609</v>
      </c>
      <c r="E87" t="s">
        <v>7610</v>
      </c>
      <c r="F87" t="s">
        <v>3524</v>
      </c>
      <c r="G87" t="s">
        <v>7565</v>
      </c>
      <c r="H87" t="s">
        <v>3583</v>
      </c>
      <c r="I87" t="s">
        <v>7602</v>
      </c>
      <c r="J87" t="s">
        <v>7729</v>
      </c>
      <c r="K87" t="s">
        <v>7564</v>
      </c>
    </row>
    <row r="88" spans="1:15" x14ac:dyDescent="0.25">
      <c r="A88" t="s">
        <v>3686</v>
      </c>
      <c r="B88" t="s">
        <v>7556</v>
      </c>
      <c r="C88" t="s">
        <v>7492</v>
      </c>
      <c r="D88" t="s">
        <v>7552</v>
      </c>
      <c r="E88" t="s">
        <v>7611</v>
      </c>
      <c r="F88" t="s">
        <v>3524</v>
      </c>
      <c r="G88" t="s">
        <v>7564</v>
      </c>
    </row>
    <row r="89" spans="1:15" x14ac:dyDescent="0.25">
      <c r="A89" t="s">
        <v>3691</v>
      </c>
      <c r="B89" t="s">
        <v>7555</v>
      </c>
      <c r="C89" t="s">
        <v>7492</v>
      </c>
      <c r="D89" t="s">
        <v>3521</v>
      </c>
      <c r="E89" t="s">
        <v>3447</v>
      </c>
      <c r="F89" t="s">
        <v>7612</v>
      </c>
      <c r="G89" t="s">
        <v>7564</v>
      </c>
    </row>
    <row r="90" spans="1:15" x14ac:dyDescent="0.25">
      <c r="A90" t="s">
        <v>3695</v>
      </c>
      <c r="B90" t="s">
        <v>7555</v>
      </c>
      <c r="C90" t="s">
        <v>7492</v>
      </c>
      <c r="D90" t="s">
        <v>7732</v>
      </c>
      <c r="E90" t="s">
        <v>7576</v>
      </c>
      <c r="F90" t="s">
        <v>7566</v>
      </c>
      <c r="G90" t="s">
        <v>7564</v>
      </c>
    </row>
    <row r="91" spans="1:15" x14ac:dyDescent="0.25">
      <c r="A91" t="s">
        <v>3700</v>
      </c>
      <c r="B91" t="s">
        <v>7555</v>
      </c>
      <c r="C91" t="s">
        <v>7492</v>
      </c>
      <c r="D91" t="s">
        <v>3449</v>
      </c>
      <c r="E91" t="s">
        <v>7548</v>
      </c>
      <c r="F91" t="s">
        <v>7729</v>
      </c>
      <c r="G91" t="s">
        <v>7564</v>
      </c>
      <c r="H91" t="s">
        <v>7732</v>
      </c>
      <c r="I91" t="s">
        <v>7623</v>
      </c>
      <c r="J91" t="s">
        <v>7546</v>
      </c>
      <c r="K91" t="s">
        <v>7564</v>
      </c>
    </row>
    <row r="92" spans="1:15" x14ac:dyDescent="0.25">
      <c r="A92" t="s">
        <v>3703</v>
      </c>
      <c r="B92" t="s">
        <v>7555</v>
      </c>
      <c r="C92" t="s">
        <v>7492</v>
      </c>
      <c r="D92" t="s">
        <v>3442</v>
      </c>
      <c r="E92" t="s">
        <v>7493</v>
      </c>
      <c r="F92" t="s">
        <v>7729</v>
      </c>
      <c r="G92" t="s">
        <v>7564</v>
      </c>
      <c r="H92" t="s">
        <v>3442</v>
      </c>
      <c r="I92" t="s">
        <v>7547</v>
      </c>
      <c r="J92" t="s">
        <v>7729</v>
      </c>
      <c r="K92" t="s">
        <v>7564</v>
      </c>
      <c r="L92" t="s">
        <v>3521</v>
      </c>
      <c r="M92" t="s">
        <v>3444</v>
      </c>
      <c r="N92" t="s">
        <v>7729</v>
      </c>
      <c r="O92" t="s">
        <v>7564</v>
      </c>
    </row>
    <row r="93" spans="1:15" x14ac:dyDescent="0.25">
      <c r="A93" t="s">
        <v>3708</v>
      </c>
      <c r="B93" t="s">
        <v>7555</v>
      </c>
      <c r="C93" t="s">
        <v>7492</v>
      </c>
      <c r="D93" t="s">
        <v>3521</v>
      </c>
      <c r="E93" t="s">
        <v>3444</v>
      </c>
      <c r="F93" t="s">
        <v>7729</v>
      </c>
      <c r="G93" t="s">
        <v>7564</v>
      </c>
      <c r="H93" t="s">
        <v>5524</v>
      </c>
      <c r="I93" t="s">
        <v>7625</v>
      </c>
      <c r="J93" t="s">
        <v>3524</v>
      </c>
      <c r="K93" t="s">
        <v>7564</v>
      </c>
    </row>
    <row r="94" spans="1:15" x14ac:dyDescent="0.25">
      <c r="A94" t="s">
        <v>3713</v>
      </c>
      <c r="B94" t="s">
        <v>7555</v>
      </c>
      <c r="C94" t="s">
        <v>7492</v>
      </c>
      <c r="D94" t="s">
        <v>7555</v>
      </c>
      <c r="E94" t="s">
        <v>7626</v>
      </c>
      <c r="F94" t="s">
        <v>3524</v>
      </c>
      <c r="G94" t="s">
        <v>7564</v>
      </c>
    </row>
    <row r="95" spans="1:15" x14ac:dyDescent="0.25">
      <c r="A95" t="s">
        <v>3717</v>
      </c>
      <c r="B95" t="s">
        <v>7555</v>
      </c>
      <c r="C95" t="s">
        <v>7492</v>
      </c>
      <c r="D95" t="s">
        <v>7586</v>
      </c>
      <c r="E95" t="s">
        <v>7557</v>
      </c>
      <c r="F95" t="s">
        <v>7590</v>
      </c>
      <c r="G95" t="s">
        <v>7564</v>
      </c>
    </row>
    <row r="96" spans="1:15" x14ac:dyDescent="0.25">
      <c r="A96" t="s">
        <v>3722</v>
      </c>
      <c r="B96" t="s">
        <v>7555</v>
      </c>
      <c r="C96" t="s">
        <v>7492</v>
      </c>
      <c r="D96" t="s">
        <v>5524</v>
      </c>
      <c r="E96" t="s">
        <v>7603</v>
      </c>
      <c r="F96" t="s">
        <v>3524</v>
      </c>
      <c r="G96" t="s">
        <v>7564</v>
      </c>
    </row>
    <row r="97" spans="1:15" x14ac:dyDescent="0.25">
      <c r="A97" t="s">
        <v>7367</v>
      </c>
      <c r="B97" t="s">
        <v>7555</v>
      </c>
      <c r="C97" t="s">
        <v>7492</v>
      </c>
      <c r="D97" t="s">
        <v>7552</v>
      </c>
      <c r="E97" t="s">
        <v>7558</v>
      </c>
      <c r="F97" t="s">
        <v>7590</v>
      </c>
      <c r="G97" t="s">
        <v>7564</v>
      </c>
    </row>
    <row r="98" spans="1:15" x14ac:dyDescent="0.25">
      <c r="A98" t="s">
        <v>3730</v>
      </c>
      <c r="B98" t="s">
        <v>7555</v>
      </c>
      <c r="C98" t="s">
        <v>7492</v>
      </c>
      <c r="D98" t="s">
        <v>3578</v>
      </c>
      <c r="E98" t="s">
        <v>3443</v>
      </c>
      <c r="F98" t="s">
        <v>7566</v>
      </c>
      <c r="G98" t="s">
        <v>7564</v>
      </c>
    </row>
    <row r="99" spans="1:15" x14ac:dyDescent="0.25">
      <c r="A99" t="s">
        <v>4234</v>
      </c>
      <c r="B99" t="s">
        <v>7757</v>
      </c>
      <c r="C99" t="s">
        <v>7574</v>
      </c>
      <c r="D99" t="s">
        <v>3578</v>
      </c>
      <c r="E99" t="s">
        <v>3443</v>
      </c>
      <c r="F99" t="s">
        <v>7593</v>
      </c>
      <c r="G99" t="s">
        <v>7564</v>
      </c>
      <c r="H99" t="s">
        <v>3442</v>
      </c>
      <c r="I99" t="s">
        <v>7547</v>
      </c>
      <c r="J99" t="s">
        <v>7589</v>
      </c>
      <c r="K99" t="s">
        <v>7565</v>
      </c>
      <c r="L99" t="s">
        <v>3442</v>
      </c>
      <c r="M99" t="s">
        <v>7547</v>
      </c>
      <c r="N99" t="s">
        <v>7546</v>
      </c>
      <c r="O99" t="s">
        <v>7564</v>
      </c>
    </row>
    <row r="100" spans="1:15" x14ac:dyDescent="0.25">
      <c r="A100" t="s">
        <v>4241</v>
      </c>
      <c r="B100" t="s">
        <v>7756</v>
      </c>
      <c r="C100" t="s">
        <v>7574</v>
      </c>
      <c r="D100" t="s">
        <v>3578</v>
      </c>
      <c r="E100" t="s">
        <v>3443</v>
      </c>
      <c r="F100" t="s">
        <v>7589</v>
      </c>
      <c r="G100" t="s">
        <v>7565</v>
      </c>
      <c r="H100" t="s">
        <v>3578</v>
      </c>
      <c r="I100" t="s">
        <v>3443</v>
      </c>
      <c r="J100" t="s">
        <v>7546</v>
      </c>
      <c r="K100" t="s">
        <v>7564</v>
      </c>
    </row>
    <row r="101" spans="1:15" x14ac:dyDescent="0.25">
      <c r="A101" t="s">
        <v>4131</v>
      </c>
      <c r="B101" t="s">
        <v>7598</v>
      </c>
      <c r="C101" t="s">
        <v>7539</v>
      </c>
      <c r="D101" t="s">
        <v>7628</v>
      </c>
      <c r="E101" t="s">
        <v>7733</v>
      </c>
      <c r="F101" t="s">
        <v>7734</v>
      </c>
      <c r="G101" t="s">
        <v>7564</v>
      </c>
    </row>
    <row r="102" spans="1:15" x14ac:dyDescent="0.25">
      <c r="A102" t="s">
        <v>4023</v>
      </c>
      <c r="B102" t="s">
        <v>7598</v>
      </c>
      <c r="C102" t="s">
        <v>7539</v>
      </c>
      <c r="D102" t="s">
        <v>7588</v>
      </c>
      <c r="E102" t="s">
        <v>4246</v>
      </c>
      <c r="F102" t="s">
        <v>7734</v>
      </c>
      <c r="G102" t="s">
        <v>7564</v>
      </c>
      <c r="H102" t="s">
        <v>3589</v>
      </c>
      <c r="I102" t="s">
        <v>7725</v>
      </c>
      <c r="J102" t="s">
        <v>7734</v>
      </c>
      <c r="K102" t="s">
        <v>7565</v>
      </c>
    </row>
    <row r="103" spans="1:15" x14ac:dyDescent="0.25">
      <c r="A103" t="s">
        <v>4142</v>
      </c>
      <c r="B103" t="s">
        <v>7598</v>
      </c>
      <c r="C103" t="s">
        <v>7539</v>
      </c>
      <c r="D103" t="s">
        <v>3442</v>
      </c>
      <c r="E103" t="s">
        <v>7547</v>
      </c>
      <c r="F103" t="s">
        <v>7734</v>
      </c>
      <c r="G103" t="s">
        <v>7565</v>
      </c>
    </row>
    <row r="104" spans="1:15" x14ac:dyDescent="0.25">
      <c r="A104" t="s">
        <v>4153</v>
      </c>
      <c r="B104" t="s">
        <v>7598</v>
      </c>
      <c r="C104" t="s">
        <v>7539</v>
      </c>
      <c r="D104" t="s">
        <v>7595</v>
      </c>
      <c r="E104" t="s">
        <v>7721</v>
      </c>
      <c r="F104" t="s">
        <v>7734</v>
      </c>
      <c r="G104" t="s">
        <v>7564</v>
      </c>
    </row>
    <row r="105" spans="1:15" x14ac:dyDescent="0.25">
      <c r="A105" t="s">
        <v>4148</v>
      </c>
      <c r="B105" t="s">
        <v>7598</v>
      </c>
      <c r="C105" t="s">
        <v>7539</v>
      </c>
      <c r="D105" t="s">
        <v>3442</v>
      </c>
      <c r="E105" t="s">
        <v>7547</v>
      </c>
      <c r="F105" t="s">
        <v>7734</v>
      </c>
      <c r="G105" t="s">
        <v>7564</v>
      </c>
    </row>
    <row r="106" spans="1:15" x14ac:dyDescent="0.25">
      <c r="A106" t="s">
        <v>4137</v>
      </c>
      <c r="B106" t="s">
        <v>7598</v>
      </c>
      <c r="C106" t="s">
        <v>7539</v>
      </c>
      <c r="D106" t="s">
        <v>3442</v>
      </c>
      <c r="E106" t="s">
        <v>7493</v>
      </c>
      <c r="F106" t="s">
        <v>7734</v>
      </c>
      <c r="G106" t="s">
        <v>7565</v>
      </c>
    </row>
    <row r="107" spans="1:15" x14ac:dyDescent="0.25">
      <c r="A107" t="s">
        <v>4134</v>
      </c>
      <c r="B107" t="s">
        <v>7598</v>
      </c>
      <c r="C107" t="s">
        <v>7539</v>
      </c>
      <c r="D107" t="s">
        <v>3442</v>
      </c>
      <c r="E107" t="s">
        <v>7493</v>
      </c>
      <c r="F107" t="s">
        <v>7734</v>
      </c>
      <c r="G107" t="s">
        <v>7564</v>
      </c>
    </row>
    <row r="108" spans="1:15" x14ac:dyDescent="0.25">
      <c r="A108" t="s">
        <v>4123</v>
      </c>
      <c r="B108" t="s">
        <v>7598</v>
      </c>
      <c r="C108" t="s">
        <v>7539</v>
      </c>
      <c r="D108" t="s">
        <v>3521</v>
      </c>
      <c r="E108" t="s">
        <v>5679</v>
      </c>
      <c r="F108" t="s">
        <v>7734</v>
      </c>
      <c r="G108" t="s">
        <v>7565</v>
      </c>
    </row>
    <row r="109" spans="1:15" x14ac:dyDescent="0.25">
      <c r="A109" t="s">
        <v>4119</v>
      </c>
      <c r="B109" t="s">
        <v>7598</v>
      </c>
      <c r="C109" t="s">
        <v>7539</v>
      </c>
      <c r="D109" t="s">
        <v>3521</v>
      </c>
      <c r="E109" t="s">
        <v>5679</v>
      </c>
      <c r="F109" t="s">
        <v>7734</v>
      </c>
      <c r="G109" t="s">
        <v>7564</v>
      </c>
    </row>
    <row r="110" spans="1:15" x14ac:dyDescent="0.25">
      <c r="A110" t="s">
        <v>4128</v>
      </c>
      <c r="B110" t="s">
        <v>7598</v>
      </c>
      <c r="C110" t="s">
        <v>7539</v>
      </c>
      <c r="D110" t="s">
        <v>3681</v>
      </c>
      <c r="E110" t="s">
        <v>7728</v>
      </c>
      <c r="F110" t="s">
        <v>7734</v>
      </c>
      <c r="G110" t="s">
        <v>7564</v>
      </c>
    </row>
    <row r="111" spans="1:15" x14ac:dyDescent="0.25">
      <c r="A111" t="s">
        <v>4164</v>
      </c>
      <c r="B111" t="s">
        <v>7598</v>
      </c>
      <c r="C111" t="s">
        <v>7738</v>
      </c>
      <c r="D111" t="s">
        <v>7595</v>
      </c>
      <c r="E111" t="s">
        <v>7721</v>
      </c>
      <c r="F111" t="s">
        <v>7607</v>
      </c>
      <c r="G111" t="s">
        <v>7564</v>
      </c>
      <c r="H111" t="s">
        <v>7597</v>
      </c>
      <c r="I111" t="s">
        <v>7750</v>
      </c>
      <c r="J111" t="s">
        <v>7749</v>
      </c>
      <c r="K111" t="s">
        <v>7564</v>
      </c>
    </row>
    <row r="112" spans="1:15" x14ac:dyDescent="0.25">
      <c r="A112" t="s">
        <v>4184</v>
      </c>
      <c r="B112" t="s">
        <v>7598</v>
      </c>
      <c r="C112" t="s">
        <v>7738</v>
      </c>
      <c r="D112" t="s">
        <v>5524</v>
      </c>
      <c r="E112" t="s">
        <v>7627</v>
      </c>
      <c r="F112" t="s">
        <v>7607</v>
      </c>
      <c r="G112" t="s">
        <v>7564</v>
      </c>
      <c r="H112" t="s">
        <v>5524</v>
      </c>
      <c r="I112" t="s">
        <v>7752</v>
      </c>
      <c r="J112" t="s">
        <v>7749</v>
      </c>
      <c r="K112" t="s">
        <v>7564</v>
      </c>
    </row>
    <row r="113" spans="1:19" x14ac:dyDescent="0.25">
      <c r="A113" t="s">
        <v>4196</v>
      </c>
      <c r="B113" t="s">
        <v>7598</v>
      </c>
      <c r="C113" t="s">
        <v>7738</v>
      </c>
      <c r="D113" t="s">
        <v>3442</v>
      </c>
      <c r="E113" t="s">
        <v>7547</v>
      </c>
      <c r="F113" t="s">
        <v>7607</v>
      </c>
      <c r="G113" t="s">
        <v>7565</v>
      </c>
      <c r="H113" t="s">
        <v>7597</v>
      </c>
      <c r="I113" t="s">
        <v>7753</v>
      </c>
      <c r="J113" t="s">
        <v>7749</v>
      </c>
      <c r="K113" t="s">
        <v>7565</v>
      </c>
    </row>
    <row r="114" spans="1:19" x14ac:dyDescent="0.25">
      <c r="A114" t="s">
        <v>4162</v>
      </c>
      <c r="B114" t="s">
        <v>7598</v>
      </c>
      <c r="C114" t="s">
        <v>7738</v>
      </c>
      <c r="D114" t="s">
        <v>5524</v>
      </c>
      <c r="E114" t="s">
        <v>7730</v>
      </c>
      <c r="F114" t="s">
        <v>7607</v>
      </c>
      <c r="G114" t="s">
        <v>7564</v>
      </c>
      <c r="H114" t="s">
        <v>5524</v>
      </c>
      <c r="I114" t="s">
        <v>7731</v>
      </c>
      <c r="J114" t="s">
        <v>7749</v>
      </c>
      <c r="K114" t="s">
        <v>7564</v>
      </c>
      <c r="L114" t="s">
        <v>7732</v>
      </c>
      <c r="M114" t="s">
        <v>7576</v>
      </c>
      <c r="N114" t="s">
        <v>7749</v>
      </c>
      <c r="O114" t="s">
        <v>7564</v>
      </c>
    </row>
    <row r="115" spans="1:19" x14ac:dyDescent="0.25">
      <c r="A115" t="s">
        <v>4174</v>
      </c>
      <c r="B115" t="s">
        <v>7598</v>
      </c>
      <c r="C115" t="s">
        <v>7738</v>
      </c>
      <c r="D115" t="s">
        <v>5524</v>
      </c>
      <c r="E115" t="s">
        <v>7603</v>
      </c>
      <c r="F115" t="s">
        <v>7607</v>
      </c>
      <c r="G115" t="s">
        <v>7564</v>
      </c>
      <c r="H115" t="s">
        <v>5524</v>
      </c>
      <c r="I115" t="s">
        <v>7604</v>
      </c>
      <c r="J115" t="s">
        <v>7749</v>
      </c>
      <c r="K115" t="s">
        <v>7564</v>
      </c>
    </row>
    <row r="116" spans="1:19" x14ac:dyDescent="0.25">
      <c r="A116" t="s">
        <v>4180</v>
      </c>
      <c r="B116" t="s">
        <v>7598</v>
      </c>
      <c r="C116" t="s">
        <v>7738</v>
      </c>
      <c r="D116" t="s">
        <v>3442</v>
      </c>
      <c r="E116" t="s">
        <v>7493</v>
      </c>
      <c r="F116" t="s">
        <v>7607</v>
      </c>
      <c r="G116" t="s">
        <v>7564</v>
      </c>
      <c r="H116" t="s">
        <v>7597</v>
      </c>
      <c r="I116" t="s">
        <v>7575</v>
      </c>
      <c r="J116" t="s">
        <v>7749</v>
      </c>
      <c r="K116" t="s">
        <v>7564</v>
      </c>
    </row>
    <row r="117" spans="1:19" x14ac:dyDescent="0.25">
      <c r="A117" t="s">
        <v>4202</v>
      </c>
      <c r="B117" t="s">
        <v>7598</v>
      </c>
      <c r="C117" t="s">
        <v>7738</v>
      </c>
      <c r="D117" t="s">
        <v>5524</v>
      </c>
      <c r="E117" t="s">
        <v>7603</v>
      </c>
      <c r="F117" t="s">
        <v>7607</v>
      </c>
      <c r="G117" t="s">
        <v>7564</v>
      </c>
      <c r="H117" t="s">
        <v>5524</v>
      </c>
      <c r="I117" t="s">
        <v>7627</v>
      </c>
      <c r="J117" t="s">
        <v>7607</v>
      </c>
      <c r="K117" t="s">
        <v>7564</v>
      </c>
      <c r="L117" t="s">
        <v>5524</v>
      </c>
      <c r="M117" t="s">
        <v>7604</v>
      </c>
      <c r="N117" t="s">
        <v>7749</v>
      </c>
      <c r="O117" t="s">
        <v>7564</v>
      </c>
      <c r="P117" t="s">
        <v>5524</v>
      </c>
      <c r="Q117" t="s">
        <v>7752</v>
      </c>
      <c r="R117" t="s">
        <v>7749</v>
      </c>
      <c r="S117" t="s">
        <v>7564</v>
      </c>
    </row>
    <row r="118" spans="1:19" x14ac:dyDescent="0.25">
      <c r="A118" t="s">
        <v>4217</v>
      </c>
      <c r="B118" t="s">
        <v>7598</v>
      </c>
      <c r="C118" t="s">
        <v>7738</v>
      </c>
      <c r="D118" t="s">
        <v>3442</v>
      </c>
      <c r="E118" t="s">
        <v>7547</v>
      </c>
      <c r="F118" t="s">
        <v>7607</v>
      </c>
      <c r="G118" t="s">
        <v>7564</v>
      </c>
      <c r="H118" t="s">
        <v>7597</v>
      </c>
      <c r="I118" t="s">
        <v>7753</v>
      </c>
      <c r="J118" t="s">
        <v>7749</v>
      </c>
      <c r="K118" t="s">
        <v>7564</v>
      </c>
    </row>
    <row r="119" spans="1:19" x14ac:dyDescent="0.25">
      <c r="A119" t="s">
        <v>4222</v>
      </c>
      <c r="B119" t="s">
        <v>7598</v>
      </c>
      <c r="C119" t="s">
        <v>7738</v>
      </c>
      <c r="D119" t="s">
        <v>5524</v>
      </c>
      <c r="E119" t="s">
        <v>7625</v>
      </c>
      <c r="F119" t="s">
        <v>7607</v>
      </c>
      <c r="G119" t="s">
        <v>7564</v>
      </c>
      <c r="H119" t="s">
        <v>5524</v>
      </c>
      <c r="I119" t="s">
        <v>7751</v>
      </c>
      <c r="J119" t="s">
        <v>7749</v>
      </c>
      <c r="K119" t="s">
        <v>7564</v>
      </c>
    </row>
    <row r="120" spans="1:19" x14ac:dyDescent="0.25">
      <c r="A120" t="s">
        <v>4208</v>
      </c>
      <c r="B120" t="s">
        <v>7598</v>
      </c>
      <c r="C120" t="s">
        <v>7738</v>
      </c>
      <c r="D120" t="s">
        <v>3442</v>
      </c>
      <c r="E120" t="s">
        <v>7547</v>
      </c>
      <c r="F120" t="s">
        <v>7607</v>
      </c>
      <c r="G120" t="s">
        <v>7564</v>
      </c>
      <c r="H120" t="s">
        <v>7597</v>
      </c>
      <c r="I120" t="s">
        <v>7753</v>
      </c>
      <c r="J120" t="s">
        <v>7749</v>
      </c>
      <c r="K120" t="s">
        <v>7564</v>
      </c>
    </row>
    <row r="121" spans="1:19" x14ac:dyDescent="0.25">
      <c r="A121" t="s">
        <v>4213</v>
      </c>
      <c r="B121" t="s">
        <v>7598</v>
      </c>
      <c r="C121" t="s">
        <v>7738</v>
      </c>
      <c r="D121" t="s">
        <v>7588</v>
      </c>
      <c r="E121" t="s">
        <v>3452</v>
      </c>
      <c r="F121" t="s">
        <v>7607</v>
      </c>
      <c r="G121" t="s">
        <v>7564</v>
      </c>
    </row>
    <row r="122" spans="1:19" x14ac:dyDescent="0.25">
      <c r="A122" t="s">
        <v>4227</v>
      </c>
      <c r="B122" t="s">
        <v>7598</v>
      </c>
      <c r="C122" t="s">
        <v>7738</v>
      </c>
      <c r="D122" t="s">
        <v>3442</v>
      </c>
      <c r="E122" t="s">
        <v>7547</v>
      </c>
      <c r="F122" t="s">
        <v>7607</v>
      </c>
      <c r="G122" t="s">
        <v>7565</v>
      </c>
      <c r="H122" t="s">
        <v>7597</v>
      </c>
      <c r="I122" t="s">
        <v>7753</v>
      </c>
      <c r="J122" t="s">
        <v>7749</v>
      </c>
      <c r="K122" t="s">
        <v>7565</v>
      </c>
    </row>
    <row r="123" spans="1:19" x14ac:dyDescent="0.25">
      <c r="A123" t="s">
        <v>4230</v>
      </c>
      <c r="B123" t="s">
        <v>7598</v>
      </c>
      <c r="C123" t="s">
        <v>7738</v>
      </c>
      <c r="D123" t="s">
        <v>3459</v>
      </c>
    </row>
    <row r="124" spans="1:19" x14ac:dyDescent="0.25">
      <c r="A124" t="s">
        <v>4168</v>
      </c>
      <c r="B124" t="s">
        <v>7598</v>
      </c>
      <c r="C124" t="s">
        <v>7738</v>
      </c>
      <c r="D124" t="s">
        <v>5524</v>
      </c>
      <c r="E124" t="s">
        <v>7627</v>
      </c>
      <c r="F124" t="s">
        <v>7607</v>
      </c>
      <c r="G124" t="s">
        <v>7564</v>
      </c>
      <c r="H124" t="s">
        <v>5524</v>
      </c>
      <c r="I124" t="s">
        <v>7752</v>
      </c>
      <c r="J124" t="s">
        <v>7749</v>
      </c>
      <c r="K124" t="s">
        <v>7564</v>
      </c>
    </row>
    <row r="125" spans="1:19" x14ac:dyDescent="0.25">
      <c r="A125" t="s">
        <v>4190</v>
      </c>
      <c r="B125" t="s">
        <v>7598</v>
      </c>
      <c r="C125" t="s">
        <v>7738</v>
      </c>
      <c r="D125" t="s">
        <v>5524</v>
      </c>
      <c r="E125" t="s">
        <v>7603</v>
      </c>
      <c r="F125" t="s">
        <v>7607</v>
      </c>
      <c r="G125" t="s">
        <v>7564</v>
      </c>
      <c r="H125" t="s">
        <v>5524</v>
      </c>
      <c r="I125" t="s">
        <v>7604</v>
      </c>
      <c r="J125" t="s">
        <v>7749</v>
      </c>
      <c r="K125" t="s">
        <v>7564</v>
      </c>
    </row>
    <row r="126" spans="1:19" x14ac:dyDescent="0.25">
      <c r="A126" t="s">
        <v>3449</v>
      </c>
      <c r="B126" t="s">
        <v>7624</v>
      </c>
      <c r="C126" t="s">
        <v>7594</v>
      </c>
      <c r="D126" t="s">
        <v>7597</v>
      </c>
      <c r="E126" t="s">
        <v>7753</v>
      </c>
      <c r="F126" t="s">
        <v>7546</v>
      </c>
      <c r="G126" t="s">
        <v>7565</v>
      </c>
    </row>
    <row r="127" spans="1:19" x14ac:dyDescent="0.25">
      <c r="A127" t="s">
        <v>4014</v>
      </c>
      <c r="B127" t="s">
        <v>7598</v>
      </c>
      <c r="C127" t="s">
        <v>7737</v>
      </c>
      <c r="D127" t="s">
        <v>5524</v>
      </c>
      <c r="E127" t="s">
        <v>7604</v>
      </c>
      <c r="F127" t="s">
        <v>7724</v>
      </c>
      <c r="G127" t="s">
        <v>7564</v>
      </c>
    </row>
    <row r="128" spans="1:19" x14ac:dyDescent="0.25">
      <c r="A128" t="s">
        <v>4020</v>
      </c>
      <c r="B128" t="s">
        <v>7598</v>
      </c>
      <c r="C128" t="s">
        <v>7737</v>
      </c>
      <c r="D128" t="s">
        <v>3589</v>
      </c>
      <c r="E128" t="s">
        <v>7725</v>
      </c>
      <c r="F128" t="s">
        <v>7724</v>
      </c>
      <c r="G128" t="s">
        <v>7565</v>
      </c>
    </row>
    <row r="129" spans="1:15" x14ac:dyDescent="0.25">
      <c r="A129" t="s">
        <v>4026</v>
      </c>
      <c r="B129" t="s">
        <v>7598</v>
      </c>
      <c r="C129" t="s">
        <v>7737</v>
      </c>
      <c r="D129" t="s">
        <v>7597</v>
      </c>
      <c r="E129" t="s">
        <v>7726</v>
      </c>
      <c r="F129" t="s">
        <v>7724</v>
      </c>
      <c r="G129" t="s">
        <v>7564</v>
      </c>
    </row>
    <row r="130" spans="1:15" x14ac:dyDescent="0.25">
      <c r="A130" t="s">
        <v>4049</v>
      </c>
      <c r="B130" t="s">
        <v>7598</v>
      </c>
      <c r="C130" t="s">
        <v>7737</v>
      </c>
      <c r="D130" t="s">
        <v>5524</v>
      </c>
      <c r="E130" t="s">
        <v>7730</v>
      </c>
      <c r="F130" t="s">
        <v>7724</v>
      </c>
      <c r="G130" t="s">
        <v>7564</v>
      </c>
      <c r="H130" t="s">
        <v>5524</v>
      </c>
      <c r="I130" t="s">
        <v>7731</v>
      </c>
      <c r="J130" t="s">
        <v>7724</v>
      </c>
      <c r="K130" t="s">
        <v>7564</v>
      </c>
      <c r="L130" t="s">
        <v>7732</v>
      </c>
      <c r="M130" t="s">
        <v>7576</v>
      </c>
      <c r="N130" t="s">
        <v>7724</v>
      </c>
      <c r="O130" t="s">
        <v>7564</v>
      </c>
    </row>
    <row r="131" spans="1:15" x14ac:dyDescent="0.25">
      <c r="A131" t="s">
        <v>4031</v>
      </c>
      <c r="B131" t="s">
        <v>7598</v>
      </c>
      <c r="C131" t="s">
        <v>7737</v>
      </c>
      <c r="D131" t="s">
        <v>3589</v>
      </c>
      <c r="E131" t="s">
        <v>7725</v>
      </c>
      <c r="F131" t="s">
        <v>7724</v>
      </c>
      <c r="G131" t="s">
        <v>7564</v>
      </c>
    </row>
    <row r="132" spans="1:15" x14ac:dyDescent="0.25">
      <c r="A132" t="s">
        <v>4054</v>
      </c>
      <c r="B132" t="s">
        <v>7598</v>
      </c>
      <c r="C132" t="s">
        <v>7737</v>
      </c>
      <c r="D132" t="s">
        <v>7588</v>
      </c>
      <c r="E132" t="s">
        <v>4246</v>
      </c>
      <c r="F132" t="s">
        <v>7724</v>
      </c>
      <c r="G132" t="s">
        <v>7565</v>
      </c>
    </row>
    <row r="133" spans="1:15" x14ac:dyDescent="0.25">
      <c r="A133" t="s">
        <v>4038</v>
      </c>
      <c r="B133" t="s">
        <v>7598</v>
      </c>
      <c r="C133" t="s">
        <v>7737</v>
      </c>
      <c r="D133" t="s">
        <v>5524</v>
      </c>
      <c r="E133" t="s">
        <v>7727</v>
      </c>
      <c r="F133" t="s">
        <v>7724</v>
      </c>
      <c r="G133" t="s">
        <v>7564</v>
      </c>
    </row>
    <row r="134" spans="1:15" x14ac:dyDescent="0.25">
      <c r="A134" t="s">
        <v>4042</v>
      </c>
      <c r="B134" t="s">
        <v>7598</v>
      </c>
      <c r="C134" t="s">
        <v>7737</v>
      </c>
      <c r="D134" t="s">
        <v>3681</v>
      </c>
      <c r="E134" t="s">
        <v>7728</v>
      </c>
      <c r="F134" t="s">
        <v>7724</v>
      </c>
      <c r="G134" t="s">
        <v>7564</v>
      </c>
    </row>
    <row r="135" spans="1:15" x14ac:dyDescent="0.25">
      <c r="A135" t="s">
        <v>4266</v>
      </c>
      <c r="B135" t="s">
        <v>7573</v>
      </c>
      <c r="C135" t="s">
        <v>7577</v>
      </c>
      <c r="D135" t="s">
        <v>7597</v>
      </c>
      <c r="E135" t="s">
        <v>7753</v>
      </c>
      <c r="F135" t="s">
        <v>7579</v>
      </c>
      <c r="G135" t="s">
        <v>7565</v>
      </c>
    </row>
    <row r="136" spans="1:15" x14ac:dyDescent="0.25">
      <c r="A136" t="s">
        <v>7662</v>
      </c>
      <c r="B136" t="s">
        <v>7598</v>
      </c>
      <c r="C136" t="s">
        <v>7739</v>
      </c>
      <c r="D136" t="s">
        <v>7597</v>
      </c>
      <c r="E136" t="s">
        <v>7754</v>
      </c>
      <c r="F136" t="s">
        <v>7630</v>
      </c>
      <c r="G136" t="s">
        <v>7565</v>
      </c>
    </row>
    <row r="137" spans="1:15" x14ac:dyDescent="0.25">
      <c r="A137" t="s">
        <v>7637</v>
      </c>
      <c r="B137" t="s">
        <v>7598</v>
      </c>
      <c r="C137" t="s">
        <v>7739</v>
      </c>
      <c r="D137" t="s">
        <v>7597</v>
      </c>
      <c r="E137" t="s">
        <v>7726</v>
      </c>
      <c r="F137" t="s">
        <v>7630</v>
      </c>
      <c r="G137" t="s">
        <v>7564</v>
      </c>
    </row>
    <row r="138" spans="1:15" x14ac:dyDescent="0.25">
      <c r="A138" t="s">
        <v>7664</v>
      </c>
      <c r="B138" t="s">
        <v>7598</v>
      </c>
      <c r="C138" t="s">
        <v>7739</v>
      </c>
      <c r="D138" t="s">
        <v>7597</v>
      </c>
      <c r="E138" t="s">
        <v>7753</v>
      </c>
      <c r="F138" t="s">
        <v>7630</v>
      </c>
      <c r="G138" t="s">
        <v>7565</v>
      </c>
    </row>
    <row r="139" spans="1:15" x14ac:dyDescent="0.25">
      <c r="A139" t="s">
        <v>7635</v>
      </c>
      <c r="B139" t="s">
        <v>7598</v>
      </c>
      <c r="C139" t="s">
        <v>7739</v>
      </c>
      <c r="D139" t="s">
        <v>5524</v>
      </c>
      <c r="E139" t="s">
        <v>7731</v>
      </c>
      <c r="F139" t="s">
        <v>7630</v>
      </c>
      <c r="G139" t="s">
        <v>7564</v>
      </c>
      <c r="H139" t="s">
        <v>7732</v>
      </c>
      <c r="I139" t="s">
        <v>7576</v>
      </c>
      <c r="J139" t="s">
        <v>7630</v>
      </c>
      <c r="K139" t="s">
        <v>7564</v>
      </c>
    </row>
    <row r="140" spans="1:15" x14ac:dyDescent="0.25">
      <c r="A140" t="s">
        <v>7660</v>
      </c>
      <c r="B140" t="s">
        <v>7598</v>
      </c>
      <c r="C140" t="s">
        <v>7739</v>
      </c>
      <c r="D140" t="s">
        <v>5524</v>
      </c>
      <c r="E140" t="s">
        <v>7751</v>
      </c>
      <c r="F140" t="s">
        <v>7630</v>
      </c>
      <c r="G140" t="s">
        <v>7564</v>
      </c>
    </row>
    <row r="141" spans="1:15" x14ac:dyDescent="0.25">
      <c r="A141" t="s">
        <v>7659</v>
      </c>
      <c r="B141" t="s">
        <v>7598</v>
      </c>
      <c r="C141" t="s">
        <v>7739</v>
      </c>
      <c r="D141" t="s">
        <v>7597</v>
      </c>
      <c r="E141" t="s">
        <v>7761</v>
      </c>
      <c r="F141" t="s">
        <v>7630</v>
      </c>
      <c r="G141" t="s">
        <v>7565</v>
      </c>
    </row>
    <row r="142" spans="1:15" x14ac:dyDescent="0.25">
      <c r="A142" t="s">
        <v>7661</v>
      </c>
      <c r="B142" t="s">
        <v>7598</v>
      </c>
      <c r="C142" t="s">
        <v>7739</v>
      </c>
      <c r="D142" t="s">
        <v>7597</v>
      </c>
      <c r="E142" t="s">
        <v>7753</v>
      </c>
      <c r="F142" t="s">
        <v>7630</v>
      </c>
      <c r="G142" t="s">
        <v>7565</v>
      </c>
    </row>
    <row r="143" spans="1:15" x14ac:dyDescent="0.25">
      <c r="A143" t="s">
        <v>7632</v>
      </c>
      <c r="B143" t="s">
        <v>7598</v>
      </c>
      <c r="C143" t="s">
        <v>7739</v>
      </c>
      <c r="D143" t="s">
        <v>3459</v>
      </c>
    </row>
    <row r="144" spans="1:15" x14ac:dyDescent="0.25">
      <c r="A144" t="s">
        <v>7674</v>
      </c>
      <c r="B144" t="s">
        <v>7598</v>
      </c>
      <c r="C144" t="s">
        <v>7739</v>
      </c>
      <c r="D144" t="s">
        <v>7597</v>
      </c>
      <c r="E144" t="s">
        <v>7726</v>
      </c>
      <c r="F144" t="s">
        <v>7630</v>
      </c>
      <c r="G144" t="s">
        <v>7564</v>
      </c>
    </row>
    <row r="145" spans="1:11" x14ac:dyDescent="0.25">
      <c r="A145" t="s">
        <v>7663</v>
      </c>
      <c r="B145" t="s">
        <v>7598</v>
      </c>
      <c r="C145" t="s">
        <v>7739</v>
      </c>
      <c r="D145" t="s">
        <v>7597</v>
      </c>
      <c r="E145" t="s">
        <v>7567</v>
      </c>
      <c r="F145" t="s">
        <v>7630</v>
      </c>
      <c r="G145" t="s">
        <v>7564</v>
      </c>
    </row>
    <row r="146" spans="1:11" x14ac:dyDescent="0.25">
      <c r="A146" t="s">
        <v>7665</v>
      </c>
      <c r="B146" t="s">
        <v>7598</v>
      </c>
      <c r="C146" t="s">
        <v>7739</v>
      </c>
      <c r="D146" t="s">
        <v>7597</v>
      </c>
      <c r="E146" t="s">
        <v>7755</v>
      </c>
      <c r="F146" t="s">
        <v>7630</v>
      </c>
      <c r="G146" t="s">
        <v>7564</v>
      </c>
    </row>
    <row r="147" spans="1:11" x14ac:dyDescent="0.25">
      <c r="A147" t="s">
        <v>3725</v>
      </c>
      <c r="B147" t="s">
        <v>7598</v>
      </c>
      <c r="C147" t="s">
        <v>7739</v>
      </c>
      <c r="D147" t="s">
        <v>7586</v>
      </c>
      <c r="E147" t="s">
        <v>7631</v>
      </c>
      <c r="F147" t="s">
        <v>7630</v>
      </c>
      <c r="G147" t="s">
        <v>7564</v>
      </c>
    </row>
    <row r="148" spans="1:11" x14ac:dyDescent="0.25">
      <c r="A148" t="s">
        <v>7770</v>
      </c>
      <c r="B148" t="s">
        <v>7542</v>
      </c>
      <c r="C148" t="s">
        <v>7594</v>
      </c>
      <c r="D148" t="s">
        <v>3442</v>
      </c>
      <c r="E148" t="s">
        <v>7547</v>
      </c>
      <c r="F148" t="s">
        <v>7765</v>
      </c>
      <c r="G148" t="s">
        <v>7565</v>
      </c>
      <c r="H148" t="s">
        <v>7595</v>
      </c>
      <c r="I148" t="s">
        <v>7721</v>
      </c>
      <c r="J148" t="s">
        <v>7765</v>
      </c>
      <c r="K148" t="s">
        <v>7565</v>
      </c>
    </row>
    <row r="149" spans="1:11" x14ac:dyDescent="0.25">
      <c r="A149" t="s">
        <v>7771</v>
      </c>
      <c r="B149" t="s">
        <v>7772</v>
      </c>
      <c r="C149" t="s">
        <v>7594</v>
      </c>
      <c r="D149" t="s">
        <v>3442</v>
      </c>
      <c r="E149" t="s">
        <v>7547</v>
      </c>
      <c r="F149" t="s">
        <v>7773</v>
      </c>
      <c r="G149" t="s">
        <v>7564</v>
      </c>
    </row>
    <row r="150" spans="1:11" x14ac:dyDescent="0.25">
      <c r="A150" t="s">
        <v>7774</v>
      </c>
      <c r="B150" t="s">
        <v>7608</v>
      </c>
      <c r="C150" t="s">
        <v>7594</v>
      </c>
      <c r="D150" t="s">
        <v>7597</v>
      </c>
      <c r="E150" t="s">
        <v>7759</v>
      </c>
      <c r="F150" t="s">
        <v>7608</v>
      </c>
      <c r="G150" t="s">
        <v>7564</v>
      </c>
    </row>
    <row r="151" spans="1:11" x14ac:dyDescent="0.25">
      <c r="A151" t="s">
        <v>4262</v>
      </c>
      <c r="B151" t="s">
        <v>7775</v>
      </c>
      <c r="C151" t="s">
        <v>7571</v>
      </c>
      <c r="D151" t="s">
        <v>5524</v>
      </c>
      <c r="E151" t="s">
        <v>7731</v>
      </c>
      <c r="F151" t="s">
        <v>7776</v>
      </c>
      <c r="G151" t="s">
        <v>7564</v>
      </c>
    </row>
    <row r="152" spans="1:11" x14ac:dyDescent="0.25">
      <c r="A152" t="s">
        <v>7613</v>
      </c>
      <c r="B152" t="s">
        <v>7777</v>
      </c>
      <c r="C152" t="s">
        <v>7571</v>
      </c>
      <c r="D152" t="s">
        <v>5524</v>
      </c>
      <c r="E152" t="s">
        <v>7727</v>
      </c>
      <c r="F152" t="s">
        <v>7776</v>
      </c>
      <c r="G152" t="s">
        <v>7564</v>
      </c>
    </row>
    <row r="153" spans="1:11" x14ac:dyDescent="0.25">
      <c r="A153" t="s">
        <v>7778</v>
      </c>
      <c r="B153" t="s">
        <v>7542</v>
      </c>
      <c r="C153" t="s">
        <v>7594</v>
      </c>
      <c r="D153" t="s">
        <v>7588</v>
      </c>
      <c r="E153" t="s">
        <v>7768</v>
      </c>
      <c r="F153" t="s">
        <v>7542</v>
      </c>
      <c r="G153" t="s">
        <v>7564</v>
      </c>
      <c r="H153" t="s">
        <v>7597</v>
      </c>
      <c r="I153" t="s">
        <v>7753</v>
      </c>
      <c r="J153" t="s">
        <v>7590</v>
      </c>
      <c r="K153" t="s">
        <v>7565</v>
      </c>
    </row>
    <row r="154" spans="1:11" x14ac:dyDescent="0.25">
      <c r="A154" t="s">
        <v>7826</v>
      </c>
    </row>
    <row r="155" spans="1:11" x14ac:dyDescent="0.25">
      <c r="A155" t="s">
        <v>7828</v>
      </c>
    </row>
    <row r="156" spans="1:11" x14ac:dyDescent="0.25">
      <c r="A156" t="s">
        <v>7840</v>
      </c>
    </row>
    <row r="157" spans="1:11" x14ac:dyDescent="0.25">
      <c r="A157" t="s">
        <v>7842</v>
      </c>
    </row>
    <row r="158" spans="1:11" x14ac:dyDescent="0.25">
      <c r="A158" t="s">
        <v>7845</v>
      </c>
    </row>
  </sheetData>
  <phoneticPr fontId="9" type="noConversion"/>
  <pageMargins left="0.7" right="0.7" top="0.75" bottom="0.75" header="0.3" footer="0.3"/>
  <tableParts count="5">
    <tablePart r:id="rId1"/>
    <tablePart r:id="rId2"/>
    <tablePart r:id="rId3"/>
    <tablePart r:id="rId4"/>
    <tablePart r:id="rId5"/>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3735</v>
      </c>
      <c r="C1" t="s">
        <v>1</v>
      </c>
      <c r="D1" t="s">
        <v>167</v>
      </c>
      <c r="E1" t="s">
        <v>3497</v>
      </c>
    </row>
    <row r="2" spans="1:5" ht="15" customHeight="1" x14ac:dyDescent="0.25">
      <c r="A2" t="s">
        <v>4363</v>
      </c>
      <c r="B2" t="s">
        <v>4364</v>
      </c>
      <c r="C2" t="s">
        <v>1046</v>
      </c>
      <c r="D2" t="s">
        <v>4365</v>
      </c>
      <c r="E2" t="s">
        <v>4366</v>
      </c>
    </row>
    <row r="3" spans="1:5" ht="15" customHeight="1" x14ac:dyDescent="0.25">
      <c r="A3" t="s">
        <v>4367</v>
      </c>
      <c r="B3" t="s">
        <v>4368</v>
      </c>
      <c r="C3" t="s">
        <v>1046</v>
      </c>
      <c r="D3" t="s">
        <v>4369</v>
      </c>
      <c r="E3" t="s">
        <v>4366</v>
      </c>
    </row>
    <row r="4" spans="1:5" ht="15" customHeight="1" x14ac:dyDescent="0.25">
      <c r="A4" t="s">
        <v>4370</v>
      </c>
      <c r="B4" t="s">
        <v>4368</v>
      </c>
      <c r="C4" t="s">
        <v>1046</v>
      </c>
      <c r="D4" t="s">
        <v>4371</v>
      </c>
      <c r="E4" t="s">
        <v>4366</v>
      </c>
    </row>
    <row r="5" spans="1:5" ht="15" customHeight="1" x14ac:dyDescent="0.25">
      <c r="A5" t="s">
        <v>4372</v>
      </c>
      <c r="B5" t="s">
        <v>4373</v>
      </c>
      <c r="C5" t="s">
        <v>1046</v>
      </c>
      <c r="D5" t="s">
        <v>4374</v>
      </c>
      <c r="E5" t="s">
        <v>4366</v>
      </c>
    </row>
    <row r="6" spans="1:5" ht="15" customHeight="1" x14ac:dyDescent="0.25">
      <c r="A6" t="s">
        <v>4375</v>
      </c>
      <c r="B6" t="s">
        <v>4373</v>
      </c>
      <c r="C6" t="s">
        <v>1046</v>
      </c>
      <c r="D6" t="s">
        <v>4376</v>
      </c>
      <c r="E6" t="s">
        <v>4366</v>
      </c>
    </row>
    <row r="7" spans="1:5" ht="15" customHeight="1" x14ac:dyDescent="0.25">
      <c r="A7" t="s">
        <v>4377</v>
      </c>
      <c r="B7" t="s">
        <v>4364</v>
      </c>
      <c r="C7" t="s">
        <v>160</v>
      </c>
      <c r="D7" t="s">
        <v>4365</v>
      </c>
      <c r="E7" t="s">
        <v>4378</v>
      </c>
    </row>
    <row r="8" spans="1:5" ht="15" customHeight="1" x14ac:dyDescent="0.25">
      <c r="A8" t="s">
        <v>4296</v>
      </c>
      <c r="B8" t="s">
        <v>4364</v>
      </c>
      <c r="C8" t="s">
        <v>160</v>
      </c>
      <c r="D8" t="s">
        <v>4379</v>
      </c>
      <c r="E8" t="s">
        <v>4378</v>
      </c>
    </row>
    <row r="9" spans="1:5" ht="15" customHeight="1" x14ac:dyDescent="0.25">
      <c r="A9" t="s">
        <v>4300</v>
      </c>
      <c r="B9" t="s">
        <v>4364</v>
      </c>
      <c r="C9" t="s">
        <v>160</v>
      </c>
      <c r="D9" t="s">
        <v>4380</v>
      </c>
      <c r="E9" t="s">
        <v>4378</v>
      </c>
    </row>
    <row r="10" spans="1:5" ht="15" customHeight="1" x14ac:dyDescent="0.25">
      <c r="A10" t="s">
        <v>4381</v>
      </c>
      <c r="B10" t="s">
        <v>4368</v>
      </c>
      <c r="C10" t="s">
        <v>160</v>
      </c>
      <c r="D10" t="s">
        <v>4369</v>
      </c>
      <c r="E10" t="s">
        <v>4378</v>
      </c>
    </row>
    <row r="11" spans="1:5" ht="15" customHeight="1" x14ac:dyDescent="0.25">
      <c r="A11" t="s">
        <v>4382</v>
      </c>
      <c r="B11" t="s">
        <v>4368</v>
      </c>
      <c r="C11" t="s">
        <v>160</v>
      </c>
      <c r="D11" t="s">
        <v>4383</v>
      </c>
      <c r="E11" t="s">
        <v>4378</v>
      </c>
    </row>
    <row r="12" spans="1:5" ht="15" customHeight="1" x14ac:dyDescent="0.25">
      <c r="A12" t="s">
        <v>4384</v>
      </c>
      <c r="B12" t="s">
        <v>4368</v>
      </c>
      <c r="C12" t="s">
        <v>160</v>
      </c>
      <c r="D12" t="s">
        <v>4376</v>
      </c>
      <c r="E12" t="s">
        <v>4378</v>
      </c>
    </row>
    <row r="13" spans="1:5" ht="15" customHeight="1" x14ac:dyDescent="0.25">
      <c r="A13" t="s">
        <v>4385</v>
      </c>
      <c r="B13" t="s">
        <v>4373</v>
      </c>
      <c r="C13" t="s">
        <v>160</v>
      </c>
      <c r="D13" t="s">
        <v>4386</v>
      </c>
      <c r="E13" t="s">
        <v>4378</v>
      </c>
    </row>
    <row r="14" spans="1:5" ht="15" customHeight="1" x14ac:dyDescent="0.25">
      <c r="A14" t="s">
        <v>4387</v>
      </c>
      <c r="B14" t="s">
        <v>4373</v>
      </c>
      <c r="C14" t="s">
        <v>160</v>
      </c>
      <c r="D14" t="s">
        <v>4388</v>
      </c>
      <c r="E14" t="s">
        <v>4378</v>
      </c>
    </row>
    <row r="15" spans="1:5" ht="15" customHeight="1" x14ac:dyDescent="0.25">
      <c r="A15" t="s">
        <v>4389</v>
      </c>
      <c r="B15" t="s">
        <v>4373</v>
      </c>
      <c r="C15" t="s">
        <v>160</v>
      </c>
      <c r="D15" t="s">
        <v>4390</v>
      </c>
      <c r="E15" t="s">
        <v>4378</v>
      </c>
    </row>
    <row r="16" spans="1:5" ht="15" customHeight="1" x14ac:dyDescent="0.25">
      <c r="A16" t="s">
        <v>4391</v>
      </c>
      <c r="B16" t="s">
        <v>4364</v>
      </c>
      <c r="C16" t="s">
        <v>1294</v>
      </c>
      <c r="D16" t="s">
        <v>4376</v>
      </c>
      <c r="E16" t="s">
        <v>4392</v>
      </c>
    </row>
    <row r="17" spans="1:5" ht="15" customHeight="1" x14ac:dyDescent="0.25">
      <c r="A17" t="s">
        <v>4393</v>
      </c>
      <c r="B17" t="s">
        <v>4364</v>
      </c>
      <c r="C17" t="s">
        <v>1294</v>
      </c>
      <c r="D17" t="s">
        <v>4379</v>
      </c>
      <c r="E17" t="s">
        <v>4392</v>
      </c>
    </row>
    <row r="18" spans="1:5" ht="15" customHeight="1" x14ac:dyDescent="0.25">
      <c r="A18" t="s">
        <v>4394</v>
      </c>
      <c r="B18" t="s">
        <v>4368</v>
      </c>
      <c r="C18" t="s">
        <v>1294</v>
      </c>
      <c r="D18" t="s">
        <v>4383</v>
      </c>
      <c r="E18" t="s">
        <v>4392</v>
      </c>
    </row>
    <row r="19" spans="1:5" ht="15" customHeight="1" x14ac:dyDescent="0.25">
      <c r="A19" t="s">
        <v>4390</v>
      </c>
      <c r="B19" t="s">
        <v>4368</v>
      </c>
      <c r="C19" t="s">
        <v>1294</v>
      </c>
      <c r="D19" t="s">
        <v>4390</v>
      </c>
      <c r="E19" t="s">
        <v>4392</v>
      </c>
    </row>
    <row r="20" spans="1:5" ht="15" customHeight="1" x14ac:dyDescent="0.25">
      <c r="A20" t="s">
        <v>4395</v>
      </c>
      <c r="B20" t="s">
        <v>4373</v>
      </c>
      <c r="C20" t="s">
        <v>1294</v>
      </c>
      <c r="D20" t="s">
        <v>4365</v>
      </c>
      <c r="E20" t="s">
        <v>4392</v>
      </c>
    </row>
    <row r="21" spans="1:5" ht="15" customHeight="1" x14ac:dyDescent="0.25">
      <c r="A21" t="s">
        <v>4396</v>
      </c>
      <c r="B21" t="s">
        <v>4364</v>
      </c>
      <c r="C21" t="s">
        <v>2136</v>
      </c>
      <c r="D21" t="s">
        <v>4397</v>
      </c>
      <c r="E21" t="s">
        <v>4398</v>
      </c>
    </row>
    <row r="22" spans="1:5" ht="15" customHeight="1" x14ac:dyDescent="0.25">
      <c r="A22" t="s">
        <v>4399</v>
      </c>
      <c r="B22" t="s">
        <v>4364</v>
      </c>
      <c r="C22" t="s">
        <v>2136</v>
      </c>
      <c r="D22" t="s">
        <v>4400</v>
      </c>
      <c r="E22" t="s">
        <v>4398</v>
      </c>
    </row>
    <row r="23" spans="1:5" ht="15" customHeight="1" x14ac:dyDescent="0.25">
      <c r="A23" t="s">
        <v>4401</v>
      </c>
      <c r="B23" t="s">
        <v>4364</v>
      </c>
      <c r="C23" t="s">
        <v>2136</v>
      </c>
      <c r="D23" t="s">
        <v>4371</v>
      </c>
      <c r="E23" t="s">
        <v>4398</v>
      </c>
    </row>
    <row r="24" spans="1:5" ht="15" customHeight="1" x14ac:dyDescent="0.25">
      <c r="A24" t="s">
        <v>4402</v>
      </c>
      <c r="B24" t="s">
        <v>4364</v>
      </c>
      <c r="C24" t="s">
        <v>2136</v>
      </c>
      <c r="D24" t="s">
        <v>4403</v>
      </c>
      <c r="E24" t="s">
        <v>4398</v>
      </c>
    </row>
    <row r="25" spans="1:5" ht="15" customHeight="1" x14ac:dyDescent="0.25">
      <c r="A25" t="s">
        <v>4404</v>
      </c>
      <c r="B25" t="s">
        <v>4368</v>
      </c>
      <c r="C25" t="s">
        <v>2136</v>
      </c>
      <c r="D25" t="s">
        <v>4371</v>
      </c>
      <c r="E25" t="s">
        <v>4398</v>
      </c>
    </row>
    <row r="26" spans="1:5" ht="15" customHeight="1" x14ac:dyDescent="0.25">
      <c r="A26" t="s">
        <v>4405</v>
      </c>
      <c r="B26" t="s">
        <v>4368</v>
      </c>
      <c r="C26" t="s">
        <v>2136</v>
      </c>
      <c r="D26" t="s">
        <v>4379</v>
      </c>
      <c r="E26" t="s">
        <v>4398</v>
      </c>
    </row>
    <row r="27" spans="1:5" ht="15" customHeight="1" x14ac:dyDescent="0.25">
      <c r="A27" t="s">
        <v>4406</v>
      </c>
      <c r="B27" t="s">
        <v>4368</v>
      </c>
      <c r="C27" t="s">
        <v>2136</v>
      </c>
      <c r="D27" t="s">
        <v>4397</v>
      </c>
      <c r="E27" t="s">
        <v>4398</v>
      </c>
    </row>
    <row r="28" spans="1:5" ht="15" customHeight="1" x14ac:dyDescent="0.25">
      <c r="A28" t="s">
        <v>4407</v>
      </c>
      <c r="B28" t="s">
        <v>4368</v>
      </c>
      <c r="C28" t="s">
        <v>2136</v>
      </c>
      <c r="D28" t="s">
        <v>4408</v>
      </c>
      <c r="E28" t="s">
        <v>4398</v>
      </c>
    </row>
    <row r="29" spans="1:5" ht="15" customHeight="1" x14ac:dyDescent="0.25">
      <c r="A29" t="s">
        <v>4409</v>
      </c>
      <c r="B29" t="s">
        <v>4373</v>
      </c>
      <c r="C29" t="s">
        <v>2136</v>
      </c>
      <c r="D29" t="s">
        <v>4410</v>
      </c>
      <c r="E29" t="s">
        <v>4398</v>
      </c>
    </row>
    <row r="30" spans="1:5" ht="15" customHeight="1" x14ac:dyDescent="0.25">
      <c r="A30" t="s">
        <v>4411</v>
      </c>
      <c r="B30" t="s">
        <v>4373</v>
      </c>
      <c r="C30" t="s">
        <v>2136</v>
      </c>
      <c r="D30" t="s">
        <v>4412</v>
      </c>
      <c r="E30" t="s">
        <v>4398</v>
      </c>
    </row>
    <row r="31" spans="1:5" ht="15" customHeight="1" x14ac:dyDescent="0.25">
      <c r="A31" t="s">
        <v>4413</v>
      </c>
      <c r="B31" t="s">
        <v>4364</v>
      </c>
      <c r="C31" t="s">
        <v>553</v>
      </c>
      <c r="D31" t="s">
        <v>4403</v>
      </c>
      <c r="E31" t="s">
        <v>4414</v>
      </c>
    </row>
    <row r="32" spans="1:5" ht="15" customHeight="1" x14ac:dyDescent="0.25">
      <c r="A32" t="s">
        <v>4415</v>
      </c>
      <c r="B32" t="s">
        <v>4373</v>
      </c>
      <c r="C32" t="s">
        <v>553</v>
      </c>
      <c r="D32" t="s">
        <v>4403</v>
      </c>
      <c r="E32" t="s">
        <v>4414</v>
      </c>
    </row>
    <row r="33" spans="1:5" ht="15" customHeight="1" x14ac:dyDescent="0.25">
      <c r="A33" t="s">
        <v>4416</v>
      </c>
      <c r="B33" t="s">
        <v>4368</v>
      </c>
      <c r="C33" t="s">
        <v>553</v>
      </c>
      <c r="D33" t="s">
        <v>4369</v>
      </c>
      <c r="E33" t="s">
        <v>4414</v>
      </c>
    </row>
    <row r="34" spans="1:5" ht="15" customHeight="1" x14ac:dyDescent="0.25">
      <c r="A34" t="s">
        <v>4417</v>
      </c>
      <c r="B34" t="s">
        <v>4373</v>
      </c>
      <c r="C34" t="s">
        <v>553</v>
      </c>
      <c r="D34" t="s">
        <v>4412</v>
      </c>
      <c r="E34" t="s">
        <v>4414</v>
      </c>
    </row>
    <row r="35" spans="1:5" ht="15" customHeight="1" x14ac:dyDescent="0.25">
      <c r="A35" t="s">
        <v>4418</v>
      </c>
      <c r="B35" t="s">
        <v>4368</v>
      </c>
      <c r="C35" t="s">
        <v>553</v>
      </c>
      <c r="D35" t="s">
        <v>4397</v>
      </c>
      <c r="E35" t="s">
        <v>4414</v>
      </c>
    </row>
    <row r="36" spans="1:5" ht="15" customHeight="1" x14ac:dyDescent="0.25">
      <c r="A36" t="s">
        <v>4419</v>
      </c>
      <c r="B36" t="s">
        <v>4364</v>
      </c>
      <c r="C36" t="s">
        <v>553</v>
      </c>
      <c r="D36" t="s">
        <v>4369</v>
      </c>
      <c r="E36" t="s">
        <v>4414</v>
      </c>
    </row>
    <row r="37" spans="1:5" ht="15" customHeight="1" x14ac:dyDescent="0.25">
      <c r="A37" t="s">
        <v>4420</v>
      </c>
      <c r="B37" t="s">
        <v>4364</v>
      </c>
      <c r="C37" t="s">
        <v>501</v>
      </c>
      <c r="D37" t="s">
        <v>4400</v>
      </c>
      <c r="E37" t="s">
        <v>4421</v>
      </c>
    </row>
    <row r="38" spans="1:5" ht="15" customHeight="1" x14ac:dyDescent="0.25">
      <c r="A38" t="s">
        <v>4422</v>
      </c>
      <c r="B38" t="s">
        <v>4368</v>
      </c>
      <c r="C38" t="s">
        <v>501</v>
      </c>
      <c r="D38" t="s">
        <v>4383</v>
      </c>
      <c r="E38" t="s">
        <v>4421</v>
      </c>
    </row>
    <row r="39" spans="1:5" ht="15" customHeight="1" x14ac:dyDescent="0.25">
      <c r="A39" t="s">
        <v>4423</v>
      </c>
      <c r="B39" t="s">
        <v>4373</v>
      </c>
      <c r="C39" t="s">
        <v>501</v>
      </c>
      <c r="D39" t="s">
        <v>4390</v>
      </c>
      <c r="E39" t="s">
        <v>4421</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3496</v>
      </c>
      <c r="C1" t="s">
        <v>167</v>
      </c>
      <c r="D1" t="s">
        <v>3454</v>
      </c>
      <c r="E1" t="s">
        <v>3497</v>
      </c>
      <c r="F1" t="s">
        <v>3498</v>
      </c>
      <c r="G1" t="s">
        <v>3499</v>
      </c>
      <c r="H1" t="s">
        <v>171</v>
      </c>
      <c r="I1" t="s">
        <v>4</v>
      </c>
      <c r="J1" t="s">
        <v>3501</v>
      </c>
    </row>
    <row r="2" spans="1:10" ht="15" customHeight="1" x14ac:dyDescent="0.25">
      <c r="A2" t="s">
        <v>3502</v>
      </c>
      <c r="B2" t="s">
        <v>3503</v>
      </c>
      <c r="C2" t="s">
        <v>3504</v>
      </c>
      <c r="D2" t="s">
        <v>4424</v>
      </c>
      <c r="E2" t="s">
        <v>4425</v>
      </c>
      <c r="F2" t="s">
        <v>497</v>
      </c>
      <c r="G2" t="s">
        <v>3507</v>
      </c>
      <c r="H2" t="s">
        <v>3508</v>
      </c>
      <c r="I2" t="s">
        <v>3459</v>
      </c>
      <c r="J2" t="s">
        <v>3442</v>
      </c>
    </row>
    <row r="3" spans="1:10" ht="15" customHeight="1" x14ac:dyDescent="0.25">
      <c r="A3" t="s">
        <v>3509</v>
      </c>
      <c r="B3" t="s">
        <v>41</v>
      </c>
      <c r="C3" t="s">
        <v>3510</v>
      </c>
      <c r="D3" t="s">
        <v>4426</v>
      </c>
      <c r="E3" t="s">
        <v>4427</v>
      </c>
      <c r="F3" t="s">
        <v>90</v>
      </c>
      <c r="G3" t="s">
        <v>3512</v>
      </c>
      <c r="H3" t="s">
        <v>3509</v>
      </c>
      <c r="I3" t="s">
        <v>3459</v>
      </c>
      <c r="J3" t="s">
        <v>3513</v>
      </c>
    </row>
    <row r="4" spans="1:10" ht="15" customHeight="1" x14ac:dyDescent="0.25">
      <c r="A4" t="s">
        <v>4428</v>
      </c>
      <c r="B4" t="s">
        <v>3515</v>
      </c>
      <c r="C4" t="s">
        <v>4429</v>
      </c>
      <c r="D4" t="s">
        <v>4430</v>
      </c>
      <c r="E4" t="s">
        <v>4431</v>
      </c>
      <c r="F4" t="s">
        <v>1649</v>
      </c>
      <c r="G4" t="s">
        <v>4432</v>
      </c>
      <c r="H4" t="s">
        <v>4433</v>
      </c>
      <c r="I4" t="s">
        <v>3459</v>
      </c>
      <c r="J4" t="s">
        <v>3513</v>
      </c>
    </row>
    <row r="5" spans="1:10" ht="15" customHeight="1" x14ac:dyDescent="0.25">
      <c r="A5" t="s">
        <v>4434</v>
      </c>
      <c r="B5" t="s">
        <v>41</v>
      </c>
      <c r="C5" t="s">
        <v>3524</v>
      </c>
      <c r="D5" t="s">
        <v>4435</v>
      </c>
      <c r="E5" t="s">
        <v>4436</v>
      </c>
      <c r="F5" t="s">
        <v>1046</v>
      </c>
      <c r="G5" t="s">
        <v>4437</v>
      </c>
      <c r="H5" t="s">
        <v>4438</v>
      </c>
      <c r="I5" t="s">
        <v>3459</v>
      </c>
      <c r="J5" t="s">
        <v>3521</v>
      </c>
    </row>
    <row r="6" spans="1:10" ht="15" customHeight="1" x14ac:dyDescent="0.25">
      <c r="A6" t="s">
        <v>4439</v>
      </c>
      <c r="B6" t="s">
        <v>3515</v>
      </c>
      <c r="C6" t="s">
        <v>4429</v>
      </c>
      <c r="D6" t="s">
        <v>4440</v>
      </c>
      <c r="E6" t="s">
        <v>4441</v>
      </c>
      <c r="F6" t="s">
        <v>1046</v>
      </c>
      <c r="G6" t="s">
        <v>4442</v>
      </c>
      <c r="H6" t="s">
        <v>4439</v>
      </c>
      <c r="I6" t="s">
        <v>3459</v>
      </c>
      <c r="J6" t="s">
        <v>4443</v>
      </c>
    </row>
    <row r="7" spans="1:10" ht="15" customHeight="1" x14ac:dyDescent="0.25">
      <c r="A7" t="s">
        <v>4444</v>
      </c>
      <c r="B7" t="s">
        <v>3515</v>
      </c>
      <c r="C7" t="s">
        <v>3510</v>
      </c>
      <c r="D7" t="s">
        <v>4445</v>
      </c>
      <c r="E7" t="s">
        <v>4446</v>
      </c>
      <c r="F7" t="s">
        <v>1649</v>
      </c>
      <c r="G7" t="s">
        <v>4447</v>
      </c>
      <c r="H7" t="s">
        <v>4448</v>
      </c>
      <c r="I7" t="s">
        <v>3459</v>
      </c>
      <c r="J7" t="s">
        <v>3513</v>
      </c>
    </row>
    <row r="8" spans="1:10" ht="15" customHeight="1" x14ac:dyDescent="0.25">
      <c r="A8" t="s">
        <v>4449</v>
      </c>
      <c r="B8" t="s">
        <v>3503</v>
      </c>
      <c r="C8" t="s">
        <v>4450</v>
      </c>
      <c r="D8" t="s">
        <v>4451</v>
      </c>
      <c r="E8" t="s">
        <v>4452</v>
      </c>
      <c r="F8" t="s">
        <v>1621</v>
      </c>
      <c r="G8" t="s">
        <v>4453</v>
      </c>
      <c r="H8" t="s">
        <v>4454</v>
      </c>
      <c r="I8" t="s">
        <v>3459</v>
      </c>
      <c r="J8" t="s">
        <v>3521</v>
      </c>
    </row>
    <row r="9" spans="1:10" ht="15" customHeight="1" x14ac:dyDescent="0.25">
      <c r="A9" t="s">
        <v>4455</v>
      </c>
      <c r="B9" t="s">
        <v>3503</v>
      </c>
      <c r="C9" t="s">
        <v>3510</v>
      </c>
      <c r="D9" t="s">
        <v>4456</v>
      </c>
      <c r="E9" t="s">
        <v>4457</v>
      </c>
      <c r="F9" t="s">
        <v>1649</v>
      </c>
      <c r="G9" t="s">
        <v>4458</v>
      </c>
      <c r="H9" t="s">
        <v>4459</v>
      </c>
      <c r="I9" t="s">
        <v>3459</v>
      </c>
      <c r="J9" t="s">
        <v>4460</v>
      </c>
    </row>
    <row r="10" spans="1:10" ht="15" customHeight="1" x14ac:dyDescent="0.25">
      <c r="A10" t="s">
        <v>4461</v>
      </c>
      <c r="B10" t="s">
        <v>3503</v>
      </c>
      <c r="C10" t="s">
        <v>3510</v>
      </c>
      <c r="D10" t="s">
        <v>4462</v>
      </c>
      <c r="E10" t="s">
        <v>4463</v>
      </c>
      <c r="F10" t="s">
        <v>90</v>
      </c>
      <c r="G10" t="s">
        <v>4464</v>
      </c>
      <c r="H10" t="s">
        <v>4465</v>
      </c>
      <c r="I10" t="s">
        <v>3459</v>
      </c>
      <c r="J10" t="s">
        <v>3442</v>
      </c>
    </row>
    <row r="11" spans="1:10" ht="15" customHeight="1" x14ac:dyDescent="0.25">
      <c r="A11" t="s">
        <v>4466</v>
      </c>
      <c r="B11" t="s">
        <v>41</v>
      </c>
      <c r="C11" t="s">
        <v>4429</v>
      </c>
      <c r="D11" t="s">
        <v>4467</v>
      </c>
      <c r="E11" t="s">
        <v>4468</v>
      </c>
      <c r="F11" t="s">
        <v>1104</v>
      </c>
      <c r="G11" t="s">
        <v>3883</v>
      </c>
      <c r="H11" t="s">
        <v>4469</v>
      </c>
      <c r="I11" t="s">
        <v>3459</v>
      </c>
      <c r="J11" t="s">
        <v>4443</v>
      </c>
    </row>
    <row r="12" spans="1:10" ht="15" customHeight="1" x14ac:dyDescent="0.25">
      <c r="A12" t="s">
        <v>4470</v>
      </c>
      <c r="B12" t="s">
        <v>3503</v>
      </c>
      <c r="C12" t="s">
        <v>4429</v>
      </c>
      <c r="D12" t="s">
        <v>4471</v>
      </c>
      <c r="E12" t="s">
        <v>4472</v>
      </c>
      <c r="F12" t="s">
        <v>1621</v>
      </c>
      <c r="H12" t="s">
        <v>4473</v>
      </c>
      <c r="I12" t="s">
        <v>3459</v>
      </c>
      <c r="J12" t="s">
        <v>4474</v>
      </c>
    </row>
    <row r="13" spans="1:10" ht="15" customHeight="1" x14ac:dyDescent="0.25">
      <c r="A13" t="s">
        <v>4475</v>
      </c>
      <c r="B13" t="s">
        <v>41</v>
      </c>
      <c r="C13" t="s">
        <v>3510</v>
      </c>
      <c r="D13" t="s">
        <v>4476</v>
      </c>
      <c r="E13" t="s">
        <v>4477</v>
      </c>
      <c r="F13" t="s">
        <v>90</v>
      </c>
      <c r="G13" t="s">
        <v>3532</v>
      </c>
      <c r="H13" t="s">
        <v>4478</v>
      </c>
      <c r="I13" t="s">
        <v>3459</v>
      </c>
      <c r="J13" t="s">
        <v>3442</v>
      </c>
    </row>
    <row r="14" spans="1:10" ht="15" customHeight="1" x14ac:dyDescent="0.25">
      <c r="A14" t="s">
        <v>4479</v>
      </c>
      <c r="B14" t="s">
        <v>41</v>
      </c>
      <c r="C14" t="s">
        <v>3541</v>
      </c>
      <c r="D14" t="s">
        <v>4480</v>
      </c>
      <c r="E14" t="s">
        <v>4481</v>
      </c>
      <c r="F14" t="s">
        <v>497</v>
      </c>
      <c r="G14" t="s">
        <v>4482</v>
      </c>
      <c r="H14" t="s">
        <v>4483</v>
      </c>
      <c r="I14" t="s">
        <v>3459</v>
      </c>
      <c r="J14" t="s">
        <v>3521</v>
      </c>
    </row>
    <row r="15" spans="1:10" ht="15" customHeight="1" x14ac:dyDescent="0.25">
      <c r="A15" t="s">
        <v>4484</v>
      </c>
      <c r="B15" t="s">
        <v>3459</v>
      </c>
      <c r="C15" t="s">
        <v>4485</v>
      </c>
      <c r="D15" t="s">
        <v>4486</v>
      </c>
      <c r="F15" t="s">
        <v>1294</v>
      </c>
      <c r="H15" t="s">
        <v>4487</v>
      </c>
      <c r="I15" t="s">
        <v>3459</v>
      </c>
      <c r="J15" t="s">
        <v>4485</v>
      </c>
    </row>
    <row r="16" spans="1:10" ht="15" customHeight="1" x14ac:dyDescent="0.25">
      <c r="A16" t="s">
        <v>4488</v>
      </c>
      <c r="B16" t="s">
        <v>3459</v>
      </c>
      <c r="C16" t="s">
        <v>4485</v>
      </c>
      <c r="D16" t="s">
        <v>4489</v>
      </c>
      <c r="F16" t="s">
        <v>1294</v>
      </c>
      <c r="H16" t="s">
        <v>4490</v>
      </c>
      <c r="I16" t="s">
        <v>3459</v>
      </c>
      <c r="J16" t="s">
        <v>4485</v>
      </c>
    </row>
    <row r="17" spans="1:10" ht="15" customHeight="1" x14ac:dyDescent="0.25">
      <c r="A17" t="s">
        <v>4491</v>
      </c>
      <c r="B17" t="s">
        <v>3459</v>
      </c>
      <c r="C17" t="s">
        <v>4485</v>
      </c>
      <c r="D17" t="s">
        <v>4492</v>
      </c>
      <c r="F17" t="s">
        <v>1294</v>
      </c>
      <c r="H17" t="s">
        <v>4493</v>
      </c>
      <c r="I17" t="s">
        <v>3459</v>
      </c>
      <c r="J17" t="s">
        <v>4485</v>
      </c>
    </row>
    <row r="18" spans="1:10" ht="15" customHeight="1" x14ac:dyDescent="0.25">
      <c r="A18" t="s">
        <v>4494</v>
      </c>
      <c r="B18" t="s">
        <v>3459</v>
      </c>
      <c r="C18" t="s">
        <v>4485</v>
      </c>
      <c r="D18" t="s">
        <v>4495</v>
      </c>
      <c r="F18" t="s">
        <v>1294</v>
      </c>
      <c r="H18" t="s">
        <v>4496</v>
      </c>
      <c r="I18" t="s">
        <v>3459</v>
      </c>
      <c r="J18" t="s">
        <v>4485</v>
      </c>
    </row>
    <row r="19" spans="1:10" ht="15" customHeight="1" x14ac:dyDescent="0.25">
      <c r="A19" t="s">
        <v>4497</v>
      </c>
      <c r="B19" t="s">
        <v>3459</v>
      </c>
      <c r="C19" t="s">
        <v>4485</v>
      </c>
      <c r="D19" t="s">
        <v>4498</v>
      </c>
      <c r="F19" t="s">
        <v>1294</v>
      </c>
      <c r="H19" t="s">
        <v>4499</v>
      </c>
      <c r="I19" t="s">
        <v>3459</v>
      </c>
      <c r="J19" t="s">
        <v>4485</v>
      </c>
    </row>
    <row r="20" spans="1:10" ht="15" customHeight="1" x14ac:dyDescent="0.25">
      <c r="A20" t="s">
        <v>4500</v>
      </c>
      <c r="B20" t="s">
        <v>3459</v>
      </c>
      <c r="C20" t="s">
        <v>4485</v>
      </c>
      <c r="D20" t="s">
        <v>4501</v>
      </c>
      <c r="F20" t="s">
        <v>1294</v>
      </c>
      <c r="H20" t="s">
        <v>4502</v>
      </c>
      <c r="I20" t="s">
        <v>3459</v>
      </c>
      <c r="J20" t="s">
        <v>4485</v>
      </c>
    </row>
    <row r="21" spans="1:10" ht="15" customHeight="1" x14ac:dyDescent="0.25">
      <c r="A21" t="s">
        <v>4503</v>
      </c>
      <c r="B21" t="s">
        <v>3515</v>
      </c>
      <c r="C21" t="s">
        <v>3524</v>
      </c>
      <c r="D21" t="s">
        <v>4504</v>
      </c>
      <c r="E21" t="s">
        <v>4505</v>
      </c>
      <c r="F21" t="s">
        <v>497</v>
      </c>
      <c r="G21" t="s">
        <v>3627</v>
      </c>
      <c r="H21" t="s">
        <v>4506</v>
      </c>
      <c r="I21" t="s">
        <v>3459</v>
      </c>
      <c r="J21" t="s">
        <v>4507</v>
      </c>
    </row>
    <row r="22" spans="1:10" ht="15" customHeight="1" x14ac:dyDescent="0.25">
      <c r="A22" t="s">
        <v>4508</v>
      </c>
      <c r="B22" t="s">
        <v>41</v>
      </c>
      <c r="C22" t="s">
        <v>4509</v>
      </c>
      <c r="D22" t="s">
        <v>4510</v>
      </c>
      <c r="E22" t="s">
        <v>4511</v>
      </c>
      <c r="F22" t="s">
        <v>1649</v>
      </c>
      <c r="G22" t="s">
        <v>4512</v>
      </c>
      <c r="H22" t="s">
        <v>4513</v>
      </c>
      <c r="I22" t="s">
        <v>3459</v>
      </c>
      <c r="J22" t="s">
        <v>3521</v>
      </c>
    </row>
    <row r="23" spans="1:10" ht="15" customHeight="1" x14ac:dyDescent="0.25">
      <c r="A23" t="s">
        <v>4514</v>
      </c>
      <c r="B23" t="s">
        <v>3503</v>
      </c>
      <c r="C23" t="s">
        <v>3510</v>
      </c>
      <c r="D23" t="s">
        <v>4515</v>
      </c>
      <c r="E23" t="s">
        <v>4516</v>
      </c>
      <c r="F23" t="s">
        <v>1649</v>
      </c>
      <c r="H23" t="s">
        <v>4517</v>
      </c>
      <c r="I23" t="s">
        <v>3459</v>
      </c>
      <c r="J23" t="s">
        <v>4460</v>
      </c>
    </row>
    <row r="24" spans="1:10" ht="15" customHeight="1" x14ac:dyDescent="0.25">
      <c r="A24" t="s">
        <v>4518</v>
      </c>
      <c r="B24" t="s">
        <v>3503</v>
      </c>
      <c r="C24" t="s">
        <v>3510</v>
      </c>
      <c r="D24" t="s">
        <v>4519</v>
      </c>
      <c r="E24" t="s">
        <v>4520</v>
      </c>
      <c r="F24" t="s">
        <v>1649</v>
      </c>
      <c r="G24" t="s">
        <v>4521</v>
      </c>
      <c r="H24" t="s">
        <v>4522</v>
      </c>
      <c r="I24" t="s">
        <v>3459</v>
      </c>
      <c r="J24" t="s">
        <v>3513</v>
      </c>
    </row>
    <row r="25" spans="1:10" ht="15" customHeight="1" x14ac:dyDescent="0.25">
      <c r="A25" t="s">
        <v>4523</v>
      </c>
      <c r="B25" t="s">
        <v>3515</v>
      </c>
      <c r="C25" t="s">
        <v>3510</v>
      </c>
      <c r="D25" t="s">
        <v>4524</v>
      </c>
      <c r="E25" t="s">
        <v>4525</v>
      </c>
      <c r="F25" t="s">
        <v>90</v>
      </c>
      <c r="G25" t="s">
        <v>4526</v>
      </c>
      <c r="H25" t="s">
        <v>4527</v>
      </c>
      <c r="I25" t="s">
        <v>3459</v>
      </c>
      <c r="J25" t="s">
        <v>4460</v>
      </c>
    </row>
    <row r="26" spans="1:10" ht="15" customHeight="1" x14ac:dyDescent="0.25">
      <c r="A26" t="s">
        <v>3468</v>
      </c>
      <c r="B26" t="s">
        <v>3547</v>
      </c>
      <c r="C26" t="s">
        <v>3510</v>
      </c>
      <c r="D26" t="s">
        <v>4528</v>
      </c>
      <c r="E26" t="s">
        <v>4529</v>
      </c>
      <c r="F26" t="s">
        <v>90</v>
      </c>
      <c r="H26" t="s">
        <v>3550</v>
      </c>
      <c r="I26" t="s">
        <v>3459</v>
      </c>
      <c r="J26" t="s">
        <v>3442</v>
      </c>
    </row>
    <row r="27" spans="1:10" ht="15" customHeight="1" x14ac:dyDescent="0.25">
      <c r="A27" t="s">
        <v>4530</v>
      </c>
      <c r="B27" t="s">
        <v>3503</v>
      </c>
      <c r="C27" t="s">
        <v>3524</v>
      </c>
      <c r="D27" t="s">
        <v>4531</v>
      </c>
      <c r="E27" t="s">
        <v>4532</v>
      </c>
      <c r="F27" t="s">
        <v>90</v>
      </c>
      <c r="G27" t="s">
        <v>3577</v>
      </c>
      <c r="H27" t="s">
        <v>4533</v>
      </c>
      <c r="I27" t="s">
        <v>3459</v>
      </c>
      <c r="J27" t="s">
        <v>4534</v>
      </c>
    </row>
    <row r="28" spans="1:10" ht="15" customHeight="1" x14ac:dyDescent="0.25">
      <c r="A28" t="s">
        <v>4535</v>
      </c>
      <c r="B28" t="s">
        <v>3515</v>
      </c>
      <c r="C28" t="s">
        <v>3524</v>
      </c>
      <c r="D28" t="s">
        <v>4536</v>
      </c>
      <c r="E28" t="s">
        <v>4537</v>
      </c>
      <c r="F28" t="s">
        <v>497</v>
      </c>
      <c r="H28" t="s">
        <v>4535</v>
      </c>
      <c r="I28" t="s">
        <v>3459</v>
      </c>
      <c r="J28" t="s">
        <v>3521</v>
      </c>
    </row>
    <row r="29" spans="1:10" ht="15" customHeight="1" x14ac:dyDescent="0.25">
      <c r="A29" t="s">
        <v>4538</v>
      </c>
      <c r="B29" t="s">
        <v>3503</v>
      </c>
      <c r="C29" t="s">
        <v>3510</v>
      </c>
      <c r="D29" t="s">
        <v>4539</v>
      </c>
      <c r="E29" t="s">
        <v>4540</v>
      </c>
      <c r="F29" t="s">
        <v>90</v>
      </c>
      <c r="G29" t="s">
        <v>3512</v>
      </c>
      <c r="H29" t="s">
        <v>4541</v>
      </c>
      <c r="I29" t="s">
        <v>3459</v>
      </c>
      <c r="J29" t="s">
        <v>3513</v>
      </c>
    </row>
    <row r="30" spans="1:10" ht="15" customHeight="1" x14ac:dyDescent="0.25">
      <c r="A30" t="s">
        <v>3564</v>
      </c>
      <c r="B30" t="s">
        <v>3515</v>
      </c>
      <c r="C30" t="s">
        <v>3510</v>
      </c>
      <c r="D30" t="s">
        <v>4542</v>
      </c>
      <c r="E30" t="s">
        <v>4543</v>
      </c>
      <c r="F30" t="s">
        <v>160</v>
      </c>
      <c r="H30" t="s">
        <v>3569</v>
      </c>
      <c r="I30" t="s">
        <v>3459</v>
      </c>
      <c r="J30" t="s">
        <v>3442</v>
      </c>
    </row>
    <row r="31" spans="1:10" ht="15" customHeight="1" x14ac:dyDescent="0.25">
      <c r="A31" t="s">
        <v>3570</v>
      </c>
      <c r="B31" t="s">
        <v>41</v>
      </c>
      <c r="C31" t="s">
        <v>4509</v>
      </c>
      <c r="D31" t="s">
        <v>4544</v>
      </c>
      <c r="E31" t="s">
        <v>4545</v>
      </c>
      <c r="F31" t="s">
        <v>1649</v>
      </c>
      <c r="G31" t="s">
        <v>4512</v>
      </c>
      <c r="H31" t="s">
        <v>3570</v>
      </c>
      <c r="I31" t="s">
        <v>3459</v>
      </c>
      <c r="J31" t="s">
        <v>3521</v>
      </c>
    </row>
    <row r="32" spans="1:10" ht="15" customHeight="1" x14ac:dyDescent="0.25">
      <c r="A32" t="s">
        <v>4546</v>
      </c>
      <c r="B32" t="s">
        <v>3515</v>
      </c>
      <c r="C32" t="s">
        <v>3510</v>
      </c>
      <c r="D32" t="s">
        <v>4547</v>
      </c>
      <c r="E32" t="s">
        <v>4548</v>
      </c>
      <c r="F32" t="s">
        <v>1322</v>
      </c>
      <c r="G32" t="s">
        <v>4549</v>
      </c>
      <c r="H32" t="s">
        <v>4550</v>
      </c>
      <c r="I32" t="s">
        <v>3459</v>
      </c>
      <c r="J32" t="s">
        <v>4551</v>
      </c>
    </row>
    <row r="33" spans="1:10" ht="15" customHeight="1" x14ac:dyDescent="0.25">
      <c r="A33" t="s">
        <v>4552</v>
      </c>
      <c r="B33" t="s">
        <v>3503</v>
      </c>
      <c r="C33" t="s">
        <v>3524</v>
      </c>
      <c r="D33" t="s">
        <v>4553</v>
      </c>
      <c r="E33" t="s">
        <v>4554</v>
      </c>
      <c r="F33" t="s">
        <v>160</v>
      </c>
      <c r="G33" t="s">
        <v>4555</v>
      </c>
      <c r="H33" t="s">
        <v>4556</v>
      </c>
      <c r="I33" t="s">
        <v>3459</v>
      </c>
      <c r="J33" t="s">
        <v>3521</v>
      </c>
    </row>
    <row r="34" spans="1:10" ht="15" customHeight="1" x14ac:dyDescent="0.25">
      <c r="A34" t="s">
        <v>3574</v>
      </c>
      <c r="B34" t="s">
        <v>3515</v>
      </c>
      <c r="C34" t="s">
        <v>3510</v>
      </c>
      <c r="D34" t="s">
        <v>3575</v>
      </c>
      <c r="E34" t="s">
        <v>4557</v>
      </c>
      <c r="F34" t="s">
        <v>2804</v>
      </c>
      <c r="G34" t="s">
        <v>3577</v>
      </c>
      <c r="H34" t="s">
        <v>3574</v>
      </c>
      <c r="I34" t="s">
        <v>3459</v>
      </c>
      <c r="J34" t="s">
        <v>3578</v>
      </c>
    </row>
    <row r="35" spans="1:10" ht="15" customHeight="1" x14ac:dyDescent="0.25">
      <c r="A35" t="s">
        <v>3472</v>
      </c>
      <c r="B35" t="s">
        <v>3515</v>
      </c>
      <c r="C35" t="s">
        <v>4558</v>
      </c>
      <c r="D35" t="s">
        <v>4559</v>
      </c>
      <c r="E35" t="s">
        <v>4560</v>
      </c>
      <c r="F35" t="s">
        <v>160</v>
      </c>
      <c r="G35" t="s">
        <v>315</v>
      </c>
      <c r="H35" t="s">
        <v>3472</v>
      </c>
      <c r="I35" t="s">
        <v>3459</v>
      </c>
      <c r="J35" t="s">
        <v>3521</v>
      </c>
    </row>
    <row r="36" spans="1:10" ht="15" customHeight="1" x14ac:dyDescent="0.25">
      <c r="A36" t="s">
        <v>4561</v>
      </c>
      <c r="B36" t="s">
        <v>3515</v>
      </c>
      <c r="C36" t="s">
        <v>3510</v>
      </c>
      <c r="D36" t="s">
        <v>4562</v>
      </c>
      <c r="E36" t="s">
        <v>4563</v>
      </c>
      <c r="F36" t="s">
        <v>90</v>
      </c>
      <c r="G36" t="s">
        <v>4564</v>
      </c>
      <c r="H36" t="s">
        <v>4565</v>
      </c>
      <c r="I36" t="s">
        <v>3459</v>
      </c>
      <c r="J36" t="s">
        <v>4566</v>
      </c>
    </row>
    <row r="37" spans="1:10" ht="15" customHeight="1" x14ac:dyDescent="0.25">
      <c r="A37" t="s">
        <v>4567</v>
      </c>
      <c r="B37" t="s">
        <v>3503</v>
      </c>
      <c r="C37" t="s">
        <v>4568</v>
      </c>
      <c r="D37" t="s">
        <v>4569</v>
      </c>
      <c r="E37" t="s">
        <v>4570</v>
      </c>
      <c r="F37" t="s">
        <v>160</v>
      </c>
      <c r="G37" t="s">
        <v>4571</v>
      </c>
      <c r="H37" t="s">
        <v>4572</v>
      </c>
      <c r="I37" t="s">
        <v>3459</v>
      </c>
      <c r="J37" t="s">
        <v>4460</v>
      </c>
    </row>
    <row r="38" spans="1:10" ht="15" customHeight="1" x14ac:dyDescent="0.25">
      <c r="A38" t="s">
        <v>4573</v>
      </c>
      <c r="B38" t="s">
        <v>3515</v>
      </c>
      <c r="C38" t="s">
        <v>3580</v>
      </c>
      <c r="D38" t="s">
        <v>4574</v>
      </c>
      <c r="F38" t="s">
        <v>160</v>
      </c>
      <c r="G38" t="s">
        <v>4575</v>
      </c>
      <c r="H38" t="s">
        <v>4576</v>
      </c>
      <c r="I38" t="s">
        <v>3459</v>
      </c>
      <c r="J38" t="s">
        <v>3451</v>
      </c>
    </row>
    <row r="39" spans="1:10" ht="15" customHeight="1" x14ac:dyDescent="0.25">
      <c r="A39" t="s">
        <v>4577</v>
      </c>
      <c r="B39" t="s">
        <v>3515</v>
      </c>
      <c r="C39" t="s">
        <v>3510</v>
      </c>
      <c r="D39" t="s">
        <v>4578</v>
      </c>
      <c r="E39" t="s">
        <v>4579</v>
      </c>
      <c r="F39" t="s">
        <v>1129</v>
      </c>
      <c r="G39" t="s">
        <v>4580</v>
      </c>
      <c r="H39" t="s">
        <v>4581</v>
      </c>
      <c r="I39" t="s">
        <v>3459</v>
      </c>
      <c r="J39" t="s">
        <v>4582</v>
      </c>
    </row>
    <row r="40" spans="1:10" ht="15" customHeight="1" x14ac:dyDescent="0.25">
      <c r="A40" t="s">
        <v>4583</v>
      </c>
      <c r="B40" t="s">
        <v>3515</v>
      </c>
      <c r="C40" t="s">
        <v>4429</v>
      </c>
      <c r="D40" t="s">
        <v>4584</v>
      </c>
      <c r="E40" t="s">
        <v>4585</v>
      </c>
      <c r="F40" t="s">
        <v>1621</v>
      </c>
      <c r="H40" t="s">
        <v>4583</v>
      </c>
      <c r="I40" t="s">
        <v>3459</v>
      </c>
      <c r="J40" t="s">
        <v>4460</v>
      </c>
    </row>
    <row r="41" spans="1:10" ht="15" customHeight="1" x14ac:dyDescent="0.25">
      <c r="A41" t="s">
        <v>4586</v>
      </c>
      <c r="B41" t="s">
        <v>41</v>
      </c>
      <c r="C41" t="s">
        <v>4509</v>
      </c>
      <c r="D41" t="s">
        <v>4587</v>
      </c>
      <c r="E41" t="s">
        <v>4588</v>
      </c>
      <c r="F41" t="s">
        <v>1649</v>
      </c>
      <c r="G41" t="s">
        <v>4512</v>
      </c>
      <c r="H41" t="s">
        <v>4589</v>
      </c>
      <c r="I41" t="s">
        <v>3459</v>
      </c>
      <c r="J41" t="s">
        <v>3521</v>
      </c>
    </row>
    <row r="42" spans="1:10" ht="15" customHeight="1" x14ac:dyDescent="0.25">
      <c r="A42" t="s">
        <v>4590</v>
      </c>
      <c r="B42" t="s">
        <v>3503</v>
      </c>
      <c r="C42" t="s">
        <v>3510</v>
      </c>
      <c r="D42" t="s">
        <v>4591</v>
      </c>
      <c r="E42" t="s">
        <v>4592</v>
      </c>
      <c r="F42" t="s">
        <v>2804</v>
      </c>
      <c r="G42" t="s">
        <v>4453</v>
      </c>
      <c r="H42" t="s">
        <v>4590</v>
      </c>
      <c r="I42" t="s">
        <v>3459</v>
      </c>
      <c r="J42" t="s">
        <v>4460</v>
      </c>
    </row>
    <row r="43" spans="1:10" ht="15" customHeight="1" x14ac:dyDescent="0.25">
      <c r="A43" t="s">
        <v>4593</v>
      </c>
      <c r="B43" t="s">
        <v>3503</v>
      </c>
      <c r="C43" t="s">
        <v>3510</v>
      </c>
      <c r="D43" t="s">
        <v>4594</v>
      </c>
      <c r="E43" t="s">
        <v>4595</v>
      </c>
      <c r="F43" t="s">
        <v>90</v>
      </c>
      <c r="G43" t="s">
        <v>4596</v>
      </c>
      <c r="H43" t="s">
        <v>4597</v>
      </c>
      <c r="I43" t="s">
        <v>3459</v>
      </c>
      <c r="J43" t="s">
        <v>4598</v>
      </c>
    </row>
    <row r="44" spans="1:10" ht="15" customHeight="1" x14ac:dyDescent="0.25">
      <c r="A44" t="s">
        <v>4599</v>
      </c>
      <c r="B44" t="s">
        <v>3503</v>
      </c>
      <c r="C44" t="s">
        <v>3510</v>
      </c>
      <c r="D44" t="s">
        <v>4600</v>
      </c>
      <c r="E44" t="s">
        <v>4601</v>
      </c>
      <c r="F44" t="s">
        <v>1649</v>
      </c>
      <c r="G44" t="s">
        <v>4602</v>
      </c>
      <c r="H44" t="s">
        <v>4603</v>
      </c>
      <c r="I44" t="s">
        <v>3459</v>
      </c>
      <c r="J44" t="s">
        <v>4460</v>
      </c>
    </row>
    <row r="45" spans="1:10" ht="15" customHeight="1" x14ac:dyDescent="0.25">
      <c r="A45" t="s">
        <v>4604</v>
      </c>
      <c r="B45" t="s">
        <v>3515</v>
      </c>
      <c r="C45" t="s">
        <v>3510</v>
      </c>
      <c r="D45" t="s">
        <v>4605</v>
      </c>
      <c r="E45" t="s">
        <v>4606</v>
      </c>
      <c r="F45" t="s">
        <v>2804</v>
      </c>
      <c r="G45" t="s">
        <v>4607</v>
      </c>
      <c r="H45" t="s">
        <v>4608</v>
      </c>
      <c r="I45" t="s">
        <v>3459</v>
      </c>
      <c r="J45" t="s">
        <v>3521</v>
      </c>
    </row>
    <row r="46" spans="1:10" ht="15" customHeight="1" x14ac:dyDescent="0.25">
      <c r="A46" t="s">
        <v>4609</v>
      </c>
      <c r="B46" t="s">
        <v>41</v>
      </c>
      <c r="C46" t="s">
        <v>3524</v>
      </c>
      <c r="D46" t="s">
        <v>4610</v>
      </c>
      <c r="E46" t="s">
        <v>4611</v>
      </c>
      <c r="F46" t="s">
        <v>2136</v>
      </c>
      <c r="G46" t="s">
        <v>4612</v>
      </c>
      <c r="H46" t="s">
        <v>4613</v>
      </c>
      <c r="I46" t="s">
        <v>3459</v>
      </c>
      <c r="J46" t="s">
        <v>3521</v>
      </c>
    </row>
    <row r="47" spans="1:10" ht="15" customHeight="1" x14ac:dyDescent="0.25">
      <c r="A47" t="s">
        <v>4614</v>
      </c>
      <c r="B47" t="s">
        <v>3515</v>
      </c>
      <c r="C47" t="s">
        <v>3510</v>
      </c>
      <c r="D47" t="s">
        <v>4615</v>
      </c>
      <c r="E47" t="s">
        <v>4616</v>
      </c>
      <c r="F47" t="s">
        <v>90</v>
      </c>
      <c r="G47" t="s">
        <v>4617</v>
      </c>
      <c r="H47" t="s">
        <v>4618</v>
      </c>
      <c r="I47" t="s">
        <v>3459</v>
      </c>
      <c r="J47" t="s">
        <v>3578</v>
      </c>
    </row>
    <row r="48" spans="1:10" ht="15" customHeight="1" x14ac:dyDescent="0.25">
      <c r="A48" t="s">
        <v>4619</v>
      </c>
      <c r="B48" t="s">
        <v>3515</v>
      </c>
      <c r="C48" t="s">
        <v>3510</v>
      </c>
      <c r="D48" t="s">
        <v>4620</v>
      </c>
      <c r="E48" t="s">
        <v>4621</v>
      </c>
      <c r="F48" t="s">
        <v>2506</v>
      </c>
      <c r="G48" t="s">
        <v>4622</v>
      </c>
      <c r="H48" t="s">
        <v>4619</v>
      </c>
      <c r="I48" t="s">
        <v>3459</v>
      </c>
      <c r="J48" t="s">
        <v>3513</v>
      </c>
    </row>
    <row r="49" spans="1:10" ht="15" customHeight="1" x14ac:dyDescent="0.25">
      <c r="A49" t="s">
        <v>4623</v>
      </c>
      <c r="B49" t="s">
        <v>3503</v>
      </c>
      <c r="C49" t="s">
        <v>3510</v>
      </c>
      <c r="D49" t="s">
        <v>4624</v>
      </c>
      <c r="E49" t="s">
        <v>4625</v>
      </c>
      <c r="F49" t="s">
        <v>90</v>
      </c>
      <c r="G49" t="s">
        <v>264</v>
      </c>
      <c r="H49" t="s">
        <v>4623</v>
      </c>
      <c r="I49" t="s">
        <v>3459</v>
      </c>
      <c r="J49" t="s">
        <v>3513</v>
      </c>
    </row>
    <row r="50" spans="1:10" ht="15" customHeight="1" x14ac:dyDescent="0.25">
      <c r="A50" t="s">
        <v>4626</v>
      </c>
      <c r="B50" t="s">
        <v>41</v>
      </c>
      <c r="C50" t="s">
        <v>3524</v>
      </c>
      <c r="D50" t="s">
        <v>4627</v>
      </c>
      <c r="E50" t="s">
        <v>4628</v>
      </c>
      <c r="F50" t="s">
        <v>160</v>
      </c>
      <c r="G50" t="s">
        <v>4629</v>
      </c>
      <c r="H50" t="s">
        <v>4630</v>
      </c>
      <c r="I50" t="s">
        <v>3459</v>
      </c>
      <c r="J50" t="s">
        <v>3521</v>
      </c>
    </row>
    <row r="51" spans="1:10" ht="15" customHeight="1" x14ac:dyDescent="0.25">
      <c r="A51" t="s">
        <v>4631</v>
      </c>
      <c r="B51" t="s">
        <v>3503</v>
      </c>
      <c r="C51" t="s">
        <v>3510</v>
      </c>
      <c r="D51" t="s">
        <v>4632</v>
      </c>
      <c r="E51" t="s">
        <v>4633</v>
      </c>
      <c r="F51" t="s">
        <v>1129</v>
      </c>
      <c r="G51" t="s">
        <v>4634</v>
      </c>
      <c r="H51" t="s">
        <v>4635</v>
      </c>
      <c r="I51" t="s">
        <v>3459</v>
      </c>
      <c r="J51" t="s">
        <v>4636</v>
      </c>
    </row>
    <row r="52" spans="1:10" ht="15" customHeight="1" x14ac:dyDescent="0.25">
      <c r="A52" t="s">
        <v>4637</v>
      </c>
      <c r="B52" t="s">
        <v>3515</v>
      </c>
      <c r="C52" t="s">
        <v>3510</v>
      </c>
      <c r="D52" t="s">
        <v>4638</v>
      </c>
      <c r="E52" t="s">
        <v>4639</v>
      </c>
      <c r="F52" t="s">
        <v>90</v>
      </c>
      <c r="H52" t="s">
        <v>4640</v>
      </c>
      <c r="I52" t="s">
        <v>3459</v>
      </c>
      <c r="J52" t="s">
        <v>4641</v>
      </c>
    </row>
    <row r="53" spans="1:10" ht="15" customHeight="1" x14ac:dyDescent="0.25">
      <c r="A53" t="s">
        <v>4642</v>
      </c>
      <c r="B53" t="s">
        <v>3503</v>
      </c>
      <c r="C53" t="s">
        <v>3524</v>
      </c>
      <c r="D53" t="s">
        <v>4643</v>
      </c>
      <c r="E53" t="s">
        <v>4644</v>
      </c>
      <c r="F53" t="s">
        <v>497</v>
      </c>
      <c r="G53" t="s">
        <v>4645</v>
      </c>
      <c r="H53" t="s">
        <v>4642</v>
      </c>
      <c r="I53" t="s">
        <v>3459</v>
      </c>
      <c r="J53" t="s">
        <v>3521</v>
      </c>
    </row>
    <row r="54" spans="1:10" ht="15" customHeight="1" x14ac:dyDescent="0.25">
      <c r="A54" t="s">
        <v>4646</v>
      </c>
      <c r="B54" t="s">
        <v>41</v>
      </c>
      <c r="C54" t="s">
        <v>4568</v>
      </c>
      <c r="D54" t="s">
        <v>4647</v>
      </c>
      <c r="E54" t="s">
        <v>4648</v>
      </c>
      <c r="F54" t="s">
        <v>90</v>
      </c>
      <c r="G54" t="s">
        <v>4649</v>
      </c>
      <c r="H54" t="s">
        <v>4650</v>
      </c>
      <c r="I54" t="s">
        <v>3459</v>
      </c>
      <c r="J54" t="s">
        <v>4534</v>
      </c>
    </row>
    <row r="55" spans="1:10" ht="15" customHeight="1" x14ac:dyDescent="0.25">
      <c r="A55" t="s">
        <v>4651</v>
      </c>
      <c r="B55" t="s">
        <v>3515</v>
      </c>
      <c r="C55" t="s">
        <v>3510</v>
      </c>
      <c r="D55" t="s">
        <v>4652</v>
      </c>
      <c r="E55" t="s">
        <v>4653</v>
      </c>
      <c r="F55" t="s">
        <v>160</v>
      </c>
      <c r="G55" t="s">
        <v>4654</v>
      </c>
      <c r="H55" t="s">
        <v>4655</v>
      </c>
      <c r="I55" t="s">
        <v>3459</v>
      </c>
      <c r="J55" t="s">
        <v>3578</v>
      </c>
    </row>
    <row r="56" spans="1:10" ht="15" customHeight="1" x14ac:dyDescent="0.25">
      <c r="A56" t="s">
        <v>3598</v>
      </c>
      <c r="B56" t="s">
        <v>41</v>
      </c>
      <c r="C56" t="s">
        <v>3516</v>
      </c>
      <c r="D56" t="s">
        <v>4656</v>
      </c>
      <c r="E56" t="s">
        <v>4657</v>
      </c>
      <c r="F56" t="s">
        <v>2804</v>
      </c>
      <c r="G56" t="s">
        <v>3600</v>
      </c>
      <c r="H56" t="s">
        <v>3601</v>
      </c>
      <c r="I56" t="s">
        <v>3459</v>
      </c>
      <c r="J56" t="s">
        <v>3442</v>
      </c>
    </row>
    <row r="57" spans="1:10" ht="15" customHeight="1" x14ac:dyDescent="0.25">
      <c r="A57" t="s">
        <v>4658</v>
      </c>
      <c r="B57" t="s">
        <v>3726</v>
      </c>
      <c r="C57" t="s">
        <v>3510</v>
      </c>
      <c r="D57" t="s">
        <v>4659</v>
      </c>
      <c r="E57" t="s">
        <v>4660</v>
      </c>
      <c r="F57" t="s">
        <v>160</v>
      </c>
      <c r="G57" t="s">
        <v>4661</v>
      </c>
      <c r="H57" t="s">
        <v>4662</v>
      </c>
      <c r="I57" t="s">
        <v>3459</v>
      </c>
      <c r="J57" t="s">
        <v>3513</v>
      </c>
    </row>
    <row r="58" spans="1:10" ht="15" customHeight="1" x14ac:dyDescent="0.25">
      <c r="A58" t="s">
        <v>4663</v>
      </c>
      <c r="B58" t="s">
        <v>3515</v>
      </c>
      <c r="C58" t="s">
        <v>3510</v>
      </c>
      <c r="D58" t="s">
        <v>4664</v>
      </c>
      <c r="E58" t="s">
        <v>4665</v>
      </c>
      <c r="F58" t="s">
        <v>90</v>
      </c>
      <c r="G58" t="s">
        <v>3512</v>
      </c>
      <c r="H58" t="s">
        <v>4666</v>
      </c>
      <c r="I58" t="s">
        <v>3459</v>
      </c>
      <c r="J58" t="s">
        <v>3513</v>
      </c>
    </row>
    <row r="59" spans="1:10" ht="15" customHeight="1" x14ac:dyDescent="0.25">
      <c r="A59" t="s">
        <v>4667</v>
      </c>
      <c r="B59" t="s">
        <v>3503</v>
      </c>
      <c r="C59" t="s">
        <v>3510</v>
      </c>
      <c r="D59" t="s">
        <v>4668</v>
      </c>
      <c r="E59" t="s">
        <v>4669</v>
      </c>
      <c r="F59" t="s">
        <v>90</v>
      </c>
      <c r="G59" t="s">
        <v>264</v>
      </c>
      <c r="H59" t="s">
        <v>4670</v>
      </c>
      <c r="I59" t="s">
        <v>3459</v>
      </c>
      <c r="J59" t="s">
        <v>4534</v>
      </c>
    </row>
    <row r="60" spans="1:10" ht="15" customHeight="1" x14ac:dyDescent="0.25">
      <c r="A60" t="s">
        <v>4671</v>
      </c>
      <c r="B60" t="s">
        <v>3503</v>
      </c>
      <c r="C60" t="s">
        <v>3510</v>
      </c>
      <c r="D60" t="s">
        <v>4672</v>
      </c>
      <c r="E60" t="s">
        <v>4673</v>
      </c>
      <c r="F60" t="s">
        <v>1649</v>
      </c>
      <c r="G60" t="s">
        <v>4674</v>
      </c>
      <c r="H60" t="s">
        <v>4675</v>
      </c>
      <c r="I60" t="s">
        <v>3459</v>
      </c>
      <c r="J60" t="s">
        <v>4474</v>
      </c>
    </row>
    <row r="61" spans="1:10" ht="15" customHeight="1" x14ac:dyDescent="0.25">
      <c r="A61" t="s">
        <v>4676</v>
      </c>
      <c r="B61" t="s">
        <v>41</v>
      </c>
      <c r="C61" t="s">
        <v>4450</v>
      </c>
      <c r="D61" t="s">
        <v>4677</v>
      </c>
      <c r="E61" t="s">
        <v>4678</v>
      </c>
      <c r="F61" t="s">
        <v>497</v>
      </c>
      <c r="G61" t="s">
        <v>264</v>
      </c>
      <c r="H61" t="s">
        <v>4676</v>
      </c>
      <c r="I61" t="s">
        <v>3459</v>
      </c>
      <c r="J61" t="s">
        <v>3442</v>
      </c>
    </row>
    <row r="62" spans="1:10" ht="15" customHeight="1" x14ac:dyDescent="0.25">
      <c r="A62" t="s">
        <v>4679</v>
      </c>
      <c r="B62" t="s">
        <v>3503</v>
      </c>
      <c r="C62" t="s">
        <v>3510</v>
      </c>
      <c r="D62" t="s">
        <v>4680</v>
      </c>
      <c r="E62" t="s">
        <v>4681</v>
      </c>
      <c r="F62" t="s">
        <v>160</v>
      </c>
      <c r="H62" t="s">
        <v>4682</v>
      </c>
      <c r="I62" t="s">
        <v>3459</v>
      </c>
      <c r="J62" t="s">
        <v>4683</v>
      </c>
    </row>
    <row r="63" spans="1:10" ht="15" customHeight="1" x14ac:dyDescent="0.25">
      <c r="A63" t="s">
        <v>4684</v>
      </c>
      <c r="B63" t="s">
        <v>3503</v>
      </c>
      <c r="C63" t="s">
        <v>3510</v>
      </c>
      <c r="D63" t="s">
        <v>4685</v>
      </c>
      <c r="E63" t="s">
        <v>4686</v>
      </c>
      <c r="F63" t="s">
        <v>1649</v>
      </c>
      <c r="G63" t="s">
        <v>4687</v>
      </c>
      <c r="H63" t="s">
        <v>4688</v>
      </c>
      <c r="I63" t="s">
        <v>3459</v>
      </c>
      <c r="J63" t="s">
        <v>4474</v>
      </c>
    </row>
    <row r="64" spans="1:10" ht="15" customHeight="1" x14ac:dyDescent="0.25">
      <c r="A64" t="s">
        <v>4689</v>
      </c>
      <c r="B64" t="s">
        <v>3515</v>
      </c>
      <c r="C64" t="s">
        <v>3524</v>
      </c>
      <c r="D64" t="s">
        <v>4690</v>
      </c>
      <c r="E64" t="s">
        <v>4691</v>
      </c>
      <c r="F64" t="s">
        <v>2136</v>
      </c>
      <c r="G64" t="s">
        <v>4692</v>
      </c>
      <c r="H64" t="s">
        <v>4693</v>
      </c>
      <c r="I64" t="s">
        <v>3459</v>
      </c>
      <c r="J64" t="s">
        <v>3442</v>
      </c>
    </row>
    <row r="65" spans="1:10" ht="15" customHeight="1" x14ac:dyDescent="0.25">
      <c r="A65" t="s">
        <v>4694</v>
      </c>
      <c r="B65" t="s">
        <v>41</v>
      </c>
      <c r="C65" t="s">
        <v>4429</v>
      </c>
      <c r="D65" t="s">
        <v>4695</v>
      </c>
      <c r="E65" t="s">
        <v>4696</v>
      </c>
      <c r="F65" t="s">
        <v>1046</v>
      </c>
      <c r="G65" t="s">
        <v>3883</v>
      </c>
      <c r="H65" t="s">
        <v>4697</v>
      </c>
      <c r="I65" t="s">
        <v>3459</v>
      </c>
      <c r="J65" t="s">
        <v>4460</v>
      </c>
    </row>
    <row r="66" spans="1:10" ht="15" customHeight="1" x14ac:dyDescent="0.25">
      <c r="A66" t="s">
        <v>4698</v>
      </c>
      <c r="B66" t="s">
        <v>3515</v>
      </c>
      <c r="C66" t="s">
        <v>4450</v>
      </c>
      <c r="D66" t="s">
        <v>4699</v>
      </c>
      <c r="E66" t="s">
        <v>4700</v>
      </c>
      <c r="F66" t="s">
        <v>501</v>
      </c>
      <c r="G66" t="s">
        <v>4701</v>
      </c>
      <c r="H66" t="s">
        <v>4702</v>
      </c>
      <c r="I66" t="s">
        <v>3459</v>
      </c>
      <c r="J66" t="s">
        <v>4460</v>
      </c>
    </row>
    <row r="67" spans="1:10" ht="15" customHeight="1" x14ac:dyDescent="0.25">
      <c r="A67" t="s">
        <v>4703</v>
      </c>
      <c r="B67" t="s">
        <v>41</v>
      </c>
      <c r="C67" t="s">
        <v>4429</v>
      </c>
      <c r="D67" t="s">
        <v>4704</v>
      </c>
      <c r="E67" t="s">
        <v>4705</v>
      </c>
      <c r="F67" t="s">
        <v>1046</v>
      </c>
      <c r="G67" t="s">
        <v>3883</v>
      </c>
      <c r="H67" t="s">
        <v>4706</v>
      </c>
      <c r="I67" t="s">
        <v>3459</v>
      </c>
      <c r="J67" t="s">
        <v>4460</v>
      </c>
    </row>
    <row r="68" spans="1:10" ht="15" customHeight="1" x14ac:dyDescent="0.25">
      <c r="A68" t="s">
        <v>4707</v>
      </c>
      <c r="B68" t="s">
        <v>41</v>
      </c>
      <c r="C68" t="s">
        <v>3524</v>
      </c>
      <c r="D68" t="s">
        <v>4121</v>
      </c>
      <c r="E68" t="s">
        <v>4708</v>
      </c>
      <c r="F68" t="s">
        <v>160</v>
      </c>
      <c r="H68" t="s">
        <v>4709</v>
      </c>
      <c r="I68" t="s">
        <v>3459</v>
      </c>
      <c r="J68" t="s">
        <v>3521</v>
      </c>
    </row>
    <row r="69" spans="1:10" ht="15" customHeight="1" x14ac:dyDescent="0.25">
      <c r="A69" t="s">
        <v>3629</v>
      </c>
      <c r="B69" t="s">
        <v>41</v>
      </c>
      <c r="C69" t="s">
        <v>3516</v>
      </c>
      <c r="D69" t="s">
        <v>4710</v>
      </c>
      <c r="E69" t="s">
        <v>4711</v>
      </c>
      <c r="F69" t="s">
        <v>160</v>
      </c>
      <c r="G69" t="s">
        <v>264</v>
      </c>
      <c r="H69" t="s">
        <v>3629</v>
      </c>
      <c r="I69" t="s">
        <v>3459</v>
      </c>
      <c r="J69" t="s">
        <v>3442</v>
      </c>
    </row>
    <row r="70" spans="1:10" ht="15" customHeight="1" x14ac:dyDescent="0.25">
      <c r="A70" t="s">
        <v>3632</v>
      </c>
      <c r="B70" t="s">
        <v>3503</v>
      </c>
      <c r="C70" t="s">
        <v>3516</v>
      </c>
      <c r="D70" t="s">
        <v>4712</v>
      </c>
      <c r="E70" t="s">
        <v>4713</v>
      </c>
      <c r="F70" t="s">
        <v>90</v>
      </c>
      <c r="G70" t="s">
        <v>3635</v>
      </c>
      <c r="H70" t="s">
        <v>3632</v>
      </c>
      <c r="I70" t="s">
        <v>3459</v>
      </c>
      <c r="J70" t="s">
        <v>3442</v>
      </c>
    </row>
    <row r="71" spans="1:10" ht="15" customHeight="1" x14ac:dyDescent="0.25">
      <c r="A71" t="s">
        <v>3636</v>
      </c>
      <c r="B71" t="s">
        <v>3515</v>
      </c>
      <c r="C71" t="s">
        <v>3510</v>
      </c>
      <c r="D71" t="s">
        <v>4714</v>
      </c>
      <c r="E71" t="s">
        <v>4715</v>
      </c>
      <c r="F71" t="s">
        <v>90</v>
      </c>
      <c r="G71" t="s">
        <v>3639</v>
      </c>
      <c r="H71" t="s">
        <v>3640</v>
      </c>
      <c r="I71" t="s">
        <v>3459</v>
      </c>
      <c r="J71" t="s">
        <v>3442</v>
      </c>
    </row>
    <row r="72" spans="1:10" ht="15" customHeight="1" x14ac:dyDescent="0.25">
      <c r="A72" t="s">
        <v>4716</v>
      </c>
      <c r="B72" t="s">
        <v>3515</v>
      </c>
      <c r="C72" t="s">
        <v>3510</v>
      </c>
      <c r="D72" t="s">
        <v>4717</v>
      </c>
      <c r="E72" t="s">
        <v>4718</v>
      </c>
      <c r="F72" t="s">
        <v>90</v>
      </c>
      <c r="H72" t="s">
        <v>4719</v>
      </c>
      <c r="I72" t="s">
        <v>3459</v>
      </c>
      <c r="J72" t="s">
        <v>4460</v>
      </c>
    </row>
    <row r="73" spans="1:10" ht="15" customHeight="1" x14ac:dyDescent="0.25">
      <c r="A73" t="s">
        <v>4720</v>
      </c>
      <c r="B73" t="s">
        <v>3515</v>
      </c>
      <c r="C73" t="s">
        <v>3510</v>
      </c>
      <c r="D73" t="s">
        <v>4721</v>
      </c>
      <c r="E73" t="s">
        <v>4722</v>
      </c>
      <c r="F73" t="s">
        <v>1649</v>
      </c>
      <c r="G73" t="s">
        <v>4723</v>
      </c>
      <c r="H73" t="s">
        <v>4724</v>
      </c>
      <c r="I73" t="s">
        <v>3459</v>
      </c>
      <c r="J73" t="s">
        <v>3513</v>
      </c>
    </row>
    <row r="74" spans="1:10" ht="15" customHeight="1" x14ac:dyDescent="0.25">
      <c r="A74" t="s">
        <v>4725</v>
      </c>
      <c r="B74" t="s">
        <v>3515</v>
      </c>
      <c r="C74" t="s">
        <v>3510</v>
      </c>
      <c r="D74" t="s">
        <v>4726</v>
      </c>
      <c r="E74" t="s">
        <v>4727</v>
      </c>
      <c r="F74" t="s">
        <v>90</v>
      </c>
      <c r="G74" t="s">
        <v>4617</v>
      </c>
      <c r="H74" t="s">
        <v>4728</v>
      </c>
      <c r="I74" t="s">
        <v>3459</v>
      </c>
      <c r="J74" t="s">
        <v>3578</v>
      </c>
    </row>
    <row r="75" spans="1:10" ht="15" customHeight="1" x14ac:dyDescent="0.25">
      <c r="A75" t="s">
        <v>4729</v>
      </c>
      <c r="B75" t="s">
        <v>3515</v>
      </c>
      <c r="C75" t="s">
        <v>3524</v>
      </c>
      <c r="D75" t="s">
        <v>4730</v>
      </c>
      <c r="E75" t="s">
        <v>4731</v>
      </c>
      <c r="F75" t="s">
        <v>160</v>
      </c>
      <c r="H75" t="s">
        <v>4732</v>
      </c>
      <c r="I75" t="s">
        <v>3459</v>
      </c>
      <c r="J75" t="s">
        <v>3521</v>
      </c>
    </row>
    <row r="76" spans="1:10" ht="15" customHeight="1" x14ac:dyDescent="0.25">
      <c r="A76" t="s">
        <v>4733</v>
      </c>
      <c r="B76" t="s">
        <v>3503</v>
      </c>
      <c r="C76" t="s">
        <v>3510</v>
      </c>
      <c r="D76" t="s">
        <v>4734</v>
      </c>
      <c r="E76" t="s">
        <v>4735</v>
      </c>
      <c r="F76" t="s">
        <v>90</v>
      </c>
      <c r="G76" t="s">
        <v>4736</v>
      </c>
      <c r="H76" t="s">
        <v>4737</v>
      </c>
      <c r="I76" t="s">
        <v>3459</v>
      </c>
      <c r="J76" t="s">
        <v>4738</v>
      </c>
    </row>
    <row r="77" spans="1:10" ht="15" customHeight="1" x14ac:dyDescent="0.25">
      <c r="A77" t="s">
        <v>4739</v>
      </c>
      <c r="B77" t="s">
        <v>41</v>
      </c>
      <c r="C77" t="s">
        <v>4568</v>
      </c>
      <c r="D77" t="s">
        <v>4740</v>
      </c>
      <c r="E77" t="s">
        <v>4741</v>
      </c>
      <c r="F77" t="s">
        <v>90</v>
      </c>
      <c r="G77" t="s">
        <v>4742</v>
      </c>
      <c r="H77" t="s">
        <v>4739</v>
      </c>
      <c r="I77" t="s">
        <v>3459</v>
      </c>
      <c r="J77" t="s">
        <v>4743</v>
      </c>
    </row>
    <row r="78" spans="1:10" ht="15" customHeight="1" x14ac:dyDescent="0.25">
      <c r="A78" t="s">
        <v>3656</v>
      </c>
      <c r="B78" t="s">
        <v>41</v>
      </c>
      <c r="C78" t="s">
        <v>3524</v>
      </c>
      <c r="D78" t="s">
        <v>4744</v>
      </c>
      <c r="E78" t="s">
        <v>4745</v>
      </c>
      <c r="F78" t="s">
        <v>90</v>
      </c>
      <c r="G78" t="s">
        <v>3660</v>
      </c>
      <c r="H78" t="s">
        <v>3661</v>
      </c>
      <c r="I78" t="s">
        <v>3459</v>
      </c>
      <c r="J78" t="s">
        <v>3521</v>
      </c>
    </row>
    <row r="79" spans="1:10" ht="15" customHeight="1" x14ac:dyDescent="0.25">
      <c r="A79" t="s">
        <v>4746</v>
      </c>
      <c r="B79" t="s">
        <v>3503</v>
      </c>
      <c r="C79" t="s">
        <v>3516</v>
      </c>
      <c r="D79" t="s">
        <v>4747</v>
      </c>
      <c r="E79" t="s">
        <v>4748</v>
      </c>
      <c r="F79" t="s">
        <v>90</v>
      </c>
      <c r="G79" t="s">
        <v>4654</v>
      </c>
      <c r="H79" t="s">
        <v>4749</v>
      </c>
      <c r="I79" t="s">
        <v>3459</v>
      </c>
      <c r="J79" t="s">
        <v>3578</v>
      </c>
    </row>
    <row r="80" spans="1:10" ht="15" customHeight="1" x14ac:dyDescent="0.25">
      <c r="A80" t="s">
        <v>4750</v>
      </c>
      <c r="B80" t="s">
        <v>3515</v>
      </c>
      <c r="C80" t="s">
        <v>4568</v>
      </c>
      <c r="D80" t="s">
        <v>4751</v>
      </c>
      <c r="E80" t="s">
        <v>4752</v>
      </c>
      <c r="F80" t="s">
        <v>90</v>
      </c>
      <c r="G80" t="s">
        <v>4753</v>
      </c>
      <c r="H80" t="s">
        <v>4754</v>
      </c>
      <c r="I80" t="s">
        <v>3459</v>
      </c>
      <c r="J80" t="s">
        <v>3513</v>
      </c>
    </row>
    <row r="81" spans="1:10" ht="15" customHeight="1" x14ac:dyDescent="0.25">
      <c r="A81" t="s">
        <v>4755</v>
      </c>
      <c r="B81" t="s">
        <v>3503</v>
      </c>
      <c r="C81" t="s">
        <v>3541</v>
      </c>
      <c r="D81" t="s">
        <v>4756</v>
      </c>
      <c r="E81" t="s">
        <v>4757</v>
      </c>
      <c r="F81" t="s">
        <v>497</v>
      </c>
      <c r="H81" t="s">
        <v>4755</v>
      </c>
      <c r="I81" t="s">
        <v>3459</v>
      </c>
      <c r="J81" t="s">
        <v>3707</v>
      </c>
    </row>
    <row r="82" spans="1:10" ht="15" customHeight="1" x14ac:dyDescent="0.25">
      <c r="A82" t="s">
        <v>4758</v>
      </c>
      <c r="B82" t="s">
        <v>3503</v>
      </c>
      <c r="C82" t="s">
        <v>4450</v>
      </c>
      <c r="D82" t="s">
        <v>4759</v>
      </c>
      <c r="E82" t="s">
        <v>4760</v>
      </c>
      <c r="F82" t="s">
        <v>1649</v>
      </c>
      <c r="G82" t="s">
        <v>4761</v>
      </c>
      <c r="H82" t="s">
        <v>4762</v>
      </c>
      <c r="I82" t="s">
        <v>3459</v>
      </c>
      <c r="J82" t="s">
        <v>3521</v>
      </c>
    </row>
    <row r="83" spans="1:10" ht="15" customHeight="1" x14ac:dyDescent="0.25">
      <c r="A83" t="s">
        <v>4763</v>
      </c>
      <c r="B83" t="s">
        <v>41</v>
      </c>
      <c r="C83" t="s">
        <v>4568</v>
      </c>
      <c r="D83" t="s">
        <v>4764</v>
      </c>
      <c r="E83" t="s">
        <v>4765</v>
      </c>
      <c r="F83" t="s">
        <v>90</v>
      </c>
      <c r="H83" t="s">
        <v>4766</v>
      </c>
      <c r="I83" t="s">
        <v>3459</v>
      </c>
      <c r="J83" t="s">
        <v>4460</v>
      </c>
    </row>
    <row r="84" spans="1:10" ht="15" customHeight="1" x14ac:dyDescent="0.25">
      <c r="A84" t="s">
        <v>4767</v>
      </c>
      <c r="B84" t="s">
        <v>41</v>
      </c>
      <c r="C84" t="s">
        <v>4509</v>
      </c>
      <c r="D84" t="s">
        <v>4768</v>
      </c>
      <c r="E84" t="s">
        <v>4769</v>
      </c>
      <c r="F84" t="s">
        <v>1649</v>
      </c>
      <c r="G84" t="s">
        <v>4512</v>
      </c>
      <c r="H84" t="s">
        <v>4767</v>
      </c>
      <c r="I84" t="s">
        <v>3459</v>
      </c>
      <c r="J84" t="s">
        <v>3513</v>
      </c>
    </row>
    <row r="85" spans="1:10" ht="15" customHeight="1" x14ac:dyDescent="0.25">
      <c r="A85" t="s">
        <v>4770</v>
      </c>
      <c r="B85" t="s">
        <v>41</v>
      </c>
      <c r="C85" t="s">
        <v>3510</v>
      </c>
      <c r="D85" t="s">
        <v>4771</v>
      </c>
      <c r="E85" t="s">
        <v>4772</v>
      </c>
      <c r="F85" t="s">
        <v>1322</v>
      </c>
      <c r="H85" t="s">
        <v>4773</v>
      </c>
      <c r="I85" t="s">
        <v>3459</v>
      </c>
      <c r="J85" t="s">
        <v>4774</v>
      </c>
    </row>
    <row r="86" spans="1:10" ht="15" customHeight="1" x14ac:dyDescent="0.25">
      <c r="A86" t="s">
        <v>4775</v>
      </c>
      <c r="B86" t="s">
        <v>3503</v>
      </c>
      <c r="C86" t="s">
        <v>3524</v>
      </c>
      <c r="D86" t="s">
        <v>4776</v>
      </c>
      <c r="E86" t="s">
        <v>4777</v>
      </c>
      <c r="F86" t="s">
        <v>90</v>
      </c>
      <c r="G86" t="s">
        <v>3660</v>
      </c>
      <c r="H86" t="s">
        <v>3665</v>
      </c>
      <c r="I86" t="s">
        <v>3459</v>
      </c>
      <c r="J86" t="s">
        <v>4534</v>
      </c>
    </row>
    <row r="87" spans="1:10" ht="15" customHeight="1" x14ac:dyDescent="0.25">
      <c r="A87" t="s">
        <v>4778</v>
      </c>
      <c r="B87" t="s">
        <v>3503</v>
      </c>
      <c r="C87" t="s">
        <v>3510</v>
      </c>
      <c r="D87" t="s">
        <v>4779</v>
      </c>
      <c r="E87" t="s">
        <v>4780</v>
      </c>
      <c r="F87" t="s">
        <v>1649</v>
      </c>
      <c r="G87" t="s">
        <v>4781</v>
      </c>
      <c r="H87" t="s">
        <v>4782</v>
      </c>
      <c r="I87" t="s">
        <v>3459</v>
      </c>
      <c r="J87" t="s">
        <v>3513</v>
      </c>
    </row>
    <row r="88" spans="1:10" ht="15" customHeight="1" x14ac:dyDescent="0.25">
      <c r="A88" t="s">
        <v>4783</v>
      </c>
      <c r="B88" t="s">
        <v>3503</v>
      </c>
      <c r="C88" t="s">
        <v>3510</v>
      </c>
      <c r="D88" s="3" t="s">
        <v>4784</v>
      </c>
      <c r="E88" s="3" t="s">
        <v>4785</v>
      </c>
      <c r="F88" t="s">
        <v>1649</v>
      </c>
      <c r="G88" t="s">
        <v>4786</v>
      </c>
      <c r="H88" t="s">
        <v>4787</v>
      </c>
      <c r="I88" t="s">
        <v>3459</v>
      </c>
      <c r="J88" t="s">
        <v>3513</v>
      </c>
    </row>
    <row r="89" spans="1:10" ht="15" customHeight="1" x14ac:dyDescent="0.25">
      <c r="A89" t="s">
        <v>4788</v>
      </c>
      <c r="B89" t="s">
        <v>41</v>
      </c>
      <c r="C89" t="s">
        <v>3524</v>
      </c>
      <c r="D89" t="s">
        <v>4789</v>
      </c>
      <c r="E89" t="s">
        <v>4790</v>
      </c>
      <c r="F89" t="s">
        <v>497</v>
      </c>
      <c r="G89" t="s">
        <v>3627</v>
      </c>
      <c r="H89" t="s">
        <v>4791</v>
      </c>
      <c r="I89" t="s">
        <v>3459</v>
      </c>
      <c r="J89" t="s">
        <v>3521</v>
      </c>
    </row>
    <row r="90" spans="1:10" ht="15" customHeight="1" x14ac:dyDescent="0.25">
      <c r="A90" t="s">
        <v>3482</v>
      </c>
      <c r="B90" t="s">
        <v>41</v>
      </c>
      <c r="C90" t="s">
        <v>3510</v>
      </c>
      <c r="D90" t="s">
        <v>4792</v>
      </c>
      <c r="E90" t="s">
        <v>4793</v>
      </c>
      <c r="F90" t="s">
        <v>2804</v>
      </c>
      <c r="G90" t="s">
        <v>3600</v>
      </c>
      <c r="H90" t="s">
        <v>3482</v>
      </c>
      <c r="I90" t="s">
        <v>3459</v>
      </c>
      <c r="J90" t="s">
        <v>3442</v>
      </c>
    </row>
    <row r="91" spans="1:10" ht="15" customHeight="1" x14ac:dyDescent="0.25">
      <c r="A91" t="s">
        <v>4794</v>
      </c>
      <c r="B91" t="s">
        <v>3503</v>
      </c>
      <c r="C91" t="s">
        <v>3510</v>
      </c>
      <c r="D91" t="s">
        <v>4795</v>
      </c>
      <c r="E91" t="s">
        <v>4796</v>
      </c>
      <c r="F91" t="s">
        <v>1649</v>
      </c>
      <c r="G91" t="s">
        <v>4464</v>
      </c>
      <c r="H91" t="s">
        <v>4797</v>
      </c>
      <c r="I91" t="s">
        <v>3459</v>
      </c>
      <c r="J91" t="s">
        <v>4460</v>
      </c>
    </row>
    <row r="92" spans="1:10" ht="15" customHeight="1" x14ac:dyDescent="0.25">
      <c r="A92" t="s">
        <v>4798</v>
      </c>
      <c r="B92" t="s">
        <v>3503</v>
      </c>
      <c r="C92" t="s">
        <v>3510</v>
      </c>
      <c r="D92" t="s">
        <v>4799</v>
      </c>
      <c r="E92" t="s">
        <v>4800</v>
      </c>
      <c r="F92" t="s">
        <v>553</v>
      </c>
      <c r="G92" t="s">
        <v>3527</v>
      </c>
      <c r="H92" t="s">
        <v>4801</v>
      </c>
      <c r="I92" t="s">
        <v>3459</v>
      </c>
      <c r="J92" t="s">
        <v>3442</v>
      </c>
    </row>
    <row r="93" spans="1:10" ht="15" customHeight="1" x14ac:dyDescent="0.25">
      <c r="A93" t="s">
        <v>3678</v>
      </c>
      <c r="B93" t="s">
        <v>3515</v>
      </c>
      <c r="C93" t="s">
        <v>4509</v>
      </c>
      <c r="D93" t="s">
        <v>4802</v>
      </c>
      <c r="F93" t="s">
        <v>353</v>
      </c>
      <c r="H93" t="s">
        <v>3680</v>
      </c>
      <c r="I93" t="s">
        <v>3459</v>
      </c>
      <c r="J93" t="s">
        <v>3681</v>
      </c>
    </row>
    <row r="94" spans="1:10" ht="15" customHeight="1" x14ac:dyDescent="0.25">
      <c r="A94" t="s">
        <v>4803</v>
      </c>
      <c r="B94" t="s">
        <v>3547</v>
      </c>
      <c r="C94" t="s">
        <v>3510</v>
      </c>
      <c r="D94" t="s">
        <v>4804</v>
      </c>
      <c r="E94" t="s">
        <v>4805</v>
      </c>
      <c r="F94" t="s">
        <v>90</v>
      </c>
      <c r="G94" t="s">
        <v>4806</v>
      </c>
      <c r="H94" t="s">
        <v>4807</v>
      </c>
      <c r="I94" t="s">
        <v>3459</v>
      </c>
      <c r="J94" t="s">
        <v>4808</v>
      </c>
    </row>
    <row r="95" spans="1:10" ht="15" customHeight="1" x14ac:dyDescent="0.25">
      <c r="A95" t="s">
        <v>4809</v>
      </c>
      <c r="B95" t="s">
        <v>3503</v>
      </c>
      <c r="C95" t="s">
        <v>4450</v>
      </c>
      <c r="D95" t="s">
        <v>4810</v>
      </c>
      <c r="E95" t="s">
        <v>4811</v>
      </c>
      <c r="F95" t="s">
        <v>160</v>
      </c>
      <c r="G95" t="s">
        <v>3660</v>
      </c>
      <c r="H95" t="s">
        <v>4812</v>
      </c>
      <c r="I95" t="s">
        <v>3459</v>
      </c>
      <c r="J95" t="s">
        <v>3521</v>
      </c>
    </row>
    <row r="96" spans="1:10" ht="15" customHeight="1" x14ac:dyDescent="0.25">
      <c r="A96" t="s">
        <v>4813</v>
      </c>
      <c r="B96" t="s">
        <v>41</v>
      </c>
      <c r="C96" t="s">
        <v>4509</v>
      </c>
      <c r="D96" t="s">
        <v>4814</v>
      </c>
      <c r="E96" t="s">
        <v>4815</v>
      </c>
      <c r="F96" t="s">
        <v>1649</v>
      </c>
      <c r="G96" t="s">
        <v>4512</v>
      </c>
      <c r="H96" t="s">
        <v>4816</v>
      </c>
      <c r="I96" t="s">
        <v>3459</v>
      </c>
      <c r="J96" t="s">
        <v>3521</v>
      </c>
    </row>
    <row r="97" spans="1:10" ht="15" customHeight="1" x14ac:dyDescent="0.25">
      <c r="A97" t="s">
        <v>4817</v>
      </c>
      <c r="B97" t="s">
        <v>3515</v>
      </c>
      <c r="C97" t="s">
        <v>4429</v>
      </c>
      <c r="D97" t="s">
        <v>4818</v>
      </c>
      <c r="E97" t="s">
        <v>4819</v>
      </c>
      <c r="F97" t="s">
        <v>1649</v>
      </c>
      <c r="H97" t="s">
        <v>4820</v>
      </c>
      <c r="I97" t="s">
        <v>3459</v>
      </c>
      <c r="J97" t="s">
        <v>4460</v>
      </c>
    </row>
    <row r="98" spans="1:10" ht="15" customHeight="1" x14ac:dyDescent="0.25">
      <c r="A98" t="s">
        <v>4821</v>
      </c>
      <c r="B98" t="s">
        <v>3726</v>
      </c>
      <c r="C98" t="s">
        <v>3510</v>
      </c>
      <c r="D98" t="s">
        <v>4822</v>
      </c>
      <c r="E98" t="s">
        <v>4823</v>
      </c>
      <c r="F98" t="s">
        <v>160</v>
      </c>
      <c r="G98" t="s">
        <v>4661</v>
      </c>
      <c r="H98" t="s">
        <v>4824</v>
      </c>
      <c r="I98" t="s">
        <v>3459</v>
      </c>
      <c r="J98" t="s">
        <v>3578</v>
      </c>
    </row>
    <row r="99" spans="1:10" ht="15" customHeight="1" x14ac:dyDescent="0.25">
      <c r="A99" t="s">
        <v>4825</v>
      </c>
      <c r="B99" t="s">
        <v>3503</v>
      </c>
      <c r="C99" t="s">
        <v>3510</v>
      </c>
      <c r="D99" t="s">
        <v>4826</v>
      </c>
      <c r="E99" t="s">
        <v>4827</v>
      </c>
      <c r="F99" t="s">
        <v>1322</v>
      </c>
      <c r="G99" t="s">
        <v>4607</v>
      </c>
      <c r="H99" t="s">
        <v>4828</v>
      </c>
      <c r="I99" t="s">
        <v>3459</v>
      </c>
      <c r="J99" t="s">
        <v>4829</v>
      </c>
    </row>
    <row r="100" spans="1:10" ht="15" customHeight="1" x14ac:dyDescent="0.25">
      <c r="A100" t="s">
        <v>4830</v>
      </c>
      <c r="B100" t="s">
        <v>3515</v>
      </c>
      <c r="C100" t="s">
        <v>4568</v>
      </c>
      <c r="D100" t="s">
        <v>4831</v>
      </c>
      <c r="E100" t="s">
        <v>4832</v>
      </c>
      <c r="F100" t="s">
        <v>90</v>
      </c>
      <c r="G100" t="s">
        <v>4742</v>
      </c>
      <c r="H100" t="s">
        <v>4830</v>
      </c>
      <c r="I100" t="s">
        <v>3459</v>
      </c>
      <c r="J100" t="s">
        <v>4460</v>
      </c>
    </row>
    <row r="101" spans="1:10" ht="15" customHeight="1" x14ac:dyDescent="0.25">
      <c r="A101" t="s">
        <v>3691</v>
      </c>
      <c r="B101" t="s">
        <v>3515</v>
      </c>
      <c r="C101" t="s">
        <v>3510</v>
      </c>
      <c r="D101" t="s">
        <v>4833</v>
      </c>
      <c r="E101" t="s">
        <v>4834</v>
      </c>
      <c r="F101" t="s">
        <v>497</v>
      </c>
      <c r="G101" t="s">
        <v>3694</v>
      </c>
      <c r="H101" t="s">
        <v>3691</v>
      </c>
      <c r="I101" t="s">
        <v>3459</v>
      </c>
      <c r="J101" t="s">
        <v>3521</v>
      </c>
    </row>
    <row r="102" spans="1:10" ht="15" customHeight="1" x14ac:dyDescent="0.25">
      <c r="A102" t="s">
        <v>4835</v>
      </c>
      <c r="B102" t="s">
        <v>41</v>
      </c>
      <c r="C102" t="s">
        <v>4509</v>
      </c>
      <c r="D102" t="s">
        <v>4836</v>
      </c>
      <c r="E102" t="s">
        <v>4837</v>
      </c>
      <c r="F102" t="s">
        <v>1649</v>
      </c>
      <c r="G102" t="s">
        <v>4512</v>
      </c>
      <c r="H102" t="s">
        <v>4835</v>
      </c>
      <c r="I102" t="s">
        <v>3459</v>
      </c>
      <c r="J102" t="s">
        <v>3521</v>
      </c>
    </row>
    <row r="103" spans="1:10" ht="15" customHeight="1" x14ac:dyDescent="0.25">
      <c r="A103" t="s">
        <v>4838</v>
      </c>
      <c r="B103" t="s">
        <v>3503</v>
      </c>
      <c r="C103" t="s">
        <v>3524</v>
      </c>
      <c r="D103" t="s">
        <v>4839</v>
      </c>
      <c r="E103" t="s">
        <v>4840</v>
      </c>
      <c r="F103" t="s">
        <v>553</v>
      </c>
      <c r="G103" t="s">
        <v>3527</v>
      </c>
      <c r="H103" t="s">
        <v>4841</v>
      </c>
      <c r="I103" t="s">
        <v>3459</v>
      </c>
      <c r="J103" t="s">
        <v>3521</v>
      </c>
    </row>
    <row r="104" spans="1:10" ht="15" customHeight="1" x14ac:dyDescent="0.25">
      <c r="A104" t="s">
        <v>4842</v>
      </c>
      <c r="B104" t="s">
        <v>41</v>
      </c>
      <c r="C104" t="s">
        <v>3510</v>
      </c>
      <c r="D104" t="s">
        <v>4843</v>
      </c>
      <c r="E104" t="s">
        <v>4844</v>
      </c>
      <c r="F104" t="s">
        <v>1322</v>
      </c>
      <c r="H104" t="s">
        <v>4845</v>
      </c>
      <c r="I104" t="s">
        <v>3459</v>
      </c>
      <c r="J104" t="s">
        <v>4846</v>
      </c>
    </row>
    <row r="105" spans="1:10" ht="15" customHeight="1" x14ac:dyDescent="0.25">
      <c r="A105" t="s">
        <v>4847</v>
      </c>
      <c r="B105" t="s">
        <v>3515</v>
      </c>
      <c r="C105" t="s">
        <v>4509</v>
      </c>
      <c r="D105" t="s">
        <v>4848</v>
      </c>
      <c r="F105" t="s">
        <v>1649</v>
      </c>
      <c r="G105" t="s">
        <v>4849</v>
      </c>
      <c r="H105" t="s">
        <v>4850</v>
      </c>
      <c r="I105" t="s">
        <v>3459</v>
      </c>
      <c r="J105" t="s">
        <v>3442</v>
      </c>
    </row>
    <row r="106" spans="1:10" ht="15" customHeight="1" x14ac:dyDescent="0.25">
      <c r="A106" t="s">
        <v>4851</v>
      </c>
      <c r="B106" t="s">
        <v>3503</v>
      </c>
      <c r="C106" t="s">
        <v>3510</v>
      </c>
      <c r="D106" t="s">
        <v>4852</v>
      </c>
      <c r="E106" t="s">
        <v>4853</v>
      </c>
      <c r="F106" t="s">
        <v>90</v>
      </c>
      <c r="G106" t="s">
        <v>3660</v>
      </c>
      <c r="H106" t="s">
        <v>4854</v>
      </c>
      <c r="I106" t="s">
        <v>3459</v>
      </c>
      <c r="J106" t="s">
        <v>3513</v>
      </c>
    </row>
    <row r="107" spans="1:10" ht="15" customHeight="1" x14ac:dyDescent="0.25">
      <c r="A107" t="s">
        <v>4855</v>
      </c>
      <c r="B107" t="s">
        <v>41</v>
      </c>
      <c r="C107" t="s">
        <v>3510</v>
      </c>
      <c r="D107" t="s">
        <v>4856</v>
      </c>
      <c r="E107" t="s">
        <v>4857</v>
      </c>
      <c r="F107" t="s">
        <v>90</v>
      </c>
      <c r="G107" t="s">
        <v>3689</v>
      </c>
      <c r="H107" t="s">
        <v>4858</v>
      </c>
      <c r="I107" t="s">
        <v>3459</v>
      </c>
      <c r="J107" t="s">
        <v>4460</v>
      </c>
    </row>
    <row r="108" spans="1:10" ht="15" customHeight="1" x14ac:dyDescent="0.25">
      <c r="A108" t="s">
        <v>4859</v>
      </c>
      <c r="B108" t="s">
        <v>3515</v>
      </c>
      <c r="C108" t="s">
        <v>3510</v>
      </c>
      <c r="D108" t="s">
        <v>4860</v>
      </c>
      <c r="E108" t="s">
        <v>4861</v>
      </c>
      <c r="F108" t="s">
        <v>501</v>
      </c>
      <c r="G108" t="s">
        <v>4645</v>
      </c>
      <c r="H108" t="s">
        <v>4862</v>
      </c>
      <c r="I108" t="s">
        <v>3459</v>
      </c>
      <c r="J108" t="s">
        <v>3513</v>
      </c>
    </row>
    <row r="109" spans="1:10" ht="15" customHeight="1" x14ac:dyDescent="0.25">
      <c r="A109" t="s">
        <v>4863</v>
      </c>
      <c r="B109" t="s">
        <v>41</v>
      </c>
      <c r="C109" t="s">
        <v>3524</v>
      </c>
      <c r="D109" t="s">
        <v>4864</v>
      </c>
      <c r="E109" t="s">
        <v>4865</v>
      </c>
      <c r="F109" t="s">
        <v>1046</v>
      </c>
      <c r="G109" t="s">
        <v>4866</v>
      </c>
      <c r="H109" t="s">
        <v>4863</v>
      </c>
      <c r="I109" t="s">
        <v>3459</v>
      </c>
      <c r="J109" t="s">
        <v>3521</v>
      </c>
    </row>
    <row r="110" spans="1:10" ht="15" customHeight="1" x14ac:dyDescent="0.25">
      <c r="A110" t="s">
        <v>4867</v>
      </c>
      <c r="B110" t="s">
        <v>3515</v>
      </c>
      <c r="C110" t="s">
        <v>4558</v>
      </c>
      <c r="D110" t="s">
        <v>4868</v>
      </c>
      <c r="F110" t="s">
        <v>160</v>
      </c>
      <c r="G110" t="s">
        <v>4869</v>
      </c>
      <c r="H110" t="s">
        <v>4870</v>
      </c>
      <c r="I110" t="s">
        <v>3459</v>
      </c>
      <c r="J110" t="s">
        <v>4460</v>
      </c>
    </row>
    <row r="111" spans="1:10" ht="15" customHeight="1" x14ac:dyDescent="0.25">
      <c r="A111" t="s">
        <v>4871</v>
      </c>
      <c r="B111" t="s">
        <v>41</v>
      </c>
      <c r="C111" t="s">
        <v>3673</v>
      </c>
      <c r="D111" t="s">
        <v>4872</v>
      </c>
      <c r="F111" t="s">
        <v>160</v>
      </c>
      <c r="G111" t="s">
        <v>4873</v>
      </c>
      <c r="H111" t="s">
        <v>4874</v>
      </c>
      <c r="I111" t="s">
        <v>3459</v>
      </c>
      <c r="J111" t="s">
        <v>3681</v>
      </c>
    </row>
    <row r="112" spans="1:10" ht="15" customHeight="1" x14ac:dyDescent="0.25">
      <c r="A112" t="s">
        <v>4875</v>
      </c>
      <c r="B112" t="s">
        <v>3503</v>
      </c>
      <c r="C112" t="s">
        <v>3510</v>
      </c>
      <c r="D112" t="s">
        <v>4876</v>
      </c>
      <c r="E112" t="s">
        <v>4877</v>
      </c>
      <c r="F112" t="s">
        <v>90</v>
      </c>
      <c r="H112" t="s">
        <v>4878</v>
      </c>
      <c r="I112" t="s">
        <v>3459</v>
      </c>
      <c r="J112" t="s">
        <v>3513</v>
      </c>
    </row>
    <row r="113" spans="1:10" ht="15" customHeight="1" x14ac:dyDescent="0.25">
      <c r="A113" t="s">
        <v>4879</v>
      </c>
      <c r="B113" t="s">
        <v>3515</v>
      </c>
      <c r="C113" t="s">
        <v>3510</v>
      </c>
      <c r="D113" t="s">
        <v>4880</v>
      </c>
      <c r="E113" t="s">
        <v>4881</v>
      </c>
      <c r="F113" t="s">
        <v>90</v>
      </c>
      <c r="G113" t="s">
        <v>4617</v>
      </c>
      <c r="H113" t="s">
        <v>4882</v>
      </c>
      <c r="I113" t="s">
        <v>3459</v>
      </c>
      <c r="J113" t="s">
        <v>3578</v>
      </c>
    </row>
    <row r="114" spans="1:10" ht="15" customHeight="1" x14ac:dyDescent="0.25">
      <c r="A114" t="s">
        <v>4883</v>
      </c>
      <c r="B114" t="s">
        <v>41</v>
      </c>
      <c r="C114" t="s">
        <v>3510</v>
      </c>
      <c r="D114" t="s">
        <v>4884</v>
      </c>
      <c r="E114" t="s">
        <v>4885</v>
      </c>
      <c r="F114" t="s">
        <v>90</v>
      </c>
      <c r="G114" t="s">
        <v>4886</v>
      </c>
      <c r="H114" t="s">
        <v>4887</v>
      </c>
      <c r="I114" t="s">
        <v>3459</v>
      </c>
      <c r="J114" t="s">
        <v>3442</v>
      </c>
    </row>
    <row r="115" spans="1:10" ht="15" customHeight="1" x14ac:dyDescent="0.25">
      <c r="A115" t="s">
        <v>4888</v>
      </c>
      <c r="B115" t="s">
        <v>3503</v>
      </c>
      <c r="C115" t="s">
        <v>3510</v>
      </c>
      <c r="D115" t="s">
        <v>4889</v>
      </c>
      <c r="E115" t="s">
        <v>4890</v>
      </c>
      <c r="F115" t="s">
        <v>90</v>
      </c>
      <c r="G115" t="s">
        <v>4622</v>
      </c>
      <c r="H115" t="s">
        <v>4888</v>
      </c>
      <c r="I115" t="s">
        <v>3459</v>
      </c>
      <c r="J115" t="s">
        <v>3513</v>
      </c>
    </row>
    <row r="116" spans="1:10" ht="15" customHeight="1" x14ac:dyDescent="0.25">
      <c r="A116" t="s">
        <v>3717</v>
      </c>
      <c r="B116" t="s">
        <v>3515</v>
      </c>
      <c r="C116" t="s">
        <v>3510</v>
      </c>
      <c r="D116" t="s">
        <v>3718</v>
      </c>
      <c r="F116" t="s">
        <v>553</v>
      </c>
      <c r="G116" t="s">
        <v>3720</v>
      </c>
      <c r="H116" t="s">
        <v>3721</v>
      </c>
      <c r="I116" t="s">
        <v>3459</v>
      </c>
      <c r="J116" t="s">
        <v>3578</v>
      </c>
    </row>
    <row r="117" spans="1:10" ht="15" customHeight="1" x14ac:dyDescent="0.25">
      <c r="A117" t="s">
        <v>4891</v>
      </c>
      <c r="B117" t="s">
        <v>41</v>
      </c>
      <c r="C117" t="s">
        <v>4509</v>
      </c>
      <c r="D117" t="s">
        <v>4892</v>
      </c>
      <c r="E117" t="s">
        <v>4893</v>
      </c>
      <c r="F117" t="s">
        <v>1649</v>
      </c>
      <c r="G117" t="s">
        <v>4512</v>
      </c>
      <c r="H117" t="s">
        <v>4891</v>
      </c>
      <c r="I117" t="s">
        <v>3459</v>
      </c>
      <c r="J117" t="s">
        <v>3521</v>
      </c>
    </row>
    <row r="118" spans="1:10" ht="15" customHeight="1" x14ac:dyDescent="0.25">
      <c r="A118" t="s">
        <v>3722</v>
      </c>
      <c r="B118" t="s">
        <v>41</v>
      </c>
      <c r="C118" t="s">
        <v>3524</v>
      </c>
      <c r="D118" t="s">
        <v>4894</v>
      </c>
      <c r="E118" t="s">
        <v>4895</v>
      </c>
      <c r="F118" t="s">
        <v>90</v>
      </c>
      <c r="H118" t="s">
        <v>3722</v>
      </c>
      <c r="I118" t="s">
        <v>3459</v>
      </c>
      <c r="J118" t="s">
        <v>3521</v>
      </c>
    </row>
    <row r="119" spans="1:10" ht="15" customHeight="1" x14ac:dyDescent="0.25">
      <c r="A119" t="s">
        <v>4896</v>
      </c>
      <c r="B119" t="s">
        <v>3503</v>
      </c>
      <c r="C119" t="s">
        <v>3580</v>
      </c>
      <c r="D119" t="s">
        <v>4897</v>
      </c>
      <c r="F119" t="s">
        <v>160</v>
      </c>
      <c r="H119" t="s">
        <v>4898</v>
      </c>
      <c r="I119" t="s">
        <v>3459</v>
      </c>
      <c r="J119" t="s">
        <v>3681</v>
      </c>
    </row>
    <row r="120" spans="1:10" ht="15" customHeight="1" x14ac:dyDescent="0.25">
      <c r="A120" t="s">
        <v>4899</v>
      </c>
      <c r="B120" t="s">
        <v>3503</v>
      </c>
      <c r="C120" t="s">
        <v>3510</v>
      </c>
      <c r="D120" t="s">
        <v>4900</v>
      </c>
      <c r="E120" t="s">
        <v>4901</v>
      </c>
      <c r="F120" t="s">
        <v>1129</v>
      </c>
      <c r="G120" t="s">
        <v>4902</v>
      </c>
      <c r="H120" t="s">
        <v>4903</v>
      </c>
      <c r="I120" t="s">
        <v>3459</v>
      </c>
      <c r="J120" t="s">
        <v>4566</v>
      </c>
    </row>
    <row r="121" spans="1:10" ht="15" customHeight="1" x14ac:dyDescent="0.25">
      <c r="A121" t="s">
        <v>3725</v>
      </c>
      <c r="B121" t="s">
        <v>3726</v>
      </c>
      <c r="C121" t="s">
        <v>4904</v>
      </c>
      <c r="D121" t="s">
        <v>4905</v>
      </c>
      <c r="F121" t="s">
        <v>1795</v>
      </c>
      <c r="G121" t="s">
        <v>3728</v>
      </c>
      <c r="H121" t="s">
        <v>3729</v>
      </c>
      <c r="I121" t="s">
        <v>3459</v>
      </c>
      <c r="J121" t="s">
        <v>3578</v>
      </c>
    </row>
    <row r="122" spans="1:10" ht="15" customHeight="1" x14ac:dyDescent="0.25">
      <c r="A122" t="s">
        <v>4906</v>
      </c>
      <c r="B122" t="s">
        <v>41</v>
      </c>
      <c r="C122" t="s">
        <v>3516</v>
      </c>
      <c r="D122" t="s">
        <v>4907</v>
      </c>
      <c r="E122" t="s">
        <v>4908</v>
      </c>
      <c r="F122" t="s">
        <v>90</v>
      </c>
      <c r="H122" t="s">
        <v>4909</v>
      </c>
      <c r="I122" t="s">
        <v>3459</v>
      </c>
      <c r="J122" t="s">
        <v>3513</v>
      </c>
    </row>
    <row r="123" spans="1:10" ht="15" customHeight="1" x14ac:dyDescent="0.25">
      <c r="A123" t="s">
        <v>4910</v>
      </c>
      <c r="B123" t="s">
        <v>3515</v>
      </c>
      <c r="C123" t="s">
        <v>3524</v>
      </c>
      <c r="D123" t="s">
        <v>4911</v>
      </c>
      <c r="E123" t="s">
        <v>4912</v>
      </c>
      <c r="F123" t="s">
        <v>497</v>
      </c>
      <c r="G123" t="s">
        <v>264</v>
      </c>
      <c r="H123" t="s">
        <v>4910</v>
      </c>
      <c r="I123" t="s">
        <v>3459</v>
      </c>
      <c r="J123" t="s">
        <v>3521</v>
      </c>
    </row>
    <row r="124" spans="1:10" ht="15" customHeight="1" x14ac:dyDescent="0.25">
      <c r="A124" t="s">
        <v>4913</v>
      </c>
      <c r="B124" t="s">
        <v>41</v>
      </c>
      <c r="C124" t="s">
        <v>3516</v>
      </c>
      <c r="D124" t="s">
        <v>4914</v>
      </c>
      <c r="E124" t="s">
        <v>4915</v>
      </c>
      <c r="F124" t="s">
        <v>90</v>
      </c>
      <c r="G124" t="s">
        <v>3660</v>
      </c>
      <c r="H124" t="s">
        <v>4913</v>
      </c>
      <c r="I124" t="s">
        <v>3459</v>
      </c>
      <c r="J124" t="s">
        <v>4460</v>
      </c>
    </row>
    <row r="125" spans="1:10" ht="15" customHeight="1" x14ac:dyDescent="0.25">
      <c r="A125" t="s">
        <v>4916</v>
      </c>
      <c r="B125" t="s">
        <v>3503</v>
      </c>
      <c r="C125" t="s">
        <v>4917</v>
      </c>
      <c r="D125" t="s">
        <v>4918</v>
      </c>
      <c r="E125" t="s">
        <v>4919</v>
      </c>
      <c r="F125" t="s">
        <v>90</v>
      </c>
      <c r="G125" t="s">
        <v>4437</v>
      </c>
      <c r="H125" t="s">
        <v>4920</v>
      </c>
      <c r="I125" t="s">
        <v>3459</v>
      </c>
      <c r="J125" t="s">
        <v>3681</v>
      </c>
    </row>
    <row r="126" spans="1:10" ht="15" customHeight="1" x14ac:dyDescent="0.25">
      <c r="A126" t="s">
        <v>4921</v>
      </c>
      <c r="B126" t="s">
        <v>3515</v>
      </c>
      <c r="C126" t="s">
        <v>3524</v>
      </c>
      <c r="D126" t="s">
        <v>4922</v>
      </c>
      <c r="E126" t="s">
        <v>4923</v>
      </c>
      <c r="F126" t="s">
        <v>497</v>
      </c>
      <c r="G126" t="s">
        <v>3720</v>
      </c>
      <c r="H126" t="s">
        <v>4921</v>
      </c>
      <c r="I126" t="s">
        <v>3459</v>
      </c>
      <c r="J126" t="s">
        <v>3521</v>
      </c>
    </row>
    <row r="127" spans="1:10" ht="15" customHeight="1" x14ac:dyDescent="0.25">
      <c r="A127" t="s">
        <v>3730</v>
      </c>
      <c r="B127" t="s">
        <v>41</v>
      </c>
      <c r="C127" t="s">
        <v>3673</v>
      </c>
      <c r="D127" t="s">
        <v>4924</v>
      </c>
      <c r="E127" t="s">
        <v>4925</v>
      </c>
      <c r="F127" t="s">
        <v>160</v>
      </c>
      <c r="G127" t="s">
        <v>4926</v>
      </c>
      <c r="H127" t="s">
        <v>3734</v>
      </c>
      <c r="I127" t="s">
        <v>3459</v>
      </c>
      <c r="J127" t="s">
        <v>3578</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4927</v>
      </c>
      <c r="B1" t="s">
        <v>1</v>
      </c>
      <c r="C1" t="s">
        <v>167</v>
      </c>
      <c r="D1" t="s">
        <v>3735</v>
      </c>
      <c r="E1" t="s">
        <v>4928</v>
      </c>
      <c r="F1" t="s">
        <v>6</v>
      </c>
      <c r="G1" t="s">
        <v>4929</v>
      </c>
      <c r="H1" t="s">
        <v>4930</v>
      </c>
      <c r="I1" t="s">
        <v>4931</v>
      </c>
      <c r="J1" t="s">
        <v>4261</v>
      </c>
      <c r="K1" t="s">
        <v>4932</v>
      </c>
      <c r="L1" t="s">
        <v>4</v>
      </c>
      <c r="M1" t="s">
        <v>170</v>
      </c>
    </row>
    <row r="2" spans="1:13" ht="15" customHeight="1" x14ac:dyDescent="0.25">
      <c r="A2" t="s">
        <v>4933</v>
      </c>
      <c r="B2" t="s">
        <v>1649</v>
      </c>
      <c r="C2" t="s">
        <v>222</v>
      </c>
      <c r="D2" t="s">
        <v>39</v>
      </c>
      <c r="E2">
        <v>0</v>
      </c>
      <c r="F2" t="s">
        <v>41</v>
      </c>
      <c r="G2" t="s">
        <v>4934</v>
      </c>
      <c r="H2" t="s">
        <v>4935</v>
      </c>
      <c r="I2" t="s">
        <v>3998</v>
      </c>
      <c r="J2" t="s">
        <v>4936</v>
      </c>
      <c r="K2" t="s">
        <v>3459</v>
      </c>
      <c r="L2" t="s">
        <v>4298</v>
      </c>
      <c r="M2" t="s">
        <v>4937</v>
      </c>
    </row>
    <row r="3" spans="1:13" ht="15" customHeight="1" x14ac:dyDescent="0.25">
      <c r="A3" t="s">
        <v>4938</v>
      </c>
      <c r="B3" t="s">
        <v>1649</v>
      </c>
      <c r="C3" t="s">
        <v>222</v>
      </c>
      <c r="D3" t="s">
        <v>39</v>
      </c>
      <c r="E3">
        <v>0</v>
      </c>
      <c r="F3" t="s">
        <v>41</v>
      </c>
      <c r="G3" t="s">
        <v>4939</v>
      </c>
      <c r="H3" t="s">
        <v>4940</v>
      </c>
      <c r="I3" t="s">
        <v>3998</v>
      </c>
      <c r="J3" t="s">
        <v>4941</v>
      </c>
      <c r="K3" t="s">
        <v>3459</v>
      </c>
      <c r="L3" t="s">
        <v>4298</v>
      </c>
      <c r="M3" t="s">
        <v>264</v>
      </c>
    </row>
    <row r="4" spans="1:13" ht="15" customHeight="1" x14ac:dyDescent="0.25">
      <c r="A4" t="s">
        <v>4942</v>
      </c>
      <c r="B4" t="s">
        <v>90</v>
      </c>
      <c r="C4" t="s">
        <v>182</v>
      </c>
      <c r="D4" t="s">
        <v>39</v>
      </c>
      <c r="E4">
        <v>0</v>
      </c>
      <c r="F4" t="s">
        <v>3515</v>
      </c>
      <c r="G4" t="s">
        <v>4943</v>
      </c>
      <c r="H4" t="s">
        <v>4943</v>
      </c>
      <c r="I4" t="s">
        <v>3998</v>
      </c>
      <c r="J4" t="s">
        <v>4944</v>
      </c>
      <c r="K4">
        <v>1</v>
      </c>
      <c r="L4" t="s">
        <v>4298</v>
      </c>
    </row>
    <row r="5" spans="1:13" ht="15" customHeight="1" x14ac:dyDescent="0.25">
      <c r="A5" t="s">
        <v>4945</v>
      </c>
      <c r="B5" t="s">
        <v>90</v>
      </c>
      <c r="C5" t="s">
        <v>182</v>
      </c>
      <c r="D5" t="s">
        <v>4946</v>
      </c>
      <c r="E5">
        <v>0</v>
      </c>
      <c r="F5" t="s">
        <v>41</v>
      </c>
      <c r="G5" t="s">
        <v>3459</v>
      </c>
      <c r="H5" t="s">
        <v>4947</v>
      </c>
      <c r="I5" t="s">
        <v>3998</v>
      </c>
      <c r="J5" t="s">
        <v>4948</v>
      </c>
      <c r="K5" t="s">
        <v>3459</v>
      </c>
      <c r="L5" t="s">
        <v>4298</v>
      </c>
      <c r="M5" t="s">
        <v>4949</v>
      </c>
    </row>
    <row r="9" spans="1:13" ht="15" customHeight="1" x14ac:dyDescent="0.25">
      <c r="A9" t="s">
        <v>4950</v>
      </c>
      <c r="B9" t="s">
        <v>4951</v>
      </c>
      <c r="C9" t="s">
        <v>4952</v>
      </c>
      <c r="F9" t="s">
        <v>4953</v>
      </c>
      <c r="G9" t="s">
        <v>4954</v>
      </c>
      <c r="J9" t="s">
        <v>3459</v>
      </c>
    </row>
    <row r="10" spans="1:13" ht="15" customHeight="1" x14ac:dyDescent="0.25">
      <c r="A10" t="s">
        <v>4955</v>
      </c>
      <c r="B10" t="s">
        <v>4956</v>
      </c>
      <c r="C10" t="s">
        <v>4957</v>
      </c>
      <c r="F10" t="s">
        <v>4958</v>
      </c>
      <c r="G10" t="s">
        <v>4959</v>
      </c>
      <c r="J10" t="s">
        <v>4960</v>
      </c>
    </row>
    <row r="11" spans="1:13" ht="15" customHeight="1" x14ac:dyDescent="0.25">
      <c r="A11" t="s">
        <v>4961</v>
      </c>
      <c r="B11" t="s">
        <v>4962</v>
      </c>
      <c r="C11" t="s">
        <v>4963</v>
      </c>
      <c r="F11" t="s">
        <v>4964</v>
      </c>
      <c r="J11" t="s">
        <v>3459</v>
      </c>
    </row>
    <row r="12" spans="1:13" ht="15" customHeight="1" x14ac:dyDescent="0.25">
      <c r="A12" t="s">
        <v>4965</v>
      </c>
      <c r="B12" t="s">
        <v>4966</v>
      </c>
      <c r="C12" t="s">
        <v>4967</v>
      </c>
      <c r="F12" t="s">
        <v>4968</v>
      </c>
    </row>
    <row r="13" spans="1:13" ht="15" customHeight="1" x14ac:dyDescent="0.25">
      <c r="A13" t="s">
        <v>4969</v>
      </c>
      <c r="B13" t="s">
        <v>4970</v>
      </c>
      <c r="C13" t="s">
        <v>4971</v>
      </c>
      <c r="F13" t="s">
        <v>4972</v>
      </c>
      <c r="G13" t="s">
        <v>4973</v>
      </c>
      <c r="I13" t="s">
        <v>4231</v>
      </c>
    </row>
    <row r="14" spans="1:13" ht="15" customHeight="1" x14ac:dyDescent="0.25">
      <c r="A14" t="s">
        <v>4974</v>
      </c>
      <c r="B14" t="s">
        <v>4975</v>
      </c>
      <c r="C14" t="s">
        <v>4976</v>
      </c>
      <c r="F14" t="s">
        <v>4977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3454</v>
      </c>
      <c r="E1" t="s">
        <v>3497</v>
      </c>
      <c r="F1" t="s">
        <v>4978</v>
      </c>
      <c r="G1" t="s">
        <v>3498</v>
      </c>
      <c r="H1" t="s">
        <v>4979</v>
      </c>
      <c r="I1" t="s">
        <v>4980</v>
      </c>
      <c r="J1" t="s">
        <v>4261</v>
      </c>
      <c r="K1" t="s">
        <v>170</v>
      </c>
    </row>
    <row r="2" spans="1:11" ht="15" customHeight="1" x14ac:dyDescent="0.25">
      <c r="A2" t="s">
        <v>4969</v>
      </c>
      <c r="B2" t="s">
        <v>4981</v>
      </c>
      <c r="C2" t="s">
        <v>3515</v>
      </c>
      <c r="D2" t="s">
        <v>4982</v>
      </c>
      <c r="E2" t="s">
        <v>4983</v>
      </c>
      <c r="F2" t="s">
        <v>4984</v>
      </c>
      <c r="G2" t="s">
        <v>160</v>
      </c>
      <c r="H2" t="s">
        <v>4985</v>
      </c>
      <c r="I2" t="s">
        <v>4986</v>
      </c>
      <c r="J2" t="s">
        <v>4987</v>
      </c>
    </row>
    <row r="3" spans="1:11" ht="15" customHeight="1" x14ac:dyDescent="0.25">
      <c r="A3" t="s">
        <v>4988</v>
      </c>
      <c r="B3" t="s">
        <v>4989</v>
      </c>
      <c r="C3" t="s">
        <v>41</v>
      </c>
      <c r="D3" t="s">
        <v>4990</v>
      </c>
      <c r="E3" t="s">
        <v>4991</v>
      </c>
      <c r="F3" t="s">
        <v>4992</v>
      </c>
      <c r="G3" t="s">
        <v>1649</v>
      </c>
      <c r="J3" t="s">
        <v>4993</v>
      </c>
    </row>
    <row r="4" spans="1:11" ht="15" customHeight="1" x14ac:dyDescent="0.25">
      <c r="A4" t="s">
        <v>4994</v>
      </c>
      <c r="B4" t="s">
        <v>4989</v>
      </c>
      <c r="C4" t="s">
        <v>41</v>
      </c>
      <c r="D4" t="s">
        <v>4995</v>
      </c>
      <c r="E4" t="s">
        <v>4996</v>
      </c>
      <c r="F4" t="s">
        <v>4997</v>
      </c>
      <c r="G4" t="s">
        <v>1046</v>
      </c>
      <c r="J4" t="s">
        <v>4998</v>
      </c>
    </row>
    <row r="5" spans="1:11" ht="15" customHeight="1" x14ac:dyDescent="0.25">
      <c r="A5" t="s">
        <v>4999</v>
      </c>
      <c r="B5" t="s">
        <v>3681</v>
      </c>
      <c r="C5" t="s">
        <v>41</v>
      </c>
      <c r="D5" t="s">
        <v>5000</v>
      </c>
      <c r="E5" t="s">
        <v>5001</v>
      </c>
      <c r="F5" t="s">
        <v>3459</v>
      </c>
      <c r="G5" t="s">
        <v>2132</v>
      </c>
      <c r="J5" t="s">
        <v>5002</v>
      </c>
    </row>
    <row r="6" spans="1:11" ht="15" customHeight="1" x14ac:dyDescent="0.25">
      <c r="A6" t="s">
        <v>5003</v>
      </c>
      <c r="B6" t="s">
        <v>3681</v>
      </c>
      <c r="C6" t="s">
        <v>3503</v>
      </c>
      <c r="D6" t="s">
        <v>5004</v>
      </c>
      <c r="E6" t="s">
        <v>5005</v>
      </c>
      <c r="F6" t="s">
        <v>3459</v>
      </c>
      <c r="G6" t="s">
        <v>2132</v>
      </c>
      <c r="J6" t="s">
        <v>5006</v>
      </c>
    </row>
    <row r="7" spans="1:11" ht="15" customHeight="1" x14ac:dyDescent="0.25">
      <c r="A7" t="s">
        <v>5007</v>
      </c>
      <c r="B7" t="s">
        <v>5008</v>
      </c>
      <c r="C7" t="s">
        <v>41</v>
      </c>
      <c r="D7" t="s">
        <v>5009</v>
      </c>
      <c r="E7" t="s">
        <v>5010</v>
      </c>
      <c r="F7" t="s">
        <v>3459</v>
      </c>
      <c r="G7" t="s">
        <v>759</v>
      </c>
      <c r="J7" t="s">
        <v>5011</v>
      </c>
    </row>
    <row r="8" spans="1:11" ht="15" customHeight="1" x14ac:dyDescent="0.25">
      <c r="A8" t="s">
        <v>5012</v>
      </c>
      <c r="B8" t="s">
        <v>4981</v>
      </c>
      <c r="C8" t="s">
        <v>3503</v>
      </c>
      <c r="D8" t="s">
        <v>5013</v>
      </c>
      <c r="E8" t="s">
        <v>5014</v>
      </c>
      <c r="F8" t="s">
        <v>3459</v>
      </c>
      <c r="G8" t="s">
        <v>160</v>
      </c>
      <c r="H8" t="s">
        <v>5015</v>
      </c>
      <c r="I8" t="s">
        <v>5016</v>
      </c>
      <c r="J8" t="s">
        <v>5017</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3735</v>
      </c>
      <c r="D1" t="s">
        <v>5018</v>
      </c>
      <c r="E1" t="s">
        <v>5019</v>
      </c>
      <c r="F1" t="s">
        <v>5020</v>
      </c>
      <c r="G1" t="s">
        <v>3740</v>
      </c>
      <c r="H1" t="s">
        <v>1</v>
      </c>
      <c r="I1" t="s">
        <v>5021</v>
      </c>
      <c r="J1" t="s">
        <v>5022</v>
      </c>
      <c r="K1" t="s">
        <v>171</v>
      </c>
      <c r="L1" t="s">
        <v>5023</v>
      </c>
      <c r="M1" t="s">
        <v>3741</v>
      </c>
    </row>
    <row r="2" spans="1:13" ht="27.75" customHeight="1" x14ac:dyDescent="0.25">
      <c r="A2" t="s">
        <v>3803</v>
      </c>
      <c r="B2" t="s">
        <v>5024</v>
      </c>
      <c r="C2" t="s">
        <v>4364</v>
      </c>
      <c r="D2">
        <v>2</v>
      </c>
      <c r="E2">
        <v>48</v>
      </c>
      <c r="F2">
        <v>54</v>
      </c>
      <c r="G2" t="s">
        <v>3459</v>
      </c>
      <c r="H2" t="s">
        <v>90</v>
      </c>
      <c r="I2" t="s">
        <v>4397</v>
      </c>
      <c r="J2" s="3" t="s">
        <v>5025</v>
      </c>
      <c r="K2" t="s">
        <v>3803</v>
      </c>
      <c r="L2" t="s">
        <v>3459</v>
      </c>
    </row>
    <row r="3" spans="1:13" ht="41.25" customHeight="1" x14ac:dyDescent="0.25">
      <c r="A3" t="s">
        <v>3832</v>
      </c>
      <c r="B3" t="s">
        <v>5024</v>
      </c>
      <c r="C3" t="s">
        <v>4368</v>
      </c>
      <c r="D3">
        <v>6</v>
      </c>
      <c r="E3">
        <v>114</v>
      </c>
      <c r="F3">
        <v>120</v>
      </c>
      <c r="G3" t="s">
        <v>3459</v>
      </c>
      <c r="H3" t="s">
        <v>90</v>
      </c>
      <c r="I3" t="s">
        <v>4397</v>
      </c>
      <c r="J3" s="3" t="s">
        <v>5026</v>
      </c>
      <c r="K3" t="s">
        <v>3832</v>
      </c>
      <c r="L3" t="s">
        <v>3459</v>
      </c>
    </row>
    <row r="4" spans="1:13" ht="15" customHeight="1" x14ac:dyDescent="0.25">
      <c r="A4" t="s">
        <v>3838</v>
      </c>
      <c r="B4" t="s">
        <v>5024</v>
      </c>
      <c r="C4" t="s">
        <v>5027</v>
      </c>
      <c r="D4">
        <v>9</v>
      </c>
      <c r="E4">
        <v>999</v>
      </c>
      <c r="F4">
        <v>999</v>
      </c>
      <c r="G4" t="s">
        <v>5028</v>
      </c>
      <c r="H4" t="s">
        <v>90</v>
      </c>
      <c r="I4" t="s">
        <v>4397</v>
      </c>
      <c r="J4" t="s">
        <v>5029</v>
      </c>
      <c r="K4" t="s">
        <v>3838</v>
      </c>
      <c r="L4" t="s">
        <v>3459</v>
      </c>
    </row>
    <row r="5" spans="1:13" ht="54.75" customHeight="1" x14ac:dyDescent="0.25">
      <c r="A5" t="s">
        <v>5030</v>
      </c>
      <c r="B5" t="s">
        <v>5024</v>
      </c>
      <c r="C5" t="s">
        <v>4364</v>
      </c>
      <c r="D5">
        <v>3</v>
      </c>
      <c r="E5">
        <v>40</v>
      </c>
      <c r="F5">
        <v>44</v>
      </c>
      <c r="G5" t="s">
        <v>3459</v>
      </c>
      <c r="H5" t="s">
        <v>90</v>
      </c>
      <c r="I5" t="s">
        <v>4397</v>
      </c>
      <c r="J5" s="3" t="s">
        <v>5031</v>
      </c>
      <c r="K5" t="s">
        <v>5032</v>
      </c>
      <c r="L5" t="s">
        <v>3459</v>
      </c>
    </row>
    <row r="6" spans="1:13" ht="27.75" customHeight="1" x14ac:dyDescent="0.25">
      <c r="A6" t="s">
        <v>5033</v>
      </c>
      <c r="B6" t="s">
        <v>5024</v>
      </c>
      <c r="C6" t="s">
        <v>4364</v>
      </c>
      <c r="D6">
        <v>1</v>
      </c>
      <c r="E6">
        <v>10</v>
      </c>
      <c r="F6">
        <v>15</v>
      </c>
      <c r="G6" t="s">
        <v>5034</v>
      </c>
      <c r="H6" t="s">
        <v>90</v>
      </c>
      <c r="I6" t="s">
        <v>4397</v>
      </c>
      <c r="J6" s="3" t="s">
        <v>5035</v>
      </c>
      <c r="K6" t="s">
        <v>5036</v>
      </c>
      <c r="L6" t="s">
        <v>3459</v>
      </c>
      <c r="M6" t="s">
        <v>4634</v>
      </c>
    </row>
    <row r="7" spans="1:13" ht="27.75" customHeight="1" x14ac:dyDescent="0.25">
      <c r="A7" t="s">
        <v>5037</v>
      </c>
      <c r="B7" t="s">
        <v>5024</v>
      </c>
      <c r="C7" t="s">
        <v>4364</v>
      </c>
      <c r="D7">
        <v>1</v>
      </c>
      <c r="E7">
        <v>11</v>
      </c>
      <c r="F7">
        <v>17</v>
      </c>
      <c r="G7" t="s">
        <v>5034</v>
      </c>
      <c r="H7" t="s">
        <v>90</v>
      </c>
      <c r="I7" t="s">
        <v>4397</v>
      </c>
      <c r="J7" s="3" t="s">
        <v>5038</v>
      </c>
      <c r="K7" t="s">
        <v>5039</v>
      </c>
      <c r="L7" t="s">
        <v>3459</v>
      </c>
      <c r="M7" t="s">
        <v>4634</v>
      </c>
    </row>
    <row r="8" spans="1:13" ht="41.25" customHeight="1" x14ac:dyDescent="0.25">
      <c r="A8" t="s">
        <v>5040</v>
      </c>
      <c r="B8" t="s">
        <v>5024</v>
      </c>
      <c r="C8" t="s">
        <v>4364</v>
      </c>
      <c r="D8">
        <v>4</v>
      </c>
      <c r="E8">
        <v>65</v>
      </c>
      <c r="F8">
        <v>69</v>
      </c>
      <c r="G8" t="s">
        <v>5041</v>
      </c>
      <c r="H8" t="s">
        <v>90</v>
      </c>
      <c r="I8" t="s">
        <v>4397</v>
      </c>
      <c r="J8" s="3" t="s">
        <v>5042</v>
      </c>
      <c r="K8" t="s">
        <v>5043</v>
      </c>
      <c r="L8" t="s">
        <v>3459</v>
      </c>
      <c r="M8" t="s">
        <v>3828</v>
      </c>
    </row>
    <row r="9" spans="1:13" ht="41.25" customHeight="1" x14ac:dyDescent="0.25">
      <c r="A9" t="s">
        <v>5044</v>
      </c>
      <c r="B9" t="s">
        <v>5024</v>
      </c>
      <c r="C9" t="s">
        <v>4364</v>
      </c>
      <c r="D9">
        <v>2</v>
      </c>
      <c r="E9">
        <v>28</v>
      </c>
      <c r="F9">
        <v>32</v>
      </c>
      <c r="G9" t="s">
        <v>3459</v>
      </c>
      <c r="H9" t="s">
        <v>90</v>
      </c>
      <c r="I9" t="s">
        <v>4397</v>
      </c>
      <c r="J9" s="3" t="s">
        <v>5045</v>
      </c>
      <c r="K9" t="s">
        <v>5046</v>
      </c>
      <c r="L9" t="s">
        <v>3459</v>
      </c>
      <c r="M9" t="s">
        <v>3828</v>
      </c>
    </row>
    <row r="10" spans="1:13" ht="27.75" customHeight="1" x14ac:dyDescent="0.25">
      <c r="A10" t="s">
        <v>5047</v>
      </c>
      <c r="B10" t="s">
        <v>5024</v>
      </c>
      <c r="C10" t="s">
        <v>4364</v>
      </c>
      <c r="D10">
        <v>1</v>
      </c>
      <c r="E10">
        <v>8</v>
      </c>
      <c r="F10">
        <v>12</v>
      </c>
      <c r="G10" t="s">
        <v>3459</v>
      </c>
      <c r="H10" t="s">
        <v>90</v>
      </c>
      <c r="I10" t="s">
        <v>4397</v>
      </c>
      <c r="J10" s="3" t="s">
        <v>5048</v>
      </c>
      <c r="K10" t="s">
        <v>5049</v>
      </c>
      <c r="L10" t="s">
        <v>3459</v>
      </c>
      <c r="M10" t="s">
        <v>3828</v>
      </c>
    </row>
    <row r="11" spans="1:13" ht="27.75" customHeight="1" x14ac:dyDescent="0.25">
      <c r="A11" t="s">
        <v>3825</v>
      </c>
      <c r="B11" t="s">
        <v>5024</v>
      </c>
      <c r="C11" t="s">
        <v>4364</v>
      </c>
      <c r="D11">
        <v>4</v>
      </c>
      <c r="E11">
        <v>64</v>
      </c>
      <c r="F11">
        <v>70</v>
      </c>
      <c r="G11" t="s">
        <v>5050</v>
      </c>
      <c r="H11" t="s">
        <v>90</v>
      </c>
      <c r="I11" t="s">
        <v>4397</v>
      </c>
      <c r="J11" s="3" t="s">
        <v>5051</v>
      </c>
      <c r="K11" t="s">
        <v>3827</v>
      </c>
      <c r="L11" t="s">
        <v>3459</v>
      </c>
      <c r="M11" t="s">
        <v>3828</v>
      </c>
    </row>
    <row r="12" spans="1:13" ht="27.75" customHeight="1" x14ac:dyDescent="0.25">
      <c r="A12" t="s">
        <v>5052</v>
      </c>
      <c r="B12" t="s">
        <v>5024</v>
      </c>
      <c r="C12" t="s">
        <v>4364</v>
      </c>
      <c r="D12">
        <v>2</v>
      </c>
      <c r="E12">
        <v>28</v>
      </c>
      <c r="F12">
        <v>32</v>
      </c>
      <c r="G12" t="s">
        <v>3459</v>
      </c>
      <c r="H12" t="s">
        <v>90</v>
      </c>
      <c r="I12" t="s">
        <v>4397</v>
      </c>
      <c r="J12" s="3" t="s">
        <v>5053</v>
      </c>
      <c r="K12" t="s">
        <v>5054</v>
      </c>
      <c r="L12" t="s">
        <v>3459</v>
      </c>
      <c r="M12" t="s">
        <v>3828</v>
      </c>
    </row>
    <row r="13" spans="1:13" ht="15" customHeight="1" x14ac:dyDescent="0.25">
      <c r="A13" t="s">
        <v>5055</v>
      </c>
      <c r="B13" t="s">
        <v>5024</v>
      </c>
      <c r="C13" t="s">
        <v>4364</v>
      </c>
      <c r="D13">
        <v>1</v>
      </c>
      <c r="E13">
        <v>10</v>
      </c>
      <c r="F13">
        <v>14</v>
      </c>
      <c r="G13" t="s">
        <v>3459</v>
      </c>
      <c r="H13" t="s">
        <v>90</v>
      </c>
      <c r="I13" t="s">
        <v>4397</v>
      </c>
      <c r="J13" t="s">
        <v>5056</v>
      </c>
      <c r="K13" t="s">
        <v>5057</v>
      </c>
      <c r="L13" t="s">
        <v>3459</v>
      </c>
      <c r="M13" t="s">
        <v>3828</v>
      </c>
    </row>
  </sheetData>
  <pageMargins left="0.75" right="0.75" top="1" bottom="1"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5058</v>
      </c>
      <c r="C1" t="s">
        <v>3735</v>
      </c>
      <c r="D1" t="s">
        <v>5018</v>
      </c>
      <c r="E1" t="s">
        <v>1</v>
      </c>
      <c r="F1" t="s">
        <v>5019</v>
      </c>
      <c r="G1" t="s">
        <v>5020</v>
      </c>
      <c r="H1" t="s">
        <v>3988</v>
      </c>
      <c r="I1" t="s">
        <v>3736</v>
      </c>
      <c r="J1" t="s">
        <v>5059</v>
      </c>
      <c r="K1" t="s">
        <v>5060</v>
      </c>
      <c r="L1" t="s">
        <v>5061</v>
      </c>
      <c r="M1" t="s">
        <v>5062</v>
      </c>
      <c r="N1" t="s">
        <v>5063</v>
      </c>
      <c r="O1" t="s">
        <v>5064</v>
      </c>
      <c r="P1" t="s">
        <v>5065</v>
      </c>
      <c r="Q1" t="s">
        <v>5066</v>
      </c>
      <c r="R1" t="s">
        <v>5067</v>
      </c>
      <c r="S1" t="s">
        <v>3740</v>
      </c>
      <c r="T1" t="s">
        <v>3741</v>
      </c>
    </row>
    <row r="2" spans="1:20" ht="15" customHeight="1" x14ac:dyDescent="0.25">
      <c r="A2" t="s">
        <v>3748</v>
      </c>
      <c r="B2" t="s">
        <v>5068</v>
      </c>
      <c r="C2" t="s">
        <v>4364</v>
      </c>
      <c r="D2">
        <v>1</v>
      </c>
      <c r="E2" t="s">
        <v>497</v>
      </c>
      <c r="F2">
        <v>10</v>
      </c>
      <c r="G2">
        <v>15</v>
      </c>
      <c r="H2">
        <v>80</v>
      </c>
      <c r="I2">
        <v>1</v>
      </c>
      <c r="J2" t="s">
        <v>5069</v>
      </c>
      <c r="K2">
        <v>0</v>
      </c>
      <c r="L2" t="s">
        <v>5070</v>
      </c>
      <c r="M2" t="s">
        <v>5071</v>
      </c>
      <c r="N2" t="s">
        <v>3998</v>
      </c>
      <c r="O2" t="s">
        <v>5072</v>
      </c>
      <c r="R2" t="s">
        <v>5073</v>
      </c>
      <c r="T2" t="s">
        <v>3507</v>
      </c>
    </row>
    <row r="3" spans="1:20" ht="15" customHeight="1" x14ac:dyDescent="0.25">
      <c r="A3" t="s">
        <v>5074</v>
      </c>
      <c r="B3" t="s">
        <v>5075</v>
      </c>
      <c r="C3" t="s">
        <v>4364</v>
      </c>
      <c r="D3">
        <v>2</v>
      </c>
      <c r="E3" t="s">
        <v>160</v>
      </c>
      <c r="F3">
        <v>16</v>
      </c>
      <c r="G3">
        <v>20</v>
      </c>
      <c r="H3">
        <v>90</v>
      </c>
      <c r="I3">
        <v>1</v>
      </c>
      <c r="J3" t="s">
        <v>5069</v>
      </c>
      <c r="K3">
        <v>0</v>
      </c>
      <c r="L3" t="s">
        <v>5076</v>
      </c>
      <c r="M3" t="s">
        <v>5077</v>
      </c>
      <c r="N3" t="s">
        <v>3998</v>
      </c>
      <c r="Q3" t="s">
        <v>5078</v>
      </c>
      <c r="R3" t="s">
        <v>5079</v>
      </c>
      <c r="S3" t="s">
        <v>5080</v>
      </c>
    </row>
    <row r="4" spans="1:20" ht="15" customHeight="1" x14ac:dyDescent="0.25">
      <c r="A4" t="s">
        <v>5081</v>
      </c>
      <c r="B4" t="s">
        <v>5082</v>
      </c>
      <c r="C4" t="s">
        <v>4364</v>
      </c>
      <c r="D4">
        <v>0</v>
      </c>
      <c r="E4" t="s">
        <v>160</v>
      </c>
      <c r="F4">
        <v>16</v>
      </c>
      <c r="G4">
        <v>20</v>
      </c>
      <c r="H4">
        <v>60</v>
      </c>
      <c r="I4">
        <v>1</v>
      </c>
      <c r="J4" t="s">
        <v>5083</v>
      </c>
      <c r="K4">
        <v>0</v>
      </c>
      <c r="L4" t="s">
        <v>5084</v>
      </c>
      <c r="M4" t="s">
        <v>5085</v>
      </c>
      <c r="N4" t="s">
        <v>3998</v>
      </c>
      <c r="Q4" t="s">
        <v>5086</v>
      </c>
      <c r="R4" t="s">
        <v>5087</v>
      </c>
    </row>
    <row r="5" spans="1:20" ht="15" customHeight="1" x14ac:dyDescent="0.25">
      <c r="A5" t="s">
        <v>5088</v>
      </c>
      <c r="B5" t="s">
        <v>5089</v>
      </c>
      <c r="C5" t="s">
        <v>4364</v>
      </c>
      <c r="D5">
        <v>2</v>
      </c>
      <c r="E5" t="s">
        <v>160</v>
      </c>
      <c r="F5">
        <v>16</v>
      </c>
      <c r="G5">
        <v>20</v>
      </c>
      <c r="H5">
        <v>0</v>
      </c>
      <c r="I5">
        <v>1</v>
      </c>
      <c r="J5" t="s">
        <v>5090</v>
      </c>
      <c r="K5">
        <v>0</v>
      </c>
      <c r="L5" t="s">
        <v>5091</v>
      </c>
      <c r="M5" t="s">
        <v>5092</v>
      </c>
      <c r="N5" t="s">
        <v>3998</v>
      </c>
      <c r="R5" t="s">
        <v>5093</v>
      </c>
    </row>
    <row r="6" spans="1:20" ht="15" customHeight="1" x14ac:dyDescent="0.25">
      <c r="A6" t="s">
        <v>5083</v>
      </c>
      <c r="B6" t="s">
        <v>5094</v>
      </c>
      <c r="C6" t="s">
        <v>4364</v>
      </c>
      <c r="D6">
        <v>0</v>
      </c>
      <c r="E6" t="s">
        <v>160</v>
      </c>
      <c r="F6">
        <v>16</v>
      </c>
      <c r="G6">
        <v>20</v>
      </c>
      <c r="H6">
        <v>70</v>
      </c>
      <c r="I6">
        <v>1</v>
      </c>
      <c r="J6" t="s">
        <v>5083</v>
      </c>
      <c r="K6">
        <v>0</v>
      </c>
      <c r="L6" t="s">
        <v>5076</v>
      </c>
      <c r="M6" t="s">
        <v>5095</v>
      </c>
      <c r="N6" t="s">
        <v>3998</v>
      </c>
      <c r="Q6" t="s">
        <v>5096</v>
      </c>
      <c r="R6" t="s">
        <v>5097</v>
      </c>
    </row>
    <row r="7" spans="1:20" ht="15" customHeight="1" x14ac:dyDescent="0.25">
      <c r="A7" t="s">
        <v>5098</v>
      </c>
      <c r="B7" t="s">
        <v>5099</v>
      </c>
      <c r="C7" t="s">
        <v>4364</v>
      </c>
      <c r="D7">
        <v>2</v>
      </c>
      <c r="E7" t="s">
        <v>497</v>
      </c>
      <c r="F7">
        <v>12</v>
      </c>
      <c r="G7">
        <v>16</v>
      </c>
      <c r="H7">
        <v>70</v>
      </c>
      <c r="I7">
        <v>1</v>
      </c>
      <c r="J7" t="s">
        <v>5100</v>
      </c>
      <c r="K7">
        <v>6</v>
      </c>
      <c r="L7" t="s">
        <v>5101</v>
      </c>
      <c r="M7" t="s">
        <v>5102</v>
      </c>
      <c r="N7" t="s">
        <v>3998</v>
      </c>
      <c r="O7" t="s">
        <v>5072</v>
      </c>
      <c r="P7" t="s">
        <v>5103</v>
      </c>
      <c r="R7" t="s">
        <v>5073</v>
      </c>
      <c r="T7" t="s">
        <v>3507</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5008</v>
      </c>
      <c r="D1" t="s">
        <v>5104</v>
      </c>
      <c r="E1" t="s">
        <v>3497</v>
      </c>
    </row>
    <row r="2" spans="1:5" ht="15" customHeight="1" x14ac:dyDescent="0.25">
      <c r="A2" t="s">
        <v>5105</v>
      </c>
      <c r="B2" t="s">
        <v>3833</v>
      </c>
      <c r="C2" t="s">
        <v>5106</v>
      </c>
      <c r="D2" t="s">
        <v>3451</v>
      </c>
    </row>
    <row r="3" spans="1:5" ht="15" customHeight="1" x14ac:dyDescent="0.25">
      <c r="A3" t="s">
        <v>5107</v>
      </c>
      <c r="B3" t="s">
        <v>3833</v>
      </c>
      <c r="C3" t="s">
        <v>5108</v>
      </c>
      <c r="D3" t="s">
        <v>3451</v>
      </c>
    </row>
    <row r="4" spans="1:5" ht="15" customHeight="1" x14ac:dyDescent="0.25">
      <c r="A4" t="s">
        <v>5109</v>
      </c>
      <c r="B4" t="s">
        <v>3833</v>
      </c>
      <c r="C4" t="s">
        <v>3930</v>
      </c>
      <c r="D4" t="s">
        <v>5110</v>
      </c>
    </row>
    <row r="5" spans="1:5" ht="15" customHeight="1" x14ac:dyDescent="0.25">
      <c r="A5" t="s">
        <v>5111</v>
      </c>
      <c r="B5" t="s">
        <v>3833</v>
      </c>
      <c r="C5" t="s">
        <v>5112</v>
      </c>
      <c r="D5" t="s">
        <v>3451</v>
      </c>
    </row>
    <row r="6" spans="1:5" ht="15" customHeight="1" x14ac:dyDescent="0.25">
      <c r="A6" t="s">
        <v>5113</v>
      </c>
      <c r="B6" t="s">
        <v>3833</v>
      </c>
      <c r="C6" t="s">
        <v>5114</v>
      </c>
      <c r="D6" t="s">
        <v>3451</v>
      </c>
    </row>
    <row r="7" spans="1:5" ht="15" customHeight="1" x14ac:dyDescent="0.25">
      <c r="A7" t="s">
        <v>5115</v>
      </c>
      <c r="B7" t="s">
        <v>3833</v>
      </c>
      <c r="C7" t="s">
        <v>5116</v>
      </c>
      <c r="D7" t="s">
        <v>5117</v>
      </c>
    </row>
    <row r="8" spans="1:5" ht="15" customHeight="1" x14ac:dyDescent="0.25">
      <c r="A8" t="s">
        <v>5118</v>
      </c>
      <c r="B8" t="s">
        <v>3833</v>
      </c>
      <c r="C8" t="s">
        <v>5119</v>
      </c>
      <c r="D8" t="s">
        <v>5120</v>
      </c>
    </row>
    <row r="9" spans="1:5" ht="15" customHeight="1" x14ac:dyDescent="0.25">
      <c r="A9" t="s">
        <v>5121</v>
      </c>
      <c r="B9" t="s">
        <v>5122</v>
      </c>
      <c r="C9" t="s">
        <v>5123</v>
      </c>
      <c r="D9" t="s">
        <v>3459</v>
      </c>
      <c r="E9" t="s">
        <v>5124</v>
      </c>
    </row>
    <row r="10" spans="1:5" ht="15" customHeight="1" x14ac:dyDescent="0.25">
      <c r="A10" t="s">
        <v>5125</v>
      </c>
      <c r="B10" t="s">
        <v>5122</v>
      </c>
      <c r="C10" t="s">
        <v>5126</v>
      </c>
      <c r="D10" t="s">
        <v>3459</v>
      </c>
      <c r="E10" t="s">
        <v>5127</v>
      </c>
    </row>
    <row r="11" spans="1:5" ht="15" customHeight="1" x14ac:dyDescent="0.25">
      <c r="A11" t="s">
        <v>5128</v>
      </c>
      <c r="B11" t="s">
        <v>5122</v>
      </c>
      <c r="C11" t="s">
        <v>5129</v>
      </c>
      <c r="D11" t="s">
        <v>3459</v>
      </c>
      <c r="E11" t="s">
        <v>5130</v>
      </c>
    </row>
    <row r="12" spans="1:5" ht="15" customHeight="1" x14ac:dyDescent="0.25">
      <c r="A12" t="s">
        <v>5131</v>
      </c>
      <c r="B12" t="s">
        <v>3833</v>
      </c>
      <c r="C12" t="s">
        <v>5132</v>
      </c>
      <c r="D12" t="s">
        <v>5133</v>
      </c>
    </row>
    <row r="13" spans="1:5" ht="15" customHeight="1" x14ac:dyDescent="0.25">
      <c r="A13" t="s">
        <v>5134</v>
      </c>
      <c r="B13" t="s">
        <v>3833</v>
      </c>
      <c r="C13" t="s">
        <v>5135</v>
      </c>
      <c r="D13" t="s">
        <v>3451</v>
      </c>
    </row>
    <row r="14" spans="1:5" ht="15" customHeight="1" x14ac:dyDescent="0.25">
      <c r="A14" t="s">
        <v>5136</v>
      </c>
      <c r="B14" t="s">
        <v>3833</v>
      </c>
      <c r="C14" t="s">
        <v>5137</v>
      </c>
      <c r="D14" t="s">
        <v>4254</v>
      </c>
    </row>
    <row r="15" spans="1:5" ht="15" customHeight="1" x14ac:dyDescent="0.25">
      <c r="A15" t="s">
        <v>5138</v>
      </c>
      <c r="B15" t="s">
        <v>3833</v>
      </c>
      <c r="C15" t="s">
        <v>5139</v>
      </c>
      <c r="D15" t="s">
        <v>3451</v>
      </c>
    </row>
    <row r="16" spans="1:5" ht="15" customHeight="1" x14ac:dyDescent="0.25">
      <c r="A16" t="s">
        <v>5140</v>
      </c>
      <c r="B16" t="s">
        <v>5122</v>
      </c>
      <c r="C16" t="s">
        <v>5141</v>
      </c>
      <c r="D16" t="s">
        <v>3459</v>
      </c>
      <c r="E16" t="s">
        <v>5142</v>
      </c>
    </row>
    <row r="17" spans="1:4" ht="15" customHeight="1" x14ac:dyDescent="0.25">
      <c r="A17" t="s">
        <v>5143</v>
      </c>
      <c r="B17" t="s">
        <v>3833</v>
      </c>
      <c r="C17" t="s">
        <v>5144</v>
      </c>
      <c r="D17" t="s">
        <v>5145</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3454</v>
      </c>
      <c r="C1" t="s">
        <v>167</v>
      </c>
      <c r="D1" t="s">
        <v>3982</v>
      </c>
      <c r="E1" t="s">
        <v>5146</v>
      </c>
      <c r="F1" t="s">
        <v>4260</v>
      </c>
      <c r="G1" t="s">
        <v>5147</v>
      </c>
      <c r="H1" t="s">
        <v>4010</v>
      </c>
      <c r="I1" t="s">
        <v>171</v>
      </c>
      <c r="J1" t="s">
        <v>6</v>
      </c>
      <c r="K1" t="s">
        <v>5148</v>
      </c>
    </row>
    <row r="2" spans="1:11" ht="15" customHeight="1" x14ac:dyDescent="0.25">
      <c r="A2" t="s">
        <v>5149</v>
      </c>
      <c r="B2" t="s">
        <v>5150</v>
      </c>
      <c r="C2" t="s">
        <v>3984</v>
      </c>
      <c r="D2" t="s">
        <v>187</v>
      </c>
      <c r="E2" t="s">
        <v>3459</v>
      </c>
      <c r="F2" t="s">
        <v>4298</v>
      </c>
      <c r="G2" t="s">
        <v>39</v>
      </c>
      <c r="H2" t="s">
        <v>4032</v>
      </c>
      <c r="I2" t="s">
        <v>5149</v>
      </c>
      <c r="J2" t="s">
        <v>3515</v>
      </c>
      <c r="K2" t="s">
        <v>3459</v>
      </c>
    </row>
    <row r="3" spans="1:11" ht="15" customHeight="1" x14ac:dyDescent="0.25">
      <c r="A3" t="s">
        <v>3522</v>
      </c>
      <c r="B3" t="s">
        <v>5151</v>
      </c>
      <c r="C3" t="s">
        <v>3740</v>
      </c>
      <c r="D3" t="s">
        <v>3998</v>
      </c>
      <c r="E3" t="s">
        <v>3459</v>
      </c>
      <c r="F3" t="s">
        <v>4298</v>
      </c>
      <c r="G3" t="s">
        <v>39</v>
      </c>
      <c r="H3" t="s">
        <v>4032</v>
      </c>
      <c r="I3" t="s">
        <v>3522</v>
      </c>
      <c r="J3" t="s">
        <v>3503</v>
      </c>
      <c r="K3" t="s">
        <v>3459</v>
      </c>
    </row>
    <row r="4" spans="1:11" ht="15" customHeight="1" x14ac:dyDescent="0.25">
      <c r="A4" t="s">
        <v>5152</v>
      </c>
      <c r="B4" t="s">
        <v>5153</v>
      </c>
      <c r="C4" t="s">
        <v>3993</v>
      </c>
      <c r="D4" t="s">
        <v>187</v>
      </c>
      <c r="E4" t="s">
        <v>3459</v>
      </c>
      <c r="F4" t="s">
        <v>5154</v>
      </c>
      <c r="G4" t="s">
        <v>39</v>
      </c>
      <c r="H4" t="s">
        <v>4015</v>
      </c>
      <c r="I4" t="s">
        <v>5152</v>
      </c>
      <c r="J4" t="s">
        <v>3515</v>
      </c>
      <c r="K4" t="s">
        <v>3459</v>
      </c>
    </row>
    <row r="5" spans="1:11" ht="15" customHeight="1" x14ac:dyDescent="0.25">
      <c r="A5" t="s">
        <v>5155</v>
      </c>
      <c r="B5" t="s">
        <v>5156</v>
      </c>
      <c r="C5" t="s">
        <v>3984</v>
      </c>
      <c r="D5" t="s">
        <v>187</v>
      </c>
      <c r="E5" t="s">
        <v>3459</v>
      </c>
      <c r="F5" t="s">
        <v>4298</v>
      </c>
      <c r="G5" t="s">
        <v>39</v>
      </c>
      <c r="H5" t="s">
        <v>4032</v>
      </c>
      <c r="I5" t="s">
        <v>5157</v>
      </c>
      <c r="J5" t="s">
        <v>3503</v>
      </c>
      <c r="K5" t="s">
        <v>3459</v>
      </c>
    </row>
    <row r="6" spans="1:11" ht="15" customHeight="1" x14ac:dyDescent="0.25">
      <c r="A6" t="s">
        <v>5158</v>
      </c>
      <c r="B6" t="s">
        <v>5159</v>
      </c>
      <c r="C6" t="s">
        <v>3993</v>
      </c>
      <c r="D6" t="s">
        <v>187</v>
      </c>
      <c r="E6" t="s">
        <v>3459</v>
      </c>
      <c r="F6" t="s">
        <v>5160</v>
      </c>
      <c r="G6" t="s">
        <v>39</v>
      </c>
      <c r="H6" t="s">
        <v>4015</v>
      </c>
      <c r="I6" t="s">
        <v>5158</v>
      </c>
      <c r="J6" t="s">
        <v>41</v>
      </c>
      <c r="K6" t="s">
        <v>3459</v>
      </c>
    </row>
    <row r="7" spans="1:11" ht="15" customHeight="1" x14ac:dyDescent="0.25">
      <c r="A7" t="s">
        <v>5161</v>
      </c>
      <c r="B7" t="s">
        <v>5162</v>
      </c>
      <c r="C7" t="s">
        <v>3984</v>
      </c>
      <c r="D7" t="s">
        <v>187</v>
      </c>
      <c r="E7" t="s">
        <v>3459</v>
      </c>
      <c r="F7" t="s">
        <v>5160</v>
      </c>
      <c r="G7" t="s">
        <v>39</v>
      </c>
      <c r="H7" t="s">
        <v>4032</v>
      </c>
      <c r="I7" t="s">
        <v>5161</v>
      </c>
      <c r="J7" t="s">
        <v>3503</v>
      </c>
      <c r="K7" t="s">
        <v>3459</v>
      </c>
    </row>
    <row r="8" spans="1:11" ht="15" customHeight="1" x14ac:dyDescent="0.25">
      <c r="A8" t="s">
        <v>5163</v>
      </c>
      <c r="B8" t="s">
        <v>5164</v>
      </c>
      <c r="C8" t="s">
        <v>3984</v>
      </c>
      <c r="D8" t="s">
        <v>187</v>
      </c>
      <c r="E8" t="s">
        <v>3459</v>
      </c>
      <c r="F8" t="s">
        <v>4298</v>
      </c>
      <c r="G8" t="s">
        <v>39</v>
      </c>
      <c r="H8" t="s">
        <v>4032</v>
      </c>
      <c r="I8" t="s">
        <v>5163</v>
      </c>
      <c r="J8" t="s">
        <v>41</v>
      </c>
      <c r="K8" t="s">
        <v>3459</v>
      </c>
    </row>
    <row r="9" spans="1:11" ht="15" customHeight="1" x14ac:dyDescent="0.25">
      <c r="A9" t="s">
        <v>5165</v>
      </c>
      <c r="B9" t="s">
        <v>5166</v>
      </c>
      <c r="C9" t="s">
        <v>3993</v>
      </c>
      <c r="D9" t="s">
        <v>187</v>
      </c>
      <c r="E9" t="s">
        <v>3459</v>
      </c>
      <c r="F9" t="s">
        <v>4298</v>
      </c>
      <c r="G9" t="s">
        <v>39</v>
      </c>
      <c r="H9" t="s">
        <v>4015</v>
      </c>
      <c r="I9" t="s">
        <v>5165</v>
      </c>
      <c r="J9" t="s">
        <v>41</v>
      </c>
      <c r="K9" t="s">
        <v>3459</v>
      </c>
    </row>
    <row r="10" spans="1:11" ht="15" customHeight="1" x14ac:dyDescent="0.25">
      <c r="A10" t="s">
        <v>5167</v>
      </c>
      <c r="B10" t="s">
        <v>5168</v>
      </c>
      <c r="C10" t="s">
        <v>3984</v>
      </c>
      <c r="D10" t="s">
        <v>187</v>
      </c>
      <c r="E10" t="s">
        <v>3459</v>
      </c>
      <c r="F10" t="s">
        <v>5169</v>
      </c>
      <c r="G10" t="s">
        <v>39</v>
      </c>
      <c r="H10" t="s">
        <v>4032</v>
      </c>
      <c r="I10" t="s">
        <v>5167</v>
      </c>
      <c r="J10" t="s">
        <v>3503</v>
      </c>
      <c r="K10" t="s">
        <v>3459</v>
      </c>
    </row>
    <row r="11" spans="1:11" ht="15" customHeight="1" x14ac:dyDescent="0.25">
      <c r="A11" t="s">
        <v>4003</v>
      </c>
      <c r="B11" t="s">
        <v>5170</v>
      </c>
      <c r="C11" t="s">
        <v>3993</v>
      </c>
      <c r="D11" t="s">
        <v>187</v>
      </c>
      <c r="E11" t="s">
        <v>3459</v>
      </c>
      <c r="F11" t="s">
        <v>5160</v>
      </c>
      <c r="G11" t="s">
        <v>39</v>
      </c>
      <c r="H11" t="s">
        <v>4015</v>
      </c>
      <c r="I11" t="s">
        <v>4003</v>
      </c>
      <c r="J11" t="s">
        <v>41</v>
      </c>
      <c r="K11" t="s">
        <v>3459</v>
      </c>
    </row>
    <row r="12" spans="1:11" ht="15" customHeight="1" x14ac:dyDescent="0.25">
      <c r="A12" t="s">
        <v>5171</v>
      </c>
      <c r="B12" t="s">
        <v>5172</v>
      </c>
      <c r="C12" t="s">
        <v>3984</v>
      </c>
      <c r="D12" t="s">
        <v>187</v>
      </c>
      <c r="E12" t="s">
        <v>3459</v>
      </c>
      <c r="F12" t="s">
        <v>5173</v>
      </c>
      <c r="G12" t="s">
        <v>5174</v>
      </c>
      <c r="H12" t="s">
        <v>4032</v>
      </c>
      <c r="I12" t="s">
        <v>5171</v>
      </c>
      <c r="J12" t="s">
        <v>3503</v>
      </c>
      <c r="K12" t="s">
        <v>3459</v>
      </c>
    </row>
    <row r="13" spans="1:11" ht="15" customHeight="1" x14ac:dyDescent="0.25">
      <c r="A13" t="s">
        <v>5175</v>
      </c>
      <c r="B13" t="s">
        <v>5176</v>
      </c>
      <c r="C13" t="s">
        <v>3993</v>
      </c>
      <c r="D13" t="s">
        <v>187</v>
      </c>
      <c r="E13" t="s">
        <v>3459</v>
      </c>
      <c r="F13" t="s">
        <v>5173</v>
      </c>
      <c r="G13" t="s">
        <v>5177</v>
      </c>
      <c r="H13" t="s">
        <v>4015</v>
      </c>
      <c r="I13" t="s">
        <v>5175</v>
      </c>
      <c r="J13" t="s">
        <v>3459</v>
      </c>
      <c r="K13" t="s">
        <v>3459</v>
      </c>
    </row>
    <row r="14" spans="1:11" ht="15" customHeight="1" x14ac:dyDescent="0.25">
      <c r="A14" t="s">
        <v>5178</v>
      </c>
      <c r="B14" t="s">
        <v>5179</v>
      </c>
      <c r="C14" t="s">
        <v>3993</v>
      </c>
      <c r="D14" t="s">
        <v>187</v>
      </c>
      <c r="E14" t="s">
        <v>3459</v>
      </c>
      <c r="F14" t="s">
        <v>5160</v>
      </c>
      <c r="G14" t="s">
        <v>5174</v>
      </c>
      <c r="H14" t="s">
        <v>4015</v>
      </c>
      <c r="I14" t="s">
        <v>5178</v>
      </c>
      <c r="J14" t="s">
        <v>3459</v>
      </c>
      <c r="K14" t="s">
        <v>3459</v>
      </c>
    </row>
    <row r="15" spans="1:11" ht="15" customHeight="1" x14ac:dyDescent="0.25">
      <c r="A15" t="s">
        <v>5180</v>
      </c>
      <c r="B15" t="s">
        <v>5181</v>
      </c>
      <c r="C15" t="s">
        <v>3993</v>
      </c>
      <c r="D15" t="s">
        <v>187</v>
      </c>
      <c r="E15" t="s">
        <v>3459</v>
      </c>
      <c r="F15" t="s">
        <v>4298</v>
      </c>
      <c r="G15" t="s">
        <v>5177</v>
      </c>
      <c r="H15" t="s">
        <v>4015</v>
      </c>
      <c r="I15" t="s">
        <v>5182</v>
      </c>
      <c r="J15" t="s">
        <v>3459</v>
      </c>
      <c r="K15" t="s">
        <v>3459</v>
      </c>
    </row>
    <row r="16" spans="1:11" ht="15" customHeight="1" x14ac:dyDescent="0.25">
      <c r="A16" t="s">
        <v>5183</v>
      </c>
      <c r="B16" t="s">
        <v>5184</v>
      </c>
      <c r="C16" t="s">
        <v>3740</v>
      </c>
      <c r="D16" t="s">
        <v>3998</v>
      </c>
      <c r="E16" t="s">
        <v>3459</v>
      </c>
      <c r="F16" t="s">
        <v>4298</v>
      </c>
      <c r="G16" t="s">
        <v>39</v>
      </c>
      <c r="H16" t="s">
        <v>4032</v>
      </c>
      <c r="I16" t="s">
        <v>5185</v>
      </c>
      <c r="J16" t="s">
        <v>3459</v>
      </c>
      <c r="K16" t="s">
        <v>3459</v>
      </c>
    </row>
    <row r="17" spans="1:11" ht="15" customHeight="1" x14ac:dyDescent="0.25">
      <c r="A17" t="s">
        <v>3513</v>
      </c>
      <c r="B17" t="s">
        <v>5186</v>
      </c>
      <c r="C17" t="s">
        <v>3984</v>
      </c>
      <c r="D17" t="s">
        <v>187</v>
      </c>
      <c r="E17" t="s">
        <v>3459</v>
      </c>
      <c r="F17" t="s">
        <v>4298</v>
      </c>
      <c r="G17" t="s">
        <v>39</v>
      </c>
      <c r="H17" t="s">
        <v>4032</v>
      </c>
      <c r="I17" t="s">
        <v>3513</v>
      </c>
      <c r="J17" t="s">
        <v>3515</v>
      </c>
      <c r="K17" t="s">
        <v>3459</v>
      </c>
    </row>
    <row r="18" spans="1:11" ht="15" customHeight="1" x14ac:dyDescent="0.25">
      <c r="A18" t="s">
        <v>5187</v>
      </c>
      <c r="B18" t="s">
        <v>5188</v>
      </c>
      <c r="C18" t="s">
        <v>3984</v>
      </c>
      <c r="D18" t="s">
        <v>187</v>
      </c>
      <c r="E18" t="s">
        <v>3459</v>
      </c>
      <c r="F18" t="s">
        <v>5189</v>
      </c>
      <c r="G18" t="s">
        <v>39</v>
      </c>
      <c r="H18" t="s">
        <v>4032</v>
      </c>
      <c r="I18" t="s">
        <v>5187</v>
      </c>
      <c r="J18" t="s">
        <v>3503</v>
      </c>
      <c r="K18" t="s">
        <v>3459</v>
      </c>
    </row>
    <row r="19" spans="1:11" ht="15" customHeight="1" x14ac:dyDescent="0.25">
      <c r="A19" t="s">
        <v>5190</v>
      </c>
      <c r="B19" t="s">
        <v>5191</v>
      </c>
      <c r="C19" t="s">
        <v>3993</v>
      </c>
      <c r="D19" t="s">
        <v>187</v>
      </c>
      <c r="E19" t="s">
        <v>3459</v>
      </c>
      <c r="F19" t="s">
        <v>4298</v>
      </c>
      <c r="G19" t="s">
        <v>39</v>
      </c>
      <c r="H19" t="s">
        <v>4015</v>
      </c>
      <c r="I19" t="s">
        <v>5190</v>
      </c>
      <c r="J19" t="s">
        <v>3515</v>
      </c>
      <c r="K19" t="s">
        <v>3459</v>
      </c>
    </row>
    <row r="20" spans="1:11" ht="15" customHeight="1" x14ac:dyDescent="0.25">
      <c r="A20" t="s">
        <v>5192</v>
      </c>
      <c r="B20" t="s">
        <v>5193</v>
      </c>
      <c r="C20" t="s">
        <v>3984</v>
      </c>
      <c r="D20" t="s">
        <v>187</v>
      </c>
      <c r="E20" t="s">
        <v>3459</v>
      </c>
      <c r="F20" t="s">
        <v>5160</v>
      </c>
      <c r="G20" t="s">
        <v>5174</v>
      </c>
      <c r="H20" t="s">
        <v>4032</v>
      </c>
      <c r="I20" t="s">
        <v>5194</v>
      </c>
      <c r="J20" t="s">
        <v>3503</v>
      </c>
      <c r="K20" t="s">
        <v>3459</v>
      </c>
    </row>
    <row r="21" spans="1:11" ht="15" customHeight="1" x14ac:dyDescent="0.25">
      <c r="A21" t="s">
        <v>5195</v>
      </c>
      <c r="B21" t="s">
        <v>5196</v>
      </c>
      <c r="C21" t="s">
        <v>3993</v>
      </c>
      <c r="D21" t="s">
        <v>187</v>
      </c>
      <c r="E21" t="s">
        <v>3459</v>
      </c>
      <c r="F21" t="s">
        <v>5160</v>
      </c>
      <c r="G21" t="s">
        <v>39</v>
      </c>
      <c r="H21" t="s">
        <v>4015</v>
      </c>
      <c r="I21" t="s">
        <v>5195</v>
      </c>
      <c r="J21" t="s">
        <v>3503</v>
      </c>
      <c r="K21" t="s">
        <v>3459</v>
      </c>
    </row>
    <row r="22" spans="1:11" ht="15" customHeight="1" x14ac:dyDescent="0.25">
      <c r="A22" t="s">
        <v>5197</v>
      </c>
      <c r="B22" t="s">
        <v>5198</v>
      </c>
      <c r="C22" t="s">
        <v>3740</v>
      </c>
      <c r="D22" t="s">
        <v>187</v>
      </c>
      <c r="E22" t="s">
        <v>3459</v>
      </c>
      <c r="F22" t="s">
        <v>4298</v>
      </c>
      <c r="G22" t="s">
        <v>5174</v>
      </c>
      <c r="H22" t="s">
        <v>4032</v>
      </c>
      <c r="I22" t="s">
        <v>5197</v>
      </c>
      <c r="J22" t="s">
        <v>3459</v>
      </c>
      <c r="K22" t="s">
        <v>3459</v>
      </c>
    </row>
    <row r="23" spans="1:11" ht="15" customHeight="1" x14ac:dyDescent="0.25">
      <c r="A23" t="s">
        <v>5199</v>
      </c>
      <c r="B23" t="s">
        <v>5200</v>
      </c>
      <c r="C23" t="s">
        <v>3740</v>
      </c>
      <c r="D23" t="s">
        <v>187</v>
      </c>
      <c r="E23" t="s">
        <v>3459</v>
      </c>
      <c r="F23" t="s">
        <v>4298</v>
      </c>
      <c r="G23" t="s">
        <v>5174</v>
      </c>
      <c r="H23" t="s">
        <v>4032</v>
      </c>
      <c r="I23" t="s">
        <v>5199</v>
      </c>
      <c r="J23" t="s">
        <v>3459</v>
      </c>
      <c r="K23" t="s">
        <v>3459</v>
      </c>
    </row>
    <row r="24" spans="1:11" ht="15" customHeight="1" x14ac:dyDescent="0.25">
      <c r="A24" t="s">
        <v>5201</v>
      </c>
      <c r="B24" t="s">
        <v>5202</v>
      </c>
      <c r="C24" t="s">
        <v>3993</v>
      </c>
      <c r="D24" t="s">
        <v>187</v>
      </c>
      <c r="E24" t="s">
        <v>3459</v>
      </c>
      <c r="F24" t="s">
        <v>5160</v>
      </c>
      <c r="G24" t="s">
        <v>39</v>
      </c>
      <c r="H24" t="s">
        <v>4015</v>
      </c>
      <c r="I24" t="s">
        <v>5203</v>
      </c>
      <c r="J24" t="s">
        <v>3459</v>
      </c>
      <c r="K24" t="s">
        <v>3459</v>
      </c>
    </row>
    <row r="25" spans="1:11" ht="15" customHeight="1" x14ac:dyDescent="0.25">
      <c r="A25" t="s">
        <v>5204</v>
      </c>
      <c r="B25" t="s">
        <v>5205</v>
      </c>
      <c r="C25" t="s">
        <v>3993</v>
      </c>
      <c r="D25" t="s">
        <v>187</v>
      </c>
      <c r="E25" t="s">
        <v>3459</v>
      </c>
      <c r="F25" t="s">
        <v>5206</v>
      </c>
      <c r="G25" t="s">
        <v>5174</v>
      </c>
      <c r="H25" t="s">
        <v>4015</v>
      </c>
      <c r="I25" t="s">
        <v>5204</v>
      </c>
      <c r="J25" t="s">
        <v>3515</v>
      </c>
      <c r="K25" t="s">
        <v>3459</v>
      </c>
    </row>
    <row r="26" spans="1:11" ht="15" customHeight="1" x14ac:dyDescent="0.25">
      <c r="A26" t="s">
        <v>5207</v>
      </c>
      <c r="B26" t="s">
        <v>5208</v>
      </c>
      <c r="C26" t="s">
        <v>3740</v>
      </c>
      <c r="D26" t="s">
        <v>187</v>
      </c>
      <c r="E26" t="s">
        <v>3459</v>
      </c>
      <c r="F26" t="s">
        <v>4298</v>
      </c>
      <c r="G26" t="s">
        <v>5174</v>
      </c>
      <c r="H26" t="s">
        <v>4032</v>
      </c>
      <c r="I26" t="s">
        <v>5209</v>
      </c>
      <c r="J26" t="s">
        <v>3459</v>
      </c>
      <c r="K26" t="s">
        <v>3459</v>
      </c>
    </row>
    <row r="27" spans="1:11" ht="15" customHeight="1" x14ac:dyDescent="0.25">
      <c r="A27" t="s">
        <v>5210</v>
      </c>
      <c r="B27" t="s">
        <v>5211</v>
      </c>
      <c r="C27" t="s">
        <v>3740</v>
      </c>
      <c r="D27" t="s">
        <v>187</v>
      </c>
      <c r="E27" t="s">
        <v>3459</v>
      </c>
      <c r="F27" t="s">
        <v>4298</v>
      </c>
      <c r="G27" t="s">
        <v>5174</v>
      </c>
      <c r="H27" t="s">
        <v>4032</v>
      </c>
      <c r="I27" t="s">
        <v>5212</v>
      </c>
      <c r="J27" t="s">
        <v>3459</v>
      </c>
      <c r="K27" t="s">
        <v>3459</v>
      </c>
    </row>
    <row r="28" spans="1:11" ht="15" customHeight="1" x14ac:dyDescent="0.25">
      <c r="A28" t="s">
        <v>5213</v>
      </c>
      <c r="B28" t="s">
        <v>5214</v>
      </c>
      <c r="C28" t="s">
        <v>3984</v>
      </c>
      <c r="D28" t="s">
        <v>187</v>
      </c>
      <c r="E28" t="s">
        <v>3459</v>
      </c>
      <c r="F28" t="s">
        <v>5173</v>
      </c>
      <c r="G28" t="s">
        <v>39</v>
      </c>
      <c r="H28" t="s">
        <v>4032</v>
      </c>
      <c r="I28" t="s">
        <v>5215</v>
      </c>
      <c r="J28" t="s">
        <v>3515</v>
      </c>
      <c r="K28" t="s">
        <v>3459</v>
      </c>
    </row>
    <row r="29" spans="1:11" ht="15" customHeight="1" x14ac:dyDescent="0.25">
      <c r="A29" t="s">
        <v>5216</v>
      </c>
      <c r="B29" t="s">
        <v>5217</v>
      </c>
      <c r="C29" t="s">
        <v>3740</v>
      </c>
      <c r="D29" t="s">
        <v>3998</v>
      </c>
      <c r="E29" t="s">
        <v>3459</v>
      </c>
      <c r="F29" t="s">
        <v>5218</v>
      </c>
      <c r="G29" t="s">
        <v>5177</v>
      </c>
      <c r="H29" t="s">
        <v>4015</v>
      </c>
      <c r="I29" t="s">
        <v>5216</v>
      </c>
      <c r="J29" t="s">
        <v>3459</v>
      </c>
      <c r="K29" t="s">
        <v>3459</v>
      </c>
    </row>
    <row r="30" spans="1:11" ht="15" customHeight="1" x14ac:dyDescent="0.25">
      <c r="A30" t="s">
        <v>5219</v>
      </c>
      <c r="B30" t="s">
        <v>5220</v>
      </c>
      <c r="C30" t="s">
        <v>3740</v>
      </c>
      <c r="D30" t="s">
        <v>3998</v>
      </c>
      <c r="E30" t="s">
        <v>3459</v>
      </c>
      <c r="F30" t="s">
        <v>4298</v>
      </c>
      <c r="G30" t="s">
        <v>5177</v>
      </c>
      <c r="H30" t="s">
        <v>4043</v>
      </c>
      <c r="I30" t="s">
        <v>5219</v>
      </c>
      <c r="J30" t="s">
        <v>3459</v>
      </c>
      <c r="K30" t="s">
        <v>3459</v>
      </c>
    </row>
    <row r="31" spans="1:11" ht="15" customHeight="1" x14ac:dyDescent="0.25">
      <c r="A31" t="s">
        <v>5221</v>
      </c>
      <c r="B31" t="s">
        <v>5222</v>
      </c>
      <c r="C31" t="s">
        <v>3993</v>
      </c>
      <c r="D31" t="s">
        <v>187</v>
      </c>
      <c r="E31" t="s">
        <v>3459</v>
      </c>
      <c r="F31" t="s">
        <v>5160</v>
      </c>
      <c r="G31" t="s">
        <v>5174</v>
      </c>
      <c r="H31" t="s">
        <v>4015</v>
      </c>
      <c r="I31" t="s">
        <v>5221</v>
      </c>
      <c r="J31" t="s">
        <v>41</v>
      </c>
      <c r="K31" t="s">
        <v>3459</v>
      </c>
    </row>
    <row r="32" spans="1:11" ht="15" customHeight="1" x14ac:dyDescent="0.25">
      <c r="A32" t="s">
        <v>5223</v>
      </c>
      <c r="B32" t="s">
        <v>5224</v>
      </c>
      <c r="C32" t="s">
        <v>3984</v>
      </c>
      <c r="D32" t="s">
        <v>187</v>
      </c>
      <c r="E32" t="s">
        <v>3459</v>
      </c>
      <c r="F32" t="s">
        <v>5160</v>
      </c>
      <c r="G32" t="s">
        <v>39</v>
      </c>
      <c r="H32" t="s">
        <v>4032</v>
      </c>
      <c r="I32" t="s">
        <v>5223</v>
      </c>
      <c r="J32" t="s">
        <v>3503</v>
      </c>
      <c r="K32" t="s">
        <v>3459</v>
      </c>
    </row>
    <row r="33" spans="1:11" ht="15" customHeight="1" x14ac:dyDescent="0.25">
      <c r="A33" t="s">
        <v>5225</v>
      </c>
      <c r="B33" t="s">
        <v>5226</v>
      </c>
      <c r="C33" t="s">
        <v>3993</v>
      </c>
      <c r="D33" t="s">
        <v>187</v>
      </c>
      <c r="E33" t="s">
        <v>3459</v>
      </c>
      <c r="F33" t="s">
        <v>4298</v>
      </c>
      <c r="G33" t="s">
        <v>39</v>
      </c>
      <c r="H33" t="s">
        <v>4015</v>
      </c>
      <c r="I33" t="s">
        <v>5225</v>
      </c>
      <c r="J33" t="s">
        <v>3515</v>
      </c>
      <c r="K33" t="s">
        <v>3459</v>
      </c>
    </row>
    <row r="34" spans="1:11" ht="15" customHeight="1" x14ac:dyDescent="0.25">
      <c r="A34" t="s">
        <v>5227</v>
      </c>
      <c r="B34" t="s">
        <v>5228</v>
      </c>
      <c r="C34" t="s">
        <v>3740</v>
      </c>
      <c r="D34" t="s">
        <v>3998</v>
      </c>
      <c r="E34" t="s">
        <v>3459</v>
      </c>
      <c r="F34" t="s">
        <v>4298</v>
      </c>
      <c r="G34" t="s">
        <v>5177</v>
      </c>
      <c r="H34" t="s">
        <v>4032</v>
      </c>
      <c r="I34" t="s">
        <v>5229</v>
      </c>
      <c r="J34" t="s">
        <v>3459</v>
      </c>
      <c r="K34" t="s">
        <v>3459</v>
      </c>
    </row>
    <row r="35" spans="1:11" ht="15" customHeight="1" x14ac:dyDescent="0.25">
      <c r="A35" t="s">
        <v>5230</v>
      </c>
      <c r="B35" t="s">
        <v>5231</v>
      </c>
      <c r="C35" t="s">
        <v>3984</v>
      </c>
      <c r="D35" t="s">
        <v>5232</v>
      </c>
      <c r="E35" t="s">
        <v>3459</v>
      </c>
      <c r="F35" t="s">
        <v>5233</v>
      </c>
      <c r="G35" t="s">
        <v>5174</v>
      </c>
      <c r="H35" t="s">
        <v>4032</v>
      </c>
      <c r="I35" t="s">
        <v>5234</v>
      </c>
      <c r="J35" t="s">
        <v>41</v>
      </c>
      <c r="K35" t="s">
        <v>3459</v>
      </c>
    </row>
    <row r="36" spans="1:11" ht="15" customHeight="1" x14ac:dyDescent="0.25">
      <c r="A36" t="s">
        <v>5235</v>
      </c>
      <c r="B36" t="s">
        <v>5236</v>
      </c>
      <c r="C36" t="s">
        <v>3984</v>
      </c>
      <c r="D36" t="s">
        <v>5232</v>
      </c>
      <c r="E36" t="s">
        <v>3459</v>
      </c>
      <c r="F36" t="s">
        <v>5233</v>
      </c>
      <c r="G36" t="s">
        <v>5174</v>
      </c>
      <c r="H36" t="s">
        <v>4032</v>
      </c>
      <c r="I36" t="s">
        <v>5237</v>
      </c>
      <c r="J36" t="s">
        <v>3503</v>
      </c>
      <c r="K36" t="s">
        <v>3459</v>
      </c>
    </row>
    <row r="37" spans="1:11" ht="15" customHeight="1" x14ac:dyDescent="0.25">
      <c r="A37" t="s">
        <v>5238</v>
      </c>
      <c r="B37" t="s">
        <v>5239</v>
      </c>
      <c r="C37" t="s">
        <v>3984</v>
      </c>
      <c r="D37" t="s">
        <v>5232</v>
      </c>
      <c r="E37" t="s">
        <v>3459</v>
      </c>
      <c r="F37" t="s">
        <v>5233</v>
      </c>
      <c r="G37" t="s">
        <v>5174</v>
      </c>
      <c r="H37" t="s">
        <v>4032</v>
      </c>
      <c r="I37" t="s">
        <v>5240</v>
      </c>
      <c r="J37" t="s">
        <v>3503</v>
      </c>
      <c r="K37" t="s">
        <v>3459</v>
      </c>
    </row>
    <row r="38" spans="1:11" ht="15" customHeight="1" x14ac:dyDescent="0.25">
      <c r="A38" t="s">
        <v>5241</v>
      </c>
      <c r="B38" t="s">
        <v>5242</v>
      </c>
      <c r="C38" t="s">
        <v>3993</v>
      </c>
      <c r="D38" t="s">
        <v>3998</v>
      </c>
      <c r="E38" t="s">
        <v>3459</v>
      </c>
      <c r="F38" t="s">
        <v>5160</v>
      </c>
      <c r="G38" t="s">
        <v>5174</v>
      </c>
      <c r="H38" t="s">
        <v>4015</v>
      </c>
      <c r="I38" t="s">
        <v>5243</v>
      </c>
      <c r="J38" t="s">
        <v>3459</v>
      </c>
      <c r="K38" t="s">
        <v>3459</v>
      </c>
    </row>
    <row r="39" spans="1:11" ht="15" customHeight="1" x14ac:dyDescent="0.25">
      <c r="A39" t="s">
        <v>5244</v>
      </c>
      <c r="B39" t="s">
        <v>5245</v>
      </c>
      <c r="C39" t="s">
        <v>3993</v>
      </c>
      <c r="D39" t="s">
        <v>187</v>
      </c>
      <c r="E39" t="s">
        <v>3459</v>
      </c>
      <c r="F39" t="s">
        <v>5160</v>
      </c>
      <c r="G39" t="s">
        <v>39</v>
      </c>
      <c r="H39" t="s">
        <v>4015</v>
      </c>
      <c r="I39" t="s">
        <v>5244</v>
      </c>
      <c r="J39" t="s">
        <v>3459</v>
      </c>
      <c r="K39" t="s">
        <v>3459</v>
      </c>
    </row>
    <row r="40" spans="1:11" ht="15" customHeight="1" x14ac:dyDescent="0.25">
      <c r="A40" t="s">
        <v>5246</v>
      </c>
      <c r="B40" t="s">
        <v>5247</v>
      </c>
      <c r="C40" t="s">
        <v>3984</v>
      </c>
      <c r="D40" t="s">
        <v>187</v>
      </c>
      <c r="E40" t="s">
        <v>3459</v>
      </c>
      <c r="F40" t="s">
        <v>4298</v>
      </c>
      <c r="G40" t="s">
        <v>39</v>
      </c>
      <c r="H40" t="s">
        <v>4032</v>
      </c>
      <c r="I40" t="s">
        <v>5246</v>
      </c>
      <c r="J40" t="s">
        <v>3503</v>
      </c>
      <c r="K40" t="s">
        <v>3459</v>
      </c>
    </row>
    <row r="41" spans="1:11" ht="15" customHeight="1" x14ac:dyDescent="0.25">
      <c r="A41" t="s">
        <v>5248</v>
      </c>
      <c r="B41" t="s">
        <v>5249</v>
      </c>
      <c r="C41" t="s">
        <v>3740</v>
      </c>
      <c r="D41" t="s">
        <v>3998</v>
      </c>
      <c r="E41" t="s">
        <v>3459</v>
      </c>
      <c r="F41" t="s">
        <v>4298</v>
      </c>
      <c r="G41" t="s">
        <v>5177</v>
      </c>
      <c r="H41" t="s">
        <v>4043</v>
      </c>
      <c r="I41" t="s">
        <v>5250</v>
      </c>
      <c r="J41" t="s">
        <v>3459</v>
      </c>
      <c r="K41" t="s">
        <v>3459</v>
      </c>
    </row>
    <row r="42" spans="1:11" ht="15" customHeight="1" x14ac:dyDescent="0.25">
      <c r="A42" t="s">
        <v>5251</v>
      </c>
      <c r="B42" t="s">
        <v>5252</v>
      </c>
      <c r="C42" t="s">
        <v>3984</v>
      </c>
      <c r="D42" t="s">
        <v>187</v>
      </c>
      <c r="E42" t="s">
        <v>3459</v>
      </c>
      <c r="F42" t="s">
        <v>5253</v>
      </c>
      <c r="G42" t="s">
        <v>39</v>
      </c>
      <c r="H42" t="s">
        <v>4032</v>
      </c>
      <c r="I42" t="s">
        <v>5254</v>
      </c>
      <c r="J42" t="s">
        <v>3515</v>
      </c>
      <c r="K42" t="s">
        <v>3459</v>
      </c>
    </row>
    <row r="43" spans="1:11" ht="15" customHeight="1" x14ac:dyDescent="0.25">
      <c r="A43" t="s">
        <v>5255</v>
      </c>
      <c r="B43" t="s">
        <v>5256</v>
      </c>
      <c r="C43" t="s">
        <v>3993</v>
      </c>
      <c r="D43" t="s">
        <v>187</v>
      </c>
      <c r="E43" t="s">
        <v>3459</v>
      </c>
      <c r="F43" t="s">
        <v>5257</v>
      </c>
      <c r="G43" t="s">
        <v>39</v>
      </c>
      <c r="H43" t="s">
        <v>4015</v>
      </c>
      <c r="I43" t="s">
        <v>5255</v>
      </c>
      <c r="J43" t="s">
        <v>41</v>
      </c>
      <c r="K43" t="s">
        <v>3459</v>
      </c>
    </row>
    <row r="44" spans="1:11" ht="15" customHeight="1" x14ac:dyDescent="0.25">
      <c r="A44" t="s">
        <v>4598</v>
      </c>
      <c r="B44" t="s">
        <v>5258</v>
      </c>
      <c r="C44" t="s">
        <v>3984</v>
      </c>
      <c r="D44" t="s">
        <v>187</v>
      </c>
      <c r="E44" t="s">
        <v>3459</v>
      </c>
      <c r="F44" t="s">
        <v>4298</v>
      </c>
      <c r="G44" t="s">
        <v>39</v>
      </c>
      <c r="H44" t="s">
        <v>4032</v>
      </c>
      <c r="I44" t="s">
        <v>4598</v>
      </c>
      <c r="J44" t="s">
        <v>3515</v>
      </c>
      <c r="K44" t="s">
        <v>3459</v>
      </c>
    </row>
    <row r="45" spans="1:11" ht="15" customHeight="1" x14ac:dyDescent="0.25">
      <c r="A45" t="s">
        <v>5259</v>
      </c>
      <c r="B45" t="s">
        <v>5260</v>
      </c>
      <c r="C45" t="s">
        <v>3984</v>
      </c>
      <c r="D45" t="s">
        <v>187</v>
      </c>
      <c r="E45" t="s">
        <v>3459</v>
      </c>
      <c r="F45" t="s">
        <v>5160</v>
      </c>
      <c r="G45" t="s">
        <v>39</v>
      </c>
      <c r="H45" t="s">
        <v>4032</v>
      </c>
      <c r="I45" t="s">
        <v>5259</v>
      </c>
      <c r="J45" t="s">
        <v>3515</v>
      </c>
      <c r="K45" t="s">
        <v>3459</v>
      </c>
    </row>
    <row r="46" spans="1:11" ht="15" customHeight="1" x14ac:dyDescent="0.25">
      <c r="A46" t="s">
        <v>5261</v>
      </c>
      <c r="B46" t="s">
        <v>5262</v>
      </c>
      <c r="C46" t="s">
        <v>3740</v>
      </c>
      <c r="D46" t="s">
        <v>3998</v>
      </c>
      <c r="E46" t="s">
        <v>3459</v>
      </c>
      <c r="F46" t="s">
        <v>4298</v>
      </c>
      <c r="G46" t="s">
        <v>5177</v>
      </c>
      <c r="H46" t="s">
        <v>4043</v>
      </c>
      <c r="I46" t="s">
        <v>5261</v>
      </c>
      <c r="J46" t="s">
        <v>3459</v>
      </c>
      <c r="K46" t="s">
        <v>3459</v>
      </c>
    </row>
    <row r="47" spans="1:11" ht="15" customHeight="1" x14ac:dyDescent="0.25">
      <c r="A47" t="s">
        <v>5263</v>
      </c>
      <c r="B47" t="s">
        <v>5264</v>
      </c>
      <c r="C47" t="s">
        <v>3984</v>
      </c>
      <c r="D47" t="s">
        <v>187</v>
      </c>
      <c r="E47" t="s">
        <v>3459</v>
      </c>
      <c r="F47" t="s">
        <v>4298</v>
      </c>
      <c r="G47" t="s">
        <v>39</v>
      </c>
      <c r="H47" t="s">
        <v>4032</v>
      </c>
      <c r="I47" t="s">
        <v>5263</v>
      </c>
      <c r="J47" t="s">
        <v>3503</v>
      </c>
      <c r="K47" t="s">
        <v>3459</v>
      </c>
    </row>
    <row r="48" spans="1:11" ht="15" customHeight="1" x14ac:dyDescent="0.25">
      <c r="A48" t="s">
        <v>5265</v>
      </c>
      <c r="B48" t="s">
        <v>5266</v>
      </c>
      <c r="C48" t="s">
        <v>3993</v>
      </c>
      <c r="D48" t="s">
        <v>187</v>
      </c>
      <c r="E48" t="s">
        <v>3459</v>
      </c>
      <c r="F48" t="s">
        <v>5267</v>
      </c>
      <c r="G48" t="s">
        <v>39</v>
      </c>
      <c r="H48" t="s">
        <v>4015</v>
      </c>
      <c r="I48" t="s">
        <v>5265</v>
      </c>
      <c r="J48" t="s">
        <v>3459</v>
      </c>
      <c r="K48" t="s">
        <v>3459</v>
      </c>
    </row>
    <row r="49" spans="1:11" ht="15" customHeight="1" x14ac:dyDescent="0.25">
      <c r="A49" t="s">
        <v>5268</v>
      </c>
      <c r="B49" t="s">
        <v>5269</v>
      </c>
      <c r="C49" t="s">
        <v>3740</v>
      </c>
      <c r="D49" t="s">
        <v>3998</v>
      </c>
      <c r="E49" t="s">
        <v>3459</v>
      </c>
      <c r="F49" t="s">
        <v>4298</v>
      </c>
      <c r="G49" t="s">
        <v>5177</v>
      </c>
      <c r="H49" t="s">
        <v>4043</v>
      </c>
      <c r="I49" t="s">
        <v>5268</v>
      </c>
      <c r="J49" t="s">
        <v>3459</v>
      </c>
      <c r="K49" t="s">
        <v>3459</v>
      </c>
    </row>
    <row r="50" spans="1:11" ht="15" customHeight="1" x14ac:dyDescent="0.25">
      <c r="A50" t="s">
        <v>5270</v>
      </c>
      <c r="B50" t="s">
        <v>5271</v>
      </c>
      <c r="C50" t="s">
        <v>3984</v>
      </c>
      <c r="D50" t="s">
        <v>187</v>
      </c>
      <c r="E50" t="s">
        <v>3459</v>
      </c>
      <c r="F50" t="s">
        <v>5233</v>
      </c>
      <c r="G50" t="s">
        <v>39</v>
      </c>
      <c r="H50" t="s">
        <v>4032</v>
      </c>
      <c r="I50" t="s">
        <v>5270</v>
      </c>
      <c r="J50" t="s">
        <v>3459</v>
      </c>
      <c r="K50" t="s">
        <v>3459</v>
      </c>
    </row>
    <row r="51" spans="1:11" ht="15" customHeight="1" x14ac:dyDescent="0.25">
      <c r="A51" t="s">
        <v>5272</v>
      </c>
      <c r="B51" t="s">
        <v>5273</v>
      </c>
      <c r="C51" t="s">
        <v>3993</v>
      </c>
      <c r="D51" t="s">
        <v>3998</v>
      </c>
      <c r="E51" t="s">
        <v>3459</v>
      </c>
      <c r="F51" t="s">
        <v>4298</v>
      </c>
      <c r="G51" t="s">
        <v>39</v>
      </c>
      <c r="H51" t="s">
        <v>4015</v>
      </c>
      <c r="I51" t="s">
        <v>5272</v>
      </c>
      <c r="J51" t="s">
        <v>3459</v>
      </c>
      <c r="K51" t="s">
        <v>3459</v>
      </c>
    </row>
    <row r="52" spans="1:11" ht="15" customHeight="1" x14ac:dyDescent="0.25">
      <c r="A52" t="s">
        <v>5274</v>
      </c>
      <c r="B52" t="s">
        <v>5275</v>
      </c>
      <c r="C52" t="s">
        <v>3993</v>
      </c>
      <c r="D52" t="s">
        <v>3998</v>
      </c>
      <c r="E52" t="s">
        <v>3459</v>
      </c>
      <c r="F52" t="s">
        <v>4298</v>
      </c>
      <c r="G52" t="s">
        <v>39</v>
      </c>
      <c r="H52" t="s">
        <v>4015</v>
      </c>
      <c r="I52" t="s">
        <v>5276</v>
      </c>
      <c r="J52" t="s">
        <v>3503</v>
      </c>
      <c r="K52" t="s">
        <v>3459</v>
      </c>
    </row>
    <row r="53" spans="1:11" ht="15" customHeight="1" x14ac:dyDescent="0.25">
      <c r="A53" t="s">
        <v>5277</v>
      </c>
      <c r="B53" t="s">
        <v>5278</v>
      </c>
      <c r="C53" t="s">
        <v>3740</v>
      </c>
      <c r="D53" t="s">
        <v>3998</v>
      </c>
      <c r="E53" t="s">
        <v>3459</v>
      </c>
      <c r="F53" t="s">
        <v>4298</v>
      </c>
      <c r="G53" t="s">
        <v>5177</v>
      </c>
      <c r="H53" t="s">
        <v>4032</v>
      </c>
      <c r="I53" t="s">
        <v>5277</v>
      </c>
      <c r="J53" t="s">
        <v>3459</v>
      </c>
      <c r="K53" t="s">
        <v>3459</v>
      </c>
    </row>
    <row r="54" spans="1:11" ht="15" customHeight="1" x14ac:dyDescent="0.25">
      <c r="A54" t="s">
        <v>5279</v>
      </c>
      <c r="B54" t="s">
        <v>5280</v>
      </c>
      <c r="C54" t="s">
        <v>3740</v>
      </c>
      <c r="D54" t="s">
        <v>3998</v>
      </c>
      <c r="E54" t="s">
        <v>3459</v>
      </c>
      <c r="F54" t="s">
        <v>4298</v>
      </c>
      <c r="G54" t="s">
        <v>5177</v>
      </c>
      <c r="H54" t="s">
        <v>4015</v>
      </c>
      <c r="I54" t="s">
        <v>5281</v>
      </c>
      <c r="J54" t="s">
        <v>3459</v>
      </c>
      <c r="K54" t="s">
        <v>3459</v>
      </c>
    </row>
    <row r="55" spans="1:11" ht="15" customHeight="1" x14ac:dyDescent="0.25">
      <c r="A55" t="s">
        <v>5281</v>
      </c>
      <c r="B55" t="s">
        <v>5282</v>
      </c>
      <c r="C55" t="s">
        <v>3993</v>
      </c>
      <c r="D55" t="s">
        <v>3998</v>
      </c>
      <c r="E55">
        <v>1</v>
      </c>
      <c r="F55" t="s">
        <v>5160</v>
      </c>
      <c r="G55" t="s">
        <v>5177</v>
      </c>
      <c r="H55" t="s">
        <v>4015</v>
      </c>
      <c r="I55" t="s">
        <v>5281</v>
      </c>
      <c r="J55" t="s">
        <v>3459</v>
      </c>
      <c r="K55" t="s">
        <v>3459</v>
      </c>
    </row>
    <row r="56" spans="1:11" ht="15" customHeight="1" x14ac:dyDescent="0.25">
      <c r="A56" t="s">
        <v>5283</v>
      </c>
      <c r="B56" t="s">
        <v>5284</v>
      </c>
      <c r="C56" t="s">
        <v>3984</v>
      </c>
      <c r="D56" t="s">
        <v>187</v>
      </c>
      <c r="E56" t="s">
        <v>3459</v>
      </c>
      <c r="F56" t="s">
        <v>4298</v>
      </c>
      <c r="G56" t="s">
        <v>39</v>
      </c>
      <c r="H56" t="s">
        <v>4032</v>
      </c>
      <c r="I56" t="s">
        <v>5283</v>
      </c>
      <c r="J56" t="s">
        <v>3515</v>
      </c>
      <c r="K56" t="s">
        <v>3459</v>
      </c>
    </row>
    <row r="57" spans="1:11" ht="15" customHeight="1" x14ac:dyDescent="0.25">
      <c r="A57" t="s">
        <v>5285</v>
      </c>
      <c r="B57" t="s">
        <v>5286</v>
      </c>
      <c r="C57" t="s">
        <v>5287</v>
      </c>
      <c r="D57" t="s">
        <v>3998</v>
      </c>
      <c r="E57" t="s">
        <v>3459</v>
      </c>
      <c r="F57" t="s">
        <v>4298</v>
      </c>
      <c r="G57" t="s">
        <v>5177</v>
      </c>
      <c r="H57" t="s">
        <v>4043</v>
      </c>
      <c r="I57" t="s">
        <v>5285</v>
      </c>
      <c r="J57" t="s">
        <v>3459</v>
      </c>
      <c r="K57" t="s">
        <v>3459</v>
      </c>
    </row>
    <row r="58" spans="1:11" ht="15" customHeight="1" x14ac:dyDescent="0.25">
      <c r="A58" t="s">
        <v>5288</v>
      </c>
      <c r="B58" t="s">
        <v>5289</v>
      </c>
      <c r="C58" t="s">
        <v>3993</v>
      </c>
      <c r="D58" t="s">
        <v>187</v>
      </c>
      <c r="E58" t="s">
        <v>3459</v>
      </c>
      <c r="F58" t="s">
        <v>5160</v>
      </c>
      <c r="G58" t="s">
        <v>39</v>
      </c>
      <c r="H58" t="s">
        <v>4015</v>
      </c>
      <c r="I58" t="s">
        <v>5288</v>
      </c>
      <c r="J58" t="s">
        <v>41</v>
      </c>
      <c r="K58" t="s">
        <v>3459</v>
      </c>
    </row>
    <row r="59" spans="1:11" ht="15" customHeight="1" x14ac:dyDescent="0.25">
      <c r="A59" t="s">
        <v>5290</v>
      </c>
      <c r="B59" t="s">
        <v>5291</v>
      </c>
      <c r="C59" t="s">
        <v>3993</v>
      </c>
      <c r="D59" t="s">
        <v>187</v>
      </c>
      <c r="E59" t="s">
        <v>3459</v>
      </c>
      <c r="F59" t="s">
        <v>5160</v>
      </c>
      <c r="G59" t="s">
        <v>39</v>
      </c>
      <c r="H59" t="s">
        <v>4015</v>
      </c>
      <c r="I59" t="s">
        <v>5290</v>
      </c>
      <c r="J59" t="s">
        <v>41</v>
      </c>
      <c r="K59" t="s">
        <v>3459</v>
      </c>
    </row>
    <row r="60" spans="1:11" ht="15" customHeight="1" x14ac:dyDescent="0.25">
      <c r="A60" t="s">
        <v>5292</v>
      </c>
      <c r="B60" t="s">
        <v>5293</v>
      </c>
      <c r="C60" t="s">
        <v>3740</v>
      </c>
      <c r="D60" t="s">
        <v>187</v>
      </c>
      <c r="E60" t="s">
        <v>3459</v>
      </c>
      <c r="F60" t="s">
        <v>5173</v>
      </c>
      <c r="G60" t="s">
        <v>5174</v>
      </c>
      <c r="H60" t="s">
        <v>4032</v>
      </c>
      <c r="I60" t="s">
        <v>5294</v>
      </c>
      <c r="J60" t="s">
        <v>3459</v>
      </c>
      <c r="K60" t="s">
        <v>3459</v>
      </c>
    </row>
    <row r="61" spans="1:11" ht="15" customHeight="1" x14ac:dyDescent="0.25">
      <c r="A61" t="s">
        <v>5295</v>
      </c>
      <c r="B61" t="s">
        <v>5296</v>
      </c>
      <c r="C61" t="s">
        <v>3740</v>
      </c>
      <c r="D61" t="s">
        <v>187</v>
      </c>
      <c r="E61" t="s">
        <v>3459</v>
      </c>
      <c r="F61" t="s">
        <v>5160</v>
      </c>
      <c r="G61" t="s">
        <v>39</v>
      </c>
      <c r="H61" t="s">
        <v>4043</v>
      </c>
      <c r="I61" t="s">
        <v>5295</v>
      </c>
      <c r="J61" t="s">
        <v>3459</v>
      </c>
      <c r="K61" t="s">
        <v>3459</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3454</v>
      </c>
      <c r="C1" t="s">
        <v>3497</v>
      </c>
      <c r="D1" t="s">
        <v>167</v>
      </c>
      <c r="E1" t="s">
        <v>3982</v>
      </c>
      <c r="F1" t="s">
        <v>5146</v>
      </c>
      <c r="G1" t="s">
        <v>4260</v>
      </c>
      <c r="H1" t="s">
        <v>5147</v>
      </c>
      <c r="I1" t="s">
        <v>4010</v>
      </c>
      <c r="J1" t="s">
        <v>5297</v>
      </c>
      <c r="K1" t="s">
        <v>6</v>
      </c>
      <c r="L1" t="s">
        <v>5298</v>
      </c>
      <c r="M1" t="s">
        <v>5299</v>
      </c>
    </row>
    <row r="2" spans="1:13" ht="15" customHeight="1" x14ac:dyDescent="0.25">
      <c r="A2" t="s">
        <v>5149</v>
      </c>
      <c r="B2" t="s">
        <v>5150</v>
      </c>
      <c r="C2" t="s">
        <v>5300</v>
      </c>
      <c r="D2" t="s">
        <v>3984</v>
      </c>
      <c r="E2" t="s">
        <v>187</v>
      </c>
      <c r="F2" t="s">
        <v>3459</v>
      </c>
      <c r="G2" t="s">
        <v>4298</v>
      </c>
      <c r="H2" t="s">
        <v>39</v>
      </c>
      <c r="I2" t="s">
        <v>4032</v>
      </c>
      <c r="J2" t="s">
        <v>5149</v>
      </c>
      <c r="K2" t="s">
        <v>3515</v>
      </c>
      <c r="L2" t="s">
        <v>187</v>
      </c>
      <c r="M2" t="s">
        <v>3459</v>
      </c>
    </row>
    <row r="3" spans="1:13" ht="15" customHeight="1" x14ac:dyDescent="0.25">
      <c r="A3" t="s">
        <v>5152</v>
      </c>
      <c r="B3" t="s">
        <v>5301</v>
      </c>
      <c r="C3" t="s">
        <v>5302</v>
      </c>
      <c r="D3" t="s">
        <v>3993</v>
      </c>
      <c r="E3" t="s">
        <v>187</v>
      </c>
      <c r="F3" t="s">
        <v>3459</v>
      </c>
      <c r="G3" t="s">
        <v>5303</v>
      </c>
      <c r="H3" t="s">
        <v>39</v>
      </c>
      <c r="I3" t="s">
        <v>4015</v>
      </c>
      <c r="J3" t="s">
        <v>5152</v>
      </c>
      <c r="K3" t="s">
        <v>3515</v>
      </c>
      <c r="L3" t="s">
        <v>3998</v>
      </c>
      <c r="M3" t="s">
        <v>5304</v>
      </c>
    </row>
    <row r="4" spans="1:13" ht="15" customHeight="1" x14ac:dyDescent="0.25">
      <c r="A4" t="s">
        <v>5155</v>
      </c>
      <c r="B4" t="s">
        <v>5305</v>
      </c>
      <c r="C4" t="s">
        <v>5306</v>
      </c>
      <c r="D4" t="s">
        <v>3984</v>
      </c>
      <c r="E4" t="s">
        <v>187</v>
      </c>
      <c r="F4" t="s">
        <v>3459</v>
      </c>
      <c r="G4" t="s">
        <v>4298</v>
      </c>
      <c r="H4" t="s">
        <v>39</v>
      </c>
      <c r="I4" t="s">
        <v>4032</v>
      </c>
      <c r="J4" t="s">
        <v>5157</v>
      </c>
      <c r="K4" t="s">
        <v>3503</v>
      </c>
      <c r="L4" t="s">
        <v>187</v>
      </c>
      <c r="M4" t="s">
        <v>3459</v>
      </c>
    </row>
    <row r="5" spans="1:13" ht="15" customHeight="1" x14ac:dyDescent="0.25">
      <c r="A5" s="4" t="s">
        <v>5158</v>
      </c>
      <c r="B5" s="4" t="s">
        <v>5307</v>
      </c>
      <c r="C5" s="4" t="s">
        <v>5308</v>
      </c>
      <c r="D5" s="4" t="s">
        <v>3993</v>
      </c>
      <c r="E5" s="4" t="s">
        <v>187</v>
      </c>
      <c r="F5" s="4" t="s">
        <v>3459</v>
      </c>
      <c r="G5" s="4" t="s">
        <v>5160</v>
      </c>
      <c r="H5" s="4" t="s">
        <v>39</v>
      </c>
      <c r="I5" s="4" t="s">
        <v>4015</v>
      </c>
      <c r="J5" s="4" t="s">
        <v>5158</v>
      </c>
      <c r="K5" s="4" t="s">
        <v>41</v>
      </c>
      <c r="L5" t="s">
        <v>187</v>
      </c>
      <c r="M5" t="s">
        <v>3459</v>
      </c>
    </row>
    <row r="6" spans="1:13" ht="15" customHeight="1" x14ac:dyDescent="0.25">
      <c r="A6" t="s">
        <v>5165</v>
      </c>
      <c r="B6" t="s">
        <v>5309</v>
      </c>
      <c r="C6" t="s">
        <v>5310</v>
      </c>
      <c r="D6" t="s">
        <v>3993</v>
      </c>
      <c r="E6" t="s">
        <v>187</v>
      </c>
      <c r="F6" t="s">
        <v>3459</v>
      </c>
      <c r="G6" t="s">
        <v>4298</v>
      </c>
      <c r="H6" t="s">
        <v>39</v>
      </c>
      <c r="I6" t="s">
        <v>4015</v>
      </c>
      <c r="J6" t="s">
        <v>5165</v>
      </c>
      <c r="K6" t="s">
        <v>41</v>
      </c>
      <c r="L6" t="s">
        <v>187</v>
      </c>
      <c r="M6" t="s">
        <v>3459</v>
      </c>
    </row>
    <row r="7" spans="1:13" ht="15" customHeight="1" x14ac:dyDescent="0.25">
      <c r="A7" s="5" t="s">
        <v>5167</v>
      </c>
      <c r="B7" s="6" t="s">
        <v>5168</v>
      </c>
      <c r="C7" s="6" t="s">
        <v>5311</v>
      </c>
      <c r="D7" s="6" t="s">
        <v>3984</v>
      </c>
      <c r="E7" s="6" t="s">
        <v>187</v>
      </c>
      <c r="F7" s="6" t="s">
        <v>3459</v>
      </c>
      <c r="G7" s="7" t="s">
        <v>5189</v>
      </c>
      <c r="H7" s="6" t="s">
        <v>39</v>
      </c>
      <c r="I7" s="6" t="s">
        <v>4032</v>
      </c>
      <c r="J7" s="6" t="s">
        <v>5167</v>
      </c>
      <c r="K7" s="6" t="s">
        <v>3503</v>
      </c>
      <c r="L7" t="s">
        <v>187</v>
      </c>
      <c r="M7" t="s">
        <v>3459</v>
      </c>
    </row>
    <row r="8" spans="1:13" ht="15" customHeight="1" x14ac:dyDescent="0.25">
      <c r="A8" t="s">
        <v>4003</v>
      </c>
      <c r="B8" t="s">
        <v>5170</v>
      </c>
      <c r="C8" t="s">
        <v>5312</v>
      </c>
      <c r="D8" t="s">
        <v>3993</v>
      </c>
      <c r="E8" t="s">
        <v>187</v>
      </c>
      <c r="F8" t="s">
        <v>3459</v>
      </c>
      <c r="G8" t="s">
        <v>5160</v>
      </c>
      <c r="H8" t="s">
        <v>39</v>
      </c>
      <c r="I8" t="s">
        <v>4015</v>
      </c>
      <c r="J8" t="s">
        <v>4003</v>
      </c>
      <c r="K8" t="s">
        <v>41</v>
      </c>
      <c r="L8" t="s">
        <v>187</v>
      </c>
      <c r="M8" t="s">
        <v>3459</v>
      </c>
    </row>
    <row r="9" spans="1:13" ht="15" customHeight="1" x14ac:dyDescent="0.25">
      <c r="A9" t="s">
        <v>5178</v>
      </c>
      <c r="B9" s="8" t="s">
        <v>5313</v>
      </c>
      <c r="C9" s="8" t="s">
        <v>5314</v>
      </c>
      <c r="D9" t="s">
        <v>3993</v>
      </c>
      <c r="E9" t="s">
        <v>187</v>
      </c>
      <c r="F9" t="s">
        <v>3459</v>
      </c>
      <c r="G9" t="s">
        <v>5160</v>
      </c>
      <c r="H9" t="s">
        <v>5174</v>
      </c>
      <c r="I9" t="s">
        <v>4015</v>
      </c>
      <c r="J9" t="s">
        <v>5178</v>
      </c>
      <c r="K9" t="s">
        <v>3459</v>
      </c>
      <c r="L9" t="s">
        <v>187</v>
      </c>
      <c r="M9" t="s">
        <v>3459</v>
      </c>
    </row>
    <row r="10" spans="1:13" ht="15" customHeight="1" x14ac:dyDescent="0.25">
      <c r="A10" t="s">
        <v>5315</v>
      </c>
      <c r="B10" t="s">
        <v>5316</v>
      </c>
      <c r="C10" t="s">
        <v>5317</v>
      </c>
      <c r="D10" t="s">
        <v>3984</v>
      </c>
      <c r="E10" t="s">
        <v>187</v>
      </c>
      <c r="F10" t="s">
        <v>3459</v>
      </c>
      <c r="G10" t="s">
        <v>4298</v>
      </c>
      <c r="H10" t="s">
        <v>39</v>
      </c>
      <c r="I10" t="s">
        <v>4032</v>
      </c>
      <c r="J10" t="s">
        <v>5318</v>
      </c>
      <c r="K10" t="s">
        <v>41</v>
      </c>
      <c r="L10" t="s">
        <v>187</v>
      </c>
      <c r="M10" t="s">
        <v>3459</v>
      </c>
    </row>
    <row r="11" spans="1:13" ht="15" customHeight="1" x14ac:dyDescent="0.25">
      <c r="A11" t="s">
        <v>5183</v>
      </c>
      <c r="B11" s="8" t="s">
        <v>5319</v>
      </c>
      <c r="C11" s="8" t="s">
        <v>5320</v>
      </c>
      <c r="D11" t="s">
        <v>3740</v>
      </c>
      <c r="E11" t="s">
        <v>3998</v>
      </c>
      <c r="F11" t="s">
        <v>3459</v>
      </c>
      <c r="G11" t="s">
        <v>4298</v>
      </c>
      <c r="H11" t="s">
        <v>39</v>
      </c>
      <c r="I11" t="s">
        <v>4032</v>
      </c>
      <c r="J11" t="s">
        <v>5185</v>
      </c>
      <c r="K11" t="s">
        <v>3459</v>
      </c>
      <c r="L11" t="s">
        <v>187</v>
      </c>
      <c r="M11" t="s">
        <v>3459</v>
      </c>
    </row>
    <row r="12" spans="1:13" ht="15" customHeight="1" x14ac:dyDescent="0.25">
      <c r="A12" t="s">
        <v>3513</v>
      </c>
      <c r="B12" t="s">
        <v>5186</v>
      </c>
      <c r="C12" t="s">
        <v>5321</v>
      </c>
      <c r="D12" t="s">
        <v>3984</v>
      </c>
      <c r="E12" t="s">
        <v>187</v>
      </c>
      <c r="F12" t="s">
        <v>3459</v>
      </c>
      <c r="G12" t="s">
        <v>4298</v>
      </c>
      <c r="H12" t="s">
        <v>39</v>
      </c>
      <c r="I12" t="s">
        <v>4032</v>
      </c>
      <c r="J12" t="s">
        <v>3513</v>
      </c>
      <c r="K12" t="s">
        <v>3515</v>
      </c>
      <c r="L12" t="s">
        <v>187</v>
      </c>
      <c r="M12" t="s">
        <v>3459</v>
      </c>
    </row>
    <row r="13" spans="1:13" ht="15" customHeight="1" x14ac:dyDescent="0.25">
      <c r="A13" t="s">
        <v>5187</v>
      </c>
      <c r="B13" t="s">
        <v>5188</v>
      </c>
      <c r="C13" t="s">
        <v>5311</v>
      </c>
      <c r="D13" t="s">
        <v>3984</v>
      </c>
      <c r="E13" t="s">
        <v>187</v>
      </c>
      <c r="F13" t="s">
        <v>3459</v>
      </c>
      <c r="G13" t="s">
        <v>5169</v>
      </c>
      <c r="H13" t="s">
        <v>39</v>
      </c>
      <c r="I13" t="s">
        <v>4032</v>
      </c>
      <c r="J13" t="s">
        <v>5187</v>
      </c>
      <c r="K13" t="s">
        <v>3503</v>
      </c>
      <c r="L13" t="s">
        <v>187</v>
      </c>
      <c r="M13" t="s">
        <v>3459</v>
      </c>
    </row>
    <row r="14" spans="1:13" ht="15" customHeight="1" x14ac:dyDescent="0.25">
      <c r="A14" t="s">
        <v>5203</v>
      </c>
      <c r="B14" s="8" t="s">
        <v>5202</v>
      </c>
      <c r="C14" s="8" t="s">
        <v>5322</v>
      </c>
      <c r="D14" t="s">
        <v>3993</v>
      </c>
      <c r="E14" t="s">
        <v>187</v>
      </c>
      <c r="F14" t="s">
        <v>3459</v>
      </c>
      <c r="G14" t="s">
        <v>5160</v>
      </c>
      <c r="H14" t="s">
        <v>39</v>
      </c>
      <c r="I14" t="s">
        <v>4015</v>
      </c>
      <c r="J14" t="s">
        <v>5203</v>
      </c>
      <c r="K14" t="s">
        <v>3459</v>
      </c>
      <c r="L14" t="s">
        <v>187</v>
      </c>
      <c r="M14" t="s">
        <v>3459</v>
      </c>
    </row>
    <row r="15" spans="1:13" ht="15" customHeight="1" x14ac:dyDescent="0.25">
      <c r="A15" t="s">
        <v>5204</v>
      </c>
      <c r="B15" t="s">
        <v>5205</v>
      </c>
      <c r="C15" t="s">
        <v>3459</v>
      </c>
      <c r="D15" t="s">
        <v>3993</v>
      </c>
      <c r="E15" t="s">
        <v>187</v>
      </c>
      <c r="F15" t="s">
        <v>3459</v>
      </c>
      <c r="G15" t="s">
        <v>5206</v>
      </c>
      <c r="H15" t="s">
        <v>5174</v>
      </c>
      <c r="I15" t="s">
        <v>4015</v>
      </c>
      <c r="J15" t="s">
        <v>5204</v>
      </c>
      <c r="K15" t="s">
        <v>3515</v>
      </c>
      <c r="L15" t="s">
        <v>3998</v>
      </c>
      <c r="M15" t="s">
        <v>5323</v>
      </c>
    </row>
    <row r="16" spans="1:13" ht="15" customHeight="1" x14ac:dyDescent="0.25">
      <c r="A16" t="s">
        <v>5221</v>
      </c>
      <c r="B16" t="s">
        <v>5222</v>
      </c>
      <c r="C16" t="s">
        <v>5324</v>
      </c>
      <c r="D16" t="s">
        <v>3993</v>
      </c>
      <c r="E16" t="s">
        <v>187</v>
      </c>
      <c r="F16" t="s">
        <v>3459</v>
      </c>
      <c r="G16" t="s">
        <v>5160</v>
      </c>
      <c r="H16" t="s">
        <v>39</v>
      </c>
      <c r="I16" t="s">
        <v>4015</v>
      </c>
      <c r="J16" t="s">
        <v>5221</v>
      </c>
      <c r="K16" t="s">
        <v>41</v>
      </c>
      <c r="L16" t="s">
        <v>187</v>
      </c>
      <c r="M16" t="s">
        <v>3459</v>
      </c>
    </row>
    <row r="17" spans="1:13" ht="15" customHeight="1" x14ac:dyDescent="0.25">
      <c r="A17" t="s">
        <v>5246</v>
      </c>
      <c r="B17" t="s">
        <v>5247</v>
      </c>
      <c r="C17" t="s">
        <v>5325</v>
      </c>
      <c r="D17" t="s">
        <v>3984</v>
      </c>
      <c r="E17" t="s">
        <v>187</v>
      </c>
      <c r="F17" t="s">
        <v>3459</v>
      </c>
      <c r="G17" t="s">
        <v>4298</v>
      </c>
      <c r="H17" t="s">
        <v>39</v>
      </c>
      <c r="I17" t="s">
        <v>4032</v>
      </c>
      <c r="J17" t="s">
        <v>5246</v>
      </c>
      <c r="K17" t="s">
        <v>3503</v>
      </c>
      <c r="L17" t="s">
        <v>187</v>
      </c>
      <c r="M17" t="s">
        <v>3459</v>
      </c>
    </row>
    <row r="18" spans="1:13" ht="15" customHeight="1" x14ac:dyDescent="0.25">
      <c r="A18" t="s">
        <v>5251</v>
      </c>
      <c r="B18" t="s">
        <v>5252</v>
      </c>
      <c r="C18" t="s">
        <v>5326</v>
      </c>
      <c r="D18" t="s">
        <v>3984</v>
      </c>
      <c r="E18" t="s">
        <v>187</v>
      </c>
      <c r="F18" t="s">
        <v>3459</v>
      </c>
      <c r="G18" s="2" t="s">
        <v>5253</v>
      </c>
      <c r="H18" t="s">
        <v>39</v>
      </c>
      <c r="I18" t="s">
        <v>4032</v>
      </c>
      <c r="J18" t="s">
        <v>5254</v>
      </c>
      <c r="K18" t="s">
        <v>3515</v>
      </c>
      <c r="L18" t="s">
        <v>3459</v>
      </c>
      <c r="M18" t="s">
        <v>3459</v>
      </c>
    </row>
    <row r="19" spans="1:13" ht="15" customHeight="1" x14ac:dyDescent="0.25">
      <c r="A19" t="s">
        <v>5255</v>
      </c>
      <c r="B19" t="s">
        <v>5256</v>
      </c>
      <c r="C19" t="s">
        <v>5327</v>
      </c>
      <c r="D19" t="s">
        <v>3993</v>
      </c>
      <c r="E19" t="s">
        <v>187</v>
      </c>
      <c r="F19" t="s">
        <v>3459</v>
      </c>
      <c r="G19" t="s">
        <v>5257</v>
      </c>
      <c r="H19" t="s">
        <v>39</v>
      </c>
      <c r="I19" t="s">
        <v>4015</v>
      </c>
      <c r="J19" t="s">
        <v>5255</v>
      </c>
      <c r="K19" t="s">
        <v>41</v>
      </c>
      <c r="L19" t="s">
        <v>187</v>
      </c>
      <c r="M19" t="s">
        <v>3459</v>
      </c>
    </row>
    <row r="20" spans="1:13" ht="15" customHeight="1" x14ac:dyDescent="0.25">
      <c r="A20" t="s">
        <v>4598</v>
      </c>
      <c r="B20" t="s">
        <v>5258</v>
      </c>
      <c r="C20" t="s">
        <v>5328</v>
      </c>
      <c r="D20" t="s">
        <v>3984</v>
      </c>
      <c r="E20" t="s">
        <v>187</v>
      </c>
      <c r="F20" t="s">
        <v>3459</v>
      </c>
      <c r="G20" t="s">
        <v>4298</v>
      </c>
      <c r="H20" t="s">
        <v>39</v>
      </c>
      <c r="I20" t="s">
        <v>4032</v>
      </c>
      <c r="J20" t="s">
        <v>4598</v>
      </c>
      <c r="K20" t="s">
        <v>3515</v>
      </c>
      <c r="L20" t="s">
        <v>187</v>
      </c>
      <c r="M20" t="s">
        <v>3459</v>
      </c>
    </row>
    <row r="21" spans="1:13" ht="15" customHeight="1" x14ac:dyDescent="0.25">
      <c r="A21" t="s">
        <v>5259</v>
      </c>
      <c r="B21" t="s">
        <v>5260</v>
      </c>
      <c r="C21" t="s">
        <v>5329</v>
      </c>
      <c r="D21" t="s">
        <v>3984</v>
      </c>
      <c r="E21" t="s">
        <v>187</v>
      </c>
      <c r="F21" t="s">
        <v>3459</v>
      </c>
      <c r="G21" t="s">
        <v>5160</v>
      </c>
      <c r="H21" t="s">
        <v>39</v>
      </c>
      <c r="I21" t="s">
        <v>4032</v>
      </c>
      <c r="J21" t="s">
        <v>5259</v>
      </c>
      <c r="K21" t="s">
        <v>3515</v>
      </c>
      <c r="L21" t="s">
        <v>187</v>
      </c>
      <c r="M21" t="s">
        <v>3459</v>
      </c>
    </row>
    <row r="22" spans="1:13" ht="15" customHeight="1" x14ac:dyDescent="0.25">
      <c r="A22" t="s">
        <v>5263</v>
      </c>
      <c r="B22" s="8" t="s">
        <v>5264</v>
      </c>
      <c r="C22" s="8" t="s">
        <v>5330</v>
      </c>
      <c r="D22" t="s">
        <v>3984</v>
      </c>
      <c r="E22" t="s">
        <v>187</v>
      </c>
      <c r="F22" t="s">
        <v>3459</v>
      </c>
      <c r="G22" t="s">
        <v>4298</v>
      </c>
      <c r="H22" t="s">
        <v>39</v>
      </c>
      <c r="I22" t="s">
        <v>4032</v>
      </c>
      <c r="J22" t="s">
        <v>5263</v>
      </c>
      <c r="K22" t="s">
        <v>3503</v>
      </c>
      <c r="L22" t="s">
        <v>187</v>
      </c>
      <c r="M22" t="s">
        <v>3459</v>
      </c>
    </row>
    <row r="23" spans="1:13" ht="15" customHeight="1" x14ac:dyDescent="0.25">
      <c r="A23" t="s">
        <v>5270</v>
      </c>
      <c r="B23" s="8" t="s">
        <v>5331</v>
      </c>
      <c r="C23" s="8" t="s">
        <v>5332</v>
      </c>
      <c r="D23" t="s">
        <v>3984</v>
      </c>
      <c r="E23" t="s">
        <v>187</v>
      </c>
      <c r="F23" t="s">
        <v>3459</v>
      </c>
      <c r="G23" t="s">
        <v>5233</v>
      </c>
      <c r="H23" t="s">
        <v>39</v>
      </c>
      <c r="I23" t="s">
        <v>4032</v>
      </c>
      <c r="J23" t="s">
        <v>5270</v>
      </c>
      <c r="K23" t="s">
        <v>3459</v>
      </c>
      <c r="L23" t="s">
        <v>187</v>
      </c>
      <c r="M23" t="s">
        <v>3459</v>
      </c>
    </row>
    <row r="24" spans="1:13" ht="15" customHeight="1" x14ac:dyDescent="0.25">
      <c r="A24" t="s">
        <v>5272</v>
      </c>
      <c r="B24" s="8" t="s">
        <v>5333</v>
      </c>
      <c r="C24" s="8" t="s">
        <v>5334</v>
      </c>
      <c r="D24" t="s">
        <v>3993</v>
      </c>
      <c r="E24" t="s">
        <v>3998</v>
      </c>
      <c r="F24" t="s">
        <v>3459</v>
      </c>
      <c r="G24" t="s">
        <v>4298</v>
      </c>
      <c r="H24" t="s">
        <v>39</v>
      </c>
      <c r="I24" t="s">
        <v>4015</v>
      </c>
      <c r="J24" t="s">
        <v>5272</v>
      </c>
      <c r="K24" t="s">
        <v>3459</v>
      </c>
      <c r="L24" t="s">
        <v>187</v>
      </c>
      <c r="M24" t="s">
        <v>3459</v>
      </c>
    </row>
    <row r="25" spans="1:13" ht="15" customHeight="1" x14ac:dyDescent="0.25">
      <c r="A25" t="s">
        <v>5274</v>
      </c>
      <c r="B25" t="s">
        <v>5275</v>
      </c>
      <c r="C25" t="s">
        <v>5335</v>
      </c>
      <c r="D25" t="s">
        <v>3993</v>
      </c>
      <c r="E25" t="s">
        <v>3998</v>
      </c>
      <c r="F25" t="s">
        <v>3459</v>
      </c>
      <c r="G25" t="s">
        <v>4298</v>
      </c>
      <c r="H25" t="s">
        <v>39</v>
      </c>
      <c r="I25" t="s">
        <v>4015</v>
      </c>
      <c r="J25" t="s">
        <v>5276</v>
      </c>
      <c r="K25" t="s">
        <v>3503</v>
      </c>
      <c r="L25" t="s">
        <v>187</v>
      </c>
      <c r="M25" t="s">
        <v>3459</v>
      </c>
    </row>
    <row r="26" spans="1:13" ht="15" customHeight="1" x14ac:dyDescent="0.25">
      <c r="A26" t="s">
        <v>5277</v>
      </c>
      <c r="B26" s="8" t="s">
        <v>5336</v>
      </c>
      <c r="C26" s="8" t="s">
        <v>5337</v>
      </c>
      <c r="D26" t="s">
        <v>3740</v>
      </c>
      <c r="E26" t="s">
        <v>3998</v>
      </c>
      <c r="F26" t="s">
        <v>3459</v>
      </c>
      <c r="G26" t="s">
        <v>4298</v>
      </c>
      <c r="H26" t="s">
        <v>5177</v>
      </c>
      <c r="I26" t="s">
        <v>4032</v>
      </c>
      <c r="J26" t="s">
        <v>5277</v>
      </c>
      <c r="K26" t="s">
        <v>3459</v>
      </c>
      <c r="L26" t="s">
        <v>187</v>
      </c>
      <c r="M26" t="s">
        <v>3459</v>
      </c>
    </row>
    <row r="27" spans="1:13" ht="15" customHeight="1" x14ac:dyDescent="0.25">
      <c r="A27" t="s">
        <v>5283</v>
      </c>
      <c r="B27" t="s">
        <v>5338</v>
      </c>
      <c r="C27" t="s">
        <v>5339</v>
      </c>
      <c r="D27" t="s">
        <v>3984</v>
      </c>
      <c r="E27" t="s">
        <v>187</v>
      </c>
      <c r="F27" t="s">
        <v>3459</v>
      </c>
      <c r="G27" t="s">
        <v>4298</v>
      </c>
      <c r="H27" t="s">
        <v>39</v>
      </c>
      <c r="I27" t="s">
        <v>4032</v>
      </c>
      <c r="J27" t="s">
        <v>5283</v>
      </c>
      <c r="K27" t="s">
        <v>3515</v>
      </c>
      <c r="L27" t="s">
        <v>187</v>
      </c>
      <c r="M27" t="s">
        <v>3459</v>
      </c>
    </row>
    <row r="28" spans="1:13" ht="15" customHeight="1" x14ac:dyDescent="0.25">
      <c r="A28" t="s">
        <v>5288</v>
      </c>
      <c r="B28" t="s">
        <v>5289</v>
      </c>
      <c r="C28" t="s">
        <v>5340</v>
      </c>
      <c r="D28" t="s">
        <v>3993</v>
      </c>
      <c r="E28" t="s">
        <v>187</v>
      </c>
      <c r="F28" t="s">
        <v>3459</v>
      </c>
      <c r="G28" t="s">
        <v>5160</v>
      </c>
      <c r="H28" t="s">
        <v>39</v>
      </c>
      <c r="I28" t="s">
        <v>4015</v>
      </c>
      <c r="J28" t="s">
        <v>5288</v>
      </c>
      <c r="K28" t="s">
        <v>41</v>
      </c>
      <c r="L28" t="s">
        <v>187</v>
      </c>
      <c r="M28" t="s">
        <v>3459</v>
      </c>
    </row>
    <row r="29" spans="1:13" ht="15" customHeight="1" x14ac:dyDescent="0.25">
      <c r="A29" t="s">
        <v>5290</v>
      </c>
      <c r="B29" t="s">
        <v>5291</v>
      </c>
      <c r="C29" t="s">
        <v>5341</v>
      </c>
      <c r="D29" t="s">
        <v>3993</v>
      </c>
      <c r="E29" t="s">
        <v>187</v>
      </c>
      <c r="F29" t="s">
        <v>3459</v>
      </c>
      <c r="G29" t="s">
        <v>5160</v>
      </c>
      <c r="H29" t="s">
        <v>39</v>
      </c>
      <c r="I29" t="s">
        <v>4015</v>
      </c>
      <c r="J29" t="s">
        <v>5290</v>
      </c>
      <c r="K29" t="s">
        <v>41</v>
      </c>
      <c r="L29" t="s">
        <v>187</v>
      </c>
      <c r="M29" t="s">
        <v>3459</v>
      </c>
    </row>
    <row r="30" spans="1:13" ht="15" customHeight="1" x14ac:dyDescent="0.25">
      <c r="A30" t="s">
        <v>5281</v>
      </c>
      <c r="B30" t="s">
        <v>5282</v>
      </c>
      <c r="C30" t="s">
        <v>5342</v>
      </c>
      <c r="D30" t="s">
        <v>3993</v>
      </c>
      <c r="E30" t="s">
        <v>3998</v>
      </c>
      <c r="F30">
        <v>1</v>
      </c>
      <c r="G30" t="s">
        <v>5160</v>
      </c>
      <c r="H30" t="s">
        <v>39</v>
      </c>
      <c r="I30" t="s">
        <v>4015</v>
      </c>
      <c r="J30" t="s">
        <v>5281</v>
      </c>
      <c r="K30" t="s">
        <v>3459</v>
      </c>
      <c r="L30" t="s">
        <v>187</v>
      </c>
      <c r="M30" t="s">
        <v>5343</v>
      </c>
    </row>
    <row r="31" spans="1:13" ht="60" customHeight="1" x14ac:dyDescent="0.25">
      <c r="A31" t="s">
        <v>5238</v>
      </c>
      <c r="B31" s="8" t="s">
        <v>5344</v>
      </c>
      <c r="C31" s="8" t="s">
        <v>5345</v>
      </c>
      <c r="D31" t="s">
        <v>3984</v>
      </c>
      <c r="E31" t="s">
        <v>187</v>
      </c>
      <c r="F31" t="s">
        <v>3459</v>
      </c>
      <c r="G31" t="s">
        <v>5233</v>
      </c>
      <c r="H31" t="s">
        <v>5174</v>
      </c>
      <c r="I31" t="s">
        <v>4032</v>
      </c>
      <c r="J31" t="s">
        <v>5240</v>
      </c>
      <c r="K31" t="s">
        <v>3515</v>
      </c>
      <c r="L31" t="s">
        <v>3998</v>
      </c>
      <c r="M31" s="8" t="s">
        <v>5346</v>
      </c>
    </row>
    <row r="32" spans="1:13" ht="45" customHeight="1" x14ac:dyDescent="0.25">
      <c r="A32" t="s">
        <v>5235</v>
      </c>
      <c r="B32" s="8" t="s">
        <v>5347</v>
      </c>
      <c r="C32" s="8" t="s">
        <v>5348</v>
      </c>
      <c r="D32" t="s">
        <v>3984</v>
      </c>
      <c r="E32" t="s">
        <v>187</v>
      </c>
      <c r="F32" t="s">
        <v>3459</v>
      </c>
      <c r="G32" t="s">
        <v>5233</v>
      </c>
      <c r="H32" t="s">
        <v>5174</v>
      </c>
      <c r="I32" t="s">
        <v>4032</v>
      </c>
      <c r="J32" t="s">
        <v>5237</v>
      </c>
      <c r="K32" t="s">
        <v>3515</v>
      </c>
      <c r="L32" t="s">
        <v>3998</v>
      </c>
      <c r="M32" s="8" t="s">
        <v>5349</v>
      </c>
    </row>
    <row r="33" spans="1:13" ht="60" customHeight="1" x14ac:dyDescent="0.25">
      <c r="A33" t="s">
        <v>5241</v>
      </c>
      <c r="B33" s="8" t="s">
        <v>5350</v>
      </c>
      <c r="C33" s="8" t="s">
        <v>5351</v>
      </c>
      <c r="D33" t="s">
        <v>3993</v>
      </c>
      <c r="E33" t="s">
        <v>187</v>
      </c>
      <c r="F33" t="s">
        <v>3459</v>
      </c>
      <c r="G33" t="s">
        <v>5160</v>
      </c>
      <c r="H33" t="s">
        <v>5174</v>
      </c>
      <c r="I33" t="s">
        <v>4015</v>
      </c>
      <c r="J33" t="s">
        <v>5243</v>
      </c>
      <c r="K33" t="s">
        <v>3459</v>
      </c>
      <c r="L33" t="s">
        <v>3998</v>
      </c>
      <c r="M33" s="8" t="s">
        <v>5352</v>
      </c>
    </row>
    <row r="34" spans="1:13" ht="45" customHeight="1" x14ac:dyDescent="0.25">
      <c r="A34" t="s">
        <v>5223</v>
      </c>
      <c r="B34" s="8" t="s">
        <v>5224</v>
      </c>
      <c r="C34" s="8" t="s">
        <v>5353</v>
      </c>
      <c r="D34" t="s">
        <v>3984</v>
      </c>
      <c r="E34" t="s">
        <v>187</v>
      </c>
      <c r="F34" t="s">
        <v>3459</v>
      </c>
      <c r="G34" t="s">
        <v>5160</v>
      </c>
      <c r="H34" t="s">
        <v>39</v>
      </c>
      <c r="I34" t="s">
        <v>4032</v>
      </c>
      <c r="J34" t="s">
        <v>5223</v>
      </c>
      <c r="K34" t="s">
        <v>3503</v>
      </c>
      <c r="L34" t="s">
        <v>187</v>
      </c>
      <c r="M34" s="8" t="s">
        <v>5354</v>
      </c>
    </row>
    <row r="35" spans="1:13" ht="45" customHeight="1" x14ac:dyDescent="0.25">
      <c r="A35" t="s">
        <v>5175</v>
      </c>
      <c r="B35" s="8" t="s">
        <v>5355</v>
      </c>
      <c r="C35" s="8" t="s">
        <v>5356</v>
      </c>
      <c r="D35" t="s">
        <v>3993</v>
      </c>
      <c r="E35" t="s">
        <v>187</v>
      </c>
      <c r="F35" t="s">
        <v>3459</v>
      </c>
      <c r="G35" t="s">
        <v>5357</v>
      </c>
      <c r="H35" t="s">
        <v>5177</v>
      </c>
      <c r="I35" t="s">
        <v>4015</v>
      </c>
      <c r="J35" t="s">
        <v>5175</v>
      </c>
      <c r="K35" t="s">
        <v>3459</v>
      </c>
      <c r="L35" t="s">
        <v>187</v>
      </c>
      <c r="M35" s="8" t="s">
        <v>5358</v>
      </c>
    </row>
    <row r="36" spans="1:13" x14ac:dyDescent="0.25">
      <c r="A36" t="s">
        <v>5213</v>
      </c>
      <c r="B36" s="8" t="s">
        <v>5359</v>
      </c>
      <c r="C36" s="8" t="s">
        <v>5360</v>
      </c>
      <c r="D36" t="s">
        <v>5361</v>
      </c>
      <c r="E36" t="s">
        <v>187</v>
      </c>
      <c r="F36" t="s">
        <v>3459</v>
      </c>
      <c r="G36" t="s">
        <v>5362</v>
      </c>
      <c r="H36" t="s">
        <v>5174</v>
      </c>
      <c r="I36" t="s">
        <v>4032</v>
      </c>
      <c r="J36" t="s">
        <v>5215</v>
      </c>
      <c r="K36" t="s">
        <v>3515</v>
      </c>
      <c r="L36" t="s">
        <v>3998</v>
      </c>
      <c r="M36" t="s">
        <v>3459</v>
      </c>
    </row>
    <row r="37" spans="1:13" x14ac:dyDescent="0.25">
      <c r="A37" t="s">
        <v>5363</v>
      </c>
      <c r="B37" s="8" t="s">
        <v>5364</v>
      </c>
      <c r="C37" s="8" t="s">
        <v>5360</v>
      </c>
      <c r="D37" t="s">
        <v>5361</v>
      </c>
      <c r="E37" t="s">
        <v>187</v>
      </c>
      <c r="F37" t="s">
        <v>3459</v>
      </c>
      <c r="G37" t="s">
        <v>5362</v>
      </c>
      <c r="H37" t="s">
        <v>5174</v>
      </c>
      <c r="I37" t="s">
        <v>4032</v>
      </c>
      <c r="J37" t="s">
        <v>5363</v>
      </c>
      <c r="K37" t="s">
        <v>3515</v>
      </c>
      <c r="L37" t="s">
        <v>3998</v>
      </c>
      <c r="M37" t="s">
        <v>3459</v>
      </c>
    </row>
    <row r="38" spans="1:13" x14ac:dyDescent="0.25">
      <c r="A38" t="s">
        <v>5365</v>
      </c>
      <c r="B38" s="8" t="s">
        <v>5366</v>
      </c>
      <c r="C38" s="8" t="s">
        <v>5360</v>
      </c>
      <c r="D38" t="s">
        <v>5361</v>
      </c>
      <c r="E38" t="s">
        <v>187</v>
      </c>
      <c r="F38" t="s">
        <v>3459</v>
      </c>
      <c r="G38" t="s">
        <v>5362</v>
      </c>
      <c r="H38" t="s">
        <v>5174</v>
      </c>
      <c r="I38" t="s">
        <v>4032</v>
      </c>
      <c r="J38" t="s">
        <v>5367</v>
      </c>
      <c r="K38" t="s">
        <v>3503</v>
      </c>
      <c r="L38" t="s">
        <v>3998</v>
      </c>
      <c r="M38" t="s">
        <v>3459</v>
      </c>
    </row>
    <row r="39" spans="1:13" x14ac:dyDescent="0.25">
      <c r="A39" t="s">
        <v>5161</v>
      </c>
      <c r="B39" s="8" t="s">
        <v>5368</v>
      </c>
      <c r="C39" s="8" t="s">
        <v>5369</v>
      </c>
      <c r="D39" t="s">
        <v>3984</v>
      </c>
      <c r="E39" t="s">
        <v>187</v>
      </c>
      <c r="F39" t="s">
        <v>3459</v>
      </c>
      <c r="G39" t="s">
        <v>5370</v>
      </c>
      <c r="H39" t="s">
        <v>5174</v>
      </c>
      <c r="I39" t="s">
        <v>4032</v>
      </c>
      <c r="J39" t="s">
        <v>5161</v>
      </c>
      <c r="K39" t="s">
        <v>3515</v>
      </c>
      <c r="L39" t="s">
        <v>3998</v>
      </c>
      <c r="M39" t="s">
        <v>5371</v>
      </c>
    </row>
    <row r="40" spans="1:13" x14ac:dyDescent="0.25">
      <c r="A40" t="s">
        <v>5171</v>
      </c>
      <c r="B40" s="8" t="s">
        <v>5372</v>
      </c>
      <c r="C40" s="8" t="s">
        <v>5360</v>
      </c>
      <c r="D40" t="s">
        <v>5361</v>
      </c>
      <c r="E40" t="s">
        <v>187</v>
      </c>
      <c r="F40" t="s">
        <v>3459</v>
      </c>
      <c r="G40" t="s">
        <v>5362</v>
      </c>
      <c r="H40" t="s">
        <v>5174</v>
      </c>
      <c r="I40" t="s">
        <v>4032</v>
      </c>
      <c r="J40" t="s">
        <v>5171</v>
      </c>
      <c r="K40" t="s">
        <v>3503</v>
      </c>
      <c r="L40" t="s">
        <v>3998</v>
      </c>
      <c r="M40" t="s">
        <v>3459</v>
      </c>
    </row>
    <row r="41" spans="1:13" x14ac:dyDescent="0.25">
      <c r="A41" t="s">
        <v>5230</v>
      </c>
      <c r="B41" s="8" t="s">
        <v>5373</v>
      </c>
      <c r="C41" s="8" t="s">
        <v>5374</v>
      </c>
      <c r="D41" t="s">
        <v>3984</v>
      </c>
      <c r="E41" t="s">
        <v>187</v>
      </c>
      <c r="F41" t="s">
        <v>3459</v>
      </c>
      <c r="G41" t="s">
        <v>5233</v>
      </c>
      <c r="H41" t="s">
        <v>5174</v>
      </c>
      <c r="I41" t="s">
        <v>4032</v>
      </c>
      <c r="J41" t="s">
        <v>5234</v>
      </c>
      <c r="K41" t="s">
        <v>3515</v>
      </c>
      <c r="L41" t="s">
        <v>3998</v>
      </c>
      <c r="M41" t="s">
        <v>5375</v>
      </c>
    </row>
    <row r="42" spans="1:13" x14ac:dyDescent="0.25">
      <c r="A42" t="s">
        <v>5192</v>
      </c>
      <c r="B42" s="8" t="s">
        <v>5376</v>
      </c>
      <c r="C42" s="8" t="s">
        <v>5377</v>
      </c>
      <c r="D42" t="s">
        <v>3984</v>
      </c>
      <c r="E42" t="s">
        <v>187</v>
      </c>
      <c r="F42" t="s">
        <v>3459</v>
      </c>
      <c r="G42" t="s">
        <v>5160</v>
      </c>
      <c r="H42" t="s">
        <v>39</v>
      </c>
      <c r="I42" t="s">
        <v>4032</v>
      </c>
      <c r="J42" t="s">
        <v>5194</v>
      </c>
      <c r="K42" t="s">
        <v>3503</v>
      </c>
      <c r="L42" t="s">
        <v>187</v>
      </c>
      <c r="M42" t="s">
        <v>3459</v>
      </c>
    </row>
    <row r="43" spans="1:13" x14ac:dyDescent="0.25">
      <c r="A43" t="s">
        <v>5180</v>
      </c>
      <c r="B43" s="8" t="s">
        <v>5378</v>
      </c>
      <c r="C43" s="8" t="s">
        <v>5379</v>
      </c>
      <c r="D43" t="s">
        <v>3993</v>
      </c>
      <c r="E43" t="s">
        <v>3998</v>
      </c>
      <c r="F43" t="s">
        <v>3459</v>
      </c>
      <c r="G43" t="s">
        <v>4298</v>
      </c>
      <c r="H43" t="s">
        <v>5177</v>
      </c>
      <c r="I43" t="s">
        <v>4015</v>
      </c>
      <c r="J43" t="s">
        <v>5182</v>
      </c>
      <c r="K43" t="s">
        <v>3503</v>
      </c>
      <c r="L43" t="s">
        <v>3998</v>
      </c>
      <c r="M43" t="s">
        <v>5380</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5381</v>
      </c>
      <c r="C1" t="s">
        <v>5382</v>
      </c>
      <c r="D1" t="s">
        <v>5383</v>
      </c>
      <c r="E1" t="s">
        <v>5062</v>
      </c>
    </row>
    <row r="2" spans="1:5" ht="15" customHeight="1" x14ac:dyDescent="0.25">
      <c r="A2" t="s">
        <v>5384</v>
      </c>
      <c r="B2" t="s">
        <v>5385</v>
      </c>
      <c r="E2" t="s">
        <v>5386</v>
      </c>
    </row>
    <row r="3" spans="1:5" ht="15" customHeight="1" x14ac:dyDescent="0.25">
      <c r="A3" t="s">
        <v>5387</v>
      </c>
      <c r="B3" t="s">
        <v>5388</v>
      </c>
      <c r="E3" t="s">
        <v>5389</v>
      </c>
    </row>
    <row r="4" spans="1:5" ht="15" customHeight="1" x14ac:dyDescent="0.25">
      <c r="A4" t="s">
        <v>5390</v>
      </c>
      <c r="B4" t="s">
        <v>3459</v>
      </c>
      <c r="E4" t="s">
        <v>5391</v>
      </c>
    </row>
    <row r="5" spans="1:5" ht="15" customHeight="1" x14ac:dyDescent="0.25">
      <c r="A5" t="s">
        <v>5392</v>
      </c>
      <c r="B5" t="s">
        <v>5393</v>
      </c>
      <c r="E5" t="s">
        <v>5394</v>
      </c>
    </row>
    <row r="6" spans="1:5" ht="15" customHeight="1" x14ac:dyDescent="0.25">
      <c r="A6" t="s">
        <v>4262</v>
      </c>
      <c r="B6" t="s">
        <v>5395</v>
      </c>
      <c r="E6" t="s">
        <v>5396</v>
      </c>
    </row>
    <row r="7" spans="1:5" ht="15" customHeight="1" x14ac:dyDescent="0.25">
      <c r="A7" t="s">
        <v>5255</v>
      </c>
      <c r="B7" t="s">
        <v>5397</v>
      </c>
      <c r="E7" t="s">
        <v>5398</v>
      </c>
    </row>
    <row r="8" spans="1:5" ht="15" customHeight="1" x14ac:dyDescent="0.25">
      <c r="A8" t="s">
        <v>5399</v>
      </c>
      <c r="B8" t="s">
        <v>5400</v>
      </c>
      <c r="C8" t="s">
        <v>5401</v>
      </c>
      <c r="D8" t="s">
        <v>5402</v>
      </c>
      <c r="E8" t="s">
        <v>5403</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3454</v>
      </c>
      <c r="C1" t="s">
        <v>5404</v>
      </c>
      <c r="D1" t="s">
        <v>5405</v>
      </c>
    </row>
    <row r="2" spans="1:4" ht="15" customHeight="1" x14ac:dyDescent="0.25">
      <c r="A2" t="s">
        <v>5406</v>
      </c>
      <c r="B2" t="s">
        <v>5407</v>
      </c>
      <c r="C2" t="s">
        <v>39</v>
      </c>
      <c r="D2" t="s">
        <v>3459</v>
      </c>
    </row>
    <row r="3" spans="1:4" ht="15" customHeight="1" x14ac:dyDescent="0.25">
      <c r="A3" t="s">
        <v>5408</v>
      </c>
      <c r="B3" t="s">
        <v>5409</v>
      </c>
      <c r="C3" t="s">
        <v>5410</v>
      </c>
      <c r="D3" t="s">
        <v>3459</v>
      </c>
    </row>
    <row r="4" spans="1:4" ht="15" customHeight="1" x14ac:dyDescent="0.25">
      <c r="A4" t="s">
        <v>5411</v>
      </c>
      <c r="B4" t="s">
        <v>5412</v>
      </c>
      <c r="C4" t="s">
        <v>39</v>
      </c>
      <c r="D4" t="s">
        <v>3459</v>
      </c>
    </row>
    <row r="5" spans="1:4" ht="15" customHeight="1" x14ac:dyDescent="0.25">
      <c r="A5" t="s">
        <v>5413</v>
      </c>
      <c r="B5" t="s">
        <v>5414</v>
      </c>
      <c r="C5" t="s">
        <v>5410</v>
      </c>
      <c r="D5" t="s">
        <v>3459</v>
      </c>
    </row>
    <row r="6" spans="1:4" ht="15" customHeight="1" x14ac:dyDescent="0.25">
      <c r="A6" t="s">
        <v>5415</v>
      </c>
      <c r="B6" t="s">
        <v>5416</v>
      </c>
      <c r="C6" t="s">
        <v>5410</v>
      </c>
      <c r="D6" t="s">
        <v>3459</v>
      </c>
    </row>
    <row r="7" spans="1:4" ht="15" customHeight="1" x14ac:dyDescent="0.25">
      <c r="A7" t="s">
        <v>5417</v>
      </c>
      <c r="B7" t="s">
        <v>5418</v>
      </c>
      <c r="C7" t="s">
        <v>39</v>
      </c>
      <c r="D7" t="s">
        <v>3459</v>
      </c>
    </row>
    <row r="8" spans="1:4" ht="15" customHeight="1" x14ac:dyDescent="0.25">
      <c r="A8" t="s">
        <v>5419</v>
      </c>
      <c r="B8" t="s">
        <v>5420</v>
      </c>
      <c r="C8" t="s">
        <v>39</v>
      </c>
      <c r="D8" t="s">
        <v>3459</v>
      </c>
    </row>
    <row r="9" spans="1:4" ht="15" customHeight="1" x14ac:dyDescent="0.25">
      <c r="A9" t="s">
        <v>5421</v>
      </c>
      <c r="B9" t="s">
        <v>5422</v>
      </c>
      <c r="C9" t="s">
        <v>39</v>
      </c>
      <c r="D9" t="s">
        <v>3459</v>
      </c>
    </row>
    <row r="10" spans="1:4" ht="15" customHeight="1" x14ac:dyDescent="0.25">
      <c r="A10" t="s">
        <v>5423</v>
      </c>
      <c r="B10" t="s">
        <v>5424</v>
      </c>
      <c r="C10" t="s">
        <v>5425</v>
      </c>
      <c r="D10" t="s">
        <v>3459</v>
      </c>
    </row>
    <row r="11" spans="1:4" ht="15" customHeight="1" x14ac:dyDescent="0.25">
      <c r="A11" t="s">
        <v>5426</v>
      </c>
      <c r="B11" t="s">
        <v>5427</v>
      </c>
      <c r="C11" t="s">
        <v>4429</v>
      </c>
      <c r="D11" t="s">
        <v>3459</v>
      </c>
    </row>
    <row r="12" spans="1:4" ht="15" customHeight="1" x14ac:dyDescent="0.25">
      <c r="A12" t="s">
        <v>5428</v>
      </c>
      <c r="B12" t="s">
        <v>5429</v>
      </c>
      <c r="C12" t="s">
        <v>4429</v>
      </c>
      <c r="D12" t="s">
        <v>3459</v>
      </c>
    </row>
    <row r="13" spans="1:4" ht="15" customHeight="1" x14ac:dyDescent="0.25">
      <c r="A13" t="s">
        <v>5430</v>
      </c>
      <c r="B13" t="s">
        <v>5431</v>
      </c>
      <c r="C13" t="s">
        <v>5410</v>
      </c>
      <c r="D13" t="s">
        <v>3459</v>
      </c>
    </row>
    <row r="14" spans="1:4" ht="15" customHeight="1" x14ac:dyDescent="0.25">
      <c r="A14" t="s">
        <v>5432</v>
      </c>
      <c r="B14" t="s">
        <v>5433</v>
      </c>
      <c r="C14" t="s">
        <v>39</v>
      </c>
      <c r="D14" t="s">
        <v>3459</v>
      </c>
    </row>
    <row r="15" spans="1:4" ht="15" customHeight="1" x14ac:dyDescent="0.25">
      <c r="A15" t="s">
        <v>5434</v>
      </c>
      <c r="B15" t="s">
        <v>5435</v>
      </c>
      <c r="C15" t="s">
        <v>39</v>
      </c>
      <c r="D15" t="s">
        <v>3459</v>
      </c>
    </row>
    <row r="16" spans="1:4" ht="15" customHeight="1" x14ac:dyDescent="0.25">
      <c r="A16" t="s">
        <v>5436</v>
      </c>
      <c r="B16" t="s">
        <v>5437</v>
      </c>
      <c r="C16" t="s">
        <v>5425</v>
      </c>
      <c r="D16" t="s">
        <v>3459</v>
      </c>
    </row>
    <row r="17" spans="1:4" ht="15" customHeight="1" x14ac:dyDescent="0.25">
      <c r="A17" t="s">
        <v>5438</v>
      </c>
      <c r="B17" t="s">
        <v>5439</v>
      </c>
      <c r="C17" t="s">
        <v>39</v>
      </c>
      <c r="D17" t="s">
        <v>3459</v>
      </c>
    </row>
    <row r="18" spans="1:4" ht="15" customHeight="1" x14ac:dyDescent="0.25">
      <c r="A18" t="s">
        <v>5440</v>
      </c>
      <c r="B18" t="s">
        <v>5441</v>
      </c>
      <c r="C18" t="s">
        <v>5442</v>
      </c>
      <c r="D18" t="s">
        <v>3459</v>
      </c>
    </row>
    <row r="19" spans="1:4" ht="15" customHeight="1" x14ac:dyDescent="0.25">
      <c r="A19" t="s">
        <v>5443</v>
      </c>
      <c r="B19" t="s">
        <v>5444</v>
      </c>
      <c r="C19" t="s">
        <v>39</v>
      </c>
      <c r="D19" t="s">
        <v>3459</v>
      </c>
    </row>
    <row r="20" spans="1:4" ht="15" customHeight="1" x14ac:dyDescent="0.25">
      <c r="A20" t="s">
        <v>5445</v>
      </c>
      <c r="B20" t="s">
        <v>5446</v>
      </c>
      <c r="C20" t="s">
        <v>39</v>
      </c>
      <c r="D20" t="s">
        <v>3459</v>
      </c>
    </row>
    <row r="21" spans="1:4" ht="15" customHeight="1" x14ac:dyDescent="0.25">
      <c r="A21" t="s">
        <v>5447</v>
      </c>
      <c r="B21" t="s">
        <v>5448</v>
      </c>
      <c r="C21" t="s">
        <v>39</v>
      </c>
      <c r="D21" t="s">
        <v>5449</v>
      </c>
    </row>
    <row r="22" spans="1:4" ht="15" customHeight="1" x14ac:dyDescent="0.25">
      <c r="A22" t="s">
        <v>5450</v>
      </c>
      <c r="B22" t="s">
        <v>5451</v>
      </c>
      <c r="C22" t="s">
        <v>5452</v>
      </c>
      <c r="D22" t="s">
        <v>3459</v>
      </c>
    </row>
    <row r="23" spans="1:4" ht="15" customHeight="1" x14ac:dyDescent="0.25">
      <c r="A23" t="s">
        <v>5453</v>
      </c>
      <c r="B23" t="s">
        <v>5454</v>
      </c>
      <c r="C23" t="s">
        <v>5425</v>
      </c>
      <c r="D23" t="s">
        <v>3459</v>
      </c>
    </row>
    <row r="24" spans="1:4" ht="15" customHeight="1" x14ac:dyDescent="0.25">
      <c r="A24" t="s">
        <v>5455</v>
      </c>
      <c r="B24" t="s">
        <v>5456</v>
      </c>
      <c r="C24" t="s">
        <v>5425</v>
      </c>
      <c r="D24" t="s">
        <v>5457</v>
      </c>
    </row>
    <row r="25" spans="1:4" ht="15" customHeight="1" x14ac:dyDescent="0.25">
      <c r="A25" t="s">
        <v>5458</v>
      </c>
      <c r="B25" t="s">
        <v>5459</v>
      </c>
      <c r="C25" t="s">
        <v>5442</v>
      </c>
      <c r="D25" t="s">
        <v>3459</v>
      </c>
    </row>
    <row r="26" spans="1:4" ht="15" customHeight="1" x14ac:dyDescent="0.25">
      <c r="A26" t="s">
        <v>5460</v>
      </c>
      <c r="B26" t="s">
        <v>5461</v>
      </c>
      <c r="C26" t="s">
        <v>5410</v>
      </c>
      <c r="D26" t="s">
        <v>3459</v>
      </c>
    </row>
    <row r="27" spans="1:4" ht="15" customHeight="1" x14ac:dyDescent="0.25">
      <c r="A27" t="s">
        <v>5462</v>
      </c>
      <c r="B27" t="s">
        <v>5463</v>
      </c>
      <c r="C27" t="s">
        <v>5425</v>
      </c>
      <c r="D27" t="s">
        <v>3459</v>
      </c>
    </row>
    <row r="28" spans="1:4" ht="15" customHeight="1" x14ac:dyDescent="0.25">
      <c r="A28" t="s">
        <v>5464</v>
      </c>
      <c r="B28" t="s">
        <v>5465</v>
      </c>
      <c r="C28" t="s">
        <v>5425</v>
      </c>
      <c r="D28" t="s">
        <v>3459</v>
      </c>
    </row>
    <row r="29" spans="1:4" ht="15" customHeight="1" x14ac:dyDescent="0.25">
      <c r="A29" t="s">
        <v>5466</v>
      </c>
      <c r="B29" t="s">
        <v>5467</v>
      </c>
      <c r="C29" t="s">
        <v>5468</v>
      </c>
      <c r="D29" t="s">
        <v>3459</v>
      </c>
    </row>
    <row r="30" spans="1:4" ht="15" customHeight="1" x14ac:dyDescent="0.25">
      <c r="A30" t="s">
        <v>5469</v>
      </c>
      <c r="B30" t="s">
        <v>5470</v>
      </c>
      <c r="C30" t="s">
        <v>39</v>
      </c>
      <c r="D30" t="s">
        <v>3459</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5471</v>
      </c>
      <c r="F1" t="s">
        <v>5472</v>
      </c>
      <c r="G1" t="s">
        <v>5405</v>
      </c>
      <c r="H1" t="s">
        <v>5473</v>
      </c>
      <c r="I1" t="s">
        <v>5474</v>
      </c>
      <c r="J1" t="s">
        <v>5475</v>
      </c>
      <c r="K1" t="s">
        <v>5476</v>
      </c>
      <c r="L1" t="s">
        <v>5477</v>
      </c>
      <c r="M1" t="s">
        <v>5478</v>
      </c>
    </row>
    <row r="2" spans="1:13" ht="15" customHeight="1" x14ac:dyDescent="0.25">
      <c r="A2" t="s">
        <v>5411</v>
      </c>
      <c r="B2" t="s">
        <v>5412</v>
      </c>
      <c r="C2" t="s">
        <v>5479</v>
      </c>
      <c r="D2" t="s">
        <v>5480</v>
      </c>
      <c r="E2" t="s">
        <v>3998</v>
      </c>
      <c r="F2" t="s">
        <v>39</v>
      </c>
      <c r="G2" t="s">
        <v>3459</v>
      </c>
      <c r="H2" t="s">
        <v>5481</v>
      </c>
      <c r="I2" t="s">
        <v>5482</v>
      </c>
      <c r="J2" t="s">
        <v>5483</v>
      </c>
    </row>
    <row r="3" spans="1:13" ht="15" customHeight="1" x14ac:dyDescent="0.25">
      <c r="A3" t="s">
        <v>5417</v>
      </c>
      <c r="B3" t="s">
        <v>5418</v>
      </c>
      <c r="C3" t="s">
        <v>5418</v>
      </c>
      <c r="D3" t="s">
        <v>5418</v>
      </c>
      <c r="E3" t="s">
        <v>3998</v>
      </c>
      <c r="F3" t="s">
        <v>39</v>
      </c>
      <c r="G3" t="s">
        <v>3459</v>
      </c>
      <c r="H3" t="s">
        <v>5484</v>
      </c>
      <c r="I3" t="s">
        <v>5485</v>
      </c>
    </row>
    <row r="4" spans="1:13" ht="15" customHeight="1" x14ac:dyDescent="0.25">
      <c r="A4" t="s">
        <v>5486</v>
      </c>
      <c r="B4" s="8" t="s">
        <v>5487</v>
      </c>
      <c r="C4" s="8" t="s">
        <v>5487</v>
      </c>
      <c r="D4" s="8" t="s">
        <v>5487</v>
      </c>
      <c r="E4" t="s">
        <v>187</v>
      </c>
      <c r="F4" t="s">
        <v>39</v>
      </c>
      <c r="G4" t="s">
        <v>3459</v>
      </c>
      <c r="H4" t="s">
        <v>5488</v>
      </c>
      <c r="I4" t="s">
        <v>5489</v>
      </c>
    </row>
    <row r="5" spans="1:13" ht="15" customHeight="1" x14ac:dyDescent="0.25">
      <c r="A5" t="s">
        <v>5490</v>
      </c>
      <c r="B5" t="s">
        <v>5491</v>
      </c>
      <c r="C5" t="s">
        <v>5491</v>
      </c>
      <c r="D5" t="s">
        <v>5491</v>
      </c>
      <c r="E5" t="s">
        <v>3998</v>
      </c>
      <c r="F5" t="s">
        <v>5425</v>
      </c>
      <c r="G5" t="s">
        <v>3459</v>
      </c>
      <c r="H5" t="s">
        <v>5492</v>
      </c>
      <c r="I5" t="s">
        <v>5485</v>
      </c>
    </row>
    <row r="6" spans="1:13" ht="15" customHeight="1" x14ac:dyDescent="0.25">
      <c r="A6" t="s">
        <v>5423</v>
      </c>
      <c r="B6" t="s">
        <v>5424</v>
      </c>
      <c r="C6" t="s">
        <v>5493</v>
      </c>
      <c r="D6" t="s">
        <v>5424</v>
      </c>
      <c r="E6" t="s">
        <v>3998</v>
      </c>
      <c r="F6" t="s">
        <v>5425</v>
      </c>
      <c r="G6" t="s">
        <v>3459</v>
      </c>
      <c r="H6" t="s">
        <v>5494</v>
      </c>
      <c r="I6" t="s">
        <v>5485</v>
      </c>
      <c r="K6" t="s">
        <v>5495</v>
      </c>
      <c r="L6" t="s">
        <v>5496</v>
      </c>
    </row>
    <row r="7" spans="1:13" ht="15" customHeight="1" x14ac:dyDescent="0.25">
      <c r="A7" t="s">
        <v>5497</v>
      </c>
      <c r="B7" t="s">
        <v>5498</v>
      </c>
      <c r="C7" t="s">
        <v>5499</v>
      </c>
      <c r="D7" t="s">
        <v>5498</v>
      </c>
      <c r="E7" t="s">
        <v>3998</v>
      </c>
      <c r="F7" t="s">
        <v>5425</v>
      </c>
      <c r="G7" t="s">
        <v>3459</v>
      </c>
      <c r="H7" t="s">
        <v>5500</v>
      </c>
      <c r="I7" t="s">
        <v>5485</v>
      </c>
      <c r="K7" t="s">
        <v>5501</v>
      </c>
      <c r="L7" t="s">
        <v>5502</v>
      </c>
    </row>
    <row r="8" spans="1:13" ht="15" customHeight="1" x14ac:dyDescent="0.25">
      <c r="A8" t="s">
        <v>5426</v>
      </c>
      <c r="B8" t="s">
        <v>5503</v>
      </c>
      <c r="C8" t="s">
        <v>5504</v>
      </c>
      <c r="D8" t="s">
        <v>5504</v>
      </c>
      <c r="E8" t="s">
        <v>3998</v>
      </c>
      <c r="F8" t="s">
        <v>4429</v>
      </c>
      <c r="G8" t="s">
        <v>3459</v>
      </c>
      <c r="H8" t="s">
        <v>5505</v>
      </c>
      <c r="I8" t="s">
        <v>5506</v>
      </c>
      <c r="J8" t="s">
        <v>5505</v>
      </c>
    </row>
    <row r="9" spans="1:13" ht="15" customHeight="1" x14ac:dyDescent="0.25">
      <c r="A9" t="s">
        <v>5428</v>
      </c>
      <c r="B9" t="s">
        <v>5429</v>
      </c>
      <c r="C9" t="s">
        <v>5429</v>
      </c>
      <c r="D9" t="s">
        <v>5429</v>
      </c>
      <c r="E9" t="s">
        <v>3998</v>
      </c>
      <c r="F9" t="s">
        <v>39</v>
      </c>
      <c r="G9" t="s">
        <v>3459</v>
      </c>
      <c r="H9" t="s">
        <v>5507</v>
      </c>
      <c r="I9" t="s">
        <v>5508</v>
      </c>
      <c r="J9" t="s">
        <v>3847</v>
      </c>
    </row>
    <row r="10" spans="1:13" ht="15" customHeight="1" x14ac:dyDescent="0.25">
      <c r="A10" t="s">
        <v>5432</v>
      </c>
      <c r="B10" t="s">
        <v>5433</v>
      </c>
      <c r="C10" t="s">
        <v>5509</v>
      </c>
      <c r="D10" t="s">
        <v>5509</v>
      </c>
      <c r="E10" t="s">
        <v>3998</v>
      </c>
      <c r="F10" t="s">
        <v>39</v>
      </c>
      <c r="G10" t="s">
        <v>3459</v>
      </c>
      <c r="H10" t="s">
        <v>5510</v>
      </c>
      <c r="I10" t="s">
        <v>5506</v>
      </c>
      <c r="J10" t="s">
        <v>5510</v>
      </c>
    </row>
    <row r="11" spans="1:13" ht="15" customHeight="1" x14ac:dyDescent="0.25">
      <c r="A11" t="s">
        <v>5511</v>
      </c>
      <c r="B11" t="s">
        <v>5435</v>
      </c>
      <c r="C11" t="s">
        <v>5512</v>
      </c>
      <c r="D11" t="s">
        <v>5435</v>
      </c>
      <c r="E11" t="s">
        <v>187</v>
      </c>
      <c r="F11" t="s">
        <v>39</v>
      </c>
      <c r="G11" t="s">
        <v>3459</v>
      </c>
      <c r="H11" t="s">
        <v>5513</v>
      </c>
      <c r="I11" t="s">
        <v>5489</v>
      </c>
    </row>
    <row r="12" spans="1:13" ht="15" customHeight="1" x14ac:dyDescent="0.25">
      <c r="A12" t="s">
        <v>5436</v>
      </c>
      <c r="B12" t="s">
        <v>5437</v>
      </c>
      <c r="C12" t="s">
        <v>5514</v>
      </c>
      <c r="D12" t="s">
        <v>5437</v>
      </c>
      <c r="E12" t="s">
        <v>3998</v>
      </c>
      <c r="F12" t="s">
        <v>5425</v>
      </c>
      <c r="G12" t="s">
        <v>3459</v>
      </c>
      <c r="H12" t="s">
        <v>5515</v>
      </c>
      <c r="I12" t="s">
        <v>5485</v>
      </c>
      <c r="K12" t="s">
        <v>5516</v>
      </c>
      <c r="L12" t="s">
        <v>5517</v>
      </c>
    </row>
    <row r="13" spans="1:13" ht="15" customHeight="1" x14ac:dyDescent="0.25">
      <c r="A13" t="s">
        <v>5438</v>
      </c>
      <c r="B13" t="s">
        <v>5439</v>
      </c>
      <c r="C13" t="s">
        <v>5439</v>
      </c>
      <c r="D13" t="s">
        <v>5439</v>
      </c>
      <c r="E13" t="s">
        <v>3998</v>
      </c>
      <c r="F13" t="s">
        <v>39</v>
      </c>
      <c r="G13" t="s">
        <v>3459</v>
      </c>
      <c r="H13" t="s">
        <v>5518</v>
      </c>
      <c r="I13" t="s">
        <v>5506</v>
      </c>
      <c r="J13" t="s">
        <v>5518</v>
      </c>
    </row>
    <row r="14" spans="1:13" ht="15" customHeight="1" x14ac:dyDescent="0.25">
      <c r="A14" t="s">
        <v>5443</v>
      </c>
      <c r="B14" t="s">
        <v>5519</v>
      </c>
      <c r="C14" t="s">
        <v>5520</v>
      </c>
      <c r="D14" t="s">
        <v>5520</v>
      </c>
      <c r="E14" t="s">
        <v>3998</v>
      </c>
      <c r="F14" t="s">
        <v>39</v>
      </c>
      <c r="G14" t="s">
        <v>3459</v>
      </c>
      <c r="H14" t="s">
        <v>5521</v>
      </c>
      <c r="I14" t="s">
        <v>5485</v>
      </c>
    </row>
    <row r="15" spans="1:13" ht="15" customHeight="1" x14ac:dyDescent="0.25">
      <c r="A15" t="s">
        <v>5522</v>
      </c>
      <c r="B15" t="s">
        <v>5523</v>
      </c>
      <c r="C15" t="s">
        <v>5523</v>
      </c>
      <c r="D15" t="s">
        <v>5523</v>
      </c>
      <c r="E15" t="s">
        <v>3998</v>
      </c>
      <c r="F15" t="s">
        <v>5524</v>
      </c>
      <c r="G15" t="s">
        <v>3459</v>
      </c>
      <c r="H15" t="s">
        <v>5525</v>
      </c>
      <c r="I15" t="s">
        <v>5525</v>
      </c>
    </row>
    <row r="16" spans="1:13" ht="15" customHeight="1" x14ac:dyDescent="0.25">
      <c r="A16" t="s">
        <v>5526</v>
      </c>
      <c r="B16" t="s">
        <v>5527</v>
      </c>
      <c r="C16" t="s">
        <v>5527</v>
      </c>
      <c r="D16" t="s">
        <v>5527</v>
      </c>
      <c r="E16" t="s">
        <v>187</v>
      </c>
      <c r="F16" t="s">
        <v>5524</v>
      </c>
      <c r="G16" t="s">
        <v>3459</v>
      </c>
      <c r="H16" t="s">
        <v>5528</v>
      </c>
      <c r="I16" t="s">
        <v>5528</v>
      </c>
    </row>
    <row r="17" spans="1:12" ht="15" customHeight="1" x14ac:dyDescent="0.25">
      <c r="A17" t="s">
        <v>5450</v>
      </c>
      <c r="B17" t="s">
        <v>5451</v>
      </c>
      <c r="C17" t="s">
        <v>5529</v>
      </c>
      <c r="D17" t="s">
        <v>5529</v>
      </c>
      <c r="E17" t="s">
        <v>3998</v>
      </c>
      <c r="F17" t="s">
        <v>39</v>
      </c>
      <c r="G17" t="s">
        <v>3459</v>
      </c>
      <c r="H17" t="s">
        <v>5530</v>
      </c>
      <c r="I17" t="s">
        <v>5485</v>
      </c>
    </row>
    <row r="18" spans="1:12" ht="15" customHeight="1" x14ac:dyDescent="0.25">
      <c r="A18" t="s">
        <v>5531</v>
      </c>
      <c r="B18" t="s">
        <v>5532</v>
      </c>
      <c r="C18" t="s">
        <v>5532</v>
      </c>
      <c r="D18" t="s">
        <v>5533</v>
      </c>
      <c r="E18" t="s">
        <v>187</v>
      </c>
      <c r="F18" t="s">
        <v>5425</v>
      </c>
      <c r="G18" t="s">
        <v>3459</v>
      </c>
      <c r="H18" t="s">
        <v>5534</v>
      </c>
      <c r="I18" t="s">
        <v>5535</v>
      </c>
    </row>
    <row r="19" spans="1:12" ht="15" customHeight="1" x14ac:dyDescent="0.25">
      <c r="A19" t="s">
        <v>5453</v>
      </c>
      <c r="B19" t="s">
        <v>5454</v>
      </c>
      <c r="C19" t="s">
        <v>5536</v>
      </c>
      <c r="D19" t="s">
        <v>5454</v>
      </c>
      <c r="E19" t="s">
        <v>3998</v>
      </c>
      <c r="F19" t="s">
        <v>5425</v>
      </c>
      <c r="G19" t="s">
        <v>3459</v>
      </c>
      <c r="H19" t="s">
        <v>5537</v>
      </c>
      <c r="I19" t="s">
        <v>5485</v>
      </c>
    </row>
    <row r="20" spans="1:12" ht="15" customHeight="1" x14ac:dyDescent="0.25">
      <c r="A20" t="s">
        <v>5462</v>
      </c>
      <c r="B20" t="s">
        <v>5538</v>
      </c>
      <c r="C20" t="s">
        <v>5539</v>
      </c>
      <c r="D20" t="s">
        <v>5538</v>
      </c>
      <c r="E20" t="s">
        <v>3998</v>
      </c>
      <c r="F20" t="s">
        <v>5425</v>
      </c>
      <c r="G20" t="s">
        <v>3459</v>
      </c>
      <c r="H20" t="s">
        <v>5540</v>
      </c>
      <c r="I20" t="s">
        <v>5485</v>
      </c>
    </row>
    <row r="21" spans="1:12" ht="15" customHeight="1" x14ac:dyDescent="0.25">
      <c r="A21" t="s">
        <v>5464</v>
      </c>
      <c r="B21" t="s">
        <v>5541</v>
      </c>
      <c r="C21" t="s">
        <v>5493</v>
      </c>
      <c r="D21" t="s">
        <v>5541</v>
      </c>
      <c r="E21" t="s">
        <v>3998</v>
      </c>
      <c r="F21" t="s">
        <v>5425</v>
      </c>
      <c r="G21" t="s">
        <v>3459</v>
      </c>
      <c r="H21" t="s">
        <v>5542</v>
      </c>
      <c r="I21" t="s">
        <v>5485</v>
      </c>
      <c r="K21" t="s">
        <v>5543</v>
      </c>
      <c r="L21" t="s">
        <v>5496</v>
      </c>
    </row>
    <row r="22" spans="1:12" ht="15" customHeight="1" x14ac:dyDescent="0.25">
      <c r="A22" t="s">
        <v>5466</v>
      </c>
      <c r="B22" t="s">
        <v>5544</v>
      </c>
      <c r="C22" t="s">
        <v>5544</v>
      </c>
      <c r="D22" t="s">
        <v>5544</v>
      </c>
      <c r="E22" t="s">
        <v>3998</v>
      </c>
      <c r="F22" t="s">
        <v>4429</v>
      </c>
      <c r="G22" t="s">
        <v>3459</v>
      </c>
      <c r="H22" t="s">
        <v>5545</v>
      </c>
      <c r="I22" t="s">
        <v>5546</v>
      </c>
    </row>
    <row r="23" spans="1:12" ht="15" customHeight="1" x14ac:dyDescent="0.25">
      <c r="A23" t="s">
        <v>5469</v>
      </c>
      <c r="B23" t="s">
        <v>5470</v>
      </c>
      <c r="C23" t="s">
        <v>5470</v>
      </c>
      <c r="D23" t="s">
        <v>5470</v>
      </c>
      <c r="E23" t="s">
        <v>3998</v>
      </c>
      <c r="F23" t="s">
        <v>39</v>
      </c>
      <c r="G23" t="s">
        <v>3459</v>
      </c>
      <c r="H23" t="s">
        <v>5547</v>
      </c>
      <c r="I23" t="s">
        <v>5508</v>
      </c>
      <c r="J23" t="s">
        <v>5548</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5549</v>
      </c>
      <c r="D1" t="s">
        <v>5550</v>
      </c>
      <c r="E1" t="s">
        <v>5551</v>
      </c>
      <c r="F1" t="s">
        <v>5552</v>
      </c>
      <c r="G1" t="s">
        <v>5553</v>
      </c>
      <c r="H1" t="s">
        <v>5554</v>
      </c>
      <c r="I1" t="s">
        <v>5555</v>
      </c>
      <c r="J1" t="s">
        <v>5556</v>
      </c>
      <c r="K1" t="s">
        <v>3498</v>
      </c>
      <c r="L1" t="s">
        <v>4010</v>
      </c>
      <c r="M1" t="s">
        <v>171</v>
      </c>
    </row>
    <row r="2" spans="1:13" ht="15" customHeight="1" x14ac:dyDescent="0.25">
      <c r="A2" t="s">
        <v>5557</v>
      </c>
      <c r="B2" t="s">
        <v>3515</v>
      </c>
      <c r="C2" t="s">
        <v>5558</v>
      </c>
      <c r="D2" t="s">
        <v>101</v>
      </c>
      <c r="E2" t="s">
        <v>5558</v>
      </c>
      <c r="F2" t="s">
        <v>101</v>
      </c>
      <c r="G2" t="s">
        <v>5558</v>
      </c>
      <c r="H2" t="s">
        <v>101</v>
      </c>
      <c r="I2" t="s">
        <v>5558</v>
      </c>
      <c r="J2" t="s">
        <v>101</v>
      </c>
      <c r="K2" t="s">
        <v>2154</v>
      </c>
      <c r="L2" t="s">
        <v>4043</v>
      </c>
    </row>
    <row r="3" spans="1:13" ht="15" customHeight="1" x14ac:dyDescent="0.25">
      <c r="A3" t="s">
        <v>4014</v>
      </c>
      <c r="B3" t="s">
        <v>3515</v>
      </c>
      <c r="C3" t="s">
        <v>5559</v>
      </c>
      <c r="D3" t="s">
        <v>5560</v>
      </c>
      <c r="E3" t="s">
        <v>5561</v>
      </c>
      <c r="F3" t="s">
        <v>5562</v>
      </c>
      <c r="G3" t="s">
        <v>5563</v>
      </c>
      <c r="H3" t="s">
        <v>5564</v>
      </c>
      <c r="I3" t="s">
        <v>5565</v>
      </c>
      <c r="J3" t="s">
        <v>5566</v>
      </c>
      <c r="K3" t="s">
        <v>2154</v>
      </c>
      <c r="L3" t="s">
        <v>4015</v>
      </c>
    </row>
    <row r="4" spans="1:13" ht="15" customHeight="1" x14ac:dyDescent="0.25">
      <c r="A4" t="s">
        <v>4020</v>
      </c>
      <c r="B4" t="s">
        <v>3515</v>
      </c>
      <c r="C4" t="s">
        <v>5567</v>
      </c>
      <c r="D4" t="s">
        <v>5568</v>
      </c>
      <c r="E4" t="s">
        <v>5569</v>
      </c>
      <c r="F4" t="s">
        <v>5570</v>
      </c>
      <c r="G4" t="s">
        <v>5571</v>
      </c>
      <c r="H4" t="s">
        <v>5572</v>
      </c>
      <c r="I4" t="s">
        <v>5573</v>
      </c>
      <c r="J4" t="s">
        <v>5574</v>
      </c>
      <c r="K4" t="s">
        <v>1284</v>
      </c>
      <c r="L4" t="s">
        <v>4015</v>
      </c>
      <c r="M4" t="s">
        <v>4023</v>
      </c>
    </row>
    <row r="5" spans="1:13" ht="15" customHeight="1" x14ac:dyDescent="0.25">
      <c r="A5" t="s">
        <v>5575</v>
      </c>
      <c r="B5" t="s">
        <v>3515</v>
      </c>
      <c r="C5" t="s">
        <v>5576</v>
      </c>
      <c r="D5" t="s">
        <v>5577</v>
      </c>
      <c r="E5" t="s">
        <v>5578</v>
      </c>
      <c r="F5" t="s">
        <v>5579</v>
      </c>
      <c r="G5" t="s">
        <v>5580</v>
      </c>
      <c r="H5" t="s">
        <v>5581</v>
      </c>
      <c r="I5" t="s">
        <v>5582</v>
      </c>
      <c r="J5" t="s">
        <v>5583</v>
      </c>
      <c r="K5" t="s">
        <v>1725</v>
      </c>
      <c r="L5" t="s">
        <v>4032</v>
      </c>
    </row>
    <row r="6" spans="1:13" ht="15" customHeight="1" x14ac:dyDescent="0.25">
      <c r="A6" t="s">
        <v>4026</v>
      </c>
      <c r="B6" t="s">
        <v>41</v>
      </c>
      <c r="C6" t="s">
        <v>5584</v>
      </c>
      <c r="D6" t="s">
        <v>5585</v>
      </c>
      <c r="E6" t="s">
        <v>5586</v>
      </c>
      <c r="F6" t="s">
        <v>5587</v>
      </c>
      <c r="G6" t="s">
        <v>5588</v>
      </c>
      <c r="H6" t="s">
        <v>5589</v>
      </c>
      <c r="I6" t="s">
        <v>5590</v>
      </c>
      <c r="J6" t="s">
        <v>5591</v>
      </c>
      <c r="K6" t="s">
        <v>2154</v>
      </c>
      <c r="L6" t="s">
        <v>4015</v>
      </c>
    </row>
    <row r="7" spans="1:13" ht="15" customHeight="1" x14ac:dyDescent="0.25">
      <c r="A7" t="s">
        <v>5592</v>
      </c>
      <c r="B7" t="s">
        <v>41</v>
      </c>
      <c r="C7" t="s">
        <v>5593</v>
      </c>
      <c r="D7" t="s">
        <v>5594</v>
      </c>
      <c r="E7" t="s">
        <v>5595</v>
      </c>
      <c r="F7" t="s">
        <v>5596</v>
      </c>
      <c r="G7" t="s">
        <v>5597</v>
      </c>
      <c r="H7" t="s">
        <v>5598</v>
      </c>
      <c r="I7" t="s">
        <v>5599</v>
      </c>
      <c r="J7" t="s">
        <v>5600</v>
      </c>
      <c r="K7" t="s">
        <v>2154</v>
      </c>
      <c r="L7" t="s">
        <v>4032</v>
      </c>
      <c r="M7" t="s">
        <v>5601</v>
      </c>
    </row>
    <row r="8" spans="1:13" ht="15" customHeight="1" x14ac:dyDescent="0.25">
      <c r="A8" t="s">
        <v>4049</v>
      </c>
      <c r="B8" t="s">
        <v>3515</v>
      </c>
      <c r="C8" t="s">
        <v>5602</v>
      </c>
      <c r="D8" t="s">
        <v>5603</v>
      </c>
      <c r="E8" t="s">
        <v>5604</v>
      </c>
      <c r="F8" t="s">
        <v>5605</v>
      </c>
      <c r="G8" t="s">
        <v>5606</v>
      </c>
      <c r="H8" t="s">
        <v>5607</v>
      </c>
      <c r="I8" t="s">
        <v>5608</v>
      </c>
      <c r="J8" t="s">
        <v>5609</v>
      </c>
      <c r="K8" t="s">
        <v>1284</v>
      </c>
      <c r="L8" t="s">
        <v>4015</v>
      </c>
    </row>
    <row r="9" spans="1:13" ht="15" customHeight="1" x14ac:dyDescent="0.25">
      <c r="A9" t="s">
        <v>4031</v>
      </c>
      <c r="B9" t="s">
        <v>41</v>
      </c>
      <c r="C9" t="s">
        <v>5610</v>
      </c>
      <c r="D9" t="s">
        <v>5611</v>
      </c>
      <c r="E9" t="s">
        <v>5612</v>
      </c>
      <c r="F9" t="s">
        <v>5613</v>
      </c>
      <c r="G9" t="s">
        <v>5614</v>
      </c>
      <c r="H9" t="s">
        <v>5615</v>
      </c>
      <c r="I9" t="s">
        <v>5616</v>
      </c>
      <c r="J9" t="s">
        <v>5617</v>
      </c>
      <c r="K9" t="s">
        <v>2154</v>
      </c>
      <c r="L9" t="s">
        <v>4032</v>
      </c>
      <c r="M9" t="s">
        <v>4035</v>
      </c>
    </row>
    <row r="10" spans="1:13" ht="15" customHeight="1" x14ac:dyDescent="0.25">
      <c r="A10" t="s">
        <v>4038</v>
      </c>
      <c r="B10" t="s">
        <v>3515</v>
      </c>
      <c r="C10" t="s">
        <v>5618</v>
      </c>
      <c r="D10" t="s">
        <v>5619</v>
      </c>
      <c r="E10" t="s">
        <v>5620</v>
      </c>
      <c r="F10" t="s">
        <v>5621</v>
      </c>
      <c r="G10" t="s">
        <v>5622</v>
      </c>
      <c r="H10" t="s">
        <v>4039</v>
      </c>
      <c r="I10" t="s">
        <v>5623</v>
      </c>
      <c r="J10" t="s">
        <v>5624</v>
      </c>
      <c r="K10" t="s">
        <v>2154</v>
      </c>
      <c r="L10" t="s">
        <v>4032</v>
      </c>
    </row>
    <row r="11" spans="1:13" ht="15" customHeight="1" x14ac:dyDescent="0.25">
      <c r="A11" t="s">
        <v>5625</v>
      </c>
      <c r="B11" t="s">
        <v>3515</v>
      </c>
      <c r="C11" t="s">
        <v>5626</v>
      </c>
      <c r="D11" t="s">
        <v>5627</v>
      </c>
      <c r="E11" t="s">
        <v>5628</v>
      </c>
      <c r="F11" t="s">
        <v>5629</v>
      </c>
      <c r="G11" t="s">
        <v>5630</v>
      </c>
      <c r="H11" t="s">
        <v>5631</v>
      </c>
      <c r="I11" t="s">
        <v>5632</v>
      </c>
      <c r="J11" t="s">
        <v>5633</v>
      </c>
      <c r="K11" t="s">
        <v>2154</v>
      </c>
      <c r="L11" t="s">
        <v>4015</v>
      </c>
    </row>
    <row r="12" spans="1:13" ht="15" customHeight="1" x14ac:dyDescent="0.25">
      <c r="A12" t="s">
        <v>5634</v>
      </c>
      <c r="B12" t="s">
        <v>41</v>
      </c>
      <c r="C12" t="s">
        <v>5635</v>
      </c>
      <c r="D12" t="s">
        <v>5636</v>
      </c>
      <c r="E12" t="s">
        <v>5637</v>
      </c>
      <c r="F12" t="s">
        <v>5638</v>
      </c>
      <c r="G12" t="s">
        <v>5639</v>
      </c>
      <c r="H12" t="s">
        <v>5640</v>
      </c>
      <c r="I12" t="s">
        <v>5641</v>
      </c>
      <c r="J12" t="s">
        <v>5642</v>
      </c>
      <c r="K12" t="s">
        <v>2154</v>
      </c>
      <c r="L12" t="s">
        <v>4043</v>
      </c>
      <c r="M12" t="s">
        <v>4046</v>
      </c>
    </row>
    <row r="13" spans="1:13" ht="15" customHeight="1" x14ac:dyDescent="0.25">
      <c r="A13" t="s">
        <v>5643</v>
      </c>
      <c r="B13" t="s">
        <v>3503</v>
      </c>
      <c r="C13" t="s">
        <v>5644</v>
      </c>
      <c r="D13" t="s">
        <v>5645</v>
      </c>
      <c r="E13" t="s">
        <v>5646</v>
      </c>
      <c r="F13" t="s">
        <v>5647</v>
      </c>
      <c r="G13" t="s">
        <v>5648</v>
      </c>
      <c r="H13" t="s">
        <v>5649</v>
      </c>
      <c r="I13" t="s">
        <v>5650</v>
      </c>
      <c r="J13" t="s">
        <v>5651</v>
      </c>
      <c r="K13" t="s">
        <v>2154</v>
      </c>
      <c r="L13" t="s">
        <v>4032</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3497</v>
      </c>
      <c r="D1" t="s">
        <v>3498</v>
      </c>
      <c r="E1" t="s">
        <v>171</v>
      </c>
    </row>
    <row r="2" spans="1:5" ht="15" customHeight="1" x14ac:dyDescent="0.25">
      <c r="A2" t="s">
        <v>4162</v>
      </c>
      <c r="B2" t="s">
        <v>41</v>
      </c>
      <c r="C2" t="s">
        <v>5652</v>
      </c>
      <c r="D2" t="s">
        <v>90</v>
      </c>
      <c r="E2" t="s">
        <v>4163</v>
      </c>
    </row>
    <row r="3" spans="1:5" ht="15" customHeight="1" x14ac:dyDescent="0.25">
      <c r="A3" t="s">
        <v>4164</v>
      </c>
      <c r="B3" t="s">
        <v>41</v>
      </c>
      <c r="C3" t="s">
        <v>5653</v>
      </c>
      <c r="D3" t="s">
        <v>90</v>
      </c>
      <c r="E3" t="s">
        <v>4167</v>
      </c>
    </row>
    <row r="4" spans="1:5" ht="15" customHeight="1" x14ac:dyDescent="0.25">
      <c r="A4" t="s">
        <v>5654</v>
      </c>
      <c r="B4" t="s">
        <v>41</v>
      </c>
      <c r="C4" t="s">
        <v>5655</v>
      </c>
      <c r="D4" t="s">
        <v>90</v>
      </c>
      <c r="E4" t="s">
        <v>5656</v>
      </c>
    </row>
    <row r="5" spans="1:5" ht="15" customHeight="1" x14ac:dyDescent="0.25">
      <c r="A5" t="s">
        <v>5657</v>
      </c>
      <c r="B5" t="s">
        <v>41</v>
      </c>
      <c r="C5" t="s">
        <v>5658</v>
      </c>
      <c r="D5" t="s">
        <v>90</v>
      </c>
      <c r="E5" t="s">
        <v>5659</v>
      </c>
    </row>
    <row r="6" spans="1:5" ht="15" customHeight="1" x14ac:dyDescent="0.25">
      <c r="A6" t="s">
        <v>5660</v>
      </c>
      <c r="B6" t="s">
        <v>41</v>
      </c>
      <c r="C6" t="s">
        <v>5661</v>
      </c>
      <c r="D6" t="s">
        <v>90</v>
      </c>
      <c r="E6" t="s">
        <v>5662</v>
      </c>
    </row>
    <row r="7" spans="1:5" ht="15" customHeight="1" x14ac:dyDescent="0.25">
      <c r="A7" t="s">
        <v>4168</v>
      </c>
      <c r="B7" t="s">
        <v>41</v>
      </c>
      <c r="C7" t="s">
        <v>5663</v>
      </c>
      <c r="D7" t="s">
        <v>90</v>
      </c>
      <c r="E7" t="s">
        <v>4173</v>
      </c>
    </row>
    <row r="8" spans="1:5" ht="15" customHeight="1" x14ac:dyDescent="0.25">
      <c r="A8" t="s">
        <v>4174</v>
      </c>
      <c r="B8" t="s">
        <v>41</v>
      </c>
      <c r="C8" t="s">
        <v>5664</v>
      </c>
      <c r="D8" t="s">
        <v>90</v>
      </c>
      <c r="E8" t="s">
        <v>4179</v>
      </c>
    </row>
    <row r="9" spans="1:5" ht="15" customHeight="1" x14ac:dyDescent="0.25">
      <c r="A9" t="s">
        <v>4180</v>
      </c>
      <c r="B9" t="s">
        <v>3503</v>
      </c>
      <c r="C9" t="s">
        <v>5665</v>
      </c>
      <c r="D9" t="s">
        <v>90</v>
      </c>
      <c r="E9" t="s">
        <v>4183</v>
      </c>
    </row>
    <row r="10" spans="1:5" ht="15" customHeight="1" x14ac:dyDescent="0.25">
      <c r="A10" t="s">
        <v>4184</v>
      </c>
      <c r="B10" t="s">
        <v>41</v>
      </c>
      <c r="C10" t="s">
        <v>5666</v>
      </c>
      <c r="D10" t="s">
        <v>90</v>
      </c>
      <c r="E10" t="s">
        <v>4189</v>
      </c>
    </row>
    <row r="11" spans="1:5" ht="15" customHeight="1" x14ac:dyDescent="0.25">
      <c r="A11" t="s">
        <v>4190</v>
      </c>
      <c r="B11" t="s">
        <v>41</v>
      </c>
      <c r="C11" t="s">
        <v>5667</v>
      </c>
      <c r="D11" t="s">
        <v>90</v>
      </c>
      <c r="E11" t="s">
        <v>4195</v>
      </c>
    </row>
    <row r="12" spans="1:5" ht="15" customHeight="1" x14ac:dyDescent="0.25">
      <c r="A12" t="s">
        <v>4196</v>
      </c>
      <c r="B12" t="s">
        <v>41</v>
      </c>
      <c r="C12" t="s">
        <v>5668</v>
      </c>
      <c r="D12" t="s">
        <v>90</v>
      </c>
      <c r="E12" t="s">
        <v>4201</v>
      </c>
    </row>
    <row r="13" spans="1:5" ht="15" customHeight="1" x14ac:dyDescent="0.25">
      <c r="A13" t="s">
        <v>5669</v>
      </c>
      <c r="B13" t="s">
        <v>3515</v>
      </c>
      <c r="C13" t="s">
        <v>5670</v>
      </c>
      <c r="D13" t="s">
        <v>90</v>
      </c>
      <c r="E13" t="s">
        <v>5671</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3442</v>
      </c>
      <c r="D1" t="s">
        <v>4534</v>
      </c>
      <c r="E1" t="s">
        <v>5672</v>
      </c>
      <c r="F1" t="s">
        <v>5673</v>
      </c>
      <c r="G1" t="s">
        <v>5674</v>
      </c>
      <c r="H1" t="s">
        <v>5675</v>
      </c>
      <c r="I1" t="s">
        <v>3451</v>
      </c>
      <c r="J1" t="s">
        <v>5676</v>
      </c>
      <c r="K1" t="s">
        <v>3445</v>
      </c>
      <c r="L1" t="s">
        <v>5677</v>
      </c>
      <c r="M1" t="s">
        <v>3839</v>
      </c>
      <c r="N1" t="s">
        <v>5678</v>
      </c>
      <c r="O1" t="s">
        <v>5679</v>
      </c>
      <c r="P1" t="s">
        <v>3452</v>
      </c>
      <c r="Q1" t="s">
        <v>3453</v>
      </c>
      <c r="R1" t="s">
        <v>3454</v>
      </c>
      <c r="S1" t="s">
        <v>5680</v>
      </c>
      <c r="T1" t="s">
        <v>5681</v>
      </c>
      <c r="U1" t="s">
        <v>5682</v>
      </c>
      <c r="V1" t="s">
        <v>5683</v>
      </c>
      <c r="W1" t="s">
        <v>5684</v>
      </c>
      <c r="X1" t="s">
        <v>3455</v>
      </c>
    </row>
    <row r="2" spans="1:24" ht="15" customHeight="1" x14ac:dyDescent="0.25">
      <c r="A2" t="s">
        <v>3486</v>
      </c>
      <c r="B2" t="s">
        <v>2154</v>
      </c>
      <c r="C2">
        <v>75</v>
      </c>
      <c r="D2">
        <v>3</v>
      </c>
      <c r="E2">
        <v>0</v>
      </c>
      <c r="F2">
        <v>0</v>
      </c>
      <c r="G2">
        <v>0</v>
      </c>
      <c r="H2">
        <v>0</v>
      </c>
      <c r="I2">
        <v>2</v>
      </c>
      <c r="J2">
        <v>0</v>
      </c>
      <c r="K2">
        <v>0</v>
      </c>
      <c r="L2">
        <v>0</v>
      </c>
      <c r="M2">
        <v>0</v>
      </c>
      <c r="N2">
        <v>0</v>
      </c>
      <c r="O2">
        <v>0</v>
      </c>
      <c r="P2" t="s">
        <v>3487</v>
      </c>
      <c r="Q2" t="s">
        <v>5685</v>
      </c>
      <c r="R2" t="s">
        <v>3488</v>
      </c>
      <c r="S2" t="s">
        <v>5425</v>
      </c>
      <c r="T2">
        <v>5</v>
      </c>
      <c r="U2">
        <v>5</v>
      </c>
      <c r="X2" t="s">
        <v>3459</v>
      </c>
    </row>
    <row r="3" spans="1:24" ht="15" customHeight="1" x14ac:dyDescent="0.25">
      <c r="A3" t="s">
        <v>3469</v>
      </c>
      <c r="B3" t="s">
        <v>160</v>
      </c>
      <c r="C3">
        <v>75</v>
      </c>
      <c r="D3">
        <v>3</v>
      </c>
      <c r="E3">
        <v>0</v>
      </c>
      <c r="F3">
        <v>0</v>
      </c>
      <c r="G3">
        <v>0</v>
      </c>
      <c r="H3">
        <v>0</v>
      </c>
      <c r="I3">
        <v>0</v>
      </c>
      <c r="J3">
        <v>2</v>
      </c>
      <c r="K3">
        <v>0</v>
      </c>
      <c r="L3">
        <v>0</v>
      </c>
      <c r="M3">
        <v>0</v>
      </c>
      <c r="N3">
        <v>0</v>
      </c>
      <c r="O3">
        <v>0</v>
      </c>
      <c r="P3" t="s">
        <v>5686</v>
      </c>
      <c r="Q3" t="s">
        <v>5687</v>
      </c>
      <c r="R3" t="s">
        <v>3471</v>
      </c>
      <c r="S3" t="s">
        <v>5442</v>
      </c>
      <c r="T3">
        <v>5</v>
      </c>
      <c r="U3">
        <v>4</v>
      </c>
      <c r="V3" t="s">
        <v>5688</v>
      </c>
      <c r="X3" t="s">
        <v>3472</v>
      </c>
    </row>
    <row r="4" spans="1:24" ht="15" customHeight="1" x14ac:dyDescent="0.25">
      <c r="A4" t="s">
        <v>3492</v>
      </c>
      <c r="B4" t="s">
        <v>1322</v>
      </c>
      <c r="C4">
        <v>60</v>
      </c>
      <c r="D4">
        <v>3</v>
      </c>
      <c r="E4">
        <v>0</v>
      </c>
      <c r="F4">
        <v>1</v>
      </c>
      <c r="G4">
        <v>0</v>
      </c>
      <c r="H4">
        <v>0</v>
      </c>
      <c r="I4">
        <v>0</v>
      </c>
      <c r="J4">
        <v>0</v>
      </c>
      <c r="K4">
        <v>1</v>
      </c>
      <c r="L4">
        <v>0</v>
      </c>
      <c r="M4">
        <v>0</v>
      </c>
      <c r="N4">
        <v>0</v>
      </c>
      <c r="O4">
        <v>0</v>
      </c>
      <c r="P4" t="s">
        <v>3493</v>
      </c>
      <c r="Q4" t="s">
        <v>5689</v>
      </c>
      <c r="R4" t="s">
        <v>3495</v>
      </c>
      <c r="S4" t="s">
        <v>4551</v>
      </c>
      <c r="T4">
        <v>5</v>
      </c>
      <c r="U4">
        <v>5</v>
      </c>
      <c r="X4" t="s">
        <v>3459</v>
      </c>
    </row>
    <row r="5" spans="1:24" ht="15" customHeight="1" x14ac:dyDescent="0.25">
      <c r="A5" t="s">
        <v>3476</v>
      </c>
      <c r="B5" t="s">
        <v>1817</v>
      </c>
      <c r="C5">
        <v>60</v>
      </c>
      <c r="D5">
        <v>3</v>
      </c>
      <c r="E5">
        <v>0</v>
      </c>
      <c r="F5">
        <v>0</v>
      </c>
      <c r="G5">
        <v>1</v>
      </c>
      <c r="H5">
        <v>1</v>
      </c>
      <c r="I5">
        <v>0</v>
      </c>
      <c r="J5">
        <v>0</v>
      </c>
      <c r="K5">
        <v>0</v>
      </c>
      <c r="L5">
        <v>0</v>
      </c>
      <c r="M5">
        <v>0</v>
      </c>
      <c r="N5">
        <v>0</v>
      </c>
      <c r="O5">
        <v>0</v>
      </c>
      <c r="P5" t="s">
        <v>3477</v>
      </c>
      <c r="Q5" t="s">
        <v>5690</v>
      </c>
      <c r="R5" t="s">
        <v>3479</v>
      </c>
      <c r="S5" t="s">
        <v>5691</v>
      </c>
      <c r="T5">
        <v>5</v>
      </c>
      <c r="U5">
        <v>5</v>
      </c>
      <c r="X5" t="s">
        <v>3459</v>
      </c>
    </row>
    <row r="6" spans="1:24" ht="15" customHeight="1" x14ac:dyDescent="0.25">
      <c r="A6" t="s">
        <v>3465</v>
      </c>
      <c r="B6" t="s">
        <v>90</v>
      </c>
      <c r="C6">
        <v>80</v>
      </c>
      <c r="D6">
        <v>3</v>
      </c>
      <c r="E6">
        <v>2</v>
      </c>
      <c r="F6">
        <v>0</v>
      </c>
      <c r="G6">
        <v>0</v>
      </c>
      <c r="H6">
        <v>0</v>
      </c>
      <c r="I6">
        <v>0</v>
      </c>
      <c r="J6">
        <v>0</v>
      </c>
      <c r="K6">
        <v>0</v>
      </c>
      <c r="L6">
        <v>0</v>
      </c>
      <c r="M6">
        <v>0</v>
      </c>
      <c r="N6">
        <v>0</v>
      </c>
      <c r="O6">
        <v>0</v>
      </c>
      <c r="P6" t="s">
        <v>5692</v>
      </c>
      <c r="Q6" t="s">
        <v>5693</v>
      </c>
      <c r="R6" t="s">
        <v>3467</v>
      </c>
      <c r="S6" t="s">
        <v>5425</v>
      </c>
      <c r="T6">
        <v>5</v>
      </c>
      <c r="U6">
        <v>4</v>
      </c>
      <c r="V6" t="s">
        <v>3444</v>
      </c>
      <c r="X6" t="s">
        <v>3468</v>
      </c>
    </row>
    <row r="7" spans="1:24" ht="15" customHeight="1" x14ac:dyDescent="0.25">
      <c r="A7" t="s">
        <v>5694</v>
      </c>
      <c r="B7" t="s">
        <v>90</v>
      </c>
      <c r="C7">
        <v>70</v>
      </c>
      <c r="D7">
        <v>3</v>
      </c>
      <c r="E7">
        <v>0</v>
      </c>
      <c r="F7">
        <v>2</v>
      </c>
      <c r="G7">
        <v>0</v>
      </c>
      <c r="H7">
        <v>0</v>
      </c>
      <c r="I7">
        <v>0</v>
      </c>
      <c r="J7">
        <v>0</v>
      </c>
      <c r="K7">
        <v>0</v>
      </c>
      <c r="L7">
        <v>0</v>
      </c>
      <c r="M7">
        <v>0</v>
      </c>
      <c r="N7">
        <v>0</v>
      </c>
      <c r="O7">
        <v>0</v>
      </c>
      <c r="P7" t="s">
        <v>5692</v>
      </c>
      <c r="Q7" t="s">
        <v>5695</v>
      </c>
      <c r="R7" t="s">
        <v>5696</v>
      </c>
      <c r="S7" t="s">
        <v>5425</v>
      </c>
      <c r="T7">
        <v>5</v>
      </c>
      <c r="U7">
        <v>5</v>
      </c>
      <c r="V7" t="s">
        <v>5697</v>
      </c>
      <c r="W7" t="s">
        <v>5698</v>
      </c>
      <c r="X7" t="s">
        <v>4803</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5699</v>
      </c>
      <c r="E1" t="s">
        <v>3454</v>
      </c>
      <c r="F1" t="s">
        <v>5700</v>
      </c>
      <c r="G1" t="s">
        <v>5701</v>
      </c>
      <c r="H1" t="s">
        <v>4261</v>
      </c>
      <c r="I1" t="s">
        <v>1</v>
      </c>
      <c r="J1" t="s">
        <v>170</v>
      </c>
    </row>
    <row r="2" spans="1:10" ht="15" customHeight="1" x14ac:dyDescent="0.25">
      <c r="A2" t="s">
        <v>5702</v>
      </c>
      <c r="B2" t="s">
        <v>3515</v>
      </c>
      <c r="C2" t="s">
        <v>4598</v>
      </c>
      <c r="D2">
        <v>1</v>
      </c>
      <c r="E2" t="s">
        <v>5703</v>
      </c>
      <c r="F2" t="s">
        <v>5704</v>
      </c>
      <c r="G2">
        <v>1</v>
      </c>
      <c r="H2" t="s">
        <v>5702</v>
      </c>
      <c r="I2" t="s">
        <v>90</v>
      </c>
      <c r="J2" t="s">
        <v>5705</v>
      </c>
    </row>
    <row r="3" spans="1:10" ht="15" customHeight="1" x14ac:dyDescent="0.25">
      <c r="A3" t="s">
        <v>5706</v>
      </c>
      <c r="B3" t="s">
        <v>41</v>
      </c>
      <c r="C3" t="s">
        <v>5361</v>
      </c>
      <c r="D3">
        <v>1</v>
      </c>
      <c r="E3" t="s">
        <v>5707</v>
      </c>
      <c r="F3" t="s">
        <v>5708</v>
      </c>
      <c r="G3">
        <v>1</v>
      </c>
      <c r="H3" t="s">
        <v>5706</v>
      </c>
      <c r="I3" t="s">
        <v>90</v>
      </c>
      <c r="J3" t="s">
        <v>5709</v>
      </c>
    </row>
    <row r="4" spans="1:10" ht="15" customHeight="1" x14ac:dyDescent="0.25">
      <c r="A4" t="s">
        <v>5710</v>
      </c>
      <c r="B4" t="s">
        <v>3503</v>
      </c>
      <c r="C4" t="s">
        <v>5361</v>
      </c>
      <c r="D4">
        <v>0</v>
      </c>
      <c r="E4" t="s">
        <v>5711</v>
      </c>
      <c r="F4" t="s">
        <v>5712</v>
      </c>
      <c r="G4">
        <v>0</v>
      </c>
      <c r="H4" t="s">
        <v>5710</v>
      </c>
      <c r="I4" t="s">
        <v>90</v>
      </c>
      <c r="J4" t="s">
        <v>5713</v>
      </c>
    </row>
    <row r="5" spans="1:10" ht="15" customHeight="1" x14ac:dyDescent="0.25">
      <c r="A5" t="s">
        <v>5714</v>
      </c>
      <c r="B5" t="s">
        <v>3503</v>
      </c>
      <c r="C5" t="s">
        <v>4598</v>
      </c>
      <c r="D5">
        <v>1</v>
      </c>
      <c r="E5" t="s">
        <v>5715</v>
      </c>
      <c r="F5" t="s">
        <v>5716</v>
      </c>
      <c r="G5">
        <v>1</v>
      </c>
      <c r="H5" t="s">
        <v>5717</v>
      </c>
      <c r="I5" t="s">
        <v>90</v>
      </c>
      <c r="J5" t="s">
        <v>5718</v>
      </c>
    </row>
    <row r="6" spans="1:10" ht="15" customHeight="1" x14ac:dyDescent="0.25">
      <c r="A6" t="s">
        <v>5719</v>
      </c>
      <c r="B6" t="s">
        <v>3503</v>
      </c>
      <c r="C6" t="s">
        <v>5361</v>
      </c>
      <c r="D6">
        <v>1</v>
      </c>
      <c r="E6" t="s">
        <v>5720</v>
      </c>
      <c r="F6" t="s">
        <v>5720</v>
      </c>
      <c r="G6">
        <v>0</v>
      </c>
      <c r="H6" t="s">
        <v>5719</v>
      </c>
      <c r="I6" t="s">
        <v>90</v>
      </c>
      <c r="J6" t="s">
        <v>5721</v>
      </c>
    </row>
    <row r="7" spans="1:10" ht="15" customHeight="1" x14ac:dyDescent="0.25">
      <c r="A7" t="s">
        <v>5722</v>
      </c>
      <c r="B7" t="s">
        <v>3503</v>
      </c>
      <c r="C7" t="s">
        <v>5723</v>
      </c>
      <c r="D7">
        <v>2</v>
      </c>
      <c r="E7" t="s">
        <v>5724</v>
      </c>
      <c r="F7" t="s">
        <v>5725</v>
      </c>
      <c r="G7">
        <v>2</v>
      </c>
      <c r="H7" t="s">
        <v>5726</v>
      </c>
      <c r="I7" t="s">
        <v>90</v>
      </c>
      <c r="J7" t="s">
        <v>5727</v>
      </c>
    </row>
    <row r="8" spans="1:10" ht="15" customHeight="1" x14ac:dyDescent="0.25">
      <c r="A8" t="s">
        <v>5728</v>
      </c>
      <c r="B8" t="s">
        <v>3515</v>
      </c>
      <c r="C8" t="s">
        <v>5723</v>
      </c>
      <c r="D8">
        <v>1</v>
      </c>
      <c r="E8" t="s">
        <v>5729</v>
      </c>
      <c r="F8" t="s">
        <v>5730</v>
      </c>
      <c r="G8">
        <v>1</v>
      </c>
      <c r="H8" t="s">
        <v>5731</v>
      </c>
      <c r="I8" t="s">
        <v>90</v>
      </c>
      <c r="J8" t="s">
        <v>5732</v>
      </c>
    </row>
    <row r="9" spans="1:10" ht="15" customHeight="1" x14ac:dyDescent="0.25">
      <c r="A9" t="s">
        <v>5733</v>
      </c>
      <c r="B9" t="s">
        <v>41</v>
      </c>
      <c r="C9" t="s">
        <v>5723</v>
      </c>
      <c r="D9">
        <v>0</v>
      </c>
      <c r="E9" t="s">
        <v>5734</v>
      </c>
      <c r="F9" t="s">
        <v>5735</v>
      </c>
      <c r="G9">
        <v>0</v>
      </c>
      <c r="H9" t="s">
        <v>5733</v>
      </c>
      <c r="I9" t="s">
        <v>90</v>
      </c>
      <c r="J9" t="s">
        <v>5736</v>
      </c>
    </row>
    <row r="10" spans="1:10" ht="15" customHeight="1" x14ac:dyDescent="0.25">
      <c r="A10" t="s">
        <v>5737</v>
      </c>
      <c r="B10" t="s">
        <v>41</v>
      </c>
      <c r="C10" t="s">
        <v>5361</v>
      </c>
      <c r="D10">
        <v>1</v>
      </c>
      <c r="E10" t="s">
        <v>5738</v>
      </c>
      <c r="F10" t="s">
        <v>5739</v>
      </c>
      <c r="G10">
        <v>1</v>
      </c>
      <c r="H10" t="s">
        <v>5737</v>
      </c>
      <c r="I10" t="s">
        <v>90</v>
      </c>
      <c r="J10" t="s">
        <v>5740</v>
      </c>
    </row>
    <row r="11" spans="1:10" ht="15" customHeight="1" x14ac:dyDescent="0.25">
      <c r="A11" t="s">
        <v>5741</v>
      </c>
      <c r="B11" t="s">
        <v>41</v>
      </c>
      <c r="C11" t="s">
        <v>5361</v>
      </c>
      <c r="D11">
        <v>1</v>
      </c>
      <c r="E11" t="s">
        <v>5742</v>
      </c>
      <c r="F11" t="s">
        <v>5743</v>
      </c>
      <c r="G11">
        <v>1</v>
      </c>
      <c r="H11" t="s">
        <v>5741</v>
      </c>
      <c r="I11" t="s">
        <v>90</v>
      </c>
      <c r="J11" t="s">
        <v>5744</v>
      </c>
    </row>
    <row r="12" spans="1:10" ht="15" customHeight="1" x14ac:dyDescent="0.25">
      <c r="A12" t="s">
        <v>5745</v>
      </c>
      <c r="B12" t="s">
        <v>3515</v>
      </c>
      <c r="C12" t="s">
        <v>5723</v>
      </c>
      <c r="D12">
        <v>0</v>
      </c>
      <c r="E12" t="s">
        <v>5746</v>
      </c>
      <c r="F12" t="s">
        <v>5747</v>
      </c>
      <c r="G12">
        <v>0</v>
      </c>
      <c r="H12" t="s">
        <v>5745</v>
      </c>
      <c r="I12" t="s">
        <v>90</v>
      </c>
      <c r="J12" t="s">
        <v>5748</v>
      </c>
    </row>
    <row r="13" spans="1:10" ht="15" customHeight="1" x14ac:dyDescent="0.25">
      <c r="A13" t="s">
        <v>4428</v>
      </c>
      <c r="B13" t="s">
        <v>3515</v>
      </c>
      <c r="C13" t="s">
        <v>5361</v>
      </c>
      <c r="D13">
        <v>1</v>
      </c>
      <c r="E13" t="s">
        <v>5749</v>
      </c>
      <c r="F13" t="s">
        <v>5749</v>
      </c>
      <c r="G13">
        <v>1</v>
      </c>
      <c r="H13" t="s">
        <v>4433</v>
      </c>
      <c r="I13" t="s">
        <v>1649</v>
      </c>
      <c r="J13" t="s">
        <v>5750</v>
      </c>
    </row>
    <row r="14" spans="1:10" ht="15" customHeight="1" x14ac:dyDescent="0.25">
      <c r="A14" t="s">
        <v>5751</v>
      </c>
      <c r="B14" t="s">
        <v>41</v>
      </c>
      <c r="C14" t="s">
        <v>5723</v>
      </c>
      <c r="D14">
        <v>1</v>
      </c>
      <c r="E14" t="s">
        <v>5752</v>
      </c>
      <c r="F14" t="s">
        <v>5753</v>
      </c>
      <c r="G14">
        <v>1</v>
      </c>
      <c r="H14" t="s">
        <v>5751</v>
      </c>
      <c r="I14" t="s">
        <v>90</v>
      </c>
      <c r="J14" t="s">
        <v>5754</v>
      </c>
    </row>
    <row r="15" spans="1:10" ht="15" customHeight="1" x14ac:dyDescent="0.25">
      <c r="A15" t="s">
        <v>4439</v>
      </c>
      <c r="B15" t="s">
        <v>3515</v>
      </c>
      <c r="C15" t="s">
        <v>5723</v>
      </c>
      <c r="D15">
        <v>1</v>
      </c>
      <c r="E15" t="s">
        <v>5755</v>
      </c>
      <c r="F15" t="s">
        <v>5755</v>
      </c>
      <c r="G15">
        <v>1</v>
      </c>
      <c r="H15" t="s">
        <v>4439</v>
      </c>
      <c r="I15" t="s">
        <v>1046</v>
      </c>
      <c r="J15" t="s">
        <v>5756</v>
      </c>
    </row>
    <row r="16" spans="1:10" ht="15" customHeight="1" x14ac:dyDescent="0.25">
      <c r="A16" t="s">
        <v>3522</v>
      </c>
      <c r="B16" t="s">
        <v>3503</v>
      </c>
      <c r="C16" t="s">
        <v>4598</v>
      </c>
      <c r="D16">
        <v>3</v>
      </c>
      <c r="E16" t="s">
        <v>5757</v>
      </c>
      <c r="F16" t="s">
        <v>5757</v>
      </c>
      <c r="G16">
        <v>2</v>
      </c>
      <c r="H16" t="s">
        <v>3522</v>
      </c>
      <c r="I16" t="s">
        <v>90</v>
      </c>
      <c r="J16" t="s">
        <v>5740</v>
      </c>
    </row>
    <row r="17" spans="1:10" ht="15" customHeight="1" x14ac:dyDescent="0.25">
      <c r="A17" t="s">
        <v>3444</v>
      </c>
      <c r="B17" t="s">
        <v>3547</v>
      </c>
      <c r="C17" t="s">
        <v>5723</v>
      </c>
      <c r="D17">
        <v>2</v>
      </c>
      <c r="E17" t="s">
        <v>5758</v>
      </c>
      <c r="F17" t="s">
        <v>5759</v>
      </c>
      <c r="G17">
        <v>2</v>
      </c>
      <c r="H17" t="s">
        <v>3444</v>
      </c>
      <c r="I17" t="s">
        <v>90</v>
      </c>
      <c r="J17" t="s">
        <v>5736</v>
      </c>
    </row>
    <row r="18" spans="1:10" ht="15" customHeight="1" x14ac:dyDescent="0.25">
      <c r="A18" t="s">
        <v>5760</v>
      </c>
      <c r="B18" t="s">
        <v>3515</v>
      </c>
      <c r="C18" t="s">
        <v>5361</v>
      </c>
      <c r="D18">
        <v>0</v>
      </c>
      <c r="E18" t="s">
        <v>5761</v>
      </c>
      <c r="F18" t="s">
        <v>5762</v>
      </c>
      <c r="G18">
        <v>0</v>
      </c>
      <c r="H18" t="s">
        <v>5763</v>
      </c>
      <c r="I18" t="s">
        <v>90</v>
      </c>
      <c r="J18" t="s">
        <v>5764</v>
      </c>
    </row>
    <row r="19" spans="1:10" ht="15" customHeight="1" x14ac:dyDescent="0.25">
      <c r="A19" t="s">
        <v>5765</v>
      </c>
      <c r="B19" t="s">
        <v>41</v>
      </c>
      <c r="C19" t="s">
        <v>5723</v>
      </c>
      <c r="D19">
        <v>0</v>
      </c>
      <c r="E19" t="s">
        <v>5766</v>
      </c>
      <c r="F19" t="s">
        <v>5767</v>
      </c>
      <c r="G19">
        <v>0</v>
      </c>
      <c r="H19" t="s">
        <v>5768</v>
      </c>
      <c r="I19" t="s">
        <v>90</v>
      </c>
      <c r="J19" t="s">
        <v>5769</v>
      </c>
    </row>
    <row r="20" spans="1:10" ht="15" customHeight="1" x14ac:dyDescent="0.25">
      <c r="A20" t="s">
        <v>5770</v>
      </c>
      <c r="B20" t="s">
        <v>3503</v>
      </c>
      <c r="C20" t="s">
        <v>4598</v>
      </c>
      <c r="D20">
        <v>0</v>
      </c>
      <c r="E20" t="s">
        <v>5771</v>
      </c>
      <c r="F20" t="s">
        <v>5772</v>
      </c>
      <c r="G20">
        <v>0</v>
      </c>
      <c r="H20" t="s">
        <v>5770</v>
      </c>
      <c r="I20" t="s">
        <v>90</v>
      </c>
      <c r="J20" t="s">
        <v>5773</v>
      </c>
    </row>
    <row r="21" spans="1:10" ht="15" customHeight="1" x14ac:dyDescent="0.25">
      <c r="A21" t="s">
        <v>5774</v>
      </c>
      <c r="B21" t="s">
        <v>41</v>
      </c>
      <c r="C21" t="s">
        <v>5361</v>
      </c>
      <c r="D21">
        <v>1</v>
      </c>
      <c r="E21" t="s">
        <v>5775</v>
      </c>
      <c r="F21" t="s">
        <v>5776</v>
      </c>
      <c r="G21">
        <v>1</v>
      </c>
      <c r="H21" t="s">
        <v>5777</v>
      </c>
      <c r="I21" t="s">
        <v>90</v>
      </c>
      <c r="J21" t="s">
        <v>5778</v>
      </c>
    </row>
    <row r="22" spans="1:10" ht="15" customHeight="1" x14ac:dyDescent="0.25">
      <c r="A22" t="s">
        <v>4466</v>
      </c>
      <c r="B22" t="s">
        <v>41</v>
      </c>
      <c r="C22" t="s">
        <v>5723</v>
      </c>
      <c r="D22">
        <v>1</v>
      </c>
      <c r="E22" t="s">
        <v>5779</v>
      </c>
      <c r="F22" t="s">
        <v>5779</v>
      </c>
      <c r="G22">
        <v>1</v>
      </c>
      <c r="H22" t="s">
        <v>4469</v>
      </c>
      <c r="I22" t="s">
        <v>1104</v>
      </c>
      <c r="J22" t="s">
        <v>5756</v>
      </c>
    </row>
    <row r="23" spans="1:10" ht="15" customHeight="1" x14ac:dyDescent="0.25">
      <c r="A23" t="s">
        <v>5780</v>
      </c>
      <c r="B23" t="s">
        <v>3515</v>
      </c>
      <c r="C23" t="s">
        <v>5723</v>
      </c>
      <c r="D23">
        <v>4</v>
      </c>
      <c r="E23" t="s">
        <v>5781</v>
      </c>
      <c r="F23" t="s">
        <v>5782</v>
      </c>
      <c r="G23">
        <v>3</v>
      </c>
      <c r="H23" t="s">
        <v>5783</v>
      </c>
      <c r="I23" t="s">
        <v>90</v>
      </c>
      <c r="J23" t="s">
        <v>5764</v>
      </c>
    </row>
    <row r="24" spans="1:10" ht="15" customHeight="1" x14ac:dyDescent="0.25">
      <c r="A24" t="s">
        <v>4470</v>
      </c>
      <c r="B24" t="s">
        <v>3503</v>
      </c>
      <c r="C24" t="s">
        <v>5723</v>
      </c>
      <c r="D24">
        <v>1</v>
      </c>
      <c r="E24" t="s">
        <v>5784</v>
      </c>
      <c r="F24" t="s">
        <v>5784</v>
      </c>
      <c r="G24">
        <v>1</v>
      </c>
      <c r="H24" t="s">
        <v>4473</v>
      </c>
      <c r="I24" t="s">
        <v>1621</v>
      </c>
      <c r="J24" t="s">
        <v>5756</v>
      </c>
    </row>
    <row r="25" spans="1:10" ht="15" customHeight="1" x14ac:dyDescent="0.25">
      <c r="A25" t="s">
        <v>5785</v>
      </c>
      <c r="B25" t="s">
        <v>3515</v>
      </c>
      <c r="C25" t="s">
        <v>5361</v>
      </c>
      <c r="D25">
        <v>0</v>
      </c>
      <c r="E25" t="s">
        <v>5786</v>
      </c>
      <c r="F25" t="s">
        <v>5787</v>
      </c>
      <c r="G25">
        <v>0</v>
      </c>
      <c r="H25" t="s">
        <v>5785</v>
      </c>
      <c r="I25" t="s">
        <v>90</v>
      </c>
      <c r="J25" t="s">
        <v>5773</v>
      </c>
    </row>
    <row r="26" spans="1:10" ht="15" customHeight="1" x14ac:dyDescent="0.25">
      <c r="A26" t="s">
        <v>5788</v>
      </c>
      <c r="B26" t="s">
        <v>3503</v>
      </c>
      <c r="C26" t="s">
        <v>5723</v>
      </c>
      <c r="D26">
        <v>3</v>
      </c>
      <c r="E26" t="s">
        <v>5789</v>
      </c>
      <c r="F26" t="s">
        <v>5790</v>
      </c>
      <c r="G26">
        <v>3</v>
      </c>
      <c r="H26" t="s">
        <v>5788</v>
      </c>
      <c r="I26" t="s">
        <v>90</v>
      </c>
      <c r="J26" t="s">
        <v>5736</v>
      </c>
    </row>
    <row r="27" spans="1:10" ht="15" customHeight="1" x14ac:dyDescent="0.25">
      <c r="A27" t="s">
        <v>5791</v>
      </c>
      <c r="B27" t="s">
        <v>4298</v>
      </c>
      <c r="C27" t="s">
        <v>3657</v>
      </c>
      <c r="D27">
        <v>1</v>
      </c>
      <c r="E27" t="s">
        <v>5792</v>
      </c>
      <c r="F27" t="s">
        <v>3459</v>
      </c>
      <c r="G27" t="s">
        <v>3459</v>
      </c>
      <c r="H27" t="s">
        <v>5793</v>
      </c>
      <c r="I27" t="s">
        <v>501</v>
      </c>
      <c r="J27" t="s">
        <v>5794</v>
      </c>
    </row>
    <row r="28" spans="1:10" ht="15" customHeight="1" x14ac:dyDescent="0.25">
      <c r="A28" t="s">
        <v>5161</v>
      </c>
      <c r="B28" t="s">
        <v>3515</v>
      </c>
      <c r="C28" t="s">
        <v>5361</v>
      </c>
      <c r="D28">
        <v>1</v>
      </c>
      <c r="E28" t="s">
        <v>5795</v>
      </c>
      <c r="F28" t="s">
        <v>5796</v>
      </c>
      <c r="G28">
        <v>1</v>
      </c>
      <c r="H28" t="s">
        <v>5161</v>
      </c>
      <c r="I28" t="s">
        <v>90</v>
      </c>
      <c r="J28" t="s">
        <v>5718</v>
      </c>
    </row>
    <row r="29" spans="1:10" ht="15" customHeight="1" x14ac:dyDescent="0.25">
      <c r="A29" t="s">
        <v>5797</v>
      </c>
      <c r="B29" t="s">
        <v>41</v>
      </c>
      <c r="C29" t="s">
        <v>5723</v>
      </c>
      <c r="D29">
        <v>1</v>
      </c>
      <c r="E29" t="s">
        <v>5798</v>
      </c>
      <c r="F29" t="s">
        <v>5798</v>
      </c>
      <c r="G29">
        <v>0</v>
      </c>
      <c r="H29" t="s">
        <v>5799</v>
      </c>
      <c r="I29" t="s">
        <v>90</v>
      </c>
      <c r="J29" t="s">
        <v>5736</v>
      </c>
    </row>
    <row r="30" spans="1:10" ht="15" customHeight="1" x14ac:dyDescent="0.25">
      <c r="A30" t="s">
        <v>5800</v>
      </c>
      <c r="B30" t="s">
        <v>3515</v>
      </c>
      <c r="C30" t="s">
        <v>5361</v>
      </c>
      <c r="D30">
        <v>0</v>
      </c>
      <c r="E30" t="s">
        <v>5801</v>
      </c>
      <c r="F30" t="s">
        <v>5802</v>
      </c>
      <c r="G30">
        <v>0</v>
      </c>
      <c r="H30" t="s">
        <v>5803</v>
      </c>
      <c r="I30" t="s">
        <v>90</v>
      </c>
      <c r="J30" t="s">
        <v>5804</v>
      </c>
    </row>
    <row r="31" spans="1:10" ht="15" customHeight="1" x14ac:dyDescent="0.25">
      <c r="A31" t="s">
        <v>5805</v>
      </c>
      <c r="B31" t="s">
        <v>3515</v>
      </c>
      <c r="C31" t="s">
        <v>5806</v>
      </c>
      <c r="D31">
        <v>3</v>
      </c>
      <c r="E31" t="s">
        <v>5807</v>
      </c>
      <c r="F31" t="s">
        <v>5808</v>
      </c>
      <c r="G31">
        <v>3</v>
      </c>
      <c r="H31" t="s">
        <v>5809</v>
      </c>
      <c r="I31" t="s">
        <v>1672</v>
      </c>
    </row>
    <row r="32" spans="1:10" ht="15" customHeight="1" x14ac:dyDescent="0.25">
      <c r="A32" t="s">
        <v>5810</v>
      </c>
      <c r="B32" t="s">
        <v>3515</v>
      </c>
      <c r="C32" t="s">
        <v>5361</v>
      </c>
      <c r="D32">
        <v>2</v>
      </c>
      <c r="E32" t="s">
        <v>5811</v>
      </c>
      <c r="F32" t="s">
        <v>5812</v>
      </c>
      <c r="G32">
        <v>2</v>
      </c>
      <c r="H32" t="s">
        <v>5813</v>
      </c>
      <c r="I32" t="s">
        <v>90</v>
      </c>
      <c r="J32" t="s">
        <v>5814</v>
      </c>
    </row>
    <row r="33" spans="1:10" ht="15" customHeight="1" x14ac:dyDescent="0.25">
      <c r="A33" t="s">
        <v>5815</v>
      </c>
      <c r="B33" t="s">
        <v>3503</v>
      </c>
      <c r="C33" t="s">
        <v>4598</v>
      </c>
      <c r="D33">
        <v>0</v>
      </c>
      <c r="E33" t="s">
        <v>5816</v>
      </c>
      <c r="F33" t="s">
        <v>5817</v>
      </c>
      <c r="G33">
        <v>0</v>
      </c>
      <c r="H33" t="s">
        <v>5815</v>
      </c>
      <c r="I33" t="s">
        <v>90</v>
      </c>
      <c r="J33" t="s">
        <v>5764</v>
      </c>
    </row>
    <row r="34" spans="1:10" ht="15" customHeight="1" x14ac:dyDescent="0.25">
      <c r="A34" t="s">
        <v>5167</v>
      </c>
      <c r="B34" t="s">
        <v>3503</v>
      </c>
      <c r="C34" t="s">
        <v>4598</v>
      </c>
      <c r="D34">
        <v>2</v>
      </c>
      <c r="E34" t="s">
        <v>5818</v>
      </c>
      <c r="F34" t="s">
        <v>5819</v>
      </c>
      <c r="G34">
        <v>2</v>
      </c>
      <c r="H34" t="s">
        <v>5167</v>
      </c>
      <c r="I34" t="s">
        <v>90</v>
      </c>
      <c r="J34" t="s">
        <v>5820</v>
      </c>
    </row>
    <row r="35" spans="1:10" ht="15" customHeight="1" x14ac:dyDescent="0.25">
      <c r="A35" t="s">
        <v>5821</v>
      </c>
      <c r="B35" t="s">
        <v>3503</v>
      </c>
      <c r="C35" t="s">
        <v>5361</v>
      </c>
      <c r="D35">
        <v>3</v>
      </c>
      <c r="E35" t="s">
        <v>5822</v>
      </c>
      <c r="F35" t="s">
        <v>5822</v>
      </c>
      <c r="G35">
        <v>2</v>
      </c>
      <c r="H35" t="s">
        <v>5823</v>
      </c>
      <c r="I35" t="s">
        <v>90</v>
      </c>
      <c r="J35" t="s">
        <v>5824</v>
      </c>
    </row>
    <row r="36" spans="1:10" ht="15" customHeight="1" x14ac:dyDescent="0.25">
      <c r="A36" t="s">
        <v>4003</v>
      </c>
      <c r="B36" t="s">
        <v>4298</v>
      </c>
      <c r="C36" t="s">
        <v>3657</v>
      </c>
      <c r="D36" t="s">
        <v>3998</v>
      </c>
      <c r="E36" t="s">
        <v>5825</v>
      </c>
      <c r="F36" t="s">
        <v>5826</v>
      </c>
      <c r="G36" t="s">
        <v>3998</v>
      </c>
      <c r="H36" t="s">
        <v>4003</v>
      </c>
      <c r="I36" t="s">
        <v>90</v>
      </c>
    </row>
    <row r="37" spans="1:10" ht="15" customHeight="1" x14ac:dyDescent="0.25">
      <c r="A37" t="s">
        <v>5827</v>
      </c>
      <c r="B37" t="s">
        <v>3515</v>
      </c>
      <c r="C37" t="s">
        <v>5361</v>
      </c>
      <c r="D37">
        <v>1</v>
      </c>
      <c r="E37" t="s">
        <v>5828</v>
      </c>
      <c r="F37" t="s">
        <v>5829</v>
      </c>
      <c r="G37">
        <v>1</v>
      </c>
      <c r="H37" t="s">
        <v>5830</v>
      </c>
      <c r="I37" t="s">
        <v>90</v>
      </c>
      <c r="J37" t="s">
        <v>5831</v>
      </c>
    </row>
    <row r="38" spans="1:10" ht="15" customHeight="1" x14ac:dyDescent="0.25">
      <c r="A38" t="s">
        <v>5171</v>
      </c>
      <c r="B38" t="s">
        <v>3503</v>
      </c>
      <c r="C38" t="s">
        <v>5361</v>
      </c>
      <c r="D38">
        <v>1</v>
      </c>
      <c r="E38" t="s">
        <v>5832</v>
      </c>
      <c r="F38" t="s">
        <v>5833</v>
      </c>
      <c r="G38">
        <v>1</v>
      </c>
      <c r="H38" t="s">
        <v>5171</v>
      </c>
      <c r="I38" t="s">
        <v>90</v>
      </c>
      <c r="J38" t="s">
        <v>5824</v>
      </c>
    </row>
    <row r="39" spans="1:10" ht="15" customHeight="1" x14ac:dyDescent="0.25">
      <c r="A39" t="s">
        <v>5834</v>
      </c>
      <c r="B39" t="s">
        <v>3515</v>
      </c>
      <c r="C39" t="s">
        <v>5361</v>
      </c>
      <c r="D39">
        <v>0</v>
      </c>
      <c r="E39" t="s">
        <v>5835</v>
      </c>
      <c r="F39" t="s">
        <v>5836</v>
      </c>
      <c r="G39">
        <v>0</v>
      </c>
      <c r="H39" t="s">
        <v>5837</v>
      </c>
      <c r="I39" t="s">
        <v>90</v>
      </c>
      <c r="J39" t="s">
        <v>5838</v>
      </c>
    </row>
    <row r="40" spans="1:10" ht="15" customHeight="1" x14ac:dyDescent="0.25">
      <c r="A40" t="s">
        <v>5839</v>
      </c>
      <c r="B40" t="s">
        <v>3515</v>
      </c>
      <c r="C40" t="s">
        <v>4598</v>
      </c>
      <c r="D40">
        <v>1</v>
      </c>
      <c r="E40" t="s">
        <v>5670</v>
      </c>
      <c r="F40" t="s">
        <v>5840</v>
      </c>
      <c r="G40">
        <v>1</v>
      </c>
      <c r="H40" t="s">
        <v>5839</v>
      </c>
      <c r="I40" t="s">
        <v>90</v>
      </c>
      <c r="J40" t="s">
        <v>5718</v>
      </c>
    </row>
    <row r="41" spans="1:10" ht="15" customHeight="1" x14ac:dyDescent="0.25">
      <c r="A41" t="s">
        <v>5841</v>
      </c>
      <c r="B41" t="s">
        <v>3515</v>
      </c>
      <c r="C41" t="s">
        <v>5723</v>
      </c>
      <c r="D41">
        <v>2</v>
      </c>
      <c r="E41" t="s">
        <v>5842</v>
      </c>
      <c r="F41" t="s">
        <v>5843</v>
      </c>
      <c r="G41">
        <v>2</v>
      </c>
      <c r="H41" t="s">
        <v>5841</v>
      </c>
      <c r="I41" t="s">
        <v>90</v>
      </c>
      <c r="J41" t="s">
        <v>5736</v>
      </c>
    </row>
    <row r="42" spans="1:10" ht="15" customHeight="1" x14ac:dyDescent="0.25">
      <c r="A42" t="s">
        <v>5844</v>
      </c>
      <c r="B42" t="s">
        <v>3515</v>
      </c>
      <c r="C42" t="s">
        <v>5361</v>
      </c>
      <c r="D42">
        <v>1</v>
      </c>
      <c r="E42" t="s">
        <v>5845</v>
      </c>
      <c r="F42" t="s">
        <v>5846</v>
      </c>
      <c r="G42">
        <v>1</v>
      </c>
      <c r="H42" t="s">
        <v>5844</v>
      </c>
      <c r="I42" t="s">
        <v>90</v>
      </c>
      <c r="J42" t="s">
        <v>5814</v>
      </c>
    </row>
    <row r="43" spans="1:10" ht="15" customHeight="1" x14ac:dyDescent="0.25">
      <c r="A43" t="s">
        <v>5847</v>
      </c>
      <c r="B43" t="s">
        <v>3515</v>
      </c>
      <c r="C43" t="s">
        <v>5723</v>
      </c>
      <c r="D43">
        <v>2</v>
      </c>
      <c r="E43" t="s">
        <v>5848</v>
      </c>
      <c r="F43" t="s">
        <v>5849</v>
      </c>
      <c r="G43">
        <v>2</v>
      </c>
      <c r="H43" t="s">
        <v>5847</v>
      </c>
      <c r="I43" t="s">
        <v>90</v>
      </c>
      <c r="J43" t="s">
        <v>5850</v>
      </c>
    </row>
    <row r="44" spans="1:10" ht="15" customHeight="1" x14ac:dyDescent="0.25">
      <c r="A44" t="s">
        <v>5851</v>
      </c>
      <c r="B44" t="s">
        <v>41</v>
      </c>
      <c r="C44" t="s">
        <v>5723</v>
      </c>
      <c r="D44">
        <v>0</v>
      </c>
      <c r="E44" t="s">
        <v>5852</v>
      </c>
      <c r="F44" t="s">
        <v>5853</v>
      </c>
      <c r="G44">
        <v>0</v>
      </c>
      <c r="H44" t="s">
        <v>5851</v>
      </c>
      <c r="I44" t="s">
        <v>90</v>
      </c>
      <c r="J44" t="s">
        <v>5736</v>
      </c>
    </row>
    <row r="45" spans="1:10" ht="15" customHeight="1" x14ac:dyDescent="0.25">
      <c r="A45" t="s">
        <v>5854</v>
      </c>
      <c r="B45" t="s">
        <v>41</v>
      </c>
      <c r="C45" t="s">
        <v>5723</v>
      </c>
      <c r="D45">
        <v>0</v>
      </c>
      <c r="E45" t="s">
        <v>5855</v>
      </c>
      <c r="F45" t="s">
        <v>5856</v>
      </c>
      <c r="G45">
        <v>0</v>
      </c>
      <c r="H45" t="s">
        <v>5854</v>
      </c>
      <c r="I45" t="s">
        <v>90</v>
      </c>
      <c r="J45" t="s">
        <v>5857</v>
      </c>
    </row>
    <row r="46" spans="1:10" ht="15" customHeight="1" x14ac:dyDescent="0.25">
      <c r="A46" t="s">
        <v>5411</v>
      </c>
      <c r="B46" t="s">
        <v>41</v>
      </c>
      <c r="C46" t="s">
        <v>5723</v>
      </c>
      <c r="D46">
        <v>1</v>
      </c>
      <c r="E46" t="s">
        <v>5858</v>
      </c>
      <c r="F46" t="s">
        <v>5859</v>
      </c>
      <c r="G46">
        <v>1</v>
      </c>
      <c r="H46" t="s">
        <v>5411</v>
      </c>
      <c r="I46" t="s">
        <v>90</v>
      </c>
      <c r="J46" t="s">
        <v>5860</v>
      </c>
    </row>
    <row r="47" spans="1:10" ht="15" customHeight="1" x14ac:dyDescent="0.25">
      <c r="A47" t="s">
        <v>5861</v>
      </c>
      <c r="B47" t="s">
        <v>41</v>
      </c>
      <c r="C47" t="s">
        <v>5361</v>
      </c>
      <c r="D47">
        <v>1</v>
      </c>
      <c r="E47" t="s">
        <v>5862</v>
      </c>
      <c r="F47" t="s">
        <v>5863</v>
      </c>
      <c r="G47">
        <v>1</v>
      </c>
      <c r="H47" t="s">
        <v>5864</v>
      </c>
      <c r="I47" t="s">
        <v>90</v>
      </c>
      <c r="J47" t="s">
        <v>5718</v>
      </c>
    </row>
    <row r="48" spans="1:10" ht="15" customHeight="1" x14ac:dyDescent="0.25">
      <c r="A48" t="s">
        <v>5865</v>
      </c>
      <c r="B48" t="s">
        <v>41</v>
      </c>
      <c r="C48" t="s">
        <v>5723</v>
      </c>
      <c r="D48">
        <v>2</v>
      </c>
      <c r="E48" t="s">
        <v>5866</v>
      </c>
      <c r="F48" t="s">
        <v>5867</v>
      </c>
      <c r="G48">
        <v>2</v>
      </c>
      <c r="H48" t="s">
        <v>5865</v>
      </c>
      <c r="I48" t="s">
        <v>90</v>
      </c>
      <c r="J48" t="s">
        <v>5868</v>
      </c>
    </row>
    <row r="49" spans="1:10" ht="15" customHeight="1" x14ac:dyDescent="0.25">
      <c r="A49" t="s">
        <v>5869</v>
      </c>
      <c r="B49" t="s">
        <v>4298</v>
      </c>
      <c r="C49" t="s">
        <v>4246</v>
      </c>
      <c r="D49" t="s">
        <v>3998</v>
      </c>
      <c r="E49" t="s">
        <v>5870</v>
      </c>
      <c r="F49" t="s">
        <v>3459</v>
      </c>
      <c r="G49" t="s">
        <v>3459</v>
      </c>
      <c r="H49" t="s">
        <v>5869</v>
      </c>
      <c r="I49" t="s">
        <v>90</v>
      </c>
      <c r="J49" t="s">
        <v>5871</v>
      </c>
    </row>
    <row r="50" spans="1:10" ht="15" customHeight="1" x14ac:dyDescent="0.25">
      <c r="A50" t="s">
        <v>5869</v>
      </c>
      <c r="B50" t="s">
        <v>41</v>
      </c>
      <c r="C50" t="s">
        <v>5442</v>
      </c>
      <c r="D50">
        <v>1</v>
      </c>
      <c r="E50" t="s">
        <v>5872</v>
      </c>
      <c r="F50" t="s">
        <v>5873</v>
      </c>
      <c r="G50">
        <v>1</v>
      </c>
      <c r="H50" t="s">
        <v>5869</v>
      </c>
      <c r="I50" t="s">
        <v>5874</v>
      </c>
      <c r="J50" t="s">
        <v>5875</v>
      </c>
    </row>
    <row r="51" spans="1:10" ht="15" customHeight="1" x14ac:dyDescent="0.25">
      <c r="A51" t="s">
        <v>5876</v>
      </c>
      <c r="B51" t="s">
        <v>3515</v>
      </c>
      <c r="C51" t="s">
        <v>4598</v>
      </c>
      <c r="D51">
        <v>1</v>
      </c>
      <c r="E51" t="s">
        <v>5877</v>
      </c>
      <c r="F51" t="s">
        <v>5878</v>
      </c>
      <c r="G51">
        <v>1</v>
      </c>
      <c r="H51" t="s">
        <v>5876</v>
      </c>
      <c r="I51" t="s">
        <v>90</v>
      </c>
      <c r="J51" t="s">
        <v>5736</v>
      </c>
    </row>
    <row r="52" spans="1:10" ht="15" customHeight="1" x14ac:dyDescent="0.25">
      <c r="A52" t="s">
        <v>5879</v>
      </c>
      <c r="B52" t="s">
        <v>3515</v>
      </c>
      <c r="C52" t="s">
        <v>5361</v>
      </c>
      <c r="D52">
        <v>0</v>
      </c>
      <c r="E52" t="s">
        <v>5880</v>
      </c>
      <c r="F52" t="s">
        <v>5881</v>
      </c>
      <c r="G52">
        <v>0</v>
      </c>
      <c r="H52" t="s">
        <v>5879</v>
      </c>
      <c r="I52" t="s">
        <v>90</v>
      </c>
      <c r="J52" t="s">
        <v>5882</v>
      </c>
    </row>
    <row r="53" spans="1:10" ht="15" customHeight="1" x14ac:dyDescent="0.25">
      <c r="A53" t="s">
        <v>5180</v>
      </c>
      <c r="B53" t="s">
        <v>3503</v>
      </c>
      <c r="C53" t="s">
        <v>5361</v>
      </c>
      <c r="D53">
        <v>2</v>
      </c>
      <c r="E53" t="s">
        <v>5883</v>
      </c>
      <c r="F53" t="s">
        <v>5884</v>
      </c>
      <c r="G53">
        <v>2</v>
      </c>
      <c r="H53" t="s">
        <v>5182</v>
      </c>
      <c r="I53" t="s">
        <v>90</v>
      </c>
      <c r="J53" t="s">
        <v>5885</v>
      </c>
    </row>
    <row r="54" spans="1:10" ht="15" customHeight="1" x14ac:dyDescent="0.25">
      <c r="A54" t="s">
        <v>5886</v>
      </c>
      <c r="B54" t="s">
        <v>3503</v>
      </c>
      <c r="C54" t="s">
        <v>4598</v>
      </c>
      <c r="D54">
        <v>3</v>
      </c>
      <c r="E54" t="s">
        <v>5887</v>
      </c>
      <c r="F54" t="s">
        <v>5887</v>
      </c>
      <c r="G54">
        <v>2</v>
      </c>
      <c r="H54" t="s">
        <v>5886</v>
      </c>
      <c r="I54" t="s">
        <v>90</v>
      </c>
      <c r="J54" t="s">
        <v>5773</v>
      </c>
    </row>
    <row r="55" spans="1:10" ht="15" customHeight="1" x14ac:dyDescent="0.25">
      <c r="A55" t="s">
        <v>5888</v>
      </c>
      <c r="B55" t="s">
        <v>3515</v>
      </c>
      <c r="C55" t="s">
        <v>5361</v>
      </c>
      <c r="D55">
        <v>2</v>
      </c>
      <c r="E55" t="s">
        <v>5889</v>
      </c>
      <c r="F55" t="s">
        <v>5890</v>
      </c>
      <c r="G55">
        <v>2</v>
      </c>
      <c r="H55" t="s">
        <v>5891</v>
      </c>
      <c r="I55" t="s">
        <v>90</v>
      </c>
      <c r="J55" t="s">
        <v>5885</v>
      </c>
    </row>
    <row r="56" spans="1:10" ht="15" customHeight="1" x14ac:dyDescent="0.25">
      <c r="A56" t="s">
        <v>5892</v>
      </c>
      <c r="B56" t="s">
        <v>3503</v>
      </c>
      <c r="C56" t="s">
        <v>5442</v>
      </c>
      <c r="D56">
        <v>1</v>
      </c>
      <c r="E56" t="s">
        <v>5872</v>
      </c>
      <c r="F56" t="s">
        <v>5873</v>
      </c>
      <c r="G56">
        <v>1</v>
      </c>
      <c r="H56" t="s">
        <v>5892</v>
      </c>
      <c r="I56" t="s">
        <v>5874</v>
      </c>
      <c r="J56" t="s">
        <v>5875</v>
      </c>
    </row>
    <row r="57" spans="1:10" ht="15" customHeight="1" x14ac:dyDescent="0.25">
      <c r="A57" t="s">
        <v>5893</v>
      </c>
      <c r="B57" t="s">
        <v>41</v>
      </c>
      <c r="C57" t="s">
        <v>5723</v>
      </c>
      <c r="D57">
        <v>1</v>
      </c>
      <c r="E57" t="s">
        <v>5894</v>
      </c>
      <c r="F57" t="s">
        <v>5895</v>
      </c>
      <c r="G57">
        <v>1</v>
      </c>
      <c r="H57" t="s">
        <v>5896</v>
      </c>
      <c r="I57" t="s">
        <v>90</v>
      </c>
      <c r="J57" t="s">
        <v>5897</v>
      </c>
    </row>
    <row r="58" spans="1:10" ht="15" customHeight="1" x14ac:dyDescent="0.25">
      <c r="A58" t="s">
        <v>5898</v>
      </c>
      <c r="B58" t="s">
        <v>41</v>
      </c>
      <c r="C58" t="s">
        <v>5723</v>
      </c>
      <c r="D58">
        <v>1</v>
      </c>
      <c r="E58" t="s">
        <v>5899</v>
      </c>
      <c r="F58" t="s">
        <v>5900</v>
      </c>
      <c r="G58">
        <v>1</v>
      </c>
      <c r="H58" t="s">
        <v>5901</v>
      </c>
      <c r="I58" t="s">
        <v>90</v>
      </c>
      <c r="J58" t="s">
        <v>5902</v>
      </c>
    </row>
    <row r="59" spans="1:10" ht="15" customHeight="1" x14ac:dyDescent="0.25">
      <c r="A59" t="s">
        <v>5903</v>
      </c>
      <c r="B59" t="s">
        <v>3515</v>
      </c>
      <c r="C59" t="s">
        <v>4598</v>
      </c>
      <c r="D59">
        <v>2</v>
      </c>
      <c r="E59" t="s">
        <v>5904</v>
      </c>
      <c r="F59" t="s">
        <v>5904</v>
      </c>
      <c r="G59">
        <v>1</v>
      </c>
      <c r="H59" t="s">
        <v>5905</v>
      </c>
      <c r="I59" t="s">
        <v>90</v>
      </c>
      <c r="J59" t="s">
        <v>5831</v>
      </c>
    </row>
    <row r="60" spans="1:10" ht="15" customHeight="1" x14ac:dyDescent="0.25">
      <c r="A60" t="s">
        <v>3445</v>
      </c>
      <c r="B60" t="s">
        <v>3515</v>
      </c>
      <c r="C60" t="s">
        <v>5723</v>
      </c>
      <c r="D60">
        <v>2</v>
      </c>
      <c r="E60" t="s">
        <v>5906</v>
      </c>
      <c r="F60" t="s">
        <v>5907</v>
      </c>
      <c r="G60">
        <v>2</v>
      </c>
      <c r="H60" t="s">
        <v>3445</v>
      </c>
      <c r="I60" t="s">
        <v>90</v>
      </c>
      <c r="J60" t="s">
        <v>5908</v>
      </c>
    </row>
    <row r="61" spans="1:10" ht="15" customHeight="1" x14ac:dyDescent="0.25">
      <c r="A61" t="s">
        <v>5909</v>
      </c>
      <c r="B61" t="s">
        <v>4298</v>
      </c>
      <c r="C61" t="s">
        <v>3657</v>
      </c>
      <c r="D61" t="s">
        <v>3998</v>
      </c>
      <c r="E61" t="s">
        <v>5910</v>
      </c>
      <c r="F61" t="s">
        <v>3459</v>
      </c>
      <c r="G61" t="s">
        <v>3998</v>
      </c>
      <c r="H61" t="s">
        <v>5909</v>
      </c>
      <c r="I61" t="s">
        <v>90</v>
      </c>
    </row>
    <row r="62" spans="1:10" ht="15" customHeight="1" x14ac:dyDescent="0.25">
      <c r="A62" t="s">
        <v>5911</v>
      </c>
      <c r="B62" t="s">
        <v>41</v>
      </c>
      <c r="C62" t="s">
        <v>5361</v>
      </c>
      <c r="D62">
        <v>1</v>
      </c>
      <c r="E62" t="s">
        <v>5912</v>
      </c>
      <c r="F62" t="s">
        <v>5913</v>
      </c>
      <c r="G62">
        <v>1</v>
      </c>
      <c r="H62" t="s">
        <v>5914</v>
      </c>
      <c r="I62" t="s">
        <v>90</v>
      </c>
      <c r="J62" t="s">
        <v>5814</v>
      </c>
    </row>
    <row r="63" spans="1:10" ht="15" customHeight="1" x14ac:dyDescent="0.25">
      <c r="A63" t="s">
        <v>4260</v>
      </c>
      <c r="B63" t="s">
        <v>4298</v>
      </c>
      <c r="C63" t="s">
        <v>4246</v>
      </c>
      <c r="D63" t="s">
        <v>3998</v>
      </c>
      <c r="E63" t="s">
        <v>5915</v>
      </c>
      <c r="F63" t="s">
        <v>3459</v>
      </c>
      <c r="G63" t="s">
        <v>3459</v>
      </c>
      <c r="H63" t="s">
        <v>4260</v>
      </c>
      <c r="I63" t="s">
        <v>90</v>
      </c>
      <c r="J63" t="s">
        <v>5871</v>
      </c>
    </row>
    <row r="64" spans="1:10" ht="15" customHeight="1" x14ac:dyDescent="0.25">
      <c r="A64" t="s">
        <v>5916</v>
      </c>
      <c r="B64" t="s">
        <v>3547</v>
      </c>
      <c r="C64" t="s">
        <v>5361</v>
      </c>
      <c r="D64">
        <v>1</v>
      </c>
      <c r="E64" t="s">
        <v>5917</v>
      </c>
      <c r="F64" t="s">
        <v>5918</v>
      </c>
      <c r="G64">
        <v>1</v>
      </c>
      <c r="H64" t="s">
        <v>3459</v>
      </c>
      <c r="I64" t="s">
        <v>3459</v>
      </c>
    </row>
    <row r="65" spans="1:10" ht="15" customHeight="1" x14ac:dyDescent="0.25">
      <c r="A65" t="s">
        <v>5919</v>
      </c>
      <c r="B65" t="s">
        <v>41</v>
      </c>
      <c r="C65" t="s">
        <v>5442</v>
      </c>
      <c r="D65">
        <v>1</v>
      </c>
      <c r="E65" t="s">
        <v>5872</v>
      </c>
      <c r="F65" t="s">
        <v>5873</v>
      </c>
      <c r="G65">
        <v>1</v>
      </c>
      <c r="H65" t="s">
        <v>5919</v>
      </c>
      <c r="I65" t="s">
        <v>5874</v>
      </c>
      <c r="J65" t="s">
        <v>5920</v>
      </c>
    </row>
    <row r="66" spans="1:10" ht="15" customHeight="1" x14ac:dyDescent="0.25">
      <c r="A66" t="s">
        <v>5921</v>
      </c>
      <c r="B66" t="s">
        <v>41</v>
      </c>
      <c r="C66" t="s">
        <v>5361</v>
      </c>
      <c r="D66">
        <v>0</v>
      </c>
      <c r="E66" t="s">
        <v>5922</v>
      </c>
      <c r="F66" t="s">
        <v>5923</v>
      </c>
      <c r="G66">
        <v>0</v>
      </c>
      <c r="H66" t="s">
        <v>5921</v>
      </c>
      <c r="I66" t="s">
        <v>90</v>
      </c>
      <c r="J66" t="s">
        <v>5718</v>
      </c>
    </row>
    <row r="67" spans="1:10" ht="15" customHeight="1" x14ac:dyDescent="0.25">
      <c r="A67" t="s">
        <v>5924</v>
      </c>
      <c r="B67" t="s">
        <v>3503</v>
      </c>
      <c r="C67" t="s">
        <v>4598</v>
      </c>
      <c r="D67">
        <v>3</v>
      </c>
      <c r="E67" t="s">
        <v>5925</v>
      </c>
      <c r="F67" t="s">
        <v>5926</v>
      </c>
      <c r="G67">
        <v>3</v>
      </c>
      <c r="H67" t="s">
        <v>5927</v>
      </c>
      <c r="I67" t="s">
        <v>90</v>
      </c>
      <c r="J67" t="s">
        <v>5928</v>
      </c>
    </row>
    <row r="68" spans="1:10" ht="15" customHeight="1" x14ac:dyDescent="0.25">
      <c r="A68" t="s">
        <v>4583</v>
      </c>
      <c r="B68" t="s">
        <v>3515</v>
      </c>
      <c r="C68" t="s">
        <v>5723</v>
      </c>
      <c r="D68">
        <v>0</v>
      </c>
      <c r="E68" t="s">
        <v>5929</v>
      </c>
      <c r="F68" t="s">
        <v>5929</v>
      </c>
      <c r="G68">
        <v>1</v>
      </c>
      <c r="H68" t="s">
        <v>4583</v>
      </c>
      <c r="I68" t="s">
        <v>1621</v>
      </c>
      <c r="J68" t="s">
        <v>5756</v>
      </c>
    </row>
    <row r="69" spans="1:10" ht="15" customHeight="1" x14ac:dyDescent="0.25">
      <c r="A69" t="s">
        <v>5930</v>
      </c>
      <c r="B69" t="s">
        <v>3503</v>
      </c>
      <c r="C69" t="s">
        <v>5723</v>
      </c>
      <c r="D69">
        <v>1</v>
      </c>
      <c r="E69" t="s">
        <v>5931</v>
      </c>
      <c r="F69" t="s">
        <v>5932</v>
      </c>
      <c r="G69">
        <v>1</v>
      </c>
      <c r="H69" t="s">
        <v>5933</v>
      </c>
      <c r="I69" t="s">
        <v>90</v>
      </c>
      <c r="J69" t="s">
        <v>5934</v>
      </c>
    </row>
    <row r="70" spans="1:10" ht="15" customHeight="1" x14ac:dyDescent="0.25">
      <c r="A70" t="s">
        <v>5935</v>
      </c>
      <c r="B70" t="s">
        <v>3515</v>
      </c>
      <c r="C70" t="s">
        <v>5361</v>
      </c>
      <c r="D70">
        <v>1</v>
      </c>
      <c r="E70" t="s">
        <v>5936</v>
      </c>
      <c r="F70" t="s">
        <v>5937</v>
      </c>
      <c r="G70">
        <v>1</v>
      </c>
      <c r="H70" t="s">
        <v>5935</v>
      </c>
      <c r="I70" t="s">
        <v>90</v>
      </c>
      <c r="J70" t="s">
        <v>5938</v>
      </c>
    </row>
    <row r="71" spans="1:10" ht="15" customHeight="1" x14ac:dyDescent="0.25">
      <c r="A71" t="s">
        <v>5939</v>
      </c>
      <c r="B71" t="s">
        <v>3515</v>
      </c>
      <c r="C71" t="s">
        <v>5361</v>
      </c>
      <c r="D71">
        <v>1</v>
      </c>
      <c r="E71" t="s">
        <v>5940</v>
      </c>
      <c r="F71" t="s">
        <v>5940</v>
      </c>
      <c r="G71">
        <v>0</v>
      </c>
      <c r="H71" t="s">
        <v>5939</v>
      </c>
      <c r="I71" t="s">
        <v>90</v>
      </c>
      <c r="J71" t="s">
        <v>5941</v>
      </c>
    </row>
    <row r="72" spans="1:10" ht="15" customHeight="1" x14ac:dyDescent="0.25">
      <c r="A72" t="s">
        <v>5942</v>
      </c>
      <c r="B72" t="s">
        <v>41</v>
      </c>
      <c r="C72" t="s">
        <v>5361</v>
      </c>
      <c r="D72">
        <v>1</v>
      </c>
      <c r="E72" t="s">
        <v>5943</v>
      </c>
      <c r="F72" t="s">
        <v>5944</v>
      </c>
      <c r="G72">
        <v>1</v>
      </c>
      <c r="H72" t="s">
        <v>5945</v>
      </c>
      <c r="I72" t="s">
        <v>90</v>
      </c>
      <c r="J72" t="s">
        <v>5718</v>
      </c>
    </row>
    <row r="73" spans="1:10" ht="15" customHeight="1" x14ac:dyDescent="0.25">
      <c r="A73" t="s">
        <v>5946</v>
      </c>
      <c r="B73" t="s">
        <v>3503</v>
      </c>
      <c r="C73" t="s">
        <v>5361</v>
      </c>
      <c r="D73" t="s">
        <v>5947</v>
      </c>
      <c r="E73" t="s">
        <v>5948</v>
      </c>
      <c r="F73" t="s">
        <v>5949</v>
      </c>
      <c r="G73" t="s">
        <v>5947</v>
      </c>
      <c r="H73" t="s">
        <v>5946</v>
      </c>
      <c r="I73" t="s">
        <v>90</v>
      </c>
      <c r="J73" t="s">
        <v>5950</v>
      </c>
    </row>
    <row r="74" spans="1:10" ht="15" customHeight="1" x14ac:dyDescent="0.25">
      <c r="A74" t="s">
        <v>5365</v>
      </c>
      <c r="B74" t="s">
        <v>3503</v>
      </c>
      <c r="C74" t="s">
        <v>5361</v>
      </c>
      <c r="D74">
        <v>1</v>
      </c>
      <c r="E74" t="s">
        <v>5951</v>
      </c>
      <c r="F74" t="s">
        <v>5952</v>
      </c>
      <c r="G74">
        <v>1</v>
      </c>
      <c r="H74" t="s">
        <v>5367</v>
      </c>
      <c r="I74" t="s">
        <v>90</v>
      </c>
      <c r="J74" t="s">
        <v>5953</v>
      </c>
    </row>
    <row r="75" spans="1:10" ht="15" customHeight="1" x14ac:dyDescent="0.25">
      <c r="A75" t="s">
        <v>5954</v>
      </c>
      <c r="B75" t="s">
        <v>4298</v>
      </c>
      <c r="C75" t="s">
        <v>4246</v>
      </c>
      <c r="D75" t="s">
        <v>3998</v>
      </c>
      <c r="E75" t="s">
        <v>5955</v>
      </c>
      <c r="F75" t="s">
        <v>3459</v>
      </c>
      <c r="G75" t="s">
        <v>3459</v>
      </c>
      <c r="H75" t="s">
        <v>5954</v>
      </c>
      <c r="I75" t="s">
        <v>90</v>
      </c>
      <c r="J75" t="s">
        <v>5871</v>
      </c>
    </row>
    <row r="76" spans="1:10" ht="15" customHeight="1" x14ac:dyDescent="0.25">
      <c r="A76" t="s">
        <v>5956</v>
      </c>
      <c r="B76" t="s">
        <v>3515</v>
      </c>
      <c r="C76" t="s">
        <v>5723</v>
      </c>
      <c r="D76">
        <v>1</v>
      </c>
      <c r="E76" t="s">
        <v>5957</v>
      </c>
      <c r="F76" t="s">
        <v>5958</v>
      </c>
      <c r="G76">
        <v>1</v>
      </c>
      <c r="H76" t="s">
        <v>5956</v>
      </c>
      <c r="I76" t="s">
        <v>90</v>
      </c>
      <c r="J76" t="s">
        <v>5959</v>
      </c>
    </row>
    <row r="77" spans="1:10" ht="15" customHeight="1" x14ac:dyDescent="0.25">
      <c r="A77" t="s">
        <v>5960</v>
      </c>
      <c r="B77" t="s">
        <v>3515</v>
      </c>
      <c r="C77" t="s">
        <v>5442</v>
      </c>
      <c r="D77">
        <v>1</v>
      </c>
      <c r="E77" t="s">
        <v>5961</v>
      </c>
      <c r="F77" t="s">
        <v>5962</v>
      </c>
      <c r="G77">
        <v>1</v>
      </c>
      <c r="H77" t="s">
        <v>5960</v>
      </c>
      <c r="I77" t="s">
        <v>5874</v>
      </c>
      <c r="J77" t="s">
        <v>5963</v>
      </c>
    </row>
    <row r="78" spans="1:10" ht="15" customHeight="1" x14ac:dyDescent="0.25">
      <c r="A78" t="s">
        <v>5964</v>
      </c>
      <c r="B78" t="s">
        <v>3515</v>
      </c>
      <c r="C78" t="s">
        <v>5361</v>
      </c>
      <c r="D78">
        <v>1</v>
      </c>
      <c r="E78" t="s">
        <v>5965</v>
      </c>
      <c r="F78" t="s">
        <v>5966</v>
      </c>
      <c r="G78">
        <v>1</v>
      </c>
      <c r="H78" t="s">
        <v>5967</v>
      </c>
      <c r="I78" t="s">
        <v>90</v>
      </c>
      <c r="J78" t="s">
        <v>5764</v>
      </c>
    </row>
    <row r="79" spans="1:10" ht="15" customHeight="1" x14ac:dyDescent="0.25">
      <c r="A79" t="s">
        <v>5968</v>
      </c>
      <c r="B79" t="s">
        <v>3515</v>
      </c>
      <c r="C79" t="s">
        <v>5723</v>
      </c>
      <c r="D79">
        <v>0</v>
      </c>
      <c r="E79" t="s">
        <v>5969</v>
      </c>
      <c r="F79" t="s">
        <v>5970</v>
      </c>
      <c r="G79">
        <v>0</v>
      </c>
      <c r="H79" t="s">
        <v>5971</v>
      </c>
      <c r="I79" t="s">
        <v>90</v>
      </c>
      <c r="J79" t="s">
        <v>5778</v>
      </c>
    </row>
    <row r="80" spans="1:10" ht="15" customHeight="1" x14ac:dyDescent="0.25">
      <c r="A80" t="s">
        <v>5972</v>
      </c>
      <c r="B80" t="s">
        <v>3515</v>
      </c>
      <c r="C80" t="s">
        <v>5361</v>
      </c>
      <c r="D80">
        <v>2</v>
      </c>
      <c r="E80" t="s">
        <v>5973</v>
      </c>
      <c r="F80" t="s">
        <v>5973</v>
      </c>
      <c r="G80">
        <v>1</v>
      </c>
      <c r="H80" t="s">
        <v>5972</v>
      </c>
      <c r="I80" t="s">
        <v>90</v>
      </c>
      <c r="J80" t="s">
        <v>5740</v>
      </c>
    </row>
    <row r="81" spans="1:10" ht="15" customHeight="1" x14ac:dyDescent="0.25">
      <c r="A81" t="s">
        <v>5197</v>
      </c>
      <c r="B81" t="s">
        <v>3503</v>
      </c>
      <c r="C81" t="s">
        <v>4598</v>
      </c>
      <c r="D81">
        <v>2</v>
      </c>
      <c r="E81" t="s">
        <v>5974</v>
      </c>
      <c r="F81" t="s">
        <v>5974</v>
      </c>
      <c r="G81">
        <v>1</v>
      </c>
      <c r="H81" t="s">
        <v>5197</v>
      </c>
      <c r="I81" t="s">
        <v>90</v>
      </c>
      <c r="J81" t="s">
        <v>5850</v>
      </c>
    </row>
    <row r="82" spans="1:10" ht="15" customHeight="1" x14ac:dyDescent="0.25">
      <c r="A82" t="s">
        <v>5975</v>
      </c>
      <c r="B82" t="s">
        <v>3515</v>
      </c>
      <c r="C82" t="s">
        <v>5361</v>
      </c>
      <c r="D82">
        <v>0</v>
      </c>
      <c r="E82" t="s">
        <v>5976</v>
      </c>
      <c r="F82" t="s">
        <v>5977</v>
      </c>
      <c r="G82">
        <v>0</v>
      </c>
      <c r="H82" t="s">
        <v>5978</v>
      </c>
      <c r="I82" t="s">
        <v>90</v>
      </c>
      <c r="J82" t="s">
        <v>5979</v>
      </c>
    </row>
    <row r="83" spans="1:10" ht="15" customHeight="1" x14ac:dyDescent="0.25">
      <c r="A83" t="s">
        <v>5980</v>
      </c>
      <c r="B83" t="s">
        <v>3515</v>
      </c>
      <c r="C83" t="s">
        <v>5723</v>
      </c>
      <c r="D83">
        <v>3</v>
      </c>
      <c r="E83" t="s">
        <v>5981</v>
      </c>
      <c r="F83" t="s">
        <v>5982</v>
      </c>
      <c r="G83">
        <v>3</v>
      </c>
      <c r="H83" t="s">
        <v>5980</v>
      </c>
      <c r="I83" t="s">
        <v>90</v>
      </c>
      <c r="J83" t="s">
        <v>5983</v>
      </c>
    </row>
    <row r="84" spans="1:10" ht="15" customHeight="1" x14ac:dyDescent="0.25">
      <c r="A84" t="s">
        <v>5199</v>
      </c>
      <c r="B84" t="s">
        <v>3515</v>
      </c>
      <c r="C84" t="s">
        <v>4598</v>
      </c>
      <c r="D84">
        <v>1</v>
      </c>
      <c r="E84" t="s">
        <v>5984</v>
      </c>
      <c r="F84" t="s">
        <v>5985</v>
      </c>
      <c r="G84">
        <v>1</v>
      </c>
      <c r="H84" t="s">
        <v>5199</v>
      </c>
      <c r="I84" t="s">
        <v>90</v>
      </c>
      <c r="J84" t="s">
        <v>5986</v>
      </c>
    </row>
    <row r="85" spans="1:10" ht="15" customHeight="1" x14ac:dyDescent="0.25">
      <c r="A85" t="s">
        <v>5987</v>
      </c>
      <c r="B85" t="s">
        <v>3503</v>
      </c>
      <c r="C85" t="s">
        <v>5361</v>
      </c>
      <c r="D85">
        <v>1</v>
      </c>
      <c r="E85" t="s">
        <v>5988</v>
      </c>
      <c r="F85" t="s">
        <v>5988</v>
      </c>
      <c r="G85">
        <v>0</v>
      </c>
      <c r="H85" t="s">
        <v>5987</v>
      </c>
      <c r="I85" t="s">
        <v>90</v>
      </c>
      <c r="J85" t="s">
        <v>5989</v>
      </c>
    </row>
    <row r="86" spans="1:10" ht="15" customHeight="1" x14ac:dyDescent="0.25">
      <c r="A86" t="s">
        <v>5990</v>
      </c>
      <c r="B86" t="s">
        <v>3515</v>
      </c>
      <c r="C86" t="s">
        <v>5361</v>
      </c>
      <c r="D86">
        <v>1</v>
      </c>
      <c r="E86" t="s">
        <v>5991</v>
      </c>
      <c r="F86" t="s">
        <v>5992</v>
      </c>
      <c r="G86">
        <v>1</v>
      </c>
      <c r="H86" t="s">
        <v>5990</v>
      </c>
      <c r="I86" t="s">
        <v>90</v>
      </c>
      <c r="J86" t="s">
        <v>5993</v>
      </c>
    </row>
    <row r="87" spans="1:10" ht="15" customHeight="1" x14ac:dyDescent="0.25">
      <c r="A87" t="s">
        <v>5994</v>
      </c>
      <c r="B87" t="s">
        <v>3503</v>
      </c>
      <c r="C87" t="s">
        <v>5723</v>
      </c>
      <c r="D87">
        <v>1</v>
      </c>
      <c r="E87" t="s">
        <v>5995</v>
      </c>
      <c r="F87" t="s">
        <v>5996</v>
      </c>
      <c r="G87">
        <v>1</v>
      </c>
      <c r="H87" t="s">
        <v>5994</v>
      </c>
      <c r="I87" t="s">
        <v>90</v>
      </c>
      <c r="J87" t="s">
        <v>5997</v>
      </c>
    </row>
    <row r="88" spans="1:10" ht="15" customHeight="1" x14ac:dyDescent="0.25">
      <c r="A88" t="s">
        <v>5207</v>
      </c>
      <c r="B88" t="s">
        <v>3515</v>
      </c>
      <c r="C88" t="s">
        <v>4598</v>
      </c>
      <c r="D88">
        <v>1</v>
      </c>
      <c r="E88" t="s">
        <v>5998</v>
      </c>
      <c r="F88" t="s">
        <v>5999</v>
      </c>
      <c r="G88">
        <v>1</v>
      </c>
      <c r="H88" t="s">
        <v>5209</v>
      </c>
      <c r="I88" t="s">
        <v>90</v>
      </c>
      <c r="J88" t="s">
        <v>6000</v>
      </c>
    </row>
    <row r="89" spans="1:10" ht="15" customHeight="1" x14ac:dyDescent="0.25">
      <c r="A89" t="s">
        <v>6001</v>
      </c>
      <c r="B89" t="s">
        <v>3503</v>
      </c>
      <c r="C89" t="s">
        <v>5723</v>
      </c>
      <c r="D89">
        <v>2</v>
      </c>
      <c r="E89" t="s">
        <v>6002</v>
      </c>
      <c r="F89" t="s">
        <v>6003</v>
      </c>
      <c r="G89">
        <v>2</v>
      </c>
      <c r="H89" t="s">
        <v>6004</v>
      </c>
      <c r="I89" t="s">
        <v>90</v>
      </c>
      <c r="J89" t="s">
        <v>6005</v>
      </c>
    </row>
    <row r="90" spans="1:10" ht="15" customHeight="1" x14ac:dyDescent="0.25">
      <c r="A90" t="s">
        <v>6006</v>
      </c>
      <c r="B90" t="s">
        <v>41</v>
      </c>
      <c r="C90" t="s">
        <v>5442</v>
      </c>
      <c r="D90">
        <v>1</v>
      </c>
      <c r="E90" t="s">
        <v>5872</v>
      </c>
      <c r="F90" t="s">
        <v>5873</v>
      </c>
      <c r="G90">
        <v>1</v>
      </c>
      <c r="H90" t="s">
        <v>6006</v>
      </c>
      <c r="I90" t="s">
        <v>2361</v>
      </c>
      <c r="J90" t="s">
        <v>6007</v>
      </c>
    </row>
    <row r="91" spans="1:10" ht="15" customHeight="1" x14ac:dyDescent="0.25">
      <c r="A91" t="s">
        <v>6008</v>
      </c>
      <c r="B91" t="s">
        <v>3515</v>
      </c>
      <c r="C91" t="s">
        <v>5723</v>
      </c>
      <c r="D91">
        <v>1</v>
      </c>
      <c r="E91" t="s">
        <v>6009</v>
      </c>
      <c r="F91" t="s">
        <v>6010</v>
      </c>
      <c r="G91">
        <v>1</v>
      </c>
      <c r="H91" t="s">
        <v>6008</v>
      </c>
      <c r="I91" t="s">
        <v>90</v>
      </c>
      <c r="J91" t="s">
        <v>5778</v>
      </c>
    </row>
    <row r="92" spans="1:10" ht="15" customHeight="1" x14ac:dyDescent="0.25">
      <c r="A92" t="s">
        <v>5210</v>
      </c>
      <c r="B92" t="s">
        <v>3515</v>
      </c>
      <c r="C92" t="s">
        <v>4598</v>
      </c>
      <c r="D92">
        <v>1</v>
      </c>
      <c r="E92" t="s">
        <v>6011</v>
      </c>
      <c r="F92" t="s">
        <v>6012</v>
      </c>
      <c r="G92">
        <v>1</v>
      </c>
      <c r="H92" t="s">
        <v>5212</v>
      </c>
      <c r="I92" t="s">
        <v>90</v>
      </c>
      <c r="J92" t="s">
        <v>6013</v>
      </c>
    </row>
    <row r="93" spans="1:10" ht="15" customHeight="1" x14ac:dyDescent="0.25">
      <c r="A93" t="s">
        <v>5213</v>
      </c>
      <c r="B93" t="s">
        <v>3515</v>
      </c>
      <c r="C93" t="s">
        <v>5361</v>
      </c>
      <c r="D93">
        <v>2</v>
      </c>
      <c r="E93" t="s">
        <v>6014</v>
      </c>
      <c r="F93" t="s">
        <v>6015</v>
      </c>
      <c r="G93">
        <v>2</v>
      </c>
      <c r="H93" t="s">
        <v>5215</v>
      </c>
      <c r="I93" t="s">
        <v>90</v>
      </c>
      <c r="J93" t="s">
        <v>5740</v>
      </c>
    </row>
    <row r="94" spans="1:10" ht="15" customHeight="1" x14ac:dyDescent="0.25">
      <c r="A94" t="s">
        <v>6016</v>
      </c>
      <c r="B94" t="s">
        <v>3515</v>
      </c>
      <c r="C94" t="s">
        <v>5723</v>
      </c>
      <c r="D94">
        <v>1</v>
      </c>
      <c r="E94" t="s">
        <v>6017</v>
      </c>
      <c r="F94" t="s">
        <v>6018</v>
      </c>
      <c r="G94">
        <v>1</v>
      </c>
      <c r="H94" t="s">
        <v>6016</v>
      </c>
      <c r="I94" t="s">
        <v>90</v>
      </c>
      <c r="J94" t="s">
        <v>5778</v>
      </c>
    </row>
    <row r="95" spans="1:10" ht="15" customHeight="1" x14ac:dyDescent="0.25">
      <c r="A95" t="s">
        <v>6019</v>
      </c>
      <c r="B95" t="s">
        <v>41</v>
      </c>
      <c r="C95" t="s">
        <v>5361</v>
      </c>
      <c r="D95">
        <v>0</v>
      </c>
      <c r="E95" t="s">
        <v>6020</v>
      </c>
      <c r="F95" t="s">
        <v>6021</v>
      </c>
      <c r="G95">
        <v>0</v>
      </c>
      <c r="H95" t="s">
        <v>6019</v>
      </c>
      <c r="I95" t="s">
        <v>90</v>
      </c>
      <c r="J95" t="s">
        <v>5736</v>
      </c>
    </row>
    <row r="96" spans="1:10" ht="15" customHeight="1" x14ac:dyDescent="0.25">
      <c r="A96" t="s">
        <v>6022</v>
      </c>
      <c r="B96" t="s">
        <v>41</v>
      </c>
      <c r="C96" t="s">
        <v>5723</v>
      </c>
      <c r="D96">
        <v>1</v>
      </c>
      <c r="E96" t="s">
        <v>6023</v>
      </c>
      <c r="F96" t="s">
        <v>6024</v>
      </c>
      <c r="G96">
        <v>1</v>
      </c>
      <c r="H96" t="s">
        <v>6025</v>
      </c>
      <c r="I96" t="s">
        <v>90</v>
      </c>
      <c r="J96" t="s">
        <v>6026</v>
      </c>
    </row>
    <row r="97" spans="1:10" ht="15" customHeight="1" x14ac:dyDescent="0.25">
      <c r="A97" t="s">
        <v>6027</v>
      </c>
      <c r="B97" t="s">
        <v>3515</v>
      </c>
      <c r="C97" t="s">
        <v>4598</v>
      </c>
      <c r="D97">
        <v>1</v>
      </c>
      <c r="E97" t="s">
        <v>5666</v>
      </c>
      <c r="F97" t="s">
        <v>6028</v>
      </c>
      <c r="G97">
        <v>1</v>
      </c>
      <c r="H97" t="s">
        <v>6027</v>
      </c>
      <c r="I97" t="s">
        <v>90</v>
      </c>
      <c r="J97" t="s">
        <v>5718</v>
      </c>
    </row>
    <row r="98" spans="1:10" ht="15" customHeight="1" x14ac:dyDescent="0.25">
      <c r="A98" t="s">
        <v>6029</v>
      </c>
      <c r="B98" t="s">
        <v>3515</v>
      </c>
      <c r="C98" t="s">
        <v>5442</v>
      </c>
      <c r="D98">
        <v>1</v>
      </c>
      <c r="E98" t="s">
        <v>5872</v>
      </c>
      <c r="F98" t="s">
        <v>5873</v>
      </c>
      <c r="G98">
        <v>1</v>
      </c>
      <c r="H98" t="s">
        <v>6029</v>
      </c>
      <c r="I98" t="s">
        <v>2361</v>
      </c>
      <c r="J98" t="s">
        <v>5875</v>
      </c>
    </row>
    <row r="99" spans="1:10" ht="15" customHeight="1" x14ac:dyDescent="0.25">
      <c r="A99" t="s">
        <v>6030</v>
      </c>
      <c r="B99" t="s">
        <v>3515</v>
      </c>
      <c r="C99" t="s">
        <v>5361</v>
      </c>
      <c r="D99">
        <v>1</v>
      </c>
      <c r="E99" t="s">
        <v>6031</v>
      </c>
      <c r="F99" t="s">
        <v>6032</v>
      </c>
      <c r="G99">
        <v>1</v>
      </c>
      <c r="H99" t="s">
        <v>6033</v>
      </c>
      <c r="I99" t="s">
        <v>90</v>
      </c>
      <c r="J99" t="s">
        <v>5740</v>
      </c>
    </row>
    <row r="100" spans="1:10" ht="15" customHeight="1" x14ac:dyDescent="0.25">
      <c r="A100" t="s">
        <v>6034</v>
      </c>
      <c r="B100" t="s">
        <v>3515</v>
      </c>
      <c r="C100" t="s">
        <v>5442</v>
      </c>
      <c r="D100">
        <v>1</v>
      </c>
      <c r="E100" t="s">
        <v>5872</v>
      </c>
      <c r="F100" t="s">
        <v>5873</v>
      </c>
      <c r="G100">
        <v>1</v>
      </c>
      <c r="H100" t="s">
        <v>6034</v>
      </c>
      <c r="I100" t="s">
        <v>2361</v>
      </c>
      <c r="J100" t="s">
        <v>6007</v>
      </c>
    </row>
    <row r="101" spans="1:10" ht="15" customHeight="1" x14ac:dyDescent="0.25">
      <c r="A101" t="s">
        <v>6035</v>
      </c>
      <c r="B101" t="s">
        <v>3503</v>
      </c>
      <c r="C101" t="s">
        <v>5723</v>
      </c>
      <c r="D101">
        <v>1</v>
      </c>
      <c r="E101" t="s">
        <v>6036</v>
      </c>
      <c r="F101" t="s">
        <v>6037</v>
      </c>
      <c r="G101">
        <v>1</v>
      </c>
      <c r="H101" t="s">
        <v>6038</v>
      </c>
      <c r="I101" t="s">
        <v>90</v>
      </c>
      <c r="J101" t="s">
        <v>5778</v>
      </c>
    </row>
    <row r="102" spans="1:10" ht="15" customHeight="1" x14ac:dyDescent="0.25">
      <c r="A102" t="s">
        <v>6039</v>
      </c>
      <c r="B102" t="s">
        <v>41</v>
      </c>
      <c r="C102" t="s">
        <v>5723</v>
      </c>
      <c r="D102">
        <v>0</v>
      </c>
      <c r="E102" t="s">
        <v>6040</v>
      </c>
      <c r="F102" t="s">
        <v>6041</v>
      </c>
      <c r="G102">
        <v>0</v>
      </c>
      <c r="H102" t="s">
        <v>6042</v>
      </c>
      <c r="I102" t="s">
        <v>90</v>
      </c>
      <c r="J102" t="s">
        <v>5769</v>
      </c>
    </row>
    <row r="103" spans="1:10" ht="15" customHeight="1" x14ac:dyDescent="0.25">
      <c r="A103" t="s">
        <v>6043</v>
      </c>
      <c r="B103" t="s">
        <v>3503</v>
      </c>
      <c r="C103" t="s">
        <v>5723</v>
      </c>
      <c r="D103">
        <v>0</v>
      </c>
      <c r="E103" t="s">
        <v>6044</v>
      </c>
      <c r="F103" t="s">
        <v>6045</v>
      </c>
      <c r="G103">
        <v>0</v>
      </c>
      <c r="H103" t="s">
        <v>6046</v>
      </c>
      <c r="I103" t="s">
        <v>90</v>
      </c>
      <c r="J103" t="s">
        <v>5778</v>
      </c>
    </row>
    <row r="104" spans="1:10" ht="15" customHeight="1" x14ac:dyDescent="0.25">
      <c r="A104" t="s">
        <v>5133</v>
      </c>
      <c r="B104" t="s">
        <v>4298</v>
      </c>
      <c r="C104" t="s">
        <v>4246</v>
      </c>
      <c r="D104" t="s">
        <v>3998</v>
      </c>
      <c r="E104" t="s">
        <v>6047</v>
      </c>
      <c r="F104" t="s">
        <v>3459</v>
      </c>
      <c r="G104" t="s">
        <v>3459</v>
      </c>
      <c r="H104" t="s">
        <v>5133</v>
      </c>
      <c r="I104" t="s">
        <v>38</v>
      </c>
      <c r="J104" t="s">
        <v>5871</v>
      </c>
    </row>
    <row r="105" spans="1:10" ht="15" customHeight="1" x14ac:dyDescent="0.25">
      <c r="A105" t="s">
        <v>6048</v>
      </c>
      <c r="B105" t="s">
        <v>41</v>
      </c>
      <c r="C105" t="s">
        <v>5361</v>
      </c>
      <c r="D105">
        <v>1</v>
      </c>
      <c r="E105" t="s">
        <v>6049</v>
      </c>
      <c r="F105" t="s">
        <v>6049</v>
      </c>
      <c r="G105">
        <v>0</v>
      </c>
      <c r="H105" t="s">
        <v>6048</v>
      </c>
      <c r="I105" t="s">
        <v>90</v>
      </c>
      <c r="J105" t="s">
        <v>6005</v>
      </c>
    </row>
    <row r="106" spans="1:10" ht="15" customHeight="1" x14ac:dyDescent="0.25">
      <c r="A106" t="s">
        <v>6050</v>
      </c>
      <c r="B106" t="s">
        <v>41</v>
      </c>
      <c r="C106" t="s">
        <v>5723</v>
      </c>
      <c r="D106">
        <v>1</v>
      </c>
      <c r="E106" t="s">
        <v>6051</v>
      </c>
      <c r="F106" t="s">
        <v>6052</v>
      </c>
      <c r="G106">
        <v>1</v>
      </c>
      <c r="H106" t="s">
        <v>6050</v>
      </c>
      <c r="I106" t="s">
        <v>90</v>
      </c>
      <c r="J106" t="s">
        <v>5736</v>
      </c>
    </row>
    <row r="107" spans="1:10" ht="15" customHeight="1" x14ac:dyDescent="0.25">
      <c r="A107" t="s">
        <v>6053</v>
      </c>
      <c r="B107" t="s">
        <v>41</v>
      </c>
      <c r="C107" t="s">
        <v>5442</v>
      </c>
      <c r="D107">
        <v>1</v>
      </c>
      <c r="E107" t="s">
        <v>6054</v>
      </c>
      <c r="F107" t="s">
        <v>6055</v>
      </c>
      <c r="G107">
        <v>1</v>
      </c>
      <c r="H107" t="s">
        <v>6053</v>
      </c>
      <c r="I107" t="s">
        <v>2361</v>
      </c>
      <c r="J107" t="s">
        <v>5963</v>
      </c>
    </row>
    <row r="108" spans="1:10" ht="15" customHeight="1" x14ac:dyDescent="0.25">
      <c r="A108" t="s">
        <v>6056</v>
      </c>
      <c r="B108" t="s">
        <v>41</v>
      </c>
      <c r="C108" t="s">
        <v>5723</v>
      </c>
      <c r="D108">
        <v>2</v>
      </c>
      <c r="E108" t="s">
        <v>6057</v>
      </c>
      <c r="F108" t="s">
        <v>6058</v>
      </c>
      <c r="G108">
        <v>2</v>
      </c>
      <c r="H108" t="s">
        <v>6059</v>
      </c>
      <c r="I108" t="s">
        <v>90</v>
      </c>
      <c r="J108" t="s">
        <v>6060</v>
      </c>
    </row>
    <row r="109" spans="1:10" ht="15" customHeight="1" x14ac:dyDescent="0.25">
      <c r="A109" t="s">
        <v>6061</v>
      </c>
      <c r="B109" t="s">
        <v>3515</v>
      </c>
      <c r="C109" t="s">
        <v>5723</v>
      </c>
      <c r="D109">
        <v>1</v>
      </c>
      <c r="E109" t="s">
        <v>6062</v>
      </c>
      <c r="F109" t="s">
        <v>6063</v>
      </c>
      <c r="G109">
        <v>1</v>
      </c>
      <c r="H109" t="s">
        <v>6064</v>
      </c>
      <c r="I109" t="s">
        <v>90</v>
      </c>
      <c r="J109" t="s">
        <v>5850</v>
      </c>
    </row>
    <row r="110" spans="1:10" ht="15" customHeight="1" x14ac:dyDescent="0.25">
      <c r="A110" t="s">
        <v>6065</v>
      </c>
      <c r="B110" t="s">
        <v>3515</v>
      </c>
      <c r="C110" t="s">
        <v>5723</v>
      </c>
      <c r="D110">
        <v>1</v>
      </c>
      <c r="E110" t="s">
        <v>6066</v>
      </c>
      <c r="F110" t="s">
        <v>6067</v>
      </c>
      <c r="G110">
        <v>1</v>
      </c>
      <c r="H110" t="s">
        <v>6065</v>
      </c>
      <c r="I110" t="s">
        <v>90</v>
      </c>
      <c r="J110" t="s">
        <v>5736</v>
      </c>
    </row>
    <row r="111" spans="1:10" ht="15" customHeight="1" x14ac:dyDescent="0.25">
      <c r="A111" t="s">
        <v>6068</v>
      </c>
      <c r="B111" t="s">
        <v>41</v>
      </c>
      <c r="C111" t="s">
        <v>5361</v>
      </c>
      <c r="D111">
        <v>1</v>
      </c>
      <c r="E111" t="s">
        <v>6069</v>
      </c>
      <c r="F111" t="s">
        <v>6070</v>
      </c>
      <c r="G111">
        <v>1</v>
      </c>
      <c r="H111" t="s">
        <v>6068</v>
      </c>
      <c r="I111" t="s">
        <v>90</v>
      </c>
      <c r="J111" t="s">
        <v>6071</v>
      </c>
    </row>
    <row r="112" spans="1:10" ht="15" customHeight="1" x14ac:dyDescent="0.25">
      <c r="A112" t="s">
        <v>6072</v>
      </c>
      <c r="B112" t="s">
        <v>3503</v>
      </c>
      <c r="C112" t="s">
        <v>5723</v>
      </c>
      <c r="D112">
        <v>2</v>
      </c>
      <c r="E112" t="s">
        <v>6073</v>
      </c>
      <c r="F112" t="s">
        <v>6074</v>
      </c>
      <c r="G112">
        <v>2</v>
      </c>
      <c r="H112" t="s">
        <v>6072</v>
      </c>
      <c r="I112" t="s">
        <v>90</v>
      </c>
      <c r="J112" t="s">
        <v>5736</v>
      </c>
    </row>
    <row r="113" spans="1:10" ht="15" customHeight="1" x14ac:dyDescent="0.25">
      <c r="A113" t="s">
        <v>6075</v>
      </c>
      <c r="B113" t="s">
        <v>3503</v>
      </c>
      <c r="C113" t="s">
        <v>5361</v>
      </c>
      <c r="D113">
        <v>2</v>
      </c>
      <c r="E113" t="s">
        <v>6076</v>
      </c>
      <c r="F113" t="s">
        <v>6077</v>
      </c>
      <c r="G113">
        <v>2</v>
      </c>
      <c r="H113" t="s">
        <v>6075</v>
      </c>
      <c r="I113" t="s">
        <v>90</v>
      </c>
      <c r="J113" t="s">
        <v>6000</v>
      </c>
    </row>
    <row r="114" spans="1:10" ht="15" customHeight="1" x14ac:dyDescent="0.25">
      <c r="A114" t="s">
        <v>6078</v>
      </c>
      <c r="B114" t="s">
        <v>3515</v>
      </c>
      <c r="C114" t="s">
        <v>5361</v>
      </c>
      <c r="D114">
        <v>1</v>
      </c>
      <c r="E114" t="s">
        <v>6079</v>
      </c>
      <c r="F114" t="s">
        <v>6079</v>
      </c>
      <c r="G114">
        <v>0</v>
      </c>
      <c r="H114" t="s">
        <v>6080</v>
      </c>
      <c r="I114" t="s">
        <v>90</v>
      </c>
      <c r="J114" t="s">
        <v>6081</v>
      </c>
    </row>
    <row r="115" spans="1:10" ht="15" customHeight="1" x14ac:dyDescent="0.25">
      <c r="A115" t="s">
        <v>6082</v>
      </c>
      <c r="B115" t="s">
        <v>3515</v>
      </c>
      <c r="C115" t="s">
        <v>4598</v>
      </c>
      <c r="D115">
        <v>1</v>
      </c>
      <c r="E115" t="s">
        <v>6083</v>
      </c>
      <c r="F115" t="s">
        <v>6084</v>
      </c>
      <c r="G115">
        <v>1</v>
      </c>
      <c r="H115" t="s">
        <v>6085</v>
      </c>
      <c r="I115" t="s">
        <v>90</v>
      </c>
      <c r="J115" t="s">
        <v>5778</v>
      </c>
    </row>
    <row r="116" spans="1:10" ht="15" customHeight="1" x14ac:dyDescent="0.25">
      <c r="A116" t="s">
        <v>6086</v>
      </c>
      <c r="B116" t="s">
        <v>3515</v>
      </c>
      <c r="C116" t="s">
        <v>4598</v>
      </c>
      <c r="D116">
        <v>1</v>
      </c>
      <c r="E116" t="s">
        <v>6087</v>
      </c>
      <c r="F116" t="s">
        <v>6088</v>
      </c>
      <c r="G116">
        <v>1</v>
      </c>
      <c r="H116" t="s">
        <v>6086</v>
      </c>
      <c r="I116" t="s">
        <v>90</v>
      </c>
      <c r="J116" t="s">
        <v>5928</v>
      </c>
    </row>
    <row r="117" spans="1:10" ht="15" customHeight="1" x14ac:dyDescent="0.25">
      <c r="A117" t="s">
        <v>4254</v>
      </c>
      <c r="B117" t="s">
        <v>4298</v>
      </c>
      <c r="C117" t="s">
        <v>4246</v>
      </c>
      <c r="D117" t="s">
        <v>3998</v>
      </c>
      <c r="E117" t="s">
        <v>6089</v>
      </c>
      <c r="F117" t="s">
        <v>3459</v>
      </c>
      <c r="G117" t="s">
        <v>3459</v>
      </c>
      <c r="H117" t="s">
        <v>4254</v>
      </c>
      <c r="I117" t="s">
        <v>90</v>
      </c>
      <c r="J117" t="s">
        <v>5871</v>
      </c>
    </row>
    <row r="118" spans="1:10" ht="15" customHeight="1" x14ac:dyDescent="0.25">
      <c r="A118" t="s">
        <v>6090</v>
      </c>
      <c r="B118" t="s">
        <v>3515</v>
      </c>
      <c r="C118" t="s">
        <v>5361</v>
      </c>
      <c r="D118">
        <v>0</v>
      </c>
      <c r="E118" t="s">
        <v>6091</v>
      </c>
      <c r="F118" t="s">
        <v>6092</v>
      </c>
      <c r="G118">
        <v>0</v>
      </c>
      <c r="H118" t="s">
        <v>6090</v>
      </c>
      <c r="I118" t="s">
        <v>90</v>
      </c>
      <c r="J118" t="s">
        <v>5938</v>
      </c>
    </row>
    <row r="119" spans="1:10" ht="15" customHeight="1" x14ac:dyDescent="0.25">
      <c r="A119" t="s">
        <v>6093</v>
      </c>
      <c r="B119" t="s">
        <v>41</v>
      </c>
      <c r="C119" t="s">
        <v>5723</v>
      </c>
      <c r="D119">
        <v>1</v>
      </c>
      <c r="E119" t="s">
        <v>6094</v>
      </c>
      <c r="F119" t="s">
        <v>6095</v>
      </c>
      <c r="G119">
        <v>1</v>
      </c>
      <c r="H119" t="s">
        <v>6096</v>
      </c>
      <c r="I119" t="s">
        <v>90</v>
      </c>
      <c r="J119" t="s">
        <v>6097</v>
      </c>
    </row>
    <row r="120" spans="1:10" ht="15" customHeight="1" x14ac:dyDescent="0.25">
      <c r="A120" t="s">
        <v>5688</v>
      </c>
      <c r="B120" t="s">
        <v>3547</v>
      </c>
      <c r="C120" t="s">
        <v>5442</v>
      </c>
      <c r="D120">
        <v>1</v>
      </c>
      <c r="E120" s="3" t="s">
        <v>6098</v>
      </c>
      <c r="F120" s="3" t="s">
        <v>6098</v>
      </c>
      <c r="G120" s="3">
        <v>0</v>
      </c>
      <c r="H120" t="s">
        <v>3459</v>
      </c>
      <c r="I120" t="s">
        <v>160</v>
      </c>
    </row>
    <row r="121" spans="1:10" ht="15" customHeight="1" x14ac:dyDescent="0.25">
      <c r="A121" t="s">
        <v>6099</v>
      </c>
      <c r="B121" t="s">
        <v>3515</v>
      </c>
      <c r="C121" t="s">
        <v>5442</v>
      </c>
      <c r="D121">
        <v>1</v>
      </c>
      <c r="E121" t="s">
        <v>6100</v>
      </c>
      <c r="F121" t="s">
        <v>6101</v>
      </c>
      <c r="G121">
        <v>1</v>
      </c>
      <c r="H121" t="s">
        <v>6099</v>
      </c>
      <c r="I121" t="s">
        <v>2361</v>
      </c>
      <c r="J121" t="s">
        <v>6102</v>
      </c>
    </row>
    <row r="122" spans="1:10" ht="15" customHeight="1" x14ac:dyDescent="0.25">
      <c r="A122" t="s">
        <v>6103</v>
      </c>
      <c r="B122" t="s">
        <v>3503</v>
      </c>
      <c r="C122" t="s">
        <v>4598</v>
      </c>
      <c r="D122">
        <v>2</v>
      </c>
      <c r="E122" t="s">
        <v>6104</v>
      </c>
      <c r="F122" t="s">
        <v>6105</v>
      </c>
      <c r="G122">
        <v>2</v>
      </c>
      <c r="H122" t="s">
        <v>6103</v>
      </c>
      <c r="I122" t="s">
        <v>90</v>
      </c>
      <c r="J122" t="s">
        <v>6097</v>
      </c>
    </row>
    <row r="123" spans="1:10" ht="15" customHeight="1" x14ac:dyDescent="0.25">
      <c r="A123" t="s">
        <v>6106</v>
      </c>
      <c r="B123" t="s">
        <v>3515</v>
      </c>
      <c r="C123" t="s">
        <v>5442</v>
      </c>
      <c r="D123">
        <v>1</v>
      </c>
      <c r="E123" t="s">
        <v>5872</v>
      </c>
      <c r="F123" t="s">
        <v>5873</v>
      </c>
      <c r="G123">
        <v>1</v>
      </c>
      <c r="H123" t="s">
        <v>6106</v>
      </c>
      <c r="I123" t="s">
        <v>2361</v>
      </c>
      <c r="J123" t="s">
        <v>5875</v>
      </c>
    </row>
    <row r="124" spans="1:10" ht="15" customHeight="1" x14ac:dyDescent="0.25">
      <c r="A124" t="s">
        <v>6107</v>
      </c>
      <c r="B124" t="s">
        <v>41</v>
      </c>
      <c r="C124" t="s">
        <v>5442</v>
      </c>
      <c r="D124">
        <v>1</v>
      </c>
      <c r="E124" t="s">
        <v>5872</v>
      </c>
      <c r="F124" t="s">
        <v>5873</v>
      </c>
      <c r="G124">
        <v>1</v>
      </c>
      <c r="H124" t="s">
        <v>6107</v>
      </c>
      <c r="I124" t="s">
        <v>2361</v>
      </c>
      <c r="J124" t="s">
        <v>6007</v>
      </c>
    </row>
    <row r="125" spans="1:10" ht="15" customHeight="1" x14ac:dyDescent="0.25">
      <c r="A125" t="s">
        <v>6108</v>
      </c>
      <c r="B125" t="s">
        <v>41</v>
      </c>
      <c r="C125" t="s">
        <v>5361</v>
      </c>
      <c r="D125">
        <v>1</v>
      </c>
      <c r="E125" t="s">
        <v>6109</v>
      </c>
      <c r="F125" t="s">
        <v>6110</v>
      </c>
      <c r="G125">
        <v>1</v>
      </c>
      <c r="H125" t="s">
        <v>6108</v>
      </c>
      <c r="I125" t="s">
        <v>90</v>
      </c>
      <c r="J125" t="s">
        <v>5820</v>
      </c>
    </row>
    <row r="126" spans="1:10" ht="15" customHeight="1" x14ac:dyDescent="0.25">
      <c r="A126" t="s">
        <v>6111</v>
      </c>
      <c r="B126" t="s">
        <v>3515</v>
      </c>
      <c r="C126" t="s">
        <v>5361</v>
      </c>
      <c r="D126">
        <v>2</v>
      </c>
      <c r="E126" t="s">
        <v>6112</v>
      </c>
      <c r="F126" t="s">
        <v>6113</v>
      </c>
      <c r="G126">
        <v>2</v>
      </c>
      <c r="H126" t="s">
        <v>6114</v>
      </c>
      <c r="I126" t="s">
        <v>90</v>
      </c>
      <c r="J126" t="s">
        <v>6115</v>
      </c>
    </row>
    <row r="127" spans="1:10" ht="15" customHeight="1" x14ac:dyDescent="0.25">
      <c r="A127" t="s">
        <v>4694</v>
      </c>
      <c r="B127" t="s">
        <v>41</v>
      </c>
      <c r="C127" t="s">
        <v>5723</v>
      </c>
      <c r="D127">
        <v>1</v>
      </c>
      <c r="E127" t="s">
        <v>6116</v>
      </c>
      <c r="F127" t="s">
        <v>6116</v>
      </c>
      <c r="G127">
        <v>1</v>
      </c>
      <c r="H127" t="s">
        <v>4697</v>
      </c>
      <c r="I127" t="s">
        <v>1046</v>
      </c>
      <c r="J127" t="s">
        <v>5756</v>
      </c>
    </row>
    <row r="128" spans="1:10" ht="15" customHeight="1" x14ac:dyDescent="0.25">
      <c r="A128" t="s">
        <v>6117</v>
      </c>
      <c r="B128" t="s">
        <v>3503</v>
      </c>
      <c r="C128" t="s">
        <v>5361</v>
      </c>
      <c r="D128">
        <v>1</v>
      </c>
      <c r="E128" t="s">
        <v>6118</v>
      </c>
      <c r="F128" t="s">
        <v>6119</v>
      </c>
      <c r="G128">
        <v>1</v>
      </c>
      <c r="H128" t="s">
        <v>6120</v>
      </c>
      <c r="I128" t="s">
        <v>90</v>
      </c>
      <c r="J128" t="s">
        <v>5928</v>
      </c>
    </row>
    <row r="129" spans="1:10" ht="15" customHeight="1" x14ac:dyDescent="0.25">
      <c r="A129" t="s">
        <v>6121</v>
      </c>
      <c r="B129" t="s">
        <v>3503</v>
      </c>
      <c r="C129" t="s">
        <v>4598</v>
      </c>
      <c r="D129">
        <v>1</v>
      </c>
      <c r="E129" t="s">
        <v>6122</v>
      </c>
      <c r="F129" t="s">
        <v>6123</v>
      </c>
      <c r="G129">
        <v>1</v>
      </c>
      <c r="H129" t="s">
        <v>6124</v>
      </c>
      <c r="I129" t="s">
        <v>90</v>
      </c>
      <c r="J129" t="s">
        <v>6125</v>
      </c>
    </row>
    <row r="130" spans="1:10" ht="15" customHeight="1" x14ac:dyDescent="0.25">
      <c r="A130" t="s">
        <v>6126</v>
      </c>
      <c r="B130" t="s">
        <v>41</v>
      </c>
      <c r="C130" t="s">
        <v>5442</v>
      </c>
      <c r="D130">
        <v>1</v>
      </c>
      <c r="E130" t="s">
        <v>6127</v>
      </c>
      <c r="F130" t="s">
        <v>6128</v>
      </c>
      <c r="G130">
        <v>1</v>
      </c>
      <c r="H130" t="s">
        <v>6126</v>
      </c>
      <c r="I130" t="s">
        <v>2361</v>
      </c>
      <c r="J130" t="s">
        <v>6102</v>
      </c>
    </row>
    <row r="131" spans="1:10" ht="15" customHeight="1" x14ac:dyDescent="0.25">
      <c r="A131" t="s">
        <v>6129</v>
      </c>
      <c r="B131" t="s">
        <v>3503</v>
      </c>
      <c r="C131" t="s">
        <v>5361</v>
      </c>
      <c r="D131" t="s">
        <v>5947</v>
      </c>
      <c r="E131" t="s">
        <v>6130</v>
      </c>
      <c r="F131" t="s">
        <v>6131</v>
      </c>
      <c r="G131" t="s">
        <v>5947</v>
      </c>
      <c r="H131" t="s">
        <v>6129</v>
      </c>
      <c r="I131" t="s">
        <v>90</v>
      </c>
      <c r="J131" t="s">
        <v>6132</v>
      </c>
    </row>
    <row r="132" spans="1:10" ht="15" customHeight="1" x14ac:dyDescent="0.25">
      <c r="A132" t="s">
        <v>6133</v>
      </c>
      <c r="B132" t="s">
        <v>3515</v>
      </c>
      <c r="C132" t="s">
        <v>5723</v>
      </c>
      <c r="D132">
        <v>0</v>
      </c>
      <c r="E132" t="s">
        <v>6134</v>
      </c>
      <c r="F132" t="s">
        <v>6135</v>
      </c>
      <c r="G132">
        <v>0</v>
      </c>
      <c r="H132" t="s">
        <v>6136</v>
      </c>
      <c r="I132" t="s">
        <v>90</v>
      </c>
      <c r="J132" t="s">
        <v>5778</v>
      </c>
    </row>
    <row r="133" spans="1:10" ht="15" customHeight="1" x14ac:dyDescent="0.25">
      <c r="A133" t="s">
        <v>6137</v>
      </c>
      <c r="B133" t="s">
        <v>3515</v>
      </c>
      <c r="C133" t="s">
        <v>4598</v>
      </c>
      <c r="D133">
        <v>1</v>
      </c>
      <c r="E133" t="s">
        <v>6138</v>
      </c>
      <c r="F133" t="s">
        <v>6139</v>
      </c>
      <c r="G133">
        <v>1</v>
      </c>
      <c r="H133" t="s">
        <v>6137</v>
      </c>
      <c r="I133" t="s">
        <v>90</v>
      </c>
      <c r="J133" t="s">
        <v>5740</v>
      </c>
    </row>
    <row r="134" spans="1:10" ht="15" customHeight="1" x14ac:dyDescent="0.25">
      <c r="A134" t="s">
        <v>6140</v>
      </c>
      <c r="B134" t="s">
        <v>3503</v>
      </c>
      <c r="C134" t="s">
        <v>5806</v>
      </c>
      <c r="D134">
        <v>5</v>
      </c>
      <c r="E134" t="s">
        <v>6141</v>
      </c>
      <c r="F134" t="s">
        <v>6141</v>
      </c>
      <c r="G134">
        <v>4</v>
      </c>
      <c r="H134" t="s">
        <v>6142</v>
      </c>
      <c r="I134" t="s">
        <v>1672</v>
      </c>
    </row>
    <row r="135" spans="1:10" ht="15" customHeight="1" x14ac:dyDescent="0.25">
      <c r="A135" t="s">
        <v>6143</v>
      </c>
      <c r="B135" t="s">
        <v>41</v>
      </c>
      <c r="C135" t="s">
        <v>5442</v>
      </c>
      <c r="D135">
        <v>1</v>
      </c>
      <c r="E135" t="s">
        <v>6144</v>
      </c>
      <c r="F135" t="s">
        <v>6145</v>
      </c>
      <c r="G135">
        <v>1</v>
      </c>
      <c r="H135" t="s">
        <v>6143</v>
      </c>
      <c r="I135" t="s">
        <v>2361</v>
      </c>
      <c r="J135" t="s">
        <v>5963</v>
      </c>
    </row>
    <row r="136" spans="1:10" ht="15" customHeight="1" x14ac:dyDescent="0.25">
      <c r="A136" t="s">
        <v>5698</v>
      </c>
      <c r="B136" t="s">
        <v>3547</v>
      </c>
      <c r="C136" t="s">
        <v>5723</v>
      </c>
      <c r="D136">
        <v>0</v>
      </c>
      <c r="E136" t="s">
        <v>6146</v>
      </c>
      <c r="F136" t="s">
        <v>6147</v>
      </c>
      <c r="G136">
        <v>0</v>
      </c>
      <c r="H136" t="s">
        <v>5698</v>
      </c>
      <c r="I136" t="s">
        <v>90</v>
      </c>
      <c r="J136" t="s">
        <v>5754</v>
      </c>
    </row>
    <row r="137" spans="1:10" ht="15" customHeight="1" x14ac:dyDescent="0.25">
      <c r="A137" t="s">
        <v>6148</v>
      </c>
      <c r="B137" t="s">
        <v>3503</v>
      </c>
      <c r="C137" t="s">
        <v>5361</v>
      </c>
      <c r="D137">
        <v>3</v>
      </c>
      <c r="E137" t="s">
        <v>6149</v>
      </c>
      <c r="F137" t="s">
        <v>6149</v>
      </c>
      <c r="G137">
        <v>2</v>
      </c>
      <c r="H137" t="s">
        <v>6148</v>
      </c>
      <c r="I137" t="s">
        <v>90</v>
      </c>
      <c r="J137" t="s">
        <v>5993</v>
      </c>
    </row>
    <row r="138" spans="1:10" ht="15" customHeight="1" x14ac:dyDescent="0.25">
      <c r="A138" t="s">
        <v>6150</v>
      </c>
      <c r="B138" t="s">
        <v>3515</v>
      </c>
      <c r="C138" t="s">
        <v>4598</v>
      </c>
      <c r="D138">
        <v>1</v>
      </c>
      <c r="E138" t="s">
        <v>6151</v>
      </c>
      <c r="F138" t="s">
        <v>6152</v>
      </c>
      <c r="G138">
        <v>1</v>
      </c>
      <c r="H138" t="s">
        <v>6153</v>
      </c>
      <c r="I138" t="s">
        <v>90</v>
      </c>
      <c r="J138" t="s">
        <v>5885</v>
      </c>
    </row>
    <row r="139" spans="1:10" ht="15" customHeight="1" x14ac:dyDescent="0.25">
      <c r="A139" t="s">
        <v>6154</v>
      </c>
      <c r="B139" t="s">
        <v>3503</v>
      </c>
      <c r="C139" t="s">
        <v>5361</v>
      </c>
      <c r="D139">
        <v>0</v>
      </c>
      <c r="E139" t="s">
        <v>6155</v>
      </c>
      <c r="F139" t="s">
        <v>6156</v>
      </c>
      <c r="G139">
        <v>0</v>
      </c>
      <c r="H139" t="s">
        <v>6154</v>
      </c>
      <c r="I139" t="s">
        <v>90</v>
      </c>
      <c r="J139" t="s">
        <v>6157</v>
      </c>
    </row>
    <row r="140" spans="1:10" ht="15" customHeight="1" x14ac:dyDescent="0.25">
      <c r="A140" t="s">
        <v>6158</v>
      </c>
      <c r="B140" t="s">
        <v>41</v>
      </c>
      <c r="C140" t="s">
        <v>5361</v>
      </c>
      <c r="D140">
        <v>1</v>
      </c>
      <c r="E140" t="s">
        <v>6159</v>
      </c>
      <c r="F140" t="s">
        <v>6160</v>
      </c>
      <c r="G140">
        <v>1</v>
      </c>
      <c r="H140" t="s">
        <v>6158</v>
      </c>
      <c r="I140" t="s">
        <v>90</v>
      </c>
      <c r="J140" t="s">
        <v>5824</v>
      </c>
    </row>
    <row r="141" spans="1:10" ht="15" customHeight="1" x14ac:dyDescent="0.25">
      <c r="A141" t="s">
        <v>6161</v>
      </c>
      <c r="B141" t="s">
        <v>4298</v>
      </c>
      <c r="C141" t="s">
        <v>4246</v>
      </c>
      <c r="D141" t="s">
        <v>3998</v>
      </c>
      <c r="E141" t="s">
        <v>6162</v>
      </c>
      <c r="F141" t="s">
        <v>3459</v>
      </c>
      <c r="G141" t="s">
        <v>3459</v>
      </c>
      <c r="H141" t="s">
        <v>6161</v>
      </c>
      <c r="I141" t="s">
        <v>90</v>
      </c>
      <c r="J141" t="s">
        <v>5871</v>
      </c>
    </row>
    <row r="142" spans="1:10" ht="15" customHeight="1" x14ac:dyDescent="0.25">
      <c r="A142" t="s">
        <v>6163</v>
      </c>
      <c r="B142" t="s">
        <v>41</v>
      </c>
      <c r="C142" t="s">
        <v>5723</v>
      </c>
      <c r="D142">
        <v>2</v>
      </c>
      <c r="E142" t="s">
        <v>6164</v>
      </c>
      <c r="F142" t="s">
        <v>6165</v>
      </c>
      <c r="G142">
        <v>2</v>
      </c>
      <c r="H142" t="s">
        <v>6166</v>
      </c>
      <c r="I142" t="s">
        <v>90</v>
      </c>
      <c r="J142" t="s">
        <v>5736</v>
      </c>
    </row>
    <row r="143" spans="1:10" ht="15" customHeight="1" x14ac:dyDescent="0.25">
      <c r="A143" t="s">
        <v>6167</v>
      </c>
      <c r="B143" t="s">
        <v>3503</v>
      </c>
      <c r="C143" t="s">
        <v>5361</v>
      </c>
      <c r="D143">
        <v>1</v>
      </c>
      <c r="E143" t="s">
        <v>6168</v>
      </c>
      <c r="F143" t="s">
        <v>6168</v>
      </c>
      <c r="G143">
        <v>0</v>
      </c>
      <c r="H143" t="s">
        <v>6169</v>
      </c>
      <c r="I143" t="s">
        <v>90</v>
      </c>
      <c r="J143" t="s">
        <v>5778</v>
      </c>
    </row>
    <row r="144" spans="1:10" ht="15" customHeight="1" x14ac:dyDescent="0.25">
      <c r="A144" t="s">
        <v>6170</v>
      </c>
      <c r="B144" t="s">
        <v>41</v>
      </c>
      <c r="C144" t="s">
        <v>5361</v>
      </c>
      <c r="D144">
        <v>1</v>
      </c>
      <c r="E144" t="s">
        <v>6171</v>
      </c>
      <c r="F144" t="s">
        <v>6172</v>
      </c>
      <c r="G144">
        <v>1</v>
      </c>
      <c r="H144" t="s">
        <v>6173</v>
      </c>
      <c r="I144" t="s">
        <v>90</v>
      </c>
      <c r="J144" t="s">
        <v>6132</v>
      </c>
    </row>
    <row r="145" spans="1:10" ht="15" customHeight="1" x14ac:dyDescent="0.25">
      <c r="A145" t="s">
        <v>6174</v>
      </c>
      <c r="B145" t="s">
        <v>41</v>
      </c>
      <c r="C145" t="s">
        <v>5723</v>
      </c>
      <c r="D145">
        <v>1</v>
      </c>
      <c r="E145" t="s">
        <v>6175</v>
      </c>
      <c r="F145" t="s">
        <v>6176</v>
      </c>
      <c r="G145">
        <v>1</v>
      </c>
      <c r="H145" t="s">
        <v>6177</v>
      </c>
      <c r="I145" t="s">
        <v>90</v>
      </c>
      <c r="J145" t="s">
        <v>5754</v>
      </c>
    </row>
    <row r="146" spans="1:10" ht="15" customHeight="1" x14ac:dyDescent="0.25">
      <c r="A146" t="s">
        <v>6178</v>
      </c>
      <c r="B146" t="s">
        <v>41</v>
      </c>
      <c r="C146" t="s">
        <v>5723</v>
      </c>
      <c r="D146">
        <v>1</v>
      </c>
      <c r="E146" t="s">
        <v>6179</v>
      </c>
      <c r="F146" t="s">
        <v>6180</v>
      </c>
      <c r="G146">
        <v>1</v>
      </c>
      <c r="H146" t="s">
        <v>6181</v>
      </c>
      <c r="I146" t="s">
        <v>90</v>
      </c>
      <c r="J146" t="s">
        <v>6182</v>
      </c>
    </row>
    <row r="147" spans="1:10" ht="15" customHeight="1" x14ac:dyDescent="0.25">
      <c r="A147" t="s">
        <v>6183</v>
      </c>
      <c r="B147" t="s">
        <v>3515</v>
      </c>
      <c r="C147" t="s">
        <v>5361</v>
      </c>
      <c r="D147">
        <v>1</v>
      </c>
      <c r="E147" t="s">
        <v>6184</v>
      </c>
      <c r="F147" t="s">
        <v>6185</v>
      </c>
      <c r="G147">
        <v>1</v>
      </c>
      <c r="H147" t="s">
        <v>6186</v>
      </c>
      <c r="I147" t="s">
        <v>90</v>
      </c>
      <c r="J147" t="s">
        <v>6187</v>
      </c>
    </row>
    <row r="148" spans="1:10" ht="15" customHeight="1" x14ac:dyDescent="0.25">
      <c r="A148" t="s">
        <v>6188</v>
      </c>
      <c r="B148" t="s">
        <v>3515</v>
      </c>
      <c r="C148" t="s">
        <v>5723</v>
      </c>
      <c r="D148">
        <v>2</v>
      </c>
      <c r="E148" t="s">
        <v>6189</v>
      </c>
      <c r="F148" t="s">
        <v>6190</v>
      </c>
      <c r="G148">
        <v>2</v>
      </c>
      <c r="H148" t="s">
        <v>6188</v>
      </c>
      <c r="I148" t="s">
        <v>90</v>
      </c>
      <c r="J148" t="s">
        <v>6026</v>
      </c>
    </row>
    <row r="149" spans="1:10" ht="15" customHeight="1" x14ac:dyDescent="0.25">
      <c r="A149" t="s">
        <v>6191</v>
      </c>
      <c r="B149" t="s">
        <v>41</v>
      </c>
      <c r="C149" t="s">
        <v>5361</v>
      </c>
      <c r="D149">
        <v>0</v>
      </c>
      <c r="E149" t="s">
        <v>6192</v>
      </c>
      <c r="F149" t="s">
        <v>6193</v>
      </c>
      <c r="G149">
        <v>0</v>
      </c>
      <c r="H149" t="s">
        <v>6191</v>
      </c>
      <c r="I149" t="s">
        <v>90</v>
      </c>
      <c r="J149" t="s">
        <v>5709</v>
      </c>
    </row>
    <row r="150" spans="1:10" ht="15" customHeight="1" x14ac:dyDescent="0.25">
      <c r="A150" t="s">
        <v>6194</v>
      </c>
      <c r="B150" t="s">
        <v>3515</v>
      </c>
      <c r="C150" t="s">
        <v>5723</v>
      </c>
      <c r="D150">
        <v>1</v>
      </c>
      <c r="E150" t="s">
        <v>6195</v>
      </c>
      <c r="F150" t="s">
        <v>6196</v>
      </c>
      <c r="G150">
        <v>1</v>
      </c>
      <c r="H150" t="s">
        <v>6194</v>
      </c>
      <c r="I150" t="s">
        <v>90</v>
      </c>
      <c r="J150" t="s">
        <v>6005</v>
      </c>
    </row>
    <row r="151" spans="1:10" ht="15" customHeight="1" x14ac:dyDescent="0.25">
      <c r="A151" t="s">
        <v>5145</v>
      </c>
      <c r="B151" t="s">
        <v>4298</v>
      </c>
      <c r="C151" t="s">
        <v>4246</v>
      </c>
      <c r="D151" t="s">
        <v>3998</v>
      </c>
      <c r="E151" t="s">
        <v>6197</v>
      </c>
      <c r="F151" t="s">
        <v>3459</v>
      </c>
      <c r="G151" t="s">
        <v>3998</v>
      </c>
      <c r="H151" t="s">
        <v>6198</v>
      </c>
      <c r="I151" t="s">
        <v>1649</v>
      </c>
    </row>
    <row r="152" spans="1:10" ht="15" customHeight="1" x14ac:dyDescent="0.25">
      <c r="A152" t="s">
        <v>6199</v>
      </c>
      <c r="B152" t="s">
        <v>4298</v>
      </c>
      <c r="C152" t="s">
        <v>3657</v>
      </c>
      <c r="D152">
        <v>1</v>
      </c>
      <c r="E152" t="s">
        <v>6200</v>
      </c>
      <c r="F152" t="s">
        <v>3459</v>
      </c>
      <c r="G152" t="s">
        <v>3459</v>
      </c>
      <c r="H152" t="s">
        <v>6201</v>
      </c>
      <c r="I152" t="s">
        <v>501</v>
      </c>
      <c r="J152" t="s">
        <v>5794</v>
      </c>
    </row>
    <row r="153" spans="1:10" ht="15" customHeight="1" x14ac:dyDescent="0.25">
      <c r="A153" t="s">
        <v>6202</v>
      </c>
      <c r="B153" t="s">
        <v>41</v>
      </c>
      <c r="C153" t="s">
        <v>5723</v>
      </c>
      <c r="D153">
        <v>1</v>
      </c>
      <c r="E153" t="s">
        <v>6203</v>
      </c>
      <c r="F153" t="s">
        <v>6204</v>
      </c>
      <c r="G153">
        <v>1</v>
      </c>
      <c r="H153" t="s">
        <v>6205</v>
      </c>
      <c r="I153" t="s">
        <v>90</v>
      </c>
      <c r="J153" t="s">
        <v>6206</v>
      </c>
    </row>
    <row r="154" spans="1:10" ht="15" customHeight="1" x14ac:dyDescent="0.25">
      <c r="A154" t="s">
        <v>5363</v>
      </c>
      <c r="B154" t="s">
        <v>3515</v>
      </c>
      <c r="C154" t="s">
        <v>5361</v>
      </c>
      <c r="D154">
        <v>0</v>
      </c>
      <c r="E154" t="s">
        <v>6207</v>
      </c>
      <c r="F154" t="s">
        <v>6208</v>
      </c>
      <c r="G154">
        <v>0</v>
      </c>
      <c r="H154" t="s">
        <v>5363</v>
      </c>
      <c r="I154" t="s">
        <v>90</v>
      </c>
      <c r="J154" t="s">
        <v>5740</v>
      </c>
    </row>
    <row r="155" spans="1:10" ht="15" customHeight="1" x14ac:dyDescent="0.25">
      <c r="A155" t="s">
        <v>6209</v>
      </c>
      <c r="B155" t="s">
        <v>3515</v>
      </c>
      <c r="C155" t="s">
        <v>5723</v>
      </c>
      <c r="D155">
        <v>1</v>
      </c>
      <c r="E155" t="s">
        <v>6210</v>
      </c>
      <c r="F155" t="s">
        <v>6211</v>
      </c>
      <c r="G155">
        <v>1</v>
      </c>
      <c r="H155" t="s">
        <v>6209</v>
      </c>
      <c r="I155" t="s">
        <v>90</v>
      </c>
      <c r="J155" t="s">
        <v>6060</v>
      </c>
    </row>
    <row r="156" spans="1:10" ht="15" customHeight="1" x14ac:dyDescent="0.25">
      <c r="A156" t="s">
        <v>6212</v>
      </c>
      <c r="B156" t="s">
        <v>3515</v>
      </c>
      <c r="C156" t="s">
        <v>5442</v>
      </c>
      <c r="D156">
        <v>1</v>
      </c>
      <c r="E156" t="s">
        <v>5872</v>
      </c>
      <c r="F156" t="s">
        <v>5873</v>
      </c>
      <c r="G156">
        <v>1</v>
      </c>
      <c r="H156" t="s">
        <v>6212</v>
      </c>
      <c r="I156" t="s">
        <v>2361</v>
      </c>
      <c r="J156" t="s">
        <v>5875</v>
      </c>
    </row>
    <row r="157" spans="1:10" ht="15" customHeight="1" x14ac:dyDescent="0.25">
      <c r="A157" t="s">
        <v>6213</v>
      </c>
      <c r="B157" t="s">
        <v>3503</v>
      </c>
      <c r="C157" t="s">
        <v>5723</v>
      </c>
      <c r="D157">
        <v>2</v>
      </c>
      <c r="E157" t="s">
        <v>6214</v>
      </c>
      <c r="F157" t="s">
        <v>6215</v>
      </c>
      <c r="G157">
        <v>2</v>
      </c>
      <c r="H157" t="s">
        <v>6213</v>
      </c>
      <c r="I157" t="s">
        <v>90</v>
      </c>
      <c r="J157" t="s">
        <v>5997</v>
      </c>
    </row>
    <row r="158" spans="1:10" ht="15" customHeight="1" x14ac:dyDescent="0.25">
      <c r="A158" t="s">
        <v>6216</v>
      </c>
      <c r="B158" t="s">
        <v>3515</v>
      </c>
      <c r="C158" t="s">
        <v>5723</v>
      </c>
      <c r="D158">
        <v>0</v>
      </c>
      <c r="E158" t="s">
        <v>6217</v>
      </c>
      <c r="F158" t="s">
        <v>6218</v>
      </c>
      <c r="G158">
        <v>0</v>
      </c>
      <c r="H158" t="s">
        <v>6219</v>
      </c>
      <c r="I158" t="s">
        <v>90</v>
      </c>
      <c r="J158" t="s">
        <v>6220</v>
      </c>
    </row>
    <row r="159" spans="1:10" ht="15" customHeight="1" x14ac:dyDescent="0.25">
      <c r="A159" t="s">
        <v>6221</v>
      </c>
      <c r="B159" t="s">
        <v>4298</v>
      </c>
      <c r="C159" t="s">
        <v>3657</v>
      </c>
      <c r="D159">
        <v>1</v>
      </c>
      <c r="E159" t="s">
        <v>6222</v>
      </c>
      <c r="F159" t="s">
        <v>3459</v>
      </c>
      <c r="G159" t="s">
        <v>3459</v>
      </c>
      <c r="H159" t="s">
        <v>6223</v>
      </c>
      <c r="I159" t="s">
        <v>501</v>
      </c>
      <c r="J159" t="s">
        <v>5794</v>
      </c>
    </row>
    <row r="160" spans="1:10" ht="15" customHeight="1" x14ac:dyDescent="0.25">
      <c r="A160" t="s">
        <v>6224</v>
      </c>
      <c r="B160" t="s">
        <v>3515</v>
      </c>
      <c r="C160" t="s">
        <v>5361</v>
      </c>
      <c r="D160" t="s">
        <v>3998</v>
      </c>
      <c r="E160" t="s">
        <v>6225</v>
      </c>
      <c r="F160" t="s">
        <v>6226</v>
      </c>
      <c r="G160" t="s">
        <v>3998</v>
      </c>
      <c r="H160" t="s">
        <v>6224</v>
      </c>
      <c r="I160" t="s">
        <v>90</v>
      </c>
      <c r="J160" t="s">
        <v>5838</v>
      </c>
    </row>
    <row r="161" spans="1:10" ht="15" customHeight="1" x14ac:dyDescent="0.25">
      <c r="A161" t="s">
        <v>5110</v>
      </c>
      <c r="B161" t="s">
        <v>4298</v>
      </c>
      <c r="C161" t="s">
        <v>4246</v>
      </c>
      <c r="D161" t="s">
        <v>3998</v>
      </c>
      <c r="E161" t="s">
        <v>6227</v>
      </c>
      <c r="F161" t="s">
        <v>3459</v>
      </c>
      <c r="G161" t="s">
        <v>3459</v>
      </c>
      <c r="H161" t="s">
        <v>5110</v>
      </c>
      <c r="I161" t="s">
        <v>90</v>
      </c>
      <c r="J161" t="s">
        <v>5871</v>
      </c>
    </row>
    <row r="162" spans="1:10" ht="15" customHeight="1" x14ac:dyDescent="0.25">
      <c r="A162" t="s">
        <v>6228</v>
      </c>
      <c r="B162" t="s">
        <v>3515</v>
      </c>
      <c r="C162" t="s">
        <v>5723</v>
      </c>
      <c r="D162">
        <v>2</v>
      </c>
      <c r="E162" t="s">
        <v>6229</v>
      </c>
      <c r="F162" t="s">
        <v>6230</v>
      </c>
      <c r="G162">
        <v>2</v>
      </c>
      <c r="H162" t="s">
        <v>6231</v>
      </c>
      <c r="I162" t="s">
        <v>90</v>
      </c>
      <c r="J162" t="s">
        <v>5778</v>
      </c>
    </row>
    <row r="163" spans="1:10" ht="15" customHeight="1" x14ac:dyDescent="0.25">
      <c r="A163" t="s">
        <v>6232</v>
      </c>
      <c r="B163" t="s">
        <v>3515</v>
      </c>
      <c r="C163" t="s">
        <v>5806</v>
      </c>
      <c r="D163">
        <v>2</v>
      </c>
      <c r="E163" t="s">
        <v>6233</v>
      </c>
      <c r="F163" t="s">
        <v>6234</v>
      </c>
      <c r="G163">
        <v>2</v>
      </c>
      <c r="H163" t="s">
        <v>6235</v>
      </c>
      <c r="I163" t="s">
        <v>1672</v>
      </c>
    </row>
    <row r="164" spans="1:10" ht="15" customHeight="1" x14ac:dyDescent="0.25">
      <c r="A164" t="s">
        <v>6236</v>
      </c>
      <c r="B164" t="s">
        <v>3515</v>
      </c>
      <c r="C164" t="s">
        <v>4598</v>
      </c>
      <c r="D164">
        <v>1</v>
      </c>
      <c r="E164" t="s">
        <v>6237</v>
      </c>
      <c r="F164" t="s">
        <v>6238</v>
      </c>
      <c r="G164">
        <v>1</v>
      </c>
      <c r="H164" t="s">
        <v>6236</v>
      </c>
      <c r="I164" t="s">
        <v>90</v>
      </c>
      <c r="J164" t="s">
        <v>5928</v>
      </c>
    </row>
    <row r="165" spans="1:10" ht="15" customHeight="1" x14ac:dyDescent="0.25">
      <c r="A165" t="s">
        <v>4817</v>
      </c>
      <c r="B165" t="s">
        <v>3515</v>
      </c>
      <c r="C165" t="s">
        <v>5361</v>
      </c>
      <c r="D165">
        <v>1</v>
      </c>
      <c r="E165" t="s">
        <v>6239</v>
      </c>
      <c r="F165" t="s">
        <v>6239</v>
      </c>
      <c r="G165">
        <v>1</v>
      </c>
      <c r="H165" t="s">
        <v>4820</v>
      </c>
      <c r="I165" t="s">
        <v>1649</v>
      </c>
      <c r="J165" t="s">
        <v>5756</v>
      </c>
    </row>
    <row r="166" spans="1:10" ht="15" customHeight="1" x14ac:dyDescent="0.25">
      <c r="A166" t="s">
        <v>6240</v>
      </c>
      <c r="B166" t="s">
        <v>3515</v>
      </c>
      <c r="C166" t="s">
        <v>5723</v>
      </c>
      <c r="D166">
        <v>2</v>
      </c>
      <c r="E166" t="s">
        <v>6241</v>
      </c>
      <c r="F166" t="s">
        <v>3459</v>
      </c>
      <c r="G166">
        <v>2</v>
      </c>
      <c r="H166" t="s">
        <v>6242</v>
      </c>
      <c r="I166" t="s">
        <v>90</v>
      </c>
      <c r="J166" t="s">
        <v>6060</v>
      </c>
    </row>
    <row r="167" spans="1:10" ht="15" customHeight="1" x14ac:dyDescent="0.25">
      <c r="A167" t="s">
        <v>6243</v>
      </c>
      <c r="B167" t="s">
        <v>3515</v>
      </c>
      <c r="C167" t="s">
        <v>5361</v>
      </c>
      <c r="D167">
        <v>1</v>
      </c>
      <c r="E167" t="s">
        <v>6244</v>
      </c>
      <c r="F167" t="s">
        <v>6245</v>
      </c>
      <c r="G167">
        <v>1</v>
      </c>
      <c r="H167" t="s">
        <v>6246</v>
      </c>
      <c r="I167" t="s">
        <v>90</v>
      </c>
      <c r="J167" t="s">
        <v>6000</v>
      </c>
    </row>
    <row r="168" spans="1:10" ht="15" customHeight="1" x14ac:dyDescent="0.25">
      <c r="A168" t="s">
        <v>6247</v>
      </c>
      <c r="B168" t="s">
        <v>3515</v>
      </c>
      <c r="C168" t="s">
        <v>5361</v>
      </c>
      <c r="D168">
        <v>1</v>
      </c>
      <c r="E168" t="s">
        <v>6248</v>
      </c>
      <c r="F168" t="s">
        <v>6248</v>
      </c>
      <c r="G168">
        <v>0</v>
      </c>
      <c r="H168" t="s">
        <v>6249</v>
      </c>
      <c r="I168" t="s">
        <v>90</v>
      </c>
      <c r="J168" t="s">
        <v>6250</v>
      </c>
    </row>
    <row r="169" spans="1:10" ht="15" customHeight="1" x14ac:dyDescent="0.25">
      <c r="A169" t="s">
        <v>6251</v>
      </c>
      <c r="B169" t="s">
        <v>3503</v>
      </c>
      <c r="C169" t="s">
        <v>5361</v>
      </c>
      <c r="D169">
        <v>0</v>
      </c>
      <c r="E169" t="s">
        <v>6252</v>
      </c>
      <c r="F169" t="s">
        <v>6253</v>
      </c>
      <c r="G169">
        <v>0</v>
      </c>
      <c r="H169" t="s">
        <v>6251</v>
      </c>
      <c r="I169" t="s">
        <v>90</v>
      </c>
      <c r="J169" t="s">
        <v>6254</v>
      </c>
    </row>
    <row r="170" spans="1:10" ht="15" customHeight="1" x14ac:dyDescent="0.25">
      <c r="A170" t="s">
        <v>6255</v>
      </c>
      <c r="B170" t="s">
        <v>3515</v>
      </c>
      <c r="C170" t="s">
        <v>5361</v>
      </c>
      <c r="D170">
        <v>1</v>
      </c>
      <c r="E170" t="s">
        <v>6256</v>
      </c>
      <c r="F170" t="s">
        <v>6257</v>
      </c>
      <c r="G170">
        <v>1</v>
      </c>
      <c r="H170" t="s">
        <v>6255</v>
      </c>
      <c r="I170" t="s">
        <v>90</v>
      </c>
      <c r="J170" t="s">
        <v>6000</v>
      </c>
    </row>
    <row r="171" spans="1:10" ht="15" customHeight="1" x14ac:dyDescent="0.25">
      <c r="A171" t="s">
        <v>6258</v>
      </c>
      <c r="B171" t="s">
        <v>3515</v>
      </c>
      <c r="C171" t="s">
        <v>5361</v>
      </c>
      <c r="D171">
        <v>1</v>
      </c>
      <c r="E171" t="s">
        <v>6259</v>
      </c>
      <c r="F171" t="s">
        <v>6259</v>
      </c>
      <c r="G171">
        <v>0</v>
      </c>
      <c r="H171" t="s">
        <v>6258</v>
      </c>
      <c r="I171" t="s">
        <v>90</v>
      </c>
      <c r="J171" t="s">
        <v>5824</v>
      </c>
    </row>
    <row r="172" spans="1:10" ht="15" customHeight="1" x14ac:dyDescent="0.25">
      <c r="A172" t="s">
        <v>6260</v>
      </c>
      <c r="B172" t="s">
        <v>3515</v>
      </c>
      <c r="C172" t="s">
        <v>5723</v>
      </c>
      <c r="D172">
        <v>2</v>
      </c>
      <c r="E172" t="s">
        <v>6261</v>
      </c>
      <c r="F172" t="s">
        <v>6262</v>
      </c>
      <c r="G172">
        <v>2</v>
      </c>
      <c r="H172" t="s">
        <v>6263</v>
      </c>
      <c r="I172" t="s">
        <v>90</v>
      </c>
      <c r="J172" t="s">
        <v>6005</v>
      </c>
    </row>
    <row r="173" spans="1:10" ht="15" customHeight="1" x14ac:dyDescent="0.25">
      <c r="A173" t="s">
        <v>6264</v>
      </c>
      <c r="B173" t="s">
        <v>4298</v>
      </c>
      <c r="C173" t="s">
        <v>4246</v>
      </c>
      <c r="D173" t="s">
        <v>3998</v>
      </c>
      <c r="E173" t="s">
        <v>6265</v>
      </c>
      <c r="F173" t="s">
        <v>3459</v>
      </c>
      <c r="G173" t="s">
        <v>3459</v>
      </c>
      <c r="H173" t="s">
        <v>6264</v>
      </c>
      <c r="I173" t="s">
        <v>90</v>
      </c>
      <c r="J173" t="s">
        <v>5871</v>
      </c>
    </row>
    <row r="174" spans="1:10" ht="15" customHeight="1" x14ac:dyDescent="0.25">
      <c r="A174" t="s">
        <v>6266</v>
      </c>
      <c r="B174" t="s">
        <v>4298</v>
      </c>
      <c r="C174" t="s">
        <v>5723</v>
      </c>
      <c r="D174">
        <v>0</v>
      </c>
      <c r="E174" t="s">
        <v>6267</v>
      </c>
      <c r="F174" t="s">
        <v>6268</v>
      </c>
      <c r="G174">
        <v>0</v>
      </c>
      <c r="H174" t="s">
        <v>6266</v>
      </c>
      <c r="I174" t="s">
        <v>90</v>
      </c>
    </row>
    <row r="175" spans="1:10" ht="15" customHeight="1" x14ac:dyDescent="0.25">
      <c r="A175" t="s">
        <v>6269</v>
      </c>
      <c r="B175" t="s">
        <v>3515</v>
      </c>
      <c r="C175" t="s">
        <v>5361</v>
      </c>
      <c r="D175">
        <v>2</v>
      </c>
      <c r="E175" t="s">
        <v>6270</v>
      </c>
      <c r="F175" t="s">
        <v>6271</v>
      </c>
      <c r="G175">
        <v>2</v>
      </c>
      <c r="H175" t="s">
        <v>6269</v>
      </c>
      <c r="I175" t="s">
        <v>90</v>
      </c>
      <c r="J175" t="s">
        <v>5938</v>
      </c>
    </row>
    <row r="176" spans="1:10" ht="15" customHeight="1" x14ac:dyDescent="0.25">
      <c r="A176" t="s">
        <v>6272</v>
      </c>
      <c r="B176" t="s">
        <v>41</v>
      </c>
      <c r="C176" t="s">
        <v>5361</v>
      </c>
      <c r="D176">
        <v>1</v>
      </c>
      <c r="E176" t="s">
        <v>6273</v>
      </c>
      <c r="F176" t="s">
        <v>6274</v>
      </c>
      <c r="G176">
        <v>1</v>
      </c>
      <c r="H176" t="s">
        <v>6275</v>
      </c>
      <c r="I176" t="s">
        <v>90</v>
      </c>
      <c r="J176" t="s">
        <v>6276</v>
      </c>
    </row>
    <row r="177" spans="1:10" ht="15" customHeight="1" x14ac:dyDescent="0.25">
      <c r="A177" t="s">
        <v>6277</v>
      </c>
      <c r="B177" t="s">
        <v>3515</v>
      </c>
      <c r="C177" t="s">
        <v>5723</v>
      </c>
      <c r="D177" t="s">
        <v>5947</v>
      </c>
      <c r="E177" t="s">
        <v>6278</v>
      </c>
      <c r="F177" t="s">
        <v>6279</v>
      </c>
      <c r="G177" t="s">
        <v>5947</v>
      </c>
      <c r="H177" t="s">
        <v>6277</v>
      </c>
      <c r="I177" t="s">
        <v>90</v>
      </c>
      <c r="J177" t="s">
        <v>5778</v>
      </c>
    </row>
    <row r="178" spans="1:10" ht="15" customHeight="1" x14ac:dyDescent="0.25">
      <c r="A178" t="s">
        <v>6280</v>
      </c>
      <c r="B178" t="s">
        <v>41</v>
      </c>
      <c r="C178" t="s">
        <v>5723</v>
      </c>
      <c r="D178">
        <v>0</v>
      </c>
      <c r="E178" t="s">
        <v>6281</v>
      </c>
      <c r="F178" t="s">
        <v>6282</v>
      </c>
      <c r="G178">
        <v>0</v>
      </c>
      <c r="H178" t="s">
        <v>6280</v>
      </c>
      <c r="I178" t="s">
        <v>90</v>
      </c>
      <c r="J178" t="s">
        <v>5778</v>
      </c>
    </row>
    <row r="179" spans="1:10" ht="15" customHeight="1" x14ac:dyDescent="0.25">
      <c r="A179" t="s">
        <v>6283</v>
      </c>
      <c r="B179" t="s">
        <v>4298</v>
      </c>
      <c r="C179" t="s">
        <v>3657</v>
      </c>
      <c r="D179">
        <v>1</v>
      </c>
      <c r="E179" t="s">
        <v>6284</v>
      </c>
      <c r="F179" t="s">
        <v>3459</v>
      </c>
      <c r="G179" t="s">
        <v>3459</v>
      </c>
      <c r="H179" t="s">
        <v>6283</v>
      </c>
      <c r="I179" t="s">
        <v>90</v>
      </c>
    </row>
    <row r="180" spans="1:10" ht="15" customHeight="1" x14ac:dyDescent="0.25">
      <c r="A180" t="s">
        <v>6285</v>
      </c>
      <c r="B180" t="s">
        <v>41</v>
      </c>
      <c r="C180" t="s">
        <v>5723</v>
      </c>
      <c r="D180">
        <v>2</v>
      </c>
      <c r="E180" t="s">
        <v>6286</v>
      </c>
      <c r="F180" t="s">
        <v>6287</v>
      </c>
      <c r="G180">
        <v>2</v>
      </c>
      <c r="H180" t="s">
        <v>6288</v>
      </c>
      <c r="I180" t="s">
        <v>90</v>
      </c>
      <c r="J180" t="s">
        <v>6026</v>
      </c>
    </row>
    <row r="181" spans="1:10" ht="15" customHeight="1" x14ac:dyDescent="0.25">
      <c r="A181" t="s">
        <v>6289</v>
      </c>
      <c r="B181" t="s">
        <v>3515</v>
      </c>
      <c r="C181" t="s">
        <v>5442</v>
      </c>
      <c r="D181">
        <v>1</v>
      </c>
      <c r="E181" t="s">
        <v>5872</v>
      </c>
      <c r="F181" t="s">
        <v>5873</v>
      </c>
      <c r="G181">
        <v>1</v>
      </c>
      <c r="H181" t="s">
        <v>6289</v>
      </c>
      <c r="I181" t="s">
        <v>2361</v>
      </c>
      <c r="J181" t="s">
        <v>6007</v>
      </c>
    </row>
    <row r="182" spans="1:10" ht="15" customHeight="1" x14ac:dyDescent="0.25">
      <c r="A182" t="s">
        <v>6290</v>
      </c>
      <c r="B182" t="s">
        <v>3515</v>
      </c>
      <c r="C182" t="s">
        <v>5361</v>
      </c>
      <c r="D182">
        <v>1</v>
      </c>
      <c r="E182" t="s">
        <v>6291</v>
      </c>
      <c r="F182" t="s">
        <v>6292</v>
      </c>
      <c r="G182">
        <v>1</v>
      </c>
      <c r="H182" t="s">
        <v>6293</v>
      </c>
      <c r="I182" t="s">
        <v>90</v>
      </c>
      <c r="J182" t="s">
        <v>5928</v>
      </c>
    </row>
    <row r="183" spans="1:10" ht="15" customHeight="1" x14ac:dyDescent="0.25">
      <c r="A183" t="s">
        <v>6294</v>
      </c>
      <c r="B183" t="s">
        <v>3503</v>
      </c>
      <c r="C183" t="s">
        <v>5361</v>
      </c>
      <c r="D183">
        <v>1</v>
      </c>
      <c r="E183" t="s">
        <v>6295</v>
      </c>
      <c r="F183" t="s">
        <v>6296</v>
      </c>
      <c r="G183">
        <v>1</v>
      </c>
      <c r="H183" t="s">
        <v>6297</v>
      </c>
      <c r="I183" t="s">
        <v>90</v>
      </c>
      <c r="J183" t="s">
        <v>6298</v>
      </c>
    </row>
    <row r="184" spans="1:10" ht="15" customHeight="1" x14ac:dyDescent="0.25">
      <c r="A184" t="s">
        <v>6299</v>
      </c>
      <c r="B184" t="s">
        <v>3547</v>
      </c>
      <c r="C184" t="s">
        <v>5723</v>
      </c>
      <c r="D184">
        <v>1</v>
      </c>
      <c r="E184" t="s">
        <v>6281</v>
      </c>
      <c r="F184" t="s">
        <v>6282</v>
      </c>
      <c r="G184">
        <v>1</v>
      </c>
      <c r="H184" t="s">
        <v>3459</v>
      </c>
      <c r="I184" t="s">
        <v>3459</v>
      </c>
    </row>
    <row r="185" spans="1:10" ht="15" customHeight="1" x14ac:dyDescent="0.25">
      <c r="A185" t="s">
        <v>6300</v>
      </c>
      <c r="B185" t="s">
        <v>41</v>
      </c>
      <c r="C185" t="s">
        <v>5723</v>
      </c>
      <c r="D185">
        <v>1</v>
      </c>
      <c r="E185" t="s">
        <v>6301</v>
      </c>
      <c r="F185" t="s">
        <v>6302</v>
      </c>
      <c r="G185">
        <v>1</v>
      </c>
      <c r="H185" t="s">
        <v>6303</v>
      </c>
      <c r="I185" t="s">
        <v>90</v>
      </c>
      <c r="J185" t="s">
        <v>5754</v>
      </c>
    </row>
    <row r="186" spans="1:10" ht="15" customHeight="1" x14ac:dyDescent="0.25">
      <c r="A186" t="s">
        <v>5697</v>
      </c>
      <c r="B186" t="s">
        <v>3547</v>
      </c>
      <c r="C186" t="s">
        <v>5361</v>
      </c>
      <c r="D186">
        <v>1</v>
      </c>
      <c r="E186" t="s">
        <v>6304</v>
      </c>
      <c r="F186" t="s">
        <v>6305</v>
      </c>
      <c r="G186">
        <v>1</v>
      </c>
      <c r="H186" t="s">
        <v>5697</v>
      </c>
      <c r="I186" t="s">
        <v>90</v>
      </c>
      <c r="J186" t="s">
        <v>6306</v>
      </c>
    </row>
    <row r="187" spans="1:10" ht="15" customHeight="1" x14ac:dyDescent="0.25">
      <c r="A187" t="s">
        <v>6307</v>
      </c>
      <c r="B187" t="s">
        <v>41</v>
      </c>
      <c r="C187" t="s">
        <v>5723</v>
      </c>
      <c r="D187">
        <v>1</v>
      </c>
      <c r="E187" t="s">
        <v>6308</v>
      </c>
      <c r="F187" t="s">
        <v>6309</v>
      </c>
      <c r="G187">
        <v>1</v>
      </c>
      <c r="H187" t="s">
        <v>6310</v>
      </c>
      <c r="I187" t="s">
        <v>90</v>
      </c>
      <c r="J187" t="s">
        <v>6311</v>
      </c>
    </row>
    <row r="188" spans="1:10" ht="15" customHeight="1" x14ac:dyDescent="0.25">
      <c r="A188" t="s">
        <v>6312</v>
      </c>
      <c r="B188" t="s">
        <v>41</v>
      </c>
      <c r="C188" t="s">
        <v>5723</v>
      </c>
      <c r="D188">
        <v>1</v>
      </c>
      <c r="E188" t="s">
        <v>6313</v>
      </c>
      <c r="F188" t="s">
        <v>6314</v>
      </c>
      <c r="G188">
        <v>1</v>
      </c>
      <c r="H188" t="s">
        <v>6315</v>
      </c>
      <c r="I188" t="s">
        <v>90</v>
      </c>
      <c r="J188" t="s">
        <v>5736</v>
      </c>
    </row>
    <row r="189" spans="1:10" ht="15" customHeight="1" x14ac:dyDescent="0.25">
      <c r="A189" t="s">
        <v>6316</v>
      </c>
      <c r="B189" t="s">
        <v>3515</v>
      </c>
      <c r="C189" t="s">
        <v>5361</v>
      </c>
      <c r="D189" t="s">
        <v>3998</v>
      </c>
      <c r="E189" t="s">
        <v>6317</v>
      </c>
      <c r="F189" t="s">
        <v>6318</v>
      </c>
      <c r="G189" t="s">
        <v>3998</v>
      </c>
      <c r="H189" t="s">
        <v>6316</v>
      </c>
      <c r="I189" t="s">
        <v>90</v>
      </c>
      <c r="J189" t="s">
        <v>6319</v>
      </c>
    </row>
    <row r="190" spans="1:10" ht="15" customHeight="1" x14ac:dyDescent="0.25">
      <c r="A190" t="s">
        <v>6320</v>
      </c>
      <c r="B190" t="s">
        <v>3515</v>
      </c>
      <c r="C190" t="s">
        <v>5806</v>
      </c>
      <c r="D190">
        <v>3</v>
      </c>
      <c r="E190" t="s">
        <v>6321</v>
      </c>
      <c r="F190" t="s">
        <v>6322</v>
      </c>
      <c r="G190">
        <v>3</v>
      </c>
      <c r="H190" t="s">
        <v>6323</v>
      </c>
      <c r="I190" t="s">
        <v>1672</v>
      </c>
    </row>
    <row r="191" spans="1:10" ht="15" customHeight="1" x14ac:dyDescent="0.25">
      <c r="A191" t="s">
        <v>6324</v>
      </c>
      <c r="B191" t="s">
        <v>3515</v>
      </c>
      <c r="C191" t="s">
        <v>5361</v>
      </c>
      <c r="D191">
        <v>1</v>
      </c>
      <c r="E191" t="s">
        <v>6325</v>
      </c>
      <c r="F191" t="s">
        <v>6325</v>
      </c>
      <c r="G191">
        <v>0</v>
      </c>
      <c r="H191" t="s">
        <v>6324</v>
      </c>
      <c r="I191" t="s">
        <v>90</v>
      </c>
      <c r="J191" t="s">
        <v>6132</v>
      </c>
    </row>
    <row r="192" spans="1:10" ht="15" customHeight="1" x14ac:dyDescent="0.25">
      <c r="A192" t="s">
        <v>6326</v>
      </c>
      <c r="B192" t="s">
        <v>41</v>
      </c>
      <c r="C192" t="s">
        <v>5723</v>
      </c>
      <c r="D192">
        <v>1</v>
      </c>
      <c r="E192" t="s">
        <v>6327</v>
      </c>
      <c r="F192" t="s">
        <v>6328</v>
      </c>
      <c r="G192">
        <v>1</v>
      </c>
      <c r="H192" t="s">
        <v>6326</v>
      </c>
      <c r="I192" t="s">
        <v>90</v>
      </c>
      <c r="J192" t="s">
        <v>5868</v>
      </c>
    </row>
    <row r="193" spans="1:10" ht="15" customHeight="1" x14ac:dyDescent="0.25">
      <c r="A193" t="s">
        <v>6329</v>
      </c>
      <c r="B193" t="s">
        <v>3503</v>
      </c>
      <c r="C193" t="s">
        <v>4598</v>
      </c>
      <c r="D193">
        <v>1</v>
      </c>
      <c r="E193" t="s">
        <v>6330</v>
      </c>
      <c r="F193" t="s">
        <v>6330</v>
      </c>
      <c r="G193">
        <v>0</v>
      </c>
      <c r="H193" t="s">
        <v>6331</v>
      </c>
      <c r="I193" t="s">
        <v>90</v>
      </c>
      <c r="J193" t="s">
        <v>5709</v>
      </c>
    </row>
    <row r="194" spans="1:10" ht="15" customHeight="1" x14ac:dyDescent="0.25">
      <c r="A194" t="s">
        <v>6332</v>
      </c>
      <c r="B194" t="s">
        <v>41</v>
      </c>
      <c r="C194" t="s">
        <v>5361</v>
      </c>
      <c r="D194">
        <v>1</v>
      </c>
      <c r="E194" t="s">
        <v>6333</v>
      </c>
      <c r="F194" t="s">
        <v>6334</v>
      </c>
      <c r="G194">
        <v>1</v>
      </c>
      <c r="H194" t="s">
        <v>6335</v>
      </c>
      <c r="I194" t="s">
        <v>90</v>
      </c>
      <c r="J194" t="s">
        <v>6000</v>
      </c>
    </row>
    <row r="195" spans="1:10" ht="15" customHeight="1" x14ac:dyDescent="0.25">
      <c r="A195" t="s">
        <v>6336</v>
      </c>
      <c r="B195" t="s">
        <v>41</v>
      </c>
      <c r="C195" t="s">
        <v>5723</v>
      </c>
      <c r="D195">
        <v>1</v>
      </c>
      <c r="E195" t="s">
        <v>6337</v>
      </c>
      <c r="F195" t="s">
        <v>6338</v>
      </c>
      <c r="G195">
        <v>1</v>
      </c>
      <c r="H195" t="s">
        <v>6339</v>
      </c>
      <c r="I195" t="s">
        <v>90</v>
      </c>
      <c r="J195" t="s">
        <v>5736</v>
      </c>
    </row>
    <row r="196" spans="1:10" ht="15" customHeight="1" x14ac:dyDescent="0.25">
      <c r="A196" t="s">
        <v>6340</v>
      </c>
      <c r="B196" t="s">
        <v>3503</v>
      </c>
      <c r="C196" t="s">
        <v>5723</v>
      </c>
      <c r="D196">
        <v>1</v>
      </c>
      <c r="E196" t="s">
        <v>6341</v>
      </c>
      <c r="F196" t="s">
        <v>6342</v>
      </c>
      <c r="G196">
        <v>1</v>
      </c>
      <c r="H196" t="s">
        <v>6340</v>
      </c>
      <c r="I196" t="s">
        <v>90</v>
      </c>
      <c r="J196" t="s">
        <v>5983</v>
      </c>
    </row>
    <row r="197" spans="1:10" ht="15" customHeight="1" x14ac:dyDescent="0.25">
      <c r="A197" t="s">
        <v>6343</v>
      </c>
      <c r="B197" t="s">
        <v>3515</v>
      </c>
      <c r="C197" t="s">
        <v>5723</v>
      </c>
      <c r="D197">
        <v>2</v>
      </c>
      <c r="E197" t="s">
        <v>6344</v>
      </c>
      <c r="F197" t="s">
        <v>6345</v>
      </c>
      <c r="G197">
        <v>2</v>
      </c>
      <c r="H197" t="s">
        <v>6343</v>
      </c>
      <c r="I197" t="s">
        <v>90</v>
      </c>
      <c r="J197" t="s">
        <v>5868</v>
      </c>
    </row>
    <row r="198" spans="1:10" ht="15" customHeight="1" x14ac:dyDescent="0.25">
      <c r="A198" t="s">
        <v>6346</v>
      </c>
      <c r="B198" t="s">
        <v>3503</v>
      </c>
      <c r="C198" t="s">
        <v>5442</v>
      </c>
      <c r="D198">
        <v>1</v>
      </c>
      <c r="E198" t="s">
        <v>5872</v>
      </c>
      <c r="F198" t="s">
        <v>5873</v>
      </c>
      <c r="G198">
        <v>1</v>
      </c>
      <c r="H198" t="s">
        <v>6346</v>
      </c>
      <c r="I198" t="s">
        <v>2361</v>
      </c>
      <c r="J198" t="s">
        <v>6007</v>
      </c>
    </row>
    <row r="199" spans="1:10" ht="15" customHeight="1" x14ac:dyDescent="0.25">
      <c r="A199" t="s">
        <v>6347</v>
      </c>
      <c r="B199" t="s">
        <v>41</v>
      </c>
      <c r="C199" t="s">
        <v>5361</v>
      </c>
      <c r="D199">
        <v>0</v>
      </c>
      <c r="E199" t="s">
        <v>6348</v>
      </c>
      <c r="F199" t="s">
        <v>6349</v>
      </c>
      <c r="G199">
        <v>0</v>
      </c>
      <c r="H199" t="s">
        <v>6347</v>
      </c>
      <c r="I199" t="s">
        <v>90</v>
      </c>
      <c r="J199" t="s">
        <v>5764</v>
      </c>
    </row>
    <row r="200" spans="1:10" ht="15" customHeight="1" x14ac:dyDescent="0.25">
      <c r="A200" t="s">
        <v>6350</v>
      </c>
      <c r="B200" t="s">
        <v>3515</v>
      </c>
      <c r="C200" t="s">
        <v>5442</v>
      </c>
      <c r="D200">
        <v>1</v>
      </c>
      <c r="E200" t="s">
        <v>5872</v>
      </c>
      <c r="F200" t="s">
        <v>5873</v>
      </c>
      <c r="G200">
        <v>1</v>
      </c>
      <c r="H200" t="s">
        <v>6350</v>
      </c>
      <c r="I200" t="s">
        <v>2361</v>
      </c>
      <c r="J200" t="s">
        <v>5920</v>
      </c>
    </row>
    <row r="201" spans="1:10" ht="15" customHeight="1" x14ac:dyDescent="0.25">
      <c r="A201" t="s">
        <v>5292</v>
      </c>
      <c r="B201" t="s">
        <v>3515</v>
      </c>
      <c r="C201" t="s">
        <v>4598</v>
      </c>
      <c r="D201">
        <v>1</v>
      </c>
      <c r="E201" t="s">
        <v>6351</v>
      </c>
      <c r="F201" t="s">
        <v>6352</v>
      </c>
      <c r="G201">
        <v>1</v>
      </c>
      <c r="H201" t="s">
        <v>5294</v>
      </c>
      <c r="I201" t="s">
        <v>90</v>
      </c>
      <c r="J201" t="s">
        <v>5993</v>
      </c>
    </row>
    <row r="202" spans="1:10" ht="15" customHeight="1" x14ac:dyDescent="0.25">
      <c r="A202" t="s">
        <v>6353</v>
      </c>
      <c r="B202" t="s">
        <v>3515</v>
      </c>
      <c r="C202" t="s">
        <v>5723</v>
      </c>
      <c r="D202" t="s">
        <v>5947</v>
      </c>
      <c r="E202" t="s">
        <v>6354</v>
      </c>
      <c r="F202" t="s">
        <v>6355</v>
      </c>
      <c r="G202" t="s">
        <v>5947</v>
      </c>
      <c r="H202" t="s">
        <v>6353</v>
      </c>
      <c r="I202" t="s">
        <v>90</v>
      </c>
      <c r="J202" t="s">
        <v>5736</v>
      </c>
    </row>
    <row r="203" spans="1:10" ht="15" customHeight="1" x14ac:dyDescent="0.25">
      <c r="A203" t="s">
        <v>6356</v>
      </c>
      <c r="B203" t="s">
        <v>3515</v>
      </c>
      <c r="C203" t="s">
        <v>5361</v>
      </c>
      <c r="D203">
        <v>1</v>
      </c>
      <c r="E203" t="s">
        <v>6357</v>
      </c>
      <c r="F203" t="s">
        <v>6357</v>
      </c>
      <c r="G203">
        <v>0</v>
      </c>
      <c r="H203" t="s">
        <v>6358</v>
      </c>
      <c r="I203" t="s">
        <v>90</v>
      </c>
      <c r="J203" t="s">
        <v>6359</v>
      </c>
    </row>
    <row r="204" spans="1:10" ht="15" customHeight="1" x14ac:dyDescent="0.25">
      <c r="A204" t="s">
        <v>6360</v>
      </c>
      <c r="B204" t="s">
        <v>41</v>
      </c>
      <c r="C204" t="s">
        <v>5723</v>
      </c>
      <c r="D204">
        <v>1</v>
      </c>
      <c r="E204" t="s">
        <v>6361</v>
      </c>
      <c r="F204" t="s">
        <v>6362</v>
      </c>
      <c r="G204">
        <v>1</v>
      </c>
      <c r="H204" t="s">
        <v>6363</v>
      </c>
      <c r="I204" t="s">
        <v>90</v>
      </c>
      <c r="J204" t="s">
        <v>5986</v>
      </c>
    </row>
    <row r="205" spans="1:10" ht="15" customHeight="1" x14ac:dyDescent="0.25">
      <c r="A205" t="s">
        <v>6364</v>
      </c>
      <c r="B205" t="s">
        <v>4298</v>
      </c>
      <c r="C205" t="s">
        <v>3657</v>
      </c>
      <c r="D205" t="s">
        <v>3998</v>
      </c>
      <c r="E205" t="s">
        <v>6089</v>
      </c>
      <c r="F205" t="s">
        <v>3459</v>
      </c>
      <c r="G205" t="s">
        <v>3998</v>
      </c>
      <c r="H205" t="s">
        <v>6364</v>
      </c>
      <c r="I205" t="s">
        <v>90</v>
      </c>
    </row>
    <row r="206" spans="1:10" ht="15" customHeight="1" x14ac:dyDescent="0.25">
      <c r="A206" t="s">
        <v>6365</v>
      </c>
      <c r="B206" t="s">
        <v>3503</v>
      </c>
      <c r="C206" t="s">
        <v>4598</v>
      </c>
      <c r="D206">
        <v>3</v>
      </c>
      <c r="E206" t="s">
        <v>6366</v>
      </c>
      <c r="F206" t="s">
        <v>6367</v>
      </c>
      <c r="G206">
        <v>3</v>
      </c>
      <c r="H206" t="s">
        <v>6368</v>
      </c>
      <c r="I206" t="s">
        <v>90</v>
      </c>
      <c r="J206" t="s">
        <v>5718</v>
      </c>
    </row>
    <row r="207" spans="1:10" ht="15" customHeight="1" x14ac:dyDescent="0.25">
      <c r="A207" t="s">
        <v>6369</v>
      </c>
      <c r="B207" t="s">
        <v>4298</v>
      </c>
      <c r="C207" t="s">
        <v>4246</v>
      </c>
      <c r="D207" t="s">
        <v>3998</v>
      </c>
      <c r="E207" t="s">
        <v>6370</v>
      </c>
      <c r="F207" t="s">
        <v>3459</v>
      </c>
      <c r="G207" t="s">
        <v>3459</v>
      </c>
      <c r="H207" t="s">
        <v>6369</v>
      </c>
      <c r="I207" t="s">
        <v>90</v>
      </c>
      <c r="J207" t="s">
        <v>5871</v>
      </c>
    </row>
    <row r="208" spans="1:10" ht="15" customHeight="1" x14ac:dyDescent="0.25">
      <c r="A208" t="s">
        <v>6371</v>
      </c>
      <c r="B208" t="s">
        <v>4298</v>
      </c>
      <c r="C208" t="s">
        <v>3657</v>
      </c>
      <c r="D208">
        <v>1</v>
      </c>
      <c r="E208" t="s">
        <v>6372</v>
      </c>
      <c r="F208" t="s">
        <v>3459</v>
      </c>
      <c r="G208" t="s">
        <v>3459</v>
      </c>
      <c r="H208" t="s">
        <v>6373</v>
      </c>
      <c r="I208" t="s">
        <v>501</v>
      </c>
      <c r="J208" t="s">
        <v>5794</v>
      </c>
    </row>
    <row r="209" spans="1:10" ht="15" customHeight="1" x14ac:dyDescent="0.25">
      <c r="A209" t="s">
        <v>4703</v>
      </c>
      <c r="B209" t="s">
        <v>41</v>
      </c>
      <c r="C209" t="s">
        <v>5723</v>
      </c>
      <c r="D209">
        <v>1</v>
      </c>
      <c r="E209" t="s">
        <v>6116</v>
      </c>
      <c r="F209" t="s">
        <v>6116</v>
      </c>
      <c r="G209">
        <v>1</v>
      </c>
      <c r="H209" t="s">
        <v>4706</v>
      </c>
      <c r="I209" t="s">
        <v>1046</v>
      </c>
      <c r="J209" t="s">
        <v>5756</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5699</v>
      </c>
      <c r="E1" t="s">
        <v>3454</v>
      </c>
      <c r="F1" t="s">
        <v>6374</v>
      </c>
      <c r="G1" t="s">
        <v>6375</v>
      </c>
      <c r="H1" t="s">
        <v>6376</v>
      </c>
      <c r="I1" t="s">
        <v>6377</v>
      </c>
      <c r="J1" t="s">
        <v>5723</v>
      </c>
      <c r="K1" t="s">
        <v>4261</v>
      </c>
      <c r="L1" t="s">
        <v>1</v>
      </c>
      <c r="M1" t="s">
        <v>6378</v>
      </c>
      <c r="N1" t="s">
        <v>6379</v>
      </c>
      <c r="O1" t="s">
        <v>170</v>
      </c>
    </row>
    <row r="2" spans="1:15" ht="15" customHeight="1" x14ac:dyDescent="0.25">
      <c r="A2" t="s">
        <v>5702</v>
      </c>
      <c r="B2" t="s">
        <v>3515</v>
      </c>
      <c r="C2" t="s">
        <v>4598</v>
      </c>
      <c r="D2">
        <v>1</v>
      </c>
      <c r="E2" t="s">
        <v>5703</v>
      </c>
      <c r="F2" t="s">
        <v>6380</v>
      </c>
      <c r="G2" t="s">
        <v>5704</v>
      </c>
      <c r="H2" t="s">
        <v>6381</v>
      </c>
      <c r="I2">
        <v>1</v>
      </c>
      <c r="J2" t="s">
        <v>3459</v>
      </c>
      <c r="K2" t="s">
        <v>5702</v>
      </c>
      <c r="L2" t="s">
        <v>90</v>
      </c>
      <c r="M2" t="s">
        <v>3459</v>
      </c>
      <c r="N2" t="s">
        <v>3459</v>
      </c>
      <c r="O2" t="s">
        <v>5705</v>
      </c>
    </row>
    <row r="3" spans="1:15" ht="15" customHeight="1" x14ac:dyDescent="0.25">
      <c r="A3" t="s">
        <v>5706</v>
      </c>
      <c r="B3" t="s">
        <v>41</v>
      </c>
      <c r="C3" t="s">
        <v>5361</v>
      </c>
      <c r="D3">
        <v>1</v>
      </c>
      <c r="E3" t="s">
        <v>5707</v>
      </c>
      <c r="F3" t="s">
        <v>6382</v>
      </c>
      <c r="G3" t="s">
        <v>5708</v>
      </c>
      <c r="H3" t="s">
        <v>6383</v>
      </c>
      <c r="I3">
        <v>1</v>
      </c>
      <c r="J3" t="s">
        <v>3459</v>
      </c>
      <c r="K3" t="s">
        <v>5706</v>
      </c>
      <c r="L3" t="s">
        <v>90</v>
      </c>
      <c r="M3" t="s">
        <v>3459</v>
      </c>
      <c r="N3" t="s">
        <v>3459</v>
      </c>
      <c r="O3" t="s">
        <v>5709</v>
      </c>
    </row>
    <row r="4" spans="1:15" ht="15" customHeight="1" x14ac:dyDescent="0.25">
      <c r="A4" t="s">
        <v>5710</v>
      </c>
      <c r="B4" t="s">
        <v>3503</v>
      </c>
      <c r="C4" t="s">
        <v>5361</v>
      </c>
      <c r="D4">
        <v>0</v>
      </c>
      <c r="E4" t="s">
        <v>5711</v>
      </c>
      <c r="F4" t="s">
        <v>6384</v>
      </c>
      <c r="G4" t="s">
        <v>5712</v>
      </c>
      <c r="H4" t="s">
        <v>6385</v>
      </c>
      <c r="I4">
        <v>0</v>
      </c>
      <c r="J4" t="s">
        <v>3459</v>
      </c>
      <c r="K4" t="s">
        <v>5710</v>
      </c>
      <c r="L4" t="s">
        <v>90</v>
      </c>
      <c r="M4" t="s">
        <v>5497</v>
      </c>
      <c r="N4" t="s">
        <v>3459</v>
      </c>
      <c r="O4" t="s">
        <v>5713</v>
      </c>
    </row>
    <row r="5" spans="1:15" ht="15" customHeight="1" x14ac:dyDescent="0.25">
      <c r="A5" t="s">
        <v>5714</v>
      </c>
      <c r="B5" t="s">
        <v>3503</v>
      </c>
      <c r="C5" t="s">
        <v>4598</v>
      </c>
      <c r="D5">
        <v>1</v>
      </c>
      <c r="E5" t="s">
        <v>5715</v>
      </c>
      <c r="F5" t="s">
        <v>6386</v>
      </c>
      <c r="G5" t="s">
        <v>5716</v>
      </c>
      <c r="H5" t="s">
        <v>6386</v>
      </c>
      <c r="I5">
        <v>1</v>
      </c>
      <c r="J5" t="s">
        <v>3459</v>
      </c>
      <c r="K5" t="s">
        <v>5717</v>
      </c>
      <c r="L5" t="s">
        <v>90</v>
      </c>
      <c r="M5" t="s">
        <v>5436</v>
      </c>
      <c r="N5" t="s">
        <v>3459</v>
      </c>
      <c r="O5" t="s">
        <v>5718</v>
      </c>
    </row>
    <row r="6" spans="1:15" ht="15" customHeight="1" x14ac:dyDescent="0.25">
      <c r="A6" t="s">
        <v>5719</v>
      </c>
      <c r="B6" t="s">
        <v>3503</v>
      </c>
      <c r="C6" t="s">
        <v>5361</v>
      </c>
      <c r="D6">
        <v>1</v>
      </c>
      <c r="E6" t="s">
        <v>5720</v>
      </c>
      <c r="F6" t="s">
        <v>6387</v>
      </c>
      <c r="G6" t="s">
        <v>5720</v>
      </c>
      <c r="H6" t="s">
        <v>6387</v>
      </c>
      <c r="I6">
        <v>0</v>
      </c>
      <c r="J6" t="s">
        <v>3459</v>
      </c>
      <c r="K6" t="s">
        <v>5719</v>
      </c>
      <c r="L6" t="s">
        <v>90</v>
      </c>
      <c r="M6" t="s">
        <v>5497</v>
      </c>
      <c r="N6" t="s">
        <v>3459</v>
      </c>
      <c r="O6" t="s">
        <v>6388</v>
      </c>
    </row>
    <row r="7" spans="1:15" ht="15" customHeight="1" x14ac:dyDescent="0.25">
      <c r="A7" t="s">
        <v>5722</v>
      </c>
      <c r="B7" t="s">
        <v>3503</v>
      </c>
      <c r="C7" t="s">
        <v>5723</v>
      </c>
      <c r="D7">
        <v>2</v>
      </c>
      <c r="E7" t="s">
        <v>6389</v>
      </c>
      <c r="F7" t="s">
        <v>6390</v>
      </c>
      <c r="G7" t="s">
        <v>6391</v>
      </c>
      <c r="H7" t="s">
        <v>6392</v>
      </c>
      <c r="I7">
        <v>2</v>
      </c>
      <c r="J7" t="s">
        <v>6393</v>
      </c>
      <c r="K7" t="s">
        <v>5726</v>
      </c>
      <c r="L7" t="s">
        <v>90</v>
      </c>
      <c r="M7" t="s">
        <v>3459</v>
      </c>
      <c r="N7" t="s">
        <v>3459</v>
      </c>
      <c r="O7" t="s">
        <v>5727</v>
      </c>
    </row>
    <row r="8" spans="1:15" ht="15" customHeight="1" x14ac:dyDescent="0.25">
      <c r="A8" t="s">
        <v>5728</v>
      </c>
      <c r="B8" t="s">
        <v>3515</v>
      </c>
      <c r="C8" t="s">
        <v>5723</v>
      </c>
      <c r="D8">
        <v>1</v>
      </c>
      <c r="E8" t="s">
        <v>6394</v>
      </c>
      <c r="F8" t="s">
        <v>6395</v>
      </c>
      <c r="G8" t="s">
        <v>6396</v>
      </c>
      <c r="H8" t="s">
        <v>6397</v>
      </c>
      <c r="I8">
        <v>1</v>
      </c>
      <c r="J8" t="s">
        <v>6398</v>
      </c>
      <c r="K8" t="s">
        <v>5731</v>
      </c>
      <c r="L8" t="s">
        <v>90</v>
      </c>
      <c r="M8" t="s">
        <v>3459</v>
      </c>
      <c r="N8" t="s">
        <v>3459</v>
      </c>
      <c r="O8" t="s">
        <v>5732</v>
      </c>
    </row>
    <row r="9" spans="1:15" ht="15" customHeight="1" x14ac:dyDescent="0.25">
      <c r="A9" t="s">
        <v>5733</v>
      </c>
      <c r="B9" t="s">
        <v>41</v>
      </c>
      <c r="C9" t="s">
        <v>5723</v>
      </c>
      <c r="D9">
        <v>0</v>
      </c>
      <c r="E9" t="s">
        <v>5734</v>
      </c>
      <c r="F9" t="s">
        <v>6399</v>
      </c>
      <c r="G9" t="s">
        <v>5735</v>
      </c>
      <c r="H9" t="s">
        <v>6400</v>
      </c>
      <c r="I9">
        <v>0</v>
      </c>
      <c r="J9" t="s">
        <v>6401</v>
      </c>
      <c r="K9" t="s">
        <v>5733</v>
      </c>
      <c r="L9" t="s">
        <v>90</v>
      </c>
      <c r="M9" t="s">
        <v>3459</v>
      </c>
      <c r="N9" t="s">
        <v>3459</v>
      </c>
      <c r="O9" t="s">
        <v>5736</v>
      </c>
    </row>
    <row r="10" spans="1:15" ht="15" customHeight="1" x14ac:dyDescent="0.25">
      <c r="A10" t="s">
        <v>5737</v>
      </c>
      <c r="B10" t="s">
        <v>41</v>
      </c>
      <c r="C10" t="s">
        <v>5361</v>
      </c>
      <c r="D10">
        <v>1</v>
      </c>
      <c r="E10" t="s">
        <v>5738</v>
      </c>
      <c r="F10" t="s">
        <v>6402</v>
      </c>
      <c r="G10" t="s">
        <v>5739</v>
      </c>
      <c r="H10" t="s">
        <v>6403</v>
      </c>
      <c r="I10">
        <v>1</v>
      </c>
      <c r="J10" t="s">
        <v>3459</v>
      </c>
      <c r="K10" t="s">
        <v>5737</v>
      </c>
      <c r="L10" t="s">
        <v>90</v>
      </c>
      <c r="M10" t="s">
        <v>3459</v>
      </c>
      <c r="N10" t="s">
        <v>3459</v>
      </c>
      <c r="O10" t="s">
        <v>5740</v>
      </c>
    </row>
    <row r="11" spans="1:15" ht="15" customHeight="1" x14ac:dyDescent="0.25">
      <c r="A11" t="s">
        <v>5741</v>
      </c>
      <c r="B11" t="s">
        <v>41</v>
      </c>
      <c r="C11" t="s">
        <v>5361</v>
      </c>
      <c r="D11">
        <v>1</v>
      </c>
      <c r="E11" t="s">
        <v>5742</v>
      </c>
      <c r="F11" t="s">
        <v>6404</v>
      </c>
      <c r="G11" t="s">
        <v>5743</v>
      </c>
      <c r="H11" t="s">
        <v>6405</v>
      </c>
      <c r="I11">
        <v>1</v>
      </c>
      <c r="J11" t="s">
        <v>3459</v>
      </c>
      <c r="K11" t="s">
        <v>5741</v>
      </c>
      <c r="L11" t="s">
        <v>90</v>
      </c>
      <c r="M11" t="s">
        <v>3459</v>
      </c>
      <c r="N11" t="s">
        <v>3459</v>
      </c>
      <c r="O11" t="s">
        <v>5744</v>
      </c>
    </row>
    <row r="12" spans="1:15" ht="15" customHeight="1" x14ac:dyDescent="0.25">
      <c r="A12" t="s">
        <v>5745</v>
      </c>
      <c r="B12" t="s">
        <v>3515</v>
      </c>
      <c r="C12" t="s">
        <v>5723</v>
      </c>
      <c r="D12">
        <v>0</v>
      </c>
      <c r="E12" t="s">
        <v>5746</v>
      </c>
      <c r="F12" t="s">
        <v>6406</v>
      </c>
      <c r="G12" t="s">
        <v>5747</v>
      </c>
      <c r="H12" t="s">
        <v>6407</v>
      </c>
      <c r="I12">
        <v>0</v>
      </c>
      <c r="J12" t="s">
        <v>6393</v>
      </c>
      <c r="K12" t="s">
        <v>5745</v>
      </c>
      <c r="L12" t="s">
        <v>90</v>
      </c>
      <c r="M12" t="s">
        <v>6408</v>
      </c>
      <c r="N12" t="s">
        <v>3459</v>
      </c>
      <c r="O12" t="s">
        <v>5748</v>
      </c>
    </row>
    <row r="13" spans="1:15" ht="15" customHeight="1" x14ac:dyDescent="0.25">
      <c r="A13" t="s">
        <v>4428</v>
      </c>
      <c r="B13" t="s">
        <v>3515</v>
      </c>
      <c r="C13" t="s">
        <v>5361</v>
      </c>
      <c r="D13">
        <v>1</v>
      </c>
      <c r="E13" t="s">
        <v>5749</v>
      </c>
      <c r="F13" t="s">
        <v>6409</v>
      </c>
      <c r="G13" t="s">
        <v>5749</v>
      </c>
      <c r="H13" t="s">
        <v>6409</v>
      </c>
      <c r="I13">
        <v>1</v>
      </c>
      <c r="J13" t="s">
        <v>6410</v>
      </c>
      <c r="K13" t="s">
        <v>4433</v>
      </c>
      <c r="L13" t="s">
        <v>1649</v>
      </c>
      <c r="M13" t="s">
        <v>3459</v>
      </c>
      <c r="N13" t="s">
        <v>3459</v>
      </c>
      <c r="O13" t="s">
        <v>6411</v>
      </c>
    </row>
    <row r="14" spans="1:15" ht="15" customHeight="1" x14ac:dyDescent="0.25">
      <c r="A14" t="s">
        <v>5751</v>
      </c>
      <c r="B14" t="s">
        <v>41</v>
      </c>
      <c r="C14" t="s">
        <v>5723</v>
      </c>
      <c r="D14">
        <v>1</v>
      </c>
      <c r="E14" t="s">
        <v>6412</v>
      </c>
      <c r="F14" t="s">
        <v>6413</v>
      </c>
      <c r="G14" t="s">
        <v>6414</v>
      </c>
      <c r="H14" t="s">
        <v>6415</v>
      </c>
      <c r="I14">
        <v>1</v>
      </c>
      <c r="J14" t="s">
        <v>6410</v>
      </c>
      <c r="K14" t="s">
        <v>5751</v>
      </c>
      <c r="L14" t="s">
        <v>90</v>
      </c>
      <c r="M14" t="s">
        <v>3459</v>
      </c>
      <c r="N14" t="s">
        <v>3459</v>
      </c>
      <c r="O14" t="s">
        <v>6416</v>
      </c>
    </row>
    <row r="15" spans="1:15" ht="15" customHeight="1" x14ac:dyDescent="0.25">
      <c r="A15" t="s">
        <v>4439</v>
      </c>
      <c r="B15" t="s">
        <v>3515</v>
      </c>
      <c r="C15" t="s">
        <v>5723</v>
      </c>
      <c r="D15">
        <v>1</v>
      </c>
      <c r="E15" t="s">
        <v>5755</v>
      </c>
      <c r="F15" t="s">
        <v>6417</v>
      </c>
      <c r="G15" t="s">
        <v>5755</v>
      </c>
      <c r="H15" t="s">
        <v>6417</v>
      </c>
      <c r="I15">
        <v>1</v>
      </c>
      <c r="J15" t="s">
        <v>6418</v>
      </c>
      <c r="K15" t="s">
        <v>4439</v>
      </c>
      <c r="L15" t="s">
        <v>1046</v>
      </c>
      <c r="M15" t="s">
        <v>5428</v>
      </c>
      <c r="N15" t="s">
        <v>3459</v>
      </c>
      <c r="O15" t="s">
        <v>5756</v>
      </c>
    </row>
    <row r="16" spans="1:15" ht="15" customHeight="1" x14ac:dyDescent="0.25">
      <c r="A16" t="s">
        <v>3522</v>
      </c>
      <c r="B16" t="s">
        <v>3503</v>
      </c>
      <c r="C16" t="s">
        <v>4598</v>
      </c>
      <c r="D16">
        <v>3</v>
      </c>
      <c r="E16" s="8" t="s">
        <v>6419</v>
      </c>
      <c r="F16" t="s">
        <v>6420</v>
      </c>
      <c r="G16" s="8" t="s">
        <v>6419</v>
      </c>
      <c r="H16" t="s">
        <v>6420</v>
      </c>
      <c r="I16">
        <v>2</v>
      </c>
      <c r="J16" t="s">
        <v>3459</v>
      </c>
      <c r="K16" t="s">
        <v>3522</v>
      </c>
      <c r="L16" t="s">
        <v>90</v>
      </c>
      <c r="M16" t="s">
        <v>3459</v>
      </c>
      <c r="N16" t="s">
        <v>3459</v>
      </c>
      <c r="O16" t="s">
        <v>6421</v>
      </c>
    </row>
    <row r="17" spans="1:15" ht="15" customHeight="1" x14ac:dyDescent="0.25">
      <c r="A17" t="s">
        <v>3444</v>
      </c>
      <c r="B17" t="s">
        <v>3547</v>
      </c>
      <c r="C17" t="s">
        <v>5723</v>
      </c>
      <c r="D17">
        <v>2</v>
      </c>
      <c r="E17" t="s">
        <v>5758</v>
      </c>
      <c r="F17" t="s">
        <v>6422</v>
      </c>
      <c r="G17" t="s">
        <v>5759</v>
      </c>
      <c r="H17" t="s">
        <v>6423</v>
      </c>
      <c r="I17">
        <v>2</v>
      </c>
      <c r="J17" t="s">
        <v>6424</v>
      </c>
      <c r="K17" t="s">
        <v>3444</v>
      </c>
      <c r="L17" t="s">
        <v>90</v>
      </c>
      <c r="M17" t="s">
        <v>3459</v>
      </c>
      <c r="N17" t="s">
        <v>3459</v>
      </c>
      <c r="O17" t="s">
        <v>5736</v>
      </c>
    </row>
    <row r="18" spans="1:15" ht="15" customHeight="1" x14ac:dyDescent="0.25">
      <c r="A18" t="s">
        <v>5760</v>
      </c>
      <c r="B18" t="s">
        <v>3515</v>
      </c>
      <c r="C18" t="s">
        <v>5361</v>
      </c>
      <c r="D18">
        <v>0</v>
      </c>
      <c r="E18" s="8" t="s">
        <v>6425</v>
      </c>
      <c r="F18" t="s">
        <v>6426</v>
      </c>
      <c r="G18" s="8" t="s">
        <v>6427</v>
      </c>
      <c r="H18" t="s">
        <v>6428</v>
      </c>
      <c r="I18" t="s">
        <v>3459</v>
      </c>
      <c r="J18" t="s">
        <v>3459</v>
      </c>
      <c r="K18" t="s">
        <v>5763</v>
      </c>
      <c r="L18" t="s">
        <v>90</v>
      </c>
      <c r="M18" t="s">
        <v>3459</v>
      </c>
      <c r="N18" t="s">
        <v>3459</v>
      </c>
      <c r="O18" t="s">
        <v>5764</v>
      </c>
    </row>
    <row r="19" spans="1:15" ht="15" customHeight="1" x14ac:dyDescent="0.25">
      <c r="A19" t="s">
        <v>5765</v>
      </c>
      <c r="B19" t="s">
        <v>41</v>
      </c>
      <c r="C19" t="s">
        <v>5723</v>
      </c>
      <c r="D19">
        <v>0</v>
      </c>
      <c r="E19" t="s">
        <v>5766</v>
      </c>
      <c r="F19" t="s">
        <v>6429</v>
      </c>
      <c r="G19" t="s">
        <v>5767</v>
      </c>
      <c r="H19" t="s">
        <v>6430</v>
      </c>
      <c r="I19">
        <v>0</v>
      </c>
      <c r="J19" t="s">
        <v>6431</v>
      </c>
      <c r="K19" t="s">
        <v>5768</v>
      </c>
      <c r="L19" t="s">
        <v>90</v>
      </c>
      <c r="M19" t="s">
        <v>3459</v>
      </c>
      <c r="N19" t="s">
        <v>3459</v>
      </c>
      <c r="O19" t="s">
        <v>5769</v>
      </c>
    </row>
    <row r="20" spans="1:15" ht="15" customHeight="1" x14ac:dyDescent="0.25">
      <c r="A20" t="s">
        <v>5774</v>
      </c>
      <c r="B20" t="s">
        <v>41</v>
      </c>
      <c r="C20" t="s">
        <v>5361</v>
      </c>
      <c r="D20">
        <v>1</v>
      </c>
      <c r="E20" t="s">
        <v>5775</v>
      </c>
      <c r="F20" t="s">
        <v>6432</v>
      </c>
      <c r="G20" t="s">
        <v>5776</v>
      </c>
      <c r="H20" t="s">
        <v>6433</v>
      </c>
      <c r="I20">
        <v>1</v>
      </c>
      <c r="J20" t="s">
        <v>3459</v>
      </c>
      <c r="K20" t="s">
        <v>5777</v>
      </c>
      <c r="L20" t="s">
        <v>90</v>
      </c>
      <c r="M20" t="s">
        <v>3459</v>
      </c>
      <c r="N20" t="s">
        <v>3459</v>
      </c>
      <c r="O20" t="s">
        <v>5778</v>
      </c>
    </row>
    <row r="21" spans="1:15" ht="15" customHeight="1" x14ac:dyDescent="0.25">
      <c r="A21" t="s">
        <v>4466</v>
      </c>
      <c r="B21" t="s">
        <v>41</v>
      </c>
      <c r="C21" t="s">
        <v>5723</v>
      </c>
      <c r="D21">
        <v>1</v>
      </c>
      <c r="E21" t="s">
        <v>5779</v>
      </c>
      <c r="F21" t="s">
        <v>6434</v>
      </c>
      <c r="G21" t="s">
        <v>5779</v>
      </c>
      <c r="H21" t="s">
        <v>6434</v>
      </c>
      <c r="I21">
        <v>1</v>
      </c>
      <c r="J21" t="s">
        <v>6418</v>
      </c>
      <c r="K21" t="s">
        <v>4469</v>
      </c>
      <c r="L21" t="s">
        <v>1104</v>
      </c>
      <c r="M21" t="s">
        <v>5469</v>
      </c>
      <c r="N21" t="s">
        <v>3459</v>
      </c>
      <c r="O21" t="s">
        <v>5756</v>
      </c>
    </row>
    <row r="22" spans="1:15" ht="15" customHeight="1" x14ac:dyDescent="0.25">
      <c r="A22" t="s">
        <v>5780</v>
      </c>
      <c r="B22" t="s">
        <v>3515</v>
      </c>
      <c r="C22" t="s">
        <v>5723</v>
      </c>
      <c r="D22">
        <v>4</v>
      </c>
      <c r="E22" s="8" t="s">
        <v>5781</v>
      </c>
      <c r="F22" t="s">
        <v>6435</v>
      </c>
      <c r="G22" s="8" t="s">
        <v>5782</v>
      </c>
      <c r="H22" t="s">
        <v>6436</v>
      </c>
      <c r="I22">
        <v>3</v>
      </c>
      <c r="J22" t="s">
        <v>6401</v>
      </c>
      <c r="K22" t="s">
        <v>5783</v>
      </c>
      <c r="L22" t="s">
        <v>90</v>
      </c>
      <c r="M22" t="s">
        <v>3459</v>
      </c>
      <c r="N22" t="s">
        <v>3459</v>
      </c>
      <c r="O22" t="s">
        <v>5764</v>
      </c>
    </row>
    <row r="23" spans="1:15" ht="15" customHeight="1" x14ac:dyDescent="0.25">
      <c r="A23" t="s">
        <v>4470</v>
      </c>
      <c r="B23" t="s">
        <v>3503</v>
      </c>
      <c r="C23" t="s">
        <v>5723</v>
      </c>
      <c r="D23">
        <v>1</v>
      </c>
      <c r="E23" t="s">
        <v>6437</v>
      </c>
      <c r="F23" t="s">
        <v>6438</v>
      </c>
      <c r="G23" t="s">
        <v>6437</v>
      </c>
      <c r="H23" t="s">
        <v>6438</v>
      </c>
      <c r="I23">
        <v>1</v>
      </c>
      <c r="J23" t="s">
        <v>6439</v>
      </c>
      <c r="K23" t="s">
        <v>4473</v>
      </c>
      <c r="L23" t="s">
        <v>1621</v>
      </c>
      <c r="M23" t="s">
        <v>5432</v>
      </c>
      <c r="N23" t="s">
        <v>5384</v>
      </c>
      <c r="O23" t="s">
        <v>5756</v>
      </c>
    </row>
    <row r="24" spans="1:15" ht="15" customHeight="1" x14ac:dyDescent="0.25">
      <c r="A24" t="s">
        <v>5785</v>
      </c>
      <c r="B24" t="s">
        <v>41</v>
      </c>
      <c r="C24" t="s">
        <v>5361</v>
      </c>
      <c r="D24">
        <v>0</v>
      </c>
      <c r="E24" t="s">
        <v>5786</v>
      </c>
      <c r="F24" t="s">
        <v>6440</v>
      </c>
      <c r="G24" t="s">
        <v>5787</v>
      </c>
      <c r="H24" t="s">
        <v>6441</v>
      </c>
      <c r="I24">
        <v>0</v>
      </c>
      <c r="J24" t="s">
        <v>3459</v>
      </c>
      <c r="K24" t="s">
        <v>5785</v>
      </c>
      <c r="L24" t="s">
        <v>90</v>
      </c>
      <c r="M24" t="s">
        <v>3459</v>
      </c>
      <c r="N24" t="s">
        <v>3459</v>
      </c>
      <c r="O24" t="s">
        <v>5773</v>
      </c>
    </row>
    <row r="25" spans="1:15" ht="15" customHeight="1" x14ac:dyDescent="0.25">
      <c r="A25" t="s">
        <v>5788</v>
      </c>
      <c r="B25" t="s">
        <v>3503</v>
      </c>
      <c r="C25" t="s">
        <v>5723</v>
      </c>
      <c r="D25">
        <v>3</v>
      </c>
      <c r="E25" t="s">
        <v>5789</v>
      </c>
      <c r="F25" t="s">
        <v>6442</v>
      </c>
      <c r="G25" t="s">
        <v>5790</v>
      </c>
      <c r="H25" t="s">
        <v>6443</v>
      </c>
      <c r="I25">
        <v>3</v>
      </c>
      <c r="J25" t="s">
        <v>6444</v>
      </c>
      <c r="K25" t="s">
        <v>5788</v>
      </c>
      <c r="L25" t="s">
        <v>90</v>
      </c>
      <c r="M25" t="s">
        <v>3459</v>
      </c>
      <c r="N25" t="s">
        <v>3459</v>
      </c>
      <c r="O25" t="s">
        <v>5736</v>
      </c>
    </row>
    <row r="26" spans="1:15" ht="15" customHeight="1" x14ac:dyDescent="0.25">
      <c r="A26" t="s">
        <v>5161</v>
      </c>
      <c r="B26" t="s">
        <v>3515</v>
      </c>
      <c r="C26" t="s">
        <v>5361</v>
      </c>
      <c r="D26">
        <v>1</v>
      </c>
      <c r="E26" s="8" t="s">
        <v>6445</v>
      </c>
      <c r="F26" t="s">
        <v>6446</v>
      </c>
      <c r="G26" s="8" t="s">
        <v>6447</v>
      </c>
      <c r="H26" t="s">
        <v>6448</v>
      </c>
      <c r="I26">
        <v>1</v>
      </c>
      <c r="J26" t="s">
        <v>3459</v>
      </c>
      <c r="K26" t="s">
        <v>5161</v>
      </c>
      <c r="L26" t="s">
        <v>90</v>
      </c>
      <c r="M26" t="s">
        <v>3459</v>
      </c>
      <c r="N26" t="s">
        <v>3459</v>
      </c>
      <c r="O26" t="s">
        <v>5718</v>
      </c>
    </row>
    <row r="27" spans="1:15" ht="15" customHeight="1" x14ac:dyDescent="0.25">
      <c r="A27" t="s">
        <v>5797</v>
      </c>
      <c r="B27" t="s">
        <v>41</v>
      </c>
      <c r="C27" t="s">
        <v>5723</v>
      </c>
      <c r="D27">
        <v>1</v>
      </c>
      <c r="E27" t="s">
        <v>6449</v>
      </c>
      <c r="F27" t="s">
        <v>6450</v>
      </c>
      <c r="G27" t="s">
        <v>6449</v>
      </c>
      <c r="H27" t="s">
        <v>6450</v>
      </c>
      <c r="I27">
        <v>0</v>
      </c>
      <c r="J27" t="s">
        <v>6451</v>
      </c>
      <c r="K27" t="s">
        <v>5799</v>
      </c>
      <c r="L27" t="s">
        <v>90</v>
      </c>
      <c r="M27" t="s">
        <v>3459</v>
      </c>
      <c r="N27" t="s">
        <v>3459</v>
      </c>
      <c r="O27" t="s">
        <v>5736</v>
      </c>
    </row>
    <row r="28" spans="1:15" ht="15" customHeight="1" x14ac:dyDescent="0.25">
      <c r="A28" t="s">
        <v>5800</v>
      </c>
      <c r="B28" t="s">
        <v>3515</v>
      </c>
      <c r="C28" t="s">
        <v>5361</v>
      </c>
      <c r="D28">
        <v>0</v>
      </c>
      <c r="E28" t="s">
        <v>5801</v>
      </c>
      <c r="F28" t="s">
        <v>6452</v>
      </c>
      <c r="G28" t="s">
        <v>5802</v>
      </c>
      <c r="H28" t="s">
        <v>6453</v>
      </c>
      <c r="I28">
        <v>0</v>
      </c>
      <c r="J28" t="s">
        <v>3459</v>
      </c>
      <c r="K28" t="s">
        <v>5803</v>
      </c>
      <c r="L28" t="s">
        <v>90</v>
      </c>
      <c r="M28" t="s">
        <v>6408</v>
      </c>
      <c r="N28" t="s">
        <v>3459</v>
      </c>
      <c r="O28" t="s">
        <v>5804</v>
      </c>
    </row>
    <row r="29" spans="1:15" ht="15" customHeight="1" x14ac:dyDescent="0.25">
      <c r="A29" t="s">
        <v>5810</v>
      </c>
      <c r="B29" t="s">
        <v>3515</v>
      </c>
      <c r="C29" t="s">
        <v>5361</v>
      </c>
      <c r="D29">
        <v>2</v>
      </c>
      <c r="E29" t="s">
        <v>5811</v>
      </c>
      <c r="F29" t="s">
        <v>6454</v>
      </c>
      <c r="G29" t="s">
        <v>5812</v>
      </c>
      <c r="H29" t="s">
        <v>6455</v>
      </c>
      <c r="I29">
        <v>2</v>
      </c>
      <c r="J29" t="s">
        <v>6456</v>
      </c>
      <c r="K29" t="s">
        <v>5813</v>
      </c>
      <c r="L29" t="s">
        <v>90</v>
      </c>
      <c r="M29" t="s">
        <v>5432</v>
      </c>
      <c r="N29" t="s">
        <v>5255</v>
      </c>
      <c r="O29" t="s">
        <v>6457</v>
      </c>
    </row>
    <row r="30" spans="1:15" ht="15" customHeight="1" x14ac:dyDescent="0.25">
      <c r="A30" t="s">
        <v>5821</v>
      </c>
      <c r="B30" t="s">
        <v>3503</v>
      </c>
      <c r="C30" t="s">
        <v>5361</v>
      </c>
      <c r="D30">
        <v>3</v>
      </c>
      <c r="E30" s="8" t="s">
        <v>5822</v>
      </c>
      <c r="F30" t="s">
        <v>6458</v>
      </c>
      <c r="G30" s="8" t="s">
        <v>5822</v>
      </c>
      <c r="H30" t="s">
        <v>6458</v>
      </c>
      <c r="I30">
        <v>2</v>
      </c>
      <c r="J30" t="s">
        <v>3459</v>
      </c>
      <c r="K30" t="s">
        <v>5823</v>
      </c>
      <c r="L30" t="s">
        <v>90</v>
      </c>
      <c r="M30" t="s">
        <v>3459</v>
      </c>
      <c r="N30" t="s">
        <v>3459</v>
      </c>
      <c r="O30" t="s">
        <v>5824</v>
      </c>
    </row>
    <row r="31" spans="1:15" ht="15" customHeight="1" x14ac:dyDescent="0.25">
      <c r="A31" t="s">
        <v>4003</v>
      </c>
      <c r="B31" t="s">
        <v>4298</v>
      </c>
      <c r="C31" t="s">
        <v>3657</v>
      </c>
      <c r="D31" t="s">
        <v>3998</v>
      </c>
      <c r="E31" s="8" t="s">
        <v>5825</v>
      </c>
      <c r="F31" t="s">
        <v>6459</v>
      </c>
      <c r="G31" s="8" t="s">
        <v>3459</v>
      </c>
      <c r="H31" t="s">
        <v>3459</v>
      </c>
      <c r="I31" t="s">
        <v>3459</v>
      </c>
      <c r="J31" t="s">
        <v>3459</v>
      </c>
      <c r="K31" t="s">
        <v>4003</v>
      </c>
      <c r="L31" t="s">
        <v>90</v>
      </c>
      <c r="M31" t="s">
        <v>5464</v>
      </c>
      <c r="N31" t="s">
        <v>3459</v>
      </c>
      <c r="O31" t="s">
        <v>6460</v>
      </c>
    </row>
    <row r="32" spans="1:15" ht="15" customHeight="1" x14ac:dyDescent="0.25">
      <c r="A32" t="s">
        <v>5827</v>
      </c>
      <c r="B32" t="s">
        <v>3515</v>
      </c>
      <c r="C32" t="s">
        <v>5361</v>
      </c>
      <c r="D32">
        <v>1</v>
      </c>
      <c r="E32" t="s">
        <v>5828</v>
      </c>
      <c r="F32" t="s">
        <v>6461</v>
      </c>
      <c r="G32" t="s">
        <v>5829</v>
      </c>
      <c r="H32" t="s">
        <v>6462</v>
      </c>
      <c r="I32">
        <v>1</v>
      </c>
      <c r="J32" t="s">
        <v>3459</v>
      </c>
      <c r="K32" t="s">
        <v>5830</v>
      </c>
      <c r="L32" t="s">
        <v>90</v>
      </c>
      <c r="M32" t="s">
        <v>5497</v>
      </c>
      <c r="N32" t="s">
        <v>3459</v>
      </c>
      <c r="O32" t="s">
        <v>5831</v>
      </c>
    </row>
    <row r="33" spans="1:15" ht="15" customHeight="1" x14ac:dyDescent="0.25">
      <c r="A33" t="s">
        <v>5171</v>
      </c>
      <c r="B33" t="s">
        <v>3503</v>
      </c>
      <c r="C33" t="s">
        <v>5361</v>
      </c>
      <c r="D33">
        <v>1</v>
      </c>
      <c r="E33" s="8" t="s">
        <v>6463</v>
      </c>
      <c r="F33" t="s">
        <v>6464</v>
      </c>
      <c r="G33" s="8" t="s">
        <v>6465</v>
      </c>
      <c r="H33" t="s">
        <v>6466</v>
      </c>
      <c r="I33">
        <v>1</v>
      </c>
      <c r="J33" t="s">
        <v>3459</v>
      </c>
      <c r="K33" t="s">
        <v>5171</v>
      </c>
      <c r="L33" t="s">
        <v>90</v>
      </c>
      <c r="M33" t="s">
        <v>3459</v>
      </c>
      <c r="N33" t="s">
        <v>3459</v>
      </c>
      <c r="O33" t="s">
        <v>5824</v>
      </c>
    </row>
    <row r="34" spans="1:15" ht="15" customHeight="1" x14ac:dyDescent="0.25">
      <c r="A34" t="s">
        <v>5834</v>
      </c>
      <c r="B34" t="s">
        <v>3515</v>
      </c>
      <c r="C34" t="s">
        <v>5361</v>
      </c>
      <c r="D34">
        <v>0</v>
      </c>
      <c r="E34" s="8" t="s">
        <v>6467</v>
      </c>
      <c r="F34" t="s">
        <v>6468</v>
      </c>
      <c r="G34" s="8" t="s">
        <v>6469</v>
      </c>
      <c r="H34" t="s">
        <v>6470</v>
      </c>
      <c r="I34">
        <v>0</v>
      </c>
      <c r="J34" t="s">
        <v>3459</v>
      </c>
      <c r="K34" t="s">
        <v>5837</v>
      </c>
      <c r="L34" t="s">
        <v>90</v>
      </c>
      <c r="M34" t="s">
        <v>3459</v>
      </c>
      <c r="N34" t="s">
        <v>3459</v>
      </c>
      <c r="O34" t="s">
        <v>5838</v>
      </c>
    </row>
    <row r="35" spans="1:15" ht="15" customHeight="1" x14ac:dyDescent="0.25">
      <c r="A35" t="s">
        <v>5841</v>
      </c>
      <c r="B35" t="s">
        <v>3515</v>
      </c>
      <c r="C35" t="s">
        <v>5723</v>
      </c>
      <c r="D35">
        <v>2</v>
      </c>
      <c r="E35" t="s">
        <v>6471</v>
      </c>
      <c r="F35" t="s">
        <v>6472</v>
      </c>
      <c r="G35" t="s">
        <v>5843</v>
      </c>
      <c r="H35" t="s">
        <v>6473</v>
      </c>
      <c r="I35">
        <v>2</v>
      </c>
      <c r="J35" t="s">
        <v>6424</v>
      </c>
      <c r="K35" t="s">
        <v>5841</v>
      </c>
      <c r="L35" t="s">
        <v>90</v>
      </c>
      <c r="M35" t="s">
        <v>5423</v>
      </c>
      <c r="N35" t="s">
        <v>3459</v>
      </c>
      <c r="O35" t="s">
        <v>5736</v>
      </c>
    </row>
    <row r="36" spans="1:15" ht="15" customHeight="1" x14ac:dyDescent="0.25">
      <c r="A36" t="s">
        <v>5844</v>
      </c>
      <c r="B36" t="s">
        <v>3515</v>
      </c>
      <c r="C36" t="s">
        <v>5361</v>
      </c>
      <c r="D36">
        <v>1</v>
      </c>
      <c r="E36" s="8" t="s">
        <v>6474</v>
      </c>
      <c r="F36" t="s">
        <v>6475</v>
      </c>
      <c r="G36" s="8" t="s">
        <v>6476</v>
      </c>
      <c r="H36" t="s">
        <v>6477</v>
      </c>
      <c r="I36">
        <v>1</v>
      </c>
      <c r="J36" t="s">
        <v>3459</v>
      </c>
      <c r="K36" t="s">
        <v>5844</v>
      </c>
      <c r="L36" t="s">
        <v>90</v>
      </c>
      <c r="M36" t="s">
        <v>5497</v>
      </c>
      <c r="N36" t="s">
        <v>3459</v>
      </c>
      <c r="O36" t="s">
        <v>6478</v>
      </c>
    </row>
    <row r="37" spans="1:15" ht="15" customHeight="1" x14ac:dyDescent="0.25">
      <c r="A37" t="s">
        <v>5847</v>
      </c>
      <c r="B37" t="s">
        <v>3515</v>
      </c>
      <c r="C37" t="s">
        <v>5723</v>
      </c>
      <c r="D37">
        <v>2</v>
      </c>
      <c r="E37" s="8" t="s">
        <v>5848</v>
      </c>
      <c r="F37" t="s">
        <v>6479</v>
      </c>
      <c r="G37" s="8" t="s">
        <v>5849</v>
      </c>
      <c r="H37" t="s">
        <v>6480</v>
      </c>
      <c r="I37">
        <v>2</v>
      </c>
      <c r="J37" t="s">
        <v>6401</v>
      </c>
      <c r="K37" t="s">
        <v>5847</v>
      </c>
      <c r="L37" t="s">
        <v>90</v>
      </c>
      <c r="M37" t="s">
        <v>3459</v>
      </c>
      <c r="N37" t="s">
        <v>3459</v>
      </c>
      <c r="O37" t="s">
        <v>5850</v>
      </c>
    </row>
    <row r="38" spans="1:15" ht="15" customHeight="1" x14ac:dyDescent="0.25">
      <c r="A38" t="s">
        <v>5851</v>
      </c>
      <c r="B38" t="s">
        <v>41</v>
      </c>
      <c r="C38" t="s">
        <v>5723</v>
      </c>
      <c r="D38">
        <v>0</v>
      </c>
      <c r="E38" s="8" t="s">
        <v>6481</v>
      </c>
      <c r="F38" t="s">
        <v>6482</v>
      </c>
      <c r="G38" s="8" t="s">
        <v>6483</v>
      </c>
      <c r="H38" t="s">
        <v>6484</v>
      </c>
      <c r="I38">
        <v>0</v>
      </c>
      <c r="J38" t="s">
        <v>6485</v>
      </c>
      <c r="K38" t="s">
        <v>5851</v>
      </c>
      <c r="L38" t="s">
        <v>90</v>
      </c>
      <c r="M38" t="s">
        <v>3459</v>
      </c>
      <c r="N38" t="s">
        <v>3459</v>
      </c>
      <c r="O38" t="s">
        <v>5736</v>
      </c>
    </row>
    <row r="39" spans="1:15" ht="15" customHeight="1" x14ac:dyDescent="0.25">
      <c r="A39" t="s">
        <v>5854</v>
      </c>
      <c r="B39" t="s">
        <v>41</v>
      </c>
      <c r="C39" t="s">
        <v>5723</v>
      </c>
      <c r="D39">
        <v>0</v>
      </c>
      <c r="E39" t="s">
        <v>5855</v>
      </c>
      <c r="F39" t="s">
        <v>6486</v>
      </c>
      <c r="G39" t="s">
        <v>5856</v>
      </c>
      <c r="H39" t="s">
        <v>6487</v>
      </c>
      <c r="I39">
        <v>0</v>
      </c>
      <c r="J39" t="s">
        <v>6485</v>
      </c>
      <c r="K39" t="s">
        <v>5854</v>
      </c>
      <c r="L39" t="s">
        <v>90</v>
      </c>
      <c r="M39" t="s">
        <v>3459</v>
      </c>
      <c r="N39" t="s">
        <v>3459</v>
      </c>
      <c r="O39" t="s">
        <v>5857</v>
      </c>
    </row>
    <row r="40" spans="1:15" ht="15" customHeight="1" x14ac:dyDescent="0.25">
      <c r="A40" t="s">
        <v>5411</v>
      </c>
      <c r="B40" t="s">
        <v>41</v>
      </c>
      <c r="C40" t="s">
        <v>5723</v>
      </c>
      <c r="D40">
        <v>1</v>
      </c>
      <c r="E40" t="s">
        <v>5858</v>
      </c>
      <c r="F40" t="s">
        <v>6488</v>
      </c>
      <c r="G40" t="s">
        <v>5859</v>
      </c>
      <c r="H40" t="s">
        <v>6489</v>
      </c>
      <c r="I40">
        <v>1</v>
      </c>
      <c r="J40" t="s">
        <v>6490</v>
      </c>
      <c r="K40" t="s">
        <v>5411</v>
      </c>
      <c r="L40" t="s">
        <v>90</v>
      </c>
      <c r="M40" t="s">
        <v>3459</v>
      </c>
      <c r="N40" t="s">
        <v>3459</v>
      </c>
      <c r="O40" t="s">
        <v>6491</v>
      </c>
    </row>
    <row r="41" spans="1:15" ht="15" customHeight="1" x14ac:dyDescent="0.25">
      <c r="A41" t="s">
        <v>5861</v>
      </c>
      <c r="B41" t="s">
        <v>41</v>
      </c>
      <c r="C41" t="s">
        <v>5361</v>
      </c>
      <c r="D41">
        <v>1</v>
      </c>
      <c r="E41" t="s">
        <v>5862</v>
      </c>
      <c r="F41" t="s">
        <v>6492</v>
      </c>
      <c r="G41" t="s">
        <v>5863</v>
      </c>
      <c r="H41" t="s">
        <v>6493</v>
      </c>
      <c r="I41">
        <v>1</v>
      </c>
      <c r="J41" t="s">
        <v>3459</v>
      </c>
      <c r="K41" t="s">
        <v>5864</v>
      </c>
      <c r="L41" t="s">
        <v>90</v>
      </c>
      <c r="M41" t="s">
        <v>3459</v>
      </c>
      <c r="N41" t="s">
        <v>3459</v>
      </c>
      <c r="O41" t="s">
        <v>5718</v>
      </c>
    </row>
    <row r="42" spans="1:15" ht="15" customHeight="1" x14ac:dyDescent="0.25">
      <c r="A42" t="s">
        <v>5865</v>
      </c>
      <c r="B42" t="s">
        <v>41</v>
      </c>
      <c r="C42" t="s">
        <v>5723</v>
      </c>
      <c r="D42">
        <v>2</v>
      </c>
      <c r="E42" s="8" t="s">
        <v>6494</v>
      </c>
      <c r="F42" t="s">
        <v>6495</v>
      </c>
      <c r="G42" s="8" t="s">
        <v>6496</v>
      </c>
      <c r="H42" t="s">
        <v>6497</v>
      </c>
      <c r="I42" t="s">
        <v>3459</v>
      </c>
      <c r="J42" t="s">
        <v>6410</v>
      </c>
      <c r="K42" t="s">
        <v>5865</v>
      </c>
      <c r="L42" t="s">
        <v>90</v>
      </c>
      <c r="M42" t="s">
        <v>3459</v>
      </c>
      <c r="N42" t="s">
        <v>3459</v>
      </c>
      <c r="O42" t="s">
        <v>5868</v>
      </c>
    </row>
    <row r="43" spans="1:15" ht="15" customHeight="1" x14ac:dyDescent="0.25">
      <c r="A43" t="s">
        <v>5869</v>
      </c>
      <c r="B43" t="s">
        <v>4298</v>
      </c>
      <c r="C43" t="s">
        <v>4246</v>
      </c>
      <c r="D43" t="s">
        <v>3998</v>
      </c>
      <c r="E43" t="s">
        <v>5870</v>
      </c>
      <c r="F43" t="s">
        <v>4216</v>
      </c>
      <c r="G43" t="s">
        <v>3459</v>
      </c>
      <c r="H43" t="s">
        <v>3459</v>
      </c>
      <c r="I43" t="s">
        <v>3459</v>
      </c>
      <c r="J43" t="s">
        <v>3459</v>
      </c>
      <c r="K43" t="s">
        <v>5869</v>
      </c>
      <c r="L43" t="s">
        <v>90</v>
      </c>
      <c r="M43" t="s">
        <v>6498</v>
      </c>
      <c r="N43" t="s">
        <v>3459</v>
      </c>
      <c r="O43" t="s">
        <v>5871</v>
      </c>
    </row>
    <row r="44" spans="1:15" ht="15" customHeight="1" x14ac:dyDescent="0.25">
      <c r="A44" t="s">
        <v>5879</v>
      </c>
      <c r="B44" t="s">
        <v>3515</v>
      </c>
      <c r="C44" t="s">
        <v>5361</v>
      </c>
      <c r="D44">
        <v>0</v>
      </c>
      <c r="E44" s="8" t="s">
        <v>6499</v>
      </c>
      <c r="F44" t="s">
        <v>6500</v>
      </c>
      <c r="G44" s="8" t="s">
        <v>6501</v>
      </c>
      <c r="H44" t="s">
        <v>6502</v>
      </c>
      <c r="I44" t="s">
        <v>3459</v>
      </c>
      <c r="J44" t="s">
        <v>3459</v>
      </c>
      <c r="K44" t="s">
        <v>5879</v>
      </c>
      <c r="L44" t="s">
        <v>90</v>
      </c>
      <c r="M44" t="s">
        <v>3459</v>
      </c>
      <c r="N44" t="s">
        <v>3459</v>
      </c>
      <c r="O44" t="s">
        <v>6503</v>
      </c>
    </row>
    <row r="45" spans="1:15" ht="15" customHeight="1" x14ac:dyDescent="0.25">
      <c r="A45" t="s">
        <v>5180</v>
      </c>
      <c r="B45" t="s">
        <v>3503</v>
      </c>
      <c r="C45" t="s">
        <v>5361</v>
      </c>
      <c r="D45">
        <v>2</v>
      </c>
      <c r="E45" s="8" t="s">
        <v>5883</v>
      </c>
      <c r="F45" t="s">
        <v>6504</v>
      </c>
      <c r="G45" s="8" t="s">
        <v>5884</v>
      </c>
      <c r="H45" t="s">
        <v>6505</v>
      </c>
      <c r="I45">
        <v>2</v>
      </c>
      <c r="J45" t="s">
        <v>6506</v>
      </c>
      <c r="K45" t="s">
        <v>5182</v>
      </c>
      <c r="L45" t="s">
        <v>90</v>
      </c>
      <c r="M45" t="s">
        <v>3459</v>
      </c>
      <c r="N45" t="s">
        <v>3459</v>
      </c>
      <c r="O45" t="s">
        <v>6507</v>
      </c>
    </row>
    <row r="46" spans="1:15" ht="15" customHeight="1" x14ac:dyDescent="0.25">
      <c r="A46" t="s">
        <v>5888</v>
      </c>
      <c r="B46" t="s">
        <v>3515</v>
      </c>
      <c r="C46" t="s">
        <v>5361</v>
      </c>
      <c r="D46">
        <v>0</v>
      </c>
      <c r="E46" s="8" t="s">
        <v>6508</v>
      </c>
      <c r="F46" t="s">
        <v>6509</v>
      </c>
      <c r="G46" s="8" t="s">
        <v>6510</v>
      </c>
      <c r="H46" t="s">
        <v>6511</v>
      </c>
      <c r="I46" t="s">
        <v>3459</v>
      </c>
      <c r="J46" t="s">
        <v>6512</v>
      </c>
      <c r="K46" t="s">
        <v>5891</v>
      </c>
      <c r="L46" t="s">
        <v>90</v>
      </c>
      <c r="M46" t="s">
        <v>5497</v>
      </c>
      <c r="N46" t="s">
        <v>3459</v>
      </c>
      <c r="O46" t="s">
        <v>6513</v>
      </c>
    </row>
    <row r="47" spans="1:15" ht="15" customHeight="1" x14ac:dyDescent="0.25">
      <c r="A47" t="s">
        <v>5893</v>
      </c>
      <c r="B47" t="s">
        <v>41</v>
      </c>
      <c r="C47" t="s">
        <v>5723</v>
      </c>
      <c r="D47">
        <v>1</v>
      </c>
      <c r="E47" t="s">
        <v>5894</v>
      </c>
      <c r="F47" t="s">
        <v>6514</v>
      </c>
      <c r="G47" t="s">
        <v>5895</v>
      </c>
      <c r="H47" t="s">
        <v>6515</v>
      </c>
      <c r="I47">
        <v>1</v>
      </c>
      <c r="J47" t="s">
        <v>6516</v>
      </c>
      <c r="K47" t="s">
        <v>5896</v>
      </c>
      <c r="L47" t="s">
        <v>90</v>
      </c>
      <c r="M47" t="s">
        <v>3459</v>
      </c>
      <c r="N47" t="s">
        <v>3459</v>
      </c>
      <c r="O47" t="s">
        <v>5897</v>
      </c>
    </row>
    <row r="48" spans="1:15" ht="15" customHeight="1" x14ac:dyDescent="0.25">
      <c r="A48" t="s">
        <v>5898</v>
      </c>
      <c r="B48" t="s">
        <v>41</v>
      </c>
      <c r="C48" t="s">
        <v>5723</v>
      </c>
      <c r="D48">
        <v>1</v>
      </c>
      <c r="E48" t="s">
        <v>5899</v>
      </c>
      <c r="F48" t="s">
        <v>6517</v>
      </c>
      <c r="G48" t="s">
        <v>5900</v>
      </c>
      <c r="H48" t="s">
        <v>6518</v>
      </c>
      <c r="I48">
        <v>1</v>
      </c>
      <c r="J48" t="s">
        <v>6418</v>
      </c>
      <c r="K48" t="s">
        <v>5901</v>
      </c>
      <c r="L48" t="s">
        <v>90</v>
      </c>
      <c r="M48" t="s">
        <v>3459</v>
      </c>
      <c r="N48" t="s">
        <v>3459</v>
      </c>
      <c r="O48" t="s">
        <v>5902</v>
      </c>
    </row>
    <row r="49" spans="1:15" ht="15" customHeight="1" x14ac:dyDescent="0.25">
      <c r="A49" t="s">
        <v>3445</v>
      </c>
      <c r="B49" t="s">
        <v>3515</v>
      </c>
      <c r="C49" t="s">
        <v>5723</v>
      </c>
      <c r="D49">
        <v>2</v>
      </c>
      <c r="E49" s="8" t="s">
        <v>5906</v>
      </c>
      <c r="F49" t="s">
        <v>6519</v>
      </c>
      <c r="G49" s="8" t="s">
        <v>5907</v>
      </c>
      <c r="H49" t="s">
        <v>6520</v>
      </c>
      <c r="I49">
        <v>2</v>
      </c>
      <c r="J49" t="s">
        <v>6393</v>
      </c>
      <c r="K49" t="s">
        <v>3445</v>
      </c>
      <c r="L49" t="s">
        <v>90</v>
      </c>
      <c r="M49" t="s">
        <v>3459</v>
      </c>
      <c r="N49" t="s">
        <v>3459</v>
      </c>
      <c r="O49" t="s">
        <v>5908</v>
      </c>
    </row>
    <row r="50" spans="1:15" ht="15" customHeight="1" x14ac:dyDescent="0.25">
      <c r="A50" t="s">
        <v>5909</v>
      </c>
      <c r="B50" t="s">
        <v>4298</v>
      </c>
      <c r="C50" t="s">
        <v>3657</v>
      </c>
      <c r="D50" t="s">
        <v>3998</v>
      </c>
      <c r="E50" s="8" t="s">
        <v>6521</v>
      </c>
      <c r="F50" t="s">
        <v>4216</v>
      </c>
      <c r="G50" s="8" t="s">
        <v>3459</v>
      </c>
      <c r="H50" t="s">
        <v>3459</v>
      </c>
      <c r="I50" t="s">
        <v>3459</v>
      </c>
      <c r="J50" t="s">
        <v>3459</v>
      </c>
      <c r="K50" t="s">
        <v>5909</v>
      </c>
      <c r="L50" t="s">
        <v>90</v>
      </c>
      <c r="M50" t="s">
        <v>5423</v>
      </c>
      <c r="N50" t="s">
        <v>3459</v>
      </c>
      <c r="O50" t="s">
        <v>6460</v>
      </c>
    </row>
    <row r="51" spans="1:15" ht="15" customHeight="1" x14ac:dyDescent="0.25">
      <c r="A51" t="s">
        <v>5911</v>
      </c>
      <c r="B51" t="s">
        <v>41</v>
      </c>
      <c r="C51" t="s">
        <v>5361</v>
      </c>
      <c r="D51">
        <v>1</v>
      </c>
      <c r="E51" s="8" t="s">
        <v>5912</v>
      </c>
      <c r="F51" t="s">
        <v>6522</v>
      </c>
      <c r="G51" s="8" t="s">
        <v>5913</v>
      </c>
      <c r="H51" t="s">
        <v>6523</v>
      </c>
      <c r="I51">
        <v>1</v>
      </c>
      <c r="J51" t="s">
        <v>3459</v>
      </c>
      <c r="K51" t="s">
        <v>5914</v>
      </c>
      <c r="L51" t="s">
        <v>90</v>
      </c>
      <c r="M51" t="s">
        <v>3459</v>
      </c>
      <c r="N51" t="s">
        <v>3459</v>
      </c>
      <c r="O51" t="s">
        <v>6457</v>
      </c>
    </row>
    <row r="52" spans="1:15" ht="15" customHeight="1" x14ac:dyDescent="0.25">
      <c r="A52" t="s">
        <v>4260</v>
      </c>
      <c r="B52" t="s">
        <v>4298</v>
      </c>
      <c r="C52" t="s">
        <v>4246</v>
      </c>
      <c r="D52" t="s">
        <v>3998</v>
      </c>
      <c r="E52" t="s">
        <v>5915</v>
      </c>
      <c r="F52" t="s">
        <v>6459</v>
      </c>
      <c r="G52" t="s">
        <v>3459</v>
      </c>
      <c r="H52" t="s">
        <v>3459</v>
      </c>
      <c r="I52" t="s">
        <v>3459</v>
      </c>
      <c r="J52" t="s">
        <v>3459</v>
      </c>
      <c r="K52" t="s">
        <v>4260</v>
      </c>
      <c r="L52" t="s">
        <v>90</v>
      </c>
      <c r="M52" t="s">
        <v>5464</v>
      </c>
      <c r="N52" t="s">
        <v>3459</v>
      </c>
      <c r="O52" t="s">
        <v>5871</v>
      </c>
    </row>
    <row r="53" spans="1:15" ht="15" customHeight="1" x14ac:dyDescent="0.25">
      <c r="A53" t="s">
        <v>6524</v>
      </c>
      <c r="B53" t="s">
        <v>3547</v>
      </c>
      <c r="C53" t="s">
        <v>5361</v>
      </c>
      <c r="D53">
        <v>1</v>
      </c>
      <c r="E53" t="s">
        <v>5917</v>
      </c>
      <c r="F53" t="s">
        <v>6525</v>
      </c>
      <c r="G53" t="s">
        <v>5918</v>
      </c>
      <c r="H53" t="s">
        <v>6526</v>
      </c>
      <c r="I53">
        <v>1</v>
      </c>
      <c r="J53" t="s">
        <v>3459</v>
      </c>
      <c r="K53" t="s">
        <v>6527</v>
      </c>
      <c r="L53" t="s">
        <v>90</v>
      </c>
      <c r="M53" t="s">
        <v>3459</v>
      </c>
      <c r="N53" t="s">
        <v>3459</v>
      </c>
      <c r="O53" t="s">
        <v>6528</v>
      </c>
    </row>
    <row r="54" spans="1:15" ht="15" customHeight="1" x14ac:dyDescent="0.25">
      <c r="A54" t="s">
        <v>6529</v>
      </c>
      <c r="B54" t="s">
        <v>3547</v>
      </c>
      <c r="C54" t="s">
        <v>5361</v>
      </c>
      <c r="D54">
        <v>1</v>
      </c>
      <c r="E54" t="s">
        <v>5917</v>
      </c>
      <c r="F54" t="s">
        <v>6525</v>
      </c>
      <c r="G54" t="s">
        <v>5918</v>
      </c>
      <c r="H54" t="s">
        <v>6526</v>
      </c>
      <c r="I54">
        <v>1</v>
      </c>
      <c r="J54" t="s">
        <v>3459</v>
      </c>
      <c r="K54" t="s">
        <v>6530</v>
      </c>
      <c r="L54" t="s">
        <v>90</v>
      </c>
      <c r="M54" t="s">
        <v>3459</v>
      </c>
      <c r="N54" t="s">
        <v>3459</v>
      </c>
      <c r="O54" t="s">
        <v>6528</v>
      </c>
    </row>
    <row r="55" spans="1:15" ht="15" customHeight="1" x14ac:dyDescent="0.25">
      <c r="A55" t="s">
        <v>5921</v>
      </c>
      <c r="B55" t="s">
        <v>41</v>
      </c>
      <c r="C55" t="s">
        <v>5361</v>
      </c>
      <c r="D55">
        <v>0</v>
      </c>
      <c r="E55" s="8" t="s">
        <v>5922</v>
      </c>
      <c r="F55" t="s">
        <v>6531</v>
      </c>
      <c r="G55" s="8" t="s">
        <v>6532</v>
      </c>
      <c r="H55" t="s">
        <v>6533</v>
      </c>
      <c r="I55">
        <v>0</v>
      </c>
      <c r="J55" t="s">
        <v>3459</v>
      </c>
      <c r="K55" t="s">
        <v>5921</v>
      </c>
      <c r="L55" t="s">
        <v>90</v>
      </c>
      <c r="M55" t="s">
        <v>3459</v>
      </c>
      <c r="N55" t="s">
        <v>3459</v>
      </c>
      <c r="O55" t="s">
        <v>5718</v>
      </c>
    </row>
    <row r="56" spans="1:15" ht="15" customHeight="1" x14ac:dyDescent="0.25">
      <c r="A56" t="s">
        <v>4583</v>
      </c>
      <c r="B56" t="s">
        <v>3515</v>
      </c>
      <c r="C56" t="s">
        <v>5723</v>
      </c>
      <c r="D56">
        <v>1</v>
      </c>
      <c r="E56" t="s">
        <v>6534</v>
      </c>
      <c r="F56" t="s">
        <v>6535</v>
      </c>
      <c r="G56" t="s">
        <v>6534</v>
      </c>
      <c r="H56" t="s">
        <v>6535</v>
      </c>
      <c r="I56">
        <v>1</v>
      </c>
      <c r="J56" t="s">
        <v>6393</v>
      </c>
      <c r="K56" t="s">
        <v>4583</v>
      </c>
      <c r="L56" t="s">
        <v>1621</v>
      </c>
      <c r="M56" t="s">
        <v>5426</v>
      </c>
      <c r="N56" t="s">
        <v>3459</v>
      </c>
      <c r="O56" t="s">
        <v>5756</v>
      </c>
    </row>
    <row r="57" spans="1:15" ht="15" customHeight="1" x14ac:dyDescent="0.25">
      <c r="A57" t="s">
        <v>5930</v>
      </c>
      <c r="B57" t="s">
        <v>3503</v>
      </c>
      <c r="C57" t="s">
        <v>5723</v>
      </c>
      <c r="D57">
        <v>1</v>
      </c>
      <c r="E57" t="s">
        <v>5931</v>
      </c>
      <c r="F57" t="s">
        <v>6536</v>
      </c>
      <c r="G57" t="s">
        <v>5932</v>
      </c>
      <c r="H57" t="s">
        <v>6537</v>
      </c>
      <c r="I57">
        <v>1</v>
      </c>
      <c r="J57" t="s">
        <v>6538</v>
      </c>
      <c r="K57" t="s">
        <v>5933</v>
      </c>
      <c r="L57" t="s">
        <v>90</v>
      </c>
      <c r="M57" t="s">
        <v>5497</v>
      </c>
      <c r="N57" t="s">
        <v>3459</v>
      </c>
      <c r="O57" t="s">
        <v>5934</v>
      </c>
    </row>
    <row r="58" spans="1:15" ht="15" customHeight="1" x14ac:dyDescent="0.25">
      <c r="A58" t="s">
        <v>5935</v>
      </c>
      <c r="B58" t="s">
        <v>3515</v>
      </c>
      <c r="C58" t="s">
        <v>5361</v>
      </c>
      <c r="D58">
        <v>1</v>
      </c>
      <c r="E58" s="8" t="s">
        <v>5936</v>
      </c>
      <c r="F58" t="s">
        <v>6539</v>
      </c>
      <c r="G58" s="8" t="s">
        <v>5937</v>
      </c>
      <c r="H58" t="s">
        <v>6540</v>
      </c>
      <c r="I58">
        <v>1</v>
      </c>
      <c r="J58" t="s">
        <v>3459</v>
      </c>
      <c r="K58" t="s">
        <v>5935</v>
      </c>
      <c r="L58" t="s">
        <v>90</v>
      </c>
      <c r="M58" t="s">
        <v>5497</v>
      </c>
      <c r="N58" t="s">
        <v>3459</v>
      </c>
      <c r="O58" t="s">
        <v>5938</v>
      </c>
    </row>
    <row r="59" spans="1:15" ht="15" customHeight="1" x14ac:dyDescent="0.25">
      <c r="A59" t="s">
        <v>5939</v>
      </c>
      <c r="B59" t="s">
        <v>3515</v>
      </c>
      <c r="C59" t="s">
        <v>5361</v>
      </c>
      <c r="D59">
        <v>1</v>
      </c>
      <c r="E59" s="8" t="s">
        <v>5940</v>
      </c>
      <c r="F59" t="s">
        <v>6541</v>
      </c>
      <c r="G59" s="8" t="s">
        <v>5940</v>
      </c>
      <c r="H59" t="s">
        <v>6541</v>
      </c>
      <c r="I59">
        <v>0</v>
      </c>
      <c r="J59" t="s">
        <v>3459</v>
      </c>
      <c r="K59" t="s">
        <v>5939</v>
      </c>
      <c r="L59" t="s">
        <v>90</v>
      </c>
      <c r="M59" t="s">
        <v>5497</v>
      </c>
      <c r="N59" t="s">
        <v>3459</v>
      </c>
      <c r="O59" t="s">
        <v>5941</v>
      </c>
    </row>
    <row r="60" spans="1:15" ht="15" customHeight="1" x14ac:dyDescent="0.25">
      <c r="A60" t="s">
        <v>5942</v>
      </c>
      <c r="B60" t="s">
        <v>41</v>
      </c>
      <c r="C60" t="s">
        <v>5361</v>
      </c>
      <c r="D60">
        <v>1</v>
      </c>
      <c r="E60" s="8" t="s">
        <v>6542</v>
      </c>
      <c r="F60" t="s">
        <v>6543</v>
      </c>
      <c r="G60" s="8" t="s">
        <v>6544</v>
      </c>
      <c r="H60" t="s">
        <v>6545</v>
      </c>
      <c r="I60">
        <v>1</v>
      </c>
      <c r="J60" t="s">
        <v>3459</v>
      </c>
      <c r="K60" t="s">
        <v>5945</v>
      </c>
      <c r="L60" t="s">
        <v>90</v>
      </c>
      <c r="M60" t="s">
        <v>3459</v>
      </c>
      <c r="N60" t="s">
        <v>3459</v>
      </c>
      <c r="O60" t="s">
        <v>5718</v>
      </c>
    </row>
    <row r="61" spans="1:15" ht="15" customHeight="1" x14ac:dyDescent="0.25">
      <c r="A61" t="s">
        <v>5946</v>
      </c>
      <c r="B61" t="s">
        <v>3503</v>
      </c>
      <c r="C61" t="s">
        <v>5361</v>
      </c>
      <c r="D61" t="s">
        <v>5947</v>
      </c>
      <c r="E61" s="8" t="s">
        <v>6546</v>
      </c>
      <c r="F61" t="s">
        <v>6547</v>
      </c>
      <c r="G61" s="8" t="s">
        <v>6548</v>
      </c>
      <c r="H61" t="s">
        <v>6549</v>
      </c>
      <c r="I61" t="s">
        <v>3459</v>
      </c>
      <c r="J61" t="s">
        <v>3459</v>
      </c>
      <c r="K61" t="s">
        <v>5946</v>
      </c>
      <c r="L61" t="s">
        <v>90</v>
      </c>
      <c r="M61" t="s">
        <v>5497</v>
      </c>
      <c r="N61" t="s">
        <v>3459</v>
      </c>
      <c r="O61" t="s">
        <v>5950</v>
      </c>
    </row>
    <row r="62" spans="1:15" ht="15" customHeight="1" x14ac:dyDescent="0.25">
      <c r="A62" t="s">
        <v>5365</v>
      </c>
      <c r="B62" t="s">
        <v>3503</v>
      </c>
      <c r="C62" t="s">
        <v>5361</v>
      </c>
      <c r="D62">
        <v>1</v>
      </c>
      <c r="E62" s="8" t="s">
        <v>5951</v>
      </c>
      <c r="F62" t="s">
        <v>6550</v>
      </c>
      <c r="G62" s="8" t="s">
        <v>5952</v>
      </c>
      <c r="H62" t="s">
        <v>6551</v>
      </c>
      <c r="I62">
        <v>1</v>
      </c>
      <c r="J62" t="s">
        <v>3459</v>
      </c>
      <c r="K62" t="s">
        <v>5367</v>
      </c>
      <c r="L62" t="s">
        <v>90</v>
      </c>
      <c r="M62" t="s">
        <v>3459</v>
      </c>
      <c r="N62" t="s">
        <v>3459</v>
      </c>
      <c r="O62" t="s">
        <v>5736</v>
      </c>
    </row>
    <row r="63" spans="1:15" ht="15" customHeight="1" x14ac:dyDescent="0.25">
      <c r="A63" t="s">
        <v>5954</v>
      </c>
      <c r="B63" t="s">
        <v>4298</v>
      </c>
      <c r="C63" t="s">
        <v>4246</v>
      </c>
      <c r="D63" t="s">
        <v>3998</v>
      </c>
      <c r="E63" t="s">
        <v>5955</v>
      </c>
      <c r="F63" t="s">
        <v>6552</v>
      </c>
      <c r="G63" t="s">
        <v>3459</v>
      </c>
      <c r="H63" t="s">
        <v>3459</v>
      </c>
      <c r="I63" t="s">
        <v>3459</v>
      </c>
      <c r="J63" t="s">
        <v>3459</v>
      </c>
      <c r="K63" t="s">
        <v>5954</v>
      </c>
      <c r="L63" t="s">
        <v>90</v>
      </c>
      <c r="M63" t="s">
        <v>5464</v>
      </c>
      <c r="N63" t="s">
        <v>3459</v>
      </c>
      <c r="O63" t="s">
        <v>5871</v>
      </c>
    </row>
    <row r="64" spans="1:15" ht="15" customHeight="1" x14ac:dyDescent="0.25">
      <c r="A64" t="s">
        <v>5956</v>
      </c>
      <c r="B64" t="s">
        <v>3515</v>
      </c>
      <c r="C64" t="s">
        <v>5723</v>
      </c>
      <c r="D64">
        <v>1</v>
      </c>
      <c r="E64" s="8" t="s">
        <v>6553</v>
      </c>
      <c r="F64" t="s">
        <v>6554</v>
      </c>
      <c r="G64" s="8" t="s">
        <v>6555</v>
      </c>
      <c r="H64" t="s">
        <v>6556</v>
      </c>
      <c r="I64">
        <v>1</v>
      </c>
      <c r="J64" t="s">
        <v>6393</v>
      </c>
      <c r="K64" t="s">
        <v>5956</v>
      </c>
      <c r="L64" t="s">
        <v>90</v>
      </c>
      <c r="M64" t="s">
        <v>3459</v>
      </c>
      <c r="N64" t="s">
        <v>3459</v>
      </c>
      <c r="O64" t="s">
        <v>5959</v>
      </c>
    </row>
    <row r="65" spans="1:15" ht="15" customHeight="1" x14ac:dyDescent="0.25">
      <c r="A65" t="s">
        <v>5964</v>
      </c>
      <c r="B65" t="s">
        <v>3515</v>
      </c>
      <c r="C65" t="s">
        <v>5361</v>
      </c>
      <c r="D65">
        <v>1</v>
      </c>
      <c r="E65" s="8" t="s">
        <v>5965</v>
      </c>
      <c r="F65" t="s">
        <v>6557</v>
      </c>
      <c r="G65" s="8" t="s">
        <v>5966</v>
      </c>
      <c r="H65" t="s">
        <v>6558</v>
      </c>
      <c r="I65">
        <v>1</v>
      </c>
      <c r="J65" t="s">
        <v>3459</v>
      </c>
      <c r="K65" t="s">
        <v>5967</v>
      </c>
      <c r="L65" t="s">
        <v>90</v>
      </c>
      <c r="M65" t="s">
        <v>3459</v>
      </c>
      <c r="N65" t="s">
        <v>3459</v>
      </c>
      <c r="O65" t="s">
        <v>5764</v>
      </c>
    </row>
    <row r="66" spans="1:15" ht="15" customHeight="1" x14ac:dyDescent="0.25">
      <c r="A66" t="s">
        <v>5968</v>
      </c>
      <c r="B66" t="s">
        <v>3515</v>
      </c>
      <c r="C66" t="s">
        <v>5723</v>
      </c>
      <c r="D66">
        <v>0</v>
      </c>
      <c r="E66" s="8" t="s">
        <v>6559</v>
      </c>
      <c r="F66" t="s">
        <v>6560</v>
      </c>
      <c r="G66" s="8" t="s">
        <v>6561</v>
      </c>
      <c r="H66" t="s">
        <v>6562</v>
      </c>
      <c r="I66">
        <v>0</v>
      </c>
      <c r="J66" t="s">
        <v>6451</v>
      </c>
      <c r="K66" t="s">
        <v>5971</v>
      </c>
      <c r="L66" t="s">
        <v>90</v>
      </c>
      <c r="M66" t="s">
        <v>5497</v>
      </c>
      <c r="N66" t="s">
        <v>3459</v>
      </c>
      <c r="O66" t="s">
        <v>5778</v>
      </c>
    </row>
    <row r="67" spans="1:15" x14ac:dyDescent="0.25">
      <c r="A67" t="s">
        <v>5972</v>
      </c>
      <c r="B67" t="s">
        <v>3515</v>
      </c>
      <c r="C67" t="s">
        <v>5361</v>
      </c>
      <c r="D67">
        <v>2</v>
      </c>
      <c r="E67" s="8" t="s">
        <v>5973</v>
      </c>
      <c r="F67" t="s">
        <v>6563</v>
      </c>
      <c r="G67" s="8" t="s">
        <v>5973</v>
      </c>
      <c r="H67" t="s">
        <v>6563</v>
      </c>
      <c r="I67">
        <v>1</v>
      </c>
      <c r="J67" t="s">
        <v>3459</v>
      </c>
      <c r="K67" t="s">
        <v>5972</v>
      </c>
      <c r="L67" t="s">
        <v>90</v>
      </c>
      <c r="M67" t="s">
        <v>3459</v>
      </c>
      <c r="N67" t="s">
        <v>3459</v>
      </c>
      <c r="O67" t="s">
        <v>5740</v>
      </c>
    </row>
    <row r="68" spans="1:15" x14ac:dyDescent="0.25">
      <c r="A68" t="s">
        <v>5197</v>
      </c>
      <c r="B68" t="s">
        <v>3503</v>
      </c>
      <c r="C68" t="s">
        <v>4598</v>
      </c>
      <c r="D68">
        <v>2</v>
      </c>
      <c r="E68" s="8" t="s">
        <v>6564</v>
      </c>
      <c r="F68" t="s">
        <v>6565</v>
      </c>
      <c r="G68" s="8" t="s">
        <v>6564</v>
      </c>
      <c r="H68" t="s">
        <v>6565</v>
      </c>
      <c r="I68">
        <v>1</v>
      </c>
      <c r="J68" t="s">
        <v>3459</v>
      </c>
      <c r="K68" t="s">
        <v>5197</v>
      </c>
      <c r="L68" t="s">
        <v>90</v>
      </c>
      <c r="M68" t="s">
        <v>3459</v>
      </c>
      <c r="N68" t="s">
        <v>3459</v>
      </c>
      <c r="O68" t="s">
        <v>6566</v>
      </c>
    </row>
    <row r="69" spans="1:15" x14ac:dyDescent="0.25">
      <c r="A69" t="s">
        <v>5975</v>
      </c>
      <c r="B69" t="s">
        <v>3515</v>
      </c>
      <c r="C69" t="s">
        <v>5361</v>
      </c>
      <c r="D69">
        <v>0</v>
      </c>
      <c r="E69" s="8" t="s">
        <v>5976</v>
      </c>
      <c r="F69" t="s">
        <v>6567</v>
      </c>
      <c r="G69" s="8" t="s">
        <v>5977</v>
      </c>
      <c r="H69" t="s">
        <v>6568</v>
      </c>
      <c r="I69">
        <v>0</v>
      </c>
      <c r="J69" t="s">
        <v>3459</v>
      </c>
      <c r="K69" t="s">
        <v>5978</v>
      </c>
      <c r="L69" t="s">
        <v>90</v>
      </c>
      <c r="M69" t="s">
        <v>3459</v>
      </c>
      <c r="N69" t="s">
        <v>3459</v>
      </c>
      <c r="O69" t="s">
        <v>5979</v>
      </c>
    </row>
    <row r="70" spans="1:15" x14ac:dyDescent="0.25">
      <c r="A70" t="s">
        <v>5980</v>
      </c>
      <c r="B70" t="s">
        <v>3515</v>
      </c>
      <c r="C70" t="s">
        <v>5723</v>
      </c>
      <c r="D70">
        <v>3</v>
      </c>
      <c r="E70" s="8" t="s">
        <v>6569</v>
      </c>
      <c r="F70" t="s">
        <v>6570</v>
      </c>
      <c r="G70" s="8" t="s">
        <v>6571</v>
      </c>
      <c r="H70" t="s">
        <v>6572</v>
      </c>
      <c r="I70">
        <v>3</v>
      </c>
      <c r="J70" t="s">
        <v>6401</v>
      </c>
      <c r="K70" t="s">
        <v>5980</v>
      </c>
      <c r="L70" t="s">
        <v>90</v>
      </c>
      <c r="M70" t="s">
        <v>3459</v>
      </c>
      <c r="N70" t="s">
        <v>3459</v>
      </c>
      <c r="O70" t="s">
        <v>5983</v>
      </c>
    </row>
    <row r="71" spans="1:15" x14ac:dyDescent="0.25">
      <c r="A71" t="s">
        <v>5199</v>
      </c>
      <c r="B71" t="s">
        <v>3515</v>
      </c>
      <c r="C71" t="s">
        <v>4598</v>
      </c>
      <c r="D71">
        <v>1</v>
      </c>
      <c r="E71" s="8" t="s">
        <v>6573</v>
      </c>
      <c r="F71" t="s">
        <v>6574</v>
      </c>
      <c r="G71" s="8" t="s">
        <v>6575</v>
      </c>
      <c r="H71" t="s">
        <v>6576</v>
      </c>
      <c r="I71">
        <v>1</v>
      </c>
      <c r="J71" t="s">
        <v>3459</v>
      </c>
      <c r="K71" t="s">
        <v>5199</v>
      </c>
      <c r="L71" t="s">
        <v>90</v>
      </c>
      <c r="M71" t="s">
        <v>3459</v>
      </c>
      <c r="N71" t="s">
        <v>3459</v>
      </c>
      <c r="O71" t="s">
        <v>5986</v>
      </c>
    </row>
    <row r="72" spans="1:15" x14ac:dyDescent="0.25">
      <c r="A72" t="s">
        <v>5987</v>
      </c>
      <c r="B72" t="s">
        <v>3503</v>
      </c>
      <c r="C72" t="s">
        <v>5361</v>
      </c>
      <c r="D72">
        <v>1</v>
      </c>
      <c r="E72" s="8" t="s">
        <v>5988</v>
      </c>
      <c r="F72" t="s">
        <v>6577</v>
      </c>
      <c r="G72" s="8" t="s">
        <v>5988</v>
      </c>
      <c r="H72" t="s">
        <v>6577</v>
      </c>
      <c r="I72">
        <v>0</v>
      </c>
      <c r="J72" t="s">
        <v>3459</v>
      </c>
      <c r="K72" t="s">
        <v>5987</v>
      </c>
      <c r="L72" t="s">
        <v>90</v>
      </c>
      <c r="M72" t="s">
        <v>5497</v>
      </c>
      <c r="N72" t="s">
        <v>3459</v>
      </c>
      <c r="O72" t="s">
        <v>5989</v>
      </c>
    </row>
    <row r="73" spans="1:15" x14ac:dyDescent="0.25">
      <c r="A73" t="s">
        <v>5990</v>
      </c>
      <c r="B73" t="s">
        <v>3515</v>
      </c>
      <c r="C73" t="s">
        <v>5361</v>
      </c>
      <c r="D73">
        <v>1</v>
      </c>
      <c r="E73" s="8" t="s">
        <v>6578</v>
      </c>
      <c r="F73" t="s">
        <v>6579</v>
      </c>
      <c r="G73" s="8" t="s">
        <v>6580</v>
      </c>
      <c r="H73" t="s">
        <v>6581</v>
      </c>
      <c r="I73">
        <v>1</v>
      </c>
      <c r="J73" t="s">
        <v>3459</v>
      </c>
      <c r="K73" t="s">
        <v>5990</v>
      </c>
      <c r="L73" t="s">
        <v>90</v>
      </c>
      <c r="M73" t="s">
        <v>3459</v>
      </c>
      <c r="N73" t="s">
        <v>3459</v>
      </c>
      <c r="O73" t="s">
        <v>5993</v>
      </c>
    </row>
    <row r="74" spans="1:15" x14ac:dyDescent="0.25">
      <c r="A74" t="s">
        <v>5994</v>
      </c>
      <c r="B74" t="s">
        <v>3503</v>
      </c>
      <c r="C74" t="s">
        <v>5723</v>
      </c>
      <c r="D74">
        <v>1</v>
      </c>
      <c r="E74" s="8" t="s">
        <v>6582</v>
      </c>
      <c r="F74" t="s">
        <v>6583</v>
      </c>
      <c r="G74" s="8" t="s">
        <v>6584</v>
      </c>
      <c r="H74" t="s">
        <v>6585</v>
      </c>
      <c r="I74" t="s">
        <v>3459</v>
      </c>
      <c r="J74" t="s">
        <v>6401</v>
      </c>
      <c r="K74" t="s">
        <v>5994</v>
      </c>
      <c r="L74" t="s">
        <v>90</v>
      </c>
      <c r="M74" t="s">
        <v>5497</v>
      </c>
      <c r="N74" t="s">
        <v>3459</v>
      </c>
      <c r="O74" t="s">
        <v>5997</v>
      </c>
    </row>
    <row r="75" spans="1:15" x14ac:dyDescent="0.25">
      <c r="A75" t="s">
        <v>5207</v>
      </c>
      <c r="B75" t="s">
        <v>3515</v>
      </c>
      <c r="C75" t="s">
        <v>4598</v>
      </c>
      <c r="D75">
        <v>1</v>
      </c>
      <c r="E75" s="8" t="s">
        <v>6586</v>
      </c>
      <c r="F75" t="s">
        <v>6587</v>
      </c>
      <c r="G75" s="8" t="s">
        <v>6588</v>
      </c>
      <c r="H75" t="s">
        <v>6589</v>
      </c>
      <c r="I75">
        <v>1</v>
      </c>
      <c r="J75" t="s">
        <v>3459</v>
      </c>
      <c r="K75" t="s">
        <v>5209</v>
      </c>
      <c r="L75" t="s">
        <v>90</v>
      </c>
      <c r="M75" t="s">
        <v>3459</v>
      </c>
      <c r="N75" t="s">
        <v>3459</v>
      </c>
      <c r="O75" t="s">
        <v>6000</v>
      </c>
    </row>
    <row r="76" spans="1:15" x14ac:dyDescent="0.25">
      <c r="A76" t="s">
        <v>6001</v>
      </c>
      <c r="B76" t="s">
        <v>3503</v>
      </c>
      <c r="C76" t="s">
        <v>5723</v>
      </c>
      <c r="D76">
        <v>2</v>
      </c>
      <c r="E76" s="8" t="s">
        <v>6590</v>
      </c>
      <c r="F76" t="s">
        <v>6591</v>
      </c>
      <c r="G76" s="8" t="s">
        <v>6592</v>
      </c>
      <c r="H76" t="s">
        <v>6593</v>
      </c>
      <c r="I76">
        <v>2</v>
      </c>
      <c r="J76" t="s">
        <v>6418</v>
      </c>
      <c r="K76" t="s">
        <v>6004</v>
      </c>
      <c r="L76" t="s">
        <v>90</v>
      </c>
      <c r="M76" t="s">
        <v>5497</v>
      </c>
      <c r="N76" t="s">
        <v>4262</v>
      </c>
      <c r="O76" t="s">
        <v>6005</v>
      </c>
    </row>
    <row r="77" spans="1:15" x14ac:dyDescent="0.25">
      <c r="A77" t="s">
        <v>6008</v>
      </c>
      <c r="B77" t="s">
        <v>3515</v>
      </c>
      <c r="C77" t="s">
        <v>5723</v>
      </c>
      <c r="D77">
        <v>1</v>
      </c>
      <c r="E77" s="8" t="s">
        <v>6594</v>
      </c>
      <c r="F77" t="s">
        <v>6595</v>
      </c>
      <c r="G77" s="8" t="s">
        <v>6596</v>
      </c>
      <c r="H77" t="s">
        <v>6597</v>
      </c>
      <c r="I77" t="s">
        <v>3459</v>
      </c>
      <c r="J77" t="s">
        <v>6393</v>
      </c>
      <c r="K77" t="s">
        <v>6008</v>
      </c>
      <c r="L77" t="s">
        <v>90</v>
      </c>
      <c r="M77" t="s">
        <v>3459</v>
      </c>
      <c r="N77" t="s">
        <v>3459</v>
      </c>
      <c r="O77" t="s">
        <v>6598</v>
      </c>
    </row>
    <row r="78" spans="1:15" x14ac:dyDescent="0.25">
      <c r="A78" t="s">
        <v>5210</v>
      </c>
      <c r="B78" t="s">
        <v>3515</v>
      </c>
      <c r="C78" t="s">
        <v>4598</v>
      </c>
      <c r="D78">
        <v>1</v>
      </c>
      <c r="E78" s="8" t="s">
        <v>6599</v>
      </c>
      <c r="F78" t="s">
        <v>6600</v>
      </c>
      <c r="G78" s="8" t="s">
        <v>6601</v>
      </c>
      <c r="H78" t="s">
        <v>6602</v>
      </c>
      <c r="I78">
        <v>1</v>
      </c>
      <c r="J78" t="s">
        <v>3459</v>
      </c>
      <c r="K78" t="s">
        <v>5212</v>
      </c>
      <c r="L78" t="s">
        <v>90</v>
      </c>
      <c r="M78" t="s">
        <v>3459</v>
      </c>
      <c r="N78" t="s">
        <v>3459</v>
      </c>
      <c r="O78" t="s">
        <v>6013</v>
      </c>
    </row>
    <row r="79" spans="1:15" x14ac:dyDescent="0.25">
      <c r="A79" t="s">
        <v>5213</v>
      </c>
      <c r="B79" t="s">
        <v>3515</v>
      </c>
      <c r="C79" t="s">
        <v>5361</v>
      </c>
      <c r="D79">
        <v>2</v>
      </c>
      <c r="E79" s="8" t="s">
        <v>6603</v>
      </c>
      <c r="F79" t="s">
        <v>6604</v>
      </c>
      <c r="G79" s="8" t="s">
        <v>6605</v>
      </c>
      <c r="H79" t="s">
        <v>6606</v>
      </c>
      <c r="I79">
        <v>2</v>
      </c>
      <c r="J79" t="s">
        <v>3459</v>
      </c>
      <c r="K79" t="s">
        <v>5215</v>
      </c>
      <c r="L79" t="s">
        <v>90</v>
      </c>
      <c r="M79" t="s">
        <v>3459</v>
      </c>
      <c r="N79" t="s">
        <v>4262</v>
      </c>
      <c r="O79" t="s">
        <v>5740</v>
      </c>
    </row>
    <row r="80" spans="1:15" x14ac:dyDescent="0.25">
      <c r="A80" t="s">
        <v>6016</v>
      </c>
      <c r="B80" t="s">
        <v>3515</v>
      </c>
      <c r="C80" t="s">
        <v>5723</v>
      </c>
      <c r="D80">
        <v>1</v>
      </c>
      <c r="E80" s="8" t="s">
        <v>6607</v>
      </c>
      <c r="F80" t="s">
        <v>6608</v>
      </c>
      <c r="G80" s="8" t="s">
        <v>6609</v>
      </c>
      <c r="H80" t="s">
        <v>6610</v>
      </c>
      <c r="I80">
        <v>1</v>
      </c>
      <c r="J80" t="s">
        <v>6418</v>
      </c>
      <c r="K80" t="s">
        <v>6016</v>
      </c>
      <c r="L80" t="s">
        <v>90</v>
      </c>
      <c r="M80" t="s">
        <v>3459</v>
      </c>
      <c r="N80" t="s">
        <v>3459</v>
      </c>
      <c r="O80" t="s">
        <v>6598</v>
      </c>
    </row>
    <row r="81" spans="1:15" x14ac:dyDescent="0.25">
      <c r="A81" t="s">
        <v>6019</v>
      </c>
      <c r="B81" t="s">
        <v>41</v>
      </c>
      <c r="C81" t="s">
        <v>5361</v>
      </c>
      <c r="D81">
        <v>0</v>
      </c>
      <c r="E81" s="8" t="s">
        <v>6611</v>
      </c>
      <c r="F81" t="s">
        <v>6612</v>
      </c>
      <c r="G81" s="8" t="s">
        <v>6613</v>
      </c>
      <c r="H81" t="s">
        <v>6614</v>
      </c>
      <c r="I81" t="s">
        <v>3459</v>
      </c>
      <c r="J81" t="s">
        <v>3459</v>
      </c>
      <c r="K81" t="s">
        <v>6019</v>
      </c>
      <c r="L81" t="s">
        <v>90</v>
      </c>
      <c r="M81" t="s">
        <v>3459</v>
      </c>
      <c r="N81" t="s">
        <v>3459</v>
      </c>
      <c r="O81" t="s">
        <v>6060</v>
      </c>
    </row>
    <row r="82" spans="1:15" x14ac:dyDescent="0.25">
      <c r="A82" t="s">
        <v>6022</v>
      </c>
      <c r="B82" t="s">
        <v>41</v>
      </c>
      <c r="C82" t="s">
        <v>5723</v>
      </c>
      <c r="D82">
        <v>1</v>
      </c>
      <c r="E82" s="8" t="s">
        <v>6615</v>
      </c>
      <c r="F82" t="s">
        <v>6616</v>
      </c>
      <c r="G82" s="8" t="s">
        <v>6617</v>
      </c>
      <c r="H82" t="s">
        <v>6618</v>
      </c>
      <c r="I82" t="s">
        <v>3459</v>
      </c>
      <c r="J82" t="s">
        <v>6393</v>
      </c>
      <c r="K82" t="s">
        <v>6025</v>
      </c>
      <c r="L82" t="s">
        <v>90</v>
      </c>
      <c r="M82" t="s">
        <v>3459</v>
      </c>
      <c r="N82" t="s">
        <v>3459</v>
      </c>
      <c r="O82" t="s">
        <v>6026</v>
      </c>
    </row>
    <row r="83" spans="1:15" x14ac:dyDescent="0.25">
      <c r="A83" t="s">
        <v>6030</v>
      </c>
      <c r="B83" t="s">
        <v>3515</v>
      </c>
      <c r="C83" t="s">
        <v>5361</v>
      </c>
      <c r="D83">
        <v>1</v>
      </c>
      <c r="E83" s="8" t="s">
        <v>6619</v>
      </c>
      <c r="F83" t="s">
        <v>6452</v>
      </c>
      <c r="G83" s="8" t="s">
        <v>6620</v>
      </c>
      <c r="H83" t="s">
        <v>6453</v>
      </c>
      <c r="I83" t="s">
        <v>3459</v>
      </c>
      <c r="J83" t="s">
        <v>3459</v>
      </c>
      <c r="K83" t="s">
        <v>6033</v>
      </c>
      <c r="L83" t="s">
        <v>90</v>
      </c>
      <c r="M83" t="s">
        <v>5423</v>
      </c>
      <c r="N83" t="s">
        <v>3459</v>
      </c>
      <c r="O83" t="s">
        <v>5740</v>
      </c>
    </row>
    <row r="84" spans="1:15" x14ac:dyDescent="0.25">
      <c r="A84" t="s">
        <v>6035</v>
      </c>
      <c r="B84" t="s">
        <v>3503</v>
      </c>
      <c r="C84" t="s">
        <v>5723</v>
      </c>
      <c r="D84">
        <v>1</v>
      </c>
      <c r="E84" s="8" t="s">
        <v>6621</v>
      </c>
      <c r="F84" t="s">
        <v>6622</v>
      </c>
      <c r="G84" s="8" t="s">
        <v>6623</v>
      </c>
      <c r="H84" t="s">
        <v>6624</v>
      </c>
      <c r="I84" t="s">
        <v>3459</v>
      </c>
      <c r="J84" t="s">
        <v>6418</v>
      </c>
      <c r="K84" t="s">
        <v>6038</v>
      </c>
      <c r="L84" t="s">
        <v>90</v>
      </c>
      <c r="M84" t="s">
        <v>3459</v>
      </c>
      <c r="N84" t="s">
        <v>3459</v>
      </c>
      <c r="O84" t="s">
        <v>5778</v>
      </c>
    </row>
    <row r="85" spans="1:15" x14ac:dyDescent="0.25">
      <c r="A85" t="s">
        <v>6039</v>
      </c>
      <c r="B85" t="s">
        <v>41</v>
      </c>
      <c r="C85" t="s">
        <v>5723</v>
      </c>
      <c r="D85">
        <v>0</v>
      </c>
      <c r="E85" s="8" t="s">
        <v>6625</v>
      </c>
      <c r="F85" t="s">
        <v>6626</v>
      </c>
      <c r="G85" s="8" t="s">
        <v>6627</v>
      </c>
      <c r="H85" t="s">
        <v>6628</v>
      </c>
      <c r="I85">
        <v>0</v>
      </c>
      <c r="J85" t="s">
        <v>6485</v>
      </c>
      <c r="K85" t="s">
        <v>6042</v>
      </c>
      <c r="L85" t="s">
        <v>90</v>
      </c>
      <c r="M85" t="s">
        <v>3459</v>
      </c>
      <c r="N85" t="s">
        <v>3459</v>
      </c>
      <c r="O85" t="s">
        <v>5769</v>
      </c>
    </row>
    <row r="86" spans="1:15" x14ac:dyDescent="0.25">
      <c r="A86" t="s">
        <v>6043</v>
      </c>
      <c r="B86" t="s">
        <v>3503</v>
      </c>
      <c r="C86" t="s">
        <v>5723</v>
      </c>
      <c r="D86">
        <v>0</v>
      </c>
      <c r="E86" s="8" t="s">
        <v>6629</v>
      </c>
      <c r="F86" t="s">
        <v>6630</v>
      </c>
      <c r="G86" s="8" t="s">
        <v>6631</v>
      </c>
      <c r="H86" t="s">
        <v>6632</v>
      </c>
      <c r="I86">
        <v>0</v>
      </c>
      <c r="J86" t="s">
        <v>6633</v>
      </c>
      <c r="K86" t="s">
        <v>6046</v>
      </c>
      <c r="L86" t="s">
        <v>90</v>
      </c>
      <c r="M86" t="s">
        <v>3459</v>
      </c>
      <c r="N86" t="s">
        <v>3459</v>
      </c>
      <c r="O86" t="s">
        <v>5897</v>
      </c>
    </row>
    <row r="87" spans="1:15" x14ac:dyDescent="0.25">
      <c r="A87" t="s">
        <v>5117</v>
      </c>
      <c r="B87" t="s">
        <v>4298</v>
      </c>
      <c r="C87" t="s">
        <v>4246</v>
      </c>
      <c r="D87" t="s">
        <v>3998</v>
      </c>
      <c r="E87" t="s">
        <v>6634</v>
      </c>
      <c r="F87" t="s">
        <v>4216</v>
      </c>
      <c r="G87" t="s">
        <v>3459</v>
      </c>
      <c r="H87" t="s">
        <v>3459</v>
      </c>
      <c r="I87" t="s">
        <v>3459</v>
      </c>
      <c r="J87" t="s">
        <v>3459</v>
      </c>
      <c r="K87" t="s">
        <v>5117</v>
      </c>
      <c r="L87" t="s">
        <v>38</v>
      </c>
      <c r="M87" t="s">
        <v>6635</v>
      </c>
      <c r="N87" t="s">
        <v>3459</v>
      </c>
    </row>
    <row r="88" spans="1:15" x14ac:dyDescent="0.25">
      <c r="A88" t="s">
        <v>5133</v>
      </c>
      <c r="B88" t="s">
        <v>4298</v>
      </c>
      <c r="C88" t="s">
        <v>4246</v>
      </c>
      <c r="D88" t="s">
        <v>3998</v>
      </c>
      <c r="E88" t="s">
        <v>6636</v>
      </c>
      <c r="F88" t="s">
        <v>6637</v>
      </c>
      <c r="G88" t="s">
        <v>3459</v>
      </c>
      <c r="H88" t="s">
        <v>3459</v>
      </c>
      <c r="I88" t="s">
        <v>3459</v>
      </c>
      <c r="J88" t="s">
        <v>3459</v>
      </c>
      <c r="K88" t="s">
        <v>5133</v>
      </c>
      <c r="L88" t="s">
        <v>38</v>
      </c>
      <c r="M88" t="s">
        <v>5464</v>
      </c>
      <c r="N88" t="s">
        <v>3459</v>
      </c>
      <c r="O88" t="s">
        <v>5871</v>
      </c>
    </row>
    <row r="89" spans="1:15" x14ac:dyDescent="0.25">
      <c r="A89" t="s">
        <v>6048</v>
      </c>
      <c r="B89" t="s">
        <v>41</v>
      </c>
      <c r="C89" t="s">
        <v>5361</v>
      </c>
      <c r="D89">
        <v>1</v>
      </c>
      <c r="E89" s="8" t="s">
        <v>6049</v>
      </c>
      <c r="F89" t="s">
        <v>6638</v>
      </c>
      <c r="G89" s="8" t="s">
        <v>6049</v>
      </c>
      <c r="H89" t="s">
        <v>6638</v>
      </c>
      <c r="I89">
        <v>0</v>
      </c>
      <c r="J89" t="s">
        <v>3459</v>
      </c>
      <c r="K89" t="s">
        <v>6048</v>
      </c>
      <c r="L89" t="s">
        <v>90</v>
      </c>
      <c r="M89" t="s">
        <v>3459</v>
      </c>
      <c r="N89" t="s">
        <v>3459</v>
      </c>
      <c r="O89" t="s">
        <v>6005</v>
      </c>
    </row>
    <row r="90" spans="1:15" x14ac:dyDescent="0.25">
      <c r="A90" t="s">
        <v>6050</v>
      </c>
      <c r="B90" t="s">
        <v>41</v>
      </c>
      <c r="C90" t="s">
        <v>5723</v>
      </c>
      <c r="D90">
        <v>1</v>
      </c>
      <c r="E90" s="8" t="s">
        <v>6051</v>
      </c>
      <c r="F90" t="s">
        <v>6639</v>
      </c>
      <c r="G90" s="8" t="s">
        <v>6052</v>
      </c>
      <c r="H90" t="s">
        <v>6640</v>
      </c>
      <c r="I90">
        <v>1</v>
      </c>
      <c r="J90" t="s">
        <v>6401</v>
      </c>
      <c r="K90" t="s">
        <v>6050</v>
      </c>
      <c r="L90" t="s">
        <v>90</v>
      </c>
      <c r="M90" t="s">
        <v>3459</v>
      </c>
      <c r="N90" t="s">
        <v>3459</v>
      </c>
      <c r="O90" t="s">
        <v>5736</v>
      </c>
    </row>
    <row r="91" spans="1:15" x14ac:dyDescent="0.25">
      <c r="A91" t="s">
        <v>6056</v>
      </c>
      <c r="B91" t="s">
        <v>41</v>
      </c>
      <c r="C91" t="s">
        <v>5723</v>
      </c>
      <c r="D91">
        <v>2</v>
      </c>
      <c r="E91" t="s">
        <v>6057</v>
      </c>
      <c r="F91" t="s">
        <v>6641</v>
      </c>
      <c r="G91" t="s">
        <v>6058</v>
      </c>
      <c r="H91" t="s">
        <v>6642</v>
      </c>
      <c r="I91">
        <v>2</v>
      </c>
      <c r="J91" t="s">
        <v>6424</v>
      </c>
      <c r="K91" t="s">
        <v>6059</v>
      </c>
      <c r="L91" t="s">
        <v>90</v>
      </c>
      <c r="M91" t="s">
        <v>3459</v>
      </c>
      <c r="N91" t="s">
        <v>3459</v>
      </c>
      <c r="O91" t="s">
        <v>6060</v>
      </c>
    </row>
    <row r="92" spans="1:15" x14ac:dyDescent="0.25">
      <c r="A92" t="s">
        <v>6061</v>
      </c>
      <c r="B92" t="s">
        <v>3515</v>
      </c>
      <c r="C92" t="s">
        <v>5723</v>
      </c>
      <c r="D92">
        <v>1</v>
      </c>
      <c r="E92" s="8" t="s">
        <v>6643</v>
      </c>
      <c r="F92" t="s">
        <v>6644</v>
      </c>
      <c r="G92" s="8" t="s">
        <v>6645</v>
      </c>
      <c r="H92" t="s">
        <v>6646</v>
      </c>
      <c r="I92">
        <v>1</v>
      </c>
      <c r="J92" t="s">
        <v>6401</v>
      </c>
      <c r="K92" t="s">
        <v>6064</v>
      </c>
      <c r="L92" t="s">
        <v>90</v>
      </c>
      <c r="M92" t="s">
        <v>3459</v>
      </c>
      <c r="N92" t="s">
        <v>3459</v>
      </c>
      <c r="O92" t="s">
        <v>6647</v>
      </c>
    </row>
    <row r="93" spans="1:15" x14ac:dyDescent="0.25">
      <c r="A93" t="s">
        <v>6065</v>
      </c>
      <c r="B93" t="s">
        <v>3515</v>
      </c>
      <c r="C93" t="s">
        <v>5723</v>
      </c>
      <c r="D93">
        <v>1</v>
      </c>
      <c r="E93" s="8" t="s">
        <v>6066</v>
      </c>
      <c r="F93" t="s">
        <v>6648</v>
      </c>
      <c r="G93" s="8" t="s">
        <v>6067</v>
      </c>
      <c r="H93" t="s">
        <v>6649</v>
      </c>
      <c r="I93">
        <v>1</v>
      </c>
      <c r="J93" t="s">
        <v>6418</v>
      </c>
      <c r="K93" t="s">
        <v>6065</v>
      </c>
      <c r="L93" t="s">
        <v>90</v>
      </c>
      <c r="M93" t="s">
        <v>3459</v>
      </c>
      <c r="N93" t="s">
        <v>5384</v>
      </c>
      <c r="O93" t="s">
        <v>6650</v>
      </c>
    </row>
    <row r="94" spans="1:15" x14ac:dyDescent="0.25">
      <c r="A94" t="s">
        <v>6068</v>
      </c>
      <c r="B94" t="s">
        <v>41</v>
      </c>
      <c r="C94" t="s">
        <v>5361</v>
      </c>
      <c r="D94">
        <v>1</v>
      </c>
      <c r="E94" s="8" t="s">
        <v>6651</v>
      </c>
      <c r="F94" t="s">
        <v>6652</v>
      </c>
      <c r="G94" s="8" t="s">
        <v>6653</v>
      </c>
      <c r="H94" t="s">
        <v>6654</v>
      </c>
      <c r="I94">
        <v>1</v>
      </c>
      <c r="J94" t="s">
        <v>3459</v>
      </c>
      <c r="K94" t="s">
        <v>6068</v>
      </c>
      <c r="L94" t="s">
        <v>90</v>
      </c>
      <c r="M94" t="s">
        <v>3459</v>
      </c>
      <c r="N94" t="s">
        <v>3459</v>
      </c>
      <c r="O94" t="s">
        <v>6071</v>
      </c>
    </row>
    <row r="95" spans="1:15" x14ac:dyDescent="0.25">
      <c r="A95" t="s">
        <v>6072</v>
      </c>
      <c r="B95" t="s">
        <v>3503</v>
      </c>
      <c r="C95" t="s">
        <v>5723</v>
      </c>
      <c r="D95">
        <v>2</v>
      </c>
      <c r="E95" s="8" t="s">
        <v>6073</v>
      </c>
      <c r="F95" t="s">
        <v>6655</v>
      </c>
      <c r="G95" s="8" t="s">
        <v>6074</v>
      </c>
      <c r="H95" t="s">
        <v>6656</v>
      </c>
      <c r="I95">
        <v>2</v>
      </c>
      <c r="J95" t="s">
        <v>6657</v>
      </c>
      <c r="K95" t="s">
        <v>6072</v>
      </c>
      <c r="L95" t="s">
        <v>90</v>
      </c>
      <c r="M95" t="s">
        <v>3459</v>
      </c>
      <c r="N95" t="s">
        <v>4262</v>
      </c>
      <c r="O95" t="s">
        <v>5860</v>
      </c>
    </row>
    <row r="96" spans="1:15" x14ac:dyDescent="0.25">
      <c r="A96" t="s">
        <v>6075</v>
      </c>
      <c r="B96" t="s">
        <v>3503</v>
      </c>
      <c r="C96" t="s">
        <v>5361</v>
      </c>
      <c r="D96">
        <v>2</v>
      </c>
      <c r="E96" s="8" t="s">
        <v>6076</v>
      </c>
      <c r="F96" t="s">
        <v>6658</v>
      </c>
      <c r="G96" s="8" t="s">
        <v>6077</v>
      </c>
      <c r="H96" t="s">
        <v>6659</v>
      </c>
      <c r="I96">
        <v>2</v>
      </c>
      <c r="J96" t="s">
        <v>3459</v>
      </c>
      <c r="K96" t="s">
        <v>6075</v>
      </c>
      <c r="L96" t="s">
        <v>90</v>
      </c>
      <c r="M96" t="s">
        <v>5497</v>
      </c>
      <c r="N96" t="s">
        <v>3459</v>
      </c>
      <c r="O96" t="s">
        <v>6000</v>
      </c>
    </row>
    <row r="97" spans="1:15" x14ac:dyDescent="0.25">
      <c r="A97" t="s">
        <v>6078</v>
      </c>
      <c r="B97" t="s">
        <v>3515</v>
      </c>
      <c r="C97" t="s">
        <v>5361</v>
      </c>
      <c r="D97">
        <v>1</v>
      </c>
      <c r="E97" s="8" t="s">
        <v>6079</v>
      </c>
      <c r="F97" t="s">
        <v>6660</v>
      </c>
      <c r="G97" s="8" t="s">
        <v>6079</v>
      </c>
      <c r="H97" t="s">
        <v>6660</v>
      </c>
      <c r="I97">
        <v>0</v>
      </c>
      <c r="J97" t="s">
        <v>3459</v>
      </c>
      <c r="K97" t="s">
        <v>6080</v>
      </c>
      <c r="L97" t="s">
        <v>90</v>
      </c>
      <c r="M97" t="s">
        <v>5497</v>
      </c>
      <c r="N97" t="s">
        <v>3459</v>
      </c>
      <c r="O97" t="s">
        <v>6081</v>
      </c>
    </row>
    <row r="98" spans="1:15" x14ac:dyDescent="0.25">
      <c r="A98" t="s">
        <v>6086</v>
      </c>
      <c r="B98" t="s">
        <v>3515</v>
      </c>
      <c r="C98" t="s">
        <v>4598</v>
      </c>
      <c r="D98">
        <v>1</v>
      </c>
      <c r="E98" t="s">
        <v>6087</v>
      </c>
      <c r="F98" t="s">
        <v>6661</v>
      </c>
      <c r="G98" t="s">
        <v>6088</v>
      </c>
      <c r="H98" t="s">
        <v>6662</v>
      </c>
      <c r="I98">
        <v>1</v>
      </c>
      <c r="J98" t="s">
        <v>3459</v>
      </c>
      <c r="K98" t="s">
        <v>6086</v>
      </c>
      <c r="L98" t="s">
        <v>90</v>
      </c>
      <c r="M98" t="s">
        <v>3459</v>
      </c>
      <c r="N98" t="s">
        <v>3459</v>
      </c>
      <c r="O98" t="s">
        <v>5928</v>
      </c>
    </row>
    <row r="99" spans="1:15" x14ac:dyDescent="0.25">
      <c r="A99" t="s">
        <v>4254</v>
      </c>
      <c r="B99" t="s">
        <v>4298</v>
      </c>
      <c r="C99" t="s">
        <v>4246</v>
      </c>
      <c r="D99" t="s">
        <v>3998</v>
      </c>
      <c r="E99" t="s">
        <v>6089</v>
      </c>
      <c r="F99" t="s">
        <v>4216</v>
      </c>
      <c r="G99" t="s">
        <v>3459</v>
      </c>
      <c r="H99" t="s">
        <v>3459</v>
      </c>
      <c r="I99" t="s">
        <v>3459</v>
      </c>
      <c r="J99" t="s">
        <v>3459</v>
      </c>
      <c r="K99" t="s">
        <v>4254</v>
      </c>
      <c r="L99" t="s">
        <v>90</v>
      </c>
      <c r="M99" t="s">
        <v>5464</v>
      </c>
      <c r="N99" t="s">
        <v>3459</v>
      </c>
      <c r="O99" t="s">
        <v>5871</v>
      </c>
    </row>
    <row r="100" spans="1:15" x14ac:dyDescent="0.25">
      <c r="A100" t="s">
        <v>6090</v>
      </c>
      <c r="B100" t="s">
        <v>3515</v>
      </c>
      <c r="C100" t="s">
        <v>5361</v>
      </c>
      <c r="D100">
        <v>0</v>
      </c>
      <c r="E100" s="8" t="s">
        <v>6091</v>
      </c>
      <c r="F100" t="s">
        <v>6663</v>
      </c>
      <c r="G100" s="8" t="s">
        <v>6092</v>
      </c>
      <c r="H100" t="s">
        <v>6664</v>
      </c>
      <c r="I100">
        <v>0</v>
      </c>
      <c r="J100" t="s">
        <v>3459</v>
      </c>
      <c r="K100" t="s">
        <v>6090</v>
      </c>
      <c r="L100" t="s">
        <v>90</v>
      </c>
      <c r="M100" t="s">
        <v>5497</v>
      </c>
      <c r="N100" t="s">
        <v>3459</v>
      </c>
      <c r="O100" t="s">
        <v>5938</v>
      </c>
    </row>
    <row r="101" spans="1:15" x14ac:dyDescent="0.25">
      <c r="A101" t="s">
        <v>6093</v>
      </c>
      <c r="B101" t="s">
        <v>41</v>
      </c>
      <c r="C101" t="s">
        <v>5723</v>
      </c>
      <c r="D101">
        <v>1</v>
      </c>
      <c r="E101" t="s">
        <v>6094</v>
      </c>
      <c r="F101" t="s">
        <v>6665</v>
      </c>
      <c r="G101" t="s">
        <v>6095</v>
      </c>
      <c r="H101" t="s">
        <v>6666</v>
      </c>
      <c r="I101">
        <v>1</v>
      </c>
      <c r="J101" t="s">
        <v>6667</v>
      </c>
      <c r="K101" t="s">
        <v>6096</v>
      </c>
      <c r="L101" t="s">
        <v>90</v>
      </c>
      <c r="M101" t="s">
        <v>3459</v>
      </c>
      <c r="N101" t="s">
        <v>3459</v>
      </c>
      <c r="O101" t="s">
        <v>6097</v>
      </c>
    </row>
    <row r="102" spans="1:15" x14ac:dyDescent="0.25">
      <c r="A102" t="s">
        <v>6108</v>
      </c>
      <c r="B102" t="s">
        <v>41</v>
      </c>
      <c r="C102" t="s">
        <v>5361</v>
      </c>
      <c r="D102">
        <v>1</v>
      </c>
      <c r="E102" t="s">
        <v>6109</v>
      </c>
      <c r="F102" t="s">
        <v>6668</v>
      </c>
      <c r="G102" t="s">
        <v>6110</v>
      </c>
      <c r="H102" t="s">
        <v>6669</v>
      </c>
      <c r="I102">
        <v>1</v>
      </c>
      <c r="J102" t="s">
        <v>3459</v>
      </c>
      <c r="K102" t="s">
        <v>6108</v>
      </c>
      <c r="L102" t="s">
        <v>90</v>
      </c>
      <c r="M102" t="s">
        <v>3459</v>
      </c>
      <c r="N102" t="s">
        <v>3459</v>
      </c>
      <c r="O102" t="s">
        <v>5820</v>
      </c>
    </row>
    <row r="103" spans="1:15" x14ac:dyDescent="0.25">
      <c r="A103" t="s">
        <v>6111</v>
      </c>
      <c r="B103" t="s">
        <v>3515</v>
      </c>
      <c r="C103" t="s">
        <v>5361</v>
      </c>
      <c r="D103">
        <v>2</v>
      </c>
      <c r="E103" s="8" t="s">
        <v>6670</v>
      </c>
      <c r="F103" t="s">
        <v>6671</v>
      </c>
      <c r="G103" s="8" t="s">
        <v>6672</v>
      </c>
      <c r="H103" t="s">
        <v>6673</v>
      </c>
      <c r="I103">
        <v>2</v>
      </c>
      <c r="J103" t="s">
        <v>3459</v>
      </c>
      <c r="K103" t="s">
        <v>6114</v>
      </c>
      <c r="L103" t="s">
        <v>90</v>
      </c>
      <c r="M103" t="s">
        <v>3459</v>
      </c>
      <c r="N103" t="s">
        <v>3459</v>
      </c>
      <c r="O103" t="s">
        <v>6115</v>
      </c>
    </row>
    <row r="104" spans="1:15" x14ac:dyDescent="0.25">
      <c r="A104" t="s">
        <v>4694</v>
      </c>
      <c r="B104" t="s">
        <v>41</v>
      </c>
      <c r="C104" t="s">
        <v>5723</v>
      </c>
      <c r="D104">
        <v>2</v>
      </c>
      <c r="E104" t="s">
        <v>6674</v>
      </c>
      <c r="F104" t="s">
        <v>6675</v>
      </c>
      <c r="G104" t="s">
        <v>6674</v>
      </c>
      <c r="H104" t="s">
        <v>6675</v>
      </c>
      <c r="I104">
        <v>2</v>
      </c>
      <c r="J104" t="s">
        <v>6676</v>
      </c>
      <c r="K104" t="s">
        <v>4697</v>
      </c>
      <c r="L104" t="s">
        <v>1046</v>
      </c>
      <c r="M104" t="s">
        <v>3459</v>
      </c>
      <c r="N104" t="s">
        <v>4262</v>
      </c>
      <c r="O104" t="s">
        <v>5756</v>
      </c>
    </row>
    <row r="105" spans="1:15" x14ac:dyDescent="0.25">
      <c r="A105" t="s">
        <v>6117</v>
      </c>
      <c r="B105" t="s">
        <v>3503</v>
      </c>
      <c r="C105" t="s">
        <v>5361</v>
      </c>
      <c r="D105">
        <v>1</v>
      </c>
      <c r="E105" s="8" t="s">
        <v>6118</v>
      </c>
      <c r="F105" t="s">
        <v>6677</v>
      </c>
      <c r="G105" s="8" t="s">
        <v>6119</v>
      </c>
      <c r="H105" t="s">
        <v>6678</v>
      </c>
      <c r="I105">
        <v>1</v>
      </c>
      <c r="J105" t="s">
        <v>3459</v>
      </c>
      <c r="K105" t="s">
        <v>6120</v>
      </c>
      <c r="L105" t="s">
        <v>90</v>
      </c>
      <c r="M105" t="s">
        <v>3459</v>
      </c>
      <c r="N105" t="s">
        <v>3459</v>
      </c>
      <c r="O105" t="s">
        <v>5928</v>
      </c>
    </row>
    <row r="106" spans="1:15" x14ac:dyDescent="0.25">
      <c r="A106" t="s">
        <v>4703</v>
      </c>
      <c r="B106" t="s">
        <v>41</v>
      </c>
      <c r="C106" t="s">
        <v>5723</v>
      </c>
      <c r="D106">
        <v>1</v>
      </c>
      <c r="E106" s="8" t="s">
        <v>6679</v>
      </c>
      <c r="F106" t="s">
        <v>6680</v>
      </c>
      <c r="G106" s="8" t="s">
        <v>6679</v>
      </c>
      <c r="H106" t="s">
        <v>6680</v>
      </c>
      <c r="I106">
        <v>1</v>
      </c>
      <c r="J106" t="s">
        <v>6418</v>
      </c>
      <c r="K106" t="s">
        <v>4706</v>
      </c>
      <c r="L106" t="s">
        <v>1046</v>
      </c>
      <c r="M106" t="s">
        <v>3459</v>
      </c>
      <c r="N106" t="s">
        <v>3459</v>
      </c>
      <c r="O106" t="s">
        <v>5756</v>
      </c>
    </row>
    <row r="107" spans="1:15" x14ac:dyDescent="0.25">
      <c r="A107" t="s">
        <v>6129</v>
      </c>
      <c r="B107" t="s">
        <v>3503</v>
      </c>
      <c r="C107" t="s">
        <v>5361</v>
      </c>
      <c r="D107" t="s">
        <v>5947</v>
      </c>
      <c r="E107" s="8" t="s">
        <v>6681</v>
      </c>
      <c r="F107" t="s">
        <v>6682</v>
      </c>
      <c r="G107" s="8" t="s">
        <v>6683</v>
      </c>
      <c r="H107" t="s">
        <v>6684</v>
      </c>
      <c r="I107" t="s">
        <v>5947</v>
      </c>
      <c r="J107" t="s">
        <v>3459</v>
      </c>
      <c r="K107" t="s">
        <v>6129</v>
      </c>
      <c r="L107" t="s">
        <v>90</v>
      </c>
      <c r="M107" t="s">
        <v>5497</v>
      </c>
      <c r="N107" t="s">
        <v>3459</v>
      </c>
      <c r="O107" t="s">
        <v>6132</v>
      </c>
    </row>
    <row r="108" spans="1:15" x14ac:dyDescent="0.25">
      <c r="A108" t="s">
        <v>6133</v>
      </c>
      <c r="B108" t="s">
        <v>3515</v>
      </c>
      <c r="C108" t="s">
        <v>5723</v>
      </c>
      <c r="D108">
        <v>0</v>
      </c>
      <c r="E108" s="8" t="s">
        <v>6134</v>
      </c>
      <c r="F108" t="s">
        <v>6685</v>
      </c>
      <c r="G108" s="8" t="s">
        <v>6135</v>
      </c>
      <c r="H108" t="s">
        <v>6686</v>
      </c>
      <c r="I108">
        <v>0</v>
      </c>
      <c r="J108" t="s">
        <v>6393</v>
      </c>
      <c r="K108" t="s">
        <v>6136</v>
      </c>
      <c r="L108" t="s">
        <v>90</v>
      </c>
      <c r="M108" t="s">
        <v>3459</v>
      </c>
      <c r="N108" t="s">
        <v>3459</v>
      </c>
      <c r="O108" t="s">
        <v>5778</v>
      </c>
    </row>
    <row r="109" spans="1:15" x14ac:dyDescent="0.25">
      <c r="A109" t="s">
        <v>5698</v>
      </c>
      <c r="B109" t="s">
        <v>3547</v>
      </c>
      <c r="C109" t="s">
        <v>5723</v>
      </c>
      <c r="D109">
        <v>0</v>
      </c>
      <c r="E109" t="s">
        <v>6146</v>
      </c>
      <c r="F109" t="s">
        <v>6687</v>
      </c>
      <c r="G109" t="s">
        <v>6147</v>
      </c>
      <c r="H109" t="s">
        <v>6688</v>
      </c>
      <c r="I109">
        <v>0</v>
      </c>
      <c r="J109" t="s">
        <v>6401</v>
      </c>
      <c r="K109" t="s">
        <v>5698</v>
      </c>
      <c r="L109" t="s">
        <v>90</v>
      </c>
      <c r="M109" t="s">
        <v>3459</v>
      </c>
      <c r="N109" t="s">
        <v>3459</v>
      </c>
      <c r="O109" t="s">
        <v>5754</v>
      </c>
    </row>
    <row r="110" spans="1:15" x14ac:dyDescent="0.25">
      <c r="A110" t="s">
        <v>6148</v>
      </c>
      <c r="B110" t="s">
        <v>3503</v>
      </c>
      <c r="C110" t="s">
        <v>5361</v>
      </c>
      <c r="D110">
        <v>3</v>
      </c>
      <c r="E110" s="8" t="s">
        <v>6689</v>
      </c>
      <c r="F110" t="s">
        <v>6690</v>
      </c>
      <c r="G110" s="8" t="s">
        <v>6689</v>
      </c>
      <c r="H110" t="s">
        <v>6690</v>
      </c>
      <c r="I110">
        <v>2</v>
      </c>
      <c r="J110" t="s">
        <v>3459</v>
      </c>
      <c r="K110" t="s">
        <v>6148</v>
      </c>
      <c r="L110" t="s">
        <v>90</v>
      </c>
      <c r="M110" t="s">
        <v>3459</v>
      </c>
      <c r="N110" t="s">
        <v>3459</v>
      </c>
      <c r="O110" t="s">
        <v>5993</v>
      </c>
    </row>
    <row r="111" spans="1:15" x14ac:dyDescent="0.25">
      <c r="A111" t="s">
        <v>6154</v>
      </c>
      <c r="B111" t="s">
        <v>3503</v>
      </c>
      <c r="C111" t="s">
        <v>5361</v>
      </c>
      <c r="D111">
        <v>0</v>
      </c>
      <c r="E111" s="8" t="s">
        <v>6155</v>
      </c>
      <c r="F111" t="s">
        <v>6691</v>
      </c>
      <c r="G111" s="8" t="s">
        <v>6156</v>
      </c>
      <c r="H111" t="s">
        <v>6692</v>
      </c>
      <c r="I111">
        <v>0</v>
      </c>
      <c r="J111" t="s">
        <v>3459</v>
      </c>
      <c r="K111" t="s">
        <v>6154</v>
      </c>
      <c r="L111" t="s">
        <v>90</v>
      </c>
      <c r="M111" t="s">
        <v>5497</v>
      </c>
      <c r="N111" t="s">
        <v>3459</v>
      </c>
      <c r="O111" t="s">
        <v>6157</v>
      </c>
    </row>
    <row r="112" spans="1:15" x14ac:dyDescent="0.25">
      <c r="A112" t="s">
        <v>6158</v>
      </c>
      <c r="B112" t="s">
        <v>41</v>
      </c>
      <c r="C112" t="s">
        <v>5361</v>
      </c>
      <c r="D112">
        <v>1</v>
      </c>
      <c r="E112" s="8" t="s">
        <v>6159</v>
      </c>
      <c r="F112" t="s">
        <v>6693</v>
      </c>
      <c r="G112" s="8" t="s">
        <v>6160</v>
      </c>
      <c r="H112" t="s">
        <v>6694</v>
      </c>
      <c r="I112">
        <v>1</v>
      </c>
      <c r="J112" t="s">
        <v>3459</v>
      </c>
      <c r="K112" t="s">
        <v>6158</v>
      </c>
      <c r="L112" t="s">
        <v>90</v>
      </c>
      <c r="M112" t="s">
        <v>3459</v>
      </c>
      <c r="N112" t="s">
        <v>3459</v>
      </c>
      <c r="O112" t="s">
        <v>5824</v>
      </c>
    </row>
    <row r="113" spans="1:15" x14ac:dyDescent="0.25">
      <c r="A113" t="s">
        <v>6161</v>
      </c>
      <c r="B113" t="s">
        <v>4298</v>
      </c>
      <c r="C113" t="s">
        <v>4246</v>
      </c>
      <c r="D113" t="s">
        <v>3998</v>
      </c>
      <c r="E113" t="s">
        <v>6162</v>
      </c>
      <c r="F113" t="s">
        <v>6695</v>
      </c>
      <c r="G113" t="s">
        <v>3459</v>
      </c>
      <c r="H113" t="s">
        <v>3459</v>
      </c>
      <c r="I113" t="s">
        <v>3459</v>
      </c>
      <c r="J113" t="s">
        <v>3459</v>
      </c>
      <c r="K113" t="s">
        <v>6161</v>
      </c>
      <c r="L113" t="s">
        <v>90</v>
      </c>
      <c r="M113" t="s">
        <v>5464</v>
      </c>
      <c r="N113" t="s">
        <v>3459</v>
      </c>
      <c r="O113" t="s">
        <v>5871</v>
      </c>
    </row>
    <row r="114" spans="1:15" x14ac:dyDescent="0.25">
      <c r="A114" t="s">
        <v>6163</v>
      </c>
      <c r="B114" t="s">
        <v>41</v>
      </c>
      <c r="C114" t="s">
        <v>5723</v>
      </c>
      <c r="D114">
        <v>2</v>
      </c>
      <c r="E114" s="8" t="s">
        <v>6164</v>
      </c>
      <c r="F114" t="s">
        <v>6696</v>
      </c>
      <c r="G114" s="8" t="s">
        <v>6165</v>
      </c>
      <c r="H114" t="s">
        <v>6697</v>
      </c>
      <c r="I114">
        <v>2</v>
      </c>
      <c r="J114" t="s">
        <v>6410</v>
      </c>
      <c r="K114" t="s">
        <v>6166</v>
      </c>
      <c r="L114" t="s">
        <v>90</v>
      </c>
      <c r="M114" t="s">
        <v>3459</v>
      </c>
      <c r="N114" t="s">
        <v>3459</v>
      </c>
      <c r="O114" t="s">
        <v>6060</v>
      </c>
    </row>
    <row r="115" spans="1:15" x14ac:dyDescent="0.25">
      <c r="A115" t="s">
        <v>6167</v>
      </c>
      <c r="B115" t="s">
        <v>3503</v>
      </c>
      <c r="C115" t="s">
        <v>5361</v>
      </c>
      <c r="D115">
        <v>1</v>
      </c>
      <c r="E115" s="8" t="s">
        <v>6168</v>
      </c>
      <c r="F115" t="s">
        <v>6698</v>
      </c>
      <c r="G115" s="8" t="s">
        <v>6168</v>
      </c>
      <c r="H115" t="s">
        <v>6698</v>
      </c>
      <c r="I115">
        <v>0</v>
      </c>
      <c r="J115" t="s">
        <v>3459</v>
      </c>
      <c r="K115" t="s">
        <v>6169</v>
      </c>
      <c r="L115" t="s">
        <v>90</v>
      </c>
      <c r="M115" t="s">
        <v>3459</v>
      </c>
      <c r="N115" t="s">
        <v>3459</v>
      </c>
      <c r="O115" t="s">
        <v>5778</v>
      </c>
    </row>
    <row r="116" spans="1:15" x14ac:dyDescent="0.25">
      <c r="A116" t="s">
        <v>6170</v>
      </c>
      <c r="B116" t="s">
        <v>41</v>
      </c>
      <c r="C116" t="s">
        <v>5361</v>
      </c>
      <c r="D116">
        <v>1</v>
      </c>
      <c r="E116" s="8" t="s">
        <v>6699</v>
      </c>
      <c r="F116" t="s">
        <v>6700</v>
      </c>
      <c r="G116" s="8" t="s">
        <v>6701</v>
      </c>
      <c r="H116" t="s">
        <v>6702</v>
      </c>
      <c r="I116">
        <v>1</v>
      </c>
      <c r="J116" t="s">
        <v>3459</v>
      </c>
      <c r="K116" t="s">
        <v>6173</v>
      </c>
      <c r="L116" t="s">
        <v>90</v>
      </c>
      <c r="M116" t="s">
        <v>5497</v>
      </c>
      <c r="N116" t="s">
        <v>3459</v>
      </c>
      <c r="O116" t="s">
        <v>6132</v>
      </c>
    </row>
    <row r="117" spans="1:15" x14ac:dyDescent="0.25">
      <c r="A117" t="s">
        <v>6174</v>
      </c>
      <c r="B117" t="s">
        <v>41</v>
      </c>
      <c r="C117" t="s">
        <v>5723</v>
      </c>
      <c r="D117">
        <v>1</v>
      </c>
      <c r="E117" s="8" t="s">
        <v>6175</v>
      </c>
      <c r="F117" t="s">
        <v>6703</v>
      </c>
      <c r="G117" s="8" t="s">
        <v>6176</v>
      </c>
      <c r="H117" t="s">
        <v>6704</v>
      </c>
      <c r="I117">
        <v>1</v>
      </c>
      <c r="J117" t="s">
        <v>6401</v>
      </c>
      <c r="K117" t="s">
        <v>6177</v>
      </c>
      <c r="L117" t="s">
        <v>90</v>
      </c>
      <c r="M117" t="s">
        <v>3459</v>
      </c>
      <c r="N117" t="s">
        <v>5255</v>
      </c>
      <c r="O117" t="s">
        <v>5754</v>
      </c>
    </row>
    <row r="118" spans="1:15" x14ac:dyDescent="0.25">
      <c r="A118" t="s">
        <v>6178</v>
      </c>
      <c r="B118" t="s">
        <v>41</v>
      </c>
      <c r="C118" t="s">
        <v>5723</v>
      </c>
      <c r="D118">
        <v>1</v>
      </c>
      <c r="E118" t="s">
        <v>6179</v>
      </c>
      <c r="F118" t="s">
        <v>6705</v>
      </c>
      <c r="G118" t="s">
        <v>6180</v>
      </c>
      <c r="H118" t="s">
        <v>6706</v>
      </c>
      <c r="I118">
        <v>1</v>
      </c>
      <c r="J118" t="s">
        <v>6410</v>
      </c>
      <c r="K118" t="s">
        <v>6181</v>
      </c>
      <c r="L118" t="s">
        <v>90</v>
      </c>
      <c r="M118" t="s">
        <v>3459</v>
      </c>
      <c r="N118" t="s">
        <v>3459</v>
      </c>
      <c r="O118" t="s">
        <v>6707</v>
      </c>
    </row>
    <row r="119" spans="1:15" x14ac:dyDescent="0.25">
      <c r="A119" t="s">
        <v>6183</v>
      </c>
      <c r="B119" t="s">
        <v>3515</v>
      </c>
      <c r="C119" t="s">
        <v>5361</v>
      </c>
      <c r="D119">
        <v>1</v>
      </c>
      <c r="E119" s="8" t="s">
        <v>6184</v>
      </c>
      <c r="F119" t="s">
        <v>6708</v>
      </c>
      <c r="G119" s="8" t="s">
        <v>6185</v>
      </c>
      <c r="H119" t="s">
        <v>6709</v>
      </c>
      <c r="I119">
        <v>1</v>
      </c>
      <c r="J119" t="s">
        <v>3459</v>
      </c>
      <c r="K119" t="s">
        <v>6186</v>
      </c>
      <c r="L119" t="s">
        <v>90</v>
      </c>
      <c r="M119" t="s">
        <v>3459</v>
      </c>
      <c r="N119" t="s">
        <v>3459</v>
      </c>
      <c r="O119" t="s">
        <v>6187</v>
      </c>
    </row>
    <row r="120" spans="1:15" x14ac:dyDescent="0.25">
      <c r="A120" t="s">
        <v>6188</v>
      </c>
      <c r="B120" t="s">
        <v>41</v>
      </c>
      <c r="C120" t="s">
        <v>5723</v>
      </c>
      <c r="D120">
        <v>2</v>
      </c>
      <c r="E120" s="8" t="s">
        <v>6710</v>
      </c>
      <c r="F120" t="s">
        <v>6711</v>
      </c>
      <c r="G120" s="8" t="s">
        <v>6712</v>
      </c>
      <c r="H120" t="s">
        <v>6713</v>
      </c>
      <c r="I120" t="s">
        <v>3459</v>
      </c>
      <c r="J120" t="s">
        <v>6393</v>
      </c>
      <c r="K120" t="s">
        <v>6188</v>
      </c>
      <c r="L120" t="s">
        <v>90</v>
      </c>
      <c r="M120" t="s">
        <v>3459</v>
      </c>
      <c r="N120" t="s">
        <v>3459</v>
      </c>
      <c r="O120" t="s">
        <v>6206</v>
      </c>
    </row>
    <row r="121" spans="1:15" x14ac:dyDescent="0.25">
      <c r="A121" t="s">
        <v>6191</v>
      </c>
      <c r="B121" t="s">
        <v>41</v>
      </c>
      <c r="C121" t="s">
        <v>5361</v>
      </c>
      <c r="D121">
        <v>0</v>
      </c>
      <c r="E121" s="8" t="s">
        <v>6192</v>
      </c>
      <c r="F121" t="s">
        <v>6714</v>
      </c>
      <c r="G121" s="8" t="s">
        <v>6193</v>
      </c>
      <c r="H121" t="s">
        <v>6715</v>
      </c>
      <c r="I121" t="s">
        <v>3459</v>
      </c>
      <c r="J121" t="s">
        <v>3459</v>
      </c>
      <c r="K121" t="s">
        <v>6191</v>
      </c>
      <c r="L121" t="s">
        <v>90</v>
      </c>
      <c r="M121" t="s">
        <v>3459</v>
      </c>
      <c r="N121" t="s">
        <v>3459</v>
      </c>
      <c r="O121" t="s">
        <v>5709</v>
      </c>
    </row>
    <row r="122" spans="1:15" x14ac:dyDescent="0.25">
      <c r="A122" t="s">
        <v>5120</v>
      </c>
      <c r="B122" t="s">
        <v>4298</v>
      </c>
      <c r="C122" t="s">
        <v>4246</v>
      </c>
      <c r="D122">
        <v>1</v>
      </c>
      <c r="E122" s="3" t="s">
        <v>6716</v>
      </c>
      <c r="F122" t="s">
        <v>6717</v>
      </c>
      <c r="G122" t="s">
        <v>3459</v>
      </c>
      <c r="H122" t="s">
        <v>3459</v>
      </c>
      <c r="I122" t="s">
        <v>3459</v>
      </c>
      <c r="J122" t="s">
        <v>3459</v>
      </c>
      <c r="K122" t="s">
        <v>5120</v>
      </c>
      <c r="L122" t="s">
        <v>90</v>
      </c>
      <c r="M122" t="s">
        <v>6408</v>
      </c>
      <c r="N122" t="s">
        <v>3459</v>
      </c>
      <c r="O122" t="s">
        <v>5871</v>
      </c>
    </row>
    <row r="123" spans="1:15" x14ac:dyDescent="0.25">
      <c r="A123" t="s">
        <v>6194</v>
      </c>
      <c r="B123" t="s">
        <v>3515</v>
      </c>
      <c r="C123" t="s">
        <v>5723</v>
      </c>
      <c r="D123">
        <v>1</v>
      </c>
      <c r="E123" s="8" t="s">
        <v>6195</v>
      </c>
      <c r="F123" t="s">
        <v>6718</v>
      </c>
      <c r="G123" s="8" t="s">
        <v>6196</v>
      </c>
      <c r="H123" t="s">
        <v>6719</v>
      </c>
      <c r="I123">
        <v>1</v>
      </c>
      <c r="J123" t="s">
        <v>6401</v>
      </c>
      <c r="K123" t="s">
        <v>6194</v>
      </c>
      <c r="L123" t="s">
        <v>90</v>
      </c>
      <c r="M123" t="s">
        <v>5497</v>
      </c>
      <c r="N123" t="s">
        <v>3459</v>
      </c>
      <c r="O123" t="s">
        <v>6005</v>
      </c>
    </row>
    <row r="124" spans="1:15" x14ac:dyDescent="0.25">
      <c r="A124" t="s">
        <v>5145</v>
      </c>
      <c r="B124" t="s">
        <v>4298</v>
      </c>
      <c r="C124" t="s">
        <v>4246</v>
      </c>
      <c r="D124" t="s">
        <v>3998</v>
      </c>
      <c r="E124" t="s">
        <v>6197</v>
      </c>
      <c r="F124" t="s">
        <v>6720</v>
      </c>
      <c r="G124" t="s">
        <v>3459</v>
      </c>
      <c r="H124" t="s">
        <v>3459</v>
      </c>
      <c r="I124" t="s">
        <v>3459</v>
      </c>
      <c r="J124" t="s">
        <v>3459</v>
      </c>
      <c r="K124" t="s">
        <v>6198</v>
      </c>
      <c r="L124" t="s">
        <v>1649</v>
      </c>
      <c r="M124" t="s">
        <v>5464</v>
      </c>
      <c r="N124" t="s">
        <v>3459</v>
      </c>
    </row>
    <row r="125" spans="1:15" x14ac:dyDescent="0.25">
      <c r="A125" t="s">
        <v>6202</v>
      </c>
      <c r="B125" t="s">
        <v>41</v>
      </c>
      <c r="C125" t="s">
        <v>5723</v>
      </c>
      <c r="D125">
        <v>1</v>
      </c>
      <c r="E125" s="8" t="s">
        <v>6203</v>
      </c>
      <c r="F125" t="s">
        <v>6721</v>
      </c>
      <c r="G125" s="8" t="s">
        <v>6204</v>
      </c>
      <c r="H125" t="s">
        <v>6722</v>
      </c>
      <c r="I125">
        <v>1</v>
      </c>
      <c r="J125" t="s">
        <v>6485</v>
      </c>
      <c r="K125" t="s">
        <v>6205</v>
      </c>
      <c r="L125" t="s">
        <v>90</v>
      </c>
      <c r="M125" t="s">
        <v>3459</v>
      </c>
      <c r="N125" t="s">
        <v>3459</v>
      </c>
      <c r="O125" t="s">
        <v>6206</v>
      </c>
    </row>
    <row r="126" spans="1:15" x14ac:dyDescent="0.25">
      <c r="A126" t="s">
        <v>5363</v>
      </c>
      <c r="B126" t="s">
        <v>3515</v>
      </c>
      <c r="C126" t="s">
        <v>5361</v>
      </c>
      <c r="D126">
        <v>0</v>
      </c>
      <c r="E126" s="8" t="s">
        <v>6207</v>
      </c>
      <c r="F126" t="s">
        <v>6723</v>
      </c>
      <c r="G126" s="8" t="s">
        <v>6208</v>
      </c>
      <c r="H126" t="s">
        <v>6724</v>
      </c>
      <c r="I126">
        <v>0</v>
      </c>
      <c r="J126" t="s">
        <v>3459</v>
      </c>
      <c r="K126" t="s">
        <v>5363</v>
      </c>
      <c r="L126" t="s">
        <v>90</v>
      </c>
      <c r="M126" t="s">
        <v>3459</v>
      </c>
      <c r="N126" t="s">
        <v>3459</v>
      </c>
      <c r="O126" t="s">
        <v>5740</v>
      </c>
    </row>
    <row r="127" spans="1:15" x14ac:dyDescent="0.25">
      <c r="A127" t="s">
        <v>6209</v>
      </c>
      <c r="B127" t="s">
        <v>3515</v>
      </c>
      <c r="C127" t="s">
        <v>5723</v>
      </c>
      <c r="D127">
        <v>1</v>
      </c>
      <c r="E127" s="8" t="s">
        <v>6210</v>
      </c>
      <c r="F127" t="s">
        <v>6725</v>
      </c>
      <c r="G127" s="8" t="s">
        <v>6211</v>
      </c>
      <c r="H127" t="s">
        <v>6726</v>
      </c>
      <c r="I127">
        <v>1</v>
      </c>
      <c r="J127" t="s">
        <v>6485</v>
      </c>
      <c r="K127" t="s">
        <v>6209</v>
      </c>
      <c r="L127" t="s">
        <v>90</v>
      </c>
      <c r="M127" t="s">
        <v>3459</v>
      </c>
      <c r="N127" t="s">
        <v>3459</v>
      </c>
      <c r="O127" t="s">
        <v>6060</v>
      </c>
    </row>
    <row r="128" spans="1:15" x14ac:dyDescent="0.25">
      <c r="A128" t="s">
        <v>6213</v>
      </c>
      <c r="B128" t="s">
        <v>3503</v>
      </c>
      <c r="C128" t="s">
        <v>5723</v>
      </c>
      <c r="D128">
        <v>2</v>
      </c>
      <c r="E128" t="s">
        <v>6214</v>
      </c>
      <c r="F128" t="s">
        <v>6727</v>
      </c>
      <c r="G128" t="s">
        <v>6215</v>
      </c>
      <c r="H128" t="s">
        <v>6728</v>
      </c>
      <c r="I128">
        <v>2</v>
      </c>
      <c r="J128" t="s">
        <v>6490</v>
      </c>
      <c r="K128" t="s">
        <v>6213</v>
      </c>
      <c r="L128" t="s">
        <v>90</v>
      </c>
      <c r="M128" t="s">
        <v>6729</v>
      </c>
      <c r="N128" t="s">
        <v>3459</v>
      </c>
      <c r="O128" t="s">
        <v>5997</v>
      </c>
    </row>
    <row r="129" spans="1:15" x14ac:dyDescent="0.25">
      <c r="A129" t="s">
        <v>6216</v>
      </c>
      <c r="B129" t="s">
        <v>3515</v>
      </c>
      <c r="C129" t="s">
        <v>5723</v>
      </c>
      <c r="D129">
        <v>0</v>
      </c>
      <c r="E129" s="8" t="s">
        <v>6730</v>
      </c>
      <c r="F129" t="s">
        <v>6731</v>
      </c>
      <c r="G129" s="8" t="s">
        <v>6732</v>
      </c>
      <c r="H129" t="s">
        <v>6733</v>
      </c>
      <c r="I129">
        <v>0</v>
      </c>
      <c r="J129" t="s">
        <v>6451</v>
      </c>
      <c r="K129" t="s">
        <v>6219</v>
      </c>
      <c r="L129" t="s">
        <v>90</v>
      </c>
      <c r="M129" t="s">
        <v>3459</v>
      </c>
      <c r="N129" t="s">
        <v>3459</v>
      </c>
      <c r="O129" t="s">
        <v>6220</v>
      </c>
    </row>
    <row r="130" spans="1:15" x14ac:dyDescent="0.25">
      <c r="A130" t="s">
        <v>6224</v>
      </c>
      <c r="B130" t="s">
        <v>3515</v>
      </c>
      <c r="C130" t="s">
        <v>5361</v>
      </c>
      <c r="D130" t="s">
        <v>3998</v>
      </c>
      <c r="E130" t="s">
        <v>6225</v>
      </c>
      <c r="F130" t="s">
        <v>6734</v>
      </c>
      <c r="G130" t="s">
        <v>6226</v>
      </c>
      <c r="H130" t="s">
        <v>6735</v>
      </c>
      <c r="I130" t="s">
        <v>3998</v>
      </c>
      <c r="J130" t="s">
        <v>3459</v>
      </c>
      <c r="K130" t="s">
        <v>6224</v>
      </c>
      <c r="L130" t="s">
        <v>90</v>
      </c>
      <c r="M130" t="s">
        <v>5462</v>
      </c>
      <c r="N130" t="s">
        <v>3459</v>
      </c>
      <c r="O130" t="s">
        <v>5838</v>
      </c>
    </row>
    <row r="131" spans="1:15" x14ac:dyDescent="0.25">
      <c r="A131" t="s">
        <v>5110</v>
      </c>
      <c r="B131" t="s">
        <v>4298</v>
      </c>
      <c r="C131" t="s">
        <v>4246</v>
      </c>
      <c r="D131" t="s">
        <v>3998</v>
      </c>
      <c r="E131" t="s">
        <v>6227</v>
      </c>
      <c r="F131" t="s">
        <v>6736</v>
      </c>
      <c r="G131" t="s">
        <v>3459</v>
      </c>
      <c r="H131" t="s">
        <v>3459</v>
      </c>
      <c r="I131" t="s">
        <v>3459</v>
      </c>
      <c r="J131" t="s">
        <v>3459</v>
      </c>
      <c r="K131" t="s">
        <v>5110</v>
      </c>
      <c r="L131" t="s">
        <v>90</v>
      </c>
      <c r="M131" t="s">
        <v>5464</v>
      </c>
      <c r="N131" t="s">
        <v>3459</v>
      </c>
      <c r="O131" t="s">
        <v>5871</v>
      </c>
    </row>
    <row r="132" spans="1:15" x14ac:dyDescent="0.25">
      <c r="A132" t="s">
        <v>6228</v>
      </c>
      <c r="B132" t="s">
        <v>3515</v>
      </c>
      <c r="C132" t="s">
        <v>5723</v>
      </c>
      <c r="D132">
        <v>2</v>
      </c>
      <c r="E132" s="8" t="s">
        <v>6229</v>
      </c>
      <c r="F132" t="s">
        <v>6737</v>
      </c>
      <c r="G132" s="8" t="s">
        <v>6230</v>
      </c>
      <c r="H132" t="s">
        <v>6738</v>
      </c>
      <c r="I132" t="s">
        <v>3459</v>
      </c>
      <c r="J132" t="s">
        <v>6401</v>
      </c>
      <c r="K132" t="s">
        <v>6231</v>
      </c>
      <c r="L132" t="s">
        <v>90</v>
      </c>
      <c r="M132" t="s">
        <v>3459</v>
      </c>
      <c r="N132" t="s">
        <v>3459</v>
      </c>
      <c r="O132" t="s">
        <v>5778</v>
      </c>
    </row>
    <row r="133" spans="1:15" x14ac:dyDescent="0.25">
      <c r="A133" t="s">
        <v>4817</v>
      </c>
      <c r="B133" t="s">
        <v>3515</v>
      </c>
      <c r="C133" t="s">
        <v>5361</v>
      </c>
      <c r="D133">
        <v>1</v>
      </c>
      <c r="E133" s="8" t="s">
        <v>6239</v>
      </c>
      <c r="F133" t="s">
        <v>6739</v>
      </c>
      <c r="G133" s="8" t="s">
        <v>6239</v>
      </c>
      <c r="H133" t="s">
        <v>6739</v>
      </c>
      <c r="I133">
        <v>1</v>
      </c>
      <c r="J133" t="s">
        <v>6485</v>
      </c>
      <c r="K133" t="s">
        <v>4820</v>
      </c>
      <c r="L133" t="s">
        <v>1649</v>
      </c>
      <c r="M133" t="s">
        <v>3459</v>
      </c>
      <c r="N133" t="s">
        <v>3459</v>
      </c>
      <c r="O133" t="s">
        <v>6740</v>
      </c>
    </row>
    <row r="134" spans="1:15" x14ac:dyDescent="0.25">
      <c r="A134" t="s">
        <v>6240</v>
      </c>
      <c r="B134" t="s">
        <v>3515</v>
      </c>
      <c r="C134" t="s">
        <v>5723</v>
      </c>
      <c r="D134">
        <v>2</v>
      </c>
      <c r="E134" s="8" t="s">
        <v>6741</v>
      </c>
      <c r="F134" t="s">
        <v>6742</v>
      </c>
      <c r="G134" s="8" t="s">
        <v>3459</v>
      </c>
      <c r="H134" t="s">
        <v>3459</v>
      </c>
      <c r="I134" t="s">
        <v>3459</v>
      </c>
      <c r="J134" t="s">
        <v>6410</v>
      </c>
      <c r="K134" t="s">
        <v>6242</v>
      </c>
      <c r="L134" t="s">
        <v>90</v>
      </c>
      <c r="M134" t="s">
        <v>3459</v>
      </c>
      <c r="N134" t="s">
        <v>4262</v>
      </c>
      <c r="O134" t="s">
        <v>6060</v>
      </c>
    </row>
    <row r="135" spans="1:15" x14ac:dyDescent="0.25">
      <c r="A135" t="s">
        <v>6243</v>
      </c>
      <c r="B135" t="s">
        <v>3515</v>
      </c>
      <c r="C135" t="s">
        <v>5361</v>
      </c>
      <c r="D135">
        <v>1</v>
      </c>
      <c r="E135" s="8" t="s">
        <v>6244</v>
      </c>
      <c r="F135" t="s">
        <v>6743</v>
      </c>
      <c r="G135" s="8" t="s">
        <v>6245</v>
      </c>
      <c r="H135" t="s">
        <v>6744</v>
      </c>
      <c r="I135">
        <v>1</v>
      </c>
      <c r="J135" t="s">
        <v>3459</v>
      </c>
      <c r="K135" t="s">
        <v>6246</v>
      </c>
      <c r="L135" t="s">
        <v>90</v>
      </c>
      <c r="M135" t="s">
        <v>3459</v>
      </c>
      <c r="N135" t="s">
        <v>3459</v>
      </c>
      <c r="O135" t="s">
        <v>6000</v>
      </c>
    </row>
    <row r="136" spans="1:15" x14ac:dyDescent="0.25">
      <c r="A136" t="s">
        <v>6247</v>
      </c>
      <c r="B136" t="s">
        <v>3515</v>
      </c>
      <c r="C136" t="s">
        <v>5361</v>
      </c>
      <c r="D136">
        <v>1</v>
      </c>
      <c r="E136" s="8" t="s">
        <v>6248</v>
      </c>
      <c r="F136" t="s">
        <v>6745</v>
      </c>
      <c r="G136" s="8" t="s">
        <v>6248</v>
      </c>
      <c r="H136" t="s">
        <v>6745</v>
      </c>
      <c r="I136">
        <v>0</v>
      </c>
      <c r="J136" t="s">
        <v>3459</v>
      </c>
      <c r="K136" t="s">
        <v>6249</v>
      </c>
      <c r="L136" t="s">
        <v>90</v>
      </c>
      <c r="M136" t="s">
        <v>5497</v>
      </c>
      <c r="N136" t="s">
        <v>3459</v>
      </c>
      <c r="O136" t="s">
        <v>6250</v>
      </c>
    </row>
    <row r="137" spans="1:15" x14ac:dyDescent="0.25">
      <c r="A137" t="s">
        <v>6251</v>
      </c>
      <c r="B137" t="s">
        <v>3503</v>
      </c>
      <c r="C137" t="s">
        <v>5361</v>
      </c>
      <c r="D137">
        <v>0</v>
      </c>
      <c r="E137" s="8" t="s">
        <v>6746</v>
      </c>
      <c r="F137" t="s">
        <v>6747</v>
      </c>
      <c r="G137" s="8" t="s">
        <v>6748</v>
      </c>
      <c r="H137" t="s">
        <v>6749</v>
      </c>
      <c r="I137">
        <v>0</v>
      </c>
      <c r="J137" t="s">
        <v>3459</v>
      </c>
      <c r="K137" t="s">
        <v>6251</v>
      </c>
      <c r="L137" t="s">
        <v>90</v>
      </c>
      <c r="M137" t="s">
        <v>5497</v>
      </c>
      <c r="N137" t="s">
        <v>3459</v>
      </c>
      <c r="O137" t="s">
        <v>6254</v>
      </c>
    </row>
    <row r="138" spans="1:15" x14ac:dyDescent="0.25">
      <c r="A138" t="s">
        <v>6255</v>
      </c>
      <c r="B138" t="s">
        <v>3515</v>
      </c>
      <c r="C138" t="s">
        <v>5361</v>
      </c>
      <c r="D138">
        <v>1</v>
      </c>
      <c r="E138" s="8" t="s">
        <v>6256</v>
      </c>
      <c r="F138" t="s">
        <v>6750</v>
      </c>
      <c r="G138" s="8" t="s">
        <v>6257</v>
      </c>
      <c r="H138" t="s">
        <v>6751</v>
      </c>
      <c r="I138">
        <v>1</v>
      </c>
      <c r="J138" t="s">
        <v>3459</v>
      </c>
      <c r="K138" t="s">
        <v>6255</v>
      </c>
      <c r="L138" t="s">
        <v>90</v>
      </c>
      <c r="M138" t="s">
        <v>3459</v>
      </c>
      <c r="N138" t="s">
        <v>3459</v>
      </c>
      <c r="O138" t="s">
        <v>6000</v>
      </c>
    </row>
    <row r="139" spans="1:15" x14ac:dyDescent="0.25">
      <c r="A139" t="s">
        <v>6258</v>
      </c>
      <c r="B139" t="s">
        <v>3515</v>
      </c>
      <c r="C139" t="s">
        <v>5361</v>
      </c>
      <c r="D139">
        <v>1</v>
      </c>
      <c r="E139" s="8" t="s">
        <v>6752</v>
      </c>
      <c r="F139" t="s">
        <v>6753</v>
      </c>
      <c r="G139" s="8" t="s">
        <v>6752</v>
      </c>
      <c r="H139" t="s">
        <v>6753</v>
      </c>
      <c r="I139">
        <v>0</v>
      </c>
      <c r="J139" t="s">
        <v>3459</v>
      </c>
      <c r="K139" t="s">
        <v>6258</v>
      </c>
      <c r="L139" t="s">
        <v>90</v>
      </c>
      <c r="M139" t="s">
        <v>3459</v>
      </c>
      <c r="N139" t="s">
        <v>3459</v>
      </c>
      <c r="O139" t="s">
        <v>5824</v>
      </c>
    </row>
    <row r="140" spans="1:15" x14ac:dyDescent="0.25">
      <c r="A140" t="s">
        <v>6260</v>
      </c>
      <c r="B140" t="s">
        <v>3515</v>
      </c>
      <c r="C140" t="s">
        <v>5723</v>
      </c>
      <c r="D140">
        <v>2</v>
      </c>
      <c r="E140" s="8" t="s">
        <v>6754</v>
      </c>
      <c r="F140" t="s">
        <v>6755</v>
      </c>
      <c r="G140" s="8" t="s">
        <v>6756</v>
      </c>
      <c r="H140" t="s">
        <v>6757</v>
      </c>
      <c r="I140">
        <v>2</v>
      </c>
      <c r="J140" t="s">
        <v>6485</v>
      </c>
      <c r="K140" t="s">
        <v>6263</v>
      </c>
      <c r="L140" t="s">
        <v>90</v>
      </c>
      <c r="M140" t="s">
        <v>3459</v>
      </c>
      <c r="N140" t="s">
        <v>3459</v>
      </c>
      <c r="O140" t="s">
        <v>6005</v>
      </c>
    </row>
    <row r="141" spans="1:15" x14ac:dyDescent="0.25">
      <c r="A141" t="s">
        <v>6264</v>
      </c>
      <c r="B141" t="s">
        <v>4298</v>
      </c>
      <c r="C141" t="s">
        <v>4246</v>
      </c>
      <c r="D141" t="s">
        <v>3998</v>
      </c>
      <c r="E141" t="s">
        <v>6265</v>
      </c>
      <c r="F141" t="s">
        <v>6758</v>
      </c>
      <c r="G141" t="s">
        <v>3459</v>
      </c>
      <c r="H141" t="s">
        <v>3459</v>
      </c>
      <c r="I141" t="s">
        <v>3459</v>
      </c>
      <c r="J141" t="s">
        <v>3459</v>
      </c>
      <c r="K141" t="s">
        <v>6264</v>
      </c>
      <c r="L141" t="s">
        <v>90</v>
      </c>
      <c r="M141" t="s">
        <v>5464</v>
      </c>
      <c r="N141" t="s">
        <v>3459</v>
      </c>
      <c r="O141" t="s">
        <v>5871</v>
      </c>
    </row>
    <row r="142" spans="1:15" x14ac:dyDescent="0.25">
      <c r="A142" t="s">
        <v>6266</v>
      </c>
      <c r="B142" t="s">
        <v>4298</v>
      </c>
      <c r="C142" t="s">
        <v>5723</v>
      </c>
      <c r="D142">
        <v>0</v>
      </c>
      <c r="E142" t="s">
        <v>6267</v>
      </c>
      <c r="F142" t="s">
        <v>6759</v>
      </c>
      <c r="G142" t="s">
        <v>6268</v>
      </c>
      <c r="H142" t="s">
        <v>6417</v>
      </c>
      <c r="I142">
        <v>0</v>
      </c>
      <c r="J142" t="s">
        <v>6418</v>
      </c>
      <c r="K142" t="s">
        <v>6266</v>
      </c>
      <c r="L142" t="s">
        <v>90</v>
      </c>
      <c r="M142" t="s">
        <v>5497</v>
      </c>
      <c r="N142" t="s">
        <v>3459</v>
      </c>
      <c r="O142" t="s">
        <v>6760</v>
      </c>
    </row>
    <row r="143" spans="1:15" x14ac:dyDescent="0.25">
      <c r="A143" t="s">
        <v>6269</v>
      </c>
      <c r="B143" t="s">
        <v>3515</v>
      </c>
      <c r="C143" t="s">
        <v>5361</v>
      </c>
      <c r="D143">
        <v>2</v>
      </c>
      <c r="E143" s="8" t="s">
        <v>6270</v>
      </c>
      <c r="F143" t="s">
        <v>6761</v>
      </c>
      <c r="G143" s="8" t="s">
        <v>6271</v>
      </c>
      <c r="H143" t="s">
        <v>6762</v>
      </c>
      <c r="I143">
        <v>2</v>
      </c>
      <c r="J143" t="s">
        <v>3459</v>
      </c>
      <c r="K143" t="s">
        <v>6269</v>
      </c>
      <c r="L143" t="s">
        <v>90</v>
      </c>
      <c r="M143" t="s">
        <v>5497</v>
      </c>
      <c r="N143" t="s">
        <v>3459</v>
      </c>
      <c r="O143" t="s">
        <v>5938</v>
      </c>
    </row>
    <row r="144" spans="1:15" x14ac:dyDescent="0.25">
      <c r="A144" t="s">
        <v>6272</v>
      </c>
      <c r="B144" t="s">
        <v>41</v>
      </c>
      <c r="C144" t="s">
        <v>5361</v>
      </c>
      <c r="D144">
        <v>1</v>
      </c>
      <c r="E144" t="s">
        <v>6273</v>
      </c>
      <c r="F144" t="s">
        <v>6763</v>
      </c>
      <c r="G144" t="s">
        <v>6274</v>
      </c>
      <c r="H144" t="s">
        <v>6764</v>
      </c>
      <c r="I144">
        <v>1</v>
      </c>
      <c r="J144" t="s">
        <v>3459</v>
      </c>
      <c r="K144" t="s">
        <v>6275</v>
      </c>
      <c r="L144" t="s">
        <v>90</v>
      </c>
      <c r="M144" t="s">
        <v>3459</v>
      </c>
      <c r="N144" t="s">
        <v>3459</v>
      </c>
      <c r="O144" t="s">
        <v>6276</v>
      </c>
    </row>
    <row r="145" spans="1:15" x14ac:dyDescent="0.25">
      <c r="A145" t="s">
        <v>6277</v>
      </c>
      <c r="B145" t="s">
        <v>3515</v>
      </c>
      <c r="C145" t="s">
        <v>5723</v>
      </c>
      <c r="D145" t="s">
        <v>5947</v>
      </c>
      <c r="E145" t="s">
        <v>6278</v>
      </c>
      <c r="F145" t="s">
        <v>6765</v>
      </c>
      <c r="G145" t="s">
        <v>6279</v>
      </c>
      <c r="H145" t="s">
        <v>6766</v>
      </c>
      <c r="I145" t="s">
        <v>5947</v>
      </c>
      <c r="J145" t="s">
        <v>6767</v>
      </c>
      <c r="K145" t="s">
        <v>6277</v>
      </c>
      <c r="L145" t="s">
        <v>90</v>
      </c>
      <c r="M145" t="s">
        <v>3459</v>
      </c>
      <c r="N145" t="s">
        <v>3459</v>
      </c>
      <c r="O145" t="s">
        <v>5778</v>
      </c>
    </row>
    <row r="146" spans="1:15" x14ac:dyDescent="0.25">
      <c r="A146" t="s">
        <v>6280</v>
      </c>
      <c r="B146" t="s">
        <v>41</v>
      </c>
      <c r="C146" t="s">
        <v>5723</v>
      </c>
      <c r="D146">
        <v>0</v>
      </c>
      <c r="E146" s="8" t="s">
        <v>6281</v>
      </c>
      <c r="F146" t="s">
        <v>6768</v>
      </c>
      <c r="G146" s="8" t="s">
        <v>6282</v>
      </c>
      <c r="H146" t="s">
        <v>6769</v>
      </c>
      <c r="I146">
        <v>0</v>
      </c>
      <c r="J146" t="s">
        <v>6485</v>
      </c>
      <c r="K146" t="s">
        <v>6280</v>
      </c>
      <c r="L146" t="s">
        <v>90</v>
      </c>
      <c r="M146" t="s">
        <v>3459</v>
      </c>
      <c r="N146" t="s">
        <v>3459</v>
      </c>
      <c r="O146" t="s">
        <v>5778</v>
      </c>
    </row>
    <row r="147" spans="1:15" x14ac:dyDescent="0.25">
      <c r="A147" t="s">
        <v>6283</v>
      </c>
      <c r="B147" t="s">
        <v>4298</v>
      </c>
      <c r="C147" t="s">
        <v>3657</v>
      </c>
      <c r="D147">
        <v>1</v>
      </c>
      <c r="E147" t="s">
        <v>6284</v>
      </c>
      <c r="F147" t="s">
        <v>6770</v>
      </c>
      <c r="G147" t="s">
        <v>3459</v>
      </c>
      <c r="H147" t="s">
        <v>3459</v>
      </c>
      <c r="I147" t="s">
        <v>3459</v>
      </c>
      <c r="J147" t="s">
        <v>3459</v>
      </c>
      <c r="K147" t="s">
        <v>6283</v>
      </c>
      <c r="L147" t="s">
        <v>90</v>
      </c>
      <c r="M147" t="s">
        <v>5497</v>
      </c>
      <c r="N147" t="s">
        <v>3459</v>
      </c>
      <c r="O147" t="s">
        <v>6460</v>
      </c>
    </row>
    <row r="148" spans="1:15" x14ac:dyDescent="0.25">
      <c r="A148" t="s">
        <v>6285</v>
      </c>
      <c r="B148" t="s">
        <v>41</v>
      </c>
      <c r="C148" t="s">
        <v>5723</v>
      </c>
      <c r="D148">
        <v>2</v>
      </c>
      <c r="E148" s="8" t="s">
        <v>6286</v>
      </c>
      <c r="F148" t="s">
        <v>6771</v>
      </c>
      <c r="G148" s="8" t="s">
        <v>6287</v>
      </c>
      <c r="H148" t="s">
        <v>6772</v>
      </c>
      <c r="I148">
        <v>2</v>
      </c>
      <c r="J148" t="s">
        <v>6401</v>
      </c>
      <c r="K148" t="s">
        <v>6288</v>
      </c>
      <c r="L148" t="s">
        <v>90</v>
      </c>
      <c r="M148" t="s">
        <v>3459</v>
      </c>
      <c r="N148" t="s">
        <v>3459</v>
      </c>
      <c r="O148" t="s">
        <v>6026</v>
      </c>
    </row>
    <row r="149" spans="1:15" x14ac:dyDescent="0.25">
      <c r="A149" t="s">
        <v>6290</v>
      </c>
      <c r="B149" t="s">
        <v>3515</v>
      </c>
      <c r="C149" t="s">
        <v>5361</v>
      </c>
      <c r="D149">
        <v>1</v>
      </c>
      <c r="E149" s="8" t="s">
        <v>6291</v>
      </c>
      <c r="F149" t="s">
        <v>6773</v>
      </c>
      <c r="G149" s="8" t="s">
        <v>6292</v>
      </c>
      <c r="H149" t="s">
        <v>6774</v>
      </c>
      <c r="I149">
        <v>1</v>
      </c>
      <c r="J149" t="s">
        <v>3459</v>
      </c>
      <c r="K149" t="s">
        <v>6293</v>
      </c>
      <c r="L149" t="s">
        <v>90</v>
      </c>
      <c r="M149" t="s">
        <v>3459</v>
      </c>
      <c r="N149" t="s">
        <v>3459</v>
      </c>
      <c r="O149" t="s">
        <v>5928</v>
      </c>
    </row>
    <row r="150" spans="1:15" x14ac:dyDescent="0.25">
      <c r="A150" t="s">
        <v>6294</v>
      </c>
      <c r="B150" t="s">
        <v>3503</v>
      </c>
      <c r="C150" t="s">
        <v>5361</v>
      </c>
      <c r="D150">
        <v>1</v>
      </c>
      <c r="E150" t="s">
        <v>6295</v>
      </c>
      <c r="F150" t="s">
        <v>6775</v>
      </c>
      <c r="G150" t="s">
        <v>6296</v>
      </c>
      <c r="H150" t="s">
        <v>6776</v>
      </c>
      <c r="I150">
        <v>1</v>
      </c>
      <c r="J150" t="s">
        <v>3459</v>
      </c>
      <c r="K150" t="s">
        <v>6297</v>
      </c>
      <c r="L150" t="s">
        <v>90</v>
      </c>
      <c r="M150" t="s">
        <v>3459</v>
      </c>
      <c r="N150" t="s">
        <v>3459</v>
      </c>
      <c r="O150" t="s">
        <v>6298</v>
      </c>
    </row>
    <row r="151" spans="1:15" x14ac:dyDescent="0.25">
      <c r="A151" t="s">
        <v>6777</v>
      </c>
      <c r="B151" t="s">
        <v>3547</v>
      </c>
      <c r="C151" t="s">
        <v>5723</v>
      </c>
      <c r="D151">
        <v>1</v>
      </c>
      <c r="E151" t="s">
        <v>6281</v>
      </c>
      <c r="F151" t="s">
        <v>6768</v>
      </c>
      <c r="G151" t="s">
        <v>6282</v>
      </c>
      <c r="H151" t="s">
        <v>6769</v>
      </c>
      <c r="I151">
        <v>1</v>
      </c>
      <c r="J151" t="s">
        <v>6410</v>
      </c>
      <c r="K151" t="s">
        <v>6778</v>
      </c>
      <c r="L151" t="s">
        <v>90</v>
      </c>
      <c r="M151" t="s">
        <v>3459</v>
      </c>
      <c r="N151" t="s">
        <v>3459</v>
      </c>
      <c r="O151" t="s">
        <v>6779</v>
      </c>
    </row>
    <row r="152" spans="1:15" x14ac:dyDescent="0.25">
      <c r="A152" t="s">
        <v>6780</v>
      </c>
      <c r="B152" t="s">
        <v>3547</v>
      </c>
      <c r="C152" t="s">
        <v>5723</v>
      </c>
      <c r="D152">
        <v>1</v>
      </c>
      <c r="E152" t="s">
        <v>6281</v>
      </c>
      <c r="F152" t="s">
        <v>6768</v>
      </c>
      <c r="G152" t="s">
        <v>6282</v>
      </c>
      <c r="H152" t="s">
        <v>6769</v>
      </c>
      <c r="I152">
        <v>1</v>
      </c>
      <c r="J152" t="s">
        <v>6393</v>
      </c>
      <c r="K152" t="s">
        <v>6781</v>
      </c>
      <c r="L152" t="s">
        <v>90</v>
      </c>
      <c r="M152" t="s">
        <v>3459</v>
      </c>
      <c r="N152" t="s">
        <v>3459</v>
      </c>
      <c r="O152" t="s">
        <v>6779</v>
      </c>
    </row>
    <row r="153" spans="1:15" x14ac:dyDescent="0.25">
      <c r="A153" t="s">
        <v>6300</v>
      </c>
      <c r="B153" t="s">
        <v>41</v>
      </c>
      <c r="C153" t="s">
        <v>5723</v>
      </c>
      <c r="D153">
        <v>1</v>
      </c>
      <c r="E153" t="s">
        <v>6301</v>
      </c>
      <c r="F153" t="s">
        <v>6782</v>
      </c>
      <c r="G153" t="s">
        <v>6302</v>
      </c>
      <c r="H153" t="s">
        <v>6783</v>
      </c>
      <c r="I153">
        <v>1</v>
      </c>
      <c r="J153" t="s">
        <v>6393</v>
      </c>
      <c r="K153" t="s">
        <v>6303</v>
      </c>
      <c r="L153" t="s">
        <v>90</v>
      </c>
      <c r="M153" t="s">
        <v>3459</v>
      </c>
      <c r="N153" t="s">
        <v>3459</v>
      </c>
      <c r="O153" t="s">
        <v>5754</v>
      </c>
    </row>
    <row r="154" spans="1:15" x14ac:dyDescent="0.25">
      <c r="A154" t="s">
        <v>5697</v>
      </c>
      <c r="B154" t="s">
        <v>3547</v>
      </c>
      <c r="C154" t="s">
        <v>5361</v>
      </c>
      <c r="D154">
        <v>1</v>
      </c>
      <c r="E154" t="s">
        <v>6304</v>
      </c>
      <c r="F154" t="s">
        <v>6784</v>
      </c>
      <c r="G154" t="s">
        <v>6305</v>
      </c>
      <c r="H154" t="s">
        <v>6785</v>
      </c>
      <c r="I154">
        <v>1</v>
      </c>
      <c r="J154" t="s">
        <v>3459</v>
      </c>
      <c r="K154" t="s">
        <v>5697</v>
      </c>
      <c r="L154" t="s">
        <v>90</v>
      </c>
      <c r="M154" t="s">
        <v>3459</v>
      </c>
      <c r="N154" t="s">
        <v>3459</v>
      </c>
      <c r="O154" t="s">
        <v>6306</v>
      </c>
    </row>
    <row r="155" spans="1:15" x14ac:dyDescent="0.25">
      <c r="A155" t="s">
        <v>6307</v>
      </c>
      <c r="B155" t="s">
        <v>41</v>
      </c>
      <c r="C155" t="s">
        <v>5723</v>
      </c>
      <c r="D155">
        <v>1</v>
      </c>
      <c r="E155" t="s">
        <v>6308</v>
      </c>
      <c r="F155" t="s">
        <v>6786</v>
      </c>
      <c r="G155" t="s">
        <v>6309</v>
      </c>
      <c r="H155" t="s">
        <v>6787</v>
      </c>
      <c r="I155">
        <v>1</v>
      </c>
      <c r="J155" t="s">
        <v>6788</v>
      </c>
      <c r="K155" t="s">
        <v>6310</v>
      </c>
      <c r="L155" t="s">
        <v>90</v>
      </c>
      <c r="M155" t="s">
        <v>3459</v>
      </c>
      <c r="N155" t="s">
        <v>3459</v>
      </c>
      <c r="O155" t="s">
        <v>6311</v>
      </c>
    </row>
    <row r="156" spans="1:15" x14ac:dyDescent="0.25">
      <c r="A156" t="s">
        <v>6312</v>
      </c>
      <c r="B156" t="s">
        <v>41</v>
      </c>
      <c r="C156" t="s">
        <v>5723</v>
      </c>
      <c r="D156">
        <v>1</v>
      </c>
      <c r="E156" t="s">
        <v>6789</v>
      </c>
      <c r="F156" t="s">
        <v>6790</v>
      </c>
      <c r="G156" t="s">
        <v>6791</v>
      </c>
      <c r="H156" t="s">
        <v>6792</v>
      </c>
      <c r="I156">
        <v>1</v>
      </c>
      <c r="J156" t="s">
        <v>6793</v>
      </c>
      <c r="K156" t="s">
        <v>6315</v>
      </c>
      <c r="L156" t="s">
        <v>90</v>
      </c>
      <c r="M156" t="s">
        <v>5432</v>
      </c>
      <c r="N156" t="s">
        <v>3459</v>
      </c>
      <c r="O156" t="s">
        <v>5736</v>
      </c>
    </row>
    <row r="157" spans="1:15" x14ac:dyDescent="0.25">
      <c r="A157" t="s">
        <v>6316</v>
      </c>
      <c r="B157" t="s">
        <v>3515</v>
      </c>
      <c r="C157" t="s">
        <v>5361</v>
      </c>
      <c r="D157" t="s">
        <v>3998</v>
      </c>
      <c r="E157" t="s">
        <v>6317</v>
      </c>
      <c r="F157" t="s">
        <v>6794</v>
      </c>
      <c r="G157" t="s">
        <v>6318</v>
      </c>
      <c r="H157" t="s">
        <v>6745</v>
      </c>
      <c r="I157" t="s">
        <v>3998</v>
      </c>
      <c r="J157" t="s">
        <v>3459</v>
      </c>
      <c r="K157" t="s">
        <v>6316</v>
      </c>
      <c r="L157" t="s">
        <v>90</v>
      </c>
      <c r="M157" t="s">
        <v>5462</v>
      </c>
      <c r="N157" t="s">
        <v>3459</v>
      </c>
      <c r="O157" t="s">
        <v>6319</v>
      </c>
    </row>
    <row r="158" spans="1:15" x14ac:dyDescent="0.25">
      <c r="A158" t="s">
        <v>6324</v>
      </c>
      <c r="B158" t="s">
        <v>3515</v>
      </c>
      <c r="C158" t="s">
        <v>5361</v>
      </c>
      <c r="D158">
        <v>1</v>
      </c>
      <c r="E158" t="s">
        <v>6325</v>
      </c>
      <c r="F158" t="s">
        <v>6795</v>
      </c>
      <c r="G158" t="s">
        <v>6325</v>
      </c>
      <c r="H158" t="s">
        <v>6795</v>
      </c>
      <c r="I158">
        <v>0</v>
      </c>
      <c r="J158" t="s">
        <v>6451</v>
      </c>
      <c r="K158" t="s">
        <v>6324</v>
      </c>
      <c r="L158" t="s">
        <v>90</v>
      </c>
      <c r="M158" t="s">
        <v>5497</v>
      </c>
      <c r="N158" t="s">
        <v>3459</v>
      </c>
      <c r="O158" t="s">
        <v>6132</v>
      </c>
    </row>
    <row r="159" spans="1:15" x14ac:dyDescent="0.25">
      <c r="A159" t="s">
        <v>6326</v>
      </c>
      <c r="B159" t="s">
        <v>41</v>
      </c>
      <c r="C159" t="s">
        <v>5723</v>
      </c>
      <c r="D159">
        <v>1</v>
      </c>
      <c r="E159" t="s">
        <v>6796</v>
      </c>
      <c r="F159" t="s">
        <v>6797</v>
      </c>
      <c r="G159" t="s">
        <v>6798</v>
      </c>
      <c r="H159" t="s">
        <v>6799</v>
      </c>
      <c r="I159">
        <v>1</v>
      </c>
      <c r="J159" t="s">
        <v>6800</v>
      </c>
      <c r="K159" t="s">
        <v>6326</v>
      </c>
      <c r="L159" t="s">
        <v>90</v>
      </c>
      <c r="M159" t="s">
        <v>3459</v>
      </c>
      <c r="N159" t="s">
        <v>5392</v>
      </c>
      <c r="O159" t="s">
        <v>6801</v>
      </c>
    </row>
    <row r="160" spans="1:15" x14ac:dyDescent="0.25">
      <c r="A160" t="s">
        <v>6332</v>
      </c>
      <c r="B160" t="s">
        <v>41</v>
      </c>
      <c r="C160" t="s">
        <v>5361</v>
      </c>
      <c r="D160">
        <v>1</v>
      </c>
      <c r="E160" s="8" t="s">
        <v>6333</v>
      </c>
      <c r="F160" t="s">
        <v>6802</v>
      </c>
      <c r="G160" s="8" t="s">
        <v>6334</v>
      </c>
      <c r="H160" t="s">
        <v>6803</v>
      </c>
      <c r="I160">
        <v>1</v>
      </c>
      <c r="J160" t="s">
        <v>3459</v>
      </c>
      <c r="K160" t="s">
        <v>6335</v>
      </c>
      <c r="L160" t="s">
        <v>90</v>
      </c>
      <c r="M160" t="s">
        <v>3459</v>
      </c>
      <c r="N160" t="s">
        <v>3459</v>
      </c>
      <c r="O160" t="s">
        <v>6000</v>
      </c>
    </row>
    <row r="161" spans="1:15" x14ac:dyDescent="0.25">
      <c r="A161" t="s">
        <v>6336</v>
      </c>
      <c r="B161" t="s">
        <v>41</v>
      </c>
      <c r="C161" t="s">
        <v>5723</v>
      </c>
      <c r="D161">
        <v>1</v>
      </c>
      <c r="E161" t="s">
        <v>6337</v>
      </c>
      <c r="F161" t="s">
        <v>6804</v>
      </c>
      <c r="G161" t="s">
        <v>6338</v>
      </c>
      <c r="H161" t="s">
        <v>6805</v>
      </c>
      <c r="I161">
        <v>1</v>
      </c>
      <c r="J161" t="s">
        <v>6410</v>
      </c>
      <c r="K161" t="s">
        <v>6339</v>
      </c>
      <c r="L161" t="s">
        <v>90</v>
      </c>
      <c r="M161" t="s">
        <v>3459</v>
      </c>
      <c r="N161" t="s">
        <v>3459</v>
      </c>
      <c r="O161" t="s">
        <v>6806</v>
      </c>
    </row>
    <row r="162" spans="1:15" x14ac:dyDescent="0.25">
      <c r="A162" t="s">
        <v>6340</v>
      </c>
      <c r="B162" t="s">
        <v>3503</v>
      </c>
      <c r="C162" t="s">
        <v>5723</v>
      </c>
      <c r="D162">
        <v>1</v>
      </c>
      <c r="E162" s="8" t="s">
        <v>6341</v>
      </c>
      <c r="F162" t="s">
        <v>6807</v>
      </c>
      <c r="G162" s="8" t="s">
        <v>6342</v>
      </c>
      <c r="H162" t="s">
        <v>6808</v>
      </c>
      <c r="I162">
        <v>1</v>
      </c>
      <c r="J162" t="s">
        <v>6516</v>
      </c>
      <c r="K162" t="s">
        <v>6340</v>
      </c>
      <c r="L162" t="s">
        <v>90</v>
      </c>
      <c r="M162" t="s">
        <v>3459</v>
      </c>
      <c r="N162" t="s">
        <v>3459</v>
      </c>
      <c r="O162" t="s">
        <v>5983</v>
      </c>
    </row>
    <row r="163" spans="1:15" x14ac:dyDescent="0.25">
      <c r="A163" t="s">
        <v>6343</v>
      </c>
      <c r="B163" t="s">
        <v>3515</v>
      </c>
      <c r="C163" t="s">
        <v>5723</v>
      </c>
      <c r="D163">
        <v>2</v>
      </c>
      <c r="E163" t="s">
        <v>6344</v>
      </c>
      <c r="F163" t="s">
        <v>6809</v>
      </c>
      <c r="G163" t="s">
        <v>6345</v>
      </c>
      <c r="H163" t="s">
        <v>6810</v>
      </c>
      <c r="I163">
        <v>2</v>
      </c>
      <c r="J163" t="s">
        <v>6393</v>
      </c>
      <c r="K163" t="s">
        <v>6343</v>
      </c>
      <c r="L163" t="s">
        <v>90</v>
      </c>
      <c r="M163" t="s">
        <v>3459</v>
      </c>
      <c r="N163" t="s">
        <v>3459</v>
      </c>
      <c r="O163" t="s">
        <v>5868</v>
      </c>
    </row>
    <row r="164" spans="1:15" x14ac:dyDescent="0.25">
      <c r="A164" t="s">
        <v>6347</v>
      </c>
      <c r="B164" t="s">
        <v>41</v>
      </c>
      <c r="C164" t="s">
        <v>5361</v>
      </c>
      <c r="D164">
        <v>0</v>
      </c>
      <c r="E164" t="s">
        <v>6348</v>
      </c>
      <c r="F164" t="s">
        <v>6811</v>
      </c>
      <c r="G164" t="s">
        <v>6349</v>
      </c>
      <c r="H164" t="s">
        <v>6812</v>
      </c>
      <c r="I164">
        <v>0</v>
      </c>
      <c r="J164" t="s">
        <v>3459</v>
      </c>
      <c r="K164" t="s">
        <v>6347</v>
      </c>
      <c r="L164" t="s">
        <v>90</v>
      </c>
      <c r="M164" t="s">
        <v>5497</v>
      </c>
      <c r="N164" t="s">
        <v>3459</v>
      </c>
      <c r="O164" t="s">
        <v>5764</v>
      </c>
    </row>
    <row r="165" spans="1:15" x14ac:dyDescent="0.25">
      <c r="A165" t="s">
        <v>5292</v>
      </c>
      <c r="B165" t="s">
        <v>3515</v>
      </c>
      <c r="C165" t="s">
        <v>4598</v>
      </c>
      <c r="D165">
        <v>1</v>
      </c>
      <c r="E165" s="8" t="s">
        <v>6813</v>
      </c>
      <c r="F165" t="s">
        <v>6814</v>
      </c>
      <c r="G165" s="8" t="s">
        <v>6815</v>
      </c>
      <c r="H165" t="s">
        <v>6816</v>
      </c>
      <c r="I165">
        <v>1</v>
      </c>
      <c r="J165" t="s">
        <v>3459</v>
      </c>
      <c r="K165" t="s">
        <v>5294</v>
      </c>
      <c r="L165" t="s">
        <v>90</v>
      </c>
      <c r="M165" t="s">
        <v>3459</v>
      </c>
      <c r="N165" t="s">
        <v>3459</v>
      </c>
      <c r="O165" t="s">
        <v>6817</v>
      </c>
    </row>
    <row r="166" spans="1:15" x14ac:dyDescent="0.25">
      <c r="A166" t="s">
        <v>6353</v>
      </c>
      <c r="B166" t="s">
        <v>3515</v>
      </c>
      <c r="C166" t="s">
        <v>5723</v>
      </c>
      <c r="D166" t="s">
        <v>5947</v>
      </c>
      <c r="E166" t="s">
        <v>6818</v>
      </c>
      <c r="F166" t="s">
        <v>6819</v>
      </c>
      <c r="G166" t="s">
        <v>6820</v>
      </c>
      <c r="H166" t="s">
        <v>6821</v>
      </c>
      <c r="I166" t="s">
        <v>5947</v>
      </c>
      <c r="J166" t="s">
        <v>6490</v>
      </c>
      <c r="K166" t="s">
        <v>6353</v>
      </c>
      <c r="L166" t="s">
        <v>90</v>
      </c>
      <c r="M166" t="s">
        <v>3459</v>
      </c>
      <c r="N166" t="s">
        <v>3459</v>
      </c>
      <c r="O166" t="s">
        <v>5860</v>
      </c>
    </row>
    <row r="167" spans="1:15" x14ac:dyDescent="0.25">
      <c r="A167" t="s">
        <v>6356</v>
      </c>
      <c r="B167" t="s">
        <v>3515</v>
      </c>
      <c r="C167" t="s">
        <v>5361</v>
      </c>
      <c r="D167">
        <v>1</v>
      </c>
      <c r="E167" s="8" t="s">
        <v>6357</v>
      </c>
      <c r="F167" t="s">
        <v>6822</v>
      </c>
      <c r="G167" s="8" t="s">
        <v>6357</v>
      </c>
      <c r="H167" t="s">
        <v>6822</v>
      </c>
      <c r="I167">
        <v>0</v>
      </c>
      <c r="J167" t="s">
        <v>3459</v>
      </c>
      <c r="K167" t="s">
        <v>6358</v>
      </c>
      <c r="L167" t="s">
        <v>90</v>
      </c>
      <c r="M167" t="s">
        <v>5497</v>
      </c>
      <c r="N167" t="s">
        <v>3459</v>
      </c>
      <c r="O167" t="s">
        <v>6823</v>
      </c>
    </row>
    <row r="168" spans="1:15" x14ac:dyDescent="0.25">
      <c r="A168" t="s">
        <v>6360</v>
      </c>
      <c r="B168" t="s">
        <v>41</v>
      </c>
      <c r="C168" t="s">
        <v>5723</v>
      </c>
      <c r="D168">
        <v>1</v>
      </c>
      <c r="E168" s="8" t="s">
        <v>6361</v>
      </c>
      <c r="F168" t="s">
        <v>6824</v>
      </c>
      <c r="G168" s="8" t="s">
        <v>6362</v>
      </c>
      <c r="H168" t="s">
        <v>6825</v>
      </c>
      <c r="I168">
        <v>1</v>
      </c>
      <c r="J168" t="s">
        <v>6451</v>
      </c>
      <c r="K168" t="s">
        <v>6363</v>
      </c>
      <c r="L168" t="s">
        <v>90</v>
      </c>
      <c r="M168" t="s">
        <v>3459</v>
      </c>
      <c r="N168" t="s">
        <v>3459</v>
      </c>
      <c r="O168" t="s">
        <v>6220</v>
      </c>
    </row>
    <row r="169" spans="1:15" x14ac:dyDescent="0.25">
      <c r="A169" t="s">
        <v>6364</v>
      </c>
      <c r="B169" t="s">
        <v>4298</v>
      </c>
      <c r="C169" t="s">
        <v>3657</v>
      </c>
      <c r="D169" t="s">
        <v>3998</v>
      </c>
      <c r="E169" s="8" t="s">
        <v>6089</v>
      </c>
      <c r="F169" t="s">
        <v>4216</v>
      </c>
      <c r="G169" s="8" t="s">
        <v>3459</v>
      </c>
      <c r="H169" t="s">
        <v>3459</v>
      </c>
      <c r="I169" t="s">
        <v>3459</v>
      </c>
      <c r="J169" t="s">
        <v>3459</v>
      </c>
      <c r="K169" t="s">
        <v>6364</v>
      </c>
      <c r="L169" t="s">
        <v>90</v>
      </c>
      <c r="M169" t="s">
        <v>3459</v>
      </c>
      <c r="N169" t="s">
        <v>3459</v>
      </c>
      <c r="O169" t="s">
        <v>6460</v>
      </c>
    </row>
    <row r="170" spans="1:15" x14ac:dyDescent="0.25">
      <c r="A170" t="s">
        <v>6365</v>
      </c>
      <c r="B170" t="s">
        <v>3503</v>
      </c>
      <c r="C170" t="s">
        <v>4598</v>
      </c>
      <c r="D170">
        <v>3</v>
      </c>
      <c r="E170" s="8" t="s">
        <v>6826</v>
      </c>
      <c r="F170" t="s">
        <v>6827</v>
      </c>
      <c r="G170" s="8" t="s">
        <v>6828</v>
      </c>
      <c r="H170" t="s">
        <v>6829</v>
      </c>
      <c r="I170" t="s">
        <v>3459</v>
      </c>
      <c r="J170" t="s">
        <v>3459</v>
      </c>
      <c r="K170" t="s">
        <v>6368</v>
      </c>
      <c r="L170" t="s">
        <v>90</v>
      </c>
      <c r="M170" t="s">
        <v>3459</v>
      </c>
      <c r="N170" t="s">
        <v>3459</v>
      </c>
      <c r="O170" t="s">
        <v>5718</v>
      </c>
    </row>
    <row r="171" spans="1:15" x14ac:dyDescent="0.25">
      <c r="A171" t="s">
        <v>6369</v>
      </c>
      <c r="B171" t="s">
        <v>4298</v>
      </c>
      <c r="C171" t="s">
        <v>4246</v>
      </c>
      <c r="D171" t="s">
        <v>3998</v>
      </c>
      <c r="E171" t="s">
        <v>6370</v>
      </c>
      <c r="F171" t="s">
        <v>4216</v>
      </c>
      <c r="G171" t="s">
        <v>3459</v>
      </c>
      <c r="H171" t="s">
        <v>3459</v>
      </c>
      <c r="I171" t="s">
        <v>3459</v>
      </c>
      <c r="J171" t="s">
        <v>3459</v>
      </c>
      <c r="K171" t="s">
        <v>6369</v>
      </c>
      <c r="L171" t="s">
        <v>90</v>
      </c>
      <c r="M171" t="s">
        <v>5464</v>
      </c>
      <c r="N171" t="s">
        <v>3459</v>
      </c>
      <c r="O171" t="s">
        <v>5871</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6830</v>
      </c>
      <c r="C1" t="s">
        <v>6831</v>
      </c>
      <c r="D1" t="s">
        <v>3454</v>
      </c>
      <c r="E1" t="s">
        <v>3497</v>
      </c>
      <c r="F1" t="s">
        <v>6832</v>
      </c>
    </row>
    <row r="2" spans="1:6" ht="15" customHeight="1" x14ac:dyDescent="0.25">
      <c r="A2" t="s">
        <v>6833</v>
      </c>
      <c r="B2" t="s">
        <v>4694</v>
      </c>
      <c r="C2" t="s">
        <v>6834</v>
      </c>
      <c r="D2" t="s">
        <v>6835</v>
      </c>
      <c r="E2" t="s">
        <v>6836</v>
      </c>
      <c r="F2" t="s">
        <v>6837</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3454</v>
      </c>
      <c r="C1" t="s">
        <v>6838</v>
      </c>
      <c r="D1" t="s">
        <v>171</v>
      </c>
      <c r="E1" t="s">
        <v>4450</v>
      </c>
      <c r="F1" t="s">
        <v>6</v>
      </c>
    </row>
    <row r="2" spans="1:6" ht="15" customHeight="1" x14ac:dyDescent="0.25">
      <c r="A2" t="s">
        <v>6839</v>
      </c>
      <c r="B2" t="s">
        <v>6840</v>
      </c>
      <c r="C2" t="s">
        <v>5174</v>
      </c>
      <c r="D2" t="s">
        <v>3657</v>
      </c>
      <c r="E2" t="s">
        <v>3459</v>
      </c>
      <c r="F2" t="s">
        <v>3459</v>
      </c>
    </row>
    <row r="3" spans="1:6" ht="15" customHeight="1" x14ac:dyDescent="0.25">
      <c r="A3" t="s">
        <v>6841</v>
      </c>
      <c r="B3" t="s">
        <v>6842</v>
      </c>
      <c r="C3" t="s">
        <v>6843</v>
      </c>
      <c r="D3" t="s">
        <v>3657</v>
      </c>
      <c r="E3" t="s">
        <v>3459</v>
      </c>
      <c r="F3" t="s">
        <v>3459</v>
      </c>
    </row>
    <row r="4" spans="1:6" ht="15" customHeight="1" x14ac:dyDescent="0.25">
      <c r="A4" t="s">
        <v>6844</v>
      </c>
      <c r="B4" t="s">
        <v>6845</v>
      </c>
      <c r="C4" t="s">
        <v>5177</v>
      </c>
      <c r="D4" t="s">
        <v>6844</v>
      </c>
      <c r="E4" t="s">
        <v>3983</v>
      </c>
      <c r="F4" t="s">
        <v>3503</v>
      </c>
    </row>
    <row r="5" spans="1:6" ht="15" customHeight="1" x14ac:dyDescent="0.25">
      <c r="A5" t="s">
        <v>6846</v>
      </c>
      <c r="B5" t="s">
        <v>6847</v>
      </c>
      <c r="C5" t="s">
        <v>6848</v>
      </c>
      <c r="D5" t="s">
        <v>3513</v>
      </c>
      <c r="E5" t="s">
        <v>4000</v>
      </c>
      <c r="F5" t="s">
        <v>41</v>
      </c>
    </row>
    <row r="6" spans="1:6" ht="15" customHeight="1" x14ac:dyDescent="0.25">
      <c r="A6" t="s">
        <v>6849</v>
      </c>
      <c r="B6" t="s">
        <v>6850</v>
      </c>
      <c r="C6" t="s">
        <v>6848</v>
      </c>
      <c r="D6" t="s">
        <v>3657</v>
      </c>
      <c r="E6" t="s">
        <v>3459</v>
      </c>
      <c r="F6" t="s">
        <v>3515</v>
      </c>
    </row>
    <row r="7" spans="1:6" ht="15" customHeight="1" x14ac:dyDescent="0.25">
      <c r="A7" t="s">
        <v>6851</v>
      </c>
      <c r="B7" t="s">
        <v>6852</v>
      </c>
      <c r="C7" t="s">
        <v>6843</v>
      </c>
      <c r="D7" t="s">
        <v>3657</v>
      </c>
      <c r="E7" t="s">
        <v>3459</v>
      </c>
    </row>
    <row r="8" spans="1:6" ht="15" customHeight="1" x14ac:dyDescent="0.25">
      <c r="A8" t="s">
        <v>6853</v>
      </c>
      <c r="B8" t="s">
        <v>6854</v>
      </c>
      <c r="C8" t="s">
        <v>5174</v>
      </c>
      <c r="D8" t="s">
        <v>3657</v>
      </c>
      <c r="E8" t="s">
        <v>3459</v>
      </c>
      <c r="F8" t="s">
        <v>3459</v>
      </c>
    </row>
    <row r="9" spans="1:6" ht="15" customHeight="1" x14ac:dyDescent="0.25">
      <c r="A9" t="s">
        <v>6855</v>
      </c>
      <c r="B9" t="s">
        <v>6856</v>
      </c>
      <c r="C9" t="s">
        <v>5177</v>
      </c>
      <c r="D9" t="s">
        <v>5723</v>
      </c>
      <c r="E9" t="s">
        <v>3983</v>
      </c>
      <c r="F9" t="s">
        <v>41</v>
      </c>
    </row>
    <row r="10" spans="1:6" ht="15" customHeight="1" x14ac:dyDescent="0.25">
      <c r="A10" t="s">
        <v>6857</v>
      </c>
      <c r="B10" t="s">
        <v>6858</v>
      </c>
      <c r="C10" t="s">
        <v>6843</v>
      </c>
      <c r="D10" t="s">
        <v>3657</v>
      </c>
      <c r="E10" t="s">
        <v>5024</v>
      </c>
      <c r="F10" t="s">
        <v>41</v>
      </c>
    </row>
    <row r="11" spans="1:6" ht="15" customHeight="1" x14ac:dyDescent="0.25">
      <c r="A11" t="s">
        <v>6859</v>
      </c>
      <c r="B11" t="s">
        <v>6860</v>
      </c>
      <c r="C11" t="s">
        <v>6848</v>
      </c>
      <c r="D11" t="s">
        <v>3442</v>
      </c>
      <c r="E11" t="s">
        <v>3459</v>
      </c>
      <c r="F11" t="s">
        <v>3515</v>
      </c>
    </row>
    <row r="12" spans="1:6" ht="15" customHeight="1" x14ac:dyDescent="0.25">
      <c r="A12" t="s">
        <v>6861</v>
      </c>
      <c r="B12" t="s">
        <v>6862</v>
      </c>
      <c r="C12" t="s">
        <v>5177</v>
      </c>
      <c r="D12" t="s">
        <v>3657</v>
      </c>
      <c r="E12" t="s">
        <v>5024</v>
      </c>
      <c r="F12" t="s">
        <v>41</v>
      </c>
    </row>
    <row r="13" spans="1:6" ht="15" customHeight="1" x14ac:dyDescent="0.25">
      <c r="A13" t="s">
        <v>6863</v>
      </c>
      <c r="B13" t="s">
        <v>6864</v>
      </c>
      <c r="C13" t="s">
        <v>6843</v>
      </c>
      <c r="D13" t="s">
        <v>3657</v>
      </c>
      <c r="E13" t="s">
        <v>3459</v>
      </c>
      <c r="F13" t="s">
        <v>3459</v>
      </c>
    </row>
    <row r="14" spans="1:6" ht="15" customHeight="1" x14ac:dyDescent="0.25">
      <c r="A14" t="s">
        <v>6865</v>
      </c>
      <c r="B14" t="s">
        <v>6866</v>
      </c>
      <c r="C14" t="s">
        <v>6843</v>
      </c>
      <c r="D14" t="s">
        <v>3657</v>
      </c>
      <c r="E14" t="s">
        <v>3459</v>
      </c>
      <c r="F14" t="s">
        <v>3459</v>
      </c>
    </row>
    <row r="15" spans="1:6" ht="15" customHeight="1" x14ac:dyDescent="0.25">
      <c r="A15" t="s">
        <v>6867</v>
      </c>
      <c r="B15" t="s">
        <v>6868</v>
      </c>
      <c r="C15" t="s">
        <v>5177</v>
      </c>
      <c r="D15" t="s">
        <v>5723</v>
      </c>
      <c r="E15" t="s">
        <v>6869</v>
      </c>
      <c r="F15" t="s">
        <v>3503</v>
      </c>
    </row>
    <row r="16" spans="1:6" ht="15" customHeight="1" x14ac:dyDescent="0.25">
      <c r="A16" t="s">
        <v>6870</v>
      </c>
      <c r="B16" t="s">
        <v>6871</v>
      </c>
      <c r="C16" t="s">
        <v>6843</v>
      </c>
      <c r="D16" t="s">
        <v>6870</v>
      </c>
      <c r="E16" t="s">
        <v>3459</v>
      </c>
      <c r="F16" t="s">
        <v>41</v>
      </c>
    </row>
    <row r="17" spans="1:6" ht="15" customHeight="1" x14ac:dyDescent="0.25">
      <c r="A17" t="s">
        <v>6161</v>
      </c>
      <c r="B17" t="s">
        <v>6872</v>
      </c>
      <c r="C17" t="s">
        <v>6843</v>
      </c>
      <c r="D17" t="s">
        <v>3657</v>
      </c>
      <c r="E17" t="s">
        <v>3983</v>
      </c>
      <c r="F17" t="s">
        <v>3459</v>
      </c>
    </row>
    <row r="18" spans="1:6" ht="15" customHeight="1" x14ac:dyDescent="0.25">
      <c r="A18" t="s">
        <v>5676</v>
      </c>
      <c r="B18" t="s">
        <v>6873</v>
      </c>
      <c r="C18" t="s">
        <v>6843</v>
      </c>
      <c r="D18" t="s">
        <v>3657</v>
      </c>
      <c r="E18" t="s">
        <v>5024</v>
      </c>
      <c r="F18" t="s">
        <v>3503</v>
      </c>
    </row>
    <row r="19" spans="1:6" ht="15" customHeight="1" x14ac:dyDescent="0.25">
      <c r="A19" t="s">
        <v>6874</v>
      </c>
      <c r="B19" t="s">
        <v>6875</v>
      </c>
      <c r="C19" t="s">
        <v>6843</v>
      </c>
      <c r="D19" t="s">
        <v>3657</v>
      </c>
      <c r="E19" t="s">
        <v>3459</v>
      </c>
      <c r="F19" t="s">
        <v>3459</v>
      </c>
    </row>
    <row r="20" spans="1:6" ht="15" customHeight="1" x14ac:dyDescent="0.25">
      <c r="A20" t="s">
        <v>6876</v>
      </c>
      <c r="B20" t="s">
        <v>6877</v>
      </c>
      <c r="C20" t="s">
        <v>5174</v>
      </c>
      <c r="D20" t="s">
        <v>3657</v>
      </c>
      <c r="E20" t="s">
        <v>3459</v>
      </c>
      <c r="F20" t="s">
        <v>3459</v>
      </c>
    </row>
    <row r="21" spans="1:6" ht="15" customHeight="1" x14ac:dyDescent="0.25">
      <c r="A21" t="s">
        <v>6878</v>
      </c>
      <c r="B21" t="s">
        <v>6879</v>
      </c>
      <c r="C21" t="s">
        <v>6848</v>
      </c>
      <c r="D21" t="s">
        <v>6878</v>
      </c>
      <c r="E21" t="s">
        <v>6869</v>
      </c>
      <c r="F21" t="s">
        <v>3503</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5699</v>
      </c>
      <c r="C1" t="s">
        <v>6</v>
      </c>
      <c r="D1" t="s">
        <v>3454</v>
      </c>
      <c r="E1" t="s">
        <v>6378</v>
      </c>
      <c r="F1" t="s">
        <v>6880</v>
      </c>
      <c r="G1" t="s">
        <v>1</v>
      </c>
      <c r="H1" t="s">
        <v>6379</v>
      </c>
      <c r="I1" t="s">
        <v>171</v>
      </c>
    </row>
    <row r="2" spans="1:9" ht="15" customHeight="1" x14ac:dyDescent="0.25">
      <c r="A2" t="s">
        <v>6881</v>
      </c>
      <c r="B2">
        <v>6</v>
      </c>
      <c r="C2" t="s">
        <v>3503</v>
      </c>
      <c r="D2" t="s">
        <v>6882</v>
      </c>
      <c r="E2" t="s">
        <v>3459</v>
      </c>
      <c r="F2" t="s">
        <v>3998</v>
      </c>
      <c r="G2" t="s">
        <v>2361</v>
      </c>
      <c r="H2" t="s">
        <v>5387</v>
      </c>
      <c r="I2" t="s">
        <v>6881</v>
      </c>
    </row>
    <row r="3" spans="1:9" ht="15" customHeight="1" x14ac:dyDescent="0.25">
      <c r="A3" t="s">
        <v>6883</v>
      </c>
      <c r="B3">
        <v>3</v>
      </c>
      <c r="C3" t="s">
        <v>3515</v>
      </c>
      <c r="D3" t="s">
        <v>6884</v>
      </c>
      <c r="E3" t="s">
        <v>3459</v>
      </c>
      <c r="F3" t="s">
        <v>187</v>
      </c>
      <c r="G3" t="s">
        <v>2361</v>
      </c>
      <c r="H3" t="s">
        <v>3459</v>
      </c>
      <c r="I3" t="s">
        <v>6883</v>
      </c>
    </row>
    <row r="4" spans="1:9" ht="15" customHeight="1" x14ac:dyDescent="0.25">
      <c r="A4" t="s">
        <v>6885</v>
      </c>
      <c r="B4">
        <v>3</v>
      </c>
      <c r="C4" t="s">
        <v>3503</v>
      </c>
      <c r="D4" t="s">
        <v>6886</v>
      </c>
      <c r="E4" t="s">
        <v>5415</v>
      </c>
      <c r="F4" t="s">
        <v>187</v>
      </c>
      <c r="G4" t="s">
        <v>2361</v>
      </c>
      <c r="H4" t="s">
        <v>3459</v>
      </c>
      <c r="I4" t="s">
        <v>6885</v>
      </c>
    </row>
    <row r="5" spans="1:9" ht="15" customHeight="1" x14ac:dyDescent="0.25">
      <c r="A5" t="s">
        <v>6887</v>
      </c>
      <c r="B5">
        <v>6</v>
      </c>
      <c r="C5" t="s">
        <v>3503</v>
      </c>
      <c r="D5" t="s">
        <v>6888</v>
      </c>
      <c r="E5" t="s">
        <v>3459</v>
      </c>
      <c r="F5" t="s">
        <v>187</v>
      </c>
      <c r="G5" t="s">
        <v>2361</v>
      </c>
      <c r="H5" t="s">
        <v>4262</v>
      </c>
      <c r="I5" t="s">
        <v>6887</v>
      </c>
    </row>
    <row r="6" spans="1:9" ht="15" customHeight="1" x14ac:dyDescent="0.25">
      <c r="A6" t="s">
        <v>4003</v>
      </c>
      <c r="B6">
        <v>1</v>
      </c>
      <c r="C6" t="s">
        <v>3515</v>
      </c>
      <c r="D6" t="s">
        <v>6889</v>
      </c>
      <c r="E6" t="s">
        <v>3459</v>
      </c>
      <c r="F6" t="s">
        <v>187</v>
      </c>
      <c r="G6" t="s">
        <v>2361</v>
      </c>
      <c r="H6" t="s">
        <v>4262</v>
      </c>
      <c r="I6" t="s">
        <v>4003</v>
      </c>
    </row>
    <row r="7" spans="1:9" ht="15" customHeight="1" x14ac:dyDescent="0.25">
      <c r="A7" t="s">
        <v>6890</v>
      </c>
      <c r="B7">
        <v>3</v>
      </c>
      <c r="C7" t="s">
        <v>3503</v>
      </c>
      <c r="D7" t="s">
        <v>6891</v>
      </c>
      <c r="E7" t="s">
        <v>3459</v>
      </c>
      <c r="F7" t="s">
        <v>187</v>
      </c>
      <c r="G7" t="s">
        <v>2361</v>
      </c>
      <c r="H7" t="s">
        <v>3459</v>
      </c>
      <c r="I7" t="s">
        <v>6890</v>
      </c>
    </row>
    <row r="8" spans="1:9" ht="15" customHeight="1" x14ac:dyDescent="0.25">
      <c r="A8" t="s">
        <v>6892</v>
      </c>
      <c r="B8">
        <v>1</v>
      </c>
      <c r="C8" t="s">
        <v>3515</v>
      </c>
      <c r="D8" t="s">
        <v>6893</v>
      </c>
      <c r="E8" t="s">
        <v>5413</v>
      </c>
      <c r="F8" t="s">
        <v>187</v>
      </c>
      <c r="G8" t="s">
        <v>2361</v>
      </c>
      <c r="H8" t="s">
        <v>3459</v>
      </c>
      <c r="I8" t="s">
        <v>6892</v>
      </c>
    </row>
    <row r="9" spans="1:9" ht="15" customHeight="1" x14ac:dyDescent="0.25">
      <c r="A9" t="s">
        <v>6894</v>
      </c>
      <c r="B9">
        <v>2</v>
      </c>
      <c r="C9" t="s">
        <v>41</v>
      </c>
      <c r="D9" t="s">
        <v>4559</v>
      </c>
      <c r="E9" t="s">
        <v>5430</v>
      </c>
      <c r="F9" t="s">
        <v>3998</v>
      </c>
      <c r="G9" t="s">
        <v>2361</v>
      </c>
      <c r="H9" t="s">
        <v>3459</v>
      </c>
      <c r="I9" t="s">
        <v>6894</v>
      </c>
    </row>
    <row r="10" spans="1:9" ht="15" customHeight="1" x14ac:dyDescent="0.25">
      <c r="A10" t="s">
        <v>6895</v>
      </c>
      <c r="B10">
        <v>1</v>
      </c>
      <c r="C10" t="s">
        <v>3503</v>
      </c>
      <c r="D10" t="s">
        <v>6896</v>
      </c>
      <c r="E10" t="s">
        <v>5413</v>
      </c>
      <c r="F10" t="s">
        <v>3998</v>
      </c>
      <c r="G10" t="s">
        <v>2361</v>
      </c>
      <c r="H10" t="s">
        <v>5384</v>
      </c>
      <c r="I10" t="s">
        <v>6895</v>
      </c>
    </row>
    <row r="11" spans="1:9" ht="15" customHeight="1" x14ac:dyDescent="0.25">
      <c r="A11" t="s">
        <v>6897</v>
      </c>
      <c r="B11">
        <v>15</v>
      </c>
      <c r="C11" t="s">
        <v>3503</v>
      </c>
      <c r="D11" t="s">
        <v>6898</v>
      </c>
      <c r="E11" t="s">
        <v>3459</v>
      </c>
      <c r="F11" t="s">
        <v>3998</v>
      </c>
      <c r="G11" t="s">
        <v>2361</v>
      </c>
      <c r="H11" t="s">
        <v>5387</v>
      </c>
      <c r="I11" t="s">
        <v>6897</v>
      </c>
    </row>
    <row r="12" spans="1:9" ht="15" customHeight="1" x14ac:dyDescent="0.25">
      <c r="A12" t="s">
        <v>6899</v>
      </c>
      <c r="B12">
        <v>2</v>
      </c>
      <c r="C12" t="s">
        <v>41</v>
      </c>
      <c r="D12" t="s">
        <v>6900</v>
      </c>
      <c r="E12" t="s">
        <v>3459</v>
      </c>
      <c r="F12" t="s">
        <v>3998</v>
      </c>
      <c r="G12" t="s">
        <v>2361</v>
      </c>
      <c r="H12" t="s">
        <v>5384</v>
      </c>
      <c r="I12" t="s">
        <v>6899</v>
      </c>
    </row>
    <row r="13" spans="1:9" ht="15" customHeight="1" x14ac:dyDescent="0.25">
      <c r="A13" t="s">
        <v>6901</v>
      </c>
      <c r="B13">
        <v>3</v>
      </c>
      <c r="C13" t="s">
        <v>3503</v>
      </c>
      <c r="D13" t="s">
        <v>6902</v>
      </c>
      <c r="E13" t="s">
        <v>3459</v>
      </c>
      <c r="F13" t="s">
        <v>187</v>
      </c>
      <c r="G13" t="s">
        <v>2361</v>
      </c>
      <c r="H13" t="s">
        <v>5255</v>
      </c>
      <c r="I13" t="s">
        <v>6901</v>
      </c>
    </row>
    <row r="14" spans="1:9" ht="15" customHeight="1" x14ac:dyDescent="0.25">
      <c r="A14" t="s">
        <v>6903</v>
      </c>
      <c r="B14">
        <v>1</v>
      </c>
      <c r="C14" t="s">
        <v>41</v>
      </c>
      <c r="D14" t="s">
        <v>6904</v>
      </c>
      <c r="E14" t="s">
        <v>5413</v>
      </c>
      <c r="F14" t="s">
        <v>187</v>
      </c>
      <c r="G14" t="s">
        <v>2361</v>
      </c>
      <c r="H14" t="s">
        <v>3459</v>
      </c>
      <c r="I14" t="s">
        <v>6903</v>
      </c>
    </row>
    <row r="15" spans="1:9" ht="15" customHeight="1" x14ac:dyDescent="0.25">
      <c r="A15" t="s">
        <v>6905</v>
      </c>
      <c r="B15">
        <v>2</v>
      </c>
      <c r="C15" t="s">
        <v>41</v>
      </c>
      <c r="D15" t="s">
        <v>6906</v>
      </c>
      <c r="E15" t="s">
        <v>5460</v>
      </c>
      <c r="F15" t="s">
        <v>187</v>
      </c>
      <c r="G15" t="s">
        <v>2361</v>
      </c>
      <c r="H15" t="s">
        <v>5390</v>
      </c>
      <c r="I15" t="s">
        <v>6905</v>
      </c>
    </row>
    <row r="16" spans="1:9" ht="15" customHeight="1" x14ac:dyDescent="0.25">
      <c r="A16" t="s">
        <v>6907</v>
      </c>
      <c r="B16">
        <v>2</v>
      </c>
      <c r="C16" t="s">
        <v>41</v>
      </c>
      <c r="D16" t="s">
        <v>6908</v>
      </c>
      <c r="E16" t="s">
        <v>5460</v>
      </c>
      <c r="F16" t="s">
        <v>187</v>
      </c>
      <c r="G16" t="s">
        <v>2361</v>
      </c>
      <c r="H16" t="s">
        <v>5390</v>
      </c>
      <c r="I16" t="s">
        <v>6907</v>
      </c>
    </row>
    <row r="17" spans="1:9" ht="15" customHeight="1" x14ac:dyDescent="0.25">
      <c r="A17" t="s">
        <v>6909</v>
      </c>
      <c r="B17">
        <v>3</v>
      </c>
      <c r="C17" t="s">
        <v>3515</v>
      </c>
      <c r="D17" t="s">
        <v>6910</v>
      </c>
      <c r="E17" t="s">
        <v>3459</v>
      </c>
      <c r="F17" t="s">
        <v>187</v>
      </c>
      <c r="G17" t="s">
        <v>2361</v>
      </c>
      <c r="H17" t="s">
        <v>5399</v>
      </c>
      <c r="I17" t="s">
        <v>6909</v>
      </c>
    </row>
    <row r="18" spans="1:9" ht="15" customHeight="1" x14ac:dyDescent="0.25">
      <c r="A18" t="s">
        <v>6911</v>
      </c>
      <c r="B18">
        <v>3</v>
      </c>
      <c r="C18" t="s">
        <v>41</v>
      </c>
      <c r="D18" t="s">
        <v>6912</v>
      </c>
      <c r="E18" t="s">
        <v>5460</v>
      </c>
      <c r="F18" t="s">
        <v>187</v>
      </c>
      <c r="G18" t="s">
        <v>2361</v>
      </c>
      <c r="H18" t="s">
        <v>4262</v>
      </c>
      <c r="I18" t="s">
        <v>6911</v>
      </c>
    </row>
    <row r="19" spans="1:9" ht="15" customHeight="1" x14ac:dyDescent="0.25">
      <c r="A19" t="s">
        <v>6913</v>
      </c>
      <c r="B19">
        <v>4</v>
      </c>
      <c r="C19" t="s">
        <v>41</v>
      </c>
      <c r="D19" t="s">
        <v>6914</v>
      </c>
      <c r="E19" t="s">
        <v>5408</v>
      </c>
      <c r="F19" t="s">
        <v>187</v>
      </c>
      <c r="G19" t="s">
        <v>2361</v>
      </c>
      <c r="H19" t="s">
        <v>5390</v>
      </c>
      <c r="I19" t="s">
        <v>6913</v>
      </c>
    </row>
    <row r="20" spans="1:9" ht="15" customHeight="1" x14ac:dyDescent="0.25">
      <c r="A20" t="s">
        <v>6915</v>
      </c>
      <c r="B20">
        <v>2</v>
      </c>
      <c r="C20" t="s">
        <v>3515</v>
      </c>
      <c r="D20" t="s">
        <v>6916</v>
      </c>
      <c r="E20" t="s">
        <v>5413</v>
      </c>
      <c r="F20" t="s">
        <v>3998</v>
      </c>
      <c r="G20" t="s">
        <v>2361</v>
      </c>
      <c r="H20" t="s">
        <v>5392</v>
      </c>
      <c r="I20" t="s">
        <v>6915</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6917</v>
      </c>
      <c r="D1" t="s">
        <v>1</v>
      </c>
      <c r="E1" t="s">
        <v>7</v>
      </c>
    </row>
    <row r="2" spans="1:5" ht="15" customHeight="1" x14ac:dyDescent="0.25">
      <c r="A2" t="s">
        <v>6918</v>
      </c>
      <c r="B2" t="s">
        <v>41</v>
      </c>
      <c r="C2" t="s">
        <v>4376</v>
      </c>
      <c r="D2" t="s">
        <v>1294</v>
      </c>
      <c r="E2" t="s">
        <v>6919</v>
      </c>
    </row>
    <row r="3" spans="1:5" ht="15" customHeight="1" x14ac:dyDescent="0.25">
      <c r="A3" t="s">
        <v>6920</v>
      </c>
      <c r="B3" t="s">
        <v>3515</v>
      </c>
      <c r="C3" t="s">
        <v>4376</v>
      </c>
      <c r="D3" t="s">
        <v>1294</v>
      </c>
      <c r="E3" t="s">
        <v>6921</v>
      </c>
    </row>
    <row r="4" spans="1:5" ht="15" customHeight="1" x14ac:dyDescent="0.25">
      <c r="A4" t="s">
        <v>6922</v>
      </c>
      <c r="B4" t="s">
        <v>3503</v>
      </c>
      <c r="C4" t="s">
        <v>4376</v>
      </c>
      <c r="D4" t="s">
        <v>1294</v>
      </c>
      <c r="E4" t="s">
        <v>6923</v>
      </c>
    </row>
    <row r="5" spans="1:5" ht="15" customHeight="1" x14ac:dyDescent="0.25">
      <c r="A5" t="s">
        <v>6924</v>
      </c>
      <c r="B5" t="s">
        <v>41</v>
      </c>
      <c r="C5" t="s">
        <v>4374</v>
      </c>
      <c r="D5" t="s">
        <v>1294</v>
      </c>
      <c r="E5" t="s">
        <v>6925</v>
      </c>
    </row>
    <row r="6" spans="1:5" ht="15" customHeight="1" x14ac:dyDescent="0.25">
      <c r="A6" t="s">
        <v>6926</v>
      </c>
      <c r="B6" t="s">
        <v>3515</v>
      </c>
      <c r="C6" t="s">
        <v>4374</v>
      </c>
      <c r="D6" t="s">
        <v>1294</v>
      </c>
      <c r="E6" t="s">
        <v>6927</v>
      </c>
    </row>
    <row r="7" spans="1:5" ht="15" customHeight="1" x14ac:dyDescent="0.25">
      <c r="A7" t="s">
        <v>6928</v>
      </c>
      <c r="B7" t="s">
        <v>3503</v>
      </c>
      <c r="C7" t="s">
        <v>4374</v>
      </c>
      <c r="D7" t="s">
        <v>1294</v>
      </c>
      <c r="E7" t="s">
        <v>6929</v>
      </c>
    </row>
    <row r="8" spans="1:5" ht="15" customHeight="1" x14ac:dyDescent="0.25">
      <c r="A8" t="s">
        <v>6930</v>
      </c>
      <c r="B8" t="s">
        <v>41</v>
      </c>
      <c r="C8" t="s">
        <v>4383</v>
      </c>
      <c r="D8" t="s">
        <v>1294</v>
      </c>
      <c r="E8" t="s">
        <v>6931</v>
      </c>
    </row>
    <row r="9" spans="1:5" ht="15" customHeight="1" x14ac:dyDescent="0.25">
      <c r="A9" t="s">
        <v>6932</v>
      </c>
      <c r="B9" t="s">
        <v>3515</v>
      </c>
      <c r="C9" t="s">
        <v>4383</v>
      </c>
      <c r="D9" t="s">
        <v>1294</v>
      </c>
      <c r="E9" t="s">
        <v>6933</v>
      </c>
    </row>
    <row r="10" spans="1:5" ht="15" customHeight="1" x14ac:dyDescent="0.25">
      <c r="A10" t="s">
        <v>6934</v>
      </c>
      <c r="B10" t="s">
        <v>3503</v>
      </c>
      <c r="C10" t="s">
        <v>4383</v>
      </c>
      <c r="D10" t="s">
        <v>1294</v>
      </c>
      <c r="E10" t="s">
        <v>6935</v>
      </c>
    </row>
    <row r="11" spans="1:5" ht="15" customHeight="1" x14ac:dyDescent="0.25">
      <c r="A11" t="s">
        <v>6936</v>
      </c>
      <c r="B11" t="s">
        <v>41</v>
      </c>
      <c r="C11" t="s">
        <v>4365</v>
      </c>
      <c r="D11" t="s">
        <v>1294</v>
      </c>
      <c r="E11" t="s">
        <v>6937</v>
      </c>
    </row>
    <row r="12" spans="1:5" ht="15" customHeight="1" x14ac:dyDescent="0.25">
      <c r="A12" t="s">
        <v>6938</v>
      </c>
      <c r="B12" t="s">
        <v>3515</v>
      </c>
      <c r="C12" t="s">
        <v>4365</v>
      </c>
      <c r="D12" t="s">
        <v>1294</v>
      </c>
      <c r="E12" t="s">
        <v>6939</v>
      </c>
    </row>
    <row r="13" spans="1:5" ht="15" customHeight="1" x14ac:dyDescent="0.25">
      <c r="A13" t="s">
        <v>6940</v>
      </c>
      <c r="B13" t="s">
        <v>3503</v>
      </c>
      <c r="C13" t="s">
        <v>4365</v>
      </c>
      <c r="D13" t="s">
        <v>1294</v>
      </c>
      <c r="E13" t="s">
        <v>6941</v>
      </c>
    </row>
    <row r="14" spans="1:5" ht="15" customHeight="1" x14ac:dyDescent="0.25">
      <c r="A14" t="s">
        <v>6942</v>
      </c>
      <c r="B14" t="s">
        <v>41</v>
      </c>
      <c r="C14" t="s">
        <v>4390</v>
      </c>
      <c r="D14" t="s">
        <v>1294</v>
      </c>
      <c r="E14" t="s">
        <v>6943</v>
      </c>
    </row>
    <row r="15" spans="1:5" ht="15" customHeight="1" x14ac:dyDescent="0.25">
      <c r="A15" t="s">
        <v>6944</v>
      </c>
      <c r="B15" t="s">
        <v>3515</v>
      </c>
      <c r="C15" t="s">
        <v>4390</v>
      </c>
      <c r="D15" t="s">
        <v>1294</v>
      </c>
      <c r="E15" t="s">
        <v>6945</v>
      </c>
    </row>
    <row r="16" spans="1:5" ht="15" customHeight="1" x14ac:dyDescent="0.25">
      <c r="A16" t="s">
        <v>6946</v>
      </c>
      <c r="B16" t="s">
        <v>3503</v>
      </c>
      <c r="C16" t="s">
        <v>4390</v>
      </c>
      <c r="D16" t="s">
        <v>1294</v>
      </c>
      <c r="E16" t="s">
        <v>6947</v>
      </c>
    </row>
    <row r="17" spans="1:5" ht="15" customHeight="1" x14ac:dyDescent="0.25">
      <c r="A17" t="s">
        <v>6948</v>
      </c>
      <c r="B17" t="s">
        <v>41</v>
      </c>
      <c r="C17" t="s">
        <v>4397</v>
      </c>
      <c r="D17" t="s">
        <v>1294</v>
      </c>
      <c r="E17" t="s">
        <v>6949</v>
      </c>
    </row>
    <row r="18" spans="1:5" ht="15" customHeight="1" x14ac:dyDescent="0.25">
      <c r="A18" t="s">
        <v>6950</v>
      </c>
      <c r="B18" t="s">
        <v>3515</v>
      </c>
      <c r="C18" t="s">
        <v>4397</v>
      </c>
      <c r="D18" t="s">
        <v>1294</v>
      </c>
      <c r="E18" t="s">
        <v>6951</v>
      </c>
    </row>
    <row r="19" spans="1:5" ht="15" customHeight="1" x14ac:dyDescent="0.25">
      <c r="A19" t="s">
        <v>6952</v>
      </c>
      <c r="B19" t="s">
        <v>3503</v>
      </c>
      <c r="C19" t="s">
        <v>4397</v>
      </c>
      <c r="D19" t="s">
        <v>1294</v>
      </c>
      <c r="E19" t="s">
        <v>6953</v>
      </c>
    </row>
    <row r="20" spans="1:5" ht="15" customHeight="1" x14ac:dyDescent="0.25">
      <c r="A20" t="s">
        <v>6954</v>
      </c>
      <c r="B20" t="s">
        <v>41</v>
      </c>
      <c r="C20" t="s">
        <v>4397</v>
      </c>
      <c r="D20" t="s">
        <v>709</v>
      </c>
      <c r="E20" t="s">
        <v>6955</v>
      </c>
    </row>
    <row r="21" spans="1:5" ht="15" customHeight="1" x14ac:dyDescent="0.25">
      <c r="A21" t="s">
        <v>6956</v>
      </c>
      <c r="B21" t="s">
        <v>41</v>
      </c>
      <c r="C21" t="s">
        <v>4397</v>
      </c>
      <c r="D21" t="s">
        <v>709</v>
      </c>
      <c r="E21" t="s">
        <v>6957</v>
      </c>
    </row>
    <row r="22" spans="1:5" ht="15" customHeight="1" x14ac:dyDescent="0.25">
      <c r="A22" t="s">
        <v>6958</v>
      </c>
      <c r="B22" t="s">
        <v>3515</v>
      </c>
      <c r="C22" t="s">
        <v>4397</v>
      </c>
      <c r="D22" t="s">
        <v>709</v>
      </c>
      <c r="E22" t="s">
        <v>6959</v>
      </c>
    </row>
    <row r="23" spans="1:5" ht="15" customHeight="1" x14ac:dyDescent="0.25">
      <c r="A23" t="s">
        <v>6960</v>
      </c>
      <c r="B23" t="s">
        <v>3515</v>
      </c>
      <c r="C23" t="s">
        <v>4397</v>
      </c>
      <c r="D23" t="s">
        <v>709</v>
      </c>
      <c r="E23" t="s">
        <v>6961</v>
      </c>
    </row>
    <row r="24" spans="1:5" ht="15" customHeight="1" x14ac:dyDescent="0.25">
      <c r="A24" t="s">
        <v>6962</v>
      </c>
      <c r="B24" t="s">
        <v>3503</v>
      </c>
      <c r="C24" t="s">
        <v>4397</v>
      </c>
      <c r="D24" t="s">
        <v>709</v>
      </c>
      <c r="E24" t="s">
        <v>6963</v>
      </c>
    </row>
    <row r="25" spans="1:5" ht="15" customHeight="1" x14ac:dyDescent="0.25">
      <c r="A25" t="s">
        <v>6964</v>
      </c>
      <c r="B25" t="s">
        <v>3503</v>
      </c>
      <c r="C25" t="s">
        <v>4397</v>
      </c>
      <c r="D25" t="s">
        <v>709</v>
      </c>
      <c r="E25" t="s">
        <v>6965</v>
      </c>
    </row>
    <row r="26" spans="1:5" ht="15" customHeight="1" x14ac:dyDescent="0.25">
      <c r="A26" t="s">
        <v>6966</v>
      </c>
      <c r="B26" t="s">
        <v>3503</v>
      </c>
      <c r="C26" t="s">
        <v>4397</v>
      </c>
      <c r="D26" t="s">
        <v>709</v>
      </c>
      <c r="E26" t="s">
        <v>6967</v>
      </c>
    </row>
    <row r="27" spans="1:5" ht="15" customHeight="1" x14ac:dyDescent="0.25">
      <c r="A27" t="s">
        <v>6968</v>
      </c>
      <c r="B27" t="s">
        <v>3503</v>
      </c>
      <c r="C27" t="s">
        <v>4397</v>
      </c>
      <c r="D27" t="s">
        <v>709</v>
      </c>
      <c r="E27" t="s">
        <v>6969</v>
      </c>
    </row>
    <row r="28" spans="1:5" ht="15" customHeight="1" x14ac:dyDescent="0.25">
      <c r="A28" t="s">
        <v>6970</v>
      </c>
      <c r="B28" t="s">
        <v>3503</v>
      </c>
      <c r="C28" t="s">
        <v>4397</v>
      </c>
      <c r="D28" t="s">
        <v>709</v>
      </c>
      <c r="E28" t="s">
        <v>6971</v>
      </c>
    </row>
    <row r="29" spans="1:5" ht="15" customHeight="1" x14ac:dyDescent="0.25">
      <c r="A29" t="s">
        <v>6972</v>
      </c>
      <c r="B29" t="s">
        <v>3515</v>
      </c>
      <c r="C29" t="s">
        <v>4374</v>
      </c>
      <c r="D29" t="s">
        <v>918</v>
      </c>
      <c r="E29" t="s">
        <v>6973</v>
      </c>
    </row>
    <row r="30" spans="1:5" ht="15" customHeight="1" x14ac:dyDescent="0.25">
      <c r="A30" t="s">
        <v>6974</v>
      </c>
      <c r="B30" t="s">
        <v>3515</v>
      </c>
      <c r="C30" t="s">
        <v>6975</v>
      </c>
      <c r="D30" t="s">
        <v>918</v>
      </c>
      <c r="E30" t="s">
        <v>6976</v>
      </c>
    </row>
    <row r="31" spans="1:5" ht="15" customHeight="1" x14ac:dyDescent="0.25">
      <c r="A31" t="s">
        <v>6977</v>
      </c>
      <c r="B31" t="s">
        <v>41</v>
      </c>
      <c r="C31" t="s">
        <v>4403</v>
      </c>
      <c r="D31" t="s">
        <v>918</v>
      </c>
      <c r="E31" t="s">
        <v>6978</v>
      </c>
    </row>
    <row r="32" spans="1:5" ht="15" customHeight="1" x14ac:dyDescent="0.25">
      <c r="A32" t="s">
        <v>6979</v>
      </c>
      <c r="B32" t="s">
        <v>3503</v>
      </c>
      <c r="C32" t="s">
        <v>4397</v>
      </c>
      <c r="D32" t="s">
        <v>918</v>
      </c>
      <c r="E32" t="s">
        <v>6980</v>
      </c>
    </row>
    <row r="33" spans="1:5" ht="15" customHeight="1" x14ac:dyDescent="0.25">
      <c r="A33" t="s">
        <v>6981</v>
      </c>
      <c r="B33" t="s">
        <v>41</v>
      </c>
      <c r="C33" t="s">
        <v>4403</v>
      </c>
      <c r="D33" t="s">
        <v>918</v>
      </c>
      <c r="E33" t="s">
        <v>6982</v>
      </c>
    </row>
    <row r="34" spans="1:5" ht="15" customHeight="1" x14ac:dyDescent="0.25">
      <c r="A34" t="s">
        <v>6983</v>
      </c>
      <c r="B34" t="s">
        <v>3515</v>
      </c>
      <c r="C34" t="s">
        <v>4397</v>
      </c>
      <c r="D34" t="s">
        <v>918</v>
      </c>
      <c r="E34" t="s">
        <v>6984</v>
      </c>
    </row>
    <row r="35" spans="1:5" ht="15" customHeight="1" x14ac:dyDescent="0.25">
      <c r="A35" t="s">
        <v>6985</v>
      </c>
      <c r="B35" t="s">
        <v>41</v>
      </c>
      <c r="C35" t="s">
        <v>4397</v>
      </c>
      <c r="D35" t="s">
        <v>918</v>
      </c>
      <c r="E35" t="s">
        <v>6986</v>
      </c>
    </row>
    <row r="36" spans="1:5" ht="15" customHeight="1" x14ac:dyDescent="0.25">
      <c r="A36" t="s">
        <v>6987</v>
      </c>
      <c r="B36" t="s">
        <v>41</v>
      </c>
      <c r="C36" t="s">
        <v>4397</v>
      </c>
      <c r="D36" t="s">
        <v>918</v>
      </c>
      <c r="E36" t="s">
        <v>6988</v>
      </c>
    </row>
    <row r="37" spans="1:5" ht="15" customHeight="1" x14ac:dyDescent="0.25">
      <c r="A37" t="s">
        <v>6989</v>
      </c>
      <c r="B37" t="s">
        <v>41</v>
      </c>
      <c r="C37" t="s">
        <v>4376</v>
      </c>
      <c r="D37" t="s">
        <v>1298</v>
      </c>
      <c r="E37" t="s">
        <v>6990</v>
      </c>
    </row>
    <row r="38" spans="1:5" ht="15" customHeight="1" x14ac:dyDescent="0.25">
      <c r="A38" t="s">
        <v>6991</v>
      </c>
      <c r="B38" t="s">
        <v>3515</v>
      </c>
      <c r="C38" t="s">
        <v>4376</v>
      </c>
      <c r="D38" t="s">
        <v>1298</v>
      </c>
      <c r="E38" t="s">
        <v>6992</v>
      </c>
    </row>
    <row r="39" spans="1:5" ht="15" customHeight="1" x14ac:dyDescent="0.25">
      <c r="A39" t="s">
        <v>6993</v>
      </c>
      <c r="B39" t="s">
        <v>3503</v>
      </c>
      <c r="C39" t="s">
        <v>4376</v>
      </c>
      <c r="D39" t="s">
        <v>1298</v>
      </c>
      <c r="E39" t="s">
        <v>6994</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3735</v>
      </c>
      <c r="D1" t="s">
        <v>5018</v>
      </c>
      <c r="E1" s="9" t="s">
        <v>5019</v>
      </c>
      <c r="F1" s="9" t="s">
        <v>5020</v>
      </c>
      <c r="G1" t="s">
        <v>3740</v>
      </c>
      <c r="H1" t="s">
        <v>1</v>
      </c>
      <c r="I1" t="s">
        <v>5021</v>
      </c>
      <c r="J1" t="s">
        <v>6995</v>
      </c>
      <c r="K1" t="s">
        <v>171</v>
      </c>
      <c r="L1" t="s">
        <v>5023</v>
      </c>
      <c r="M1" t="s">
        <v>3741</v>
      </c>
    </row>
    <row r="2" spans="1:13" ht="15" customHeight="1" x14ac:dyDescent="0.25">
      <c r="A2" t="s">
        <v>6996</v>
      </c>
      <c r="B2" t="s">
        <v>3983</v>
      </c>
      <c r="C2" t="s">
        <v>4364</v>
      </c>
      <c r="D2">
        <v>2</v>
      </c>
      <c r="E2" s="9">
        <v>30</v>
      </c>
      <c r="F2" s="9">
        <v>34</v>
      </c>
      <c r="G2" t="s">
        <v>6997</v>
      </c>
      <c r="H2" t="s">
        <v>2132</v>
      </c>
      <c r="I2" t="s">
        <v>4397</v>
      </c>
      <c r="J2" t="s">
        <v>6998</v>
      </c>
      <c r="K2" t="s">
        <v>6996</v>
      </c>
      <c r="L2" t="s">
        <v>3459</v>
      </c>
    </row>
    <row r="3" spans="1:13" ht="15" customHeight="1" x14ac:dyDescent="0.25">
      <c r="A3" t="s">
        <v>6999</v>
      </c>
      <c r="B3" t="s">
        <v>3983</v>
      </c>
      <c r="C3" t="s">
        <v>4368</v>
      </c>
      <c r="D3">
        <v>2</v>
      </c>
      <c r="E3" s="9">
        <v>64</v>
      </c>
      <c r="F3" s="9">
        <v>70</v>
      </c>
      <c r="G3" t="s">
        <v>6997</v>
      </c>
      <c r="H3" t="s">
        <v>2132</v>
      </c>
      <c r="I3" t="s">
        <v>4397</v>
      </c>
      <c r="J3" t="s">
        <v>7000</v>
      </c>
      <c r="K3" t="s">
        <v>7001</v>
      </c>
      <c r="L3" t="s">
        <v>3459</v>
      </c>
    </row>
    <row r="4" spans="1:13" ht="15" customHeight="1" x14ac:dyDescent="0.25">
      <c r="A4" t="s">
        <v>7002</v>
      </c>
      <c r="B4" t="s">
        <v>3983</v>
      </c>
      <c r="C4" t="s">
        <v>5027</v>
      </c>
      <c r="D4">
        <v>7</v>
      </c>
      <c r="E4" s="9">
        <v>150</v>
      </c>
      <c r="F4" s="9">
        <v>160</v>
      </c>
      <c r="G4" t="s">
        <v>6997</v>
      </c>
      <c r="H4" t="s">
        <v>2132</v>
      </c>
      <c r="I4" t="s">
        <v>4397</v>
      </c>
      <c r="J4" t="s">
        <v>7003</v>
      </c>
      <c r="K4" t="s">
        <v>7004</v>
      </c>
      <c r="L4" t="s">
        <v>3459</v>
      </c>
    </row>
    <row r="5" spans="1:13" ht="15" customHeight="1" x14ac:dyDescent="0.25">
      <c r="A5" t="s">
        <v>5083</v>
      </c>
      <c r="B5" t="s">
        <v>3983</v>
      </c>
      <c r="C5" t="s">
        <v>4364</v>
      </c>
      <c r="D5" t="s">
        <v>3459</v>
      </c>
      <c r="E5" s="9">
        <v>20</v>
      </c>
      <c r="F5" s="9">
        <v>24</v>
      </c>
      <c r="G5" t="s">
        <v>3459</v>
      </c>
      <c r="H5" t="s">
        <v>160</v>
      </c>
      <c r="I5" t="s">
        <v>4397</v>
      </c>
      <c r="J5" t="s">
        <v>7005</v>
      </c>
      <c r="K5" t="s">
        <v>5083</v>
      </c>
      <c r="L5" t="s">
        <v>3459</v>
      </c>
    </row>
    <row r="6" spans="1:13" ht="15" customHeight="1" x14ac:dyDescent="0.25">
      <c r="A6" t="s">
        <v>5074</v>
      </c>
      <c r="B6" t="s">
        <v>3983</v>
      </c>
      <c r="C6" t="s">
        <v>4364</v>
      </c>
      <c r="D6">
        <v>2</v>
      </c>
      <c r="E6" s="9">
        <v>20</v>
      </c>
      <c r="F6" s="9">
        <v>24</v>
      </c>
      <c r="G6" t="s">
        <v>7006</v>
      </c>
      <c r="H6" t="s">
        <v>160</v>
      </c>
      <c r="I6" t="s">
        <v>4397</v>
      </c>
      <c r="J6" t="s">
        <v>7007</v>
      </c>
      <c r="K6" t="s">
        <v>5074</v>
      </c>
      <c r="L6" t="s">
        <v>3459</v>
      </c>
    </row>
    <row r="7" spans="1:13" ht="15" customHeight="1" x14ac:dyDescent="0.25">
      <c r="A7" t="s">
        <v>5081</v>
      </c>
      <c r="B7" t="s">
        <v>3983</v>
      </c>
      <c r="C7" t="s">
        <v>4364</v>
      </c>
      <c r="D7" t="s">
        <v>3459</v>
      </c>
      <c r="E7" s="9">
        <v>20</v>
      </c>
      <c r="F7" s="9">
        <v>24</v>
      </c>
      <c r="G7" t="s">
        <v>3459</v>
      </c>
      <c r="H7" t="s">
        <v>160</v>
      </c>
      <c r="I7" t="s">
        <v>4397</v>
      </c>
      <c r="J7" t="s">
        <v>7008</v>
      </c>
      <c r="K7" t="s">
        <v>5081</v>
      </c>
      <c r="L7" t="s">
        <v>3459</v>
      </c>
    </row>
    <row r="8" spans="1:13" ht="15" customHeight="1" x14ac:dyDescent="0.25">
      <c r="A8" t="s">
        <v>7009</v>
      </c>
      <c r="B8" t="s">
        <v>3983</v>
      </c>
      <c r="C8" t="s">
        <v>4368</v>
      </c>
      <c r="D8">
        <v>3</v>
      </c>
      <c r="E8" s="9">
        <v>48</v>
      </c>
      <c r="F8" s="9">
        <v>54</v>
      </c>
      <c r="G8" t="s">
        <v>3459</v>
      </c>
      <c r="H8" t="s">
        <v>160</v>
      </c>
      <c r="I8" t="s">
        <v>4397</v>
      </c>
      <c r="J8" t="s">
        <v>7010</v>
      </c>
      <c r="K8" t="s">
        <v>7011</v>
      </c>
      <c r="L8" t="s">
        <v>3459</v>
      </c>
    </row>
    <row r="9" spans="1:13" ht="15" customHeight="1" x14ac:dyDescent="0.25">
      <c r="A9" t="s">
        <v>7012</v>
      </c>
      <c r="B9" t="s">
        <v>3983</v>
      </c>
      <c r="C9" t="s">
        <v>5027</v>
      </c>
      <c r="D9">
        <v>7</v>
      </c>
      <c r="E9" s="9">
        <v>130</v>
      </c>
      <c r="F9" s="9">
        <v>140</v>
      </c>
      <c r="G9" t="s">
        <v>7013</v>
      </c>
      <c r="H9" t="s">
        <v>160</v>
      </c>
      <c r="I9" t="s">
        <v>4397</v>
      </c>
      <c r="J9" t="s">
        <v>7014</v>
      </c>
      <c r="K9" t="s">
        <v>7015</v>
      </c>
      <c r="L9" t="s">
        <v>3459</v>
      </c>
      <c r="M9" t="s">
        <v>4634</v>
      </c>
    </row>
    <row r="10" spans="1:13" ht="15" customHeight="1" x14ac:dyDescent="0.25">
      <c r="A10" t="s">
        <v>3845</v>
      </c>
      <c r="B10" t="s">
        <v>6869</v>
      </c>
      <c r="C10" t="s">
        <v>4364</v>
      </c>
      <c r="D10">
        <v>1</v>
      </c>
      <c r="E10" s="9">
        <v>20</v>
      </c>
      <c r="F10" s="9">
        <v>24</v>
      </c>
      <c r="G10" t="s">
        <v>5248</v>
      </c>
      <c r="H10" t="s">
        <v>501</v>
      </c>
      <c r="I10" t="s">
        <v>4400</v>
      </c>
      <c r="J10" t="s">
        <v>7016</v>
      </c>
      <c r="K10" t="s">
        <v>3845</v>
      </c>
      <c r="L10" t="s">
        <v>3459</v>
      </c>
    </row>
    <row r="11" spans="1:13" ht="15" customHeight="1" x14ac:dyDescent="0.25">
      <c r="A11" t="s">
        <v>7017</v>
      </c>
      <c r="B11" t="s">
        <v>6869</v>
      </c>
      <c r="C11" t="s">
        <v>4364</v>
      </c>
      <c r="D11">
        <v>2</v>
      </c>
      <c r="E11" s="9">
        <v>30</v>
      </c>
      <c r="F11" s="9">
        <v>34</v>
      </c>
      <c r="G11" t="s">
        <v>5248</v>
      </c>
      <c r="H11" t="s">
        <v>501</v>
      </c>
      <c r="I11" t="s">
        <v>4400</v>
      </c>
      <c r="J11" t="s">
        <v>7018</v>
      </c>
      <c r="K11" t="s">
        <v>7019</v>
      </c>
      <c r="L11" t="s">
        <v>3459</v>
      </c>
    </row>
    <row r="12" spans="1:13" ht="15" customHeight="1" x14ac:dyDescent="0.25">
      <c r="A12" t="s">
        <v>7020</v>
      </c>
      <c r="B12" t="s">
        <v>6869</v>
      </c>
      <c r="C12" t="s">
        <v>4364</v>
      </c>
      <c r="D12">
        <v>3</v>
      </c>
      <c r="E12" s="9">
        <v>40</v>
      </c>
      <c r="F12" s="9">
        <v>44</v>
      </c>
      <c r="G12" t="s">
        <v>7021</v>
      </c>
      <c r="H12" t="s">
        <v>501</v>
      </c>
      <c r="I12" t="s">
        <v>4400</v>
      </c>
      <c r="J12" t="s">
        <v>7022</v>
      </c>
      <c r="K12" t="s">
        <v>7023</v>
      </c>
      <c r="L12" t="s">
        <v>3459</v>
      </c>
    </row>
    <row r="13" spans="1:13" ht="15" customHeight="1" x14ac:dyDescent="0.25">
      <c r="A13" t="s">
        <v>7024</v>
      </c>
      <c r="B13" t="s">
        <v>6869</v>
      </c>
      <c r="C13" t="s">
        <v>4364</v>
      </c>
      <c r="D13" t="s">
        <v>3459</v>
      </c>
      <c r="E13" s="9">
        <v>12</v>
      </c>
      <c r="F13" s="9">
        <v>14</v>
      </c>
      <c r="G13" t="s">
        <v>5248</v>
      </c>
      <c r="H13" t="s">
        <v>501</v>
      </c>
      <c r="I13" t="s">
        <v>4400</v>
      </c>
      <c r="J13" t="s">
        <v>7025</v>
      </c>
      <c r="K13" t="s">
        <v>7024</v>
      </c>
      <c r="L13" t="s">
        <v>3459</v>
      </c>
    </row>
    <row r="14" spans="1:13" ht="15" customHeight="1" x14ac:dyDescent="0.25">
      <c r="A14" t="s">
        <v>3853</v>
      </c>
      <c r="B14" t="s">
        <v>6869</v>
      </c>
      <c r="C14" t="s">
        <v>4368</v>
      </c>
      <c r="D14">
        <v>3</v>
      </c>
      <c r="E14" s="9">
        <v>130</v>
      </c>
      <c r="F14" s="9">
        <v>140</v>
      </c>
      <c r="G14" t="s">
        <v>7026</v>
      </c>
      <c r="H14" t="s">
        <v>501</v>
      </c>
      <c r="I14" t="s">
        <v>4383</v>
      </c>
      <c r="J14" t="s">
        <v>7027</v>
      </c>
      <c r="K14" t="s">
        <v>3853</v>
      </c>
      <c r="L14" t="s">
        <v>3459</v>
      </c>
    </row>
    <row r="15" spans="1:13" ht="15" customHeight="1" x14ac:dyDescent="0.25">
      <c r="A15" t="s">
        <v>7028</v>
      </c>
      <c r="B15" t="s">
        <v>6869</v>
      </c>
      <c r="C15" t="s">
        <v>4368</v>
      </c>
      <c r="D15" t="s">
        <v>3459</v>
      </c>
      <c r="E15" s="9">
        <v>130</v>
      </c>
      <c r="F15" s="9">
        <v>140</v>
      </c>
      <c r="G15" t="s">
        <v>7026</v>
      </c>
      <c r="H15" t="s">
        <v>501</v>
      </c>
      <c r="I15" t="s">
        <v>4383</v>
      </c>
      <c r="J15" t="s">
        <v>7029</v>
      </c>
      <c r="K15" t="s">
        <v>7030</v>
      </c>
      <c r="L15" t="s">
        <v>3853</v>
      </c>
    </row>
    <row r="16" spans="1:13" ht="15" customHeight="1" x14ac:dyDescent="0.25">
      <c r="A16" t="s">
        <v>7031</v>
      </c>
      <c r="B16" t="s">
        <v>6869</v>
      </c>
      <c r="C16" t="s">
        <v>5027</v>
      </c>
      <c r="D16">
        <v>5</v>
      </c>
      <c r="E16" s="9">
        <v>100</v>
      </c>
      <c r="F16" s="9">
        <v>110</v>
      </c>
      <c r="G16" t="s">
        <v>7032</v>
      </c>
      <c r="H16" t="s">
        <v>501</v>
      </c>
      <c r="I16" t="s">
        <v>4390</v>
      </c>
      <c r="J16" t="s">
        <v>7033</v>
      </c>
      <c r="K16" t="s">
        <v>7034</v>
      </c>
      <c r="L16" t="s">
        <v>3459</v>
      </c>
    </row>
    <row r="17" spans="1:13" ht="15" customHeight="1" x14ac:dyDescent="0.25">
      <c r="A17" t="s">
        <v>7035</v>
      </c>
      <c r="B17" t="s">
        <v>4000</v>
      </c>
      <c r="C17" t="s">
        <v>4364</v>
      </c>
      <c r="D17">
        <v>1</v>
      </c>
      <c r="E17" s="9">
        <v>30</v>
      </c>
      <c r="F17" s="9">
        <v>34</v>
      </c>
      <c r="G17" t="s">
        <v>5261</v>
      </c>
      <c r="H17" t="s">
        <v>2154</v>
      </c>
      <c r="I17" t="s">
        <v>4397</v>
      </c>
      <c r="J17" t="s">
        <v>7036</v>
      </c>
      <c r="K17" t="s">
        <v>7035</v>
      </c>
      <c r="L17" t="s">
        <v>3459</v>
      </c>
      <c r="M17" t="s">
        <v>3844</v>
      </c>
    </row>
    <row r="18" spans="1:13" ht="15" customHeight="1" x14ac:dyDescent="0.25">
      <c r="A18" t="s">
        <v>7037</v>
      </c>
      <c r="B18" t="s">
        <v>4000</v>
      </c>
      <c r="C18" t="s">
        <v>4368</v>
      </c>
      <c r="D18">
        <v>3</v>
      </c>
      <c r="E18" s="9">
        <v>40</v>
      </c>
      <c r="F18" s="9">
        <v>46</v>
      </c>
      <c r="G18" t="s">
        <v>7038</v>
      </c>
      <c r="H18" t="s">
        <v>2154</v>
      </c>
      <c r="I18" t="s">
        <v>4397</v>
      </c>
      <c r="J18" t="s">
        <v>7039</v>
      </c>
      <c r="K18" t="s">
        <v>7037</v>
      </c>
      <c r="L18" t="s">
        <v>3459</v>
      </c>
    </row>
    <row r="19" spans="1:13" ht="15" customHeight="1" x14ac:dyDescent="0.25">
      <c r="A19" t="s">
        <v>7040</v>
      </c>
      <c r="B19" t="s">
        <v>4000</v>
      </c>
      <c r="C19" t="s">
        <v>4368</v>
      </c>
      <c r="D19">
        <v>4</v>
      </c>
      <c r="E19" s="9">
        <v>60</v>
      </c>
      <c r="F19" s="9">
        <v>66</v>
      </c>
      <c r="G19" t="s">
        <v>5261</v>
      </c>
      <c r="H19" t="s">
        <v>2154</v>
      </c>
      <c r="I19" t="s">
        <v>4397</v>
      </c>
      <c r="J19" t="s">
        <v>7041</v>
      </c>
      <c r="K19" t="s">
        <v>7040</v>
      </c>
      <c r="L19" t="s">
        <v>3459</v>
      </c>
    </row>
    <row r="20" spans="1:13" ht="15" customHeight="1" x14ac:dyDescent="0.25">
      <c r="A20" t="s">
        <v>3972</v>
      </c>
      <c r="B20" t="s">
        <v>4000</v>
      </c>
      <c r="C20" t="s">
        <v>5027</v>
      </c>
      <c r="D20">
        <v>9</v>
      </c>
      <c r="E20" s="9">
        <v>250</v>
      </c>
      <c r="F20" s="9">
        <v>270</v>
      </c>
      <c r="G20" t="s">
        <v>7042</v>
      </c>
      <c r="H20" t="s">
        <v>2154</v>
      </c>
      <c r="I20" t="s">
        <v>4397</v>
      </c>
      <c r="J20" t="s">
        <v>7043</v>
      </c>
      <c r="K20" t="s">
        <v>3972</v>
      </c>
      <c r="L20" t="s">
        <v>3459</v>
      </c>
      <c r="M20" t="s">
        <v>7044</v>
      </c>
    </row>
    <row r="21" spans="1:13" ht="15" customHeight="1" x14ac:dyDescent="0.25">
      <c r="A21" t="s">
        <v>3803</v>
      </c>
      <c r="B21" t="s">
        <v>5024</v>
      </c>
      <c r="C21" t="s">
        <v>4364</v>
      </c>
      <c r="D21">
        <v>2</v>
      </c>
      <c r="E21" s="9">
        <v>48</v>
      </c>
      <c r="F21" s="9">
        <v>54</v>
      </c>
      <c r="G21" t="s">
        <v>3459</v>
      </c>
      <c r="H21" t="s">
        <v>90</v>
      </c>
      <c r="I21" t="s">
        <v>4397</v>
      </c>
      <c r="J21" t="s">
        <v>7045</v>
      </c>
      <c r="K21" t="s">
        <v>3803</v>
      </c>
      <c r="L21" t="s">
        <v>3459</v>
      </c>
    </row>
    <row r="22" spans="1:13" ht="15" customHeight="1" x14ac:dyDescent="0.25">
      <c r="A22" t="s">
        <v>3832</v>
      </c>
      <c r="B22" t="s">
        <v>5024</v>
      </c>
      <c r="C22" t="s">
        <v>4368</v>
      </c>
      <c r="D22">
        <v>6</v>
      </c>
      <c r="E22" s="9">
        <v>114</v>
      </c>
      <c r="F22" s="9">
        <v>120</v>
      </c>
      <c r="G22" t="s">
        <v>3459</v>
      </c>
      <c r="H22" t="s">
        <v>90</v>
      </c>
      <c r="I22" t="s">
        <v>4397</v>
      </c>
      <c r="J22" t="s">
        <v>7046</v>
      </c>
      <c r="K22" t="s">
        <v>3832</v>
      </c>
      <c r="L22" t="s">
        <v>3459</v>
      </c>
    </row>
    <row r="23" spans="1:13" ht="15" customHeight="1" x14ac:dyDescent="0.25">
      <c r="A23" t="s">
        <v>3838</v>
      </c>
      <c r="B23" t="s">
        <v>5024</v>
      </c>
      <c r="C23" t="s">
        <v>5027</v>
      </c>
      <c r="D23">
        <v>9</v>
      </c>
      <c r="E23" s="9">
        <v>999</v>
      </c>
      <c r="F23" s="9">
        <v>999</v>
      </c>
      <c r="G23" t="s">
        <v>5028</v>
      </c>
      <c r="H23" t="s">
        <v>90</v>
      </c>
      <c r="I23" t="s">
        <v>4397</v>
      </c>
      <c r="J23" t="s">
        <v>7047</v>
      </c>
      <c r="K23" t="s">
        <v>3838</v>
      </c>
      <c r="L23" t="s">
        <v>3459</v>
      </c>
    </row>
    <row r="24" spans="1:13" ht="15" customHeight="1" x14ac:dyDescent="0.25">
      <c r="A24" t="s">
        <v>7048</v>
      </c>
      <c r="B24" t="s">
        <v>6869</v>
      </c>
      <c r="C24" t="s">
        <v>4364</v>
      </c>
      <c r="D24">
        <v>1</v>
      </c>
      <c r="E24" s="9">
        <v>20</v>
      </c>
      <c r="F24" s="9">
        <v>24</v>
      </c>
      <c r="G24" t="s">
        <v>7049</v>
      </c>
      <c r="H24" t="s">
        <v>2361</v>
      </c>
      <c r="I24" t="s">
        <v>4376</v>
      </c>
      <c r="J24" t="s">
        <v>7050</v>
      </c>
      <c r="K24" t="s">
        <v>7048</v>
      </c>
      <c r="L24" t="s">
        <v>3459</v>
      </c>
      <c r="M24" t="s">
        <v>3763</v>
      </c>
    </row>
    <row r="25" spans="1:13" ht="15" customHeight="1" x14ac:dyDescent="0.25">
      <c r="A25" t="s">
        <v>7051</v>
      </c>
      <c r="B25" t="s">
        <v>6869</v>
      </c>
      <c r="C25" t="s">
        <v>4368</v>
      </c>
      <c r="D25">
        <v>3</v>
      </c>
      <c r="E25" s="9">
        <v>48</v>
      </c>
      <c r="F25" s="9">
        <v>54</v>
      </c>
      <c r="G25" t="s">
        <v>3459</v>
      </c>
      <c r="H25" t="s">
        <v>2361</v>
      </c>
      <c r="I25" t="s">
        <v>4397</v>
      </c>
      <c r="J25" t="s">
        <v>7052</v>
      </c>
      <c r="K25" t="s">
        <v>7051</v>
      </c>
      <c r="L25" t="s">
        <v>3459</v>
      </c>
    </row>
    <row r="26" spans="1:13" ht="15" customHeight="1" x14ac:dyDescent="0.25">
      <c r="A26" t="s">
        <v>7053</v>
      </c>
      <c r="B26" t="s">
        <v>6869</v>
      </c>
      <c r="C26" t="s">
        <v>5027</v>
      </c>
      <c r="D26">
        <v>3</v>
      </c>
      <c r="E26" s="9">
        <v>60</v>
      </c>
      <c r="F26" s="9">
        <v>66</v>
      </c>
      <c r="G26" t="s">
        <v>7054</v>
      </c>
      <c r="H26" t="s">
        <v>2361</v>
      </c>
      <c r="I26" t="s">
        <v>4397</v>
      </c>
      <c r="J26" t="s">
        <v>7055</v>
      </c>
      <c r="K26" t="s">
        <v>7053</v>
      </c>
      <c r="L26" t="s">
        <v>3459</v>
      </c>
    </row>
    <row r="27" spans="1:13" ht="15" customHeight="1" x14ac:dyDescent="0.25">
      <c r="A27" t="s">
        <v>5030</v>
      </c>
      <c r="B27" t="s">
        <v>5024</v>
      </c>
      <c r="C27" t="s">
        <v>4364</v>
      </c>
      <c r="D27">
        <v>3</v>
      </c>
      <c r="E27" s="9">
        <v>40</v>
      </c>
      <c r="F27" s="9">
        <v>44</v>
      </c>
      <c r="G27" t="s">
        <v>3459</v>
      </c>
      <c r="H27" t="s">
        <v>90</v>
      </c>
      <c r="I27" t="s">
        <v>4397</v>
      </c>
      <c r="J27" t="s">
        <v>7056</v>
      </c>
      <c r="K27" t="s">
        <v>5032</v>
      </c>
      <c r="L27" t="s">
        <v>3459</v>
      </c>
    </row>
    <row r="28" spans="1:13" ht="15" customHeight="1" x14ac:dyDescent="0.25">
      <c r="A28" t="s">
        <v>5033</v>
      </c>
      <c r="B28" t="s">
        <v>5024</v>
      </c>
      <c r="C28" t="s">
        <v>4364</v>
      </c>
      <c r="D28">
        <v>1</v>
      </c>
      <c r="E28" s="9">
        <v>10</v>
      </c>
      <c r="F28" s="9">
        <v>15</v>
      </c>
      <c r="G28" t="s">
        <v>5034</v>
      </c>
      <c r="H28" t="s">
        <v>90</v>
      </c>
      <c r="I28" t="s">
        <v>4397</v>
      </c>
      <c r="J28" t="s">
        <v>7057</v>
      </c>
      <c r="K28" t="s">
        <v>5036</v>
      </c>
      <c r="L28" t="s">
        <v>3459</v>
      </c>
      <c r="M28" t="s">
        <v>4634</v>
      </c>
    </row>
    <row r="29" spans="1:13" ht="15" customHeight="1" x14ac:dyDescent="0.25">
      <c r="A29" t="s">
        <v>5037</v>
      </c>
      <c r="B29" t="s">
        <v>5024</v>
      </c>
      <c r="C29" t="s">
        <v>4364</v>
      </c>
      <c r="D29">
        <v>1</v>
      </c>
      <c r="E29" s="9">
        <v>11</v>
      </c>
      <c r="F29" s="9">
        <v>17</v>
      </c>
      <c r="G29" t="s">
        <v>5034</v>
      </c>
      <c r="H29" t="s">
        <v>90</v>
      </c>
      <c r="I29" t="s">
        <v>4397</v>
      </c>
      <c r="J29" t="s">
        <v>7058</v>
      </c>
      <c r="K29" t="s">
        <v>5039</v>
      </c>
      <c r="L29" t="s">
        <v>3459</v>
      </c>
      <c r="M29" t="s">
        <v>4634</v>
      </c>
    </row>
    <row r="30" spans="1:13" ht="15" customHeight="1" x14ac:dyDescent="0.25">
      <c r="A30" t="s">
        <v>5040</v>
      </c>
      <c r="B30" t="s">
        <v>5024</v>
      </c>
      <c r="C30" t="s">
        <v>4364</v>
      </c>
      <c r="D30">
        <v>4</v>
      </c>
      <c r="E30" s="9">
        <v>65</v>
      </c>
      <c r="F30" s="9">
        <v>69</v>
      </c>
      <c r="G30" t="s">
        <v>5041</v>
      </c>
      <c r="H30" t="s">
        <v>90</v>
      </c>
      <c r="I30" t="s">
        <v>4397</v>
      </c>
      <c r="J30" t="s">
        <v>7059</v>
      </c>
      <c r="K30" t="s">
        <v>5043</v>
      </c>
      <c r="L30" t="s">
        <v>3459</v>
      </c>
      <c r="M30" t="s">
        <v>3828</v>
      </c>
    </row>
    <row r="31" spans="1:13" ht="15" customHeight="1" x14ac:dyDescent="0.25">
      <c r="A31" t="s">
        <v>5044</v>
      </c>
      <c r="B31" t="s">
        <v>5024</v>
      </c>
      <c r="C31" t="s">
        <v>4364</v>
      </c>
      <c r="D31">
        <v>2</v>
      </c>
      <c r="E31" s="9">
        <v>28</v>
      </c>
      <c r="F31" s="9">
        <v>32</v>
      </c>
      <c r="G31" t="s">
        <v>3459</v>
      </c>
      <c r="H31" t="s">
        <v>90</v>
      </c>
      <c r="I31" t="s">
        <v>4397</v>
      </c>
      <c r="J31" t="s">
        <v>7060</v>
      </c>
      <c r="K31" t="s">
        <v>5046</v>
      </c>
      <c r="L31" t="s">
        <v>3459</v>
      </c>
      <c r="M31" t="s">
        <v>3828</v>
      </c>
    </row>
    <row r="32" spans="1:13" ht="15" customHeight="1" x14ac:dyDescent="0.25">
      <c r="A32" t="s">
        <v>5047</v>
      </c>
      <c r="B32" t="s">
        <v>5024</v>
      </c>
      <c r="C32" t="s">
        <v>4364</v>
      </c>
      <c r="D32">
        <v>1</v>
      </c>
      <c r="E32" s="9">
        <v>8</v>
      </c>
      <c r="F32" s="9">
        <v>12</v>
      </c>
      <c r="G32" t="s">
        <v>3459</v>
      </c>
      <c r="H32" t="s">
        <v>90</v>
      </c>
      <c r="I32" t="s">
        <v>4397</v>
      </c>
      <c r="J32" t="s">
        <v>7061</v>
      </c>
      <c r="K32" t="s">
        <v>5049</v>
      </c>
      <c r="L32" t="s">
        <v>3459</v>
      </c>
      <c r="M32" t="s">
        <v>3828</v>
      </c>
    </row>
    <row r="33" spans="1:13" ht="15" customHeight="1" x14ac:dyDescent="0.25">
      <c r="A33" t="s">
        <v>3825</v>
      </c>
      <c r="B33" t="s">
        <v>5024</v>
      </c>
      <c r="C33" t="s">
        <v>4364</v>
      </c>
      <c r="D33">
        <v>4</v>
      </c>
      <c r="E33" s="9">
        <v>64</v>
      </c>
      <c r="F33" s="9">
        <v>70</v>
      </c>
      <c r="G33" t="s">
        <v>5050</v>
      </c>
      <c r="H33" t="s">
        <v>90</v>
      </c>
      <c r="I33" t="s">
        <v>4397</v>
      </c>
      <c r="J33" t="s">
        <v>7062</v>
      </c>
      <c r="K33" t="s">
        <v>3827</v>
      </c>
      <c r="L33" t="s">
        <v>3459</v>
      </c>
      <c r="M33" t="s">
        <v>3828</v>
      </c>
    </row>
    <row r="34" spans="1:13" ht="15" customHeight="1" x14ac:dyDescent="0.25">
      <c r="A34" t="s">
        <v>5052</v>
      </c>
      <c r="B34" t="s">
        <v>5024</v>
      </c>
      <c r="C34" t="s">
        <v>4364</v>
      </c>
      <c r="D34">
        <v>2</v>
      </c>
      <c r="E34" s="9">
        <v>28</v>
      </c>
      <c r="F34" s="9">
        <v>32</v>
      </c>
      <c r="G34" t="s">
        <v>3459</v>
      </c>
      <c r="H34" t="s">
        <v>90</v>
      </c>
      <c r="I34" t="s">
        <v>4397</v>
      </c>
      <c r="J34" t="s">
        <v>7063</v>
      </c>
      <c r="K34" t="s">
        <v>5054</v>
      </c>
      <c r="L34" t="s">
        <v>3459</v>
      </c>
      <c r="M34" t="s">
        <v>3828</v>
      </c>
    </row>
    <row r="35" spans="1:13" ht="15" customHeight="1" x14ac:dyDescent="0.25">
      <c r="A35" t="s">
        <v>5055</v>
      </c>
      <c r="B35" t="s">
        <v>5024</v>
      </c>
      <c r="C35" t="s">
        <v>4364</v>
      </c>
      <c r="D35">
        <v>1</v>
      </c>
      <c r="E35" s="9">
        <v>10</v>
      </c>
      <c r="F35" s="9">
        <v>14</v>
      </c>
      <c r="G35" t="s">
        <v>3459</v>
      </c>
      <c r="H35" t="s">
        <v>90</v>
      </c>
      <c r="I35" t="s">
        <v>4397</v>
      </c>
      <c r="J35" t="s">
        <v>7064</v>
      </c>
      <c r="K35" t="s">
        <v>5057</v>
      </c>
      <c r="L35" t="s">
        <v>3459</v>
      </c>
      <c r="M35" t="s">
        <v>3828</v>
      </c>
    </row>
    <row r="36" spans="1:13" ht="15" customHeight="1" x14ac:dyDescent="0.25">
      <c r="A36" t="s">
        <v>7065</v>
      </c>
      <c r="B36" t="s">
        <v>6869</v>
      </c>
      <c r="C36" t="s">
        <v>5027</v>
      </c>
      <c r="D36">
        <v>1</v>
      </c>
      <c r="E36" s="9">
        <v>20</v>
      </c>
      <c r="F36" s="9">
        <v>24</v>
      </c>
      <c r="G36" t="s">
        <v>3459</v>
      </c>
      <c r="H36" t="s">
        <v>1649</v>
      </c>
      <c r="I36" t="s">
        <v>4376</v>
      </c>
      <c r="J36" t="s">
        <v>7066</v>
      </c>
      <c r="K36" t="s">
        <v>7065</v>
      </c>
      <c r="L36" t="s">
        <v>3459</v>
      </c>
      <c r="M36" t="s">
        <v>7067</v>
      </c>
    </row>
    <row r="37" spans="1:13" ht="15" customHeight="1" x14ac:dyDescent="0.25">
      <c r="A37" t="s">
        <v>7068</v>
      </c>
      <c r="B37" t="s">
        <v>6869</v>
      </c>
      <c r="C37" t="s">
        <v>4364</v>
      </c>
      <c r="D37">
        <v>0.5</v>
      </c>
      <c r="E37" s="9">
        <v>4</v>
      </c>
      <c r="F37" s="9">
        <v>6</v>
      </c>
      <c r="G37" t="s">
        <v>3459</v>
      </c>
      <c r="H37" t="s">
        <v>1649</v>
      </c>
      <c r="I37" t="s">
        <v>3459</v>
      </c>
      <c r="J37" t="s">
        <v>7069</v>
      </c>
      <c r="K37" t="s">
        <v>7068</v>
      </c>
      <c r="L37" t="s">
        <v>3459</v>
      </c>
      <c r="M37" t="s">
        <v>4634</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5058</v>
      </c>
      <c r="C1" t="s">
        <v>3735</v>
      </c>
      <c r="D1" t="s">
        <v>5018</v>
      </c>
      <c r="E1" t="s">
        <v>1</v>
      </c>
      <c r="F1" t="s">
        <v>3741</v>
      </c>
      <c r="G1" t="s">
        <v>5019</v>
      </c>
      <c r="H1" t="s">
        <v>5020</v>
      </c>
      <c r="I1" t="s">
        <v>3988</v>
      </c>
      <c r="J1" t="s">
        <v>7070</v>
      </c>
      <c r="K1" t="s">
        <v>5062</v>
      </c>
      <c r="L1" t="s">
        <v>171</v>
      </c>
      <c r="M1" t="s">
        <v>7071</v>
      </c>
      <c r="N1" t="s">
        <v>7072</v>
      </c>
      <c r="O1" t="s">
        <v>3443</v>
      </c>
      <c r="P1" t="s">
        <v>7073</v>
      </c>
      <c r="Q1" t="s">
        <v>3740</v>
      </c>
    </row>
    <row r="2" spans="1:17" ht="15" customHeight="1" x14ac:dyDescent="0.25">
      <c r="A2" t="s">
        <v>7035</v>
      </c>
      <c r="B2" t="s">
        <v>7074</v>
      </c>
      <c r="C2" t="s">
        <v>4364</v>
      </c>
      <c r="D2">
        <v>2</v>
      </c>
      <c r="E2" t="s">
        <v>2154</v>
      </c>
      <c r="G2">
        <v>20</v>
      </c>
      <c r="H2">
        <v>24</v>
      </c>
      <c r="I2">
        <v>0</v>
      </c>
      <c r="J2" t="s">
        <v>7075</v>
      </c>
      <c r="K2" t="s">
        <v>7076</v>
      </c>
      <c r="M2">
        <v>1</v>
      </c>
      <c r="N2">
        <v>3</v>
      </c>
      <c r="O2" t="s">
        <v>7077</v>
      </c>
      <c r="P2" t="s">
        <v>7078</v>
      </c>
    </row>
    <row r="3" spans="1:17" ht="15" customHeight="1" x14ac:dyDescent="0.25">
      <c r="A3" t="s">
        <v>7079</v>
      </c>
      <c r="B3" t="s">
        <v>7080</v>
      </c>
      <c r="C3" t="s">
        <v>4368</v>
      </c>
      <c r="D3">
        <v>2</v>
      </c>
      <c r="E3" t="s">
        <v>2154</v>
      </c>
      <c r="F3" t="s">
        <v>4949</v>
      </c>
      <c r="G3">
        <v>12</v>
      </c>
      <c r="H3">
        <v>18</v>
      </c>
      <c r="I3">
        <v>4</v>
      </c>
      <c r="J3" t="s">
        <v>7081</v>
      </c>
      <c r="K3" t="s">
        <v>7082</v>
      </c>
      <c r="M3">
        <v>2</v>
      </c>
      <c r="N3">
        <v>3</v>
      </c>
      <c r="O3" t="s">
        <v>7083</v>
      </c>
      <c r="P3" t="s">
        <v>7084</v>
      </c>
    </row>
    <row r="4" spans="1:17" ht="15" customHeight="1" x14ac:dyDescent="0.25">
      <c r="A4" t="s">
        <v>7085</v>
      </c>
      <c r="B4" t="s">
        <v>7086</v>
      </c>
      <c r="C4" t="s">
        <v>4364</v>
      </c>
      <c r="D4">
        <v>1</v>
      </c>
      <c r="E4" t="s">
        <v>1795</v>
      </c>
      <c r="F4" t="s">
        <v>7087</v>
      </c>
      <c r="G4">
        <v>5</v>
      </c>
      <c r="H4">
        <v>5</v>
      </c>
      <c r="I4">
        <v>4</v>
      </c>
      <c r="J4" t="s">
        <v>7081</v>
      </c>
      <c r="K4" t="s">
        <v>7088</v>
      </c>
      <c r="L4" t="s">
        <v>7085</v>
      </c>
      <c r="M4">
        <v>1</v>
      </c>
      <c r="N4">
        <v>4</v>
      </c>
      <c r="O4" t="s">
        <v>7089</v>
      </c>
      <c r="P4" t="s">
        <v>7090</v>
      </c>
    </row>
    <row r="5" spans="1:17" ht="15" customHeight="1" x14ac:dyDescent="0.25">
      <c r="A5" t="s">
        <v>7091</v>
      </c>
      <c r="B5" t="s">
        <v>4949</v>
      </c>
      <c r="C5" t="s">
        <v>4364</v>
      </c>
      <c r="D5">
        <v>1</v>
      </c>
      <c r="E5" t="s">
        <v>2154</v>
      </c>
      <c r="F5" t="s">
        <v>4949</v>
      </c>
      <c r="G5">
        <v>8</v>
      </c>
      <c r="H5">
        <v>11</v>
      </c>
      <c r="I5">
        <v>4</v>
      </c>
      <c r="J5" t="s">
        <v>7092</v>
      </c>
      <c r="K5" t="s">
        <v>7093</v>
      </c>
      <c r="M5">
        <v>1</v>
      </c>
      <c r="N5">
        <v>4</v>
      </c>
      <c r="O5" t="s">
        <v>7094</v>
      </c>
      <c r="P5" t="s">
        <v>7095</v>
      </c>
    </row>
    <row r="6" spans="1:17" ht="15" customHeight="1" x14ac:dyDescent="0.25">
      <c r="A6" t="s">
        <v>7040</v>
      </c>
      <c r="B6" t="s">
        <v>7096</v>
      </c>
      <c r="C6" t="s">
        <v>4368</v>
      </c>
      <c r="D6">
        <v>5</v>
      </c>
      <c r="E6" t="s">
        <v>2154</v>
      </c>
      <c r="G6">
        <v>60</v>
      </c>
      <c r="H6">
        <v>66</v>
      </c>
      <c r="I6">
        <v>-4</v>
      </c>
      <c r="J6" t="s">
        <v>7097</v>
      </c>
      <c r="K6" t="s">
        <v>7098</v>
      </c>
      <c r="M6">
        <v>4</v>
      </c>
      <c r="N6">
        <v>1</v>
      </c>
      <c r="O6" t="s">
        <v>7099</v>
      </c>
      <c r="P6" t="s">
        <v>7100</v>
      </c>
      <c r="Q6" t="s">
        <v>7101</v>
      </c>
    </row>
  </sheetData>
  <pageMargins left="0.75" right="0.75" top="1" bottom="1"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7102</v>
      </c>
      <c r="C1" t="s">
        <v>7103</v>
      </c>
      <c r="D1" t="s">
        <v>7104</v>
      </c>
      <c r="E1" t="s">
        <v>7105</v>
      </c>
      <c r="F1" t="s">
        <v>7106</v>
      </c>
      <c r="G1" t="s">
        <v>7107</v>
      </c>
      <c r="H1" t="s">
        <v>7108</v>
      </c>
      <c r="I1" t="s">
        <v>1</v>
      </c>
    </row>
    <row r="2" spans="1:9" ht="15" customHeight="1" x14ac:dyDescent="0.25">
      <c r="A2" t="s">
        <v>5869</v>
      </c>
      <c r="B2">
        <v>6</v>
      </c>
      <c r="C2" t="s">
        <v>7109</v>
      </c>
      <c r="D2" t="s">
        <v>7110</v>
      </c>
      <c r="E2" t="s">
        <v>7111</v>
      </c>
      <c r="F2" t="s">
        <v>7111</v>
      </c>
      <c r="G2" t="s">
        <v>7109</v>
      </c>
      <c r="H2" t="s">
        <v>7110</v>
      </c>
      <c r="I2" t="s">
        <v>2361</v>
      </c>
    </row>
    <row r="3" spans="1:9" ht="15" customHeight="1" x14ac:dyDescent="0.25">
      <c r="A3" t="s">
        <v>5892</v>
      </c>
      <c r="B3">
        <v>6</v>
      </c>
      <c r="C3" t="s">
        <v>7112</v>
      </c>
      <c r="D3" t="s">
        <v>7113</v>
      </c>
      <c r="E3" t="s">
        <v>7114</v>
      </c>
      <c r="F3" t="s">
        <v>7114</v>
      </c>
      <c r="G3" t="s">
        <v>7115</v>
      </c>
      <c r="H3" t="s">
        <v>4218</v>
      </c>
      <c r="I3" t="s">
        <v>2361</v>
      </c>
    </row>
    <row r="4" spans="1:9" ht="15" customHeight="1" x14ac:dyDescent="0.25">
      <c r="A4" t="s">
        <v>5919</v>
      </c>
      <c r="B4">
        <v>6</v>
      </c>
      <c r="C4" t="s">
        <v>7116</v>
      </c>
      <c r="D4" t="s">
        <v>7117</v>
      </c>
      <c r="E4" t="s">
        <v>7118</v>
      </c>
      <c r="F4" t="s">
        <v>7118</v>
      </c>
      <c r="G4" t="s">
        <v>7119</v>
      </c>
      <c r="H4" t="s">
        <v>5947</v>
      </c>
      <c r="I4" t="s">
        <v>2361</v>
      </c>
    </row>
    <row r="5" spans="1:9" ht="15" customHeight="1" x14ac:dyDescent="0.25">
      <c r="A5" t="s">
        <v>5960</v>
      </c>
      <c r="B5">
        <v>6</v>
      </c>
      <c r="C5" t="s">
        <v>7120</v>
      </c>
      <c r="D5" t="s">
        <v>7121</v>
      </c>
      <c r="E5" t="s">
        <v>7122</v>
      </c>
      <c r="F5" t="s">
        <v>7122</v>
      </c>
      <c r="G5" t="s">
        <v>7123</v>
      </c>
      <c r="H5" t="s">
        <v>5947</v>
      </c>
      <c r="I5" t="s">
        <v>2361</v>
      </c>
    </row>
    <row r="6" spans="1:9" ht="15" customHeight="1" x14ac:dyDescent="0.25">
      <c r="A6" t="s">
        <v>6006</v>
      </c>
      <c r="B6">
        <v>6</v>
      </c>
      <c r="C6" t="s">
        <v>7124</v>
      </c>
      <c r="D6" t="s">
        <v>7124</v>
      </c>
      <c r="E6" t="s">
        <v>7118</v>
      </c>
      <c r="F6" t="s">
        <v>7118</v>
      </c>
      <c r="G6" t="s">
        <v>7119</v>
      </c>
      <c r="H6" t="s">
        <v>7119</v>
      </c>
      <c r="I6" t="s">
        <v>2361</v>
      </c>
    </row>
    <row r="7" spans="1:9" ht="15" customHeight="1" x14ac:dyDescent="0.25">
      <c r="A7" t="s">
        <v>6029</v>
      </c>
      <c r="B7">
        <v>6</v>
      </c>
      <c r="C7" t="s">
        <v>7125</v>
      </c>
      <c r="D7" t="s">
        <v>7113</v>
      </c>
      <c r="E7" t="s">
        <v>5947</v>
      </c>
      <c r="F7" t="s">
        <v>5947</v>
      </c>
      <c r="G7" t="s">
        <v>7126</v>
      </c>
      <c r="H7" t="s">
        <v>5947</v>
      </c>
      <c r="I7" t="s">
        <v>2361</v>
      </c>
    </row>
    <row r="8" spans="1:9" ht="15" customHeight="1" x14ac:dyDescent="0.25">
      <c r="A8" t="s">
        <v>6034</v>
      </c>
      <c r="B8">
        <v>6</v>
      </c>
      <c r="C8" t="s">
        <v>7127</v>
      </c>
      <c r="D8" t="s">
        <v>7128</v>
      </c>
      <c r="E8" t="s">
        <v>7129</v>
      </c>
      <c r="F8" t="s">
        <v>7129</v>
      </c>
      <c r="G8" t="s">
        <v>7117</v>
      </c>
      <c r="H8" t="s">
        <v>5947</v>
      </c>
      <c r="I8" t="s">
        <v>2361</v>
      </c>
    </row>
    <row r="9" spans="1:9" ht="15" customHeight="1" x14ac:dyDescent="0.25">
      <c r="A9" t="s">
        <v>6053</v>
      </c>
      <c r="B9">
        <v>6</v>
      </c>
      <c r="C9" t="s">
        <v>7122</v>
      </c>
      <c r="D9" t="s">
        <v>7130</v>
      </c>
      <c r="E9" t="s">
        <v>7131</v>
      </c>
      <c r="F9" t="s">
        <v>7131</v>
      </c>
      <c r="G9" t="s">
        <v>7130</v>
      </c>
      <c r="H9" t="s">
        <v>5947</v>
      </c>
      <c r="I9" t="s">
        <v>2361</v>
      </c>
    </row>
    <row r="10" spans="1:9" ht="15" customHeight="1" x14ac:dyDescent="0.25">
      <c r="A10" t="s">
        <v>5688</v>
      </c>
      <c r="B10">
        <v>6</v>
      </c>
      <c r="C10" t="s">
        <v>7132</v>
      </c>
      <c r="D10" t="s">
        <v>7133</v>
      </c>
      <c r="E10" t="s">
        <v>7134</v>
      </c>
      <c r="F10" t="s">
        <v>7135</v>
      </c>
      <c r="G10" t="s">
        <v>7136</v>
      </c>
      <c r="H10" t="s">
        <v>7137</v>
      </c>
      <c r="I10" t="s">
        <v>160</v>
      </c>
    </row>
    <row r="11" spans="1:9" ht="15" customHeight="1" x14ac:dyDescent="0.25">
      <c r="A11" t="s">
        <v>6099</v>
      </c>
      <c r="B11">
        <v>6</v>
      </c>
      <c r="C11" t="s">
        <v>7112</v>
      </c>
      <c r="D11" t="s">
        <v>7138</v>
      </c>
      <c r="E11" t="s">
        <v>7139</v>
      </c>
      <c r="F11" t="s">
        <v>7139</v>
      </c>
      <c r="G11" t="s">
        <v>7140</v>
      </c>
      <c r="H11" t="s">
        <v>5947</v>
      </c>
      <c r="I11" t="s">
        <v>2361</v>
      </c>
    </row>
    <row r="12" spans="1:9" ht="15" customHeight="1" x14ac:dyDescent="0.25">
      <c r="A12" t="s">
        <v>6106</v>
      </c>
      <c r="B12">
        <v>6</v>
      </c>
      <c r="C12" t="s">
        <v>7141</v>
      </c>
      <c r="D12" t="s">
        <v>7141</v>
      </c>
      <c r="E12" t="s">
        <v>7109</v>
      </c>
      <c r="F12" t="s">
        <v>7109</v>
      </c>
      <c r="G12" t="s">
        <v>7110</v>
      </c>
      <c r="H12" t="s">
        <v>5947</v>
      </c>
      <c r="I12" t="s">
        <v>2361</v>
      </c>
    </row>
    <row r="13" spans="1:9" ht="15" customHeight="1" x14ac:dyDescent="0.25">
      <c r="A13" t="s">
        <v>6107</v>
      </c>
      <c r="B13">
        <v>6</v>
      </c>
      <c r="C13" t="s">
        <v>7113</v>
      </c>
      <c r="D13" t="s">
        <v>5653</v>
      </c>
      <c r="E13" t="s">
        <v>5947</v>
      </c>
      <c r="F13" t="s">
        <v>5947</v>
      </c>
      <c r="G13" t="s">
        <v>5947</v>
      </c>
      <c r="H13" t="s">
        <v>5947</v>
      </c>
      <c r="I13" t="s">
        <v>2361</v>
      </c>
    </row>
    <row r="14" spans="1:9" ht="15" customHeight="1" x14ac:dyDescent="0.25">
      <c r="A14" t="s">
        <v>6126</v>
      </c>
      <c r="B14">
        <v>6</v>
      </c>
      <c r="C14" t="s">
        <v>7122</v>
      </c>
      <c r="D14" t="s">
        <v>7122</v>
      </c>
      <c r="E14" t="s">
        <v>7130</v>
      </c>
      <c r="F14" t="s">
        <v>7130</v>
      </c>
      <c r="G14" t="s">
        <v>5947</v>
      </c>
      <c r="H14" t="s">
        <v>5947</v>
      </c>
      <c r="I14" t="s">
        <v>2361</v>
      </c>
    </row>
    <row r="15" spans="1:9" ht="15" customHeight="1" x14ac:dyDescent="0.25">
      <c r="A15" t="s">
        <v>6143</v>
      </c>
      <c r="B15">
        <v>6</v>
      </c>
      <c r="C15" t="s">
        <v>7142</v>
      </c>
      <c r="D15" t="s">
        <v>7143</v>
      </c>
      <c r="E15" t="s">
        <v>7143</v>
      </c>
      <c r="F15" t="s">
        <v>7143</v>
      </c>
      <c r="G15" t="s">
        <v>7130</v>
      </c>
      <c r="H15" t="s">
        <v>5947</v>
      </c>
      <c r="I15" t="s">
        <v>2361</v>
      </c>
    </row>
    <row r="16" spans="1:9" ht="15" customHeight="1" x14ac:dyDescent="0.25">
      <c r="A16" t="s">
        <v>6212</v>
      </c>
      <c r="B16">
        <v>6</v>
      </c>
      <c r="C16" t="s">
        <v>7144</v>
      </c>
      <c r="D16" t="s">
        <v>7145</v>
      </c>
      <c r="E16" t="s">
        <v>7145</v>
      </c>
      <c r="F16" t="s">
        <v>7145</v>
      </c>
      <c r="G16" t="s">
        <v>7146</v>
      </c>
      <c r="H16" t="s">
        <v>5947</v>
      </c>
      <c r="I16" t="s">
        <v>2361</v>
      </c>
    </row>
    <row r="17" spans="1:9" ht="15" customHeight="1" x14ac:dyDescent="0.25">
      <c r="A17" t="s">
        <v>6289</v>
      </c>
      <c r="B17">
        <v>6</v>
      </c>
      <c r="C17" t="s">
        <v>7114</v>
      </c>
      <c r="D17" t="s">
        <v>7114</v>
      </c>
      <c r="E17" t="s">
        <v>7124</v>
      </c>
      <c r="F17" t="s">
        <v>7124</v>
      </c>
      <c r="G17" t="s">
        <v>7117</v>
      </c>
      <c r="H17" t="s">
        <v>7117</v>
      </c>
      <c r="I17" t="s">
        <v>2361</v>
      </c>
    </row>
    <row r="18" spans="1:9" ht="15" customHeight="1" x14ac:dyDescent="0.25">
      <c r="A18" t="s">
        <v>6346</v>
      </c>
      <c r="B18">
        <v>6</v>
      </c>
      <c r="C18" t="s">
        <v>7113</v>
      </c>
      <c r="D18" t="s">
        <v>7113</v>
      </c>
      <c r="E18" t="s">
        <v>7114</v>
      </c>
      <c r="F18" t="s">
        <v>7114</v>
      </c>
      <c r="G18" t="s">
        <v>7116</v>
      </c>
      <c r="H18" t="s">
        <v>7116</v>
      </c>
      <c r="I18" t="s">
        <v>2361</v>
      </c>
    </row>
    <row r="19" spans="1:9" ht="15" customHeight="1" x14ac:dyDescent="0.25">
      <c r="A19" t="s">
        <v>6350</v>
      </c>
      <c r="B19">
        <v>6</v>
      </c>
      <c r="C19" t="s">
        <v>5653</v>
      </c>
      <c r="D19" t="s">
        <v>7116</v>
      </c>
      <c r="E19" t="s">
        <v>7124</v>
      </c>
      <c r="F19" t="s">
        <v>7124</v>
      </c>
      <c r="G19" t="s">
        <v>7117</v>
      </c>
      <c r="H19" t="s">
        <v>7119</v>
      </c>
      <c r="I19" t="s">
        <v>2361</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7147</v>
      </c>
      <c r="D1" t="s">
        <v>171</v>
      </c>
      <c r="E1" t="s">
        <v>7148</v>
      </c>
    </row>
    <row r="2" spans="1:5" ht="15" customHeight="1" x14ac:dyDescent="0.25">
      <c r="A2" t="s">
        <v>7149</v>
      </c>
      <c r="B2">
        <v>2022</v>
      </c>
      <c r="C2" t="s">
        <v>2619</v>
      </c>
      <c r="D2" t="s">
        <v>7150</v>
      </c>
    </row>
    <row r="3" spans="1:5" ht="15" customHeight="1" x14ac:dyDescent="0.25">
      <c r="A3" t="s">
        <v>7151</v>
      </c>
      <c r="B3">
        <v>2022</v>
      </c>
      <c r="C3" t="s">
        <v>90</v>
      </c>
      <c r="D3" t="s">
        <v>7152</v>
      </c>
    </row>
    <row r="4" spans="1:5" ht="15" customHeight="1" x14ac:dyDescent="0.25">
      <c r="A4" t="s">
        <v>7153</v>
      </c>
      <c r="B4">
        <v>2024</v>
      </c>
      <c r="C4" t="s">
        <v>353</v>
      </c>
      <c r="D4" t="s">
        <v>7154</v>
      </c>
    </row>
    <row r="5" spans="1:5" ht="15" customHeight="1" x14ac:dyDescent="0.25">
      <c r="A5" t="s">
        <v>7155</v>
      </c>
      <c r="B5">
        <v>2020</v>
      </c>
      <c r="C5" t="s">
        <v>2132</v>
      </c>
      <c r="D5" t="s">
        <v>7156</v>
      </c>
    </row>
    <row r="6" spans="1:5" ht="15" customHeight="1" x14ac:dyDescent="0.25">
      <c r="A6" t="s">
        <v>7157</v>
      </c>
      <c r="B6">
        <v>2021</v>
      </c>
      <c r="C6" t="s">
        <v>2136</v>
      </c>
      <c r="D6" t="s">
        <v>7158</v>
      </c>
    </row>
    <row r="7" spans="1:5" ht="15" customHeight="1" x14ac:dyDescent="0.25">
      <c r="A7" t="s">
        <v>7159</v>
      </c>
      <c r="B7">
        <v>2024</v>
      </c>
      <c r="C7" t="s">
        <v>353</v>
      </c>
      <c r="D7" t="s">
        <v>7160</v>
      </c>
    </row>
    <row r="8" spans="1:5" x14ac:dyDescent="0.25">
      <c r="A8" t="s">
        <v>7161</v>
      </c>
      <c r="B8">
        <v>2024</v>
      </c>
      <c r="C8" t="s">
        <v>353</v>
      </c>
      <c r="E8" s="10" t="s">
        <v>7162</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3454</v>
      </c>
      <c r="C1" t="s">
        <v>167</v>
      </c>
    </row>
    <row r="2" spans="1:3" ht="15" customHeight="1" x14ac:dyDescent="0.25">
      <c r="A2" t="s">
        <v>7163</v>
      </c>
      <c r="B2" t="s">
        <v>7164</v>
      </c>
      <c r="C2" t="s">
        <v>4015</v>
      </c>
    </row>
    <row r="3" spans="1:3" ht="15" customHeight="1" x14ac:dyDescent="0.25">
      <c r="A3" t="s">
        <v>7165</v>
      </c>
      <c r="B3" t="s">
        <v>7166</v>
      </c>
      <c r="C3" t="s">
        <v>4015</v>
      </c>
    </row>
    <row r="4" spans="1:3" ht="15" customHeight="1" x14ac:dyDescent="0.25">
      <c r="A4" t="s">
        <v>4388</v>
      </c>
      <c r="B4" t="s">
        <v>7167</v>
      </c>
      <c r="C4" t="s">
        <v>4032</v>
      </c>
    </row>
    <row r="5" spans="1:3" ht="15" customHeight="1" x14ac:dyDescent="0.25">
      <c r="A5" t="s">
        <v>3992</v>
      </c>
      <c r="B5" t="s">
        <v>7168</v>
      </c>
      <c r="C5" t="s">
        <v>4015</v>
      </c>
    </row>
    <row r="6" spans="1:3" ht="15" customHeight="1" x14ac:dyDescent="0.25">
      <c r="A6" t="s">
        <v>7169</v>
      </c>
      <c r="B6" t="s">
        <v>7170</v>
      </c>
      <c r="C6" t="s">
        <v>4032</v>
      </c>
    </row>
    <row r="7" spans="1:3" ht="15" customHeight="1" x14ac:dyDescent="0.25">
      <c r="A7" t="s">
        <v>7171</v>
      </c>
      <c r="B7" t="s">
        <v>7172</v>
      </c>
      <c r="C7" t="s">
        <v>4015</v>
      </c>
    </row>
    <row r="8" spans="1:3" ht="15" customHeight="1" x14ac:dyDescent="0.25">
      <c r="A8" t="s">
        <v>7173</v>
      </c>
      <c r="B8" t="s">
        <v>7174</v>
      </c>
      <c r="C8" t="s">
        <v>4015</v>
      </c>
    </row>
    <row r="9" spans="1:3" ht="15" customHeight="1" x14ac:dyDescent="0.25">
      <c r="A9" t="s">
        <v>7175</v>
      </c>
      <c r="B9" t="s">
        <v>7176</v>
      </c>
      <c r="C9" t="s">
        <v>4015</v>
      </c>
    </row>
    <row r="10" spans="1:3" ht="15" customHeight="1" x14ac:dyDescent="0.25">
      <c r="A10" t="s">
        <v>7177</v>
      </c>
      <c r="B10" t="s">
        <v>7178</v>
      </c>
      <c r="C10" t="s">
        <v>4043</v>
      </c>
    </row>
    <row r="11" spans="1:3" ht="15" customHeight="1" x14ac:dyDescent="0.25">
      <c r="A11" t="s">
        <v>7179</v>
      </c>
      <c r="B11" t="s">
        <v>7180</v>
      </c>
      <c r="C11" t="s">
        <v>4015</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7181</v>
      </c>
      <c r="C1" t="s">
        <v>4598</v>
      </c>
      <c r="D1" t="s">
        <v>7182</v>
      </c>
      <c r="E1" t="s">
        <v>3454</v>
      </c>
      <c r="F1" t="s">
        <v>167</v>
      </c>
    </row>
    <row r="2" spans="1:6" ht="15" customHeight="1" x14ac:dyDescent="0.25">
      <c r="A2" t="s">
        <v>7183</v>
      </c>
      <c r="B2" t="s">
        <v>5024</v>
      </c>
      <c r="C2" t="s">
        <v>4364</v>
      </c>
      <c r="D2" t="s">
        <v>7184</v>
      </c>
      <c r="E2" t="s">
        <v>7185</v>
      </c>
      <c r="F2" t="s">
        <v>7186</v>
      </c>
    </row>
    <row r="3" spans="1:6" ht="15" customHeight="1" x14ac:dyDescent="0.25">
      <c r="A3" t="s">
        <v>7187</v>
      </c>
      <c r="B3" t="s">
        <v>5024</v>
      </c>
      <c r="C3" t="s">
        <v>4368</v>
      </c>
      <c r="D3" t="s">
        <v>7184</v>
      </c>
      <c r="E3" t="s">
        <v>7188</v>
      </c>
      <c r="F3" t="s">
        <v>7186</v>
      </c>
    </row>
    <row r="4" spans="1:6" ht="15" customHeight="1" x14ac:dyDescent="0.25">
      <c r="A4" t="s">
        <v>7189</v>
      </c>
      <c r="B4" t="s">
        <v>5024</v>
      </c>
      <c r="C4" t="s">
        <v>5027</v>
      </c>
      <c r="D4" t="s">
        <v>7184</v>
      </c>
      <c r="E4" t="s">
        <v>7190</v>
      </c>
      <c r="F4" t="s">
        <v>7186</v>
      </c>
    </row>
    <row r="5" spans="1:6" ht="15" customHeight="1" x14ac:dyDescent="0.25">
      <c r="A5" t="s">
        <v>7191</v>
      </c>
      <c r="B5" t="s">
        <v>5024</v>
      </c>
      <c r="C5" t="s">
        <v>4364</v>
      </c>
      <c r="D5" t="s">
        <v>7184</v>
      </c>
      <c r="E5" t="s">
        <v>7192</v>
      </c>
      <c r="F5" t="s">
        <v>7186</v>
      </c>
    </row>
    <row r="6" spans="1:6" ht="15" customHeight="1" x14ac:dyDescent="0.25">
      <c r="A6" t="s">
        <v>7193</v>
      </c>
      <c r="B6" t="s">
        <v>5024</v>
      </c>
      <c r="C6" t="s">
        <v>4368</v>
      </c>
      <c r="D6" t="s">
        <v>7184</v>
      </c>
      <c r="E6" t="s">
        <v>7194</v>
      </c>
      <c r="F6" t="s">
        <v>7186</v>
      </c>
    </row>
    <row r="7" spans="1:6" ht="15" customHeight="1" x14ac:dyDescent="0.25">
      <c r="A7" t="s">
        <v>7195</v>
      </c>
      <c r="B7" t="s">
        <v>5024</v>
      </c>
      <c r="C7" t="s">
        <v>5027</v>
      </c>
      <c r="D7" t="s">
        <v>7184</v>
      </c>
      <c r="E7" t="s">
        <v>7196</v>
      </c>
      <c r="F7" t="s">
        <v>7186</v>
      </c>
    </row>
    <row r="8" spans="1:6" ht="15" customHeight="1" x14ac:dyDescent="0.25">
      <c r="A8" t="s">
        <v>7197</v>
      </c>
      <c r="B8" t="s">
        <v>5024</v>
      </c>
      <c r="C8" t="s">
        <v>4364</v>
      </c>
      <c r="D8" t="s">
        <v>7198</v>
      </c>
      <c r="E8" t="s">
        <v>7199</v>
      </c>
      <c r="F8" t="s">
        <v>7186</v>
      </c>
    </row>
    <row r="9" spans="1:6" ht="15" customHeight="1" x14ac:dyDescent="0.25">
      <c r="A9" t="s">
        <v>7200</v>
      </c>
      <c r="B9" t="s">
        <v>5024</v>
      </c>
      <c r="C9" t="s">
        <v>4368</v>
      </c>
      <c r="D9" t="s">
        <v>7184</v>
      </c>
      <c r="E9" t="s">
        <v>7199</v>
      </c>
      <c r="F9" t="s">
        <v>7186</v>
      </c>
    </row>
    <row r="10" spans="1:6" ht="15" customHeight="1" x14ac:dyDescent="0.25">
      <c r="A10" t="s">
        <v>7201</v>
      </c>
      <c r="B10" t="s">
        <v>5024</v>
      </c>
      <c r="C10" t="s">
        <v>5027</v>
      </c>
      <c r="D10" t="s">
        <v>7202</v>
      </c>
      <c r="E10" t="s">
        <v>7199</v>
      </c>
      <c r="F10" t="s">
        <v>7186</v>
      </c>
    </row>
    <row r="11" spans="1:6" ht="15" customHeight="1" x14ac:dyDescent="0.25">
      <c r="A11" t="s">
        <v>7203</v>
      </c>
      <c r="B11" t="s">
        <v>4000</v>
      </c>
      <c r="C11" t="s">
        <v>4364</v>
      </c>
      <c r="D11" t="s">
        <v>7198</v>
      </c>
      <c r="E11" t="s">
        <v>7204</v>
      </c>
      <c r="F11" t="s">
        <v>7186</v>
      </c>
    </row>
    <row r="12" spans="1:6" ht="15" customHeight="1" x14ac:dyDescent="0.25">
      <c r="A12" t="s">
        <v>7205</v>
      </c>
      <c r="B12" t="s">
        <v>4000</v>
      </c>
      <c r="C12" t="s">
        <v>4368</v>
      </c>
      <c r="D12" t="s">
        <v>7198</v>
      </c>
      <c r="E12" t="s">
        <v>7206</v>
      </c>
      <c r="F12" t="s">
        <v>7186</v>
      </c>
    </row>
    <row r="13" spans="1:6" ht="15" customHeight="1" x14ac:dyDescent="0.25">
      <c r="A13" t="s">
        <v>7207</v>
      </c>
      <c r="B13" t="s">
        <v>4000</v>
      </c>
      <c r="C13" t="s">
        <v>5027</v>
      </c>
      <c r="D13" t="s">
        <v>7198</v>
      </c>
      <c r="E13" t="s">
        <v>7208</v>
      </c>
      <c r="F13" t="s">
        <v>7186</v>
      </c>
    </row>
    <row r="14" spans="1:6" ht="15" customHeight="1" x14ac:dyDescent="0.25">
      <c r="A14" t="s">
        <v>7209</v>
      </c>
      <c r="B14" t="s">
        <v>6869</v>
      </c>
      <c r="C14" t="s">
        <v>4364</v>
      </c>
      <c r="D14" t="s">
        <v>7210</v>
      </c>
      <c r="E14" t="s">
        <v>7211</v>
      </c>
      <c r="F14" t="s">
        <v>3833</v>
      </c>
    </row>
    <row r="15" spans="1:6" ht="15" customHeight="1" x14ac:dyDescent="0.25">
      <c r="A15" t="s">
        <v>7212</v>
      </c>
      <c r="B15" t="s">
        <v>6869</v>
      </c>
      <c r="C15" t="s">
        <v>4368</v>
      </c>
      <c r="D15" t="s">
        <v>7213</v>
      </c>
      <c r="E15" t="s">
        <v>7211</v>
      </c>
      <c r="F15" t="s">
        <v>3833</v>
      </c>
    </row>
    <row r="16" spans="1:6" ht="15" customHeight="1" x14ac:dyDescent="0.25">
      <c r="A16" t="s">
        <v>7214</v>
      </c>
      <c r="B16" t="s">
        <v>6869</v>
      </c>
      <c r="C16" t="s">
        <v>5027</v>
      </c>
      <c r="D16" t="s">
        <v>7215</v>
      </c>
      <c r="E16" t="s">
        <v>7211</v>
      </c>
      <c r="F16" t="s">
        <v>3833</v>
      </c>
    </row>
    <row r="17" spans="1:6" ht="15" customHeight="1" x14ac:dyDescent="0.25">
      <c r="A17" t="s">
        <v>7216</v>
      </c>
      <c r="B17" t="s">
        <v>6869</v>
      </c>
      <c r="C17" t="s">
        <v>4364</v>
      </c>
      <c r="D17" t="s">
        <v>7217</v>
      </c>
      <c r="E17" t="s">
        <v>7218</v>
      </c>
      <c r="F17" t="s">
        <v>7219</v>
      </c>
    </row>
    <row r="18" spans="1:6" ht="15" customHeight="1" x14ac:dyDescent="0.25">
      <c r="A18" t="s">
        <v>7220</v>
      </c>
      <c r="B18" t="s">
        <v>6869</v>
      </c>
      <c r="C18" t="s">
        <v>4368</v>
      </c>
      <c r="D18" t="s">
        <v>7217</v>
      </c>
      <c r="E18" t="s">
        <v>7221</v>
      </c>
      <c r="F18" t="s">
        <v>7219</v>
      </c>
    </row>
    <row r="19" spans="1:6" ht="15" customHeight="1" x14ac:dyDescent="0.25">
      <c r="A19" t="s">
        <v>7222</v>
      </c>
      <c r="B19" t="s">
        <v>6869</v>
      </c>
      <c r="C19" t="s">
        <v>5027</v>
      </c>
      <c r="D19" t="s">
        <v>7217</v>
      </c>
      <c r="E19" t="s">
        <v>7223</v>
      </c>
      <c r="F19" t="s">
        <v>7219</v>
      </c>
    </row>
    <row r="20" spans="1:6" ht="15" customHeight="1" x14ac:dyDescent="0.25">
      <c r="A20" t="s">
        <v>7224</v>
      </c>
      <c r="B20" t="s">
        <v>6869</v>
      </c>
      <c r="C20" t="s">
        <v>4364</v>
      </c>
      <c r="D20" t="s">
        <v>7225</v>
      </c>
      <c r="E20" t="s">
        <v>7226</v>
      </c>
      <c r="F20" t="s">
        <v>7219</v>
      </c>
    </row>
    <row r="21" spans="1:6" ht="15" customHeight="1" x14ac:dyDescent="0.25">
      <c r="A21" t="s">
        <v>7227</v>
      </c>
      <c r="B21" t="s">
        <v>6869</v>
      </c>
      <c r="C21" t="s">
        <v>4368</v>
      </c>
      <c r="D21" t="s">
        <v>7228</v>
      </c>
      <c r="E21" t="s">
        <v>7226</v>
      </c>
      <c r="F21" t="s">
        <v>7219</v>
      </c>
    </row>
    <row r="22" spans="1:6" ht="15" customHeight="1" x14ac:dyDescent="0.25">
      <c r="A22" t="s">
        <v>7229</v>
      </c>
      <c r="B22" t="s">
        <v>6869</v>
      </c>
      <c r="C22" t="s">
        <v>5027</v>
      </c>
      <c r="D22" t="s">
        <v>7230</v>
      </c>
      <c r="E22" t="s">
        <v>7226</v>
      </c>
      <c r="F22" t="s">
        <v>7219</v>
      </c>
    </row>
    <row r="23" spans="1:6" ht="15" customHeight="1" x14ac:dyDescent="0.25">
      <c r="A23" t="s">
        <v>7231</v>
      </c>
      <c r="B23" t="s">
        <v>3983</v>
      </c>
      <c r="C23" t="s">
        <v>4364</v>
      </c>
      <c r="D23" t="s">
        <v>7210</v>
      </c>
      <c r="E23" t="s">
        <v>7232</v>
      </c>
      <c r="F23" t="s">
        <v>3833</v>
      </c>
    </row>
    <row r="24" spans="1:6" ht="15" customHeight="1" x14ac:dyDescent="0.25">
      <c r="A24" t="s">
        <v>7233</v>
      </c>
      <c r="B24" t="s">
        <v>3983</v>
      </c>
      <c r="C24" t="s">
        <v>4368</v>
      </c>
      <c r="D24" t="s">
        <v>7210</v>
      </c>
      <c r="E24" t="s">
        <v>7234</v>
      </c>
      <c r="F24" t="s">
        <v>3833</v>
      </c>
    </row>
    <row r="25" spans="1:6" ht="15" customHeight="1" x14ac:dyDescent="0.25">
      <c r="A25" t="s">
        <v>7235</v>
      </c>
      <c r="B25" t="s">
        <v>3983</v>
      </c>
      <c r="C25" t="s">
        <v>5027</v>
      </c>
      <c r="D25" t="s">
        <v>7210</v>
      </c>
      <c r="E25" t="s">
        <v>7236</v>
      </c>
      <c r="F25" t="s">
        <v>3833</v>
      </c>
    </row>
    <row r="26" spans="1:6" ht="15" customHeight="1" x14ac:dyDescent="0.25">
      <c r="A26" t="s">
        <v>7237</v>
      </c>
      <c r="B26" t="s">
        <v>3983</v>
      </c>
      <c r="C26" t="s">
        <v>4364</v>
      </c>
      <c r="D26" t="s">
        <v>7238</v>
      </c>
      <c r="E26" t="s">
        <v>7239</v>
      </c>
      <c r="F26" t="s">
        <v>7219</v>
      </c>
    </row>
    <row r="27" spans="1:6" ht="15" customHeight="1" x14ac:dyDescent="0.25">
      <c r="A27" t="s">
        <v>7240</v>
      </c>
      <c r="B27" t="s">
        <v>3983</v>
      </c>
      <c r="C27" t="s">
        <v>4368</v>
      </c>
      <c r="D27" t="s">
        <v>7241</v>
      </c>
      <c r="E27" t="s">
        <v>7239</v>
      </c>
      <c r="F27" t="s">
        <v>7219</v>
      </c>
    </row>
    <row r="28" spans="1:6" ht="15" customHeight="1" x14ac:dyDescent="0.25">
      <c r="A28" t="s">
        <v>7242</v>
      </c>
      <c r="B28" t="s">
        <v>3983</v>
      </c>
      <c r="C28" t="s">
        <v>5027</v>
      </c>
      <c r="D28" t="s">
        <v>7243</v>
      </c>
      <c r="E28" t="s">
        <v>7239</v>
      </c>
      <c r="F28" t="s">
        <v>7219</v>
      </c>
    </row>
    <row r="29" spans="1:6" ht="15" customHeight="1" x14ac:dyDescent="0.25">
      <c r="A29" t="s">
        <v>7244</v>
      </c>
      <c r="B29" t="s">
        <v>3983</v>
      </c>
      <c r="C29" t="s">
        <v>4364</v>
      </c>
      <c r="D29" t="s">
        <v>7245</v>
      </c>
      <c r="E29" t="s">
        <v>7246</v>
      </c>
      <c r="F29" t="s">
        <v>7219</v>
      </c>
    </row>
    <row r="30" spans="1:6" ht="15" customHeight="1" x14ac:dyDescent="0.25">
      <c r="A30" t="s">
        <v>7247</v>
      </c>
      <c r="B30" t="s">
        <v>3983</v>
      </c>
      <c r="C30" t="s">
        <v>4368</v>
      </c>
      <c r="D30" t="s">
        <v>7248</v>
      </c>
      <c r="E30" t="s">
        <v>7246</v>
      </c>
      <c r="F30" t="s">
        <v>7219</v>
      </c>
    </row>
    <row r="31" spans="1:6" ht="15" customHeight="1" x14ac:dyDescent="0.25">
      <c r="A31" t="s">
        <v>7249</v>
      </c>
      <c r="B31" t="s">
        <v>3983</v>
      </c>
      <c r="C31" t="s">
        <v>5027</v>
      </c>
      <c r="D31" t="s">
        <v>7250</v>
      </c>
      <c r="E31" t="s">
        <v>7246</v>
      </c>
      <c r="F31" t="s">
        <v>7219</v>
      </c>
    </row>
    <row r="32" spans="1:6" ht="15" customHeight="1" x14ac:dyDescent="0.25">
      <c r="A32" t="s">
        <v>7251</v>
      </c>
      <c r="B32" t="s">
        <v>4000</v>
      </c>
      <c r="C32" t="s">
        <v>4364</v>
      </c>
      <c r="D32" t="s">
        <v>7252</v>
      </c>
      <c r="E32" t="s">
        <v>7253</v>
      </c>
      <c r="F32" t="s">
        <v>7219</v>
      </c>
    </row>
    <row r="33" spans="1:6" ht="15" customHeight="1" x14ac:dyDescent="0.25">
      <c r="A33" t="s">
        <v>7254</v>
      </c>
      <c r="B33" t="s">
        <v>4000</v>
      </c>
      <c r="C33" t="s">
        <v>4368</v>
      </c>
      <c r="D33" t="s">
        <v>7252</v>
      </c>
      <c r="E33" t="s">
        <v>7253</v>
      </c>
      <c r="F33" t="s">
        <v>7219</v>
      </c>
    </row>
    <row r="34" spans="1:6" ht="15" customHeight="1" x14ac:dyDescent="0.25">
      <c r="A34" t="s">
        <v>7255</v>
      </c>
      <c r="B34" t="s">
        <v>4000</v>
      </c>
      <c r="C34" t="s">
        <v>5027</v>
      </c>
      <c r="D34" t="s">
        <v>7252</v>
      </c>
      <c r="E34" t="s">
        <v>7253</v>
      </c>
      <c r="F34" t="s">
        <v>7219</v>
      </c>
    </row>
    <row r="35" spans="1:6" ht="15" customHeight="1" x14ac:dyDescent="0.25">
      <c r="A35" t="s">
        <v>7256</v>
      </c>
      <c r="B35" t="s">
        <v>5024</v>
      </c>
      <c r="C35" t="s">
        <v>4364</v>
      </c>
      <c r="D35" t="s">
        <v>7198</v>
      </c>
      <c r="E35" t="s">
        <v>7257</v>
      </c>
      <c r="F35" t="s">
        <v>7186</v>
      </c>
    </row>
    <row r="36" spans="1:6" ht="15" customHeight="1" x14ac:dyDescent="0.25">
      <c r="A36" t="s">
        <v>7258</v>
      </c>
      <c r="B36" t="s">
        <v>5024</v>
      </c>
      <c r="C36" t="s">
        <v>4368</v>
      </c>
      <c r="D36" t="s">
        <v>7184</v>
      </c>
      <c r="E36" t="s">
        <v>7257</v>
      </c>
      <c r="F36" t="s">
        <v>7186</v>
      </c>
    </row>
    <row r="37" spans="1:6" ht="15" customHeight="1" x14ac:dyDescent="0.25">
      <c r="A37" t="s">
        <v>7259</v>
      </c>
      <c r="B37" t="s">
        <v>5024</v>
      </c>
      <c r="C37" t="s">
        <v>5027</v>
      </c>
      <c r="D37" t="s">
        <v>7202</v>
      </c>
      <c r="E37" t="s">
        <v>7257</v>
      </c>
      <c r="F37" t="s">
        <v>7186</v>
      </c>
    </row>
    <row r="38" spans="1:6" ht="15" customHeight="1" x14ac:dyDescent="0.25">
      <c r="A38" t="s">
        <v>7260</v>
      </c>
      <c r="B38" t="s">
        <v>4000</v>
      </c>
      <c r="C38" t="s">
        <v>4364</v>
      </c>
      <c r="D38" t="s">
        <v>7198</v>
      </c>
      <c r="E38" t="s">
        <v>7261</v>
      </c>
      <c r="F38" t="s">
        <v>7186</v>
      </c>
    </row>
    <row r="39" spans="1:6" ht="15" customHeight="1" x14ac:dyDescent="0.25">
      <c r="A39" t="s">
        <v>7262</v>
      </c>
      <c r="B39" t="s">
        <v>4000</v>
      </c>
      <c r="C39" t="s">
        <v>4368</v>
      </c>
      <c r="D39" t="s">
        <v>7184</v>
      </c>
      <c r="E39" t="s">
        <v>7261</v>
      </c>
      <c r="F39" t="s">
        <v>7186</v>
      </c>
    </row>
    <row r="40" spans="1:6" ht="15" customHeight="1" x14ac:dyDescent="0.25">
      <c r="A40" t="s">
        <v>7263</v>
      </c>
      <c r="B40" t="s">
        <v>4000</v>
      </c>
      <c r="C40" t="s">
        <v>5027</v>
      </c>
      <c r="D40" t="s">
        <v>7202</v>
      </c>
      <c r="E40" t="s">
        <v>7261</v>
      </c>
      <c r="F40" t="s">
        <v>7186</v>
      </c>
    </row>
    <row r="41" spans="1:6" ht="15" customHeight="1" x14ac:dyDescent="0.25">
      <c r="A41" t="s">
        <v>7264</v>
      </c>
      <c r="B41" t="s">
        <v>5024</v>
      </c>
      <c r="C41" t="s">
        <v>4364</v>
      </c>
      <c r="D41" t="s">
        <v>7202</v>
      </c>
      <c r="E41" t="s">
        <v>7265</v>
      </c>
      <c r="F41" t="s">
        <v>7186</v>
      </c>
    </row>
    <row r="42" spans="1:6" ht="15" customHeight="1" x14ac:dyDescent="0.25">
      <c r="A42" t="s">
        <v>7266</v>
      </c>
      <c r="B42" t="s">
        <v>5024</v>
      </c>
      <c r="C42" t="s">
        <v>4368</v>
      </c>
      <c r="D42" t="s">
        <v>7202</v>
      </c>
      <c r="E42" t="s">
        <v>7267</v>
      </c>
      <c r="F42" t="s">
        <v>7186</v>
      </c>
    </row>
    <row r="43" spans="1:6" ht="15" customHeight="1" x14ac:dyDescent="0.25">
      <c r="A43" t="s">
        <v>7268</v>
      </c>
      <c r="B43" t="s">
        <v>5024</v>
      </c>
      <c r="C43" t="s">
        <v>5027</v>
      </c>
      <c r="D43" t="s">
        <v>7202</v>
      </c>
      <c r="E43" t="s">
        <v>7269</v>
      </c>
      <c r="F43" t="s">
        <v>7186</v>
      </c>
    </row>
    <row r="44" spans="1:6" ht="15" customHeight="1" x14ac:dyDescent="0.25">
      <c r="A44" t="s">
        <v>7270</v>
      </c>
      <c r="B44" t="s">
        <v>6869</v>
      </c>
      <c r="C44" t="s">
        <v>4364</v>
      </c>
      <c r="D44" t="s">
        <v>7198</v>
      </c>
      <c r="E44" t="s">
        <v>7271</v>
      </c>
      <c r="F44" t="s">
        <v>7186</v>
      </c>
    </row>
    <row r="45" spans="1:6" ht="15" customHeight="1" x14ac:dyDescent="0.25">
      <c r="A45" t="s">
        <v>7272</v>
      </c>
      <c r="B45" t="s">
        <v>6869</v>
      </c>
      <c r="C45" t="s">
        <v>4368</v>
      </c>
      <c r="D45" t="s">
        <v>7184</v>
      </c>
      <c r="E45" t="s">
        <v>7271</v>
      </c>
      <c r="F45" t="s">
        <v>7186</v>
      </c>
    </row>
    <row r="46" spans="1:6" ht="15" customHeight="1" x14ac:dyDescent="0.25">
      <c r="A46" t="s">
        <v>7273</v>
      </c>
      <c r="B46" t="s">
        <v>6869</v>
      </c>
      <c r="C46" t="s">
        <v>5027</v>
      </c>
      <c r="D46" t="s">
        <v>7202</v>
      </c>
      <c r="E46" t="s">
        <v>7271</v>
      </c>
      <c r="F46" t="s">
        <v>7186</v>
      </c>
    </row>
    <row r="47" spans="1:6" ht="15" customHeight="1" x14ac:dyDescent="0.25">
      <c r="A47" t="s">
        <v>7274</v>
      </c>
      <c r="B47" t="s">
        <v>3983</v>
      </c>
      <c r="C47" t="s">
        <v>4364</v>
      </c>
      <c r="D47" t="s">
        <v>7245</v>
      </c>
      <c r="E47" t="s">
        <v>7275</v>
      </c>
      <c r="F47" t="s">
        <v>7219</v>
      </c>
    </row>
    <row r="48" spans="1:6" ht="15" customHeight="1" x14ac:dyDescent="0.25">
      <c r="A48" t="s">
        <v>7276</v>
      </c>
      <c r="B48" t="s">
        <v>3983</v>
      </c>
      <c r="C48" t="s">
        <v>4368</v>
      </c>
      <c r="D48" t="s">
        <v>7248</v>
      </c>
      <c r="E48" t="s">
        <v>7277</v>
      </c>
      <c r="F48" t="s">
        <v>7219</v>
      </c>
    </row>
    <row r="49" spans="1:6" ht="15" customHeight="1" x14ac:dyDescent="0.25">
      <c r="A49" t="s">
        <v>7278</v>
      </c>
      <c r="B49" t="s">
        <v>3983</v>
      </c>
      <c r="C49" t="s">
        <v>5027</v>
      </c>
      <c r="D49" t="s">
        <v>7250</v>
      </c>
      <c r="E49" t="s">
        <v>7279</v>
      </c>
      <c r="F49" t="s">
        <v>7219</v>
      </c>
    </row>
    <row r="50" spans="1:6" ht="15" customHeight="1" x14ac:dyDescent="0.25">
      <c r="A50" t="s">
        <v>7280</v>
      </c>
      <c r="B50" t="s">
        <v>4000</v>
      </c>
      <c r="C50" t="s">
        <v>4364</v>
      </c>
      <c r="D50" t="s">
        <v>7198</v>
      </c>
      <c r="E50" t="s">
        <v>7281</v>
      </c>
      <c r="F50" t="s">
        <v>7186</v>
      </c>
    </row>
    <row r="51" spans="1:6" ht="15" customHeight="1" x14ac:dyDescent="0.25">
      <c r="A51" t="s">
        <v>7282</v>
      </c>
      <c r="B51" t="s">
        <v>4000</v>
      </c>
      <c r="C51" t="s">
        <v>4368</v>
      </c>
      <c r="D51" t="s">
        <v>7184</v>
      </c>
      <c r="E51" t="s">
        <v>7281</v>
      </c>
      <c r="F51" t="s">
        <v>7186</v>
      </c>
    </row>
    <row r="52" spans="1:6" ht="15" customHeight="1" x14ac:dyDescent="0.25">
      <c r="A52" t="s">
        <v>7283</v>
      </c>
      <c r="B52" t="s">
        <v>4000</v>
      </c>
      <c r="C52" t="s">
        <v>5027</v>
      </c>
      <c r="D52" t="s">
        <v>7202</v>
      </c>
      <c r="E52" t="s">
        <v>7281</v>
      </c>
      <c r="F52" t="s">
        <v>7186</v>
      </c>
    </row>
    <row r="53" spans="1:6" ht="15" customHeight="1" x14ac:dyDescent="0.25">
      <c r="A53" t="s">
        <v>7284</v>
      </c>
      <c r="B53" t="s">
        <v>3983</v>
      </c>
      <c r="C53" t="s">
        <v>4364</v>
      </c>
      <c r="D53" t="s">
        <v>7285</v>
      </c>
      <c r="E53" t="s">
        <v>7286</v>
      </c>
      <c r="F53" t="s">
        <v>7219</v>
      </c>
    </row>
    <row r="54" spans="1:6" ht="15" customHeight="1" x14ac:dyDescent="0.25">
      <c r="A54" t="s">
        <v>7287</v>
      </c>
      <c r="B54" t="s">
        <v>3983</v>
      </c>
      <c r="C54" t="s">
        <v>4368</v>
      </c>
      <c r="D54" t="s">
        <v>7288</v>
      </c>
      <c r="E54" t="s">
        <v>7286</v>
      </c>
      <c r="F54" t="s">
        <v>7219</v>
      </c>
    </row>
    <row r="55" spans="1:6" ht="15" customHeight="1" x14ac:dyDescent="0.25">
      <c r="A55" t="s">
        <v>7289</v>
      </c>
      <c r="B55" t="s">
        <v>3983</v>
      </c>
      <c r="C55" t="s">
        <v>5027</v>
      </c>
      <c r="D55" t="s">
        <v>7290</v>
      </c>
      <c r="E55" t="s">
        <v>7286</v>
      </c>
      <c r="F55" t="s">
        <v>7219</v>
      </c>
    </row>
    <row r="56" spans="1:6" ht="15" customHeight="1" x14ac:dyDescent="0.25">
      <c r="A56" t="s">
        <v>7291</v>
      </c>
      <c r="B56" t="s">
        <v>5024</v>
      </c>
      <c r="C56" t="s">
        <v>4364</v>
      </c>
      <c r="D56" t="s">
        <v>7292</v>
      </c>
      <c r="E56" t="s">
        <v>7293</v>
      </c>
      <c r="F56" t="s">
        <v>7219</v>
      </c>
    </row>
    <row r="57" spans="1:6" ht="15" customHeight="1" x14ac:dyDescent="0.25">
      <c r="A57" t="s">
        <v>7294</v>
      </c>
      <c r="B57" t="s">
        <v>5024</v>
      </c>
      <c r="C57" t="s">
        <v>4368</v>
      </c>
      <c r="D57" t="s">
        <v>7295</v>
      </c>
      <c r="E57" t="s">
        <v>7293</v>
      </c>
      <c r="F57" t="s">
        <v>7219</v>
      </c>
    </row>
    <row r="58" spans="1:6" ht="15" customHeight="1" x14ac:dyDescent="0.25">
      <c r="A58" t="s">
        <v>7296</v>
      </c>
      <c r="B58" t="s">
        <v>5024</v>
      </c>
      <c r="C58" t="s">
        <v>5027</v>
      </c>
      <c r="D58" t="s">
        <v>7297</v>
      </c>
      <c r="E58" t="s">
        <v>7293</v>
      </c>
      <c r="F58" t="s">
        <v>7219</v>
      </c>
    </row>
    <row r="59" spans="1:6" ht="15" customHeight="1" x14ac:dyDescent="0.25">
      <c r="A59" t="s">
        <v>7298</v>
      </c>
      <c r="B59" t="s">
        <v>5024</v>
      </c>
      <c r="C59" t="s">
        <v>4364</v>
      </c>
      <c r="D59" t="s">
        <v>7198</v>
      </c>
      <c r="E59" t="s">
        <v>7299</v>
      </c>
      <c r="F59" t="s">
        <v>3833</v>
      </c>
    </row>
    <row r="60" spans="1:6" ht="15" customHeight="1" x14ac:dyDescent="0.25">
      <c r="A60" t="s">
        <v>7300</v>
      </c>
      <c r="B60" t="s">
        <v>5024</v>
      </c>
      <c r="C60" t="s">
        <v>4368</v>
      </c>
      <c r="D60" t="s">
        <v>7184</v>
      </c>
      <c r="E60" t="s">
        <v>7299</v>
      </c>
      <c r="F60" t="s">
        <v>3833</v>
      </c>
    </row>
    <row r="61" spans="1:6" ht="15" customHeight="1" x14ac:dyDescent="0.25">
      <c r="A61" t="s">
        <v>7301</v>
      </c>
      <c r="B61" t="s">
        <v>5024</v>
      </c>
      <c r="C61" t="s">
        <v>5027</v>
      </c>
      <c r="D61" t="s">
        <v>7202</v>
      </c>
      <c r="E61" t="s">
        <v>7299</v>
      </c>
      <c r="F61" t="s">
        <v>3833</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3739</v>
      </c>
      <c r="B1" t="s">
        <v>3735</v>
      </c>
    </row>
    <row r="2" spans="1:2" ht="15" customHeight="1" x14ac:dyDescent="0.25">
      <c r="A2" t="s">
        <v>7302</v>
      </c>
      <c r="B2" t="s">
        <v>4946</v>
      </c>
    </row>
    <row r="3" spans="1:2" ht="15" customHeight="1" x14ac:dyDescent="0.25">
      <c r="A3" t="s">
        <v>7303</v>
      </c>
      <c r="B3" t="s">
        <v>4946</v>
      </c>
    </row>
    <row r="4" spans="1:2" ht="15" customHeight="1" x14ac:dyDescent="0.25">
      <c r="A4" t="s">
        <v>7304</v>
      </c>
      <c r="B4" t="s">
        <v>4946</v>
      </c>
    </row>
    <row r="5" spans="1:2" ht="15" customHeight="1" x14ac:dyDescent="0.25">
      <c r="A5" t="s">
        <v>7305</v>
      </c>
      <c r="B5" t="s">
        <v>4946</v>
      </c>
    </row>
    <row r="6" spans="1:2" ht="15" customHeight="1" x14ac:dyDescent="0.25">
      <c r="A6" t="s">
        <v>3958</v>
      </c>
      <c r="B6" t="s">
        <v>4946</v>
      </c>
    </row>
    <row r="7" spans="1:2" ht="15" customHeight="1" x14ac:dyDescent="0.25">
      <c r="A7" t="s">
        <v>7306</v>
      </c>
      <c r="B7" t="s">
        <v>4946</v>
      </c>
    </row>
    <row r="8" spans="1:2" ht="15" customHeight="1" x14ac:dyDescent="0.25">
      <c r="A8" t="s">
        <v>7307</v>
      </c>
      <c r="B8" t="s">
        <v>4946</v>
      </c>
    </row>
    <row r="9" spans="1:2" ht="15" customHeight="1" x14ac:dyDescent="0.25">
      <c r="A9" t="s">
        <v>7308</v>
      </c>
      <c r="B9" t="s">
        <v>4946</v>
      </c>
    </row>
    <row r="10" spans="1:2" ht="15" customHeight="1" x14ac:dyDescent="0.25">
      <c r="A10" t="s">
        <v>7309</v>
      </c>
      <c r="B10" t="s">
        <v>4946</v>
      </c>
    </row>
    <row r="11" spans="1:2" ht="15" customHeight="1" x14ac:dyDescent="0.25">
      <c r="A11" t="s">
        <v>7310</v>
      </c>
      <c r="B11" t="s">
        <v>4946</v>
      </c>
    </row>
    <row r="12" spans="1:2" ht="15" customHeight="1" x14ac:dyDescent="0.25">
      <c r="A12" t="s">
        <v>7311</v>
      </c>
      <c r="B12" t="s">
        <v>4373</v>
      </c>
    </row>
    <row r="13" spans="1:2" ht="15" customHeight="1" x14ac:dyDescent="0.25">
      <c r="A13" t="s">
        <v>7312</v>
      </c>
      <c r="B13" t="s">
        <v>4373</v>
      </c>
    </row>
    <row r="14" spans="1:2" ht="15" customHeight="1" x14ac:dyDescent="0.25">
      <c r="A14" t="s">
        <v>7313</v>
      </c>
      <c r="B14" t="s">
        <v>4373</v>
      </c>
    </row>
    <row r="15" spans="1:2" ht="15" customHeight="1" x14ac:dyDescent="0.25">
      <c r="A15" t="s">
        <v>7314</v>
      </c>
      <c r="B15" t="s">
        <v>4373</v>
      </c>
    </row>
    <row r="16" spans="1:2" ht="15" customHeight="1" x14ac:dyDescent="0.25">
      <c r="A16" t="s">
        <v>7315</v>
      </c>
      <c r="B16" t="s">
        <v>4373</v>
      </c>
    </row>
    <row r="17" spans="1:2" ht="15" customHeight="1" x14ac:dyDescent="0.25">
      <c r="A17" t="s">
        <v>7316</v>
      </c>
      <c r="B17" t="s">
        <v>4373</v>
      </c>
    </row>
    <row r="18" spans="1:2" ht="15" customHeight="1" x14ac:dyDescent="0.25">
      <c r="A18" t="s">
        <v>7317</v>
      </c>
      <c r="B18" t="s">
        <v>7318</v>
      </c>
    </row>
    <row r="19" spans="1:2" ht="15" customHeight="1" x14ac:dyDescent="0.25">
      <c r="A19" t="s">
        <v>7319</v>
      </c>
      <c r="B19" t="s">
        <v>7318</v>
      </c>
    </row>
    <row r="20" spans="1:2" ht="15" customHeight="1" x14ac:dyDescent="0.25">
      <c r="A20" t="s">
        <v>7320</v>
      </c>
      <c r="B20" t="s">
        <v>7318</v>
      </c>
    </row>
    <row r="21" spans="1:2" ht="15" customHeight="1" x14ac:dyDescent="0.25">
      <c r="A21" t="s">
        <v>7321</v>
      </c>
      <c r="B21" t="s">
        <v>7318</v>
      </c>
    </row>
    <row r="22" spans="1:2" ht="15" customHeight="1" x14ac:dyDescent="0.25">
      <c r="A22" t="s">
        <v>7322</v>
      </c>
      <c r="B22" t="s">
        <v>7318</v>
      </c>
    </row>
    <row r="23" spans="1:2" ht="15" customHeight="1" x14ac:dyDescent="0.25">
      <c r="A23" t="s">
        <v>3955</v>
      </c>
      <c r="B23" t="s">
        <v>7318</v>
      </c>
    </row>
    <row r="24" spans="1:2" ht="15" customHeight="1" x14ac:dyDescent="0.25">
      <c r="A24" t="s">
        <v>7323</v>
      </c>
      <c r="B24" t="s">
        <v>7318</v>
      </c>
    </row>
    <row r="25" spans="1:2" ht="15" customHeight="1" x14ac:dyDescent="0.25">
      <c r="A25" t="s">
        <v>7324</v>
      </c>
      <c r="B25" t="s">
        <v>7318</v>
      </c>
    </row>
    <row r="26" spans="1:2" ht="15" customHeight="1" x14ac:dyDescent="0.25">
      <c r="A26" t="s">
        <v>7325</v>
      </c>
      <c r="B26" t="s">
        <v>7318</v>
      </c>
    </row>
    <row r="27" spans="1:2" ht="15" customHeight="1" x14ac:dyDescent="0.25">
      <c r="A27" t="s">
        <v>7326</v>
      </c>
      <c r="B27" t="s">
        <v>7318</v>
      </c>
    </row>
    <row r="28" spans="1:2" ht="15" customHeight="1" x14ac:dyDescent="0.25">
      <c r="A28" t="s">
        <v>7327</v>
      </c>
      <c r="B28" t="s">
        <v>7318</v>
      </c>
    </row>
    <row r="29" spans="1:2" ht="15" customHeight="1" x14ac:dyDescent="0.25">
      <c r="A29" t="s">
        <v>7328</v>
      </c>
      <c r="B29" t="s">
        <v>7318</v>
      </c>
    </row>
    <row r="30" spans="1:2" ht="15" customHeight="1" x14ac:dyDescent="0.25">
      <c r="A30" t="s">
        <v>7329</v>
      </c>
      <c r="B30" t="s">
        <v>7318</v>
      </c>
    </row>
    <row r="31" spans="1:2" ht="15" customHeight="1" x14ac:dyDescent="0.25">
      <c r="A31" t="s">
        <v>7330</v>
      </c>
      <c r="B31" t="s">
        <v>7318</v>
      </c>
    </row>
    <row r="32" spans="1:2" ht="15" customHeight="1" x14ac:dyDescent="0.25">
      <c r="A32" t="s">
        <v>7331</v>
      </c>
      <c r="B32" t="s">
        <v>7318</v>
      </c>
    </row>
    <row r="33" spans="1:2" ht="15" customHeight="1" x14ac:dyDescent="0.25">
      <c r="A33" t="s">
        <v>7332</v>
      </c>
      <c r="B33" t="s">
        <v>7318</v>
      </c>
    </row>
    <row r="34" spans="1:2" ht="15" customHeight="1" x14ac:dyDescent="0.25">
      <c r="A34" t="s">
        <v>7333</v>
      </c>
      <c r="B34" t="s">
        <v>7318</v>
      </c>
    </row>
    <row r="35" spans="1:2" ht="15" customHeight="1" x14ac:dyDescent="0.25">
      <c r="A35" t="s">
        <v>7334</v>
      </c>
      <c r="B35" t="s">
        <v>7318</v>
      </c>
    </row>
    <row r="36" spans="1:2" ht="15" customHeight="1" x14ac:dyDescent="0.25">
      <c r="A36" t="s">
        <v>7335</v>
      </c>
      <c r="B36" t="s">
        <v>7318</v>
      </c>
    </row>
    <row r="37" spans="1:2" ht="15" customHeight="1" x14ac:dyDescent="0.25">
      <c r="A37" t="s">
        <v>7336</v>
      </c>
      <c r="B37" t="s">
        <v>7318</v>
      </c>
    </row>
    <row r="38" spans="1:2" ht="15" customHeight="1" x14ac:dyDescent="0.25">
      <c r="A38" t="s">
        <v>7337</v>
      </c>
      <c r="B38" t="s">
        <v>7318</v>
      </c>
    </row>
    <row r="39" spans="1:2" ht="15" customHeight="1" x14ac:dyDescent="0.25">
      <c r="A39" t="s">
        <v>7338</v>
      </c>
      <c r="B39" t="s">
        <v>4373</v>
      </c>
    </row>
    <row r="40" spans="1:2" ht="15" customHeight="1" x14ac:dyDescent="0.25">
      <c r="A40" t="s">
        <v>7339</v>
      </c>
      <c r="B40" t="s">
        <v>7318</v>
      </c>
    </row>
    <row r="41" spans="1:2" ht="15" customHeight="1" x14ac:dyDescent="0.25">
      <c r="A41" t="s">
        <v>7340</v>
      </c>
      <c r="B41" t="s">
        <v>7318</v>
      </c>
    </row>
    <row r="42" spans="1:2" ht="15" customHeight="1" x14ac:dyDescent="0.25">
      <c r="A42" t="s">
        <v>7341</v>
      </c>
      <c r="B42" t="s">
        <v>7318</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4308</v>
      </c>
      <c r="E1" s="14" t="s">
        <v>7342</v>
      </c>
      <c r="F1" s="14" t="s">
        <v>7343</v>
      </c>
      <c r="G1" s="14" t="s">
        <v>7344</v>
      </c>
      <c r="H1" s="14" t="s">
        <v>7345</v>
      </c>
      <c r="I1" s="14" t="s">
        <v>7346</v>
      </c>
      <c r="J1" s="14" t="s">
        <v>7347</v>
      </c>
      <c r="K1" s="14" t="s">
        <v>7348</v>
      </c>
      <c r="L1" s="14" t="s">
        <v>7349</v>
      </c>
      <c r="M1" s="14" t="s">
        <v>7350</v>
      </c>
      <c r="N1" s="14" t="s">
        <v>7351</v>
      </c>
      <c r="O1" s="14" t="s">
        <v>7352</v>
      </c>
      <c r="P1" s="14" t="s">
        <v>172</v>
      </c>
      <c r="Q1" s="14" t="s">
        <v>7353</v>
      </c>
      <c r="R1" s="14" t="s">
        <v>4310</v>
      </c>
      <c r="T1" s="14" t="s">
        <v>7354</v>
      </c>
      <c r="U1" s="14" t="s">
        <v>7355</v>
      </c>
      <c r="V1" s="14" t="s">
        <v>7356</v>
      </c>
    </row>
    <row r="2" spans="1:22" x14ac:dyDescent="0.25">
      <c r="A2" t="str">
        <f>IF(games!$A2="","",games!$A2)</f>
        <v>[Redacted]</v>
      </c>
      <c r="B2">
        <f>IF($A2="","",games!$B2)</f>
        <v>2024</v>
      </c>
      <c r="C2" t="str">
        <f>IF($A2="","",games!$C2)</f>
        <v>Action</v>
      </c>
      <c r="D2">
        <f>IF($A2="","",COUNTIF(connections!$A$2:$A$1460,$A2)+COUNTIF(connections!$B$2:$B$1460,$A2))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IF($A3="","",COUNTIF(connections!$A$2:$A$1460,$A3)+COUNTIF(connections!$B$2:$B$1460,$A3))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IF($A4="","",COUNTIF(connections!$A$2:$A$1460,$A4)+COUNTIF(connections!$B$2:$B$1460,$A4))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IF($A5="","",COUNTIF(connections!$A$2:$A$1460,$A5)+COUNTIF(connections!$B$2:$B$1460,$A5))</f>
        <v>6</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6.0000049999999998</v>
      </c>
      <c r="P5" t="str">
        <f>IF(OR($A5="",games!$H5=""),"",games!$H5)</f>
        <v>Yes</v>
      </c>
      <c r="Q5">
        <f t="shared" si="11"/>
        <v>6.0000049999999998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IF($A6="","",COUNTIF(connections!$A$2:$A$1460,$A6)+COUNTIF(connections!$B$2:$B$1460,$A6))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IF($A7="","",COUNTIF(connections!$A$2:$A$1460,$A7)+COUNTIF(connections!$B$2:$B$1460,$A7))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2022</v>
      </c>
      <c r="U7">
        <f>IF(connections!$A7="","",IFERROR(INDEX(games!$B$2:$B$950,MATCH(connections!$B7,games!$A$2:$A$950,0)),""))</f>
        <v>2023</v>
      </c>
      <c r="V7">
        <f t="shared" si="12"/>
        <v>1</v>
      </c>
    </row>
    <row r="8" spans="1:22" x14ac:dyDescent="0.25">
      <c r="A8" t="str">
        <f>IF(games!$A8="","",games!$A8)</f>
        <v>33 Immortals</v>
      </c>
      <c r="B8">
        <f>IF($A8="","",games!$B8)</f>
        <v>2026</v>
      </c>
      <c r="C8" t="str">
        <f>IF($A8="","",games!$C8)</f>
        <v>Action</v>
      </c>
      <c r="D8">
        <f>IF($A8="","",COUNTIF(connections!$A$2:$A$1460,$A8)+COUNTIF(connections!$B$2:$B$1460,$A8))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IF(connections!$A8="","",IFERROR(INDEX(games!$B$2:$B$950,MATCH(connections!$A8,games!$A$2:$A$950,0)),""))</f>
        <v>2022</v>
      </c>
      <c r="U8">
        <f>IF(connections!$A8="","",IFERROR(INDEX(games!$B$2:$B$950,MATCH(connections!$B8,games!$A$2:$A$950,0)),""))</f>
        <v>2023</v>
      </c>
      <c r="V8">
        <f t="shared" si="12"/>
        <v>1</v>
      </c>
    </row>
    <row r="9" spans="1:22" x14ac:dyDescent="0.25">
      <c r="A9" t="str">
        <f>IF(games!$A9="","",games!$A9)</f>
        <v>868-Back</v>
      </c>
      <c r="B9">
        <f>IF($A9="","",games!$B9)</f>
        <v>2026</v>
      </c>
      <c r="C9" t="str">
        <f>IF($A9="","",games!$C9)</f>
        <v>Traditional</v>
      </c>
      <c r="D9">
        <f>IF($A9="","",COUNTIF(connections!$A$2:$A$1460,$A9)+COUNTIF(connections!$B$2:$B$1460,$A9))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2017</v>
      </c>
      <c r="U9">
        <f>IF(connections!$A9="","",IFERROR(INDEX(games!$B$2:$B$950,MATCH(connections!$B9,games!$A$2:$A$950,0)),""))</f>
        <v>2021</v>
      </c>
      <c r="V9">
        <f t="shared" si="12"/>
        <v>4</v>
      </c>
    </row>
    <row r="10" spans="1:22" x14ac:dyDescent="0.25">
      <c r="A10" t="str">
        <f>IF(games!$A10="","",games!$A10)</f>
        <v>868-Hack</v>
      </c>
      <c r="B10">
        <f>IF($A10="","",games!$B10)</f>
        <v>2015</v>
      </c>
      <c r="C10" t="str">
        <f>IF($A10="","",games!$C10)</f>
        <v>Traditional</v>
      </c>
      <c r="D10">
        <f>IF($A10="","",COUNTIF(connections!$A$2:$A$1460,$A10)+COUNTIF(connections!$B$2:$B$1460,$A10))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IF(connections!$A10="","",IFERROR(INDEX(games!$B$2:$B$950,MATCH(connections!$A10,games!$A$2:$A$950,0)),""))</f>
        <v>2015</v>
      </c>
      <c r="U10">
        <f>IF(connections!$A10="","",IFERROR(INDEX(games!$B$2:$B$950,MATCH(connections!$B10,games!$A$2:$A$950,0)),""))</f>
        <v>2026</v>
      </c>
      <c r="V10">
        <f t="shared" si="12"/>
        <v>11</v>
      </c>
    </row>
    <row r="11" spans="1:22" x14ac:dyDescent="0.25">
      <c r="A11" t="str">
        <f>IF(games!$A11="","",games!$A11)</f>
        <v>9 Kings</v>
      </c>
      <c r="B11">
        <f>IF($A11="","",games!$B11)</f>
        <v>2024</v>
      </c>
      <c r="C11" t="str">
        <f>IF($A11="","",games!$C11)</f>
        <v>Deckbuilder</v>
      </c>
      <c r="D11">
        <f>IF($A11="","",COUNTIF(connections!$A$2:$A$1460,$A11)+COUNTIF(connections!$B$2:$B$1460,$A11))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2015</v>
      </c>
      <c r="U11">
        <f>IF(connections!$A11="","",IFERROR(INDEX(games!$B$2:$B$950,MATCH(connections!$B11,games!$A$2:$A$950,0)),""))</f>
        <v>2026</v>
      </c>
      <c r="V11">
        <f t="shared" si="12"/>
        <v>11</v>
      </c>
    </row>
    <row r="12" spans="1:22" x14ac:dyDescent="0.25">
      <c r="A12" t="str">
        <f>IF(games!$A12="","",games!$A12)</f>
        <v>99 Levels to Hell</v>
      </c>
      <c r="B12">
        <f>IF($A12="","",games!$B12)</f>
        <v>2013</v>
      </c>
      <c r="C12" t="str">
        <f>IF($A12="","",games!$C12)</f>
        <v>Action</v>
      </c>
      <c r="D12">
        <f>IF($A12="","",COUNTIF(connections!$A$2:$A$1460,$A12)+COUNTIF(connections!$B$2:$B$1460,$A12))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2024</v>
      </c>
      <c r="U12">
        <f>IF(connections!$A12="","",IFERROR(INDEX(games!$B$2:$B$950,MATCH(connections!$B12,games!$A$2:$A$950,0)),""))</f>
        <v>2025</v>
      </c>
      <c r="V12">
        <f t="shared" si="12"/>
        <v>1</v>
      </c>
    </row>
    <row r="13" spans="1:22" x14ac:dyDescent="0.25">
      <c r="A13" t="str">
        <f>IF(games!$A13="","",games!$A13)</f>
        <v>A la Card</v>
      </c>
      <c r="B13">
        <f>IF($A13="","",games!$B13)</f>
        <v>2025</v>
      </c>
      <c r="C13" t="str">
        <f>IF($A13="","",games!$C13)</f>
        <v>Deckbuilder</v>
      </c>
      <c r="D13">
        <f>IF($A13="","",COUNTIF(connections!$A$2:$A$1460,$A13)+COUNTIF(connections!$B$2:$B$1460,$A13))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2021</v>
      </c>
      <c r="U13">
        <f>IF(connections!$A13="","",IFERROR(INDEX(games!$B$2:$B$950,MATCH(connections!$B13,games!$A$2:$A$950,0)),""))</f>
        <v>2025</v>
      </c>
      <c r="V13">
        <f t="shared" si="12"/>
        <v>4</v>
      </c>
    </row>
    <row r="14" spans="1:22" x14ac:dyDescent="0.25">
      <c r="A14" t="str">
        <f>IF(games!$A14="","",games!$A14)</f>
        <v>A Robot Named Fight!</v>
      </c>
      <c r="B14">
        <f>IF($A14="","",games!$B14)</f>
        <v>2017</v>
      </c>
      <c r="C14" t="str">
        <f>IF($A14="","",games!$C14)</f>
        <v>Action</v>
      </c>
      <c r="D14">
        <f>IF($A14="","",COUNTIF(connections!$A$2:$A$1460,$A14)+COUNTIF(connections!$B$2:$B$1460,$A14))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2025</v>
      </c>
      <c r="U14">
        <f>IF(connections!$A14="","",IFERROR(INDEX(games!$B$2:$B$950,MATCH(connections!$B14,games!$A$2:$A$950,0)),""))</f>
        <v>2026</v>
      </c>
      <c r="V14">
        <f t="shared" si="12"/>
        <v>1</v>
      </c>
    </row>
    <row r="15" spans="1:22" x14ac:dyDescent="0.25">
      <c r="A15" t="str">
        <f>IF(games!$A15="","",games!$A15)</f>
        <v>Abandon Ship</v>
      </c>
      <c r="B15">
        <f>IF($A15="","",games!$B15)</f>
        <v>2019</v>
      </c>
      <c r="C15" t="str">
        <f>IF($A15="","",games!$C15)</f>
        <v>Strategy</v>
      </c>
      <c r="D15">
        <f>IF($A15="","",COUNTIF(connections!$A$2:$A$1460,$A15)+COUNTIF(connections!$B$2:$B$1460,$A15))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2010</v>
      </c>
      <c r="V15">
        <f t="shared" si="12"/>
        <v>16</v>
      </c>
    </row>
    <row r="16" spans="1:22" x14ac:dyDescent="0.25">
      <c r="A16" t="str">
        <f>IF(games!$A16="","",games!$A16)</f>
        <v>Abandoned Archive</v>
      </c>
      <c r="B16">
        <f>IF($A16="","",games!$B16)</f>
        <v>2025</v>
      </c>
      <c r="C16" t="str">
        <f>IF($A16="","",games!$C16)</f>
        <v>Action</v>
      </c>
      <c r="D16">
        <f>IF($A16="","",COUNTIF(connections!$A$2:$A$1460,$A16)+COUNTIF(connections!$B$2:$B$1460,$A16))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2025</v>
      </c>
      <c r="V16">
        <f t="shared" si="12"/>
        <v>31</v>
      </c>
    </row>
    <row r="17" spans="1:22" x14ac:dyDescent="0.25">
      <c r="A17" t="str">
        <f>IF(games!$A17="","",games!$A17)</f>
        <v>Absolum</v>
      </c>
      <c r="B17">
        <f>IF($A17="","",games!$B17)</f>
        <v>2025</v>
      </c>
      <c r="C17" t="str">
        <f>IF($A17="","",games!$C17)</f>
        <v>Action</v>
      </c>
      <c r="D17">
        <f>IF($A17="","",COUNTIF(connections!$A$2:$A$1460,$A17)+COUNTIF(connections!$B$2:$B$1460,$A17))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2010</v>
      </c>
      <c r="V17">
        <f t="shared" si="12"/>
        <v>16</v>
      </c>
    </row>
    <row r="18" spans="1:22" x14ac:dyDescent="0.25">
      <c r="A18" t="str">
        <f>IF(games!$A18="","",games!$A18)</f>
        <v>Abyssus</v>
      </c>
      <c r="B18">
        <f>IF($A18="","",games!$B18)</f>
        <v>2025</v>
      </c>
      <c r="C18" t="str">
        <f>IF($A18="","",games!$C18)</f>
        <v>Action</v>
      </c>
      <c r="D18">
        <f>IF($A18="","",COUNTIF(connections!$A$2:$A$1460,$A18)+COUNTIF(connections!$B$2:$B$1460,$A18))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2008</v>
      </c>
      <c r="V18">
        <f t="shared" si="12"/>
        <v>14</v>
      </c>
    </row>
    <row r="19" spans="1:22" x14ac:dyDescent="0.25">
      <c r="A19" t="str">
        <f>IF(games!$A19="","",games!$A19)</f>
        <v>Aces &amp; Adventures</v>
      </c>
      <c r="B19">
        <f>IF($A19="","",games!$B19)</f>
        <v>2023</v>
      </c>
      <c r="C19" t="str">
        <f>IF($A19="","",games!$C19)</f>
        <v>Deckbuilder</v>
      </c>
      <c r="D19">
        <f>IF($A19="","",COUNTIF(connections!$A$2:$A$1460,$A19)+COUNTIF(connections!$B$2:$B$1460,$A19))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2006</v>
      </c>
      <c r="V19">
        <f t="shared" si="12"/>
        <v>12</v>
      </c>
    </row>
    <row r="20" spans="1:22" x14ac:dyDescent="0.25">
      <c r="A20" t="str">
        <f>IF(games!$A20="","",games!$A20)</f>
        <v>Across the Obelisk</v>
      </c>
      <c r="B20">
        <f>IF($A20="","",games!$B20)</f>
        <v>2021</v>
      </c>
      <c r="C20" t="str">
        <f>IF($A20="","",games!$C20)</f>
        <v>Deckbuilder</v>
      </c>
      <c r="D20">
        <f>IF($A20="","",COUNTIF(connections!$A$2:$A$1460,$A20)+COUNTIF(connections!$B$2:$B$1460,$A20))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2022</v>
      </c>
      <c r="V20">
        <f t="shared" si="12"/>
        <v>28</v>
      </c>
    </row>
    <row r="21" spans="1:22" x14ac:dyDescent="0.25">
      <c r="A21" t="str">
        <f>IF(games!$A21="","",games!$A21)</f>
        <v>Aethermancer</v>
      </c>
      <c r="B21">
        <f>IF($A21="","",games!$B21)</f>
        <v>2025</v>
      </c>
      <c r="C21" t="str">
        <f>IF($A21="","",games!$C21)</f>
        <v>Strategy</v>
      </c>
      <c r="D21">
        <f>IF($A21="","",COUNTIF(connections!$A$2:$A$1460,$A21)+COUNTIF(connections!$B$2:$B$1460,$A21))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2012</v>
      </c>
      <c r="V21">
        <f t="shared" si="12"/>
        <v>18</v>
      </c>
    </row>
    <row r="22" spans="1:22" x14ac:dyDescent="0.25">
      <c r="A22" t="str">
        <f>IF(games!$A22="","",games!$A22)</f>
        <v>AK-xolotl</v>
      </c>
      <c r="B22">
        <f>IF($A22="","",games!$B22)</f>
        <v>2023</v>
      </c>
      <c r="C22" t="str">
        <f>IF($A22="","",games!$C22)</f>
        <v>Action</v>
      </c>
      <c r="D22">
        <f>IF($A22="","",COUNTIF(connections!$A$2:$A$1460,$A22)+COUNTIF(connections!$B$2:$B$1460,$A22))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2007</v>
      </c>
      <c r="V22">
        <f t="shared" si="12"/>
        <v>13</v>
      </c>
    </row>
    <row r="23" spans="1:22" x14ac:dyDescent="0.25">
      <c r="A23" t="str">
        <f>IF(games!$A23="","",games!$A23)</f>
        <v>Alina of the Arena</v>
      </c>
      <c r="B23">
        <f>IF($A23="","",games!$B23)</f>
        <v>2022</v>
      </c>
      <c r="C23" t="str">
        <f>IF($A23="","",games!$C23)</f>
        <v>Deckbuilder</v>
      </c>
      <c r="D23">
        <f>IF($A23="","",COUNTIF(connections!$A$2:$A$1460,$A23)+COUNTIF(connections!$B$2:$B$1460,$A23))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2015</v>
      </c>
      <c r="V23">
        <f t="shared" si="12"/>
        <v>21</v>
      </c>
    </row>
    <row r="24" spans="1:22" x14ac:dyDescent="0.25">
      <c r="A24" t="str">
        <f>IF(games!$A24="","",games!$A24)</f>
        <v>An Amazing Wizard</v>
      </c>
      <c r="B24">
        <f>IF($A24="","",games!$B24)</f>
        <v>2025</v>
      </c>
      <c r="C24" t="str">
        <f>IF($A24="","",games!$C24)</f>
        <v>Action</v>
      </c>
      <c r="D24">
        <f>IF($A24="","",COUNTIF(connections!$A$2:$A$1460,$A24)+COUNTIF(connections!$B$2:$B$1460,$A24))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2006</v>
      </c>
      <c r="V24">
        <f t="shared" si="12"/>
        <v>12</v>
      </c>
    </row>
    <row r="25" spans="1:22" x14ac:dyDescent="0.25">
      <c r="A25" t="str">
        <f>IF(games!$A25="","",games!$A25)</f>
        <v>Ancient Domains of Mystery</v>
      </c>
      <c r="B25">
        <f>IF($A25="","",games!$B25)</f>
        <v>1994</v>
      </c>
      <c r="C25" t="str">
        <f>IF($A25="","",games!$C25)</f>
        <v>Traditional</v>
      </c>
      <c r="D25">
        <f>IF($A25="","",COUNTIF(connections!$A$2:$A$1460,$A25)+COUNTIF(connections!$B$2:$B$1460,$A25))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IF(connections!$A25="","",IFERROR(INDEX(games!$B$2:$B$950,MATCH(connections!$A25,games!$A$2:$A$950,0)),""))</f>
        <v>1994</v>
      </c>
      <c r="U25">
        <f>IF(connections!$A25="","",IFERROR(INDEX(games!$B$2:$B$950,MATCH(connections!$B25,games!$A$2:$A$950,0)),""))</f>
        <v>2023</v>
      </c>
      <c r="V25">
        <f t="shared" si="12"/>
        <v>29</v>
      </c>
    </row>
    <row r="26" spans="1:22" x14ac:dyDescent="0.25">
      <c r="A26" t="str">
        <f>IF(games!$A26="","",games!$A26)</f>
        <v>Angband</v>
      </c>
      <c r="B26">
        <f>IF($A26="","",games!$B26)</f>
        <v>1990</v>
      </c>
      <c r="C26" t="str">
        <f>IF($A26="","",games!$C26)</f>
        <v>Traditional</v>
      </c>
      <c r="D26">
        <f>IF($A26="","",COUNTIF(connections!$A$2:$A$1460,$A26)+COUNTIF(connections!$B$2:$B$1460,$A26))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2003</v>
      </c>
      <c r="V26">
        <f t="shared" si="12"/>
        <v>9</v>
      </c>
    </row>
    <row r="27" spans="1:22" x14ac:dyDescent="0.25">
      <c r="A27" t="str">
        <f>IF(games!$A27="","",games!$A27)</f>
        <v>Anomaly Collapse</v>
      </c>
      <c r="B27">
        <f>IF($A27="","",games!$B27)</f>
        <v>2024</v>
      </c>
      <c r="C27" t="str">
        <f>IF($A27="","",games!$C27)</f>
        <v>Strategy</v>
      </c>
      <c r="D27">
        <f>IF($A27="","",COUNTIF(connections!$A$2:$A$1460,$A27)+COUNTIF(connections!$B$2:$B$1460,$A27))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1994</v>
      </c>
      <c r="U27">
        <f>IF(connections!$A27="","",IFERROR(INDEX(games!$B$2:$B$950,MATCH(connections!$B27,games!$A$2:$A$950,0)),""))</f>
        <v>2019</v>
      </c>
      <c r="V27">
        <f t="shared" si="12"/>
        <v>25</v>
      </c>
    </row>
    <row r="28" spans="1:22" x14ac:dyDescent="0.25">
      <c r="A28" t="str">
        <f>IF(games!$A28="","",games!$A28)</f>
        <v>Another Farm Roguelike</v>
      </c>
      <c r="B28">
        <f>IF($A28="","",games!$B28)</f>
        <v>2022</v>
      </c>
      <c r="C28" t="str">
        <f>IF($A28="","",games!$C28)</f>
        <v>Strategy</v>
      </c>
      <c r="D28">
        <f>IF($A28="","",COUNTIF(connections!$A$2:$A$1460,$A28)+COUNTIF(connections!$B$2:$B$1460,$A28))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1994</v>
      </c>
      <c r="U28">
        <f>IF(connections!$A28="","",IFERROR(INDEX(games!$B$2:$B$950,MATCH(connections!$B28,games!$A$2:$A$950,0)),""))</f>
        <v>2015</v>
      </c>
      <c r="V28">
        <f t="shared" si="12"/>
        <v>21</v>
      </c>
    </row>
    <row r="29" spans="1:22" x14ac:dyDescent="0.25">
      <c r="A29" t="str">
        <f>IF(games!$A29="","",games!$A29)</f>
        <v>Another Farm Roguelike: Rebirth</v>
      </c>
      <c r="B29">
        <f>IF($A29="","",games!$B29)</f>
        <v>2025</v>
      </c>
      <c r="C29" t="str">
        <f>IF($A29="","",games!$C29)</f>
        <v>Strategy</v>
      </c>
      <c r="D29">
        <f>IF($A29="","",COUNTIF(connections!$A$2:$A$1460,$A29)+COUNTIF(connections!$B$2:$B$1460,$A29))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2022</v>
      </c>
      <c r="V29">
        <f t="shared" si="12"/>
        <v>28</v>
      </c>
    </row>
    <row r="30" spans="1:22" x14ac:dyDescent="0.25">
      <c r="A30" t="str">
        <f>IF(games!$A30="","",games!$A30)</f>
        <v>Aotenjo: Infinite Hands</v>
      </c>
      <c r="B30">
        <f>IF($A30="","",games!$B30)</f>
        <v>2024</v>
      </c>
      <c r="C30" t="str">
        <f>IF($A30="","",games!$C30)</f>
        <v>Deckbuilder</v>
      </c>
      <c r="D30">
        <f>IF($A30="","",COUNTIF(connections!$A$2:$A$1460,$A30)+COUNTIF(connections!$B$2:$B$1460,$A30))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IF(connections!$A30="","",IFERROR(INDEX(games!$B$2:$B$950,MATCH(connections!$A30,games!$A$2:$A$950,0)),""))</f>
        <v>1994</v>
      </c>
      <c r="U30">
        <f>IF(connections!$A30="","",IFERROR(INDEX(games!$B$2:$B$950,MATCH(connections!$B30,games!$A$2:$A$950,0)),""))</f>
        <v>2014</v>
      </c>
      <c r="V30">
        <f t="shared" si="12"/>
        <v>20</v>
      </c>
    </row>
    <row r="31" spans="1:22" x14ac:dyDescent="0.25">
      <c r="A31" t="str">
        <f>IF(games!$A31="","",games!$A31)</f>
        <v>Approaching Infinity</v>
      </c>
      <c r="B31">
        <f>IF($A31="","",games!$B31)</f>
        <v>2020</v>
      </c>
      <c r="C31" t="str">
        <f>IF($A31="","",games!$C31)</f>
        <v>Traditional</v>
      </c>
      <c r="D31">
        <f>IF($A31="","",COUNTIF(connections!$A$2:$A$1460,$A31)+COUNTIF(connections!$B$2:$B$1460,$A31))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1994</v>
      </c>
      <c r="U31">
        <f>IF(connections!$A31="","",IFERROR(INDEX(games!$B$2:$B$950,MATCH(connections!$B31,games!$A$2:$A$950,0)),""))</f>
        <v>2020</v>
      </c>
      <c r="V31">
        <f t="shared" si="12"/>
        <v>26</v>
      </c>
    </row>
    <row r="32" spans="1:22" x14ac:dyDescent="0.25">
      <c r="A32" t="str">
        <f>IF(games!$A32="","",games!$A32)</f>
        <v>Arc Seed</v>
      </c>
      <c r="B32">
        <f>IF($A32="","",games!$B32)</f>
        <v>2024</v>
      </c>
      <c r="C32" t="str">
        <f>IF($A32="","",games!$C32)</f>
        <v>Deckbuilder</v>
      </c>
      <c r="D32">
        <f>IF($A32="","",COUNTIF(connections!$A$2:$A$1460,$A32)+COUNTIF(connections!$B$2:$B$1460,$A32))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1994</v>
      </c>
      <c r="U32">
        <f>IF(connections!$A32="","",IFERROR(INDEX(games!$B$2:$B$950,MATCH(connections!$B32,games!$A$2:$A$950,0)),""))</f>
        <v>2021</v>
      </c>
      <c r="V32">
        <f t="shared" si="12"/>
        <v>27</v>
      </c>
    </row>
    <row r="33" spans="1:22" x14ac:dyDescent="0.25">
      <c r="A33" t="str">
        <f>IF(games!$A33="","",games!$A33)</f>
        <v>Arcane Trigger</v>
      </c>
      <c r="B33">
        <f>IF($A33="","",games!$B33)</f>
        <v>2025</v>
      </c>
      <c r="C33" t="str">
        <f>IF($A33="","",games!$C33)</f>
        <v>Action</v>
      </c>
      <c r="D33">
        <f>IF($A33="","",COUNTIF(connections!$A$2:$A$1460,$A33)+COUNTIF(connections!$B$2:$B$1460,$A33))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Arcanium: Rise of Akhan</v>
      </c>
      <c r="B34">
        <f>IF($A34="","",games!$B34)</f>
        <v>2020</v>
      </c>
      <c r="C34" t="str">
        <f>IF($A34="","",games!$C34)</f>
        <v>Deckbuilder</v>
      </c>
      <c r="D34">
        <f>IF($A34="","",COUNTIF(connections!$A$2:$A$1460,$A34)+COUNTIF(connections!$B$2:$B$1460,$A34))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1990</v>
      </c>
      <c r="U34">
        <f>IF(connections!$A34="","",IFERROR(INDEX(games!$B$2:$B$950,MATCH(connections!$B34,games!$A$2:$A$950,0)),""))</f>
        <v>2025</v>
      </c>
      <c r="V34">
        <f t="shared" si="12"/>
        <v>35</v>
      </c>
    </row>
    <row r="35" spans="1:22" x14ac:dyDescent="0.25">
      <c r="A35" t="str">
        <f>IF(games!$A35="","",games!$A35)</f>
        <v>Archon Soul</v>
      </c>
      <c r="B35">
        <f>IF($A35="","",games!$B35)</f>
        <v>2026</v>
      </c>
      <c r="C35" t="str">
        <f>IF($A35="","",games!$C35)</f>
        <v>Deckbuilder</v>
      </c>
      <c r="D35">
        <f>IF($A35="","",COUNTIF(connections!$A$2:$A$1460,$A35)+COUNTIF(connections!$B$2:$B$1460,$A35))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1990</v>
      </c>
      <c r="U35">
        <f>IF(connections!$A35="","",IFERROR(INDEX(games!$B$2:$B$950,MATCH(connections!$B35,games!$A$2:$A$950,0)),""))</f>
        <v>1996</v>
      </c>
      <c r="V35">
        <f t="shared" si="12"/>
        <v>6</v>
      </c>
    </row>
    <row r="36" spans="1:22" x14ac:dyDescent="0.25">
      <c r="A36" t="str">
        <f>IF(games!$A36="","",games!$A36)</f>
        <v>Archons</v>
      </c>
      <c r="B36">
        <f>IF($A36="","",games!$B36)</f>
        <v>2024</v>
      </c>
      <c r="C36" t="str">
        <f>IF($A36="","",games!$C36)</f>
        <v>Action</v>
      </c>
      <c r="D36">
        <f>IF($A36="","",COUNTIF(connections!$A$2:$A$1460,$A36)+COUNTIF(connections!$B$2:$B$1460,$A36))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1990</v>
      </c>
      <c r="U36">
        <f>IF(connections!$A36="","",IFERROR(INDEX(games!$B$2:$B$950,MATCH(connections!$B36,games!$A$2:$A$950,0)),""))</f>
        <v>2010</v>
      </c>
      <c r="V36">
        <f t="shared" si="12"/>
        <v>20</v>
      </c>
    </row>
    <row r="37" spans="1:22" x14ac:dyDescent="0.25">
      <c r="A37" t="str">
        <f>IF(games!$A37="","",games!$A37)</f>
        <v>Arms of God</v>
      </c>
      <c r="B37">
        <f>IF($A37="","",games!$B37)</f>
        <v>2026</v>
      </c>
      <c r="C37" t="str">
        <f>IF($A37="","",games!$C37)</f>
        <v>Action</v>
      </c>
      <c r="D37">
        <f>IF($A37="","",COUNTIF(connections!$A$2:$A$1460,$A37)+COUNTIF(connections!$B$2:$B$1460,$A37))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1990</v>
      </c>
      <c r="U37">
        <f>IF(connections!$A37="","",IFERROR(INDEX(games!$B$2:$B$950,MATCH(connections!$B37,games!$A$2:$A$950,0)),""))</f>
        <v>2008</v>
      </c>
      <c r="V37">
        <f t="shared" si="12"/>
        <v>18</v>
      </c>
    </row>
    <row r="38" spans="1:22" x14ac:dyDescent="0.25">
      <c r="A38" t="str">
        <f>IF(games!$A38="","",games!$A38)</f>
        <v>Army of Ruin</v>
      </c>
      <c r="B38">
        <f>IF($A38="","",games!$B38)</f>
        <v>2022</v>
      </c>
      <c r="C38" t="str">
        <f>IF($A38="","",games!$C38)</f>
        <v>Action</v>
      </c>
      <c r="D38">
        <f>IF($A38="","",COUNTIF(connections!$A$2:$A$1460,$A38)+COUNTIF(connections!$B$2:$B$1460,$A38))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IF(connections!$A38="","",IFERROR(INDEX(games!$B$2:$B$950,MATCH(connections!$A38,games!$A$2:$A$950,0)),""))</f>
        <v>1990</v>
      </c>
      <c r="U38">
        <f>IF(connections!$A38="","",IFERROR(INDEX(games!$B$2:$B$950,MATCH(connections!$B38,games!$A$2:$A$950,0)),""))</f>
        <v>2007</v>
      </c>
      <c r="V38">
        <f t="shared" si="12"/>
        <v>17</v>
      </c>
    </row>
    <row r="39" spans="1:22" x14ac:dyDescent="0.25">
      <c r="A39" t="str">
        <f>IF(games!$A39="","",games!$A39)</f>
        <v>Arrogue</v>
      </c>
      <c r="B39">
        <f>IF($A39="","",games!$B39)</f>
        <v>2025</v>
      </c>
      <c r="C39" t="str">
        <f>IF($A39="","",games!$C39)</f>
        <v>Deckbuilder</v>
      </c>
      <c r="D39">
        <f>IF($A39="","",COUNTIF(connections!$A$2:$A$1460,$A39)+COUNTIF(connections!$B$2:$B$1460,$A39))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2011</v>
      </c>
      <c r="V39">
        <f t="shared" si="12"/>
        <v>21</v>
      </c>
    </row>
    <row r="40" spans="1:22" x14ac:dyDescent="0.25">
      <c r="A40" t="str">
        <f>IF(games!$A40="","",games!$A40)</f>
        <v>As We Descend</v>
      </c>
      <c r="B40">
        <f>IF($A40="","",games!$B40)</f>
        <v>2025</v>
      </c>
      <c r="C40" t="str">
        <f>IF($A40="","",games!$C40)</f>
        <v>Deckbuilder</v>
      </c>
      <c r="D40">
        <f>IF($A40="","",COUNTIF(connections!$A$2:$A$1460,$A40)+COUNTIF(connections!$B$2:$B$1460,$A40))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2006</v>
      </c>
      <c r="V40">
        <f t="shared" si="12"/>
        <v>16</v>
      </c>
    </row>
    <row r="41" spans="1:22" x14ac:dyDescent="0.25">
      <c r="A41" t="str">
        <f>IF(games!$A41="","",games!$A41)</f>
        <v>Asgard's Fall: Viking Survivors</v>
      </c>
      <c r="B41">
        <f>IF($A41="","",games!$B41)</f>
        <v>2025</v>
      </c>
      <c r="C41" t="str">
        <f>IF($A41="","",games!$C41)</f>
        <v>Action</v>
      </c>
      <c r="D41">
        <f>IF($A41="","",COUNTIF(connections!$A$2:$A$1460,$A41)+COUNTIF(connections!$B$2:$B$1460,$A41))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1990</v>
      </c>
      <c r="U41">
        <f>IF(connections!$A41="","",IFERROR(INDEX(games!$B$2:$B$950,MATCH(connections!$B41,games!$A$2:$A$950,0)),""))</f>
        <v>2003</v>
      </c>
      <c r="V41">
        <f t="shared" si="12"/>
        <v>13</v>
      </c>
    </row>
    <row r="42" spans="1:22" x14ac:dyDescent="0.25">
      <c r="A42" t="str">
        <f>IF(games!$A42="","",games!$A42)</f>
        <v>Asterogues</v>
      </c>
      <c r="B42">
        <f>IF($A42="","",games!$B42)</f>
        <v>2023</v>
      </c>
      <c r="C42" t="str">
        <f>IF($A42="","",games!$C42)</f>
        <v>Action</v>
      </c>
      <c r="D42">
        <f>IF($A42="","",COUNTIF(connections!$A$2:$A$1460,$A42)+COUNTIF(connections!$B$2:$B$1460,$A42))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1990</v>
      </c>
      <c r="U42">
        <f>IF(connections!$A42="","",IFERROR(INDEX(games!$B$2:$B$950,MATCH(connections!$B42,games!$A$2:$A$950,0)),""))</f>
        <v>2012</v>
      </c>
      <c r="V42">
        <f t="shared" si="12"/>
        <v>22</v>
      </c>
    </row>
    <row r="43" spans="1:22" x14ac:dyDescent="0.25">
      <c r="A43" t="str">
        <f>IF(games!$A43="","",games!$A43)</f>
        <v>Astral Ascent</v>
      </c>
      <c r="B43">
        <f>IF($A43="","",games!$B43)</f>
        <v>2022</v>
      </c>
      <c r="C43" t="str">
        <f>IF($A43="","",games!$C43)</f>
        <v>Action</v>
      </c>
      <c r="D43">
        <f>IF($A43="","",COUNTIF(connections!$A$2:$A$1460,$A43)+COUNTIF(connections!$B$2:$B$1460,$A43))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1990</v>
      </c>
      <c r="U43">
        <f>IF(connections!$A43="","",IFERROR(INDEX(games!$B$2:$B$950,MATCH(connections!$B43,games!$A$2:$A$950,0)),""))</f>
        <v>2014</v>
      </c>
      <c r="V43">
        <f t="shared" si="12"/>
        <v>24</v>
      </c>
    </row>
    <row r="44" spans="1:22" x14ac:dyDescent="0.25">
      <c r="A44" t="str">
        <f>IF(games!$A44="","",games!$A44)</f>
        <v>Astrea: Six-Sided Oracles</v>
      </c>
      <c r="B44">
        <f>IF($A44="","",games!$B44)</f>
        <v>2023</v>
      </c>
      <c r="C44" t="str">
        <f>IF($A44="","",games!$C44)</f>
        <v>Deckbuilder</v>
      </c>
      <c r="D44">
        <f>IF($A44="","",COUNTIF(connections!$A$2:$A$1460,$A44)+COUNTIF(connections!$B$2:$B$1460,$A44))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1990</v>
      </c>
      <c r="U44">
        <f>IF(connections!$A44="","",IFERROR(INDEX(games!$B$2:$B$950,MATCH(connections!$B44,games!$A$2:$A$950,0)),""))</f>
        <v>1994</v>
      </c>
      <c r="V44">
        <f t="shared" si="12"/>
        <v>4</v>
      </c>
    </row>
    <row r="45" spans="1:22" x14ac:dyDescent="0.25">
      <c r="A45" t="str">
        <f>IF(games!$A45="","",games!$A45)</f>
        <v>Astro Prospector</v>
      </c>
      <c r="B45">
        <f>IF($A45="","",games!$B45)</f>
        <v>2025</v>
      </c>
      <c r="C45" t="str">
        <f>IF($A45="","",games!$C45)</f>
        <v>Action</v>
      </c>
      <c r="D45">
        <f>IF($A45="","",COUNTIF(connections!$A$2:$A$1460,$A45)+COUNTIF(connections!$B$2:$B$1460,$A45))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1990</v>
      </c>
      <c r="U45">
        <f>IF(connections!$A45="","",IFERROR(INDEX(games!$B$2:$B$950,MATCH(connections!$B45,games!$A$2:$A$950,0)),""))</f>
        <v>2025</v>
      </c>
      <c r="V45">
        <f t="shared" si="12"/>
        <v>35</v>
      </c>
    </row>
    <row r="46" spans="1:22" x14ac:dyDescent="0.25">
      <c r="A46" t="str">
        <f>IF(games!$A46="","",games!$A46)</f>
        <v>Astronarch</v>
      </c>
      <c r="B46">
        <f>IF($A46="","",games!$B46)</f>
        <v>2020</v>
      </c>
      <c r="C46" t="str">
        <f>IF($A46="","",games!$C46)</f>
        <v>Strategy</v>
      </c>
      <c r="D46">
        <f>IF($A46="","",COUNTIF(connections!$A$2:$A$1460,$A46)+COUNTIF(connections!$B$2:$B$1460,$A46))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1990</v>
      </c>
      <c r="U46">
        <f>IF(connections!$A46="","",IFERROR(INDEX(games!$B$2:$B$950,MATCH(connections!$B46,games!$A$2:$A$950,0)),""))</f>
        <v>2022</v>
      </c>
      <c r="V46">
        <f t="shared" si="12"/>
        <v>32</v>
      </c>
    </row>
    <row r="47" spans="1:22" x14ac:dyDescent="0.25">
      <c r="A47" t="str">
        <f>IF(games!$A47="","",games!$A47)</f>
        <v>Atai no Gensoukyou</v>
      </c>
      <c r="B47">
        <f>IF($A47="","",games!$B47)</f>
        <v>2010</v>
      </c>
      <c r="C47" t="str">
        <f>IF($A47="","",games!$C47)</f>
        <v>Traditional</v>
      </c>
      <c r="D47">
        <f>IF($A47="","",COUNTIF(connections!$A$2:$A$1460,$A47)+COUNTIF(connections!$B$2:$B$1460,$A47))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2022</v>
      </c>
      <c r="U47">
        <f>IF(connections!$A47="","",IFERROR(INDEX(games!$B$2:$B$950,MATCH(connections!$B47,games!$A$2:$A$950,0)),""))</f>
        <v>2025</v>
      </c>
      <c r="V47">
        <f t="shared" si="12"/>
        <v>3</v>
      </c>
    </row>
    <row r="48" spans="1:22" x14ac:dyDescent="0.25">
      <c r="A48" t="str">
        <f>IF(games!$A48="","",games!$A48)</f>
        <v>Atomic Owl</v>
      </c>
      <c r="B48">
        <f>IF($A48="","",games!$B48)</f>
        <v>2025</v>
      </c>
      <c r="C48" t="str">
        <f>IF($A48="","",games!$C48)</f>
        <v>Action</v>
      </c>
      <c r="D48">
        <f>IF($A48="","",COUNTIF(connections!$A$2:$A$1460,$A48)+COUNTIF(connections!$B$2:$B$1460,$A48))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2020</v>
      </c>
      <c r="U48">
        <f>IF(connections!$A48="","",IFERROR(INDEX(games!$B$2:$B$950,MATCH(connections!$B48,games!$A$2:$A$950,0)),""))</f>
        <v>2024</v>
      </c>
      <c r="V48">
        <f t="shared" si="12"/>
        <v>4</v>
      </c>
    </row>
    <row r="49" spans="1:22" x14ac:dyDescent="0.25">
      <c r="A49" t="str">
        <f>IF(games!$A49="","",games!$A49)</f>
        <v>Atomicrops</v>
      </c>
      <c r="B49">
        <f>IF($A49="","",games!$B49)</f>
        <v>2020</v>
      </c>
      <c r="C49" t="str">
        <f>IF($A49="","",games!$C49)</f>
        <v>Action</v>
      </c>
      <c r="D49">
        <f>IF($A49="","",COUNTIF(connections!$A$2:$A$1460,$A49)+COUNTIF(connections!$B$2:$B$1460,$A49))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2020</v>
      </c>
      <c r="U49">
        <f>IF(connections!$A49="","",IFERROR(INDEX(games!$B$2:$B$950,MATCH(connections!$B49,games!$A$2:$A$950,0)),""))</f>
        <v>2024</v>
      </c>
      <c r="V49">
        <f t="shared" si="12"/>
        <v>4</v>
      </c>
    </row>
    <row r="50" spans="1:22" x14ac:dyDescent="0.25">
      <c r="A50" t="str">
        <f>IF(games!$A50="","",games!$A50)</f>
        <v>Auro: A Monster-Bumping Adventure</v>
      </c>
      <c r="B50">
        <f>IF($A50="","",games!$B50)</f>
        <v>2014</v>
      </c>
      <c r="C50" t="str">
        <f>IF($A50="","",games!$C50)</f>
        <v>Strategy</v>
      </c>
      <c r="D50">
        <f>IF($A50="","",COUNTIF(connections!$A$2:$A$1460,$A50)+COUNTIF(connections!$B$2:$B$1460,$A50))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2014</v>
      </c>
      <c r="U50">
        <f>IF(connections!$A50="","",IFERROR(INDEX(games!$B$2:$B$950,MATCH(connections!$B50,games!$A$2:$A$950,0)),""))</f>
        <v>2024</v>
      </c>
      <c r="V50">
        <f t="shared" si="12"/>
        <v>10</v>
      </c>
    </row>
    <row r="51" spans="1:22" x14ac:dyDescent="0.25">
      <c r="A51" t="str">
        <f>IF(games!$A51="","",games!$A51)</f>
        <v>Auto Rogue</v>
      </c>
      <c r="B51">
        <f>IF($A51="","",games!$B51)</f>
        <v>2025</v>
      </c>
      <c r="C51" t="str">
        <f>IF($A51="","",games!$C51)</f>
        <v>Strategy</v>
      </c>
      <c r="D51">
        <f>IF($A51="","",COUNTIF(connections!$A$2:$A$1460,$A51)+COUNTIF(connections!$B$2:$B$1460,$A51))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1997</v>
      </c>
      <c r="U51">
        <f>IF(connections!$A51="","",IFERROR(INDEX(games!$B$2:$B$950,MATCH(connections!$B51,games!$A$2:$A$950,0)),""))</f>
        <v>2017</v>
      </c>
      <c r="V51">
        <f t="shared" si="12"/>
        <v>20</v>
      </c>
    </row>
    <row r="52" spans="1:22" x14ac:dyDescent="0.25">
      <c r="A52" t="str">
        <f>IF(games!$A52="","",games!$A52)</f>
        <v>Azure Dreams</v>
      </c>
      <c r="B52">
        <f>IF($A52="","",games!$B52)</f>
        <v>1997</v>
      </c>
      <c r="C52" t="str">
        <f>IF($A52="","",games!$C52)</f>
        <v>Traditional</v>
      </c>
      <c r="D52">
        <f>IF($A52="","",COUNTIF(connections!$A$2:$A$1460,$A52)+COUNTIF(connections!$B$2:$B$1460,$A52))</f>
        <v>4</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4.0000520000000002</v>
      </c>
      <c r="P52" t="str">
        <f>IF(OR($A52="",games!$H52=""),"",games!$H52)</f>
        <v>Yes</v>
      </c>
      <c r="Q52">
        <f t="shared" si="11"/>
        <v>4.0000520000000002</v>
      </c>
      <c r="T52">
        <f>IF(connections!$A52="","",IFERROR(INDEX(games!$B$2:$B$950,MATCH(connections!$A52,games!$A$2:$A$950,0)),""))</f>
        <v>1997</v>
      </c>
      <c r="U52">
        <f>IF(connections!$A52="","",IFERROR(INDEX(games!$B$2:$B$950,MATCH(connections!$B52,games!$A$2:$A$950,0)),""))</f>
        <v>2021</v>
      </c>
      <c r="V52">
        <f t="shared" si="12"/>
        <v>24</v>
      </c>
    </row>
    <row r="53" spans="1:22" x14ac:dyDescent="0.25">
      <c r="A53" t="str">
        <f>IF(games!$A53="","",games!$A53)</f>
        <v>Backpack Battles</v>
      </c>
      <c r="B53">
        <f>IF($A53="","",games!$B53)</f>
        <v>2023</v>
      </c>
      <c r="C53" t="str">
        <f>IF($A53="","",games!$C53)</f>
        <v>Strategy</v>
      </c>
      <c r="D53">
        <f>IF($A53="","",COUNTIF(connections!$A$2:$A$1460,$A53)+COUNTIF(connections!$B$2:$B$1460,$A53))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1997</v>
      </c>
      <c r="U53">
        <f>IF(connections!$A53="","",IFERROR(INDEX(games!$B$2:$B$950,MATCH(connections!$B53,games!$A$2:$A$950,0)),""))</f>
        <v>2006</v>
      </c>
      <c r="V53">
        <f t="shared" si="12"/>
        <v>9</v>
      </c>
    </row>
    <row r="54" spans="1:22" x14ac:dyDescent="0.25">
      <c r="A54" t="str">
        <f>IF(games!$A54="","",games!$A54)</f>
        <v>Backpack Hero</v>
      </c>
      <c r="B54">
        <f>IF($A54="","",games!$B54)</f>
        <v>2022</v>
      </c>
      <c r="C54" t="str">
        <f>IF($A54="","",games!$C54)</f>
        <v>Deckbuilder</v>
      </c>
      <c r="D54">
        <f>IF($A54="","",COUNTIF(connections!$A$2:$A$1460,$A54)+COUNTIF(connections!$B$2:$B$1460,$A54))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Bad North</v>
      </c>
      <c r="B55">
        <f>IF($A55="","",games!$B55)</f>
        <v>2018</v>
      </c>
      <c r="C55" t="str">
        <f>IF($A55="","",games!$C55)</f>
        <v>Strategy</v>
      </c>
      <c r="D55">
        <f>IF($A55="","",COUNTIF(connections!$A$2:$A$1460,$A55)+COUNTIF(connections!$B$2:$B$1460,$A55))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Balatro</v>
      </c>
      <c r="B56">
        <f>IF($A56="","",games!$B56)</f>
        <v>2023</v>
      </c>
      <c r="C56" t="str">
        <f>IF($A56="","",games!$C56)</f>
        <v>Deckbuilder</v>
      </c>
      <c r="D56">
        <f>IF($A56="","",COUNTIF(connections!$A$2:$A$1460,$A56)+COUNTIF(connections!$B$2:$B$1460,$A56))</f>
        <v>60</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60.000056000000001</v>
      </c>
      <c r="P56" t="str">
        <f>IF(OR($A56="",games!$H56=""),"",games!$H56)</f>
        <v>Yes</v>
      </c>
      <c r="Q56">
        <f t="shared" si="11"/>
        <v>60.000056000000001</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Baldi's Basics Plus</v>
      </c>
      <c r="B57">
        <f>IF($A57="","",games!$B57)</f>
        <v>2020</v>
      </c>
      <c r="C57" t="str">
        <f>IF($A57="","",games!$C57)</f>
        <v>Strategy</v>
      </c>
      <c r="D57">
        <f>IF($A57="","",COUNTIF(connections!$A$2:$A$1460,$A57)+COUNTIF(connections!$B$2:$B$1460,$A57))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 x Pit</v>
      </c>
      <c r="B58">
        <f>IF($A58="","",games!$B58)</f>
        <v>2025</v>
      </c>
      <c r="C58" t="str">
        <f>IF($A58="","",games!$C58)</f>
        <v>Action</v>
      </c>
      <c r="D58">
        <f>IF($A58="","",COUNTIF(connections!$A$2:$A$1460,$A58)+COUNTIF(connections!$B$2:$B$1460,$A58))</f>
        <v>3</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2023</v>
      </c>
      <c r="U58">
        <f>IF(connections!$A58="","",IFERROR(INDEX(games!$B$2:$B$950,MATCH(connections!$B58,games!$A$2:$A$950,0)),""))</f>
        <v>2024</v>
      </c>
      <c r="V58">
        <f t="shared" si="12"/>
        <v>1</v>
      </c>
    </row>
    <row r="59" spans="1:22" x14ac:dyDescent="0.25">
      <c r="A59" t="str">
        <f>IF(games!$A59="","",games!$A59)</f>
        <v>Ballionaire</v>
      </c>
      <c r="B59">
        <f>IF($A59="","",games!$B59)</f>
        <v>2024</v>
      </c>
      <c r="C59" t="str">
        <f>IF($A59="","",games!$C59)</f>
        <v>Deckbuilder</v>
      </c>
      <c r="D59">
        <f>IF($A59="","",COUNTIF(connections!$A$2:$A$1460,$A59)+COUNTIF(connections!$B$2:$B$1460,$A59))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IF(connections!$A59="","",IFERROR(INDEX(games!$B$2:$B$950,MATCH(connections!$A59,games!$A$2:$A$950,0)),""))</f>
        <v>2023</v>
      </c>
      <c r="U59">
        <f>IF(connections!$A59="","",IFERROR(INDEX(games!$B$2:$B$950,MATCH(connections!$B59,games!$A$2:$A$950,0)),""))</f>
        <v>2025</v>
      </c>
      <c r="V59">
        <f t="shared" si="12"/>
        <v>2</v>
      </c>
    </row>
    <row r="60" spans="1:22" x14ac:dyDescent="0.25">
      <c r="A60" t="str">
        <f>IF(games!$A60="","",games!$A60)</f>
        <v>Banners of Ruin</v>
      </c>
      <c r="B60">
        <f>IF($A60="","",games!$B60)</f>
        <v>2020</v>
      </c>
      <c r="C60" t="str">
        <f>IF($A60="","",games!$C60)</f>
        <v>Deckbuilder</v>
      </c>
      <c r="D60">
        <f>IF($A60="","",COUNTIF(connections!$A$2:$A$1460,$A60)+COUNTIF(connections!$B$2:$B$1460,$A60))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2023</v>
      </c>
      <c r="U60">
        <f>IF(connections!$A60="","",IFERROR(INDEX(games!$B$2:$B$950,MATCH(connections!$B60,games!$A$2:$A$950,0)),""))</f>
        <v>2025</v>
      </c>
      <c r="V60">
        <f t="shared" si="12"/>
        <v>2</v>
      </c>
    </row>
    <row r="61" spans="1:22" x14ac:dyDescent="0.25">
      <c r="A61" t="str">
        <f>IF(games!$A61="","",games!$A61)</f>
        <v>Barda</v>
      </c>
      <c r="B61">
        <f>IF($A61="","",games!$B61)</f>
        <v>2026</v>
      </c>
      <c r="C61" t="str">
        <f>IF($A61="","",games!$C61)</f>
        <v>Strategy</v>
      </c>
      <c r="D61">
        <f>IF($A61="","",COUNTIF(connections!$A$2:$A$1460,$A61)+COUNTIF(connections!$B$2:$B$1460,$A61))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2023</v>
      </c>
      <c r="U61">
        <f>IF(connections!$A61="","",IFERROR(INDEX(games!$B$2:$B$950,MATCH(connections!$B61,games!$A$2:$A$950,0)),""))</f>
        <v>2026</v>
      </c>
      <c r="V61">
        <f t="shared" si="12"/>
        <v>3</v>
      </c>
    </row>
    <row r="62" spans="1:22" x14ac:dyDescent="0.25">
      <c r="A62" t="str">
        <f>IF(games!$A62="","",games!$A62)</f>
        <v>Barony</v>
      </c>
      <c r="B62">
        <f>IF($A62="","",games!$B62)</f>
        <v>2015</v>
      </c>
      <c r="C62" t="str">
        <f>IF($A62="","",games!$C62)</f>
        <v>Action</v>
      </c>
      <c r="D62">
        <f>IF($A62="","",COUNTIF(connections!$A$2:$A$1460,$A62)+COUNTIF(connections!$B$2:$B$1460,$A62))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2022</v>
      </c>
      <c r="U62">
        <f>IF(connections!$A62="","",IFERROR(INDEX(games!$B$2:$B$950,MATCH(connections!$B62,games!$A$2:$A$950,0)),""))</f>
        <v>2023</v>
      </c>
      <c r="V62">
        <f t="shared" si="12"/>
        <v>1</v>
      </c>
    </row>
    <row r="63" spans="1:22" x14ac:dyDescent="0.25">
      <c r="A63" t="str">
        <f>IF(games!$A63="","",games!$A63)</f>
        <v>Baroque</v>
      </c>
      <c r="B63">
        <f>IF($A63="","",games!$B63)</f>
        <v>1998</v>
      </c>
      <c r="C63" t="str">
        <f>IF($A63="","",games!$C63)</f>
        <v>Action</v>
      </c>
      <c r="D63">
        <f>IF($A63="","",COUNTIF(connections!$A$2:$A$1460,$A63)+COUNTIF(connections!$B$2:$B$1460,$A63))</f>
        <v>5</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5.0000629999999999</v>
      </c>
      <c r="P63" t="str">
        <f>IF(OR($A63="",games!$H63=""),"",games!$H63)</f>
        <v/>
      </c>
      <c r="Q63" t="str">
        <f t="shared" si="11"/>
        <v/>
      </c>
      <c r="T63">
        <f>IF(connections!$A63="","",IFERROR(INDEX(games!$B$2:$B$950,MATCH(connections!$A63,games!$A$2:$A$950,0)),""))</f>
        <v>2022</v>
      </c>
      <c r="U63">
        <f>IF(connections!$A63="","",IFERROR(INDEX(games!$B$2:$B$950,MATCH(connections!$B63,games!$A$2:$A$950,0)),""))</f>
        <v>2026</v>
      </c>
      <c r="V63">
        <f t="shared" si="12"/>
        <v>4</v>
      </c>
    </row>
    <row r="64" spans="1:22" x14ac:dyDescent="0.25">
      <c r="A64" t="str">
        <f>IF(games!$A64="","",games!$A64)</f>
        <v>Baroque (2007)</v>
      </c>
      <c r="B64">
        <f>IF($A64="","",games!$B64)</f>
        <v>2007</v>
      </c>
      <c r="C64" t="str">
        <f>IF($A64="","",games!$C64)</f>
        <v>Action</v>
      </c>
      <c r="D64">
        <f>IF($A64="","",COUNTIF(connections!$A$2:$A$1460,$A64)+COUNTIF(connections!$B$2:$B$1460,$A64))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2022</v>
      </c>
      <c r="U64">
        <f>IF(connections!$A64="","",IFERROR(INDEX(games!$B$2:$B$950,MATCH(connections!$B64,games!$A$2:$A$950,0)),""))</f>
        <v>2024</v>
      </c>
      <c r="V64">
        <f t="shared" si="12"/>
        <v>2</v>
      </c>
    </row>
    <row r="65" spans="1:22" x14ac:dyDescent="0.25">
      <c r="A65" t="str">
        <f>IF(games!$A65="","",games!$A65)</f>
        <v>Batomon Showdown</v>
      </c>
      <c r="B65">
        <f>IF($A65="","",games!$B65)</f>
        <v>2026</v>
      </c>
      <c r="C65" t="str">
        <f>IF($A65="","",games!$C65)</f>
        <v>Strategy</v>
      </c>
      <c r="D65">
        <f>IF($A65="","",COUNTIF(connections!$A$2:$A$1460,$A65)+COUNTIF(connections!$B$2:$B$1460,$A65))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2022</v>
      </c>
      <c r="U65">
        <f>IF(connections!$A65="","",IFERROR(INDEX(games!$B$2:$B$950,MATCH(connections!$B65,games!$A$2:$A$950,0)),""))</f>
        <v>2023</v>
      </c>
      <c r="V65">
        <f t="shared" si="12"/>
        <v>1</v>
      </c>
    </row>
    <row r="66" spans="1:22" x14ac:dyDescent="0.25">
      <c r="A66" t="str">
        <f>IF(games!$A66="","",games!$A66)</f>
        <v>Battle Brothers</v>
      </c>
      <c r="B66">
        <f>IF($A66="","",games!$B66)</f>
        <v>2017</v>
      </c>
      <c r="C66" t="str">
        <f>IF($A66="","",games!$C66)</f>
        <v>Strategy</v>
      </c>
      <c r="D66">
        <f>IF($A66="","",COUNTIF(connections!$A$2:$A$1460,$A66)+COUNTIF(connections!$B$2:$B$1460,$A66))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2022</v>
      </c>
      <c r="U66">
        <f>IF(connections!$A66="","",IFERROR(INDEX(games!$B$2:$B$950,MATCH(connections!$B66,games!$A$2:$A$950,0)),""))</f>
        <v>2024</v>
      </c>
      <c r="V66">
        <f t="shared" ref="V66:V129" si="25">IF(OR($T66="",$U66=""),"",$U66-$T66)</f>
        <v>2</v>
      </c>
    </row>
    <row r="67" spans="1:22" x14ac:dyDescent="0.25">
      <c r="A67" t="str">
        <f>IF(games!$A67="","",games!$A67)</f>
        <v>Battle Shapers</v>
      </c>
      <c r="B67">
        <f>IF($A67="","",games!$B67)</f>
        <v>2023</v>
      </c>
      <c r="C67" t="str">
        <f>IF($A67="","",games!$C67)</f>
        <v>Action</v>
      </c>
      <c r="D67">
        <f>IF($A67="","",COUNTIF(connections!$A$2:$A$1460,$A67)+COUNTIF(connections!$B$2:$B$1460,$A67))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2022</v>
      </c>
      <c r="U67">
        <f>IF(connections!$A67="","",IFERROR(INDEX(games!$B$2:$B$950,MATCH(connections!$B67,games!$A$2:$A$950,0)),""))</f>
        <v>2024</v>
      </c>
      <c r="V67">
        <f t="shared" si="25"/>
        <v>2</v>
      </c>
    </row>
    <row r="68" spans="1:22" x14ac:dyDescent="0.25">
      <c r="A68" t="str">
        <f>IF(games!$A68="","",games!$A68)</f>
        <v>BAZR</v>
      </c>
      <c r="B68">
        <f>IF($A68="","",games!$B68)</f>
        <v>2025</v>
      </c>
      <c r="C68" t="str">
        <f>IF($A68="","",games!$C68)</f>
        <v>Deckbuilder</v>
      </c>
      <c r="D68">
        <f>IF($A68="","",COUNTIF(connections!$A$2:$A$1460,$A68)+COUNTIF(connections!$B$2:$B$1460,$A68))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2022</v>
      </c>
      <c r="U68">
        <f>IF(connections!$A68="","",IFERROR(INDEX(games!$B$2:$B$950,MATCH(connections!$B68,games!$A$2:$A$950,0)),""))</f>
        <v>2024</v>
      </c>
      <c r="V68">
        <f t="shared" si="25"/>
        <v>2</v>
      </c>
    </row>
    <row r="69" spans="1:22" x14ac:dyDescent="0.25">
      <c r="A69" t="str">
        <f>IF(games!$A69="","",games!$A69)</f>
        <v>Be My Horde</v>
      </c>
      <c r="B69">
        <f>IF($A69="","",games!$B69)</f>
        <v>2024</v>
      </c>
      <c r="C69" t="str">
        <f>IF($A69="","",games!$C69)</f>
        <v>Action</v>
      </c>
      <c r="D69">
        <f>IF($A69="","",COUNTIF(connections!$A$2:$A$1460,$A69)+COUNTIF(connections!$B$2:$B$1460,$A69))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2018</v>
      </c>
      <c r="U69">
        <f>IF(connections!$A69="","",IFERROR(INDEX(games!$B$2:$B$950,MATCH(connections!$B69,games!$A$2:$A$950,0)),""))</f>
        <v>2026</v>
      </c>
      <c r="V69">
        <f t="shared" si="25"/>
        <v>8</v>
      </c>
    </row>
    <row r="70" spans="1:22" x14ac:dyDescent="0.25">
      <c r="A70" t="str">
        <f>IF(games!$A70="","",games!$A70)</f>
        <v>Beat Blast</v>
      </c>
      <c r="B70">
        <f>IF($A70="","",games!$B70)</f>
        <v>2020</v>
      </c>
      <c r="C70" t="str">
        <f>IF($A70="","",games!$C70)</f>
        <v>Action</v>
      </c>
      <c r="D70">
        <f>IF($A70="","",COUNTIF(connections!$A$2:$A$1460,$A70)+COUNTIF(connections!$B$2:$B$1460,$A70))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2018</v>
      </c>
      <c r="U70">
        <f>IF(connections!$A70="","",IFERROR(INDEX(games!$B$2:$B$950,MATCH(connections!$B70,games!$A$2:$A$950,0)),""))</f>
        <v>2026</v>
      </c>
      <c r="V70">
        <f t="shared" si="25"/>
        <v>8</v>
      </c>
    </row>
    <row r="71" spans="1:22" x14ac:dyDescent="0.25">
      <c r="A71" t="str">
        <f>IF(games!$A71="","",games!$A71)</f>
        <v>Bella Wants Blood</v>
      </c>
      <c r="B71">
        <f>IF($A71="","",games!$B71)</f>
        <v>2024</v>
      </c>
      <c r="C71" t="str">
        <f>IF($A71="","",games!$C71)</f>
        <v>Strategy</v>
      </c>
      <c r="D71">
        <f>IF($A71="","",COUNTIF(connections!$A$2:$A$1460,$A71)+COUNTIF(connections!$B$2:$B$1460,$A71))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2024</v>
      </c>
      <c r="V71">
        <f t="shared" si="25"/>
        <v>1</v>
      </c>
    </row>
    <row r="72" spans="1:22" x14ac:dyDescent="0.25">
      <c r="A72" t="str">
        <f>IF(games!$A72="","",games!$A72)</f>
        <v>Beneath Apple Manor</v>
      </c>
      <c r="B72">
        <f>IF($A72="","",games!$B72)</f>
        <v>1978</v>
      </c>
      <c r="C72" t="str">
        <f>IF($A72="","",games!$C72)</f>
        <v>Traditional</v>
      </c>
      <c r="D72">
        <f>IF($A72="","",COUNTIF(connections!$A$2:$A$1460,$A72)+COUNTIF(connections!$B$2:$B$1460,$A72))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Beneath Oresa</v>
      </c>
      <c r="B73">
        <f>IF($A73="","",games!$B73)</f>
        <v>2022</v>
      </c>
      <c r="C73" t="str">
        <f>IF($A73="","",games!$C73)</f>
        <v>Deckbuilder</v>
      </c>
      <c r="D73">
        <f>IF($A73="","",COUNTIF(connections!$A$2:$A$1460,$A73)+COUNTIF(connections!$B$2:$B$1460,$A73))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Beyond the Long Night</v>
      </c>
      <c r="B74">
        <f>IF($A74="","",games!$B74)</f>
        <v>2023</v>
      </c>
      <c r="C74" t="str">
        <f>IF($A74="","",games!$C74)</f>
        <v>Action</v>
      </c>
      <c r="D74">
        <f>IF($A74="","",COUNTIF(connections!$A$2:$A$1460,$A74)+COUNTIF(connections!$B$2:$B$1460,$A74))</f>
        <v>2</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2.0000740000000001</v>
      </c>
      <c r="P74" t="str">
        <f>IF(OR($A74="",games!$H74=""),"",games!$H74)</f>
        <v>Yes</v>
      </c>
      <c r="Q74">
        <f t="shared" si="24"/>
        <v>2.0000740000000001</v>
      </c>
      <c r="T74">
        <f>IF(connections!$A74="","",IFERROR(INDEX(games!$B$2:$B$950,MATCH(connections!$A74,games!$A$2:$A$950,0)),""))</f>
        <v>2023</v>
      </c>
      <c r="U74">
        <f>IF(connections!$A74="","",IFERROR(INDEX(games!$B$2:$B$950,MATCH(connections!$B74,games!$A$2:$A$950,0)),""))</f>
        <v>2024</v>
      </c>
      <c r="V74">
        <f t="shared" si="25"/>
        <v>1</v>
      </c>
    </row>
    <row r="75" spans="1:22" x14ac:dyDescent="0.25">
      <c r="A75" t="str">
        <f>IF(games!$A75="","",games!$A75)</f>
        <v>Beyond Words</v>
      </c>
      <c r="B75">
        <f>IF($A75="","",games!$B75)</f>
        <v>2026</v>
      </c>
      <c r="C75" t="str">
        <f>IF($A75="","",games!$C75)</f>
        <v>Deckbuilder</v>
      </c>
      <c r="D75">
        <f>IF($A75="","",COUNTIF(connections!$A$2:$A$1460,$A75)+COUNTIF(connections!$B$2:$B$1460,$A75))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Bingle Bingle</v>
      </c>
      <c r="B76">
        <f>IF($A76="","",games!$B76)</f>
        <v>2024</v>
      </c>
      <c r="C76" t="str">
        <f>IF($A76="","",games!$C76)</f>
        <v>Deckbuilder</v>
      </c>
      <c r="D76">
        <f>IF($A76="","",COUNTIF(connections!$A$2:$A$1460,$A76)+COUNTIF(connections!$B$2:$B$1460,$A76))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2025</v>
      </c>
      <c r="V76">
        <f t="shared" si="25"/>
        <v>2</v>
      </c>
    </row>
    <row r="77" spans="1:22" x14ac:dyDescent="0.25">
      <c r="A77" t="str">
        <f>IF(games!$A77="","",games!$A77)</f>
        <v>Bioprototype</v>
      </c>
      <c r="B77">
        <f>IF($A77="","",games!$B77)</f>
        <v>2022</v>
      </c>
      <c r="C77" t="str">
        <f>IF($A77="","",games!$C77)</f>
        <v>Action</v>
      </c>
      <c r="D77">
        <f>IF($A77="","",COUNTIF(connections!$A$2:$A$1460,$A77)+COUNTIF(connections!$B$2:$B$1460,$A77))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2023</v>
      </c>
      <c r="U77">
        <f>IF(connections!$A77="","",IFERROR(INDEX(games!$B$2:$B$950,MATCH(connections!$B77,games!$A$2:$A$950,0)),""))</f>
        <v>2026</v>
      </c>
      <c r="V77">
        <f t="shared" si="25"/>
        <v>3</v>
      </c>
    </row>
    <row r="78" spans="1:22" x14ac:dyDescent="0.25">
      <c r="A78" t="str">
        <f>IF(games!$A78="","",games!$A78)</f>
        <v>Black Jacket</v>
      </c>
      <c r="B78">
        <f>IF($A78="","",games!$B78)</f>
        <v>2026</v>
      </c>
      <c r="C78" t="str">
        <f>IF($A78="","",games!$C78)</f>
        <v>Deckbuilder</v>
      </c>
      <c r="D78">
        <f>IF($A78="","",COUNTIF(connections!$A$2:$A$1460,$A78)+COUNTIF(connections!$B$2:$B$1460,$A78))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Blazing Beaks</v>
      </c>
      <c r="B79">
        <f>IF($A79="","",games!$B79)</f>
        <v>2019</v>
      </c>
      <c r="C79" t="str">
        <f>IF($A79="","",games!$C79)</f>
        <v>Action</v>
      </c>
      <c r="D79">
        <f>IF($A79="","",COUNTIF(connections!$A$2:$A$1460,$A79)+COUNTIF(connections!$B$2:$B$1460,$A79))</f>
        <v>3</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3.0000789999999999</v>
      </c>
      <c r="P79" t="str">
        <f>IF(OR($A79="",games!$H79=""),"",games!$H79)</f>
        <v>Yes</v>
      </c>
      <c r="Q79">
        <f t="shared" si="24"/>
        <v>3.0000789999999999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Bleak Sword</v>
      </c>
      <c r="B80">
        <f>IF($A80="","",games!$B80)</f>
        <v>2019</v>
      </c>
      <c r="C80" t="str">
        <f>IF($A80="","",games!$C80)</f>
        <v>Action</v>
      </c>
      <c r="D80">
        <f>IF($A80="","",COUNTIF(connections!$A$2:$A$1460,$A80)+COUNTIF(connections!$B$2:$B$1460,$A80))</f>
        <v>1</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2026</v>
      </c>
      <c r="V80">
        <f t="shared" si="25"/>
        <v>3</v>
      </c>
    </row>
    <row r="81" spans="1:22" x14ac:dyDescent="0.25">
      <c r="A81" t="str">
        <f>IF(games!$A81="","",games!$A81)</f>
        <v>Block Tower TD</v>
      </c>
      <c r="B81">
        <f>IF($A81="","",games!$B81)</f>
        <v>2023</v>
      </c>
      <c r="C81" t="str">
        <f>IF($A81="","",games!$C81)</f>
        <v>Strategy</v>
      </c>
      <c r="D81">
        <f>IF($A81="","",COUNTIF(connections!$A$2:$A$1460,$A81)+COUNTIF(connections!$B$2:$B$1460,$A81))</f>
        <v>1</v>
      </c>
      <c r="E81">
        <f t="shared" si="13"/>
        <v>2</v>
      </c>
      <c r="F81">
        <f t="shared" si="14"/>
        <v>13</v>
      </c>
      <c r="G81" t="e">
        <f t="shared" si="15"/>
        <v>#N/A</v>
      </c>
      <c r="H81" t="e">
        <f t="shared" si="16"/>
        <v>#N/A</v>
      </c>
      <c r="I81">
        <f t="shared" si="17"/>
        <v>2023</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Block Tower TD 2</v>
      </c>
      <c r="B82">
        <f>IF($A82="","",games!$B82)</f>
        <v>2024</v>
      </c>
      <c r="C82" t="str">
        <f>IF($A82="","",games!$C82)</f>
        <v>Strategy</v>
      </c>
      <c r="D82">
        <f>IF($A82="","",COUNTIF(connections!$A$2:$A$1460,$A82)+COUNTIF(connections!$B$2:$B$1460,$A82))</f>
        <v>1</v>
      </c>
      <c r="E82">
        <f t="shared" si="13"/>
        <v>2</v>
      </c>
      <c r="F82">
        <f t="shared" si="14"/>
        <v>14</v>
      </c>
      <c r="G82" t="e">
        <f t="shared" si="15"/>
        <v>#N/A</v>
      </c>
      <c r="H82" t="e">
        <f t="shared" si="16"/>
        <v>#N/A</v>
      </c>
      <c r="I82">
        <f t="shared" si="17"/>
        <v>2024</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BloodDome99</v>
      </c>
      <c r="B83">
        <f>IF($A83="","",games!$B83)</f>
        <v>2023</v>
      </c>
      <c r="C83" t="str">
        <f>IF($A83="","",games!$C83)</f>
        <v>Action</v>
      </c>
      <c r="D83">
        <f>IF($A83="","",COUNTIF(connections!$A$2:$A$1460,$A83)+COUNTIF(connections!$B$2:$B$1460,$A83))</f>
        <v>2</v>
      </c>
      <c r="E83">
        <f t="shared" si="13"/>
        <v>1</v>
      </c>
      <c r="F83">
        <f t="shared" si="14"/>
        <v>15</v>
      </c>
      <c r="G83">
        <f t="shared" si="15"/>
        <v>2023</v>
      </c>
      <c r="H83">
        <f t="shared" si="16"/>
        <v>1.345</v>
      </c>
      <c r="I83" t="e">
        <f t="shared" si="17"/>
        <v>#N/A</v>
      </c>
      <c r="J83" t="e">
        <f t="shared" si="18"/>
        <v>#N/A</v>
      </c>
      <c r="K83" t="e">
        <f t="shared" si="19"/>
        <v>#N/A</v>
      </c>
      <c r="L83" t="e">
        <f t="shared" si="20"/>
        <v>#N/A</v>
      </c>
      <c r="M83" t="e">
        <f t="shared" si="21"/>
        <v>#N/A</v>
      </c>
      <c r="N83" t="e">
        <f t="shared" si="22"/>
        <v>#N/A</v>
      </c>
      <c r="O83">
        <f t="shared" si="23"/>
        <v>2.0000830000000001</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Bloodshed</v>
      </c>
      <c r="B84">
        <f>IF($A84="","",games!$B84)</f>
        <v>2024</v>
      </c>
      <c r="C84" t="str">
        <f>IF($A84="","",games!$C84)</f>
        <v>Action</v>
      </c>
      <c r="D84">
        <f>IF($A84="","",COUNTIF(connections!$A$2:$A$1460,$A84)+COUNTIF(connections!$B$2:$B$1460,$A84))</f>
        <v>1</v>
      </c>
      <c r="E84">
        <f t="shared" si="13"/>
        <v>1</v>
      </c>
      <c r="F84">
        <f t="shared" si="14"/>
        <v>16</v>
      </c>
      <c r="G84">
        <f t="shared" si="15"/>
        <v>2024</v>
      </c>
      <c r="H84">
        <f t="shared" si="16"/>
        <v>1.3679999999999999</v>
      </c>
      <c r="I84" t="e">
        <f t="shared" si="17"/>
        <v>#N/A</v>
      </c>
      <c r="J84" t="e">
        <f t="shared" si="18"/>
        <v>#N/A</v>
      </c>
      <c r="K84" t="e">
        <f t="shared" si="19"/>
        <v>#N/A</v>
      </c>
      <c r="L84" t="e">
        <f t="shared" si="20"/>
        <v>#N/A</v>
      </c>
      <c r="M84" t="e">
        <f t="shared" si="21"/>
        <v>#N/A</v>
      </c>
      <c r="N84" t="e">
        <f t="shared" si="22"/>
        <v>#N/A</v>
      </c>
      <c r="O84">
        <f t="shared" si="23"/>
        <v>1.000084</v>
      </c>
      <c r="P84" t="str">
        <f>IF(OR($A84="",games!$H84=""),"",games!$H84)</f>
        <v>Yes</v>
      </c>
      <c r="Q84">
        <f t="shared" si="24"/>
        <v>1.000084</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Bloons TD 6: Rogue Legends</v>
      </c>
      <c r="B85">
        <f>IF($A85="","",games!$B85)</f>
        <v>2025</v>
      </c>
      <c r="C85" t="str">
        <f>IF($A85="","",games!$C85)</f>
        <v>Strategy</v>
      </c>
      <c r="D85">
        <f>IF($A85="","",COUNTIF(connections!$A$2:$A$1460,$A85)+COUNTIF(connections!$B$2:$B$1460,$A85))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Blue Prince</v>
      </c>
      <c r="B86">
        <f>IF($A86="","",games!$B86)</f>
        <v>2025</v>
      </c>
      <c r="C86" t="str">
        <f>IF($A86="","",games!$C86)</f>
        <v>Strategy</v>
      </c>
      <c r="D86">
        <f>IF($A86="","",COUNTIF(connections!$A$2:$A$1460,$A86)+COUNTIF(connections!$B$2:$B$1460,$A86))</f>
        <v>0</v>
      </c>
      <c r="E86">
        <f t="shared" si="13"/>
        <v>2</v>
      </c>
      <c r="F86">
        <f t="shared" si="14"/>
        <v>18</v>
      </c>
      <c r="G86" t="e">
        <f t="shared" si="15"/>
        <v>#N/A</v>
      </c>
      <c r="H86" t="e">
        <f t="shared" si="16"/>
        <v>#N/A</v>
      </c>
      <c r="I86">
        <f t="shared" si="17"/>
        <v>2025</v>
      </c>
      <c r="J86">
        <f t="shared" si="18"/>
        <v>2.4140000000000001</v>
      </c>
      <c r="K86" t="e">
        <f t="shared" si="19"/>
        <v>#N/A</v>
      </c>
      <c r="L86" t="e">
        <f t="shared" si="20"/>
        <v>#N/A</v>
      </c>
      <c r="M86" t="e">
        <f t="shared" si="21"/>
        <v>#N/A</v>
      </c>
      <c r="N86" t="e">
        <f t="shared" si="22"/>
        <v>#N/A</v>
      </c>
      <c r="O86">
        <f t="shared" si="23"/>
        <v>8.6000000000000003E-5</v>
      </c>
      <c r="P86" t="str">
        <f>IF(OR($A86="",games!$H86=""),"",games!$H86)</f>
        <v/>
      </c>
      <c r="Q86" t="str">
        <f t="shared" si="24"/>
        <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Boneraiser Minions</v>
      </c>
      <c r="B87">
        <f>IF($A87="","",games!$B87)</f>
        <v>2022</v>
      </c>
      <c r="C87" t="str">
        <f>IF($A87="","",games!$C87)</f>
        <v>Action</v>
      </c>
      <c r="D87">
        <f>IF($A87="","",COUNTIF(connections!$A$2:$A$1460,$A87)+COUNTIF(connections!$B$2:$B$1460,$A87))</f>
        <v>5</v>
      </c>
      <c r="E87">
        <f t="shared" si="13"/>
        <v>1</v>
      </c>
      <c r="F87">
        <f t="shared" si="14"/>
        <v>19</v>
      </c>
      <c r="G87">
        <f t="shared" si="15"/>
        <v>2022</v>
      </c>
      <c r="H87">
        <f t="shared" si="16"/>
        <v>1.4370000000000001</v>
      </c>
      <c r="I87" t="e">
        <f t="shared" si="17"/>
        <v>#N/A</v>
      </c>
      <c r="J87" t="e">
        <f t="shared" si="18"/>
        <v>#N/A</v>
      </c>
      <c r="K87" t="e">
        <f t="shared" si="19"/>
        <v>#N/A</v>
      </c>
      <c r="L87" t="e">
        <f t="shared" si="20"/>
        <v>#N/A</v>
      </c>
      <c r="M87" t="e">
        <f t="shared" si="21"/>
        <v>#N/A</v>
      </c>
      <c r="N87" t="e">
        <f t="shared" si="22"/>
        <v>#N/A</v>
      </c>
      <c r="O87">
        <f t="shared" si="23"/>
        <v>5.0000869999999997</v>
      </c>
      <c r="P87" t="str">
        <f>IF(OR($A87="",games!$H87=""),"",games!$H87)</f>
        <v>Yes</v>
      </c>
      <c r="Q87">
        <f t="shared" si="24"/>
        <v>5.0000869999999997</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Book of Demons</v>
      </c>
      <c r="B88">
        <f>IF($A88="","",games!$B88)</f>
        <v>2018</v>
      </c>
      <c r="C88" t="str">
        <f>IF($A88="","",games!$C88)</f>
        <v>Deckbuilder</v>
      </c>
      <c r="D88">
        <f>IF($A88="","",COUNTIF(connections!$A$2:$A$1460,$A88)+COUNTIF(connections!$B$2:$B$1460,$A88))</f>
        <v>2</v>
      </c>
      <c r="E88">
        <f t="shared" si="13"/>
        <v>3</v>
      </c>
      <c r="F88">
        <f t="shared" si="14"/>
        <v>20</v>
      </c>
      <c r="G88" t="e">
        <f t="shared" si="15"/>
        <v>#N/A</v>
      </c>
      <c r="H88" t="e">
        <f t="shared" si="16"/>
        <v>#N/A</v>
      </c>
      <c r="I88" t="e">
        <f t="shared" si="17"/>
        <v>#N/A</v>
      </c>
      <c r="J88" t="e">
        <f t="shared" si="18"/>
        <v>#N/A</v>
      </c>
      <c r="K88">
        <f t="shared" si="19"/>
        <v>2018</v>
      </c>
      <c r="L88">
        <f t="shared" si="20"/>
        <v>3.46</v>
      </c>
      <c r="M88" t="e">
        <f t="shared" si="21"/>
        <v>#N/A</v>
      </c>
      <c r="N88" t="e">
        <f t="shared" si="22"/>
        <v>#N/A</v>
      </c>
      <c r="O88">
        <f t="shared" si="23"/>
        <v>2.0000879999999999</v>
      </c>
      <c r="P88" t="str">
        <f>IF(OR($A88="",games!$H88=""),"",games!$H88)</f>
        <v/>
      </c>
      <c r="Q88" t="str">
        <f t="shared" si="24"/>
        <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Bounty of One</v>
      </c>
      <c r="B89">
        <f>IF($A89="","",games!$B89)</f>
        <v>2022</v>
      </c>
      <c r="C89" t="str">
        <f>IF($A89="","",games!$C89)</f>
        <v>Action</v>
      </c>
      <c r="D89">
        <f>IF($A89="","",COUNTIF(connections!$A$2:$A$1460,$A89)+COUNTIF(connections!$B$2:$B$1460,$A89))</f>
        <v>3</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3.000089</v>
      </c>
      <c r="P89" t="str">
        <f>IF(OR($A89="",games!$H89=""),"",games!$H89)</f>
        <v>Yes</v>
      </c>
      <c r="Q89">
        <f t="shared" si="24"/>
        <v>3.000089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Boyfriend Dungeon</v>
      </c>
      <c r="B90">
        <f>IF($A90="","",games!$B90)</f>
        <v>2021</v>
      </c>
      <c r="C90" t="str">
        <f>IF($A90="","",games!$C90)</f>
        <v>Action</v>
      </c>
      <c r="D90">
        <f>IF($A90="","",COUNTIF(connections!$A$2:$A$1460,$A90)+COUNTIF(connections!$B$2:$B$1460,$A90))</f>
        <v>1</v>
      </c>
      <c r="E90">
        <f t="shared" si="13"/>
        <v>1</v>
      </c>
      <c r="F90">
        <f t="shared" si="14"/>
        <v>22</v>
      </c>
      <c r="G90">
        <f t="shared" si="15"/>
        <v>2021</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BPM: Bullets Per Minute</v>
      </c>
      <c r="B91">
        <f>IF($A91="","",games!$B91)</f>
        <v>2020</v>
      </c>
      <c r="C91" t="str">
        <f>IF($A91="","",games!$C91)</f>
        <v>Action</v>
      </c>
      <c r="D91">
        <f>IF($A91="","",COUNTIF(connections!$A$2:$A$1460,$A91)+COUNTIF(connections!$B$2:$B$1460,$A91))</f>
        <v>1</v>
      </c>
      <c r="E91">
        <f t="shared" si="13"/>
        <v>1</v>
      </c>
      <c r="F91">
        <f t="shared" si="14"/>
        <v>23</v>
      </c>
      <c r="G91">
        <f t="shared" si="15"/>
        <v>2020</v>
      </c>
      <c r="H91">
        <f t="shared" si="16"/>
        <v>1.5289999999999999</v>
      </c>
      <c r="I91" t="e">
        <f t="shared" si="17"/>
        <v>#N/A</v>
      </c>
      <c r="J91" t="e">
        <f t="shared" si="18"/>
        <v>#N/A</v>
      </c>
      <c r="K91" t="e">
        <f t="shared" si="19"/>
        <v>#N/A</v>
      </c>
      <c r="L91" t="e">
        <f t="shared" si="20"/>
        <v>#N/A</v>
      </c>
      <c r="M91" t="e">
        <f t="shared" si="21"/>
        <v>#N/A</v>
      </c>
      <c r="N91" t="e">
        <f t="shared" si="22"/>
        <v>#N/A</v>
      </c>
      <c r="O91">
        <f t="shared" si="23"/>
        <v>1.0000910000000001</v>
      </c>
      <c r="P91" t="str">
        <f>IF(OR($A91="",games!$H91=""),"",games!$H91)</f>
        <v>Yes</v>
      </c>
      <c r="Q91">
        <f t="shared" si="24"/>
        <v>1.0000910000000001</v>
      </c>
      <c r="T91">
        <f>IF(connections!$A91="","",IFERROR(INDEX(games!$B$2:$B$950,MATCH(connections!$A91,games!$A$2:$A$950,0)),""))</f>
        <v>2023</v>
      </c>
      <c r="U91">
        <f>IF(connections!$A91="","",IFERROR(INDEX(games!$B$2:$B$950,MATCH(connections!$B91,games!$A$2:$A$950,0)),""))</f>
        <v>2025</v>
      </c>
      <c r="V91">
        <f t="shared" si="25"/>
        <v>2</v>
      </c>
    </row>
    <row r="92" spans="1:22" x14ac:dyDescent="0.25">
      <c r="A92" t="str">
        <f>IF(games!$A92="","",games!$A92)</f>
        <v>Brawl Tactics: Origins</v>
      </c>
      <c r="B92">
        <f>IF($A92="","",games!$B92)</f>
        <v>2023</v>
      </c>
      <c r="C92" t="str">
        <f>IF($A92="","",games!$C92)</f>
        <v>Deckbuilder</v>
      </c>
      <c r="D92">
        <f>IF($A92="","",COUNTIF(connections!$A$2:$A$1460,$A92)+COUNTIF(connections!$B$2:$B$1460,$A92))</f>
        <v>2</v>
      </c>
      <c r="E92">
        <f t="shared" si="13"/>
        <v>3</v>
      </c>
      <c r="F92">
        <f t="shared" si="14"/>
        <v>24</v>
      </c>
      <c r="G92" t="e">
        <f t="shared" si="15"/>
        <v>#N/A</v>
      </c>
      <c r="H92" t="e">
        <f t="shared" si="16"/>
        <v>#N/A</v>
      </c>
      <c r="I92" t="e">
        <f t="shared" si="17"/>
        <v>#N/A</v>
      </c>
      <c r="J92" t="e">
        <f t="shared" si="18"/>
        <v>#N/A</v>
      </c>
      <c r="K92">
        <f t="shared" si="19"/>
        <v>2023</v>
      </c>
      <c r="L92">
        <f t="shared" si="20"/>
        <v>3.552</v>
      </c>
      <c r="M92" t="e">
        <f t="shared" si="21"/>
        <v>#N/A</v>
      </c>
      <c r="N92" t="e">
        <f t="shared" si="22"/>
        <v>#N/A</v>
      </c>
      <c r="O92">
        <f t="shared" si="23"/>
        <v>2.000092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Breach Wanderers</v>
      </c>
      <c r="B93">
        <f>IF($A93="","",games!$B93)</f>
        <v>2021</v>
      </c>
      <c r="C93" t="str">
        <f>IF($A93="","",games!$C93)</f>
        <v>Deckbuilder</v>
      </c>
      <c r="D93">
        <f>IF($A93="","",COUNTIF(connections!$A$2:$A$1460,$A93)+COUNTIF(connections!$B$2:$B$1460,$A93))</f>
        <v>1</v>
      </c>
      <c r="E93">
        <f t="shared" si="13"/>
        <v>3</v>
      </c>
      <c r="F93">
        <f t="shared" si="14"/>
        <v>25</v>
      </c>
      <c r="G93" t="e">
        <f t="shared" si="15"/>
        <v>#N/A</v>
      </c>
      <c r="H93" t="e">
        <f t="shared" si="16"/>
        <v>#N/A</v>
      </c>
      <c r="I93" t="e">
        <f t="shared" si="17"/>
        <v>#N/A</v>
      </c>
      <c r="J93" t="e">
        <f t="shared" si="18"/>
        <v>#N/A</v>
      </c>
      <c r="K93">
        <f t="shared" si="19"/>
        <v>2021</v>
      </c>
      <c r="L93">
        <f t="shared" si="20"/>
        <v>3.5750000000000002</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2023</v>
      </c>
      <c r="U93">
        <f>IF(connections!$A93="","",IFERROR(INDEX(games!$B$2:$B$950,MATCH(connections!$B93,games!$A$2:$A$950,0)),""))</f>
        <v>2024</v>
      </c>
      <c r="V93">
        <f t="shared" si="25"/>
        <v>1</v>
      </c>
    </row>
    <row r="94" spans="1:22" x14ac:dyDescent="0.25">
      <c r="A94" t="str">
        <f>IF(games!$A94="","",games!$A94)</f>
        <v>Breachway</v>
      </c>
      <c r="B94">
        <f>IF($A94="","",games!$B94)</f>
        <v>2024</v>
      </c>
      <c r="C94" t="str">
        <f>IF($A94="","",games!$C94)</f>
        <v>Deckbuilder</v>
      </c>
      <c r="D94">
        <f>IF($A94="","",COUNTIF(connections!$A$2:$A$1460,$A94)+COUNTIF(connections!$B$2:$B$1460,$A94))</f>
        <v>2</v>
      </c>
      <c r="E94">
        <f t="shared" si="13"/>
        <v>3</v>
      </c>
      <c r="F94">
        <f t="shared" si="14"/>
        <v>26</v>
      </c>
      <c r="G94" t="e">
        <f t="shared" si="15"/>
        <v>#N/A</v>
      </c>
      <c r="H94" t="e">
        <f t="shared" si="16"/>
        <v>#N/A</v>
      </c>
      <c r="I94" t="e">
        <f t="shared" si="17"/>
        <v>#N/A</v>
      </c>
      <c r="J94" t="e">
        <f t="shared" si="18"/>
        <v>#N/A</v>
      </c>
      <c r="K94">
        <f t="shared" si="19"/>
        <v>2024</v>
      </c>
      <c r="L94">
        <f t="shared" si="20"/>
        <v>3.5979999999999999</v>
      </c>
      <c r="M94" t="e">
        <f t="shared" si="21"/>
        <v>#N/A</v>
      </c>
      <c r="N94" t="e">
        <f t="shared" si="22"/>
        <v>#N/A</v>
      </c>
      <c r="O94">
        <f t="shared" si="23"/>
        <v>2.0000939999999998</v>
      </c>
      <c r="P94" t="str">
        <f>IF(OR($A94="",games!$H94=""),"",games!$H94)</f>
        <v>Yes</v>
      </c>
      <c r="Q94">
        <f t="shared" si="24"/>
        <v>2.0000939999999998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Brew</v>
      </c>
      <c r="B95">
        <f>IF($A95="","",games!$B95)</f>
        <v>2025</v>
      </c>
      <c r="C95" t="str">
        <f>IF($A95="","",games!$C95)</f>
        <v>Action</v>
      </c>
      <c r="D95">
        <f>IF($A95="","",COUNTIF(connections!$A$2:$A$1460,$A95)+COUNTIF(connections!$B$2:$B$1460,$A95))</f>
        <v>3</v>
      </c>
      <c r="E95">
        <f t="shared" si="13"/>
        <v>1</v>
      </c>
      <c r="F95">
        <f t="shared" si="14"/>
        <v>27</v>
      </c>
      <c r="G95">
        <f t="shared" si="15"/>
        <v>2025</v>
      </c>
      <c r="H95">
        <f t="shared" si="16"/>
        <v>1.621</v>
      </c>
      <c r="I95" t="e">
        <f t="shared" si="17"/>
        <v>#N/A</v>
      </c>
      <c r="J95" t="e">
        <f t="shared" si="18"/>
        <v>#N/A</v>
      </c>
      <c r="K95" t="e">
        <f t="shared" si="19"/>
        <v>#N/A</v>
      </c>
      <c r="L95" t="e">
        <f t="shared" si="20"/>
        <v>#N/A</v>
      </c>
      <c r="M95" t="e">
        <f t="shared" si="21"/>
        <v>#N/A</v>
      </c>
      <c r="N95" t="e">
        <f t="shared" si="22"/>
        <v>#N/A</v>
      </c>
      <c r="O95">
        <f t="shared" si="23"/>
        <v>3.000095</v>
      </c>
      <c r="P95" t="str">
        <f>IF(OR($A95="",games!$H95=""),"",games!$H95)</f>
        <v/>
      </c>
      <c r="Q95" t="str">
        <f t="shared" si="24"/>
        <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Brogue</v>
      </c>
      <c r="B96">
        <f>IF($A96="","",games!$B96)</f>
        <v>2009</v>
      </c>
      <c r="C96" t="str">
        <f>IF($A96="","",games!$C96)</f>
        <v>Traditional</v>
      </c>
      <c r="D96">
        <f>IF($A96="","",COUNTIF(connections!$A$2:$A$1460,$A96)+COUNTIF(connections!$B$2:$B$1460,$A96))</f>
        <v>11</v>
      </c>
      <c r="E96">
        <f t="shared" si="13"/>
        <v>4</v>
      </c>
      <c r="F96">
        <f t="shared" si="14"/>
        <v>28</v>
      </c>
      <c r="G96" t="e">
        <f t="shared" si="15"/>
        <v>#N/A</v>
      </c>
      <c r="H96" t="e">
        <f t="shared" si="16"/>
        <v>#N/A</v>
      </c>
      <c r="I96" t="e">
        <f t="shared" si="17"/>
        <v>#N/A</v>
      </c>
      <c r="J96" t="e">
        <f t="shared" si="18"/>
        <v>#N/A</v>
      </c>
      <c r="K96" t="e">
        <f t="shared" si="19"/>
        <v>#N/A</v>
      </c>
      <c r="L96" t="e">
        <f t="shared" si="20"/>
        <v>#N/A</v>
      </c>
      <c r="M96">
        <f t="shared" si="21"/>
        <v>2009</v>
      </c>
      <c r="N96">
        <f t="shared" si="22"/>
        <v>4.6440000000000001</v>
      </c>
      <c r="O96">
        <f t="shared" si="23"/>
        <v>11.000095999999999</v>
      </c>
      <c r="P96" t="str">
        <f>IF(OR($A96="",games!$H96=""),"",games!$H96)</f>
        <v>Yes</v>
      </c>
      <c r="Q96">
        <f t="shared" si="24"/>
        <v>11.000095999999999</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BroomSweeper</v>
      </c>
      <c r="B97">
        <f>IF($A97="","",games!$B97)</f>
        <v>2026</v>
      </c>
      <c r="C97" t="str">
        <f>IF($A97="","",games!$C97)</f>
        <v>Strategy</v>
      </c>
      <c r="D97">
        <f>IF($A97="","",COUNTIF(connections!$A$2:$A$1460,$A97)+COUNTIF(connections!$B$2:$B$1460,$A97))</f>
        <v>4</v>
      </c>
      <c r="E97">
        <f t="shared" si="13"/>
        <v>2</v>
      </c>
      <c r="F97">
        <f t="shared" si="14"/>
        <v>29</v>
      </c>
      <c r="G97" t="e">
        <f t="shared" si="15"/>
        <v>#N/A</v>
      </c>
      <c r="H97" t="e">
        <f t="shared" si="16"/>
        <v>#N/A</v>
      </c>
      <c r="I97">
        <f t="shared" si="17"/>
        <v>2026</v>
      </c>
      <c r="J97">
        <f t="shared" si="18"/>
        <v>2.6669999999999998</v>
      </c>
      <c r="K97" t="e">
        <f t="shared" si="19"/>
        <v>#N/A</v>
      </c>
      <c r="L97" t="e">
        <f t="shared" si="20"/>
        <v>#N/A</v>
      </c>
      <c r="M97" t="e">
        <f t="shared" si="21"/>
        <v>#N/A</v>
      </c>
      <c r="N97" t="e">
        <f t="shared" si="22"/>
        <v>#N/A</v>
      </c>
      <c r="O97">
        <f t="shared" si="23"/>
        <v>4.0000970000000002</v>
      </c>
      <c r="P97" t="str">
        <f>IF(OR($A97="",games!$H97=""),"",games!$H97)</f>
        <v>Yes</v>
      </c>
      <c r="Q97">
        <f t="shared" si="24"/>
        <v>4.0000970000000002</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Brotato</v>
      </c>
      <c r="B98">
        <f>IF($A98="","",games!$B98)</f>
        <v>2022</v>
      </c>
      <c r="C98" t="str">
        <f>IF($A98="","",games!$C98)</f>
        <v>Action</v>
      </c>
      <c r="D98">
        <f>IF($A98="","",COUNTIF(connections!$A$2:$A$1460,$A98)+COUNTIF(connections!$B$2:$B$1460,$A98))</f>
        <v>22</v>
      </c>
      <c r="E98">
        <f t="shared" si="13"/>
        <v>1</v>
      </c>
      <c r="F98">
        <f t="shared" si="14"/>
        <v>30</v>
      </c>
      <c r="G98">
        <f t="shared" si="15"/>
        <v>2022</v>
      </c>
      <c r="H98">
        <f t="shared" si="16"/>
        <v>1.69</v>
      </c>
      <c r="I98" t="e">
        <f t="shared" si="17"/>
        <v>#N/A</v>
      </c>
      <c r="J98" t="e">
        <f t="shared" si="18"/>
        <v>#N/A</v>
      </c>
      <c r="K98" t="e">
        <f t="shared" si="19"/>
        <v>#N/A</v>
      </c>
      <c r="L98" t="e">
        <f t="shared" si="20"/>
        <v>#N/A</v>
      </c>
      <c r="M98" t="e">
        <f t="shared" si="21"/>
        <v>#N/A</v>
      </c>
      <c r="N98" t="e">
        <f t="shared" si="22"/>
        <v>#N/A</v>
      </c>
      <c r="O98">
        <f t="shared" si="23"/>
        <v>22.000098000000001</v>
      </c>
      <c r="P98" t="str">
        <f>IF(OR($A98="",games!$H98=""),"",games!$H98)</f>
        <v>Yes</v>
      </c>
      <c r="Q98">
        <f t="shared" si="24"/>
        <v>22.000098000000001</v>
      </c>
      <c r="T98">
        <f>IF(connections!$A98="","",IFERROR(INDEX(games!$B$2:$B$950,MATCH(connections!$A98,games!$A$2:$A$950,0)),""))</f>
        <v>2023</v>
      </c>
      <c r="U98">
        <f>IF(connections!$A98="","",IFERROR(INDEX(games!$B$2:$B$950,MATCH(connections!$B98,games!$A$2:$A$950,0)),""))</f>
        <v>2026</v>
      </c>
      <c r="V98">
        <f t="shared" si="25"/>
        <v>3</v>
      </c>
    </row>
    <row r="99" spans="1:22" x14ac:dyDescent="0.25">
      <c r="A99" t="str">
        <f>IF(games!$A99="","",games!$A99)</f>
        <v>Brutal Orchestra</v>
      </c>
      <c r="B99">
        <f>IF($A99="","",games!$B99)</f>
        <v>2021</v>
      </c>
      <c r="C99" t="str">
        <f>IF($A99="","",games!$C99)</f>
        <v>Strategy</v>
      </c>
      <c r="D99">
        <f>IF($A99="","",COUNTIF(connections!$A$2:$A$1460,$A99)+COUNTIF(connections!$B$2:$B$1460,$A99))</f>
        <v>3</v>
      </c>
      <c r="E99">
        <f t="shared" si="13"/>
        <v>2</v>
      </c>
      <c r="F99">
        <f t="shared" si="14"/>
        <v>31</v>
      </c>
      <c r="G99" t="e">
        <f t="shared" si="15"/>
        <v>#N/A</v>
      </c>
      <c r="H99" t="e">
        <f t="shared" si="16"/>
        <v>#N/A</v>
      </c>
      <c r="I99">
        <f t="shared" si="17"/>
        <v>2021</v>
      </c>
      <c r="J99">
        <f t="shared" si="18"/>
        <v>2.7130000000000001</v>
      </c>
      <c r="K99" t="e">
        <f t="shared" si="19"/>
        <v>#N/A</v>
      </c>
      <c r="L99" t="e">
        <f t="shared" si="20"/>
        <v>#N/A</v>
      </c>
      <c r="M99" t="e">
        <f t="shared" si="21"/>
        <v>#N/A</v>
      </c>
      <c r="N99" t="e">
        <f t="shared" si="22"/>
        <v>#N/A</v>
      </c>
      <c r="O99">
        <f t="shared" si="23"/>
        <v>3.0000990000000001</v>
      </c>
      <c r="P99" t="str">
        <f>IF(OR($A99="",games!$H99=""),"",games!$H99)</f>
        <v>Yes</v>
      </c>
      <c r="Q99">
        <f t="shared" si="24"/>
        <v>3.0000990000000001</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Buckshot Roulette</v>
      </c>
      <c r="B100">
        <f>IF($A100="","",games!$B100)</f>
        <v>2023</v>
      </c>
      <c r="C100" t="str">
        <f>IF($A100="","",games!$C100)</f>
        <v>Strategy</v>
      </c>
      <c r="D100">
        <f>IF($A100="","",COUNTIF(connections!$A$2:$A$1460,$A100)+COUNTIF(connections!$B$2:$B$1460,$A100))</f>
        <v>2</v>
      </c>
      <c r="E100">
        <f t="shared" si="13"/>
        <v>2</v>
      </c>
      <c r="F100">
        <f t="shared" si="14"/>
        <v>32</v>
      </c>
      <c r="G100" t="e">
        <f t="shared" si="15"/>
        <v>#N/A</v>
      </c>
      <c r="H100" t="e">
        <f t="shared" si="16"/>
        <v>#N/A</v>
      </c>
      <c r="I100">
        <f t="shared" si="17"/>
        <v>2023</v>
      </c>
      <c r="J100">
        <f t="shared" si="18"/>
        <v>2.7359999999999998</v>
      </c>
      <c r="K100" t="e">
        <f t="shared" si="19"/>
        <v>#N/A</v>
      </c>
      <c r="L100" t="e">
        <f t="shared" si="20"/>
        <v>#N/A</v>
      </c>
      <c r="M100" t="e">
        <f t="shared" si="21"/>
        <v>#N/A</v>
      </c>
      <c r="N100" t="e">
        <f t="shared" si="22"/>
        <v>#N/A</v>
      </c>
      <c r="O100">
        <f t="shared" si="23"/>
        <v>2.0001000000000002</v>
      </c>
      <c r="P100" t="str">
        <f>IF(OR($A100="",games!$H100=""),"",games!$H100)</f>
        <v>Yes</v>
      </c>
      <c r="Q100">
        <f t="shared" si="24"/>
        <v>2.0001000000000002</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Cadence of Hyrule</v>
      </c>
      <c r="B101">
        <f>IF($A101="","",games!$B101)</f>
        <v>2019</v>
      </c>
      <c r="C101" t="str">
        <f>IF($A101="","",games!$C101)</f>
        <v>Traditional</v>
      </c>
      <c r="D101">
        <f>IF($A101="","",COUNTIF(connections!$A$2:$A$1460,$A101)+COUNTIF(connections!$B$2:$B$1460,$A101))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2019</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Candies 'n Curses</v>
      </c>
      <c r="B102">
        <f>IF($A102="","",games!$B102)</f>
        <v>2018</v>
      </c>
      <c r="C102" t="str">
        <f>IF($A102="","",games!$C102)</f>
        <v>Action</v>
      </c>
      <c r="D102">
        <f>IF($A102="","",COUNTIF(connections!$A$2:$A$1460,$A102)+COUNTIF(connections!$B$2:$B$1460,$A102))</f>
        <v>1</v>
      </c>
      <c r="E102">
        <f t="shared" si="13"/>
        <v>1</v>
      </c>
      <c r="F102">
        <f t="shared" si="14"/>
        <v>0</v>
      </c>
      <c r="G102">
        <f t="shared" si="15"/>
        <v>2018</v>
      </c>
      <c r="H102">
        <f t="shared" si="16"/>
        <v>1</v>
      </c>
      <c r="I102" t="e">
        <f t="shared" si="17"/>
        <v>#N/A</v>
      </c>
      <c r="J102" t="e">
        <f t="shared" si="18"/>
        <v>#N/A</v>
      </c>
      <c r="K102" t="e">
        <f t="shared" si="19"/>
        <v>#N/A</v>
      </c>
      <c r="L102" t="e">
        <f t="shared" si="20"/>
        <v>#N/A</v>
      </c>
      <c r="M102" t="e">
        <f t="shared" si="21"/>
        <v>#N/A</v>
      </c>
      <c r="N102" t="e">
        <f t="shared" si="22"/>
        <v>#N/A</v>
      </c>
      <c r="O102">
        <f t="shared" si="23"/>
        <v>1.000102</v>
      </c>
      <c r="P102" t="str">
        <f>IF(OR($A102="",games!$H102=""),"",games!$H102)</f>
        <v>Yes</v>
      </c>
      <c r="Q102">
        <f t="shared" si="24"/>
        <v>1.000102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Captain Forever Remix</v>
      </c>
      <c r="B103">
        <f>IF($A103="","",games!$B103)</f>
        <v>2016</v>
      </c>
      <c r="C103" t="str">
        <f>IF($A103="","",games!$C103)</f>
        <v>Action</v>
      </c>
      <c r="D103">
        <f>IF($A103="","",COUNTIF(connections!$A$2:$A$1460,$A103)+COUNTIF(connections!$B$2:$B$1460,$A103))</f>
        <v>0</v>
      </c>
      <c r="E103">
        <f t="shared" si="13"/>
        <v>1</v>
      </c>
      <c r="F103">
        <f t="shared" si="14"/>
        <v>1</v>
      </c>
      <c r="G103">
        <f t="shared" si="15"/>
        <v>2016</v>
      </c>
      <c r="H103">
        <f t="shared" si="16"/>
        <v>1.0229999999999999</v>
      </c>
      <c r="I103" t="e">
        <f t="shared" si="17"/>
        <v>#N/A</v>
      </c>
      <c r="J103" t="e">
        <f t="shared" si="18"/>
        <v>#N/A</v>
      </c>
      <c r="K103" t="e">
        <f t="shared" si="19"/>
        <v>#N/A</v>
      </c>
      <c r="L103" t="e">
        <f t="shared" si="20"/>
        <v>#N/A</v>
      </c>
      <c r="M103" t="e">
        <f t="shared" si="21"/>
        <v>#N/A</v>
      </c>
      <c r="N103" t="e">
        <f t="shared" si="22"/>
        <v>#N/A</v>
      </c>
      <c r="O103">
        <f t="shared" si="23"/>
        <v>1.03E-4</v>
      </c>
      <c r="P103" t="str">
        <f>IF(OR($A103="",games!$H103=""),"",games!$H103)</f>
        <v>Yes</v>
      </c>
      <c r="Q103">
        <f t="shared" si="24"/>
        <v>1.03E-4</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Cardinal Quest</v>
      </c>
      <c r="B104">
        <f>IF($A104="","",games!$B104)</f>
        <v>2010</v>
      </c>
      <c r="C104" t="str">
        <f>IF($A104="","",games!$C104)</f>
        <v>Traditional</v>
      </c>
      <c r="D104">
        <f>IF($A104="","",COUNTIF(connections!$A$2:$A$1460,$A104)+COUNTIF(connections!$B$2:$B$1460,$A104))</f>
        <v>8</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2010</v>
      </c>
      <c r="N104">
        <f t="shared" si="22"/>
        <v>4.0460000000000003</v>
      </c>
      <c r="O104">
        <f t="shared" si="23"/>
        <v>8.0001040000000003</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Cardinal Quest 2</v>
      </c>
      <c r="B105">
        <f>IF($A105="","",games!$B105)</f>
        <v>2014</v>
      </c>
      <c r="C105" t="str">
        <f>IF($A105="","",games!$C105)</f>
        <v>Traditional</v>
      </c>
      <c r="D105">
        <f>IF($A105="","",COUNTIF(connections!$A$2:$A$1460,$A105)+COUNTIF(connections!$B$2:$B$1460,$A105))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2014</v>
      </c>
      <c r="N105">
        <f t="shared" si="22"/>
        <v>4.069</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2026</v>
      </c>
      <c r="V105">
        <f t="shared" si="25"/>
        <v>3</v>
      </c>
    </row>
    <row r="106" spans="1:22" x14ac:dyDescent="0.25">
      <c r="A106" t="str">
        <f>IF(games!$A106="","",games!$A106)</f>
        <v>Castle of the Winds</v>
      </c>
      <c r="B106">
        <f>IF($A106="","",games!$B106)</f>
        <v>1994</v>
      </c>
      <c r="C106" t="str">
        <f>IF($A106="","",games!$C106)</f>
        <v>Traditional</v>
      </c>
      <c r="D106">
        <f>IF($A106="","",COUNTIF(connections!$A$2:$A$1460,$A106)+COUNTIF(connections!$B$2:$B$1460,$A106))</f>
        <v>5</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1994</v>
      </c>
      <c r="N106">
        <f t="shared" si="22"/>
        <v>4.0919999999999996</v>
      </c>
      <c r="O106">
        <f t="shared" si="23"/>
        <v>5.0001059999999997</v>
      </c>
      <c r="P106" t="str">
        <f>IF(OR($A106="",games!$H106=""),"",games!$H106)</f>
        <v>Yes</v>
      </c>
      <c r="Q106">
        <f t="shared" si="24"/>
        <v>5.0001059999999997</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CastlevaniaRL</v>
      </c>
      <c r="B107">
        <f>IF($A107="","",games!$B107)</f>
        <v>2005</v>
      </c>
      <c r="C107" t="str">
        <f>IF($A107="","",games!$C107)</f>
        <v>Traditional</v>
      </c>
      <c r="D107">
        <f>IF($A107="","",COUNTIF(connections!$A$2:$A$1460,$A107)+COUNTIF(connections!$B$2:$B$1460,$A107))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2005</v>
      </c>
      <c r="N107">
        <f t="shared" si="22"/>
        <v>4.1150000000000002</v>
      </c>
      <c r="O107">
        <f t="shared" si="23"/>
        <v>1.0001070000000001</v>
      </c>
      <c r="P107" t="str">
        <f>IF(OR($A107="",games!$H107=""),"",games!$H107)</f>
        <v>Yes</v>
      </c>
      <c r="Q107">
        <f t="shared" si="24"/>
        <v>1.0001070000000001</v>
      </c>
      <c r="T107">
        <f>IF(connections!$A107="","",IFERROR(INDEX(games!$B$2:$B$950,MATCH(connections!$A107,games!$A$2:$A$950,0)),""))</f>
        <v>2023</v>
      </c>
      <c r="U107">
        <f>IF(connections!$A107="","",IFERROR(INDEX(games!$B$2:$B$950,MATCH(connections!$B107,games!$A$2:$A$950,0)),""))</f>
        <v>2026</v>
      </c>
      <c r="V107">
        <f t="shared" si="25"/>
        <v>3</v>
      </c>
    </row>
    <row r="108" spans="1:22" x14ac:dyDescent="0.25">
      <c r="A108" t="str">
        <f>IF(games!$A108="","",games!$A108)</f>
        <v>Cat God Ranch</v>
      </c>
      <c r="B108">
        <f>IF($A108="","",games!$B108)</f>
        <v>2024</v>
      </c>
      <c r="C108" t="str">
        <f>IF($A108="","",games!$C108)</f>
        <v>Deckbuilder</v>
      </c>
      <c r="D108">
        <f>IF($A108="","",COUNTIF(connections!$A$2:$A$1460,$A108)+COUNTIF(connections!$B$2:$B$1460,$A108))</f>
        <v>1</v>
      </c>
      <c r="E108">
        <f t="shared" si="13"/>
        <v>3</v>
      </c>
      <c r="F108">
        <f t="shared" si="14"/>
        <v>6</v>
      </c>
      <c r="G108" t="e">
        <f t="shared" si="15"/>
        <v>#N/A</v>
      </c>
      <c r="H108" t="e">
        <f t="shared" si="16"/>
        <v>#N/A</v>
      </c>
      <c r="I108" t="e">
        <f t="shared" si="17"/>
        <v>#N/A</v>
      </c>
      <c r="J108" t="e">
        <f t="shared" si="18"/>
        <v>#N/A</v>
      </c>
      <c r="K108">
        <f t="shared" si="19"/>
        <v>2024</v>
      </c>
      <c r="L108">
        <f t="shared" si="20"/>
        <v>3.1379999999999999</v>
      </c>
      <c r="M108" t="e">
        <f t="shared" si="21"/>
        <v>#N/A</v>
      </c>
      <c r="N108" t="e">
        <f t="shared" si="22"/>
        <v>#N/A</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2026</v>
      </c>
      <c r="V108">
        <f t="shared" si="25"/>
        <v>3</v>
      </c>
    </row>
    <row r="109" spans="1:22" x14ac:dyDescent="0.25">
      <c r="A109" t="str">
        <f>IF(games!$A109="","",games!$A109)</f>
        <v>Cataclysm</v>
      </c>
      <c r="B109">
        <f>IF($A109="","",games!$B109)</f>
        <v>2010</v>
      </c>
      <c r="C109" t="str">
        <f>IF($A109="","",games!$C109)</f>
        <v>Traditional</v>
      </c>
      <c r="D109">
        <f>IF($A109="","",COUNTIF(connections!$A$2:$A$1460,$A109)+COUNTIF(connections!$B$2:$B$1460,$A109))</f>
        <v>3</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2010</v>
      </c>
      <c r="N109">
        <f t="shared" si="22"/>
        <v>4.1609999999999996</v>
      </c>
      <c r="O109">
        <f t="shared" si="23"/>
        <v>3.0001090000000001</v>
      </c>
      <c r="P109" t="str">
        <f>IF(OR($A109="",games!$H109=""),"",games!$H109)</f>
        <v>Yes</v>
      </c>
      <c r="Q109">
        <f t="shared" si="24"/>
        <v>3.0001090000000001</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Cataclysm: Bright Nights</v>
      </c>
      <c r="B110">
        <f>IF($A110="","",games!$B110)</f>
        <v>2020</v>
      </c>
      <c r="C110" t="str">
        <f>IF($A110="","",games!$C110)</f>
        <v>Traditional</v>
      </c>
      <c r="D110">
        <f>IF($A110="","",COUNTIF(connections!$A$2:$A$1460,$A110)+COUNTIF(connections!$B$2:$B$1460,$A110))</f>
        <v>1</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2020</v>
      </c>
      <c r="N110">
        <f t="shared" si="22"/>
        <v>4.1840000000000002</v>
      </c>
      <c r="O110">
        <f t="shared" si="23"/>
        <v>1.0001100000000001</v>
      </c>
      <c r="P110" t="str">
        <f>IF(OR($A110="",games!$H110=""),"",games!$H110)</f>
        <v>Yes</v>
      </c>
      <c r="Q110">
        <f t="shared" si="24"/>
        <v>1.0001100000000001</v>
      </c>
      <c r="T110">
        <f>IF(connections!$A110="","",IFERROR(INDEX(games!$B$2:$B$950,MATCH(connections!$A110,games!$A$2:$A$950,0)),""))</f>
        <v>2023</v>
      </c>
      <c r="U110">
        <f>IF(connections!$A110="","",IFERROR(INDEX(games!$B$2:$B$950,MATCH(connections!$B110,games!$A$2:$A$950,0)),""))</f>
        <v>2026</v>
      </c>
      <c r="V110">
        <f t="shared" si="25"/>
        <v>3</v>
      </c>
    </row>
    <row r="111" spans="1:22" x14ac:dyDescent="0.25">
      <c r="A111" t="str">
        <f>IF(games!$A111="","",games!$A111)</f>
        <v>Cataclysm: Dark Days Ahead</v>
      </c>
      <c r="B111">
        <f>IF($A111="","",games!$B111)</f>
        <v>2013</v>
      </c>
      <c r="C111" t="str">
        <f>IF($A111="","",games!$C111)</f>
        <v>Traditional</v>
      </c>
      <c r="D111">
        <f>IF($A111="","",COUNTIF(connections!$A$2:$A$1460,$A111)+COUNTIF(connections!$B$2:$B$1460,$A111))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2013</v>
      </c>
      <c r="N111">
        <f t="shared" si="22"/>
        <v>4.2069999999999999</v>
      </c>
      <c r="O111">
        <f t="shared" si="23"/>
        <v>3.000111</v>
      </c>
      <c r="P111" t="str">
        <f>IF(OR($A111="",games!$H111=""),"",games!$H111)</f>
        <v>Yes</v>
      </c>
      <c r="Q111">
        <f t="shared" si="24"/>
        <v>3.000111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Cataclysm: The Last Generation</v>
      </c>
      <c r="B112">
        <f>IF($A112="","",games!$B112)</f>
        <v>2025</v>
      </c>
      <c r="C112" t="str">
        <f>IF($A112="","",games!$C112)</f>
        <v>Traditional</v>
      </c>
      <c r="D112">
        <f>IF($A112="","",COUNTIF(connections!$A$2:$A$1460,$A112)+COUNTIF(connections!$B$2:$B$1460,$A112))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2025</v>
      </c>
      <c r="N112">
        <f t="shared" si="22"/>
        <v>4.2300000000000004</v>
      </c>
      <c r="O112">
        <f t="shared" si="23"/>
        <v>1.0001119999999999</v>
      </c>
      <c r="P112" t="str">
        <f>IF(OR($A112="",games!$H112=""),"",games!$H112)</f>
        <v>Yes</v>
      </c>
      <c r="Q112">
        <f t="shared" si="24"/>
        <v>1.0001119999999999</v>
      </c>
      <c r="T112">
        <f>IF(connections!$A112="","",IFERROR(INDEX(games!$B$2:$B$950,MATCH(connections!$A112,games!$A$2:$A$950,0)),""))</f>
        <v>2023</v>
      </c>
      <c r="U112">
        <f>IF(connections!$A112="","",IFERROR(INDEX(games!$B$2:$B$950,MATCH(connections!$B112,games!$A$2:$A$950,0)),""))</f>
        <v>2024</v>
      </c>
      <c r="V112">
        <f t="shared" si="25"/>
        <v>1</v>
      </c>
    </row>
    <row r="113" spans="1:22" x14ac:dyDescent="0.25">
      <c r="A113" t="str">
        <f>IF(games!$A113="","",games!$A113)</f>
        <v>Catacomb Kids</v>
      </c>
      <c r="B113">
        <f>IF($A113="","",games!$B113)</f>
        <v>2015</v>
      </c>
      <c r="C113" t="str">
        <f>IF($A113="","",games!$C113)</f>
        <v>Action</v>
      </c>
      <c r="D113">
        <f>IF($A113="","",COUNTIF(connections!$A$2:$A$1460,$A113)+COUNTIF(connections!$B$2:$B$1460,$A113))</f>
        <v>4</v>
      </c>
      <c r="E113">
        <f t="shared" si="13"/>
        <v>1</v>
      </c>
      <c r="F113">
        <f t="shared" si="14"/>
        <v>11</v>
      </c>
      <c r="G113">
        <f t="shared" si="15"/>
        <v>2015</v>
      </c>
      <c r="H113">
        <f t="shared" si="16"/>
        <v>1.2530000000000001</v>
      </c>
      <c r="I113" t="e">
        <f t="shared" si="17"/>
        <v>#N/A</v>
      </c>
      <c r="J113" t="e">
        <f t="shared" si="18"/>
        <v>#N/A</v>
      </c>
      <c r="K113" t="e">
        <f t="shared" si="19"/>
        <v>#N/A</v>
      </c>
      <c r="L113" t="e">
        <f t="shared" si="20"/>
        <v>#N/A</v>
      </c>
      <c r="M113" t="e">
        <f t="shared" si="21"/>
        <v>#N/A</v>
      </c>
      <c r="N113" t="e">
        <f t="shared" si="22"/>
        <v>#N/A</v>
      </c>
      <c r="O113">
        <f t="shared" si="23"/>
        <v>4.0001129999999998</v>
      </c>
      <c r="P113" t="str">
        <f>IF(OR($A113="",games!$H113=""),"",games!$H113)</f>
        <v/>
      </c>
      <c r="Q113" t="str">
        <f t="shared" si="24"/>
        <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Cats &amp; Dice</v>
      </c>
      <c r="B114">
        <f>IF($A114="","",games!$B114)</f>
        <v>2025</v>
      </c>
      <c r="C114" t="str">
        <f>IF($A114="","",games!$C114)</f>
        <v>Deckbuilder</v>
      </c>
      <c r="D114">
        <f>IF($A114="","",COUNTIF(connections!$A$2:$A$1460,$A114)+COUNTIF(connections!$B$2:$B$1460,$A114))</f>
        <v>2</v>
      </c>
      <c r="E114">
        <f t="shared" si="13"/>
        <v>3</v>
      </c>
      <c r="F114">
        <f t="shared" si="14"/>
        <v>12</v>
      </c>
      <c r="G114" t="e">
        <f t="shared" si="15"/>
        <v>#N/A</v>
      </c>
      <c r="H114" t="e">
        <f t="shared" si="16"/>
        <v>#N/A</v>
      </c>
      <c r="I114" t="e">
        <f t="shared" si="17"/>
        <v>#N/A</v>
      </c>
      <c r="J114" t="e">
        <f t="shared" si="18"/>
        <v>#N/A</v>
      </c>
      <c r="K114">
        <f t="shared" si="19"/>
        <v>2025</v>
      </c>
      <c r="L114">
        <f t="shared" si="20"/>
        <v>3.2759999999999998</v>
      </c>
      <c r="M114" t="e">
        <f t="shared" si="21"/>
        <v>#N/A</v>
      </c>
      <c r="N114" t="e">
        <f t="shared" si="22"/>
        <v>#N/A</v>
      </c>
      <c r="O114">
        <f t="shared" si="23"/>
        <v>2.0001139999999999</v>
      </c>
      <c r="P114" t="str">
        <f>IF(OR($A114="",games!$H114=""),"",games!$H114)</f>
        <v>Yes</v>
      </c>
      <c r="Q114">
        <f t="shared" si="24"/>
        <v>2.0001139999999999</v>
      </c>
      <c r="T114">
        <f>IF(connections!$A114="","",IFERROR(INDEX(games!$B$2:$B$950,MATCH(connections!$A114,games!$A$2:$A$950,0)),""))</f>
        <v>2023</v>
      </c>
      <c r="U114">
        <f>IF(connections!$A114="","",IFERROR(INDEX(games!$B$2:$B$950,MATCH(connections!$B114,games!$A$2:$A$950,0)),""))</f>
        <v>2025</v>
      </c>
      <c r="V114">
        <f t="shared" si="25"/>
        <v>2</v>
      </c>
    </row>
    <row r="115" spans="1:22" x14ac:dyDescent="0.25">
      <c r="A115" t="str">
        <f>IF(games!$A115="","",games!$A115)</f>
        <v>Cave Noire</v>
      </c>
      <c r="B115">
        <f>IF($A115="","",games!$B115)</f>
        <v>1991</v>
      </c>
      <c r="C115" t="str">
        <f>IF($A115="","",games!$C115)</f>
        <v>Traditional</v>
      </c>
      <c r="D115">
        <f>IF($A115="","",COUNTIF(connections!$A$2:$A$1460,$A115)+COUNTIF(connections!$B$2:$B$1460,$A115))</f>
        <v>1</v>
      </c>
      <c r="E115">
        <f t="shared" si="13"/>
        <v>4</v>
      </c>
      <c r="F115">
        <f t="shared" si="14"/>
        <v>13</v>
      </c>
      <c r="G115" t="e">
        <f t="shared" si="15"/>
        <v>#N/A</v>
      </c>
      <c r="H115" t="e">
        <f t="shared" si="16"/>
        <v>#N/A</v>
      </c>
      <c r="I115" t="e">
        <f t="shared" si="17"/>
        <v>#N/A</v>
      </c>
      <c r="J115" t="e">
        <f t="shared" si="18"/>
        <v>#N/A</v>
      </c>
      <c r="K115" t="e">
        <f t="shared" si="19"/>
        <v>#N/A</v>
      </c>
      <c r="L115" t="e">
        <f t="shared" si="20"/>
        <v>#N/A</v>
      </c>
      <c r="M115">
        <f t="shared" si="21"/>
        <v>1991</v>
      </c>
      <c r="N115">
        <f t="shared" si="22"/>
        <v>4.2990000000000004</v>
      </c>
      <c r="O115">
        <f t="shared" si="23"/>
        <v>1.0001150000000001</v>
      </c>
      <c r="P115" t="str">
        <f>IF(OR($A115="",games!$H115=""),"",games!$H115)</f>
        <v>Yes</v>
      </c>
      <c r="Q115">
        <f t="shared" si="24"/>
        <v>1.0001150000000001</v>
      </c>
      <c r="T115">
        <f>IF(connections!$A115="","",IFERROR(INDEX(games!$B$2:$B$950,MATCH(connections!$A115,games!$A$2:$A$950,0)),""))</f>
        <v>2023</v>
      </c>
      <c r="U115">
        <f>IF(connections!$A115="","",IFERROR(INDEX(games!$B$2:$B$950,MATCH(connections!$B115,games!$A$2:$A$950,0)),""))</f>
        <v>2026</v>
      </c>
      <c r="V115">
        <f t="shared" si="25"/>
        <v>3</v>
      </c>
    </row>
    <row r="116" spans="1:22" x14ac:dyDescent="0.25">
      <c r="A116" t="str">
        <f>IF(games!$A116="","",games!$A116)</f>
        <v>Caveblazers</v>
      </c>
      <c r="B116">
        <f>IF($A116="","",games!$B116)</f>
        <v>2017</v>
      </c>
      <c r="C116" t="str">
        <f>IF($A116="","",games!$C116)</f>
        <v>Action</v>
      </c>
      <c r="D116">
        <f>IF($A116="","",COUNTIF(connections!$A$2:$A$1460,$A116)+COUNTIF(connections!$B$2:$B$1460,$A116))</f>
        <v>2</v>
      </c>
      <c r="E116">
        <f t="shared" si="13"/>
        <v>1</v>
      </c>
      <c r="F116">
        <f t="shared" si="14"/>
        <v>14</v>
      </c>
      <c r="G116">
        <f t="shared" si="15"/>
        <v>2017</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2023</v>
      </c>
      <c r="U116">
        <f>IF(connections!$A116="","",IFERROR(INDEX(games!$B$2:$B$950,MATCH(connections!$B116,games!$A$2:$A$950,0)),""))</f>
        <v>2023</v>
      </c>
      <c r="V116">
        <f t="shared" si="25"/>
        <v>0</v>
      </c>
    </row>
    <row r="117" spans="1:22" x14ac:dyDescent="0.25">
      <c r="A117" t="str">
        <f>IF(games!$A117="","",games!$A117)</f>
        <v>Caves of Qud</v>
      </c>
      <c r="B117">
        <f>IF($A117="","",games!$B117)</f>
        <v>2010</v>
      </c>
      <c r="C117" t="str">
        <f>IF($A117="","",games!$C117)</f>
        <v>Traditional</v>
      </c>
      <c r="D117">
        <f>IF($A117="","",COUNTIF(connections!$A$2:$A$1460,$A117)+COUNTIF(connections!$B$2:$B$1460,$A117))</f>
        <v>5</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2010</v>
      </c>
      <c r="N117">
        <f t="shared" si="22"/>
        <v>4.3449999999999998</v>
      </c>
      <c r="O117">
        <f t="shared" si="23"/>
        <v>5.0001170000000004</v>
      </c>
      <c r="P117" t="str">
        <f>IF(OR($A117="",games!$H117=""),"",games!$H117)</f>
        <v>Yes</v>
      </c>
      <c r="Q117">
        <f t="shared" si="24"/>
        <v>5.0001170000000004</v>
      </c>
      <c r="T117">
        <f>IF(connections!$A117="","",IFERROR(INDEX(games!$B$2:$B$950,MATCH(connections!$A117,games!$A$2:$A$950,0)),""))</f>
        <v>2023</v>
      </c>
      <c r="U117">
        <f>IF(connections!$A117="","",IFERROR(INDEX(games!$B$2:$B$950,MATCH(connections!$B117,games!$A$2:$A$950,0)),""))</f>
        <v>2024</v>
      </c>
      <c r="V117">
        <f t="shared" si="25"/>
        <v>1</v>
      </c>
    </row>
    <row r="118" spans="1:22" x14ac:dyDescent="0.25">
      <c r="A118" t="str">
        <f>IF(games!$A118="","",games!$A118)</f>
        <v>Cavity Busters</v>
      </c>
      <c r="B118">
        <f>IF($A118="","",games!$B118)</f>
        <v>2020</v>
      </c>
      <c r="C118" t="str">
        <f>IF($A118="","",games!$C118)</f>
        <v>Action</v>
      </c>
      <c r="D118">
        <f>IF($A118="","",COUNTIF(connections!$A$2:$A$1460,$A118)+COUNTIF(connections!$B$2:$B$1460,$A118))</f>
        <v>2</v>
      </c>
      <c r="E118">
        <f t="shared" si="13"/>
        <v>1</v>
      </c>
      <c r="F118">
        <f t="shared" si="14"/>
        <v>16</v>
      </c>
      <c r="G118">
        <f t="shared" si="15"/>
        <v>2020</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IF(connections!$A118="","",IFERROR(INDEX(games!$B$2:$B$950,MATCH(connections!$A118,games!$A$2:$A$950,0)),""))</f>
        <v>2023</v>
      </c>
      <c r="U118">
        <f>IF(connections!$A118="","",IFERROR(INDEX(games!$B$2:$B$950,MATCH(connections!$B118,games!$A$2:$A$950,0)),""))</f>
        <v>2026</v>
      </c>
      <c r="V118">
        <f t="shared" si="25"/>
        <v>3</v>
      </c>
    </row>
    <row r="119" spans="1:22" x14ac:dyDescent="0.25">
      <c r="A119" t="str">
        <f>IF(games!$A119="","",games!$A119)</f>
        <v>Cell Command</v>
      </c>
      <c r="B119">
        <f>IF($A119="","",games!$B119)</f>
        <v>2025</v>
      </c>
      <c r="C119" t="str">
        <f>IF($A119="","",games!$C119)</f>
        <v>Strategy</v>
      </c>
      <c r="D119">
        <f>IF($A119="","",COUNTIF(connections!$A$2:$A$1460,$A119)+COUNTIF(connections!$B$2:$B$1460,$A119))</f>
        <v>2</v>
      </c>
      <c r="E119">
        <f t="shared" si="13"/>
        <v>2</v>
      </c>
      <c r="F119">
        <f t="shared" si="14"/>
        <v>17</v>
      </c>
      <c r="G119" t="e">
        <f t="shared" si="15"/>
        <v>#N/A</v>
      </c>
      <c r="H119" t="e">
        <f t="shared" si="16"/>
        <v>#N/A</v>
      </c>
      <c r="I119">
        <f t="shared" si="17"/>
        <v>2025</v>
      </c>
      <c r="J119">
        <f t="shared" si="18"/>
        <v>2.391</v>
      </c>
      <c r="K119" t="e">
        <f t="shared" si="19"/>
        <v>#N/A</v>
      </c>
      <c r="L119" t="e">
        <f t="shared" si="20"/>
        <v>#N/A</v>
      </c>
      <c r="M119" t="e">
        <f t="shared" si="21"/>
        <v>#N/A</v>
      </c>
      <c r="N119" t="e">
        <f t="shared" si="22"/>
        <v>#N/A</v>
      </c>
      <c r="O119">
        <f t="shared" si="23"/>
        <v>2.0001190000000002</v>
      </c>
      <c r="P119" t="str">
        <f>IF(OR($A119="",games!$H119=""),"",games!$H119)</f>
        <v/>
      </c>
      <c r="Q119" t="str">
        <f t="shared" si="24"/>
        <v/>
      </c>
      <c r="T119">
        <f>IF(connections!$A119="","",IFERROR(INDEX(games!$B$2:$B$950,MATCH(connections!$A119,games!$A$2:$A$950,0)),""))</f>
        <v>2023</v>
      </c>
      <c r="U119">
        <f>IF(connections!$A119="","",IFERROR(INDEX(games!$B$2:$B$950,MATCH(connections!$B119,games!$A$2:$A$950,0)),""))</f>
        <v>2025</v>
      </c>
      <c r="V119">
        <f t="shared" si="25"/>
        <v>2</v>
      </c>
    </row>
    <row r="120" spans="1:22" x14ac:dyDescent="0.25">
      <c r="A120" t="str">
        <f>IF(games!$A120="","",games!$A120)</f>
        <v>Centipede Gun</v>
      </c>
      <c r="B120">
        <f>IF($A120="","",games!$B120)</f>
        <v>2023</v>
      </c>
      <c r="C120" t="str">
        <f>IF($A120="","",games!$C120)</f>
        <v>Action</v>
      </c>
      <c r="D120">
        <f>IF($A120="","",COUNTIF(connections!$A$2:$A$1460,$A120)+COUNTIF(connections!$B$2:$B$1460,$A120))</f>
        <v>2</v>
      </c>
      <c r="E120">
        <f t="shared" si="13"/>
        <v>1</v>
      </c>
      <c r="F120">
        <f t="shared" si="14"/>
        <v>18</v>
      </c>
      <c r="G120">
        <f t="shared" si="15"/>
        <v>2023</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2023</v>
      </c>
      <c r="U120">
        <f>IF(connections!$A120="","",IFERROR(INDEX(games!$B$2:$B$950,MATCH(connections!$B120,games!$A$2:$A$950,0)),""))</f>
        <v>2025</v>
      </c>
      <c r="V120">
        <f t="shared" si="25"/>
        <v>2</v>
      </c>
    </row>
    <row r="121" spans="1:22" x14ac:dyDescent="0.25">
      <c r="A121" t="str">
        <f>IF(games!$A121="","",games!$A121)</f>
        <v>Chaos Zero Nightmare</v>
      </c>
      <c r="B121">
        <f>IF($A121="","",games!$B121)</f>
        <v>2025</v>
      </c>
      <c r="C121" t="str">
        <f>IF($A121="","",games!$C121)</f>
        <v>Deckbuilder</v>
      </c>
      <c r="D121">
        <f>IF($A121="","",COUNTIF(connections!$A$2:$A$1460,$A121)+COUNTIF(connections!$B$2:$B$1460,$A121))</f>
        <v>1</v>
      </c>
      <c r="E121">
        <f t="shared" si="13"/>
        <v>3</v>
      </c>
      <c r="F121">
        <f t="shared" si="14"/>
        <v>19</v>
      </c>
      <c r="G121" t="e">
        <f t="shared" si="15"/>
        <v>#N/A</v>
      </c>
      <c r="H121" t="e">
        <f t="shared" si="16"/>
        <v>#N/A</v>
      </c>
      <c r="I121" t="e">
        <f t="shared" si="17"/>
        <v>#N/A</v>
      </c>
      <c r="J121" t="e">
        <f t="shared" si="18"/>
        <v>#N/A</v>
      </c>
      <c r="K121">
        <f t="shared" si="19"/>
        <v>2025</v>
      </c>
      <c r="L121">
        <f t="shared" si="20"/>
        <v>3.4369999999999998</v>
      </c>
      <c r="M121" t="e">
        <f t="shared" si="21"/>
        <v>#N/A</v>
      </c>
      <c r="N121" t="e">
        <f t="shared" si="22"/>
        <v>#N/A</v>
      </c>
      <c r="O121">
        <f t="shared" si="23"/>
        <v>1.000121</v>
      </c>
      <c r="P121" t="str">
        <f>IF(OR($A121="",games!$H121=""),"",games!$H121)</f>
        <v>Yes</v>
      </c>
      <c r="Q121">
        <f t="shared" si="24"/>
        <v>1.000121</v>
      </c>
      <c r="T121">
        <f>IF(connections!$A121="","",IFERROR(INDEX(games!$B$2:$B$950,MATCH(connections!$A121,games!$A$2:$A$950,0)),""))</f>
        <v>2023</v>
      </c>
      <c r="U121">
        <f>IF(connections!$A121="","",IFERROR(INDEX(games!$B$2:$B$950,MATCH(connections!$B121,games!$A$2:$A$950,0)),""))</f>
        <v>2025</v>
      </c>
      <c r="V121">
        <f t="shared" si="25"/>
        <v>2</v>
      </c>
    </row>
    <row r="122" spans="1:22" x14ac:dyDescent="0.25">
      <c r="A122" t="str">
        <f>IF(games!$A122="","",games!$A122)</f>
        <v>Chess Survivors</v>
      </c>
      <c r="B122">
        <f>IF($A122="","",games!$B122)</f>
        <v>2022</v>
      </c>
      <c r="C122" t="str">
        <f>IF($A122="","",games!$C122)</f>
        <v>Action</v>
      </c>
      <c r="D122">
        <f>IF($A122="","",COUNTIF(connections!$A$2:$A$1460,$A122)+COUNTIF(connections!$B$2:$B$1460,$A122))</f>
        <v>5</v>
      </c>
      <c r="E122">
        <f t="shared" si="13"/>
        <v>1</v>
      </c>
      <c r="F122">
        <f t="shared" si="14"/>
        <v>20</v>
      </c>
      <c r="G122">
        <f t="shared" si="15"/>
        <v>2022</v>
      </c>
      <c r="H122">
        <f t="shared" si="16"/>
        <v>1.46</v>
      </c>
      <c r="I122" t="e">
        <f t="shared" si="17"/>
        <v>#N/A</v>
      </c>
      <c r="J122" t="e">
        <f t="shared" si="18"/>
        <v>#N/A</v>
      </c>
      <c r="K122" t="e">
        <f t="shared" si="19"/>
        <v>#N/A</v>
      </c>
      <c r="L122" t="e">
        <f t="shared" si="20"/>
        <v>#N/A</v>
      </c>
      <c r="M122" t="e">
        <f t="shared" si="21"/>
        <v>#N/A</v>
      </c>
      <c r="N122" t="e">
        <f t="shared" si="22"/>
        <v>#N/A</v>
      </c>
      <c r="O122">
        <f t="shared" si="23"/>
        <v>5.0001220000000002</v>
      </c>
      <c r="P122" t="str">
        <f>IF(OR($A122="",games!$H122=""),"",games!$H122)</f>
        <v>Yes</v>
      </c>
      <c r="Q122">
        <f t="shared" si="24"/>
        <v>5.0001220000000002</v>
      </c>
      <c r="T122">
        <f>IF(connections!$A122="","",IFERROR(INDEX(games!$B$2:$B$950,MATCH(connections!$A122,games!$A$2:$A$950,0)),""))</f>
        <v>2023</v>
      </c>
      <c r="U122">
        <f>IF(connections!$A122="","",IFERROR(INDEX(games!$B$2:$B$950,MATCH(connections!$B122,games!$A$2:$A$950,0)),""))</f>
        <v>2025</v>
      </c>
      <c r="V122">
        <f t="shared" si="25"/>
        <v>2</v>
      </c>
    </row>
    <row r="123" spans="1:22" x14ac:dyDescent="0.25">
      <c r="A123" t="str">
        <f>IF(games!$A123="","",games!$A123)</f>
        <v>Children of Morta</v>
      </c>
      <c r="B123">
        <f>IF($A123="","",games!$B123)</f>
        <v>2019</v>
      </c>
      <c r="C123" t="str">
        <f>IF($A123="","",games!$C123)</f>
        <v>Action</v>
      </c>
      <c r="D123">
        <f>IF($A123="","",COUNTIF(connections!$A$2:$A$1460,$A123)+COUNTIF(connections!$B$2:$B$1460,$A123))</f>
        <v>5</v>
      </c>
      <c r="E123">
        <f t="shared" si="13"/>
        <v>1</v>
      </c>
      <c r="F123">
        <f t="shared" si="14"/>
        <v>21</v>
      </c>
      <c r="G123">
        <f t="shared" si="15"/>
        <v>2019</v>
      </c>
      <c r="H123">
        <f t="shared" si="16"/>
        <v>1.4830000000000001</v>
      </c>
      <c r="I123" t="e">
        <f t="shared" si="17"/>
        <v>#N/A</v>
      </c>
      <c r="J123" t="e">
        <f t="shared" si="18"/>
        <v>#N/A</v>
      </c>
      <c r="K123" t="e">
        <f t="shared" si="19"/>
        <v>#N/A</v>
      </c>
      <c r="L123" t="e">
        <f t="shared" si="20"/>
        <v>#N/A</v>
      </c>
      <c r="M123" t="e">
        <f t="shared" si="21"/>
        <v>#N/A</v>
      </c>
      <c r="N123" t="e">
        <f t="shared" si="22"/>
        <v>#N/A</v>
      </c>
      <c r="O123">
        <f t="shared" si="23"/>
        <v>5.0001230000000003</v>
      </c>
      <c r="P123" t="str">
        <f>IF(OR($A123="",games!$H123=""),"",games!$H123)</f>
        <v>Yes</v>
      </c>
      <c r="Q123">
        <f t="shared" si="24"/>
        <v>5.0001230000000003</v>
      </c>
      <c r="T123">
        <f>IF(connections!$A123="","",IFERROR(INDEX(games!$B$2:$B$950,MATCH(connections!$A123,games!$A$2:$A$950,0)),""))</f>
        <v>2023</v>
      </c>
      <c r="U123">
        <f>IF(connections!$A123="","",IFERROR(INDEX(games!$B$2:$B$950,MATCH(connections!$B123,games!$A$2:$A$950,0)),""))</f>
        <v>2026</v>
      </c>
      <c r="V123">
        <f t="shared" si="25"/>
        <v>3</v>
      </c>
    </row>
    <row r="124" spans="1:22" x14ac:dyDescent="0.25">
      <c r="A124" t="str">
        <f>IF(games!$A124="","",games!$A124)</f>
        <v>Chocobo's Dungeon 2</v>
      </c>
      <c r="B124">
        <f>IF($A124="","",games!$B124)</f>
        <v>1998</v>
      </c>
      <c r="C124" t="str">
        <f>IF($A124="","",games!$C124)</f>
        <v>Traditional</v>
      </c>
      <c r="D124">
        <f>IF($A124="","",COUNTIF(connections!$A$2:$A$1460,$A124)+COUNTIF(connections!$B$2:$B$1460,$A124))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1998</v>
      </c>
      <c r="N124">
        <f t="shared" si="22"/>
        <v>4.5060000000000002</v>
      </c>
      <c r="O124">
        <f t="shared" si="23"/>
        <v>2.000124</v>
      </c>
      <c r="P124" t="str">
        <f>IF(OR($A124="",games!$H124=""),"",games!$H124)</f>
        <v>Yes</v>
      </c>
      <c r="Q124">
        <f t="shared" si="24"/>
        <v>2.000124</v>
      </c>
      <c r="T124">
        <f>IF(connections!$A124="","",IFERROR(INDEX(games!$B$2:$B$950,MATCH(connections!$A124,games!$A$2:$A$950,0)),""))</f>
        <v>2023</v>
      </c>
      <c r="U124">
        <f>IF(connections!$A124="","",IFERROR(INDEX(games!$B$2:$B$950,MATCH(connections!$B124,games!$A$2:$A$950,0)),""))</f>
        <v>2025</v>
      </c>
      <c r="V124">
        <f t="shared" si="25"/>
        <v>2</v>
      </c>
    </row>
    <row r="125" spans="1:22" x14ac:dyDescent="0.25">
      <c r="A125" t="str">
        <f>IF(games!$A125="","",games!$A125)</f>
        <v>Chocobo's Mysterious Dungeon</v>
      </c>
      <c r="B125">
        <f>IF($A125="","",games!$B125)</f>
        <v>1997</v>
      </c>
      <c r="C125" t="str">
        <f>IF($A125="","",games!$C125)</f>
        <v>Traditional</v>
      </c>
      <c r="D125">
        <f>IF($A125="","",COUNTIF(connections!$A$2:$A$1460,$A125)+COUNTIF(connections!$B$2:$B$1460,$A125))</f>
        <v>2</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1997</v>
      </c>
      <c r="N125">
        <f t="shared" si="22"/>
        <v>4.5289999999999999</v>
      </c>
      <c r="O125">
        <f t="shared" si="23"/>
        <v>2.0001250000000002</v>
      </c>
      <c r="P125" t="str">
        <f>IF(OR($A125="",games!$H125=""),"",games!$H125)</f>
        <v>Yes</v>
      </c>
      <c r="Q125">
        <f t="shared" si="24"/>
        <v>2.0001250000000002</v>
      </c>
      <c r="T125">
        <f>IF(connections!$A125="","",IFERROR(INDEX(games!$B$2:$B$950,MATCH(connections!$A125,games!$A$2:$A$950,0)),""))</f>
        <v>2023</v>
      </c>
      <c r="U125">
        <f>IF(connections!$A125="","",IFERROR(INDEX(games!$B$2:$B$950,MATCH(connections!$B125,games!$A$2:$A$950,0)),""))</f>
        <v>2025</v>
      </c>
      <c r="V125">
        <f t="shared" si="25"/>
        <v>2</v>
      </c>
    </row>
    <row r="126" spans="1:22" x14ac:dyDescent="0.25">
      <c r="A126" t="str">
        <f>IF(games!$A126="","",games!$A126)</f>
        <v>Chocobo's Mystery Dungeon Every Buddy!</v>
      </c>
      <c r="B126">
        <f>IF($A126="","",games!$B126)</f>
        <v>2019</v>
      </c>
      <c r="C126" t="str">
        <f>IF($A126="","",games!$C126)</f>
        <v>Traditional</v>
      </c>
      <c r="D126">
        <f>IF($A126="","",COUNTIF(connections!$A$2:$A$1460,$A126)+COUNTIF(connections!$B$2:$B$1460,$A126))</f>
        <v>1</v>
      </c>
      <c r="E126">
        <f t="shared" si="13"/>
        <v>4</v>
      </c>
      <c r="F126">
        <f t="shared" si="14"/>
        <v>24</v>
      </c>
      <c r="G126" t="e">
        <f t="shared" si="15"/>
        <v>#N/A</v>
      </c>
      <c r="H126" t="e">
        <f t="shared" si="16"/>
        <v>#N/A</v>
      </c>
      <c r="I126" t="e">
        <f t="shared" si="17"/>
        <v>#N/A</v>
      </c>
      <c r="J126" t="e">
        <f t="shared" si="18"/>
        <v>#N/A</v>
      </c>
      <c r="K126" t="e">
        <f t="shared" si="19"/>
        <v>#N/A</v>
      </c>
      <c r="L126" t="e">
        <f t="shared" si="20"/>
        <v>#N/A</v>
      </c>
      <c r="M126">
        <f t="shared" si="21"/>
        <v>2019</v>
      </c>
      <c r="N126">
        <f t="shared" si="22"/>
        <v>4.5519999999999996</v>
      </c>
      <c r="O126">
        <f t="shared" si="23"/>
        <v>1.0001260000000001</v>
      </c>
      <c r="P126" t="str">
        <f>IF(OR($A126="",games!$H126=""),"",games!$H126)</f>
        <v/>
      </c>
      <c r="Q126" t="str">
        <f t="shared" si="24"/>
        <v/>
      </c>
      <c r="T126">
        <f>IF(connections!$A126="","",IFERROR(INDEX(games!$B$2:$B$950,MATCH(connections!$A126,games!$A$2:$A$950,0)),""))</f>
        <v>2023</v>
      </c>
      <c r="U126">
        <f>IF(connections!$A126="","",IFERROR(INDEX(games!$B$2:$B$950,MATCH(connections!$B126,games!$A$2:$A$950,0)),""))</f>
        <v>2026</v>
      </c>
      <c r="V126">
        <f t="shared" si="25"/>
        <v>3</v>
      </c>
    </row>
    <row r="127" spans="1:22" x14ac:dyDescent="0.25">
      <c r="A127" t="str">
        <f>IF(games!$A127="","",games!$A127)</f>
        <v>Choo Choo Survivor</v>
      </c>
      <c r="B127">
        <f>IF($A127="","",games!$B127)</f>
        <v>2023</v>
      </c>
      <c r="C127" t="str">
        <f>IF($A127="","",games!$C127)</f>
        <v>Action</v>
      </c>
      <c r="D127">
        <f>IF($A127="","",COUNTIF(connections!$A$2:$A$1460,$A127)+COUNTIF(connections!$B$2:$B$1460,$A127))</f>
        <v>3</v>
      </c>
      <c r="E127">
        <f t="shared" si="13"/>
        <v>1</v>
      </c>
      <c r="F127">
        <f t="shared" si="14"/>
        <v>25</v>
      </c>
      <c r="G127">
        <f t="shared" si="15"/>
        <v>2023</v>
      </c>
      <c r="H127">
        <f t="shared" si="16"/>
        <v>1.575</v>
      </c>
      <c r="I127" t="e">
        <f t="shared" si="17"/>
        <v>#N/A</v>
      </c>
      <c r="J127" t="e">
        <f t="shared" si="18"/>
        <v>#N/A</v>
      </c>
      <c r="K127" t="e">
        <f t="shared" si="19"/>
        <v>#N/A</v>
      </c>
      <c r="L127" t="e">
        <f t="shared" si="20"/>
        <v>#N/A</v>
      </c>
      <c r="M127" t="e">
        <f t="shared" si="21"/>
        <v>#N/A</v>
      </c>
      <c r="N127" t="e">
        <f t="shared" si="22"/>
        <v>#N/A</v>
      </c>
      <c r="O127">
        <f t="shared" si="23"/>
        <v>3.000127</v>
      </c>
      <c r="P127" t="str">
        <f>IF(OR($A127="",games!$H127=""),"",games!$H127)</f>
        <v>Yes</v>
      </c>
      <c r="Q127">
        <f t="shared" si="24"/>
        <v>3.000127</v>
      </c>
      <c r="T127">
        <f>IF(connections!$A127="","",IFERROR(INDEX(games!$B$2:$B$950,MATCH(connections!$A127,games!$A$2:$A$950,0)),""))</f>
        <v>2023</v>
      </c>
      <c r="U127">
        <f>IF(connections!$A127="","",IFERROR(INDEX(games!$B$2:$B$950,MATCH(connections!$B127,games!$A$2:$A$950,0)),""))</f>
        <v>2025</v>
      </c>
      <c r="V127">
        <f t="shared" si="25"/>
        <v>2</v>
      </c>
    </row>
    <row r="128" spans="1:22" x14ac:dyDescent="0.25">
      <c r="A128" t="str">
        <f>IF(games!$A128="","",games!$A128)</f>
        <v>Choo Choo Survivor 2</v>
      </c>
      <c r="B128">
        <f>IF($A128="","",games!$B128)</f>
        <v>2025</v>
      </c>
      <c r="C128" t="str">
        <f>IF($A128="","",games!$C128)</f>
        <v>Action</v>
      </c>
      <c r="D128">
        <f>IF($A128="","",COUNTIF(connections!$A$2:$A$1460,$A128)+COUNTIF(connections!$B$2:$B$1460,$A128))</f>
        <v>1</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1.0001279999999999</v>
      </c>
      <c r="P128" t="str">
        <f>IF(OR($A128="",games!$H128=""),"",games!$H128)</f>
        <v>Yes</v>
      </c>
      <c r="Q128">
        <f t="shared" si="24"/>
        <v>1.0001279999999999</v>
      </c>
      <c r="T128">
        <f>IF(connections!$A128="","",IFERROR(INDEX(games!$B$2:$B$950,MATCH(connections!$A128,games!$A$2:$A$950,0)),""))</f>
        <v>2023</v>
      </c>
      <c r="U128">
        <f>IF(connections!$A128="","",IFERROR(INDEX(games!$B$2:$B$950,MATCH(connections!$B128,games!$A$2:$A$950,0)),""))</f>
        <v>2025</v>
      </c>
      <c r="V128">
        <f t="shared" si="25"/>
        <v>2</v>
      </c>
    </row>
    <row r="129" spans="1:22" x14ac:dyDescent="0.25">
      <c r="A129" t="str">
        <f>IF(games!$A129="","",games!$A129)</f>
        <v>Chosen Garden</v>
      </c>
      <c r="B129">
        <f>IF($A129="","",games!$B129)</f>
        <v>2026</v>
      </c>
      <c r="C129" t="str">
        <f>IF($A129="","",games!$C129)</f>
        <v>Deckbuilder</v>
      </c>
      <c r="D129">
        <f>IF($A129="","",COUNTIF(connections!$A$2:$A$1460,$A129)+COUNTIF(connections!$B$2:$B$1460,$A129))</f>
        <v>2</v>
      </c>
      <c r="E129">
        <f t="shared" si="13"/>
        <v>3</v>
      </c>
      <c r="F129">
        <f t="shared" si="14"/>
        <v>27</v>
      </c>
      <c r="G129" t="e">
        <f t="shared" si="15"/>
        <v>#N/A</v>
      </c>
      <c r="H129" t="e">
        <f t="shared" si="16"/>
        <v>#N/A</v>
      </c>
      <c r="I129" t="e">
        <f t="shared" si="17"/>
        <v>#N/A</v>
      </c>
      <c r="J129" t="e">
        <f t="shared" si="18"/>
        <v>#N/A</v>
      </c>
      <c r="K129">
        <f t="shared" si="19"/>
        <v>2026</v>
      </c>
      <c r="L129">
        <f t="shared" si="20"/>
        <v>3.621</v>
      </c>
      <c r="M129" t="e">
        <f t="shared" si="21"/>
        <v>#N/A</v>
      </c>
      <c r="N129" t="e">
        <f t="shared" si="22"/>
        <v>#N/A</v>
      </c>
      <c r="O129">
        <f t="shared" si="23"/>
        <v>2.0001289999999998</v>
      </c>
      <c r="P129" t="str">
        <f>IF(OR($A129="",games!$H129=""),"",games!$H129)</f>
        <v/>
      </c>
      <c r="Q129" t="str">
        <f t="shared" si="24"/>
        <v/>
      </c>
      <c r="T129">
        <f>IF(connections!$A129="","",IFERROR(INDEX(games!$B$2:$B$950,MATCH(connections!$A129,games!$A$2:$A$950,0)),""))</f>
        <v>2023</v>
      </c>
      <c r="U129">
        <f>IF(connections!$A129="","",IFERROR(INDEX(games!$B$2:$B$950,MATCH(connections!$B129,games!$A$2:$A$950,0)),""))</f>
        <v>2026</v>
      </c>
      <c r="V129">
        <f t="shared" si="25"/>
        <v>3</v>
      </c>
    </row>
    <row r="130" spans="1:22" x14ac:dyDescent="0.25">
      <c r="A130" t="str">
        <f>IF(games!$A130="","",games!$A130)</f>
        <v>Chrono Ark</v>
      </c>
      <c r="B130">
        <f>IF($A130="","",games!$B130)</f>
        <v>2019</v>
      </c>
      <c r="C130" t="str">
        <f>IF($A130="","",games!$C130)</f>
        <v>Deckbuilder</v>
      </c>
      <c r="D130">
        <f>IF($A130="","",COUNTIF(connections!$A$2:$A$1460,$A130)+COUNTIF(connections!$B$2:$B$1460,$A130))</f>
        <v>2</v>
      </c>
      <c r="E130">
        <f t="shared" ref="E130:E193" si="26">IF($A130="","",IFERROR(MATCH($C130,$R$2:$R$5,0),0))</f>
        <v>3</v>
      </c>
      <c r="F130">
        <f t="shared" ref="F130:F193" si="27">IF($A130="","",MOD(ROW(),34))</f>
        <v>28</v>
      </c>
      <c r="G130" t="e">
        <f t="shared" ref="G130:G193" si="28">IF($A130="",NA(),IF($C130="Action",$B130,NA()))</f>
        <v>#N/A</v>
      </c>
      <c r="H130" t="e">
        <f t="shared" ref="H130:H193" si="29">IF($A130="",NA(),IF($C130="Action",1+$F130*0.023,NA()))</f>
        <v>#N/A</v>
      </c>
      <c r="I130" t="e">
        <f t="shared" ref="I130:I193" si="30">IF($A130="",NA(),IF($C130="Strategy",$B130,NA()))</f>
        <v>#N/A</v>
      </c>
      <c r="J130" t="e">
        <f t="shared" ref="J130:J193" si="31">IF($A130="",NA(),IF($C130="Strategy",2+$F130*0.023,NA()))</f>
        <v>#N/A</v>
      </c>
      <c r="K130">
        <f t="shared" ref="K130:K193" si="32">IF($A130="",NA(),IF($C130="Deckbuilder",$B130,NA()))</f>
        <v>2019</v>
      </c>
      <c r="L130">
        <f t="shared" ref="L130:L193" si="33">IF($A130="",NA(),IF($C130="Deckbuilder",3+$F130*0.023,NA()))</f>
        <v>3.6440000000000001</v>
      </c>
      <c r="M130" t="e">
        <f t="shared" ref="M130:M193" si="34">IF($A130="",NA(),IF($C130="Traditional",$B130,NA()))</f>
        <v>#N/A</v>
      </c>
      <c r="N130" t="e">
        <f t="shared" ref="N130:N193" si="35">IF($A130="",NA(),IF($C130="Traditional",4+$F130*0.023,NA()))</f>
        <v>#N/A</v>
      </c>
      <c r="O130">
        <f t="shared" ref="O130:O193" si="36">IF($A130="","",$D130+ROW()/1000000)</f>
        <v>2.00013</v>
      </c>
      <c r="P130" t="str">
        <f>IF(OR($A130="",games!$H130=""),"",games!$H130)</f>
        <v>Yes</v>
      </c>
      <c r="Q130">
        <f t="shared" ref="Q130:Q193" si="37">IF(OR($A130="",$P130&lt;&gt;"Yes"),"",$D130+ROW()/1000000)</f>
        <v>2.00013</v>
      </c>
      <c r="T130">
        <f>IF(connections!$A130="","",IFERROR(INDEX(games!$B$2:$B$950,MATCH(connections!$A130,games!$A$2:$A$950,0)),""))</f>
        <v>2025</v>
      </c>
      <c r="U130">
        <f>IF(connections!$A130="","",IFERROR(INDEX(games!$B$2:$B$950,MATCH(connections!$B130,games!$A$2:$A$950,0)),""))</f>
        <v>2026</v>
      </c>
      <c r="V130">
        <f t="shared" ref="V130:V193" si="38">IF(OR($T130="",$U130=""),"",$U130-$T130)</f>
        <v>1</v>
      </c>
    </row>
    <row r="131" spans="1:22" x14ac:dyDescent="0.25">
      <c r="A131" t="str">
        <f>IF(games!$A131="","",games!$A131)</f>
        <v>Cinderia</v>
      </c>
      <c r="B131">
        <f>IF($A131="","",games!$B131)</f>
        <v>2026</v>
      </c>
      <c r="C131" t="str">
        <f>IF($A131="","",games!$C131)</f>
        <v>Action</v>
      </c>
      <c r="D131">
        <f>IF($A131="","",COUNTIF(connections!$A$2:$A$1460,$A131)+COUNTIF(connections!$B$2:$B$1460,$A131))</f>
        <v>2</v>
      </c>
      <c r="E131">
        <f t="shared" si="26"/>
        <v>1</v>
      </c>
      <c r="F131">
        <f t="shared" si="27"/>
        <v>29</v>
      </c>
      <c r="G131">
        <f t="shared" si="28"/>
        <v>2026</v>
      </c>
      <c r="H131">
        <f t="shared" si="29"/>
        <v>1.667</v>
      </c>
      <c r="I131" t="e">
        <f t="shared" si="30"/>
        <v>#N/A</v>
      </c>
      <c r="J131" t="e">
        <f t="shared" si="31"/>
        <v>#N/A</v>
      </c>
      <c r="K131" t="e">
        <f t="shared" si="32"/>
        <v>#N/A</v>
      </c>
      <c r="L131" t="e">
        <f t="shared" si="33"/>
        <v>#N/A</v>
      </c>
      <c r="M131" t="e">
        <f t="shared" si="34"/>
        <v>#N/A</v>
      </c>
      <c r="N131" t="e">
        <f t="shared" si="35"/>
        <v>#N/A</v>
      </c>
      <c r="O131">
        <f t="shared" si="36"/>
        <v>2.0001310000000001</v>
      </c>
      <c r="P131" t="str">
        <f>IF(OR($A131="",games!$H131=""),"",games!$H131)</f>
        <v/>
      </c>
      <c r="Q131" t="str">
        <f t="shared" si="37"/>
        <v/>
      </c>
      <c r="T131">
        <f>IF(connections!$A131="","",IFERROR(INDEX(games!$B$2:$B$950,MATCH(connections!$A131,games!$A$2:$A$950,0)),""))</f>
        <v>2024</v>
      </c>
      <c r="U131">
        <f>IF(connections!$A131="","",IFERROR(INDEX(games!$B$2:$B$950,MATCH(connections!$B131,games!$A$2:$A$950,0)),""))</f>
        <v>2026</v>
      </c>
      <c r="V131">
        <f t="shared" si="38"/>
        <v>2</v>
      </c>
    </row>
    <row r="132" spans="1:22" x14ac:dyDescent="0.25">
      <c r="A132" t="str">
        <f>IF(games!$A132="","",games!$A132)</f>
        <v>CleanFall</v>
      </c>
      <c r="B132">
        <f>IF($A132="","",games!$B132)</f>
        <v>2025</v>
      </c>
      <c r="C132" t="str">
        <f>IF($A132="","",games!$C132)</f>
        <v>Action</v>
      </c>
      <c r="D132">
        <f>IF($A132="","",COUNTIF(connections!$A$2:$A$1460,$A132)+COUNTIF(connections!$B$2:$B$1460,$A132))</f>
        <v>3</v>
      </c>
      <c r="E132">
        <f t="shared" si="26"/>
        <v>1</v>
      </c>
      <c r="F132">
        <f t="shared" si="27"/>
        <v>30</v>
      </c>
      <c r="G132">
        <f t="shared" si="28"/>
        <v>2025</v>
      </c>
      <c r="H132">
        <f t="shared" si="29"/>
        <v>1.69</v>
      </c>
      <c r="I132" t="e">
        <f t="shared" si="30"/>
        <v>#N/A</v>
      </c>
      <c r="J132" t="e">
        <f t="shared" si="31"/>
        <v>#N/A</v>
      </c>
      <c r="K132" t="e">
        <f t="shared" si="32"/>
        <v>#N/A</v>
      </c>
      <c r="L132" t="e">
        <f t="shared" si="33"/>
        <v>#N/A</v>
      </c>
      <c r="M132" t="e">
        <f t="shared" si="34"/>
        <v>#N/A</v>
      </c>
      <c r="N132" t="e">
        <f t="shared" si="35"/>
        <v>#N/A</v>
      </c>
      <c r="O132">
        <f t="shared" si="36"/>
        <v>3.0001319999999998</v>
      </c>
      <c r="P132" t="str">
        <f>IF(OR($A132="",games!$H132=""),"",games!$H132)</f>
        <v>Yes</v>
      </c>
      <c r="Q132">
        <f t="shared" si="37"/>
        <v>3.0001319999999998</v>
      </c>
      <c r="T132">
        <f>IF(connections!$A132="","",IFERROR(INDEX(games!$B$2:$B$950,MATCH(connections!$A132,games!$A$2:$A$950,0)),""))</f>
        <v>2024</v>
      </c>
      <c r="U132">
        <f>IF(connections!$A132="","",IFERROR(INDEX(games!$B$2:$B$950,MATCH(connections!$B132,games!$A$2:$A$950,0)),""))</f>
        <v>2026</v>
      </c>
      <c r="V132">
        <f t="shared" si="38"/>
        <v>2</v>
      </c>
    </row>
    <row r="133" spans="1:22" x14ac:dyDescent="0.25">
      <c r="A133" t="str">
        <f>IF(games!$A133="","",games!$A133)</f>
        <v>CloverPit</v>
      </c>
      <c r="B133">
        <f>IF($A133="","",games!$B133)</f>
        <v>2025</v>
      </c>
      <c r="C133" t="str">
        <f>IF($A133="","",games!$C133)</f>
        <v>Strategy</v>
      </c>
      <c r="D133">
        <f>IF($A133="","",COUNTIF(connections!$A$2:$A$1460,$A133)+COUNTIF(connections!$B$2:$B$1460,$A133))</f>
        <v>4</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4.0001329999999999</v>
      </c>
      <c r="P133" t="str">
        <f>IF(OR($A133="",games!$H133=""),"",games!$H133)</f>
        <v>Yes</v>
      </c>
      <c r="Q133">
        <f t="shared" si="37"/>
        <v>4.0001329999999999</v>
      </c>
      <c r="T133">
        <f>IF(connections!$A133="","",IFERROR(INDEX(games!$B$2:$B$950,MATCH(connections!$A133,games!$A$2:$A$950,0)),""))</f>
        <v>2024</v>
      </c>
      <c r="U133">
        <f>IF(connections!$A133="","",IFERROR(INDEX(games!$B$2:$B$950,MATCH(connections!$B133,games!$A$2:$A$950,0)),""))</f>
        <v>2025</v>
      </c>
      <c r="V133">
        <f t="shared" si="38"/>
        <v>1</v>
      </c>
    </row>
    <row r="134" spans="1:22" x14ac:dyDescent="0.25">
      <c r="A134" t="str">
        <f>IF(games!$A134="","",games!$A134)</f>
        <v>Cluckmech Oasis</v>
      </c>
      <c r="B134">
        <f>IF($A134="","",games!$B134)</f>
        <v>2024</v>
      </c>
      <c r="C134" t="str">
        <f>IF($A134="","",games!$C134)</f>
        <v>Strategy</v>
      </c>
      <c r="D134">
        <f>IF($A134="","",COUNTIF(connections!$A$2:$A$1460,$A134)+COUNTIF(connections!$B$2:$B$1460,$A134))</f>
        <v>3</v>
      </c>
      <c r="E134">
        <f t="shared" si="26"/>
        <v>2</v>
      </c>
      <c r="F134">
        <f t="shared" si="27"/>
        <v>32</v>
      </c>
      <c r="G134" t="e">
        <f t="shared" si="28"/>
        <v>#N/A</v>
      </c>
      <c r="H134" t="e">
        <f t="shared" si="29"/>
        <v>#N/A</v>
      </c>
      <c r="I134">
        <f t="shared" si="30"/>
        <v>2024</v>
      </c>
      <c r="J134">
        <f t="shared" si="31"/>
        <v>2.7359999999999998</v>
      </c>
      <c r="K134" t="e">
        <f t="shared" si="32"/>
        <v>#N/A</v>
      </c>
      <c r="L134" t="e">
        <f t="shared" si="33"/>
        <v>#N/A</v>
      </c>
      <c r="M134" t="e">
        <f t="shared" si="34"/>
        <v>#N/A</v>
      </c>
      <c r="N134" t="e">
        <f t="shared" si="35"/>
        <v>#N/A</v>
      </c>
      <c r="O134">
        <f t="shared" si="36"/>
        <v>3.0001340000000001</v>
      </c>
      <c r="P134" t="str">
        <f>IF(OR($A134="",games!$H134=""),"",games!$H134)</f>
        <v/>
      </c>
      <c r="Q134" t="str">
        <f t="shared" si="37"/>
        <v/>
      </c>
      <c r="T134">
        <f>IF(connections!$A134="","",IFERROR(INDEX(games!$B$2:$B$950,MATCH(connections!$A134,games!$A$2:$A$950,0)),""))</f>
        <v>1998</v>
      </c>
      <c r="U134">
        <f>IF(connections!$A134="","",IFERROR(INDEX(games!$B$2:$B$950,MATCH(connections!$B134,games!$A$2:$A$950,0)),""))</f>
        <v>2007</v>
      </c>
      <c r="V134">
        <f t="shared" si="38"/>
        <v>9</v>
      </c>
    </row>
    <row r="135" spans="1:22" x14ac:dyDescent="0.25">
      <c r="A135" t="str">
        <f>IF(games!$A135="","",games!$A135)</f>
        <v>Clutchtime: Basketball Deckbuilder</v>
      </c>
      <c r="B135">
        <f>IF($A135="","",games!$B135)</f>
        <v>2025</v>
      </c>
      <c r="C135" t="str">
        <f>IF($A135="","",games!$C135)</f>
        <v>Deckbuilder</v>
      </c>
      <c r="D135">
        <f>IF($A135="","",COUNTIF(connections!$A$2:$A$1460,$A135)+COUNTIF(connections!$B$2:$B$1460,$A135))</f>
        <v>1</v>
      </c>
      <c r="E135">
        <f t="shared" si="26"/>
        <v>3</v>
      </c>
      <c r="F135">
        <f t="shared" si="27"/>
        <v>33</v>
      </c>
      <c r="G135" t="e">
        <f t="shared" si="28"/>
        <v>#N/A</v>
      </c>
      <c r="H135" t="e">
        <f t="shared" si="29"/>
        <v>#N/A</v>
      </c>
      <c r="I135" t="e">
        <f t="shared" si="30"/>
        <v>#N/A</v>
      </c>
      <c r="J135" t="e">
        <f t="shared" si="31"/>
        <v>#N/A</v>
      </c>
      <c r="K135">
        <f t="shared" si="32"/>
        <v>2025</v>
      </c>
      <c r="L135">
        <f t="shared" si="33"/>
        <v>3.7589999999999999</v>
      </c>
      <c r="M135" t="e">
        <f t="shared" si="34"/>
        <v>#N/A</v>
      </c>
      <c r="N135" t="e">
        <f t="shared" si="35"/>
        <v>#N/A</v>
      </c>
      <c r="O135">
        <f t="shared" si="36"/>
        <v>1.000135</v>
      </c>
      <c r="P135" t="str">
        <f>IF(OR($A135="",games!$H135=""),"",games!$H135)</f>
        <v/>
      </c>
      <c r="Q135" t="str">
        <f t="shared" si="37"/>
        <v/>
      </c>
      <c r="T135">
        <f>IF(connections!$A135="","",IFERROR(INDEX(games!$B$2:$B$950,MATCH(connections!$A135,games!$A$2:$A$950,0)),""))</f>
        <v>1998</v>
      </c>
      <c r="U135">
        <f>IF(connections!$A135="","",IFERROR(INDEX(games!$B$2:$B$950,MATCH(connections!$B135,games!$A$2:$A$950,0)),""))</f>
        <v>2026</v>
      </c>
      <c r="V135">
        <f t="shared" si="38"/>
        <v>28</v>
      </c>
    </row>
    <row r="136" spans="1:22" x14ac:dyDescent="0.25">
      <c r="A136" t="str">
        <f>IF(games!$A136="","",games!$A136)</f>
        <v>Coal LLC</v>
      </c>
      <c r="B136">
        <f>IF($A136="","",games!$B136)</f>
        <v>2025</v>
      </c>
      <c r="C136" t="str">
        <f>IF($A136="","",games!$C136)</f>
        <v>Strategy</v>
      </c>
      <c r="D136">
        <f>IF($A136="","",COUNTIF(connections!$A$2:$A$1460,$A136)+COUNTIF(connections!$B$2:$B$1460,$A136))</f>
        <v>0</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1.36E-4</v>
      </c>
      <c r="P136" t="str">
        <f>IF(OR($A136="",games!$H136=""),"",games!$H136)</f>
        <v/>
      </c>
      <c r="Q136" t="str">
        <f t="shared" si="37"/>
        <v/>
      </c>
      <c r="T136">
        <f>IF(connections!$A136="","",IFERROR(INDEX(games!$B$2:$B$950,MATCH(connections!$A136,games!$A$2:$A$950,0)),""))</f>
        <v>1998</v>
      </c>
      <c r="U136">
        <f>IF(connections!$A136="","",IFERROR(INDEX(games!$B$2:$B$950,MATCH(connections!$B136,games!$A$2:$A$950,0)),""))</f>
        <v>2026</v>
      </c>
      <c r="V136">
        <f t="shared" si="38"/>
        <v>28</v>
      </c>
    </row>
    <row r="137" spans="1:22" x14ac:dyDescent="0.25">
      <c r="A137" t="str">
        <f>IF(games!$A137="","",games!$A137)</f>
        <v>Cobalt Core</v>
      </c>
      <c r="B137">
        <f>IF($A137="","",games!$B137)</f>
        <v>2023</v>
      </c>
      <c r="C137" t="str">
        <f>IF($A137="","",games!$C137)</f>
        <v>Deckbuilder</v>
      </c>
      <c r="D137">
        <f>IF($A137="","",COUNTIF(connections!$A$2:$A$1460,$A137)+COUNTIF(connections!$B$2:$B$1460,$A137))</f>
        <v>4</v>
      </c>
      <c r="E137">
        <f t="shared" si="26"/>
        <v>3</v>
      </c>
      <c r="F137">
        <f t="shared" si="27"/>
        <v>1</v>
      </c>
      <c r="G137" t="e">
        <f t="shared" si="28"/>
        <v>#N/A</v>
      </c>
      <c r="H137" t="e">
        <f t="shared" si="29"/>
        <v>#N/A</v>
      </c>
      <c r="I137" t="e">
        <f t="shared" si="30"/>
        <v>#N/A</v>
      </c>
      <c r="J137" t="e">
        <f t="shared" si="31"/>
        <v>#N/A</v>
      </c>
      <c r="K137">
        <f t="shared" si="32"/>
        <v>2023</v>
      </c>
      <c r="L137">
        <f t="shared" si="33"/>
        <v>3.0230000000000001</v>
      </c>
      <c r="M137" t="e">
        <f t="shared" si="34"/>
        <v>#N/A</v>
      </c>
      <c r="N137" t="e">
        <f t="shared" si="35"/>
        <v>#N/A</v>
      </c>
      <c r="O137">
        <f t="shared" si="36"/>
        <v>4.0001369999999996</v>
      </c>
      <c r="P137" t="str">
        <f>IF(OR($A137="",games!$H137=""),"",games!$H137)</f>
        <v>Yes</v>
      </c>
      <c r="Q137">
        <f t="shared" si="37"/>
        <v>4.0001369999999996</v>
      </c>
      <c r="T137">
        <f>IF(connections!$A137="","",IFERROR(INDEX(games!$B$2:$B$950,MATCH(connections!$A137,games!$A$2:$A$950,0)),""))</f>
        <v>2017</v>
      </c>
      <c r="U137">
        <f>IF(connections!$A137="","",IFERROR(INDEX(games!$B$2:$B$950,MATCH(connections!$B137,games!$A$2:$A$950,0)),""))</f>
        <v>2019</v>
      </c>
      <c r="V137">
        <f t="shared" si="38"/>
        <v>2</v>
      </c>
    </row>
    <row r="138" spans="1:22" x14ac:dyDescent="0.25">
      <c r="A138" t="str">
        <f>IF(games!$A138="","",games!$A138)</f>
        <v>Cogmind</v>
      </c>
      <c r="B138">
        <f>IF($A138="","",games!$B138)</f>
        <v>2017</v>
      </c>
      <c r="C138" t="str">
        <f>IF($A138="","",games!$C138)</f>
        <v>Traditional</v>
      </c>
      <c r="D138">
        <f>IF($A138="","",COUNTIF(connections!$A$2:$A$1460,$A138)+COUNTIF(connections!$B$2:$B$1460,$A138))</f>
        <v>3</v>
      </c>
      <c r="E138">
        <f t="shared" si="26"/>
        <v>4</v>
      </c>
      <c r="F138">
        <f t="shared" si="27"/>
        <v>2</v>
      </c>
      <c r="G138" t="e">
        <f t="shared" si="28"/>
        <v>#N/A</v>
      </c>
      <c r="H138" t="e">
        <f t="shared" si="29"/>
        <v>#N/A</v>
      </c>
      <c r="I138" t="e">
        <f t="shared" si="30"/>
        <v>#N/A</v>
      </c>
      <c r="J138" t="e">
        <f t="shared" si="31"/>
        <v>#N/A</v>
      </c>
      <c r="K138" t="e">
        <f t="shared" si="32"/>
        <v>#N/A</v>
      </c>
      <c r="L138" t="e">
        <f t="shared" si="33"/>
        <v>#N/A</v>
      </c>
      <c r="M138">
        <f t="shared" si="34"/>
        <v>2017</v>
      </c>
      <c r="N138">
        <f t="shared" si="35"/>
        <v>4.0460000000000003</v>
      </c>
      <c r="O138">
        <f t="shared" si="36"/>
        <v>3.0001380000000002</v>
      </c>
      <c r="P138" t="str">
        <f>IF(OR($A138="",games!$H138=""),"",games!$H138)</f>
        <v/>
      </c>
      <c r="Q138" t="str">
        <f t="shared" si="37"/>
        <v/>
      </c>
      <c r="T138">
        <f>IF(connections!$A138="","",IFERROR(INDEX(games!$B$2:$B$950,MATCH(connections!$A138,games!$A$2:$A$950,0)),""))</f>
        <v>2017</v>
      </c>
      <c r="U138">
        <f>IF(connections!$A138="","",IFERROR(INDEX(games!$B$2:$B$950,MATCH(connections!$B138,games!$A$2:$A$950,0)),""))</f>
        <v>2021</v>
      </c>
      <c r="V138">
        <f t="shared" si="38"/>
        <v>4</v>
      </c>
    </row>
    <row r="139" spans="1:22" x14ac:dyDescent="0.25">
      <c r="A139" t="str">
        <f>IF(games!$A139="","",games!$A139)</f>
        <v>Coin Crypt</v>
      </c>
      <c r="B139">
        <f>IF($A139="","",games!$B139)</f>
        <v>2013</v>
      </c>
      <c r="C139" t="str">
        <f>IF($A139="","",games!$C139)</f>
        <v>Deckbuilder</v>
      </c>
      <c r="D139">
        <f>IF($A139="","",COUNTIF(connections!$A$2:$A$1460,$A139)+COUNTIF(connections!$B$2:$B$1460,$A139))</f>
        <v>1</v>
      </c>
      <c r="E139">
        <f t="shared" si="26"/>
        <v>3</v>
      </c>
      <c r="F139">
        <f t="shared" si="27"/>
        <v>3</v>
      </c>
      <c r="G139" t="e">
        <f t="shared" si="28"/>
        <v>#N/A</v>
      </c>
      <c r="H139" t="e">
        <f t="shared" si="29"/>
        <v>#N/A</v>
      </c>
      <c r="I139" t="e">
        <f t="shared" si="30"/>
        <v>#N/A</v>
      </c>
      <c r="J139" t="e">
        <f t="shared" si="31"/>
        <v>#N/A</v>
      </c>
      <c r="K139">
        <f t="shared" si="32"/>
        <v>2013</v>
      </c>
      <c r="L139">
        <f t="shared" si="33"/>
        <v>3.069</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2019</v>
      </c>
      <c r="U139">
        <f>IF(connections!$A139="","",IFERROR(INDEX(games!$B$2:$B$950,MATCH(connections!$B139,games!$A$2:$A$950,0)),""))</f>
        <v>2020</v>
      </c>
      <c r="V139">
        <f t="shared" si="38"/>
        <v>1</v>
      </c>
    </row>
    <row r="140" spans="1:22" x14ac:dyDescent="0.25">
      <c r="A140" t="str">
        <f>IF(games!$A140="","",games!$A140)</f>
        <v>Colt Canyon</v>
      </c>
      <c r="B140">
        <f>IF($A140="","",games!$B140)</f>
        <v>2020</v>
      </c>
      <c r="C140" t="str">
        <f>IF($A140="","",games!$C140)</f>
        <v>Action</v>
      </c>
      <c r="D140">
        <f>IF($A140="","",COUNTIF(connections!$A$2:$A$1460,$A140)+COUNTIF(connections!$B$2:$B$1460,$A140))</f>
        <v>1</v>
      </c>
      <c r="E140">
        <f t="shared" si="26"/>
        <v>1</v>
      </c>
      <c r="F140">
        <f t="shared" si="27"/>
        <v>4</v>
      </c>
      <c r="G140">
        <f t="shared" si="28"/>
        <v>2020</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2023</v>
      </c>
      <c r="U140">
        <f>IF(connections!$A140="","",IFERROR(INDEX(games!$B$2:$B$950,MATCH(connections!$B140,games!$A$2:$A$950,0)),""))</f>
        <v>2024</v>
      </c>
      <c r="V140">
        <f t="shared" si="38"/>
        <v>1</v>
      </c>
    </row>
    <row r="141" spans="1:22" x14ac:dyDescent="0.25">
      <c r="A141" t="str">
        <f>IF(games!$A141="","",games!$A141)</f>
        <v>Combolands</v>
      </c>
      <c r="B141">
        <f>IF($A141="","",games!$B141)</f>
        <v>2026</v>
      </c>
      <c r="C141" t="str">
        <f>IF($A141="","",games!$C141)</f>
        <v>Strategy</v>
      </c>
      <c r="D141">
        <f>IF($A141="","",COUNTIF(connections!$A$2:$A$1460,$A141)+COUNTIF(connections!$B$2:$B$1460,$A141))</f>
        <v>2</v>
      </c>
      <c r="E141">
        <f t="shared" si="26"/>
        <v>2</v>
      </c>
      <c r="F141">
        <f t="shared" si="27"/>
        <v>5</v>
      </c>
      <c r="G141" t="e">
        <f t="shared" si="28"/>
        <v>#N/A</v>
      </c>
      <c r="H141" t="e">
        <f t="shared" si="29"/>
        <v>#N/A</v>
      </c>
      <c r="I141">
        <f t="shared" si="30"/>
        <v>2026</v>
      </c>
      <c r="J141">
        <f t="shared" si="31"/>
        <v>2.1150000000000002</v>
      </c>
      <c r="K141" t="e">
        <f t="shared" si="32"/>
        <v>#N/A</v>
      </c>
      <c r="L141" t="e">
        <f t="shared" si="33"/>
        <v>#N/A</v>
      </c>
      <c r="M141" t="e">
        <f t="shared" si="34"/>
        <v>#N/A</v>
      </c>
      <c r="N141" t="e">
        <f t="shared" si="35"/>
        <v>#N/A</v>
      </c>
      <c r="O141">
        <f t="shared" si="36"/>
        <v>2.0001410000000002</v>
      </c>
      <c r="P141" t="str">
        <f>IF(OR($A141="",games!$H141=""),"",games!$H141)</f>
        <v/>
      </c>
      <c r="Q141" t="str">
        <f t="shared" si="37"/>
        <v/>
      </c>
      <c r="T141">
        <f>IF(connections!$A141="","",IFERROR(INDEX(games!$B$2:$B$950,MATCH(connections!$A141,games!$A$2:$A$950,0)),""))</f>
        <v>2022</v>
      </c>
      <c r="U141">
        <f>IF(connections!$A141="","",IFERROR(INDEX(games!$B$2:$B$950,MATCH(connections!$B141,games!$A$2:$A$950,0)),""))</f>
        <v>2024</v>
      </c>
      <c r="V141">
        <f t="shared" si="38"/>
        <v>2</v>
      </c>
    </row>
    <row r="142" spans="1:22" x14ac:dyDescent="0.25">
      <c r="A142" t="str">
        <f>IF(games!$A142="","",games!$A142)</f>
        <v>Commander Quest</v>
      </c>
      <c r="B142">
        <f>IF($A142="","",games!$B142)</f>
        <v>2025</v>
      </c>
      <c r="C142" t="str">
        <f>IF($A142="","",games!$C142)</f>
        <v>Deckbuilder</v>
      </c>
      <c r="D142">
        <f>IF($A142="","",COUNTIF(connections!$A$2:$A$1460,$A142)+COUNTIF(connections!$B$2:$B$1460,$A142))</f>
        <v>1</v>
      </c>
      <c r="E142">
        <f t="shared" si="26"/>
        <v>3</v>
      </c>
      <c r="F142">
        <f t="shared" si="27"/>
        <v>6</v>
      </c>
      <c r="G142" t="e">
        <f t="shared" si="28"/>
        <v>#N/A</v>
      </c>
      <c r="H142" t="e">
        <f t="shared" si="29"/>
        <v>#N/A</v>
      </c>
      <c r="I142" t="e">
        <f t="shared" si="30"/>
        <v>#N/A</v>
      </c>
      <c r="J142" t="e">
        <f t="shared" si="31"/>
        <v>#N/A</v>
      </c>
      <c r="K142">
        <f t="shared" si="32"/>
        <v>2025</v>
      </c>
      <c r="L142">
        <f t="shared" si="33"/>
        <v>3.1379999999999999</v>
      </c>
      <c r="M142" t="e">
        <f t="shared" si="34"/>
        <v>#N/A</v>
      </c>
      <c r="N142" t="e">
        <f t="shared" si="35"/>
        <v>#N/A</v>
      </c>
      <c r="O142">
        <f t="shared" si="36"/>
        <v>1.0001420000000001</v>
      </c>
      <c r="P142" t="str">
        <f>IF(OR($A142="",games!$H142=""),"",games!$H142)</f>
        <v/>
      </c>
      <c r="Q142" t="str">
        <f t="shared" si="37"/>
        <v/>
      </c>
      <c r="T142">
        <f>IF(connections!$A142="","",IFERROR(INDEX(games!$B$2:$B$950,MATCH(connections!$A142,games!$A$2:$A$950,0)),""))</f>
        <v>2022</v>
      </c>
      <c r="U142">
        <f>IF(connections!$A142="","",IFERROR(INDEX(games!$B$2:$B$950,MATCH(connections!$B142,games!$A$2:$A$950,0)),""))</f>
        <v>2023</v>
      </c>
      <c r="V142">
        <f t="shared" si="38"/>
        <v>1</v>
      </c>
    </row>
    <row r="143" spans="1:22" x14ac:dyDescent="0.25">
      <c r="A143" t="str">
        <f>IF(games!$A143="","",games!$A143)</f>
        <v>Conan Chop Chop</v>
      </c>
      <c r="B143">
        <f>IF($A143="","",games!$B143)</f>
        <v>2022</v>
      </c>
      <c r="C143" t="str">
        <f>IF($A143="","",games!$C143)</f>
        <v>Action</v>
      </c>
      <c r="D143">
        <f>IF($A143="","",COUNTIF(connections!$A$2:$A$1460,$A143)+COUNTIF(connections!$B$2:$B$1460,$A143))</f>
        <v>1</v>
      </c>
      <c r="E143">
        <f t="shared" si="26"/>
        <v>1</v>
      </c>
      <c r="F143">
        <f t="shared" si="27"/>
        <v>7</v>
      </c>
      <c r="G143">
        <f t="shared" si="28"/>
        <v>2022</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2022</v>
      </c>
      <c r="U143">
        <f>IF(connections!$A143="","",IFERROR(INDEX(games!$B$2:$B$950,MATCH(connections!$B143,games!$A$2:$A$950,0)),""))</f>
        <v>2024</v>
      </c>
      <c r="V143">
        <f t="shared" si="38"/>
        <v>2</v>
      </c>
    </row>
    <row r="144" spans="1:22" x14ac:dyDescent="0.25">
      <c r="A144" t="str">
        <f>IF(games!$A144="","",games!$A144)</f>
        <v>Convoy</v>
      </c>
      <c r="B144">
        <f>IF($A144="","",games!$B144)</f>
        <v>2015</v>
      </c>
      <c r="C144" t="str">
        <f>IF($A144="","",games!$C144)</f>
        <v>Strategy</v>
      </c>
      <c r="D144">
        <f>IF($A144="","",COUNTIF(connections!$A$2:$A$1460,$A144)+COUNTIF(connections!$B$2:$B$1460,$A144))</f>
        <v>1</v>
      </c>
      <c r="E144">
        <f t="shared" si="26"/>
        <v>2</v>
      </c>
      <c r="F144">
        <f t="shared" si="27"/>
        <v>8</v>
      </c>
      <c r="G144" t="e">
        <f t="shared" si="28"/>
        <v>#N/A</v>
      </c>
      <c r="H144" t="e">
        <f t="shared" si="29"/>
        <v>#N/A</v>
      </c>
      <c r="I144">
        <f t="shared" si="30"/>
        <v>2015</v>
      </c>
      <c r="J144">
        <f t="shared" si="31"/>
        <v>2.1840000000000002</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Core Defense</v>
      </c>
      <c r="B145">
        <f>IF($A145="","",games!$B145)</f>
        <v>2020</v>
      </c>
      <c r="C145" t="str">
        <f>IF($A145="","",games!$C145)</f>
        <v>Strategy</v>
      </c>
      <c r="D145">
        <f>IF($A145="","",COUNTIF(connections!$A$2:$A$1460,$A145)+COUNTIF(connections!$B$2:$B$1460,$A145))</f>
        <v>2</v>
      </c>
      <c r="E145">
        <f t="shared" si="26"/>
        <v>2</v>
      </c>
      <c r="F145">
        <f t="shared" si="27"/>
        <v>9</v>
      </c>
      <c r="G145" t="e">
        <f t="shared" si="28"/>
        <v>#N/A</v>
      </c>
      <c r="H145" t="e">
        <f t="shared" si="29"/>
        <v>#N/A</v>
      </c>
      <c r="I145">
        <f t="shared" si="30"/>
        <v>2020</v>
      </c>
      <c r="J145">
        <f t="shared" si="31"/>
        <v>2.2069999999999999</v>
      </c>
      <c r="K145" t="e">
        <f t="shared" si="32"/>
        <v>#N/A</v>
      </c>
      <c r="L145" t="e">
        <f t="shared" si="33"/>
        <v>#N/A</v>
      </c>
      <c r="M145" t="e">
        <f t="shared" si="34"/>
        <v>#N/A</v>
      </c>
      <c r="N145" t="e">
        <f t="shared" si="35"/>
        <v>#N/A</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Corpse Keeper</v>
      </c>
      <c r="B146">
        <f>IF($A146="","",games!$B146)</f>
        <v>2023</v>
      </c>
      <c r="C146" t="str">
        <f>IF($A146="","",games!$C146)</f>
        <v>Action</v>
      </c>
      <c r="D146">
        <f>IF($A146="","",COUNTIF(connections!$A$2:$A$1460,$A146)+COUNTIF(connections!$B$2:$B$1460,$A146))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2009</v>
      </c>
      <c r="U146">
        <f>IF(connections!$A146="","",IFERROR(INDEX(games!$B$2:$B$950,MATCH(connections!$B146,games!$A$2:$A$950,0)),""))</f>
        <v>2025</v>
      </c>
      <c r="V146">
        <f t="shared" si="38"/>
        <v>16</v>
      </c>
    </row>
    <row r="147" spans="1:22" x14ac:dyDescent="0.25">
      <c r="A147" t="str">
        <f>IF(games!$A147="","",games!$A147)</f>
        <v>Crab Champions</v>
      </c>
      <c r="B147">
        <f>IF($A147="","",games!$B147)</f>
        <v>2023</v>
      </c>
      <c r="C147" t="str">
        <f>IF($A147="","",games!$C147)</f>
        <v>Action</v>
      </c>
      <c r="D147">
        <f>IF($A147="","",COUNTIF(connections!$A$2:$A$1460,$A147)+COUNTIF(connections!$B$2:$B$1460,$A147))</f>
        <v>9</v>
      </c>
      <c r="E147">
        <f t="shared" si="26"/>
        <v>1</v>
      </c>
      <c r="F147">
        <f t="shared" si="27"/>
        <v>11</v>
      </c>
      <c r="G147">
        <f t="shared" si="28"/>
        <v>2023</v>
      </c>
      <c r="H147">
        <f t="shared" si="29"/>
        <v>1.2530000000000001</v>
      </c>
      <c r="I147" t="e">
        <f t="shared" si="30"/>
        <v>#N/A</v>
      </c>
      <c r="J147" t="e">
        <f t="shared" si="31"/>
        <v>#N/A</v>
      </c>
      <c r="K147" t="e">
        <f t="shared" si="32"/>
        <v>#N/A</v>
      </c>
      <c r="L147" t="e">
        <f t="shared" si="33"/>
        <v>#N/A</v>
      </c>
      <c r="M147" t="e">
        <f t="shared" si="34"/>
        <v>#N/A</v>
      </c>
      <c r="N147" t="e">
        <f t="shared" si="35"/>
        <v>#N/A</v>
      </c>
      <c r="O147">
        <f t="shared" si="36"/>
        <v>9.0001470000000001</v>
      </c>
      <c r="P147" t="str">
        <f>IF(OR($A147="",games!$H147=""),"",games!$H147)</f>
        <v>Yes</v>
      </c>
      <c r="Q147">
        <f t="shared" si="37"/>
        <v>9.0001470000000001</v>
      </c>
      <c r="T147">
        <f>IF(connections!$A147="","",IFERROR(INDEX(games!$B$2:$B$950,MATCH(connections!$A147,games!$A$2:$A$950,0)),""))</f>
        <v>2009</v>
      </c>
      <c r="U147">
        <f>IF(connections!$A147="","",IFERROR(INDEX(games!$B$2:$B$950,MATCH(connections!$B147,games!$A$2:$A$950,0)),""))</f>
        <v>2020</v>
      </c>
      <c r="V147">
        <f t="shared" si="38"/>
        <v>11</v>
      </c>
    </row>
    <row r="148" spans="1:22" x14ac:dyDescent="0.25">
      <c r="A148" t="str">
        <f>IF(games!$A148="","",games!$A148)</f>
        <v>Crablike</v>
      </c>
      <c r="B148">
        <f>IF($A148="","",games!$B148)</f>
        <v>2025</v>
      </c>
      <c r="C148" t="str">
        <f>IF($A148="","",games!$C148)</f>
        <v>Traditional</v>
      </c>
      <c r="D148">
        <f>IF($A148="","",COUNTIF(connections!$A$2:$A$1460,$A148)+COUNTIF(connections!$B$2:$B$1460,$A148))</f>
        <v>2</v>
      </c>
      <c r="E148">
        <f t="shared" si="26"/>
        <v>4</v>
      </c>
      <c r="F148">
        <f t="shared" si="27"/>
        <v>12</v>
      </c>
      <c r="G148" t="e">
        <f t="shared" si="28"/>
        <v>#N/A</v>
      </c>
      <c r="H148" t="e">
        <f t="shared" si="29"/>
        <v>#N/A</v>
      </c>
      <c r="I148" t="e">
        <f t="shared" si="30"/>
        <v>#N/A</v>
      </c>
      <c r="J148" t="e">
        <f t="shared" si="31"/>
        <v>#N/A</v>
      </c>
      <c r="K148" t="e">
        <f t="shared" si="32"/>
        <v>#N/A</v>
      </c>
      <c r="L148" t="e">
        <f t="shared" si="33"/>
        <v>#N/A</v>
      </c>
      <c r="M148">
        <f t="shared" si="34"/>
        <v>2025</v>
      </c>
      <c r="N148">
        <f t="shared" si="35"/>
        <v>4.2759999999999998</v>
      </c>
      <c r="O148">
        <f t="shared" si="36"/>
        <v>2.0001479999999998</v>
      </c>
      <c r="P148" t="str">
        <f>IF(OR($A148="",games!$H148=""),"",games!$H148)</f>
        <v>Yes</v>
      </c>
      <c r="Q148">
        <f t="shared" si="37"/>
        <v>2.0001479999999998</v>
      </c>
      <c r="T148">
        <f>IF(connections!$A148="","",IFERROR(INDEX(games!$B$2:$B$950,MATCH(connections!$A148,games!$A$2:$A$950,0)),""))</f>
        <v>2009</v>
      </c>
      <c r="U148">
        <f>IF(connections!$A148="","",IFERROR(INDEX(games!$B$2:$B$950,MATCH(connections!$B148,games!$A$2:$A$950,0)),""))</f>
        <v>2023</v>
      </c>
      <c r="V148">
        <f t="shared" si="38"/>
        <v>14</v>
      </c>
    </row>
    <row r="149" spans="1:22" x14ac:dyDescent="0.25">
      <c r="A149" t="str">
        <f>IF(games!$A149="","",games!$A149)</f>
        <v>Crafty Survivors</v>
      </c>
      <c r="B149">
        <f>IF($A149="","",games!$B149)</f>
        <v>2023</v>
      </c>
      <c r="C149" t="str">
        <f>IF($A149="","",games!$C149)</f>
        <v>Action</v>
      </c>
      <c r="D149">
        <f>IF($A149="","",COUNTIF(connections!$A$2:$A$1460,$A149)+COUNTIF(connections!$B$2:$B$1460,$A149))</f>
        <v>1</v>
      </c>
      <c r="E149">
        <f t="shared" si="26"/>
        <v>1</v>
      </c>
      <c r="F149">
        <f t="shared" si="27"/>
        <v>13</v>
      </c>
      <c r="G149">
        <f t="shared" si="28"/>
        <v>2023</v>
      </c>
      <c r="H149">
        <f t="shared" si="29"/>
        <v>1.2989999999999999</v>
      </c>
      <c r="I149" t="e">
        <f t="shared" si="30"/>
        <v>#N/A</v>
      </c>
      <c r="J149" t="e">
        <f t="shared" si="31"/>
        <v>#N/A</v>
      </c>
      <c r="K149" t="e">
        <f t="shared" si="32"/>
        <v>#N/A</v>
      </c>
      <c r="L149" t="e">
        <f t="shared" si="33"/>
        <v>#N/A</v>
      </c>
      <c r="M149" t="e">
        <f t="shared" si="34"/>
        <v>#N/A</v>
      </c>
      <c r="N149" t="e">
        <f t="shared" si="35"/>
        <v>#N/A</v>
      </c>
      <c r="O149">
        <f t="shared" si="36"/>
        <v>1.000149</v>
      </c>
      <c r="P149" t="str">
        <f>IF(OR($A149="",games!$H149=""),"",games!$H149)</f>
        <v>Yes</v>
      </c>
      <c r="Q149">
        <f t="shared" si="37"/>
        <v>1.000149</v>
      </c>
      <c r="T149">
        <f>IF(connections!$A149="","",IFERROR(INDEX(games!$B$2:$B$950,MATCH(connections!$A149,games!$A$2:$A$950,0)),""))</f>
        <v>2009</v>
      </c>
      <c r="U149">
        <f>IF(connections!$A149="","",IFERROR(INDEX(games!$B$2:$B$950,MATCH(connections!$B149,games!$A$2:$A$950,0)),""))</f>
        <v>2012</v>
      </c>
      <c r="V149">
        <f t="shared" si="38"/>
        <v>3</v>
      </c>
    </row>
    <row r="150" spans="1:22" x14ac:dyDescent="0.25">
      <c r="A150" t="str">
        <f>IF(games!$A150="","",games!$A150)</f>
        <v>Crawl</v>
      </c>
      <c r="B150">
        <f>IF($A150="","",games!$B150)</f>
        <v>2017</v>
      </c>
      <c r="C150" t="str">
        <f>IF($A150="","",games!$C150)</f>
        <v>Action</v>
      </c>
      <c r="D150">
        <f>IF($A150="","",COUNTIF(connections!$A$2:$A$1460,$A150)+COUNTIF(connections!$B$2:$B$1460,$A150))</f>
        <v>2</v>
      </c>
      <c r="E150">
        <f t="shared" si="26"/>
        <v>1</v>
      </c>
      <c r="F150">
        <f t="shared" si="27"/>
        <v>14</v>
      </c>
      <c r="G150">
        <f t="shared" si="28"/>
        <v>2017</v>
      </c>
      <c r="H150">
        <f t="shared" si="29"/>
        <v>1.3220000000000001</v>
      </c>
      <c r="I150" t="e">
        <f t="shared" si="30"/>
        <v>#N/A</v>
      </c>
      <c r="J150" t="e">
        <f t="shared" si="31"/>
        <v>#N/A</v>
      </c>
      <c r="K150" t="e">
        <f t="shared" si="32"/>
        <v>#N/A</v>
      </c>
      <c r="L150" t="e">
        <f t="shared" si="33"/>
        <v>#N/A</v>
      </c>
      <c r="M150" t="e">
        <f t="shared" si="34"/>
        <v>#N/A</v>
      </c>
      <c r="N150" t="e">
        <f t="shared" si="35"/>
        <v>#N/A</v>
      </c>
      <c r="O150">
        <f t="shared" si="36"/>
        <v>2.0001500000000001</v>
      </c>
      <c r="P150" t="str">
        <f>IF(OR($A150="",games!$H150=""),"",games!$H150)</f>
        <v>Yes</v>
      </c>
      <c r="Q150">
        <f t="shared" si="37"/>
        <v>2.0001500000000001</v>
      </c>
      <c r="T150">
        <f>IF(connections!$A150="","",IFERROR(INDEX(games!$B$2:$B$950,MATCH(connections!$A150,games!$A$2:$A$950,0)),""))</f>
        <v>2009</v>
      </c>
      <c r="U150">
        <f>IF(connections!$A150="","",IFERROR(INDEX(games!$B$2:$B$950,MATCH(connections!$B150,games!$A$2:$A$950,0)),""))</f>
        <v>2020</v>
      </c>
      <c r="V150">
        <f t="shared" si="38"/>
        <v>11</v>
      </c>
    </row>
    <row r="151" spans="1:22" x14ac:dyDescent="0.25">
      <c r="A151" t="str">
        <f>IF(games!$A151="","",games!$A151)</f>
        <v>Crop Rotation</v>
      </c>
      <c r="B151">
        <f>IF($A151="","",games!$B151)</f>
        <v>2023</v>
      </c>
      <c r="C151" t="str">
        <f>IF($A151="","",games!$C151)</f>
        <v>Deckbuilder</v>
      </c>
      <c r="D151">
        <f>IF($A151="","",COUNTIF(connections!$A$2:$A$1460,$A151)+COUNTIF(connections!$B$2:$B$1460,$A151))</f>
        <v>1</v>
      </c>
      <c r="E151">
        <f t="shared" si="26"/>
        <v>3</v>
      </c>
      <c r="F151">
        <f t="shared" si="27"/>
        <v>15</v>
      </c>
      <c r="G151" t="e">
        <f t="shared" si="28"/>
        <v>#N/A</v>
      </c>
      <c r="H151" t="e">
        <f t="shared" si="29"/>
        <v>#N/A</v>
      </c>
      <c r="I151" t="e">
        <f t="shared" si="30"/>
        <v>#N/A</v>
      </c>
      <c r="J151" t="e">
        <f t="shared" si="31"/>
        <v>#N/A</v>
      </c>
      <c r="K151">
        <f t="shared" si="32"/>
        <v>2023</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2009</v>
      </c>
      <c r="U151">
        <f>IF(connections!$A151="","",IFERROR(INDEX(games!$B$2:$B$950,MATCH(connections!$B151,games!$A$2:$A$950,0)),""))</f>
        <v>2023</v>
      </c>
      <c r="V151">
        <f t="shared" si="38"/>
        <v>14</v>
      </c>
    </row>
    <row r="152" spans="1:22" x14ac:dyDescent="0.25">
      <c r="A152" t="str">
        <f>IF(games!$A152="","",games!$A152)</f>
        <v>Cropdeck</v>
      </c>
      <c r="B152">
        <f>IF($A152="","",games!$B152)</f>
        <v>2026</v>
      </c>
      <c r="C152" t="str">
        <f>IF($A152="","",games!$C152)</f>
        <v>Deckbuilder</v>
      </c>
      <c r="D152">
        <f>IF($A152="","",COUNTIF(connections!$A$2:$A$1460,$A152)+COUNTIF(connections!$B$2:$B$1460,$A152))</f>
        <v>3</v>
      </c>
      <c r="E152">
        <f t="shared" si="26"/>
        <v>3</v>
      </c>
      <c r="F152">
        <f t="shared" si="27"/>
        <v>16</v>
      </c>
      <c r="G152" t="e">
        <f t="shared" si="28"/>
        <v>#N/A</v>
      </c>
      <c r="H152" t="e">
        <f t="shared" si="29"/>
        <v>#N/A</v>
      </c>
      <c r="I152" t="e">
        <f t="shared" si="30"/>
        <v>#N/A</v>
      </c>
      <c r="J152" t="e">
        <f t="shared" si="31"/>
        <v>#N/A</v>
      </c>
      <c r="K152">
        <f t="shared" si="32"/>
        <v>2026</v>
      </c>
      <c r="L152">
        <f t="shared" si="33"/>
        <v>3.3679999999999999</v>
      </c>
      <c r="M152" t="e">
        <f t="shared" si="34"/>
        <v>#N/A</v>
      </c>
      <c r="N152" t="e">
        <f t="shared" si="35"/>
        <v>#N/A</v>
      </c>
      <c r="O152">
        <f t="shared" si="36"/>
        <v>3.0001519999999999</v>
      </c>
      <c r="P152" t="str">
        <f>IF(OR($A152="",games!$H152=""),"",games!$H152)</f>
        <v/>
      </c>
      <c r="Q152" t="str">
        <f t="shared" si="37"/>
        <v/>
      </c>
      <c r="T152">
        <f>IF(connections!$A152="","",IFERROR(INDEX(games!$B$2:$B$950,MATCH(connections!$A152,games!$A$2:$A$950,0)),""))</f>
        <v>2009</v>
      </c>
      <c r="U152">
        <f>IF(connections!$A152="","",IFERROR(INDEX(games!$B$2:$B$950,MATCH(connections!$B152,games!$A$2:$A$950,0)),""))</f>
        <v>2016</v>
      </c>
      <c r="V152">
        <f t="shared" si="38"/>
        <v>7</v>
      </c>
    </row>
    <row r="153" spans="1:22" x14ac:dyDescent="0.25">
      <c r="A153" t="str">
        <f>IF(games!$A153="","",games!$A153)</f>
        <v>Cross Blitz</v>
      </c>
      <c r="B153">
        <f>IF($A153="","",games!$B153)</f>
        <v>2023</v>
      </c>
      <c r="C153" t="str">
        <f>IF($A153="","",games!$C153)</f>
        <v>Deckbuilder</v>
      </c>
      <c r="D153">
        <f>IF($A153="","",COUNTIF(connections!$A$2:$A$1460,$A153)+COUNTIF(connections!$B$2:$B$1460,$A153))</f>
        <v>3</v>
      </c>
      <c r="E153">
        <f t="shared" si="26"/>
        <v>3</v>
      </c>
      <c r="F153">
        <f t="shared" si="27"/>
        <v>17</v>
      </c>
      <c r="G153" t="e">
        <f t="shared" si="28"/>
        <v>#N/A</v>
      </c>
      <c r="H153" t="e">
        <f t="shared" si="29"/>
        <v>#N/A</v>
      </c>
      <c r="I153" t="e">
        <f t="shared" si="30"/>
        <v>#N/A</v>
      </c>
      <c r="J153" t="e">
        <f t="shared" si="31"/>
        <v>#N/A</v>
      </c>
      <c r="K153">
        <f t="shared" si="32"/>
        <v>2023</v>
      </c>
      <c r="L153">
        <f t="shared" si="33"/>
        <v>3.391</v>
      </c>
      <c r="M153" t="e">
        <f t="shared" si="34"/>
        <v>#N/A</v>
      </c>
      <c r="N153" t="e">
        <f t="shared" si="35"/>
        <v>#N/A</v>
      </c>
      <c r="O153">
        <f t="shared" si="36"/>
        <v>3.0001530000000001</v>
      </c>
      <c r="P153" t="str">
        <f>IF(OR($A153="",games!$H153=""),"",games!$H153)</f>
        <v>Yes</v>
      </c>
      <c r="Q153">
        <f t="shared" si="37"/>
        <v>3.0001530000000001</v>
      </c>
      <c r="T153">
        <f>IF(connections!$A153="","",IFERROR(INDEX(games!$B$2:$B$950,MATCH(connections!$A153,games!$A$2:$A$950,0)),""))</f>
        <v>2009</v>
      </c>
      <c r="U153">
        <f>IF(connections!$A153="","",IFERROR(INDEX(games!$B$2:$B$950,MATCH(connections!$B153,games!$A$2:$A$950,0)),""))</f>
        <v>2017</v>
      </c>
      <c r="V153">
        <f t="shared" si="38"/>
        <v>8</v>
      </c>
    </row>
    <row r="154" spans="1:22" x14ac:dyDescent="0.25">
      <c r="A154" t="str">
        <f>IF(games!$A154="","",games!$A154)</f>
        <v>Crown Trick</v>
      </c>
      <c r="B154">
        <f>IF($A154="","",games!$B154)</f>
        <v>2020</v>
      </c>
      <c r="C154" t="str">
        <f>IF($A154="","",games!$C154)</f>
        <v>Strategy</v>
      </c>
      <c r="D154">
        <f>IF($A154="","",COUNTIF(connections!$A$2:$A$1460,$A154)+COUNTIF(connections!$B$2:$B$1460,$A154))</f>
        <v>1</v>
      </c>
      <c r="E154">
        <f t="shared" si="26"/>
        <v>2</v>
      </c>
      <c r="F154">
        <f t="shared" si="27"/>
        <v>18</v>
      </c>
      <c r="G154" t="e">
        <f t="shared" si="28"/>
        <v>#N/A</v>
      </c>
      <c r="H154" t="e">
        <f t="shared" si="29"/>
        <v>#N/A</v>
      </c>
      <c r="I154">
        <f t="shared" si="30"/>
        <v>2020</v>
      </c>
      <c r="J154">
        <f t="shared" si="31"/>
        <v>2.4140000000000001</v>
      </c>
      <c r="K154" t="e">
        <f t="shared" si="32"/>
        <v>#N/A</v>
      </c>
      <c r="L154" t="e">
        <f t="shared" si="33"/>
        <v>#N/A</v>
      </c>
      <c r="M154" t="e">
        <f t="shared" si="34"/>
        <v>#N/A</v>
      </c>
      <c r="N154" t="e">
        <f t="shared" si="35"/>
        <v>#N/A</v>
      </c>
      <c r="O154">
        <f t="shared" si="36"/>
        <v>1.000154</v>
      </c>
      <c r="P154" t="str">
        <f>IF(OR($A154="",games!$H154=""),"",games!$H154)</f>
        <v>Yes</v>
      </c>
      <c r="Q154">
        <f t="shared" si="37"/>
        <v>1.000154</v>
      </c>
      <c r="T154">
        <f>IF(connections!$A154="","",IFERROR(INDEX(games!$B$2:$B$950,MATCH(connections!$A154,games!$A$2:$A$950,0)),""))</f>
        <v>2009</v>
      </c>
      <c r="U154">
        <f>IF(connections!$A154="","",IFERROR(INDEX(games!$B$2:$B$950,MATCH(connections!$B154,games!$A$2:$A$950,0)),""))</f>
        <v>2023</v>
      </c>
      <c r="V154">
        <f t="shared" si="38"/>
        <v>14</v>
      </c>
    </row>
    <row r="155" spans="1:22" x14ac:dyDescent="0.25">
      <c r="A155" t="str">
        <f>IF(games!$A155="","",games!$A155)</f>
        <v>Crush the Industry</v>
      </c>
      <c r="B155">
        <f>IF($A155="","",games!$B155)</f>
        <v>2025</v>
      </c>
      <c r="C155" t="str">
        <f>IF($A155="","",games!$C155)</f>
        <v>Deckbuilder</v>
      </c>
      <c r="D155">
        <f>IF($A155="","",COUNTIF(connections!$A$2:$A$1460,$A155)+COUNTIF(connections!$B$2:$B$1460,$A155))</f>
        <v>1</v>
      </c>
      <c r="E155">
        <f t="shared" si="26"/>
        <v>3</v>
      </c>
      <c r="F155">
        <f t="shared" si="27"/>
        <v>19</v>
      </c>
      <c r="G155" t="e">
        <f t="shared" si="28"/>
        <v>#N/A</v>
      </c>
      <c r="H155" t="e">
        <f t="shared" si="29"/>
        <v>#N/A</v>
      </c>
      <c r="I155" t="e">
        <f t="shared" si="30"/>
        <v>#N/A</v>
      </c>
      <c r="J155" t="e">
        <f t="shared" si="31"/>
        <v>#N/A</v>
      </c>
      <c r="K155">
        <f t="shared" si="32"/>
        <v>2025</v>
      </c>
      <c r="L155">
        <f t="shared" si="33"/>
        <v>3.4369999999999998</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2022</v>
      </c>
      <c r="U155">
        <f>IF(connections!$A155="","",IFERROR(INDEX(games!$B$2:$B$950,MATCH(connections!$B155,games!$A$2:$A$950,0)),""))</f>
        <v>2026</v>
      </c>
      <c r="V155">
        <f t="shared" si="38"/>
        <v>4</v>
      </c>
    </row>
    <row r="156" spans="1:22" x14ac:dyDescent="0.25">
      <c r="A156" t="str">
        <f>IF(games!$A156="","",games!$A156)</f>
        <v>Crying Suns</v>
      </c>
      <c r="B156">
        <f>IF($A156="","",games!$B156)</f>
        <v>2019</v>
      </c>
      <c r="C156" t="str">
        <f>IF($A156="","",games!$C156)</f>
        <v>Strategy</v>
      </c>
      <c r="D156">
        <f>IF($A156="","",COUNTIF(connections!$A$2:$A$1460,$A156)+COUNTIF(connections!$B$2:$B$1460,$A156))</f>
        <v>1</v>
      </c>
      <c r="E156">
        <f t="shared" si="26"/>
        <v>2</v>
      </c>
      <c r="F156">
        <f t="shared" si="27"/>
        <v>20</v>
      </c>
      <c r="G156" t="e">
        <f t="shared" si="28"/>
        <v>#N/A</v>
      </c>
      <c r="H156" t="e">
        <f t="shared" si="29"/>
        <v>#N/A</v>
      </c>
      <c r="I156">
        <f t="shared" si="30"/>
        <v>2019</v>
      </c>
      <c r="J156">
        <f t="shared" si="31"/>
        <v>2.46</v>
      </c>
      <c r="K156" t="e">
        <f t="shared" si="32"/>
        <v>#N/A</v>
      </c>
      <c r="L156" t="e">
        <f t="shared" si="33"/>
        <v>#N/A</v>
      </c>
      <c r="M156" t="e">
        <f t="shared" si="34"/>
        <v>#N/A</v>
      </c>
      <c r="N156" t="e">
        <f t="shared" si="35"/>
        <v>#N/A</v>
      </c>
      <c r="O156">
        <f t="shared" si="36"/>
        <v>1.000156</v>
      </c>
      <c r="P156" t="str">
        <f>IF(OR($A156="",games!$H156=""),"",games!$H156)</f>
        <v>Yes</v>
      </c>
      <c r="Q156">
        <f t="shared" si="37"/>
        <v>1.000156</v>
      </c>
      <c r="T156">
        <f>IF(connections!$A156="","",IFERROR(INDEX(games!$B$2:$B$950,MATCH(connections!$A156,games!$A$2:$A$950,0)),""))</f>
        <v>2022</v>
      </c>
      <c r="U156">
        <f>IF(connections!$A156="","",IFERROR(INDEX(games!$B$2:$B$950,MATCH(connections!$B156,games!$A$2:$A$950,0)),""))</f>
        <v>2025</v>
      </c>
      <c r="V156">
        <f t="shared" si="38"/>
        <v>3</v>
      </c>
    </row>
    <row r="157" spans="1:22" x14ac:dyDescent="0.25">
      <c r="A157" t="str">
        <f>IF(games!$A157="","",games!$A157)</f>
        <v>Crypt of the NecroDancer</v>
      </c>
      <c r="B157">
        <f>IF($A157="","",games!$B157)</f>
        <v>2015</v>
      </c>
      <c r="C157" t="str">
        <f>IF($A157="","",games!$C157)</f>
        <v>Traditional</v>
      </c>
      <c r="D157">
        <f>IF($A157="","",COUNTIF(connections!$A$2:$A$1460,$A157)+COUNTIF(connections!$B$2:$B$1460,$A157))</f>
        <v>13</v>
      </c>
      <c r="E157">
        <f t="shared" si="26"/>
        <v>4</v>
      </c>
      <c r="F157">
        <f t="shared" si="27"/>
        <v>21</v>
      </c>
      <c r="G157" t="e">
        <f t="shared" si="28"/>
        <v>#N/A</v>
      </c>
      <c r="H157" t="e">
        <f t="shared" si="29"/>
        <v>#N/A</v>
      </c>
      <c r="I157" t="e">
        <f t="shared" si="30"/>
        <v>#N/A</v>
      </c>
      <c r="J157" t="e">
        <f t="shared" si="31"/>
        <v>#N/A</v>
      </c>
      <c r="K157" t="e">
        <f t="shared" si="32"/>
        <v>#N/A</v>
      </c>
      <c r="L157" t="e">
        <f t="shared" si="33"/>
        <v>#N/A</v>
      </c>
      <c r="M157">
        <f t="shared" si="34"/>
        <v>2015</v>
      </c>
      <c r="N157">
        <f t="shared" si="35"/>
        <v>4.4829999999999997</v>
      </c>
      <c r="O157">
        <f t="shared" si="36"/>
        <v>13.000157</v>
      </c>
      <c r="P157" t="str">
        <f>IF(OR($A157="",games!$H157=""),"",games!$H157)</f>
        <v>Yes</v>
      </c>
      <c r="Q157">
        <f t="shared" si="37"/>
        <v>13.000157</v>
      </c>
      <c r="T157">
        <f>IF(connections!$A157="","",IFERROR(INDEX(games!$B$2:$B$950,MATCH(connections!$A157,games!$A$2:$A$950,0)),""))</f>
        <v>2022</v>
      </c>
      <c r="U157">
        <f>IF(connections!$A157="","",IFERROR(INDEX(games!$B$2:$B$950,MATCH(connections!$B157,games!$A$2:$A$950,0)),""))</f>
        <v>2024</v>
      </c>
      <c r="V157">
        <f t="shared" si="38"/>
        <v>2</v>
      </c>
    </row>
    <row r="158" spans="1:22" x14ac:dyDescent="0.25">
      <c r="A158" t="str">
        <f>IF(games!$A158="","",games!$A158)</f>
        <v>Cryptark</v>
      </c>
      <c r="B158">
        <f>IF($A158="","",games!$B158)</f>
        <v>2017</v>
      </c>
      <c r="C158" t="str">
        <f>IF($A158="","",games!$C158)</f>
        <v>Action</v>
      </c>
      <c r="D158">
        <f>IF($A158="","",COUNTIF(connections!$A$2:$A$1460,$A158)+COUNTIF(connections!$B$2:$B$1460,$A158))</f>
        <v>0</v>
      </c>
      <c r="E158">
        <f t="shared" si="26"/>
        <v>1</v>
      </c>
      <c r="F158">
        <f t="shared" si="27"/>
        <v>22</v>
      </c>
      <c r="G158">
        <f t="shared" si="28"/>
        <v>2017</v>
      </c>
      <c r="H158">
        <f t="shared" si="29"/>
        <v>1.506</v>
      </c>
      <c r="I158" t="e">
        <f t="shared" si="30"/>
        <v>#N/A</v>
      </c>
      <c r="J158" t="e">
        <f t="shared" si="31"/>
        <v>#N/A</v>
      </c>
      <c r="K158" t="e">
        <f t="shared" si="32"/>
        <v>#N/A</v>
      </c>
      <c r="L158" t="e">
        <f t="shared" si="33"/>
        <v>#N/A</v>
      </c>
      <c r="M158" t="e">
        <f t="shared" si="34"/>
        <v>#N/A</v>
      </c>
      <c r="N158" t="e">
        <f t="shared" si="35"/>
        <v>#N/A</v>
      </c>
      <c r="O158">
        <f t="shared" si="36"/>
        <v>1.5799999999999999E-4</v>
      </c>
      <c r="P158" t="str">
        <f>IF(OR($A158="",games!$H158=""),"",games!$H158)</f>
        <v>Yes</v>
      </c>
      <c r="Q158">
        <f t="shared" si="37"/>
        <v>1.5799999999999999E-4</v>
      </c>
      <c r="T158">
        <f>IF(connections!$A158="","",IFERROR(INDEX(games!$B$2:$B$950,MATCH(connections!$A158,games!$A$2:$A$950,0)),""))</f>
        <v>2022</v>
      </c>
      <c r="U158">
        <f>IF(connections!$A158="","",IFERROR(INDEX(games!$B$2:$B$950,MATCH(connections!$B158,games!$A$2:$A$950,0)),""))</f>
        <v>2024</v>
      </c>
      <c r="V158">
        <f t="shared" si="38"/>
        <v>2</v>
      </c>
    </row>
    <row r="159" spans="1:22" x14ac:dyDescent="0.25">
      <c r="A159" t="str">
        <f>IF(games!$A159="","",games!$A159)</f>
        <v>Cthangband</v>
      </c>
      <c r="B159">
        <f>IF($A159="","",games!$B159)</f>
        <v>1998</v>
      </c>
      <c r="C159" t="str">
        <f>IF($A159="","",games!$C159)</f>
        <v>Traditional</v>
      </c>
      <c r="D159">
        <f>IF($A159="","",COUNTIF(connections!$A$2:$A$1460,$A159)+COUNTIF(connections!$B$2:$B$1460,$A159))</f>
        <v>1</v>
      </c>
      <c r="E159">
        <f t="shared" si="26"/>
        <v>4</v>
      </c>
      <c r="F159">
        <f t="shared" si="27"/>
        <v>23</v>
      </c>
      <c r="G159" t="e">
        <f t="shared" si="28"/>
        <v>#N/A</v>
      </c>
      <c r="H159" t="e">
        <f t="shared" si="29"/>
        <v>#N/A</v>
      </c>
      <c r="I159" t="e">
        <f t="shared" si="30"/>
        <v>#N/A</v>
      </c>
      <c r="J159" t="e">
        <f t="shared" si="31"/>
        <v>#N/A</v>
      </c>
      <c r="K159" t="e">
        <f t="shared" si="32"/>
        <v>#N/A</v>
      </c>
      <c r="L159" t="e">
        <f t="shared" si="33"/>
        <v>#N/A</v>
      </c>
      <c r="M159">
        <f t="shared" si="34"/>
        <v>1998</v>
      </c>
      <c r="N159">
        <f t="shared" si="35"/>
        <v>4.5289999999999999</v>
      </c>
      <c r="O159">
        <f t="shared" si="36"/>
        <v>1.000159</v>
      </c>
      <c r="P159" t="str">
        <f>IF(OR($A159="",games!$H159=""),"",games!$H159)</f>
        <v>Yes</v>
      </c>
      <c r="Q159">
        <f t="shared" si="37"/>
        <v>1.000159</v>
      </c>
      <c r="T159">
        <f>IF(connections!$A159="","",IFERROR(INDEX(games!$B$2:$B$950,MATCH(connections!$A159,games!$A$2:$A$950,0)),""))</f>
        <v>2022</v>
      </c>
      <c r="U159">
        <f>IF(connections!$A159="","",IFERROR(INDEX(games!$B$2:$B$950,MATCH(connections!$B159,games!$A$2:$A$950,0)),""))</f>
        <v>2025</v>
      </c>
      <c r="V159">
        <f t="shared" si="38"/>
        <v>3</v>
      </c>
    </row>
    <row r="160" spans="1:22" x14ac:dyDescent="0.25">
      <c r="A160" t="str">
        <f>IF(games!$A160="","",games!$A160)</f>
        <v>Cube Chaos</v>
      </c>
      <c r="B160">
        <f>IF($A160="","",games!$B160)</f>
        <v>2023</v>
      </c>
      <c r="C160" t="str">
        <f>IF($A160="","",games!$C160)</f>
        <v>Deckbuilder</v>
      </c>
      <c r="D160">
        <f>IF($A160="","",COUNTIF(connections!$A$2:$A$1460,$A160)+COUNTIF(connections!$B$2:$B$1460,$A160))</f>
        <v>0</v>
      </c>
      <c r="E160">
        <f t="shared" si="26"/>
        <v>3</v>
      </c>
      <c r="F160">
        <f t="shared" si="27"/>
        <v>24</v>
      </c>
      <c r="G160" t="e">
        <f t="shared" si="28"/>
        <v>#N/A</v>
      </c>
      <c r="H160" t="e">
        <f t="shared" si="29"/>
        <v>#N/A</v>
      </c>
      <c r="I160" t="e">
        <f t="shared" si="30"/>
        <v>#N/A</v>
      </c>
      <c r="J160" t="e">
        <f t="shared" si="31"/>
        <v>#N/A</v>
      </c>
      <c r="K160">
        <f t="shared" si="32"/>
        <v>2023</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2022</v>
      </c>
      <c r="U160">
        <f>IF(connections!$A160="","",IFERROR(INDEX(games!$B$2:$B$950,MATCH(connections!$B160,games!$A$2:$A$950,0)),""))</f>
        <v>2023</v>
      </c>
      <c r="V160">
        <f t="shared" si="38"/>
        <v>1</v>
      </c>
    </row>
    <row r="161" spans="1:22" x14ac:dyDescent="0.25">
      <c r="A161" t="str">
        <f>IF(games!$A161="","",games!$A161)</f>
        <v>Cubic Cosmos</v>
      </c>
      <c r="B161">
        <f>IF($A161="","",games!$B161)</f>
        <v>2025</v>
      </c>
      <c r="C161" t="str">
        <f>IF($A161="","",games!$C161)</f>
        <v>Deckbuilder</v>
      </c>
      <c r="D161">
        <f>IF($A161="","",COUNTIF(connections!$A$2:$A$1460,$A161)+COUNTIF(connections!$B$2:$B$1460,$A161))</f>
        <v>0</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1.6100000000000001E-4</v>
      </c>
      <c r="P161" t="str">
        <f>IF(OR($A161="",games!$H161=""),"",games!$H161)</f>
        <v/>
      </c>
      <c r="Q161" t="str">
        <f t="shared" si="37"/>
        <v/>
      </c>
      <c r="T161">
        <f>IF(connections!$A161="","",IFERROR(INDEX(games!$B$2:$B$950,MATCH(connections!$A161,games!$A$2:$A$950,0)),""))</f>
        <v>2022</v>
      </c>
      <c r="U161">
        <f>IF(connections!$A161="","",IFERROR(INDEX(games!$B$2:$B$950,MATCH(connections!$B161,games!$A$2:$A$950,0)),""))</f>
        <v>2026</v>
      </c>
      <c r="V161">
        <f t="shared" si="38"/>
        <v>4</v>
      </c>
    </row>
    <row r="162" spans="1:22" x14ac:dyDescent="0.25">
      <c r="A162" t="str">
        <f>IF(games!$A162="","",games!$A162)</f>
        <v>Cult of PiN</v>
      </c>
      <c r="B162">
        <f>IF($A162="","",games!$B162)</f>
        <v>2026</v>
      </c>
      <c r="C162" t="str">
        <f>IF($A162="","",games!$C162)</f>
        <v>Deckbuilder</v>
      </c>
      <c r="D162">
        <f>IF($A162="","",COUNTIF(connections!$A$2:$A$1460,$A162)+COUNTIF(connections!$B$2:$B$1460,$A162))</f>
        <v>2</v>
      </c>
      <c r="E162">
        <f t="shared" si="26"/>
        <v>3</v>
      </c>
      <c r="F162">
        <f t="shared" si="27"/>
        <v>26</v>
      </c>
      <c r="G162" t="e">
        <f t="shared" si="28"/>
        <v>#N/A</v>
      </c>
      <c r="H162" t="e">
        <f t="shared" si="29"/>
        <v>#N/A</v>
      </c>
      <c r="I162" t="e">
        <f t="shared" si="30"/>
        <v>#N/A</v>
      </c>
      <c r="J162" t="e">
        <f t="shared" si="31"/>
        <v>#N/A</v>
      </c>
      <c r="K162">
        <f t="shared" si="32"/>
        <v>2026</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2022</v>
      </c>
      <c r="U162">
        <f>IF(connections!$A162="","",IFERROR(INDEX(games!$B$2:$B$950,MATCH(connections!$B162,games!$A$2:$A$950,0)),""))</f>
        <v>2025</v>
      </c>
      <c r="V162">
        <f t="shared" si="38"/>
        <v>3</v>
      </c>
    </row>
    <row r="163" spans="1:22" x14ac:dyDescent="0.25">
      <c r="A163" t="str">
        <f>IF(games!$A163="","",games!$A163)</f>
        <v>Cult of the Lamb</v>
      </c>
      <c r="B163">
        <f>IF($A163="","",games!$B163)</f>
        <v>2022</v>
      </c>
      <c r="C163" t="str">
        <f>IF($A163="","",games!$C163)</f>
        <v>Action</v>
      </c>
      <c r="D163">
        <f>IF($A163="","",COUNTIF(connections!$A$2:$A$1460,$A163)+COUNTIF(connections!$B$2:$B$1460,$A163))</f>
        <v>7</v>
      </c>
      <c r="E163">
        <f t="shared" si="26"/>
        <v>1</v>
      </c>
      <c r="F163">
        <f t="shared" si="27"/>
        <v>27</v>
      </c>
      <c r="G163">
        <f t="shared" si="28"/>
        <v>2022</v>
      </c>
      <c r="H163">
        <f t="shared" si="29"/>
        <v>1.621</v>
      </c>
      <c r="I163" t="e">
        <f t="shared" si="30"/>
        <v>#N/A</v>
      </c>
      <c r="J163" t="e">
        <f t="shared" si="31"/>
        <v>#N/A</v>
      </c>
      <c r="K163" t="e">
        <f t="shared" si="32"/>
        <v>#N/A</v>
      </c>
      <c r="L163" t="e">
        <f t="shared" si="33"/>
        <v>#N/A</v>
      </c>
      <c r="M163" t="e">
        <f t="shared" si="34"/>
        <v>#N/A</v>
      </c>
      <c r="N163" t="e">
        <f t="shared" si="35"/>
        <v>#N/A</v>
      </c>
      <c r="O163">
        <f t="shared" si="36"/>
        <v>7.0001629999999997</v>
      </c>
      <c r="P163" t="str">
        <f>IF(OR($A163="",games!$H163=""),"",games!$H163)</f>
        <v>Yes</v>
      </c>
      <c r="Q163">
        <f t="shared" si="37"/>
        <v>7.0001629999999997</v>
      </c>
      <c r="T163">
        <f>IF(connections!$A163="","",IFERROR(INDEX(games!$B$2:$B$950,MATCH(connections!$A163,games!$A$2:$A$950,0)),""))</f>
        <v>2022</v>
      </c>
      <c r="U163">
        <f>IF(connections!$A163="","",IFERROR(INDEX(games!$B$2:$B$950,MATCH(connections!$B163,games!$A$2:$A$950,0)),""))</f>
        <v>2025</v>
      </c>
      <c r="V163">
        <f t="shared" si="38"/>
        <v>3</v>
      </c>
    </row>
    <row r="164" spans="1:22" x14ac:dyDescent="0.25">
      <c r="A164" t="str">
        <f>IF(games!$A164="","",games!$A164)</f>
        <v>Cultist Simulator</v>
      </c>
      <c r="B164">
        <f>IF($A164="","",games!$B164)</f>
        <v>2018</v>
      </c>
      <c r="C164" t="str">
        <f>IF($A164="","",games!$C164)</f>
        <v>Strategy</v>
      </c>
      <c r="D164">
        <f>IF($A164="","",COUNTIF(connections!$A$2:$A$1460,$A164)+COUNTIF(connections!$B$2:$B$1460,$A164))</f>
        <v>2</v>
      </c>
      <c r="E164">
        <f t="shared" si="26"/>
        <v>2</v>
      </c>
      <c r="F164">
        <f t="shared" si="27"/>
        <v>28</v>
      </c>
      <c r="G164" t="e">
        <f t="shared" si="28"/>
        <v>#N/A</v>
      </c>
      <c r="H164" t="e">
        <f t="shared" si="29"/>
        <v>#N/A</v>
      </c>
      <c r="I164">
        <f t="shared" si="30"/>
        <v>2018</v>
      </c>
      <c r="J164">
        <f t="shared" si="31"/>
        <v>2.6440000000000001</v>
      </c>
      <c r="K164" t="e">
        <f t="shared" si="32"/>
        <v>#N/A</v>
      </c>
      <c r="L164" t="e">
        <f t="shared" si="33"/>
        <v>#N/A</v>
      </c>
      <c r="M164" t="e">
        <f t="shared" si="34"/>
        <v>#N/A</v>
      </c>
      <c r="N164" t="e">
        <f t="shared" si="35"/>
        <v>#N/A</v>
      </c>
      <c r="O164">
        <f t="shared" si="36"/>
        <v>2.0001639999999998</v>
      </c>
      <c r="P164" t="str">
        <f>IF(OR($A164="",games!$H164=""),"",games!$H164)</f>
        <v>Yes</v>
      </c>
      <c r="Q164">
        <f t="shared" si="37"/>
        <v>2.0001639999999998</v>
      </c>
      <c r="T164">
        <f>IF(connections!$A164="","",IFERROR(INDEX(games!$B$2:$B$950,MATCH(connections!$A164,games!$A$2:$A$950,0)),""))</f>
        <v>2022</v>
      </c>
      <c r="U164">
        <f>IF(connections!$A164="","",IFERROR(INDEX(games!$B$2:$B$950,MATCH(connections!$B164,games!$A$2:$A$950,0)),""))</f>
        <v>2025</v>
      </c>
      <c r="V164">
        <f t="shared" si="38"/>
        <v>3</v>
      </c>
    </row>
    <row r="165" spans="1:22" x14ac:dyDescent="0.25">
      <c r="A165" t="str">
        <f>IF(games!$A165="","",games!$A165)</f>
        <v>Cupiclaw</v>
      </c>
      <c r="B165">
        <f>IF($A165="","",games!$B165)</f>
        <v>2024</v>
      </c>
      <c r="C165" t="str">
        <f>IF($A165="","",games!$C165)</f>
        <v>Deckbuilder</v>
      </c>
      <c r="D165">
        <f>IF($A165="","",COUNTIF(connections!$A$2:$A$1460,$A165)+COUNTIF(connections!$B$2:$B$1460,$A165))</f>
        <v>2</v>
      </c>
      <c r="E165">
        <f t="shared" si="26"/>
        <v>3</v>
      </c>
      <c r="F165">
        <f t="shared" si="27"/>
        <v>29</v>
      </c>
      <c r="G165" t="e">
        <f t="shared" si="28"/>
        <v>#N/A</v>
      </c>
      <c r="H165" t="e">
        <f t="shared" si="29"/>
        <v>#N/A</v>
      </c>
      <c r="I165" t="e">
        <f t="shared" si="30"/>
        <v>#N/A</v>
      </c>
      <c r="J165" t="e">
        <f t="shared" si="31"/>
        <v>#N/A</v>
      </c>
      <c r="K165">
        <f t="shared" si="32"/>
        <v>2024</v>
      </c>
      <c r="L165">
        <f t="shared" si="33"/>
        <v>3.6669999999999998</v>
      </c>
      <c r="M165" t="e">
        <f t="shared" si="34"/>
        <v>#N/A</v>
      </c>
      <c r="N165" t="e">
        <f t="shared" si="35"/>
        <v>#N/A</v>
      </c>
      <c r="O165">
        <f t="shared" si="36"/>
        <v>2.000165</v>
      </c>
      <c r="P165" t="str">
        <f>IF(OR($A165="",games!$H165=""),"",games!$H165)</f>
        <v/>
      </c>
      <c r="Q165" t="str">
        <f t="shared" si="37"/>
        <v/>
      </c>
      <c r="T165">
        <f>IF(connections!$A165="","",IFERROR(INDEX(games!$B$2:$B$950,MATCH(connections!$A165,games!$A$2:$A$950,0)),""))</f>
        <v>2022</v>
      </c>
      <c r="U165">
        <f>IF(connections!$A165="","",IFERROR(INDEX(games!$B$2:$B$950,MATCH(connections!$B165,games!$A$2:$A$950,0)),""))</f>
        <v>2026</v>
      </c>
      <c r="V165">
        <f t="shared" si="38"/>
        <v>4</v>
      </c>
    </row>
    <row r="166" spans="1:22" x14ac:dyDescent="0.25">
      <c r="A166" t="str">
        <f>IF(games!$A166="","",games!$A166)</f>
        <v>Curious Expedition</v>
      </c>
      <c r="B166">
        <f>IF($A166="","",games!$B166)</f>
        <v>2016</v>
      </c>
      <c r="C166" t="str">
        <f>IF($A166="","",games!$C166)</f>
        <v>Strategy</v>
      </c>
      <c r="D166">
        <f>IF($A166="","",COUNTIF(connections!$A$2:$A$1460,$A166)+COUNTIF(connections!$B$2:$B$1460,$A166))</f>
        <v>3</v>
      </c>
      <c r="E166">
        <f t="shared" si="26"/>
        <v>2</v>
      </c>
      <c r="F166">
        <f t="shared" si="27"/>
        <v>30</v>
      </c>
      <c r="G166" t="e">
        <f t="shared" si="28"/>
        <v>#N/A</v>
      </c>
      <c r="H166" t="e">
        <f t="shared" si="29"/>
        <v>#N/A</v>
      </c>
      <c r="I166">
        <f t="shared" si="30"/>
        <v>2016</v>
      </c>
      <c r="J166">
        <f t="shared" si="31"/>
        <v>2.69</v>
      </c>
      <c r="K166" t="e">
        <f t="shared" si="32"/>
        <v>#N/A</v>
      </c>
      <c r="L166" t="e">
        <f t="shared" si="33"/>
        <v>#N/A</v>
      </c>
      <c r="M166" t="e">
        <f t="shared" si="34"/>
        <v>#N/A</v>
      </c>
      <c r="N166" t="e">
        <f t="shared" si="35"/>
        <v>#N/A</v>
      </c>
      <c r="O166">
        <f t="shared" si="36"/>
        <v>3.0001660000000001</v>
      </c>
      <c r="P166" t="str">
        <f>IF(OR($A166="",games!$H166=""),"",games!$H166)</f>
        <v>Yes</v>
      </c>
      <c r="Q166">
        <f t="shared" si="37"/>
        <v>3.0001660000000001</v>
      </c>
      <c r="T166">
        <f>IF(connections!$A166="","",IFERROR(INDEX(games!$B$2:$B$950,MATCH(connections!$A166,games!$A$2:$A$950,0)),""))</f>
        <v>2022</v>
      </c>
      <c r="U166">
        <f>IF(connections!$A166="","",IFERROR(INDEX(games!$B$2:$B$950,MATCH(connections!$B166,games!$A$2:$A$950,0)),""))</f>
        <v>2026</v>
      </c>
      <c r="V166">
        <f t="shared" si="38"/>
        <v>4</v>
      </c>
    </row>
    <row r="167" spans="1:22" x14ac:dyDescent="0.25">
      <c r="A167" t="str">
        <f>IF(games!$A167="","",games!$A167)</f>
        <v>Curious Expedition 2</v>
      </c>
      <c r="B167">
        <f>IF($A167="","",games!$B167)</f>
        <v>2020</v>
      </c>
      <c r="C167" t="str">
        <f>IF($A167="","",games!$C167)</f>
        <v>Strategy</v>
      </c>
      <c r="D167">
        <f>IF($A167="","",COUNTIF(connections!$A$2:$A$1460,$A167)+COUNTIF(connections!$B$2:$B$1460,$A167))</f>
        <v>1</v>
      </c>
      <c r="E167">
        <f t="shared" si="26"/>
        <v>2</v>
      </c>
      <c r="F167">
        <f t="shared" si="27"/>
        <v>31</v>
      </c>
      <c r="G167" t="e">
        <f t="shared" si="28"/>
        <v>#N/A</v>
      </c>
      <c r="H167" t="e">
        <f t="shared" si="29"/>
        <v>#N/A</v>
      </c>
      <c r="I167">
        <f t="shared" si="30"/>
        <v>2020</v>
      </c>
      <c r="J167">
        <f t="shared" si="31"/>
        <v>2.7130000000000001</v>
      </c>
      <c r="K167" t="e">
        <f t="shared" si="32"/>
        <v>#N/A</v>
      </c>
      <c r="L167" t="e">
        <f t="shared" si="33"/>
        <v>#N/A</v>
      </c>
      <c r="M167" t="e">
        <f t="shared" si="34"/>
        <v>#N/A</v>
      </c>
      <c r="N167" t="e">
        <f t="shared" si="35"/>
        <v>#N/A</v>
      </c>
      <c r="O167">
        <f t="shared" si="36"/>
        <v>1.000167</v>
      </c>
      <c r="P167" t="str">
        <f>IF(OR($A167="",games!$H167=""),"",games!$H167)</f>
        <v/>
      </c>
      <c r="Q167" t="str">
        <f t="shared" si="37"/>
        <v/>
      </c>
      <c r="T167">
        <f>IF(connections!$A167="","",IFERROR(INDEX(games!$B$2:$B$950,MATCH(connections!$A167,games!$A$2:$A$950,0)),""))</f>
        <v>2022</v>
      </c>
      <c r="U167">
        <f>IF(connections!$A167="","",IFERROR(INDEX(games!$B$2:$B$950,MATCH(connections!$B167,games!$A$2:$A$950,0)),""))</f>
        <v>2024</v>
      </c>
      <c r="V167">
        <f t="shared" si="38"/>
        <v>2</v>
      </c>
    </row>
    <row r="168" spans="1:22" x14ac:dyDescent="0.25">
      <c r="A168" t="str">
        <f>IF(games!$A168="","",games!$A168)</f>
        <v>Curse of Pirates</v>
      </c>
      <c r="B168">
        <f>IF($A168="","",games!$B168)</f>
        <v>2026</v>
      </c>
      <c r="C168" t="str">
        <f>IF($A168="","",games!$C168)</f>
        <v>Action</v>
      </c>
      <c r="D168">
        <f>IF($A168="","",COUNTIF(connections!$A$2:$A$1460,$A168)+COUNTIF(connections!$B$2:$B$1460,$A168))</f>
        <v>2</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2022</v>
      </c>
      <c r="U168">
        <f>IF(connections!$A168="","",IFERROR(INDEX(games!$B$2:$B$950,MATCH(connections!$B168,games!$A$2:$A$950,0)),""))</f>
        <v>2024</v>
      </c>
      <c r="V168">
        <f t="shared" si="38"/>
        <v>2</v>
      </c>
    </row>
    <row r="169" spans="1:22" x14ac:dyDescent="0.25">
      <c r="A169" t="str">
        <f>IF(games!$A169="","",games!$A169)</f>
        <v>Curse of the Dead Gods</v>
      </c>
      <c r="B169">
        <f>IF($A169="","",games!$B169)</f>
        <v>2020</v>
      </c>
      <c r="C169" t="str">
        <f>IF($A169="","",games!$C169)</f>
        <v>Action</v>
      </c>
      <c r="D169">
        <f>IF($A169="","",COUNTIF(connections!$A$2:$A$1460,$A169)+COUNTIF(connections!$B$2:$B$1460,$A169))</f>
        <v>5</v>
      </c>
      <c r="E169">
        <f t="shared" si="26"/>
        <v>1</v>
      </c>
      <c r="F169">
        <f t="shared" si="27"/>
        <v>33</v>
      </c>
      <c r="G169">
        <f t="shared" si="28"/>
        <v>2020</v>
      </c>
      <c r="H169">
        <f t="shared" si="29"/>
        <v>1.7589999999999999</v>
      </c>
      <c r="I169" t="e">
        <f t="shared" si="30"/>
        <v>#N/A</v>
      </c>
      <c r="J169" t="e">
        <f t="shared" si="31"/>
        <v>#N/A</v>
      </c>
      <c r="K169" t="e">
        <f t="shared" si="32"/>
        <v>#N/A</v>
      </c>
      <c r="L169" t="e">
        <f t="shared" si="33"/>
        <v>#N/A</v>
      </c>
      <c r="M169" t="e">
        <f t="shared" si="34"/>
        <v>#N/A</v>
      </c>
      <c r="N169" t="e">
        <f t="shared" si="35"/>
        <v>#N/A</v>
      </c>
      <c r="O169">
        <f t="shared" si="36"/>
        <v>5.0001689999999996</v>
      </c>
      <c r="P169" t="str">
        <f>IF(OR($A169="",games!$H169=""),"",games!$H169)</f>
        <v>Yes</v>
      </c>
      <c r="Q169">
        <f t="shared" si="37"/>
        <v>5.0001689999999996</v>
      </c>
      <c r="T169">
        <f>IF(connections!$A169="","",IFERROR(INDEX(games!$B$2:$B$950,MATCH(connections!$A169,games!$A$2:$A$950,0)),""))</f>
        <v>2022</v>
      </c>
      <c r="U169">
        <f>IF(connections!$A169="","",IFERROR(INDEX(games!$B$2:$B$950,MATCH(connections!$B169,games!$A$2:$A$950,0)),""))</f>
        <v>2023</v>
      </c>
      <c r="V169">
        <f t="shared" si="38"/>
        <v>1</v>
      </c>
    </row>
    <row r="170" spans="1:22" x14ac:dyDescent="0.25">
      <c r="A170" t="str">
        <f>IF(games!$A170="","",games!$A170)</f>
        <v>Cursed Words</v>
      </c>
      <c r="B170">
        <f>IF($A170="","",games!$B170)</f>
        <v>2026</v>
      </c>
      <c r="C170" t="str">
        <f>IF($A170="","",games!$C170)</f>
        <v>Strategy</v>
      </c>
      <c r="D170">
        <f>IF($A170="","",COUNTIF(connections!$A$2:$A$1460,$A170)+COUNTIF(connections!$B$2:$B$1460,$A170))</f>
        <v>5</v>
      </c>
      <c r="E170">
        <f t="shared" si="26"/>
        <v>2</v>
      </c>
      <c r="F170">
        <f t="shared" si="27"/>
        <v>0</v>
      </c>
      <c r="G170" t="e">
        <f t="shared" si="28"/>
        <v>#N/A</v>
      </c>
      <c r="H170" t="e">
        <f t="shared" si="29"/>
        <v>#N/A</v>
      </c>
      <c r="I170">
        <f t="shared" si="30"/>
        <v>2026</v>
      </c>
      <c r="J170">
        <f t="shared" si="31"/>
        <v>2</v>
      </c>
      <c r="K170" t="e">
        <f t="shared" si="32"/>
        <v>#N/A</v>
      </c>
      <c r="L170" t="e">
        <f t="shared" si="33"/>
        <v>#N/A</v>
      </c>
      <c r="M170" t="e">
        <f t="shared" si="34"/>
        <v>#N/A</v>
      </c>
      <c r="N170" t="e">
        <f t="shared" si="35"/>
        <v>#N/A</v>
      </c>
      <c r="O170">
        <f t="shared" si="36"/>
        <v>5.0001699999999998</v>
      </c>
      <c r="P170" t="str">
        <f>IF(OR($A170="",games!$H170=""),"",games!$H170)</f>
        <v/>
      </c>
      <c r="Q170" t="str">
        <f t="shared" si="37"/>
        <v/>
      </c>
      <c r="T170">
        <f>IF(connections!$A170="","",IFERROR(INDEX(games!$B$2:$B$950,MATCH(connections!$A170,games!$A$2:$A$950,0)),""))</f>
        <v>2022</v>
      </c>
      <c r="U170">
        <f>IF(connections!$A170="","",IFERROR(INDEX(games!$B$2:$B$950,MATCH(connections!$B170,games!$A$2:$A$950,0)),""))</f>
        <v>2023</v>
      </c>
      <c r="V170">
        <f t="shared" si="38"/>
        <v>1</v>
      </c>
    </row>
    <row r="171" spans="1:22" x14ac:dyDescent="0.25">
      <c r="A171" t="str">
        <f>IF(games!$A171="","",games!$A171)</f>
        <v>Cursorblade</v>
      </c>
      <c r="B171">
        <f>IF($A171="","",games!$B171)</f>
        <v>2023</v>
      </c>
      <c r="C171" t="str">
        <f>IF($A171="","",games!$C171)</f>
        <v>Action</v>
      </c>
      <c r="D171">
        <f>IF($A171="","",COUNTIF(connections!$A$2:$A$1460,$A171)+COUNTIF(connections!$B$2:$B$1460,$A171))</f>
        <v>0</v>
      </c>
      <c r="E171">
        <f t="shared" si="26"/>
        <v>1</v>
      </c>
      <c r="F171">
        <f t="shared" si="27"/>
        <v>1</v>
      </c>
      <c r="G171">
        <f t="shared" si="28"/>
        <v>2023</v>
      </c>
      <c r="H171">
        <f t="shared" si="29"/>
        <v>1.0229999999999999</v>
      </c>
      <c r="I171" t="e">
        <f t="shared" si="30"/>
        <v>#N/A</v>
      </c>
      <c r="J171" t="e">
        <f t="shared" si="31"/>
        <v>#N/A</v>
      </c>
      <c r="K171" t="e">
        <f t="shared" si="32"/>
        <v>#N/A</v>
      </c>
      <c r="L171" t="e">
        <f t="shared" si="33"/>
        <v>#N/A</v>
      </c>
      <c r="M171" t="e">
        <f t="shared" si="34"/>
        <v>#N/A</v>
      </c>
      <c r="N171" t="e">
        <f t="shared" si="35"/>
        <v>#N/A</v>
      </c>
      <c r="O171">
        <f t="shared" si="36"/>
        <v>1.7100000000000001E-4</v>
      </c>
      <c r="P171" t="str">
        <f>IF(OR($A171="",games!$H171=""),"",games!$H171)</f>
        <v>Yes</v>
      </c>
      <c r="Q171">
        <f t="shared" si="37"/>
        <v>1.7100000000000001E-4</v>
      </c>
      <c r="T171">
        <f>IF(connections!$A171="","",IFERROR(INDEX(games!$B$2:$B$950,MATCH(connections!$A171,games!$A$2:$A$950,0)),""))</f>
        <v>2022</v>
      </c>
      <c r="U171">
        <f>IF(connections!$A171="","",IFERROR(INDEX(games!$B$2:$B$950,MATCH(connections!$B171,games!$A$2:$A$950,0)),""))</f>
        <v>2023</v>
      </c>
      <c r="V171">
        <f t="shared" si="38"/>
        <v>1</v>
      </c>
    </row>
    <row r="172" spans="1:22" x14ac:dyDescent="0.25">
      <c r="A172" t="str">
        <f>IF(games!$A172="","",games!$A172)</f>
        <v>Dark Devotion</v>
      </c>
      <c r="B172">
        <f>IF($A172="","",games!$B172)</f>
        <v>2019</v>
      </c>
      <c r="C172" t="str">
        <f>IF($A172="","",games!$C172)</f>
        <v>Action</v>
      </c>
      <c r="D172">
        <f>IF($A172="","",COUNTIF(connections!$A$2:$A$1460,$A172)+COUNTIF(connections!$B$2:$B$1460,$A172))</f>
        <v>2</v>
      </c>
      <c r="E172">
        <f t="shared" si="26"/>
        <v>1</v>
      </c>
      <c r="F172">
        <f t="shared" si="27"/>
        <v>2</v>
      </c>
      <c r="G172">
        <f t="shared" si="28"/>
        <v>2019</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2022</v>
      </c>
      <c r="U172">
        <f>IF(connections!$A172="","",IFERROR(INDEX(games!$B$2:$B$950,MATCH(connections!$B172,games!$A$2:$A$950,0)),""))</f>
        <v>2023</v>
      </c>
      <c r="V172">
        <f t="shared" si="38"/>
        <v>1</v>
      </c>
    </row>
    <row r="173" spans="1:22" x14ac:dyDescent="0.25">
      <c r="A173" t="str">
        <f>IF(games!$A173="","",games!$A173)</f>
        <v>Dark Light: Survivor</v>
      </c>
      <c r="B173">
        <f>IF($A173="","",games!$B173)</f>
        <v>2026</v>
      </c>
      <c r="C173" t="str">
        <f>IF($A173="","",games!$C173)</f>
        <v>Action</v>
      </c>
      <c r="D173">
        <f>IF($A173="","",COUNTIF(connections!$A$2:$A$1460,$A173)+COUNTIF(connections!$B$2:$B$1460,$A173))</f>
        <v>4</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4.0001730000000002</v>
      </c>
      <c r="P173" t="str">
        <f>IF(OR($A173="",games!$H173=""),"",games!$H173)</f>
        <v/>
      </c>
      <c r="Q173" t="str">
        <f t="shared" si="37"/>
        <v/>
      </c>
      <c r="T173">
        <f>IF(connections!$A173="","",IFERROR(INDEX(games!$B$2:$B$950,MATCH(connections!$A173,games!$A$2:$A$950,0)),""))</f>
        <v>2022</v>
      </c>
      <c r="U173">
        <f>IF(connections!$A173="","",IFERROR(INDEX(games!$B$2:$B$950,MATCH(connections!$B173,games!$A$2:$A$950,0)),""))</f>
        <v>2024</v>
      </c>
      <c r="V173">
        <f t="shared" si="38"/>
        <v>2</v>
      </c>
    </row>
    <row r="174" spans="1:22" x14ac:dyDescent="0.25">
      <c r="A174" t="str">
        <f>IF(games!$A174="","",games!$A174)</f>
        <v>Darkblade Ascent</v>
      </c>
      <c r="B174">
        <f>IF($A174="","",games!$B174)</f>
        <v>2025</v>
      </c>
      <c r="C174" t="str">
        <f>IF($A174="","",games!$C174)</f>
        <v>Action</v>
      </c>
      <c r="D174">
        <f>IF($A174="","",COUNTIF(connections!$A$2:$A$1460,$A174)+COUNTIF(connections!$B$2:$B$1460,$A174))</f>
        <v>2</v>
      </c>
      <c r="E174">
        <f t="shared" si="26"/>
        <v>1</v>
      </c>
      <c r="F174">
        <f t="shared" si="27"/>
        <v>4</v>
      </c>
      <c r="G174">
        <f t="shared" si="28"/>
        <v>2025</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
      </c>
      <c r="Q174" t="str">
        <f t="shared" si="37"/>
        <v/>
      </c>
      <c r="T174">
        <f>IF(connections!$A174="","",IFERROR(INDEX(games!$B$2:$B$950,MATCH(connections!$A174,games!$A$2:$A$950,0)),""))</f>
        <v>2023</v>
      </c>
      <c r="U174">
        <f>IF(connections!$A174="","",IFERROR(INDEX(games!$B$2:$B$950,MATCH(connections!$B174,games!$A$2:$A$950,0)),""))</f>
        <v>2025</v>
      </c>
      <c r="V174">
        <f t="shared" si="38"/>
        <v>2</v>
      </c>
    </row>
    <row r="175" spans="1:22" x14ac:dyDescent="0.25">
      <c r="A175" t="str">
        <f>IF(games!$A175="","",games!$A175)</f>
        <v>Darkest Dungeon</v>
      </c>
      <c r="B175">
        <f>IF($A175="","",games!$B175)</f>
        <v>2015</v>
      </c>
      <c r="C175" t="str">
        <f>IF($A175="","",games!$C175)</f>
        <v>Strategy</v>
      </c>
      <c r="D175">
        <f>IF($A175="","",COUNTIF(connections!$A$2:$A$1460,$A175)+COUNTIF(connections!$B$2:$B$1460,$A175))</f>
        <v>28</v>
      </c>
      <c r="E175">
        <f t="shared" si="26"/>
        <v>2</v>
      </c>
      <c r="F175">
        <f t="shared" si="27"/>
        <v>5</v>
      </c>
      <c r="G175" t="e">
        <f t="shared" si="28"/>
        <v>#N/A</v>
      </c>
      <c r="H175" t="e">
        <f t="shared" si="29"/>
        <v>#N/A</v>
      </c>
      <c r="I175">
        <f t="shared" si="30"/>
        <v>2015</v>
      </c>
      <c r="J175">
        <f t="shared" si="31"/>
        <v>2.1150000000000002</v>
      </c>
      <c r="K175" t="e">
        <f t="shared" si="32"/>
        <v>#N/A</v>
      </c>
      <c r="L175" t="e">
        <f t="shared" si="33"/>
        <v>#N/A</v>
      </c>
      <c r="M175" t="e">
        <f t="shared" si="34"/>
        <v>#N/A</v>
      </c>
      <c r="N175" t="e">
        <f t="shared" si="35"/>
        <v>#N/A</v>
      </c>
      <c r="O175">
        <f t="shared" si="36"/>
        <v>28.000174999999999</v>
      </c>
      <c r="P175" t="str">
        <f>IF(OR($A175="",games!$H175=""),"",games!$H175)</f>
        <v>Yes</v>
      </c>
      <c r="Q175">
        <f t="shared" si="37"/>
        <v>28.000174999999999</v>
      </c>
      <c r="T175">
        <f>IF(connections!$A175="","",IFERROR(INDEX(games!$B$2:$B$950,MATCH(connections!$A175,games!$A$2:$A$950,0)),""))</f>
        <v>2018</v>
      </c>
      <c r="U175">
        <f>IF(connections!$A175="","",IFERROR(INDEX(games!$B$2:$B$950,MATCH(connections!$B175,games!$A$2:$A$950,0)),""))</f>
        <v>2023</v>
      </c>
      <c r="V175">
        <f t="shared" si="38"/>
        <v>5</v>
      </c>
    </row>
    <row r="176" spans="1:22" x14ac:dyDescent="0.25">
      <c r="A176" t="str">
        <f>IF(games!$A176="","",games!$A176)</f>
        <v>Darkest Dungeon 2</v>
      </c>
      <c r="B176">
        <f>IF($A176="","",games!$B176)</f>
        <v>2023</v>
      </c>
      <c r="C176" t="str">
        <f>IF($A176="","",games!$C176)</f>
        <v>Strategy</v>
      </c>
      <c r="D176">
        <f>IF($A176="","",COUNTIF(connections!$A$2:$A$1460,$A176)+COUNTIF(connections!$B$2:$B$1460,$A176))</f>
        <v>1</v>
      </c>
      <c r="E176">
        <f t="shared" si="26"/>
        <v>2</v>
      </c>
      <c r="F176">
        <f t="shared" si="27"/>
        <v>6</v>
      </c>
      <c r="G176" t="e">
        <f t="shared" si="28"/>
        <v>#N/A</v>
      </c>
      <c r="H176" t="e">
        <f t="shared" si="29"/>
        <v>#N/A</v>
      </c>
      <c r="I176">
        <f t="shared" si="30"/>
        <v>2023</v>
      </c>
      <c r="J176">
        <f t="shared" si="31"/>
        <v>2.1379999999999999</v>
      </c>
      <c r="K176" t="e">
        <f t="shared" si="32"/>
        <v>#N/A</v>
      </c>
      <c r="L176" t="e">
        <f t="shared" si="33"/>
        <v>#N/A</v>
      </c>
      <c r="M176" t="e">
        <f t="shared" si="34"/>
        <v>#N/A</v>
      </c>
      <c r="N176" t="e">
        <f t="shared" si="35"/>
        <v>#N/A</v>
      </c>
      <c r="O176">
        <f t="shared" si="36"/>
        <v>1.000176</v>
      </c>
      <c r="P176" t="str">
        <f>IF(OR($A176="",games!$H176=""),"",games!$H176)</f>
        <v>Yes</v>
      </c>
      <c r="Q176">
        <f t="shared" si="37"/>
        <v>1.000176</v>
      </c>
      <c r="T176">
        <f>IF(connections!$A176="","",IFERROR(INDEX(games!$B$2:$B$950,MATCH(connections!$A176,games!$A$2:$A$950,0)),""))</f>
        <v>2010</v>
      </c>
      <c r="U176">
        <f>IF(connections!$A176="","",IFERROR(INDEX(games!$B$2:$B$950,MATCH(connections!$B176,games!$A$2:$A$950,0)),""))</f>
        <v>2014</v>
      </c>
      <c r="V176">
        <f t="shared" si="38"/>
        <v>4</v>
      </c>
    </row>
    <row r="177" spans="1:22" x14ac:dyDescent="0.25">
      <c r="A177" t="str">
        <f>IF(games!$A177="","",games!$A177)</f>
        <v>Dave the Diver</v>
      </c>
      <c r="B177">
        <f>IF($A177="","",games!$B177)</f>
        <v>2022</v>
      </c>
      <c r="C177" t="str">
        <f>IF($A177="","",games!$C177)</f>
        <v>Action</v>
      </c>
      <c r="D177">
        <f>IF($A177="","",COUNTIF(connections!$A$2:$A$1460,$A177)+COUNTIF(connections!$B$2:$B$1460,$A177))</f>
        <v>2</v>
      </c>
      <c r="E177">
        <f t="shared" si="26"/>
        <v>1</v>
      </c>
      <c r="F177">
        <f t="shared" si="27"/>
        <v>7</v>
      </c>
      <c r="G177">
        <f t="shared" si="28"/>
        <v>2022</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1994</v>
      </c>
      <c r="U177">
        <f>IF(connections!$A177="","",IFERROR(INDEX(games!$B$2:$B$950,MATCH(connections!$B177,games!$A$2:$A$950,0)),""))</f>
        <v>2010</v>
      </c>
      <c r="V177">
        <f t="shared" si="38"/>
        <v>16</v>
      </c>
    </row>
    <row r="178" spans="1:22" x14ac:dyDescent="0.25">
      <c r="A178" t="str">
        <f>IF(games!$A178="","",games!$A178)</f>
        <v>Dead Cells</v>
      </c>
      <c r="B178">
        <f>IF($A178="","",games!$B178)</f>
        <v>2018</v>
      </c>
      <c r="C178" t="str">
        <f>IF($A178="","",games!$C178)</f>
        <v>Action</v>
      </c>
      <c r="D178">
        <f>IF($A178="","",COUNTIF(connections!$A$2:$A$1460,$A178)+COUNTIF(connections!$B$2:$B$1460,$A178))</f>
        <v>31</v>
      </c>
      <c r="E178">
        <f t="shared" si="26"/>
        <v>1</v>
      </c>
      <c r="F178">
        <f t="shared" si="27"/>
        <v>8</v>
      </c>
      <c r="G178">
        <f t="shared" si="28"/>
        <v>2018</v>
      </c>
      <c r="H178">
        <f t="shared" si="29"/>
        <v>1.1839999999999999</v>
      </c>
      <c r="I178" t="e">
        <f t="shared" si="30"/>
        <v>#N/A</v>
      </c>
      <c r="J178" t="e">
        <f t="shared" si="31"/>
        <v>#N/A</v>
      </c>
      <c r="K178" t="e">
        <f t="shared" si="32"/>
        <v>#N/A</v>
      </c>
      <c r="L178" t="e">
        <f t="shared" si="33"/>
        <v>#N/A</v>
      </c>
      <c r="M178" t="e">
        <f t="shared" si="34"/>
        <v>#N/A</v>
      </c>
      <c r="N178" t="e">
        <f t="shared" si="35"/>
        <v>#N/A</v>
      </c>
      <c r="O178">
        <f t="shared" si="36"/>
        <v>31.000177999999998</v>
      </c>
      <c r="P178" t="str">
        <f>IF(OR($A178="",games!$H178=""),"",games!$H178)</f>
        <v>Yes</v>
      </c>
      <c r="Q178">
        <f t="shared" si="37"/>
        <v>31.000177999999998</v>
      </c>
      <c r="T178">
        <f>IF(connections!$A178="","",IFERROR(INDEX(games!$B$2:$B$950,MATCH(connections!$A178,games!$A$2:$A$950,0)),""))</f>
        <v>2005</v>
      </c>
      <c r="U178">
        <f>IF(connections!$A178="","",IFERROR(INDEX(games!$B$2:$B$950,MATCH(connections!$B178,games!$A$2:$A$950,0)),""))</f>
        <v>2025</v>
      </c>
      <c r="V178">
        <f t="shared" si="38"/>
        <v>20</v>
      </c>
    </row>
    <row r="179" spans="1:22" x14ac:dyDescent="0.25">
      <c r="A179" t="str">
        <f>IF(games!$A179="","",games!$A179)</f>
        <v>Dead Estate</v>
      </c>
      <c r="B179">
        <f>IF($A179="","",games!$B179)</f>
        <v>2020</v>
      </c>
      <c r="C179" t="str">
        <f>IF($A179="","",games!$C179)</f>
        <v>Action</v>
      </c>
      <c r="D179">
        <f>IF($A179="","",COUNTIF(connections!$A$2:$A$1460,$A179)+COUNTIF(connections!$B$2:$B$1460,$A179))</f>
        <v>2</v>
      </c>
      <c r="E179">
        <f t="shared" si="26"/>
        <v>1</v>
      </c>
      <c r="F179">
        <f t="shared" si="27"/>
        <v>9</v>
      </c>
      <c r="G179">
        <f t="shared" si="28"/>
        <v>2020</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Yes</v>
      </c>
      <c r="Q179">
        <f t="shared" si="37"/>
        <v>2.0001790000000002</v>
      </c>
      <c r="T179">
        <f>IF(connections!$A179="","",IFERROR(INDEX(games!$B$2:$B$950,MATCH(connections!$A179,games!$A$2:$A$950,0)),""))</f>
        <v>2013</v>
      </c>
      <c r="U179">
        <f>IF(connections!$A179="","",IFERROR(INDEX(games!$B$2:$B$950,MATCH(connections!$B179,games!$A$2:$A$950,0)),""))</f>
        <v>2020</v>
      </c>
      <c r="V179">
        <f t="shared" si="38"/>
        <v>7</v>
      </c>
    </row>
    <row r="180" spans="1:22" x14ac:dyDescent="0.25">
      <c r="A180" t="str">
        <f>IF(games!$A180="","",games!$A180)</f>
        <v>Dead Finger Dice</v>
      </c>
      <c r="B180">
        <f>IF($A180="","",games!$B180)</f>
        <v>2025</v>
      </c>
      <c r="C180" t="str">
        <f>IF($A180="","",games!$C180)</f>
        <v>Deckbuilder</v>
      </c>
      <c r="D180">
        <f>IF($A180="","",COUNTIF(connections!$A$2:$A$1460,$A180)+COUNTIF(connections!$B$2:$B$1460,$A180))</f>
        <v>1</v>
      </c>
      <c r="E180">
        <f t="shared" si="26"/>
        <v>3</v>
      </c>
      <c r="F180">
        <f t="shared" si="27"/>
        <v>10</v>
      </c>
      <c r="G180" t="e">
        <f t="shared" si="28"/>
        <v>#N/A</v>
      </c>
      <c r="H180" t="e">
        <f t="shared" si="29"/>
        <v>#N/A</v>
      </c>
      <c r="I180" t="e">
        <f t="shared" si="30"/>
        <v>#N/A</v>
      </c>
      <c r="J180" t="e">
        <f t="shared" si="31"/>
        <v>#N/A</v>
      </c>
      <c r="K180">
        <f t="shared" si="32"/>
        <v>2025</v>
      </c>
      <c r="L180">
        <f t="shared" si="33"/>
        <v>3.23</v>
      </c>
      <c r="M180" t="e">
        <f t="shared" si="34"/>
        <v>#N/A</v>
      </c>
      <c r="N180" t="e">
        <f t="shared" si="35"/>
        <v>#N/A</v>
      </c>
      <c r="O180">
        <f t="shared" si="36"/>
        <v>1.0001800000000001</v>
      </c>
      <c r="P180" t="str">
        <f>IF(OR($A180="",games!$H180=""),"",games!$H180)</f>
        <v>Yes</v>
      </c>
      <c r="Q180">
        <f t="shared" si="37"/>
        <v>1.0001800000000001</v>
      </c>
      <c r="T180">
        <f>IF(connections!$A180="","",IFERROR(INDEX(games!$B$2:$B$950,MATCH(connections!$A180,games!$A$2:$A$950,0)),""))</f>
        <v>2010</v>
      </c>
      <c r="U180">
        <f>IF(connections!$A180="","",IFERROR(INDEX(games!$B$2:$B$950,MATCH(connections!$B180,games!$A$2:$A$950,0)),""))</f>
        <v>2013</v>
      </c>
      <c r="V180">
        <f t="shared" si="38"/>
        <v>3</v>
      </c>
    </row>
    <row r="181" spans="1:22" x14ac:dyDescent="0.25">
      <c r="A181" t="str">
        <f>IF(games!$A181="","",games!$A181)</f>
        <v>Dead Weight</v>
      </c>
      <c r="B181">
        <f>IF($A181="","",games!$B181)</f>
        <v>2026</v>
      </c>
      <c r="C181" t="str">
        <f>IF($A181="","",games!$C181)</f>
        <v>Strategy</v>
      </c>
      <c r="D181">
        <f>IF($A181="","",COUNTIF(connections!$A$2:$A$1460,$A181)+COUNTIF(connections!$B$2:$B$1460,$A181))</f>
        <v>1</v>
      </c>
      <c r="E181">
        <f t="shared" si="26"/>
        <v>2</v>
      </c>
      <c r="F181">
        <f t="shared" si="27"/>
        <v>11</v>
      </c>
      <c r="G181" t="e">
        <f t="shared" si="28"/>
        <v>#N/A</v>
      </c>
      <c r="H181" t="e">
        <f t="shared" si="29"/>
        <v>#N/A</v>
      </c>
      <c r="I181">
        <f t="shared" si="30"/>
        <v>2026</v>
      </c>
      <c r="J181">
        <f t="shared" si="31"/>
        <v>2.2530000000000001</v>
      </c>
      <c r="K181" t="e">
        <f t="shared" si="32"/>
        <v>#N/A</v>
      </c>
      <c r="L181" t="e">
        <f t="shared" si="33"/>
        <v>#N/A</v>
      </c>
      <c r="M181" t="e">
        <f t="shared" si="34"/>
        <v>#N/A</v>
      </c>
      <c r="N181" t="e">
        <f t="shared" si="35"/>
        <v>#N/A</v>
      </c>
      <c r="O181">
        <f t="shared" si="36"/>
        <v>1.000181</v>
      </c>
      <c r="P181" t="str">
        <f>IF(OR($A181="",games!$H181=""),"",games!$H181)</f>
        <v/>
      </c>
      <c r="Q181" t="str">
        <f t="shared" si="37"/>
        <v/>
      </c>
      <c r="T181">
        <f>IF(connections!$A181="","",IFERROR(INDEX(games!$B$2:$B$950,MATCH(connections!$A181,games!$A$2:$A$950,0)),""))</f>
        <v>2013</v>
      </c>
      <c r="U181">
        <f>IF(connections!$A181="","",IFERROR(INDEX(games!$B$2:$B$950,MATCH(connections!$B181,games!$A$2:$A$950,0)),""))</f>
        <v>2025</v>
      </c>
      <c r="V181">
        <f t="shared" si="38"/>
        <v>12</v>
      </c>
    </row>
    <row r="182" spans="1:22" x14ac:dyDescent="0.25">
      <c r="A182" t="str">
        <f>IF(games!$A182="","",games!$A182)</f>
        <v>Deadzone: Rogue</v>
      </c>
      <c r="B182">
        <f>IF($A182="","",games!$B182)</f>
        <v>2025</v>
      </c>
      <c r="C182" t="str">
        <f>IF($A182="","",games!$C182)</f>
        <v>Action</v>
      </c>
      <c r="D182">
        <f>IF($A182="","",COUNTIF(connections!$A$2:$A$1460,$A182)+COUNTIF(connections!$B$2:$B$1460,$A182))</f>
        <v>1</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1.0001819999999999</v>
      </c>
      <c r="P182" t="str">
        <f>IF(OR($A182="",games!$H182=""),"",games!$H182)</f>
        <v/>
      </c>
      <c r="Q182" t="str">
        <f t="shared" si="37"/>
        <v/>
      </c>
      <c r="T182">
        <f>IF(connections!$A182="","",IFERROR(INDEX(games!$B$2:$B$950,MATCH(connections!$A182,games!$A$2:$A$950,0)),""))</f>
        <v>2015</v>
      </c>
      <c r="U182">
        <f>IF(connections!$A182="","",IFERROR(INDEX(games!$B$2:$B$950,MATCH(connections!$B182,games!$A$2:$A$950,0)),""))</f>
        <v>2012</v>
      </c>
      <c r="V182">
        <f t="shared" si="38"/>
        <v>-3</v>
      </c>
    </row>
    <row r="183" spans="1:22" x14ac:dyDescent="0.25">
      <c r="A183" t="str">
        <f>IF(games!$A183="","",games!$A183)</f>
        <v>Death by Scrolling</v>
      </c>
      <c r="B183">
        <f>IF($A183="","",games!$B183)</f>
        <v>2025</v>
      </c>
      <c r="C183" t="str">
        <f>IF($A183="","",games!$C183)</f>
        <v>Action</v>
      </c>
      <c r="D183">
        <f>IF($A183="","",COUNTIF(connections!$A$2:$A$1460,$A183)+COUNTIF(connections!$B$2:$B$1460,$A183))</f>
        <v>0</v>
      </c>
      <c r="E183">
        <f t="shared" si="26"/>
        <v>1</v>
      </c>
      <c r="F183">
        <f t="shared" si="27"/>
        <v>13</v>
      </c>
      <c r="G183">
        <f t="shared" si="28"/>
        <v>2025</v>
      </c>
      <c r="H183">
        <f t="shared" si="29"/>
        <v>1.2989999999999999</v>
      </c>
      <c r="I183" t="e">
        <f t="shared" si="30"/>
        <v>#N/A</v>
      </c>
      <c r="J183" t="e">
        <f t="shared" si="31"/>
        <v>#N/A</v>
      </c>
      <c r="K183" t="e">
        <f t="shared" si="32"/>
        <v>#N/A</v>
      </c>
      <c r="L183" t="e">
        <f t="shared" si="33"/>
        <v>#N/A</v>
      </c>
      <c r="M183" t="e">
        <f t="shared" si="34"/>
        <v>#N/A</v>
      </c>
      <c r="N183" t="e">
        <f t="shared" si="35"/>
        <v>#N/A</v>
      </c>
      <c r="O183">
        <f t="shared" si="36"/>
        <v>1.83E-4</v>
      </c>
      <c r="P183" t="str">
        <f>IF(OR($A183="",games!$H183=""),"",games!$H183)</f>
        <v/>
      </c>
      <c r="Q183" t="str">
        <f t="shared" si="37"/>
        <v/>
      </c>
      <c r="T183">
        <f>IF(connections!$A183="","",IFERROR(INDEX(games!$B$2:$B$950,MATCH(connections!$A183,games!$A$2:$A$950,0)),""))</f>
        <v>2017</v>
      </c>
      <c r="U183">
        <f>IF(connections!$A183="","",IFERROR(INDEX(games!$B$2:$B$950,MATCH(connections!$B183,games!$A$2:$A$950,0)),""))</f>
        <v>2023</v>
      </c>
      <c r="V183">
        <f t="shared" si="38"/>
        <v>6</v>
      </c>
    </row>
    <row r="184" spans="1:22" x14ac:dyDescent="0.25">
      <c r="A184" t="str">
        <f>IF(games!$A184="","",games!$A184)</f>
        <v>Death Must Die</v>
      </c>
      <c r="B184">
        <f>IF($A184="","",games!$B184)</f>
        <v>2023</v>
      </c>
      <c r="C184" t="str">
        <f>IF($A184="","",games!$C184)</f>
        <v>Action</v>
      </c>
      <c r="D184">
        <f>IF($A184="","",COUNTIF(connections!$A$2:$A$1460,$A184)+COUNTIF(connections!$B$2:$B$1460,$A184))</f>
        <v>8</v>
      </c>
      <c r="E184">
        <f t="shared" si="26"/>
        <v>1</v>
      </c>
      <c r="F184">
        <f t="shared" si="27"/>
        <v>14</v>
      </c>
      <c r="G184">
        <f t="shared" si="28"/>
        <v>2023</v>
      </c>
      <c r="H184">
        <f t="shared" si="29"/>
        <v>1.3220000000000001</v>
      </c>
      <c r="I184" t="e">
        <f t="shared" si="30"/>
        <v>#N/A</v>
      </c>
      <c r="J184" t="e">
        <f t="shared" si="31"/>
        <v>#N/A</v>
      </c>
      <c r="K184" t="e">
        <f t="shared" si="32"/>
        <v>#N/A</v>
      </c>
      <c r="L184" t="e">
        <f t="shared" si="33"/>
        <v>#N/A</v>
      </c>
      <c r="M184" t="e">
        <f t="shared" si="34"/>
        <v>#N/A</v>
      </c>
      <c r="N184" t="e">
        <f t="shared" si="35"/>
        <v>#N/A</v>
      </c>
      <c r="O184">
        <f t="shared" si="36"/>
        <v>8.0001840000000009</v>
      </c>
      <c r="P184" t="str">
        <f>IF(OR($A184="",games!$H184=""),"",games!$H184)</f>
        <v>Yes</v>
      </c>
      <c r="Q184">
        <f t="shared" si="37"/>
        <v>8.0001840000000009</v>
      </c>
      <c r="T184">
        <f>IF(connections!$A184="","",IFERROR(INDEX(games!$B$2:$B$950,MATCH(connections!$A184,games!$A$2:$A$950,0)),""))</f>
        <v>2010</v>
      </c>
      <c r="U184">
        <f>IF(connections!$A184="","",IFERROR(INDEX(games!$B$2:$B$950,MATCH(connections!$B184,games!$A$2:$A$950,0)),""))</f>
        <v>2020</v>
      </c>
      <c r="V184">
        <f t="shared" si="38"/>
        <v>10</v>
      </c>
    </row>
    <row r="185" spans="1:22" x14ac:dyDescent="0.25">
      <c r="A185" t="str">
        <f>IF(games!$A185="","",games!$A185)</f>
        <v>Death Road to Canada</v>
      </c>
      <c r="B185">
        <f>IF($A185="","",games!$B185)</f>
        <v>2016</v>
      </c>
      <c r="C185" t="str">
        <f>IF($A185="","",games!$C185)</f>
        <v>Action</v>
      </c>
      <c r="D185">
        <f>IF($A185="","",COUNTIF(connections!$A$2:$A$1460,$A185)+COUNTIF(connections!$B$2:$B$1460,$A185))</f>
        <v>1</v>
      </c>
      <c r="E185">
        <f t="shared" si="26"/>
        <v>1</v>
      </c>
      <c r="F185">
        <f t="shared" si="27"/>
        <v>15</v>
      </c>
      <c r="G185">
        <f t="shared" si="28"/>
        <v>2016</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2010</v>
      </c>
      <c r="U185">
        <f>IF(connections!$A185="","",IFERROR(INDEX(games!$B$2:$B$950,MATCH(connections!$B185,games!$A$2:$A$950,0)),""))</f>
        <v>2014</v>
      </c>
      <c r="V185">
        <f t="shared" si="38"/>
        <v>4</v>
      </c>
    </row>
    <row r="186" spans="1:22" x14ac:dyDescent="0.25">
      <c r="A186" t="str">
        <f>IF(games!$A186="","",games!$A186)</f>
        <v>Death Roads: Tournament</v>
      </c>
      <c r="B186">
        <f>IF($A186="","",games!$B186)</f>
        <v>2023</v>
      </c>
      <c r="C186" t="str">
        <f>IF($A186="","",games!$C186)</f>
        <v>Deckbuilder</v>
      </c>
      <c r="D186">
        <f>IF($A186="","",COUNTIF(connections!$A$2:$A$1460,$A186)+COUNTIF(connections!$B$2:$B$1460,$A186))</f>
        <v>4</v>
      </c>
      <c r="E186">
        <f t="shared" si="26"/>
        <v>3</v>
      </c>
      <c r="F186">
        <f t="shared" si="27"/>
        <v>16</v>
      </c>
      <c r="G186" t="e">
        <f t="shared" si="28"/>
        <v>#N/A</v>
      </c>
      <c r="H186" t="e">
        <f t="shared" si="29"/>
        <v>#N/A</v>
      </c>
      <c r="I186" t="e">
        <f t="shared" si="30"/>
        <v>#N/A</v>
      </c>
      <c r="J186" t="e">
        <f t="shared" si="31"/>
        <v>#N/A</v>
      </c>
      <c r="K186">
        <f t="shared" si="32"/>
        <v>2023</v>
      </c>
      <c r="L186">
        <f t="shared" si="33"/>
        <v>3.3679999999999999</v>
      </c>
      <c r="M186" t="e">
        <f t="shared" si="34"/>
        <v>#N/A</v>
      </c>
      <c r="N186" t="e">
        <f t="shared" si="35"/>
        <v>#N/A</v>
      </c>
      <c r="O186">
        <f t="shared" si="36"/>
        <v>4.0001860000000002</v>
      </c>
      <c r="P186" t="str">
        <f>IF(OR($A186="",games!$H186=""),"",games!$H186)</f>
        <v>Yes</v>
      </c>
      <c r="Q186">
        <f t="shared" si="37"/>
        <v>4.0001860000000002</v>
      </c>
      <c r="T186">
        <f>IF(connections!$A186="","",IFERROR(INDEX(games!$B$2:$B$950,MATCH(connections!$A186,games!$A$2:$A$950,0)),""))</f>
        <v>2022</v>
      </c>
      <c r="U186">
        <f>IF(connections!$A186="","",IFERROR(INDEX(games!$B$2:$B$950,MATCH(connections!$B186,games!$A$2:$A$950,0)),""))</f>
        <v>2025</v>
      </c>
      <c r="V186">
        <f t="shared" si="38"/>
        <v>3</v>
      </c>
    </row>
    <row r="187" spans="1:22" x14ac:dyDescent="0.25">
      <c r="A187" t="str">
        <f>IF(games!$A187="","",games!$A187)</f>
        <v>Death Skid Marks</v>
      </c>
      <c r="B187">
        <f>IF($A187="","",games!$B187)</f>
        <v>2014</v>
      </c>
      <c r="C187" t="str">
        <f>IF($A187="","",games!$C187)</f>
        <v>Action</v>
      </c>
      <c r="D187">
        <f>IF($A187="","",COUNTIF(connections!$A$2:$A$1460,$A187)+COUNTIF(connections!$B$2:$B$1460,$A187))</f>
        <v>1</v>
      </c>
      <c r="E187">
        <f t="shared" si="26"/>
        <v>1</v>
      </c>
      <c r="F187">
        <f t="shared" si="27"/>
        <v>17</v>
      </c>
      <c r="G187">
        <f t="shared" si="28"/>
        <v>2014</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Yes</v>
      </c>
      <c r="Q187">
        <f t="shared" si="37"/>
        <v>1.0001869999999999</v>
      </c>
      <c r="T187">
        <f>IF(connections!$A187="","",IFERROR(INDEX(games!$B$2:$B$950,MATCH(connections!$A187,games!$A$2:$A$950,0)),""))</f>
        <v>2019</v>
      </c>
      <c r="U187">
        <f>IF(connections!$A187="","",IFERROR(INDEX(games!$B$2:$B$950,MATCH(connections!$B187,games!$A$2:$A$950,0)),""))</f>
        <v>2022</v>
      </c>
      <c r="V187">
        <f t="shared" si="38"/>
        <v>3</v>
      </c>
    </row>
    <row r="188" spans="1:22" x14ac:dyDescent="0.25">
      <c r="A188" t="str">
        <f>IF(games!$A188="","",games!$A188)</f>
        <v>Deck of Ashes</v>
      </c>
      <c r="B188">
        <f>IF($A188="","",games!$B188)</f>
        <v>2019</v>
      </c>
      <c r="C188" t="str">
        <f>IF($A188="","",games!$C188)</f>
        <v>Deckbuilder</v>
      </c>
      <c r="D188">
        <f>IF($A188="","",COUNTIF(connections!$A$2:$A$1460,$A188)+COUNTIF(connections!$B$2:$B$1460,$A188))</f>
        <v>4</v>
      </c>
      <c r="E188">
        <f t="shared" si="26"/>
        <v>3</v>
      </c>
      <c r="F188">
        <f t="shared" si="27"/>
        <v>18</v>
      </c>
      <c r="G188" t="e">
        <f t="shared" si="28"/>
        <v>#N/A</v>
      </c>
      <c r="H188" t="e">
        <f t="shared" si="29"/>
        <v>#N/A</v>
      </c>
      <c r="I188" t="e">
        <f t="shared" si="30"/>
        <v>#N/A</v>
      </c>
      <c r="J188" t="e">
        <f t="shared" si="31"/>
        <v>#N/A</v>
      </c>
      <c r="K188">
        <f t="shared" si="32"/>
        <v>2019</v>
      </c>
      <c r="L188">
        <f t="shared" si="33"/>
        <v>3.4140000000000001</v>
      </c>
      <c r="M188" t="e">
        <f t="shared" si="34"/>
        <v>#N/A</v>
      </c>
      <c r="N188" t="e">
        <f t="shared" si="35"/>
        <v>#N/A</v>
      </c>
      <c r="O188">
        <f t="shared" si="36"/>
        <v>4.0001879999999996</v>
      </c>
      <c r="P188" t="str">
        <f>IF(OR($A188="",games!$H188=""),"",games!$H188)</f>
        <v>Yes</v>
      </c>
      <c r="Q188">
        <f t="shared" si="37"/>
        <v>4.0001879999999996</v>
      </c>
      <c r="T188">
        <f>IF(connections!$A188="","",IFERROR(INDEX(games!$B$2:$B$950,MATCH(connections!$A188,games!$A$2:$A$950,0)),""))</f>
        <v>2019</v>
      </c>
      <c r="U188">
        <f>IF(connections!$A188="","",IFERROR(INDEX(games!$B$2:$B$950,MATCH(connections!$B188,games!$A$2:$A$950,0)),""))</f>
        <v>2024</v>
      </c>
      <c r="V188">
        <f t="shared" si="38"/>
        <v>5</v>
      </c>
    </row>
    <row r="189" spans="1:22" x14ac:dyDescent="0.25">
      <c r="A189" t="str">
        <f>IF(games!$A189="","",games!$A189)</f>
        <v>Deck of Haunts</v>
      </c>
      <c r="B189">
        <f>IF($A189="","",games!$B189)</f>
        <v>2025</v>
      </c>
      <c r="C189" t="str">
        <f>IF($A189="","",games!$C189)</f>
        <v>Deckbuilder</v>
      </c>
      <c r="D189">
        <f>IF($A189="","",COUNTIF(connections!$A$2:$A$1460,$A189)+COUNTIF(connections!$B$2:$B$1460,$A189))</f>
        <v>1</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1998</v>
      </c>
      <c r="U189">
        <f>IF(connections!$A189="","",IFERROR(INDEX(games!$B$2:$B$950,MATCH(connections!$B189,games!$A$2:$A$950,0)),""))</f>
        <v>2007</v>
      </c>
      <c r="V189">
        <f t="shared" si="38"/>
        <v>9</v>
      </c>
    </row>
    <row r="190" spans="1:22" x14ac:dyDescent="0.25">
      <c r="A190" t="str">
        <f>IF(games!$A190="","",games!$A190)</f>
        <v>Decktamer</v>
      </c>
      <c r="B190">
        <f>IF($A190="","",games!$B190)</f>
        <v>2025</v>
      </c>
      <c r="C190" t="str">
        <f>IF($A190="","",games!$C190)</f>
        <v>Deckbuilder</v>
      </c>
      <c r="D190">
        <f>IF($A190="","",COUNTIF(connections!$A$2:$A$1460,$A190)+COUNTIF(connections!$B$2:$B$1460,$A190))</f>
        <v>2</v>
      </c>
      <c r="E190">
        <f t="shared" si="26"/>
        <v>3</v>
      </c>
      <c r="F190">
        <f t="shared" si="27"/>
        <v>20</v>
      </c>
      <c r="G190" t="e">
        <f t="shared" si="28"/>
        <v>#N/A</v>
      </c>
      <c r="H190" t="e">
        <f t="shared" si="29"/>
        <v>#N/A</v>
      </c>
      <c r="I190" t="e">
        <f t="shared" si="30"/>
        <v>#N/A</v>
      </c>
      <c r="J190" t="e">
        <f t="shared" si="31"/>
        <v>#N/A</v>
      </c>
      <c r="K190">
        <f t="shared" si="32"/>
        <v>2025</v>
      </c>
      <c r="L190">
        <f t="shared" si="33"/>
        <v>3.46</v>
      </c>
      <c r="M190" t="e">
        <f t="shared" si="34"/>
        <v>#N/A</v>
      </c>
      <c r="N190" t="e">
        <f t="shared" si="35"/>
        <v>#N/A</v>
      </c>
      <c r="O190">
        <f t="shared" si="36"/>
        <v>2.0001899999999999</v>
      </c>
      <c r="P190" t="str">
        <f>IF(OR($A190="",games!$H190=""),"",games!$H190)</f>
        <v>Yes</v>
      </c>
      <c r="Q190">
        <f t="shared" si="37"/>
        <v>2.0001899999999999</v>
      </c>
      <c r="T190">
        <f>IF(connections!$A190="","",IFERROR(INDEX(games!$B$2:$B$950,MATCH(connections!$A190,games!$A$2:$A$950,0)),""))</f>
        <v>1997</v>
      </c>
      <c r="U190">
        <f>IF(connections!$A190="","",IFERROR(INDEX(games!$B$2:$B$950,MATCH(connections!$B190,games!$A$2:$A$950,0)),""))</f>
        <v>1998</v>
      </c>
      <c r="V190">
        <f t="shared" si="38"/>
        <v>1</v>
      </c>
    </row>
    <row r="191" spans="1:22" x14ac:dyDescent="0.25">
      <c r="A191" t="str">
        <f>IF(games!$A191="","",games!$A191)</f>
        <v>Deep Dungeons of Doom</v>
      </c>
      <c r="B191">
        <f>IF($A191="","",games!$B191)</f>
        <v>2014</v>
      </c>
      <c r="C191" t="str">
        <f>IF($A191="","",games!$C191)</f>
        <v>Action</v>
      </c>
      <c r="D191">
        <f>IF($A191="","",COUNTIF(connections!$A$2:$A$1460,$A191)+COUNTIF(connections!$B$2:$B$1460,$A191))</f>
        <v>1</v>
      </c>
      <c r="E191">
        <f t="shared" si="26"/>
        <v>1</v>
      </c>
      <c r="F191">
        <f t="shared" si="27"/>
        <v>21</v>
      </c>
      <c r="G191">
        <f t="shared" si="28"/>
        <v>2014</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IF(connections!$A191="","",IFERROR(INDEX(games!$B$2:$B$950,MATCH(connections!$A191,games!$A$2:$A$950,0)),""))</f>
        <v>2023</v>
      </c>
      <c r="U191">
        <f>IF(connections!$A191="","",IFERROR(INDEX(games!$B$2:$B$950,MATCH(connections!$B191,games!$A$2:$A$950,0)),""))</f>
        <v>2025</v>
      </c>
      <c r="V191">
        <f t="shared" si="38"/>
        <v>2</v>
      </c>
    </row>
    <row r="192" spans="1:22" x14ac:dyDescent="0.25">
      <c r="A192" t="str">
        <f>IF(games!$A192="","",games!$A192)</f>
        <v>Deep Rock Galactic: Rogue Core</v>
      </c>
      <c r="B192">
        <f>IF($A192="","",games!$B192)</f>
        <v>2026</v>
      </c>
      <c r="C192" t="str">
        <f>IF($A192="","",games!$C192)</f>
        <v>Action</v>
      </c>
      <c r="D192">
        <f>IF($A192="","",COUNTIF(connections!$A$2:$A$1460,$A192)+COUNTIF(connections!$B$2:$B$1460,$A192))</f>
        <v>4</v>
      </c>
      <c r="E192">
        <f t="shared" si="26"/>
        <v>1</v>
      </c>
      <c r="F192">
        <f t="shared" si="27"/>
        <v>22</v>
      </c>
      <c r="G192">
        <f t="shared" si="28"/>
        <v>2026</v>
      </c>
      <c r="H192">
        <f t="shared" si="29"/>
        <v>1.506</v>
      </c>
      <c r="I192" t="e">
        <f t="shared" si="30"/>
        <v>#N/A</v>
      </c>
      <c r="J192" t="e">
        <f t="shared" si="31"/>
        <v>#N/A</v>
      </c>
      <c r="K192" t="e">
        <f t="shared" si="32"/>
        <v>#N/A</v>
      </c>
      <c r="L192" t="e">
        <f t="shared" si="33"/>
        <v>#N/A</v>
      </c>
      <c r="M192" t="e">
        <f t="shared" si="34"/>
        <v>#N/A</v>
      </c>
      <c r="N192" t="e">
        <f t="shared" si="35"/>
        <v>#N/A</v>
      </c>
      <c r="O192">
        <f t="shared" si="36"/>
        <v>4.0001920000000002</v>
      </c>
      <c r="P192" t="str">
        <f>IF(OR($A192="",games!$H192=""),"",games!$H192)</f>
        <v/>
      </c>
      <c r="Q192" t="str">
        <f t="shared" si="37"/>
        <v/>
      </c>
      <c r="T192">
        <f>IF(connections!$A192="","",IFERROR(INDEX(games!$B$2:$B$950,MATCH(connections!$A192,games!$A$2:$A$950,0)),""))</f>
        <v>2025</v>
      </c>
      <c r="U192">
        <f>IF(connections!$A192="","",IFERROR(INDEX(games!$B$2:$B$950,MATCH(connections!$B192,games!$A$2:$A$950,0)),""))</f>
        <v>2026</v>
      </c>
      <c r="V192">
        <f t="shared" si="38"/>
        <v>1</v>
      </c>
    </row>
    <row r="193" spans="1:22" x14ac:dyDescent="0.25">
      <c r="A193" t="str">
        <f>IF(games!$A193="","",games!$A193)</f>
        <v>Deep Rock Galactic: Survivor</v>
      </c>
      <c r="B193">
        <f>IF($A193="","",games!$B193)</f>
        <v>2024</v>
      </c>
      <c r="C193" t="str">
        <f>IF($A193="","",games!$C193)</f>
        <v>Action</v>
      </c>
      <c r="D193">
        <f>IF($A193="","",COUNTIF(connections!$A$2:$A$1460,$A193)+COUNTIF(connections!$B$2:$B$1460,$A193))</f>
        <v>5</v>
      </c>
      <c r="E193">
        <f t="shared" si="26"/>
        <v>1</v>
      </c>
      <c r="F193">
        <f t="shared" si="27"/>
        <v>23</v>
      </c>
      <c r="G193">
        <f t="shared" si="28"/>
        <v>2024</v>
      </c>
      <c r="H193">
        <f t="shared" si="29"/>
        <v>1.5289999999999999</v>
      </c>
      <c r="I193" t="e">
        <f t="shared" si="30"/>
        <v>#N/A</v>
      </c>
      <c r="J193" t="e">
        <f t="shared" si="31"/>
        <v>#N/A</v>
      </c>
      <c r="K193" t="e">
        <f t="shared" si="32"/>
        <v>#N/A</v>
      </c>
      <c r="L193" t="e">
        <f t="shared" si="33"/>
        <v>#N/A</v>
      </c>
      <c r="M193" t="e">
        <f t="shared" si="34"/>
        <v>#N/A</v>
      </c>
      <c r="N193" t="e">
        <f t="shared" si="35"/>
        <v>#N/A</v>
      </c>
      <c r="O193">
        <f t="shared" si="36"/>
        <v>5.0001930000000003</v>
      </c>
      <c r="P193" t="str">
        <f>IF(OR($A193="",games!$H193=""),"",games!$H193)</f>
        <v/>
      </c>
      <c r="Q193" t="str">
        <f t="shared" si="37"/>
        <v/>
      </c>
      <c r="T193">
        <f>IF(connections!$A193="","",IFERROR(INDEX(games!$B$2:$B$950,MATCH(connections!$A193,games!$A$2:$A$950,0)),""))</f>
        <v>2025</v>
      </c>
      <c r="U193">
        <f>IF(connections!$A193="","",IFERROR(INDEX(games!$B$2:$B$950,MATCH(connections!$B193,games!$A$2:$A$950,0)),""))</f>
        <v>2026</v>
      </c>
      <c r="V193">
        <f t="shared" si="38"/>
        <v>1</v>
      </c>
    </row>
    <row r="194" spans="1:22" x14ac:dyDescent="0.25">
      <c r="A194" t="str">
        <f>IF(games!$A194="","",games!$A194)</f>
        <v>Deep Sky Derelicts</v>
      </c>
      <c r="B194">
        <f>IF($A194="","",games!$B194)</f>
        <v>2018</v>
      </c>
      <c r="C194" t="str">
        <f>IF($A194="","",games!$C194)</f>
        <v>Deckbuilder</v>
      </c>
      <c r="D194">
        <f>IF($A194="","",COUNTIF(connections!$A$2:$A$1460,$A194)+COUNTIF(connections!$B$2:$B$1460,$A194))</f>
        <v>3</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2018</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2017</v>
      </c>
      <c r="U194">
        <f>IF(connections!$A194="","",IFERROR(INDEX(games!$B$2:$B$950,MATCH(connections!$B194,games!$A$2:$A$950,0)),""))</f>
        <v>2020</v>
      </c>
      <c r="V194">
        <f t="shared" ref="V194:V257" si="51">IF(OR($T194="",$U194=""),"",$U194-$T194)</f>
        <v>3</v>
      </c>
    </row>
    <row r="195" spans="1:22" x14ac:dyDescent="0.25">
      <c r="A195" t="str">
        <f>IF(games!$A195="","",games!$A195)</f>
        <v>Deepest Chamber: Resurrection</v>
      </c>
      <c r="B195">
        <f>IF($A195="","",games!$B195)</f>
        <v>2021</v>
      </c>
      <c r="C195" t="str">
        <f>IF($A195="","",games!$C195)</f>
        <v>Deckbuilder</v>
      </c>
      <c r="D195">
        <f>IF($A195="","",COUNTIF(connections!$A$2:$A$1460,$A195)+COUNTIF(connections!$B$2:$B$1460,$A195))</f>
        <v>1</v>
      </c>
      <c r="E195">
        <f t="shared" si="39"/>
        <v>3</v>
      </c>
      <c r="F195">
        <f t="shared" si="40"/>
        <v>25</v>
      </c>
      <c r="G195" t="e">
        <f t="shared" si="41"/>
        <v>#N/A</v>
      </c>
      <c r="H195" t="e">
        <f t="shared" si="42"/>
        <v>#N/A</v>
      </c>
      <c r="I195" t="e">
        <f t="shared" si="43"/>
        <v>#N/A</v>
      </c>
      <c r="J195" t="e">
        <f t="shared" si="44"/>
        <v>#N/A</v>
      </c>
      <c r="K195">
        <f t="shared" si="45"/>
        <v>2021</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2017</v>
      </c>
      <c r="U195">
        <f>IF(connections!$A195="","",IFERROR(INDEX(games!$B$2:$B$950,MATCH(connections!$B195,games!$A$2:$A$950,0)),""))</f>
        <v>2021</v>
      </c>
      <c r="V195">
        <f t="shared" si="51"/>
        <v>4</v>
      </c>
    </row>
    <row r="196" spans="1:22" x14ac:dyDescent="0.25">
      <c r="A196" t="str">
        <f>IF(games!$A196="","",games!$A196)</f>
        <v>Delver</v>
      </c>
      <c r="B196">
        <f>IF($A196="","",games!$B196)</f>
        <v>2012</v>
      </c>
      <c r="C196" t="str">
        <f>IF($A196="","",games!$C196)</f>
        <v>Action</v>
      </c>
      <c r="D196">
        <f>IF($A196="","",COUNTIF(connections!$A$2:$A$1460,$A196)+COUNTIF(connections!$B$2:$B$1460,$A196))</f>
        <v>4</v>
      </c>
      <c r="E196">
        <f t="shared" si="39"/>
        <v>1</v>
      </c>
      <c r="F196">
        <f t="shared" si="40"/>
        <v>26</v>
      </c>
      <c r="G196">
        <f t="shared" si="41"/>
        <v>2012</v>
      </c>
      <c r="H196">
        <f t="shared" si="42"/>
        <v>1.5979999999999999</v>
      </c>
      <c r="I196" t="e">
        <f t="shared" si="43"/>
        <v>#N/A</v>
      </c>
      <c r="J196" t="e">
        <f t="shared" si="44"/>
        <v>#N/A</v>
      </c>
      <c r="K196" t="e">
        <f t="shared" si="45"/>
        <v>#N/A</v>
      </c>
      <c r="L196" t="e">
        <f t="shared" si="46"/>
        <v>#N/A</v>
      </c>
      <c r="M196" t="e">
        <f t="shared" si="47"/>
        <v>#N/A</v>
      </c>
      <c r="N196" t="e">
        <f t="shared" si="48"/>
        <v>#N/A</v>
      </c>
      <c r="O196">
        <f t="shared" si="49"/>
        <v>4.0001959999999999</v>
      </c>
      <c r="P196" t="str">
        <f>IF(OR($A196="",games!$H196=""),"",games!$H196)</f>
        <v/>
      </c>
      <c r="Q196" t="str">
        <f t="shared" si="50"/>
        <v/>
      </c>
      <c r="T196">
        <f>IF(connections!$A196="","",IFERROR(INDEX(games!$B$2:$B$950,MATCH(connections!$A196,games!$A$2:$A$950,0)),""))</f>
        <v>2020</v>
      </c>
      <c r="U196">
        <f>IF(connections!$A196="","",IFERROR(INDEX(games!$B$2:$B$950,MATCH(connections!$B196,games!$A$2:$A$950,0)),""))</f>
        <v>2024</v>
      </c>
      <c r="V196">
        <f t="shared" si="51"/>
        <v>4</v>
      </c>
    </row>
    <row r="197" spans="1:22" x14ac:dyDescent="0.25">
      <c r="A197" t="str">
        <f>IF(games!$A197="","",games!$A197)</f>
        <v>Demon Lord: Just a Block</v>
      </c>
      <c r="B197">
        <f>IF($A197="","",games!$B197)</f>
        <v>2026</v>
      </c>
      <c r="C197" t="str">
        <f>IF($A197="","",games!$C197)</f>
        <v>Traditional</v>
      </c>
      <c r="D197">
        <f>IF($A197="","",COUNTIF(connections!$A$2:$A$1460,$A197)+COUNTIF(connections!$B$2:$B$1460,$A197))</f>
        <v>2</v>
      </c>
      <c r="E197">
        <f t="shared" si="39"/>
        <v>4</v>
      </c>
      <c r="F197">
        <f t="shared" si="40"/>
        <v>27</v>
      </c>
      <c r="G197" t="e">
        <f t="shared" si="41"/>
        <v>#N/A</v>
      </c>
      <c r="H197" t="e">
        <f t="shared" si="42"/>
        <v>#N/A</v>
      </c>
      <c r="I197" t="e">
        <f t="shared" si="43"/>
        <v>#N/A</v>
      </c>
      <c r="J197" t="e">
        <f t="shared" si="44"/>
        <v>#N/A</v>
      </c>
      <c r="K197" t="e">
        <f t="shared" si="45"/>
        <v>#N/A</v>
      </c>
      <c r="L197" t="e">
        <f t="shared" si="46"/>
        <v>#N/A</v>
      </c>
      <c r="M197">
        <f t="shared" si="47"/>
        <v>2026</v>
      </c>
      <c r="N197">
        <f t="shared" si="48"/>
        <v>4.6210000000000004</v>
      </c>
      <c r="O197">
        <f t="shared" si="49"/>
        <v>2.000197</v>
      </c>
      <c r="P197" t="str">
        <f>IF(OR($A197="",games!$H197=""),"",games!$H197)</f>
        <v>Yes</v>
      </c>
      <c r="Q197">
        <f t="shared" si="50"/>
        <v>2.000197</v>
      </c>
      <c r="T197">
        <f>IF(connections!$A197="","",IFERROR(INDEX(games!$B$2:$B$950,MATCH(connections!$A197,games!$A$2:$A$950,0)),""))</f>
        <v>2023</v>
      </c>
      <c r="U197">
        <f>IF(connections!$A197="","",IFERROR(INDEX(games!$B$2:$B$950,MATCH(connections!$B197,games!$A$2:$A$950,0)),""))</f>
        <v>2026</v>
      </c>
      <c r="V197">
        <f t="shared" si="51"/>
        <v>3</v>
      </c>
    </row>
    <row r="198" spans="1:22" x14ac:dyDescent="0.25">
      <c r="A198" t="str">
        <f>IF(games!$A198="","",games!$A198)</f>
        <v>DemonCrawl</v>
      </c>
      <c r="B198">
        <f>IF($A198="","",games!$B198)</f>
        <v>2019</v>
      </c>
      <c r="C198" t="str">
        <f>IF($A198="","",games!$C198)</f>
        <v>Strategy</v>
      </c>
      <c r="D198">
        <f>IF($A198="","",COUNTIF(connections!$A$2:$A$1460,$A198)+COUNTIF(connections!$B$2:$B$1460,$A198))</f>
        <v>1</v>
      </c>
      <c r="E198">
        <f t="shared" si="39"/>
        <v>2</v>
      </c>
      <c r="F198">
        <f t="shared" si="40"/>
        <v>28</v>
      </c>
      <c r="G198" t="e">
        <f t="shared" si="41"/>
        <v>#N/A</v>
      </c>
      <c r="H198" t="e">
        <f t="shared" si="42"/>
        <v>#N/A</v>
      </c>
      <c r="I198">
        <f t="shared" si="43"/>
        <v>2019</v>
      </c>
      <c r="J198">
        <f t="shared" si="44"/>
        <v>2.6440000000000001</v>
      </c>
      <c r="K198" t="e">
        <f t="shared" si="45"/>
        <v>#N/A</v>
      </c>
      <c r="L198" t="e">
        <f t="shared" si="46"/>
        <v>#N/A</v>
      </c>
      <c r="M198" t="e">
        <f t="shared" si="47"/>
        <v>#N/A</v>
      </c>
      <c r="N198" t="e">
        <f t="shared" si="48"/>
        <v>#N/A</v>
      </c>
      <c r="O198">
        <f t="shared" si="49"/>
        <v>1.0001979999999999</v>
      </c>
      <c r="P198" t="str">
        <f>IF(OR($A198="",games!$H198=""),"",games!$H198)</f>
        <v/>
      </c>
      <c r="Q198" t="str">
        <f t="shared" si="50"/>
        <v/>
      </c>
      <c r="T198">
        <f>IF(connections!$A198="","",IFERROR(INDEX(games!$B$2:$B$950,MATCH(connections!$A198,games!$A$2:$A$950,0)),""))</f>
        <v>2023</v>
      </c>
      <c r="U198">
        <f>IF(connections!$A198="","",IFERROR(INDEX(games!$B$2:$B$950,MATCH(connections!$B198,games!$A$2:$A$950,0)),""))</f>
        <v>2024</v>
      </c>
      <c r="V198">
        <f t="shared" si="51"/>
        <v>1</v>
      </c>
    </row>
    <row r="199" spans="1:22" x14ac:dyDescent="0.25">
      <c r="A199" t="str">
        <f>IF(games!$A199="","",games!$A199)</f>
        <v>Demonic Mahjong</v>
      </c>
      <c r="B199">
        <f>IF($A199="","",games!$B199)</f>
        <v>2025</v>
      </c>
      <c r="C199" t="str">
        <f>IF($A199="","",games!$C199)</f>
        <v>Deckbuilder</v>
      </c>
      <c r="D199">
        <f>IF($A199="","",COUNTIF(connections!$A$2:$A$1460,$A199)+COUNTIF(connections!$B$2:$B$1460,$A199))</f>
        <v>1</v>
      </c>
      <c r="E199">
        <f t="shared" si="39"/>
        <v>3</v>
      </c>
      <c r="F199">
        <f t="shared" si="40"/>
        <v>29</v>
      </c>
      <c r="G199" t="e">
        <f t="shared" si="41"/>
        <v>#N/A</v>
      </c>
      <c r="H199" t="e">
        <f t="shared" si="42"/>
        <v>#N/A</v>
      </c>
      <c r="I199" t="e">
        <f t="shared" si="43"/>
        <v>#N/A</v>
      </c>
      <c r="J199" t="e">
        <f t="shared" si="44"/>
        <v>#N/A</v>
      </c>
      <c r="K199">
        <f t="shared" si="45"/>
        <v>2025</v>
      </c>
      <c r="L199">
        <f t="shared" si="46"/>
        <v>3.6669999999999998</v>
      </c>
      <c r="M199" t="e">
        <f t="shared" si="47"/>
        <v>#N/A</v>
      </c>
      <c r="N199" t="e">
        <f t="shared" si="48"/>
        <v>#N/A</v>
      </c>
      <c r="O199">
        <f t="shared" si="49"/>
        <v>1.0001990000000001</v>
      </c>
      <c r="P199" t="str">
        <f>IF(OR($A199="",games!$H199=""),"",games!$H199)</f>
        <v>Yes</v>
      </c>
      <c r="Q199">
        <f t="shared" si="50"/>
        <v>1.0001990000000001</v>
      </c>
      <c r="T199">
        <f>IF(connections!$A199="","",IFERROR(INDEX(games!$B$2:$B$950,MATCH(connections!$A199,games!$A$2:$A$950,0)),""))</f>
        <v>2015</v>
      </c>
      <c r="U199">
        <f>IF(connections!$A199="","",IFERROR(INDEX(games!$B$2:$B$950,MATCH(connections!$B199,games!$A$2:$A$950,0)),""))</f>
        <v>2017</v>
      </c>
      <c r="V199">
        <f t="shared" si="51"/>
        <v>2</v>
      </c>
    </row>
    <row r="200" spans="1:22" x14ac:dyDescent="0.25">
      <c r="A200" t="str">
        <f>IF(games!$A200="","",games!$A200)</f>
        <v>Demonlore</v>
      </c>
      <c r="B200">
        <f>IF($A200="","",games!$B200)</f>
        <v>2022</v>
      </c>
      <c r="C200" t="str">
        <f>IF($A200="","",games!$C200)</f>
        <v>Strategy</v>
      </c>
      <c r="D200">
        <f>IF($A200="","",COUNTIF(connections!$A$2:$A$1460,$A200)+COUNTIF(connections!$B$2:$B$1460,$A200))</f>
        <v>1</v>
      </c>
      <c r="E200">
        <f t="shared" si="39"/>
        <v>2</v>
      </c>
      <c r="F200">
        <f t="shared" si="40"/>
        <v>30</v>
      </c>
      <c r="G200" t="e">
        <f t="shared" si="41"/>
        <v>#N/A</v>
      </c>
      <c r="H200" t="e">
        <f t="shared" si="42"/>
        <v>#N/A</v>
      </c>
      <c r="I200">
        <f t="shared" si="43"/>
        <v>2022</v>
      </c>
      <c r="J200">
        <f t="shared" si="44"/>
        <v>2.69</v>
      </c>
      <c r="K200" t="e">
        <f t="shared" si="45"/>
        <v>#N/A</v>
      </c>
      <c r="L200" t="e">
        <f t="shared" si="46"/>
        <v>#N/A</v>
      </c>
      <c r="M200" t="e">
        <f t="shared" si="47"/>
        <v>#N/A</v>
      </c>
      <c r="N200" t="e">
        <f t="shared" si="48"/>
        <v>#N/A</v>
      </c>
      <c r="O200">
        <f t="shared" si="49"/>
        <v>1.0002</v>
      </c>
      <c r="P200" t="str">
        <f>IF(OR($A200="",games!$H200=""),"",games!$H200)</f>
        <v>Yes</v>
      </c>
      <c r="Q200">
        <f t="shared" si="50"/>
        <v>1.0002</v>
      </c>
      <c r="T200">
        <f>IF(connections!$A200="","",IFERROR(INDEX(games!$B$2:$B$950,MATCH(connections!$A200,games!$A$2:$A$950,0)),""))</f>
        <v>2015</v>
      </c>
      <c r="U200">
        <f>IF(connections!$A200="","",IFERROR(INDEX(games!$B$2:$B$950,MATCH(connections!$B200,games!$A$2:$A$950,0)),""))</f>
        <v>2020</v>
      </c>
      <c r="V200">
        <f t="shared" si="51"/>
        <v>5</v>
      </c>
    </row>
    <row r="201" spans="1:22" x14ac:dyDescent="0.25">
      <c r="A201" t="str">
        <f>IF(games!$A201="","",games!$A201)</f>
        <v>Desktop Dungeons</v>
      </c>
      <c r="B201">
        <f>IF($A201="","",games!$B201)</f>
        <v>2010</v>
      </c>
      <c r="C201" t="str">
        <f>IF($A201="","",games!$C201)</f>
        <v>Traditional</v>
      </c>
      <c r="D201">
        <f>IF($A201="","",COUNTIF(connections!$A$2:$A$1460,$A201)+COUNTIF(connections!$B$2:$B$1460,$A201))</f>
        <v>4</v>
      </c>
      <c r="E201">
        <f t="shared" si="39"/>
        <v>4</v>
      </c>
      <c r="F201">
        <f t="shared" si="40"/>
        <v>31</v>
      </c>
      <c r="G201" t="e">
        <f t="shared" si="41"/>
        <v>#N/A</v>
      </c>
      <c r="H201" t="e">
        <f t="shared" si="42"/>
        <v>#N/A</v>
      </c>
      <c r="I201" t="e">
        <f t="shared" si="43"/>
        <v>#N/A</v>
      </c>
      <c r="J201" t="e">
        <f t="shared" si="44"/>
        <v>#N/A</v>
      </c>
      <c r="K201" t="e">
        <f t="shared" si="45"/>
        <v>#N/A</v>
      </c>
      <c r="L201" t="e">
        <f t="shared" si="46"/>
        <v>#N/A</v>
      </c>
      <c r="M201">
        <f t="shared" si="47"/>
        <v>2010</v>
      </c>
      <c r="N201">
        <f t="shared" si="48"/>
        <v>4.7130000000000001</v>
      </c>
      <c r="O201">
        <f t="shared" si="49"/>
        <v>4.0002009999999997</v>
      </c>
      <c r="P201" t="str">
        <f>IF(OR($A201="",games!$H201=""),"",games!$H201)</f>
        <v/>
      </c>
      <c r="Q201" t="str">
        <f t="shared" si="50"/>
        <v/>
      </c>
      <c r="T201">
        <f>IF(connections!$A201="","",IFERROR(INDEX(games!$B$2:$B$950,MATCH(connections!$A201,games!$A$2:$A$950,0)),""))</f>
        <v>2015</v>
      </c>
      <c r="U201">
        <f>IF(connections!$A201="","",IFERROR(INDEX(games!$B$2:$B$950,MATCH(connections!$B201,games!$A$2:$A$950,0)),""))</f>
        <v>2019</v>
      </c>
      <c r="V201">
        <f t="shared" si="51"/>
        <v>4</v>
      </c>
    </row>
    <row r="202" spans="1:22" x14ac:dyDescent="0.25">
      <c r="A202" t="str">
        <f>IF(games!$A202="","",games!$A202)</f>
        <v>Desktop Survivors 98</v>
      </c>
      <c r="B202">
        <f>IF($A202="","",games!$B202)</f>
        <v>2025</v>
      </c>
      <c r="C202" t="str">
        <f>IF($A202="","",games!$C202)</f>
        <v>Action</v>
      </c>
      <c r="D202">
        <f>IF($A202="","",COUNTIF(connections!$A$2:$A$1460,$A202)+COUNTIF(connections!$B$2:$B$1460,$A202))</f>
        <v>1</v>
      </c>
      <c r="E202">
        <f t="shared" si="39"/>
        <v>1</v>
      </c>
      <c r="F202">
        <f t="shared" si="40"/>
        <v>32</v>
      </c>
      <c r="G202">
        <f t="shared" si="41"/>
        <v>2025</v>
      </c>
      <c r="H202">
        <f t="shared" si="42"/>
        <v>1.736</v>
      </c>
      <c r="I202" t="e">
        <f t="shared" si="43"/>
        <v>#N/A</v>
      </c>
      <c r="J202" t="e">
        <f t="shared" si="44"/>
        <v>#N/A</v>
      </c>
      <c r="K202" t="e">
        <f t="shared" si="45"/>
        <v>#N/A</v>
      </c>
      <c r="L202" t="e">
        <f t="shared" si="46"/>
        <v>#N/A</v>
      </c>
      <c r="M202" t="e">
        <f t="shared" si="47"/>
        <v>#N/A</v>
      </c>
      <c r="N202" t="e">
        <f t="shared" si="48"/>
        <v>#N/A</v>
      </c>
      <c r="O202">
        <f t="shared" si="49"/>
        <v>1.000202</v>
      </c>
      <c r="P202" t="str">
        <f>IF(OR($A202="",games!$H202=""),"",games!$H202)</f>
        <v>Yes</v>
      </c>
      <c r="Q202">
        <f t="shared" si="50"/>
        <v>1.000202</v>
      </c>
      <c r="T202">
        <f>IF(connections!$A202="","",IFERROR(INDEX(games!$B$2:$B$950,MATCH(connections!$A202,games!$A$2:$A$950,0)),""))</f>
        <v>2015</v>
      </c>
      <c r="U202">
        <f>IF(connections!$A202="","",IFERROR(INDEX(games!$B$2:$B$950,MATCH(connections!$B202,games!$A$2:$A$950,0)),""))</f>
        <v>2022</v>
      </c>
      <c r="V202">
        <f t="shared" si="51"/>
        <v>7</v>
      </c>
    </row>
    <row r="203" spans="1:22" x14ac:dyDescent="0.25">
      <c r="A203" t="str">
        <f>IF(games!$A203="","",games!$A203)</f>
        <v>Despotism 3k</v>
      </c>
      <c r="B203">
        <f>IF($A203="","",games!$B203)</f>
        <v>2018</v>
      </c>
      <c r="C203" t="str">
        <f>IF($A203="","",games!$C203)</f>
        <v>Strategy</v>
      </c>
      <c r="D203">
        <f>IF($A203="","",COUNTIF(connections!$A$2:$A$1460,$A203)+COUNTIF(connections!$B$2:$B$1460,$A203))</f>
        <v>1</v>
      </c>
      <c r="E203">
        <f t="shared" si="39"/>
        <v>2</v>
      </c>
      <c r="F203">
        <f t="shared" si="40"/>
        <v>33</v>
      </c>
      <c r="G203" t="e">
        <f t="shared" si="41"/>
        <v>#N/A</v>
      </c>
      <c r="H203" t="e">
        <f t="shared" si="42"/>
        <v>#N/A</v>
      </c>
      <c r="I203">
        <f t="shared" si="43"/>
        <v>2018</v>
      </c>
      <c r="J203">
        <f t="shared" si="44"/>
        <v>2.7589999999999999</v>
      </c>
      <c r="K203" t="e">
        <f t="shared" si="45"/>
        <v>#N/A</v>
      </c>
      <c r="L203" t="e">
        <f t="shared" si="46"/>
        <v>#N/A</v>
      </c>
      <c r="M203" t="e">
        <f t="shared" si="47"/>
        <v>#N/A</v>
      </c>
      <c r="N203" t="e">
        <f t="shared" si="48"/>
        <v>#N/A</v>
      </c>
      <c r="O203">
        <f t="shared" si="49"/>
        <v>1.000203</v>
      </c>
      <c r="P203" t="str">
        <f>IF(OR($A203="",games!$H203=""),"",games!$H203)</f>
        <v/>
      </c>
      <c r="Q203" t="str">
        <f t="shared" si="50"/>
        <v/>
      </c>
      <c r="T203">
        <f>IF(connections!$A203="","",IFERROR(INDEX(games!$B$2:$B$950,MATCH(connections!$A203,games!$A$2:$A$950,0)),""))</f>
        <v>2015</v>
      </c>
      <c r="U203">
        <f>IF(connections!$A203="","",IFERROR(INDEX(games!$B$2:$B$950,MATCH(connections!$B203,games!$A$2:$A$950,0)),""))</f>
        <v>2026</v>
      </c>
      <c r="V203">
        <f t="shared" si="51"/>
        <v>11</v>
      </c>
    </row>
    <row r="204" spans="1:22" x14ac:dyDescent="0.25">
      <c r="A204" t="str">
        <f>IF(games!$A204="","",games!$A204)</f>
        <v>Despot's Game</v>
      </c>
      <c r="B204">
        <f>IF($A204="","",games!$B204)</f>
        <v>2021</v>
      </c>
      <c r="C204" t="str">
        <f>IF($A204="","",games!$C204)</f>
        <v>Action</v>
      </c>
      <c r="D204">
        <f>IF($A204="","",COUNTIF(connections!$A$2:$A$1460,$A204)+COUNTIF(connections!$B$2:$B$1460,$A204))</f>
        <v>4</v>
      </c>
      <c r="E204">
        <f t="shared" si="39"/>
        <v>1</v>
      </c>
      <c r="F204">
        <f t="shared" si="40"/>
        <v>0</v>
      </c>
      <c r="G204">
        <f t="shared" si="41"/>
        <v>2021</v>
      </c>
      <c r="H204">
        <f t="shared" si="42"/>
        <v>1</v>
      </c>
      <c r="I204" t="e">
        <f t="shared" si="43"/>
        <v>#N/A</v>
      </c>
      <c r="J204" t="e">
        <f t="shared" si="44"/>
        <v>#N/A</v>
      </c>
      <c r="K204" t="e">
        <f t="shared" si="45"/>
        <v>#N/A</v>
      </c>
      <c r="L204" t="e">
        <f t="shared" si="46"/>
        <v>#N/A</v>
      </c>
      <c r="M204" t="e">
        <f t="shared" si="47"/>
        <v>#N/A</v>
      </c>
      <c r="N204" t="e">
        <f t="shared" si="48"/>
        <v>#N/A</v>
      </c>
      <c r="O204">
        <f t="shared" si="49"/>
        <v>4.0002040000000001</v>
      </c>
      <c r="P204" t="str">
        <f>IF(OR($A204="",games!$H204=""),"",games!$H204)</f>
        <v>Yes</v>
      </c>
      <c r="Q204">
        <f t="shared" si="50"/>
        <v>4.0002040000000001</v>
      </c>
      <c r="T204">
        <f>IF(connections!$A204="","",IFERROR(INDEX(games!$B$2:$B$950,MATCH(connections!$A204,games!$A$2:$A$950,0)),""))</f>
        <v>2015</v>
      </c>
      <c r="U204">
        <f>IF(connections!$A204="","",IFERROR(INDEX(games!$B$2:$B$950,MATCH(connections!$B204,games!$A$2:$A$950,0)),""))</f>
        <v>2021</v>
      </c>
      <c r="V204">
        <f t="shared" si="51"/>
        <v>6</v>
      </c>
    </row>
    <row r="205" spans="1:22" x14ac:dyDescent="0.25">
      <c r="A205" t="str">
        <f>IF(games!$A205="","",games!$A205)</f>
        <v>Devil Slayer: Raksasi</v>
      </c>
      <c r="B205">
        <f>IF($A205="","",games!$B205)</f>
        <v>2019</v>
      </c>
      <c r="C205" t="str">
        <f>IF($A205="","",games!$C205)</f>
        <v>Action</v>
      </c>
      <c r="D205">
        <f>IF($A205="","",COUNTIF(connections!$A$2:$A$1460,$A205)+COUNTIF(connections!$B$2:$B$1460,$A205))</f>
        <v>2</v>
      </c>
      <c r="E205">
        <f t="shared" si="39"/>
        <v>1</v>
      </c>
      <c r="F205">
        <f t="shared" si="40"/>
        <v>1</v>
      </c>
      <c r="G205">
        <f t="shared" si="41"/>
        <v>2019</v>
      </c>
      <c r="H205">
        <f t="shared" si="42"/>
        <v>1.0229999999999999</v>
      </c>
      <c r="I205" t="e">
        <f t="shared" si="43"/>
        <v>#N/A</v>
      </c>
      <c r="J205" t="e">
        <f t="shared" si="44"/>
        <v>#N/A</v>
      </c>
      <c r="K205" t="e">
        <f t="shared" si="45"/>
        <v>#N/A</v>
      </c>
      <c r="L205" t="e">
        <f t="shared" si="46"/>
        <v>#N/A</v>
      </c>
      <c r="M205" t="e">
        <f t="shared" si="47"/>
        <v>#N/A</v>
      </c>
      <c r="N205" t="e">
        <f t="shared" si="48"/>
        <v>#N/A</v>
      </c>
      <c r="O205">
        <f t="shared" si="49"/>
        <v>2.0002049999999998</v>
      </c>
      <c r="P205" t="str">
        <f>IF(OR($A205="",games!$H205=""),"",games!$H205)</f>
        <v/>
      </c>
      <c r="Q205" t="str">
        <f t="shared" si="50"/>
        <v/>
      </c>
      <c r="T205">
        <f>IF(connections!$A205="","",IFERROR(INDEX(games!$B$2:$B$950,MATCH(connections!$A205,games!$A$2:$A$950,0)),""))</f>
        <v>2015</v>
      </c>
      <c r="U205">
        <f>IF(connections!$A205="","",IFERROR(INDEX(games!$B$2:$B$950,MATCH(connections!$B205,games!$A$2:$A$950,0)),""))</f>
        <v>2012</v>
      </c>
      <c r="V205">
        <f t="shared" si="51"/>
        <v>-3</v>
      </c>
    </row>
    <row r="206" spans="1:22" x14ac:dyDescent="0.25">
      <c r="A206" t="str">
        <f>IF(games!$A206="","",games!$A206)</f>
        <v>Diablo</v>
      </c>
      <c r="B206">
        <f>IF($A206="","",games!$B206)</f>
        <v>1996</v>
      </c>
      <c r="C206" t="str">
        <f>IF($A206="","",games!$C206)</f>
        <v>Action</v>
      </c>
      <c r="D206">
        <f>IF($A206="","",COUNTIF(connections!$A$2:$A$1460,$A206)+COUNTIF(connections!$B$2:$B$1460,$A206))</f>
        <v>30</v>
      </c>
      <c r="E206">
        <f t="shared" si="39"/>
        <v>1</v>
      </c>
      <c r="F206">
        <f t="shared" si="40"/>
        <v>2</v>
      </c>
      <c r="G206">
        <f t="shared" si="41"/>
        <v>1996</v>
      </c>
      <c r="H206">
        <f t="shared" si="42"/>
        <v>1.046</v>
      </c>
      <c r="I206" t="e">
        <f t="shared" si="43"/>
        <v>#N/A</v>
      </c>
      <c r="J206" t="e">
        <f t="shared" si="44"/>
        <v>#N/A</v>
      </c>
      <c r="K206" t="e">
        <f t="shared" si="45"/>
        <v>#N/A</v>
      </c>
      <c r="L206" t="e">
        <f t="shared" si="46"/>
        <v>#N/A</v>
      </c>
      <c r="M206" t="e">
        <f t="shared" si="47"/>
        <v>#N/A</v>
      </c>
      <c r="N206" t="e">
        <f t="shared" si="48"/>
        <v>#N/A</v>
      </c>
      <c r="O206">
        <f t="shared" si="49"/>
        <v>30.000205999999999</v>
      </c>
      <c r="P206" t="str">
        <f>IF(OR($A206="",games!$H206=""),"",games!$H206)</f>
        <v>Yes</v>
      </c>
      <c r="Q206">
        <f t="shared" si="50"/>
        <v>30.000205999999999</v>
      </c>
      <c r="T206">
        <f>IF(connections!$A206="","",IFERROR(INDEX(games!$B$2:$B$950,MATCH(connections!$A206,games!$A$2:$A$950,0)),""))</f>
        <v>2015</v>
      </c>
      <c r="U206">
        <f>IF(connections!$A206="","",IFERROR(INDEX(games!$B$2:$B$950,MATCH(connections!$B206,games!$A$2:$A$950,0)),""))</f>
        <v>2025</v>
      </c>
      <c r="V206">
        <f t="shared" si="51"/>
        <v>10</v>
      </c>
    </row>
    <row r="207" spans="1:22" x14ac:dyDescent="0.25">
      <c r="A207" t="str">
        <f>IF(games!$A207="","",games!$A207)</f>
        <v>Dice &amp; Fold</v>
      </c>
      <c r="B207">
        <f>IF($A207="","",games!$B207)</f>
        <v>2024</v>
      </c>
      <c r="C207" t="str">
        <f>IF($A207="","",games!$C207)</f>
        <v>Deckbuilder</v>
      </c>
      <c r="D207">
        <f>IF($A207="","",COUNTIF(connections!$A$2:$A$1460,$A207)+COUNTIF(connections!$B$2:$B$1460,$A207))</f>
        <v>3</v>
      </c>
      <c r="E207">
        <f t="shared" si="39"/>
        <v>3</v>
      </c>
      <c r="F207">
        <f t="shared" si="40"/>
        <v>3</v>
      </c>
      <c r="G207" t="e">
        <f t="shared" si="41"/>
        <v>#N/A</v>
      </c>
      <c r="H207" t="e">
        <f t="shared" si="42"/>
        <v>#N/A</v>
      </c>
      <c r="I207" t="e">
        <f t="shared" si="43"/>
        <v>#N/A</v>
      </c>
      <c r="J207" t="e">
        <f t="shared" si="44"/>
        <v>#N/A</v>
      </c>
      <c r="K207">
        <f t="shared" si="45"/>
        <v>2024</v>
      </c>
      <c r="L207">
        <f t="shared" si="46"/>
        <v>3.069</v>
      </c>
      <c r="M207" t="e">
        <f t="shared" si="47"/>
        <v>#N/A</v>
      </c>
      <c r="N207" t="e">
        <f t="shared" si="48"/>
        <v>#N/A</v>
      </c>
      <c r="O207">
        <f t="shared" si="49"/>
        <v>3.0002070000000001</v>
      </c>
      <c r="P207" t="str">
        <f>IF(OR($A207="",games!$H207=""),"",games!$H207)</f>
        <v>Yes</v>
      </c>
      <c r="Q207">
        <f t="shared" si="50"/>
        <v>3.0002070000000001</v>
      </c>
      <c r="T207">
        <f>IF(connections!$A207="","",IFERROR(INDEX(games!$B$2:$B$950,MATCH(connections!$A207,games!$A$2:$A$950,0)),""))</f>
        <v>2015</v>
      </c>
      <c r="U207">
        <f>IF(connections!$A207="","",IFERROR(INDEX(games!$B$2:$B$950,MATCH(connections!$B207,games!$A$2:$A$950,0)),""))</f>
        <v>2023</v>
      </c>
      <c r="V207">
        <f t="shared" si="51"/>
        <v>8</v>
      </c>
    </row>
    <row r="208" spans="1:22" x14ac:dyDescent="0.25">
      <c r="A208" t="str">
        <f>IF(games!$A208="","",games!$A208)</f>
        <v>Dice A Million</v>
      </c>
      <c r="B208">
        <f>IF($A208="","",games!$B208)</f>
        <v>2026</v>
      </c>
      <c r="C208" t="str">
        <f>IF($A208="","",games!$C208)</f>
        <v>Deckbuilder</v>
      </c>
      <c r="D208">
        <f>IF($A208="","",COUNTIF(connections!$A$2:$A$1460,$A208)+COUNTIF(connections!$B$2:$B$1460,$A208))</f>
        <v>2</v>
      </c>
      <c r="E208">
        <f t="shared" si="39"/>
        <v>3</v>
      </c>
      <c r="F208">
        <f t="shared" si="40"/>
        <v>4</v>
      </c>
      <c r="G208" t="e">
        <f t="shared" si="41"/>
        <v>#N/A</v>
      </c>
      <c r="H208" t="e">
        <f t="shared" si="42"/>
        <v>#N/A</v>
      </c>
      <c r="I208" t="e">
        <f t="shared" si="43"/>
        <v>#N/A</v>
      </c>
      <c r="J208" t="e">
        <f t="shared" si="44"/>
        <v>#N/A</v>
      </c>
      <c r="K208">
        <f t="shared" si="45"/>
        <v>2026</v>
      </c>
      <c r="L208">
        <f t="shared" si="46"/>
        <v>3.0920000000000001</v>
      </c>
      <c r="M208" t="e">
        <f t="shared" si="47"/>
        <v>#N/A</v>
      </c>
      <c r="N208" t="e">
        <f t="shared" si="48"/>
        <v>#N/A</v>
      </c>
      <c r="O208">
        <f t="shared" si="49"/>
        <v>2.0002080000000002</v>
      </c>
      <c r="P208" t="str">
        <f>IF(OR($A208="",games!$H208=""),"",games!$H208)</f>
        <v/>
      </c>
      <c r="Q208" t="str">
        <f t="shared" si="50"/>
        <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Dice Legends</v>
      </c>
      <c r="B209">
        <f>IF($A209="","",games!$B209)</f>
        <v>2025</v>
      </c>
      <c r="C209" t="str">
        <f>IF($A209="","",games!$C209)</f>
        <v>Deckbuilder</v>
      </c>
      <c r="D209">
        <f>IF($A209="","",COUNTIF(connections!$A$2:$A$1460,$A209)+COUNTIF(connections!$B$2:$B$1460,$A209))</f>
        <v>1</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1.0002089999999999</v>
      </c>
      <c r="P209" t="str">
        <f>IF(OR($A209="",games!$H209=""),"",games!$H209)</f>
        <v/>
      </c>
      <c r="Q209" t="str">
        <f t="shared" si="50"/>
        <v/>
      </c>
      <c r="T209">
        <f>IF(connections!$A209="","",IFERROR(INDEX(games!$B$2:$B$950,MATCH(connections!$A209,games!$A$2:$A$950,0)),""))</f>
        <v>2022</v>
      </c>
      <c r="U209">
        <f>IF(connections!$A209="","",IFERROR(INDEX(games!$B$2:$B$950,MATCH(connections!$B209,games!$A$2:$A$950,0)),""))</f>
        <v>2025</v>
      </c>
      <c r="V209">
        <f t="shared" si="51"/>
        <v>3</v>
      </c>
    </row>
    <row r="210" spans="1:22" x14ac:dyDescent="0.25">
      <c r="A210" t="str">
        <f>IF(games!$A210="","",games!$A210)</f>
        <v>Dice With Death</v>
      </c>
      <c r="B210">
        <f>IF($A210="","",games!$B210)</f>
        <v>2025</v>
      </c>
      <c r="C210" t="str">
        <f>IF($A210="","",games!$C210)</f>
        <v>Strategy</v>
      </c>
      <c r="D210">
        <f>IF($A210="","",COUNTIF(connections!$A$2:$A$1460,$A210)+COUNTIF(connections!$B$2:$B$1460,$A210))</f>
        <v>0</v>
      </c>
      <c r="E210">
        <f t="shared" si="39"/>
        <v>2</v>
      </c>
      <c r="F210">
        <f t="shared" si="40"/>
        <v>6</v>
      </c>
      <c r="G210" t="e">
        <f t="shared" si="41"/>
        <v>#N/A</v>
      </c>
      <c r="H210" t="e">
        <f t="shared" si="42"/>
        <v>#N/A</v>
      </c>
      <c r="I210">
        <f t="shared" si="43"/>
        <v>2025</v>
      </c>
      <c r="J210">
        <f t="shared" si="44"/>
        <v>2.1379999999999999</v>
      </c>
      <c r="K210" t="e">
        <f t="shared" si="45"/>
        <v>#N/A</v>
      </c>
      <c r="L210" t="e">
        <f t="shared" si="46"/>
        <v>#N/A</v>
      </c>
      <c r="M210" t="e">
        <f t="shared" si="47"/>
        <v>#N/A</v>
      </c>
      <c r="N210" t="e">
        <f t="shared" si="48"/>
        <v>#N/A</v>
      </c>
      <c r="O210">
        <f t="shared" si="49"/>
        <v>2.1000000000000001E-4</v>
      </c>
      <c r="P210" t="str">
        <f>IF(OR($A210="",games!$H210=""),"",games!$H210)</f>
        <v>Yes</v>
      </c>
      <c r="Q210">
        <f t="shared" si="50"/>
        <v>2.1000000000000001E-4</v>
      </c>
      <c r="T210">
        <f>IF(connections!$A210="","",IFERROR(INDEX(games!$B$2:$B$950,MATCH(connections!$A210,games!$A$2:$A$950,0)),""))</f>
        <v>2024</v>
      </c>
      <c r="U210">
        <f>IF(connections!$A210="","",IFERROR(INDEX(games!$B$2:$B$950,MATCH(connections!$B210,games!$A$2:$A$950,0)),""))</f>
        <v>2026</v>
      </c>
      <c r="V210">
        <f t="shared" si="51"/>
        <v>2</v>
      </c>
    </row>
    <row r="211" spans="1:22" x14ac:dyDescent="0.25">
      <c r="A211" t="str">
        <f>IF(games!$A211="","",games!$A211)</f>
        <v>Dicealot</v>
      </c>
      <c r="B211">
        <f>IF($A211="","",games!$B211)</f>
        <v>2025</v>
      </c>
      <c r="C211" t="str">
        <f>IF($A211="","",games!$C211)</f>
        <v>Deckbuilder</v>
      </c>
      <c r="D211">
        <f>IF($A211="","",COUNTIF(connections!$A$2:$A$1460,$A211)+COUNTIF(connections!$B$2:$B$1460,$A211))</f>
        <v>5</v>
      </c>
      <c r="E211">
        <f t="shared" si="39"/>
        <v>3</v>
      </c>
      <c r="F211">
        <f t="shared" si="40"/>
        <v>7</v>
      </c>
      <c r="G211" t="e">
        <f t="shared" si="41"/>
        <v>#N/A</v>
      </c>
      <c r="H211" t="e">
        <f t="shared" si="42"/>
        <v>#N/A</v>
      </c>
      <c r="I211" t="e">
        <f t="shared" si="43"/>
        <v>#N/A</v>
      </c>
      <c r="J211" t="e">
        <f t="shared" si="44"/>
        <v>#N/A</v>
      </c>
      <c r="K211">
        <f t="shared" si="45"/>
        <v>2025</v>
      </c>
      <c r="L211">
        <f t="shared" si="46"/>
        <v>3.161</v>
      </c>
      <c r="M211" t="e">
        <f t="shared" si="47"/>
        <v>#N/A</v>
      </c>
      <c r="N211" t="e">
        <f t="shared" si="48"/>
        <v>#N/A</v>
      </c>
      <c r="O211">
        <f t="shared" si="49"/>
        <v>5.0002110000000002</v>
      </c>
      <c r="P211" t="str">
        <f>IF(OR($A211="",games!$H211=""),"",games!$H211)</f>
        <v/>
      </c>
      <c r="Q211" t="str">
        <f t="shared" si="50"/>
        <v/>
      </c>
      <c r="T211">
        <f>IF(connections!$A211="","",IFERROR(INDEX(games!$B$2:$B$950,MATCH(connections!$A211,games!$A$2:$A$950,0)),""))</f>
        <v>2016</v>
      </c>
      <c r="U211">
        <f>IF(connections!$A211="","",IFERROR(INDEX(games!$B$2:$B$950,MATCH(connections!$B211,games!$A$2:$A$950,0)),""))</f>
        <v>2020</v>
      </c>
      <c r="V211">
        <f t="shared" si="51"/>
        <v>4</v>
      </c>
    </row>
    <row r="212" spans="1:22" x14ac:dyDescent="0.25">
      <c r="A212" t="str">
        <f>IF(games!$A212="","",games!$A212)</f>
        <v>Dicefolk</v>
      </c>
      <c r="B212">
        <f>IF($A212="","",games!$B212)</f>
        <v>2024</v>
      </c>
      <c r="C212" t="str">
        <f>IF($A212="","",games!$C212)</f>
        <v>Deckbuilder</v>
      </c>
      <c r="D212">
        <f>IF($A212="","",COUNTIF(connections!$A$2:$A$1460,$A212)+COUNTIF(connections!$B$2:$B$1460,$A212))</f>
        <v>6</v>
      </c>
      <c r="E212">
        <f t="shared" si="39"/>
        <v>3</v>
      </c>
      <c r="F212">
        <f t="shared" si="40"/>
        <v>8</v>
      </c>
      <c r="G212" t="e">
        <f t="shared" si="41"/>
        <v>#N/A</v>
      </c>
      <c r="H212" t="e">
        <f t="shared" si="42"/>
        <v>#N/A</v>
      </c>
      <c r="I212" t="e">
        <f t="shared" si="43"/>
        <v>#N/A</v>
      </c>
      <c r="J212" t="e">
        <f t="shared" si="44"/>
        <v>#N/A</v>
      </c>
      <c r="K212">
        <f t="shared" si="45"/>
        <v>2024</v>
      </c>
      <c r="L212">
        <f t="shared" si="46"/>
        <v>3.1840000000000002</v>
      </c>
      <c r="M212" t="e">
        <f t="shared" si="47"/>
        <v>#N/A</v>
      </c>
      <c r="N212" t="e">
        <f t="shared" si="48"/>
        <v>#N/A</v>
      </c>
      <c r="O212">
        <f t="shared" si="49"/>
        <v>6.0002120000000003</v>
      </c>
      <c r="P212" t="str">
        <f>IF(OR($A212="",games!$H212=""),"",games!$H212)</f>
        <v>Yes</v>
      </c>
      <c r="Q212">
        <f t="shared" si="50"/>
        <v>6.0002120000000003</v>
      </c>
      <c r="T212">
        <f>IF(connections!$A212="","",IFERROR(INDEX(games!$B$2:$B$950,MATCH(connections!$A212,games!$A$2:$A$950,0)),""))</f>
        <v>2016</v>
      </c>
      <c r="U212">
        <f>IF(connections!$A212="","",IFERROR(INDEX(games!$B$2:$B$950,MATCH(connections!$B212,games!$A$2:$A$950,0)),""))</f>
        <v>2021</v>
      </c>
      <c r="V212">
        <f t="shared" si="51"/>
        <v>5</v>
      </c>
    </row>
    <row r="213" spans="1:22" x14ac:dyDescent="0.25">
      <c r="A213" t="str">
        <f>IF(games!$A213="","",games!$A213)</f>
        <v>Diceomancer</v>
      </c>
      <c r="B213">
        <f>IF($A213="","",games!$B213)</f>
        <v>2024</v>
      </c>
      <c r="C213" t="str">
        <f>IF($A213="","",games!$C213)</f>
        <v>Deckbuilder</v>
      </c>
      <c r="D213">
        <f>IF($A213="","",COUNTIF(connections!$A$2:$A$1460,$A213)+COUNTIF(connections!$B$2:$B$1460,$A213))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Yes</v>
      </c>
      <c r="Q213">
        <f t="shared" si="50"/>
        <v>1.000213</v>
      </c>
      <c r="T213">
        <f>IF(connections!$A213="","",IFERROR(INDEX(games!$B$2:$B$950,MATCH(connections!$A213,games!$A$2:$A$950,0)),""))</f>
        <v>2016</v>
      </c>
      <c r="U213">
        <f>IF(connections!$A213="","",IFERROR(INDEX(games!$B$2:$B$950,MATCH(connections!$B213,games!$A$2:$A$950,0)),""))</f>
        <v>2024</v>
      </c>
      <c r="V213">
        <f t="shared" si="51"/>
        <v>8</v>
      </c>
    </row>
    <row r="214" spans="1:22" x14ac:dyDescent="0.25">
      <c r="A214" t="str">
        <f>IF(games!$A214="","",games!$A214)</f>
        <v>Dicevaders</v>
      </c>
      <c r="B214">
        <f>IF($A214="","",games!$B214)</f>
        <v>2026</v>
      </c>
      <c r="C214" t="str">
        <f>IF($A214="","",games!$C214)</f>
        <v>Deckbuilder</v>
      </c>
      <c r="D214">
        <f>IF($A214="","",COUNTIF(connections!$A$2:$A$1460,$A214)+COUNTIF(connections!$B$2:$B$1460,$A214))</f>
        <v>4</v>
      </c>
      <c r="E214">
        <f t="shared" si="39"/>
        <v>3</v>
      </c>
      <c r="F214">
        <f t="shared" si="40"/>
        <v>10</v>
      </c>
      <c r="G214" t="e">
        <f t="shared" si="41"/>
        <v>#N/A</v>
      </c>
      <c r="H214" t="e">
        <f t="shared" si="42"/>
        <v>#N/A</v>
      </c>
      <c r="I214" t="e">
        <f t="shared" si="43"/>
        <v>#N/A</v>
      </c>
      <c r="J214" t="e">
        <f t="shared" si="44"/>
        <v>#N/A</v>
      </c>
      <c r="K214">
        <f t="shared" si="45"/>
        <v>2026</v>
      </c>
      <c r="L214">
        <f t="shared" si="46"/>
        <v>3.23</v>
      </c>
      <c r="M214" t="e">
        <f t="shared" si="47"/>
        <v>#N/A</v>
      </c>
      <c r="N214" t="e">
        <f t="shared" si="48"/>
        <v>#N/A</v>
      </c>
      <c r="O214">
        <f t="shared" si="49"/>
        <v>4.0002139999999997</v>
      </c>
      <c r="P214" t="str">
        <f>IF(OR($A214="",games!$H214=""),"",games!$H214)</f>
        <v/>
      </c>
      <c r="Q214" t="str">
        <f t="shared" si="50"/>
        <v/>
      </c>
      <c r="T214">
        <f>IF(connections!$A214="","",IFERROR(INDEX(games!$B$2:$B$950,MATCH(connections!$A214,games!$A$2:$A$950,0)),""))</f>
        <v>2020</v>
      </c>
      <c r="U214">
        <f>IF(connections!$A214="","",IFERROR(INDEX(games!$B$2:$B$950,MATCH(connections!$B214,games!$A$2:$A$950,0)),""))</f>
        <v>2025</v>
      </c>
      <c r="V214">
        <f t="shared" si="51"/>
        <v>5</v>
      </c>
    </row>
    <row r="215" spans="1:22" x14ac:dyDescent="0.25">
      <c r="A215" t="str">
        <f>IF(games!$A215="","",games!$A215)</f>
        <v>Dicey Dungeons</v>
      </c>
      <c r="B215">
        <f>IF($A215="","",games!$B215)</f>
        <v>2019</v>
      </c>
      <c r="C215" t="str">
        <f>IF($A215="","",games!$C215)</f>
        <v>Deckbuilder</v>
      </c>
      <c r="D215">
        <f>IF($A215="","",COUNTIF(connections!$A$2:$A$1460,$A215)+COUNTIF(connections!$B$2:$B$1460,$A215))</f>
        <v>11</v>
      </c>
      <c r="E215">
        <f t="shared" si="39"/>
        <v>3</v>
      </c>
      <c r="F215">
        <f t="shared" si="40"/>
        <v>11</v>
      </c>
      <c r="G215" t="e">
        <f t="shared" si="41"/>
        <v>#N/A</v>
      </c>
      <c r="H215" t="e">
        <f t="shared" si="42"/>
        <v>#N/A</v>
      </c>
      <c r="I215" t="e">
        <f t="shared" si="43"/>
        <v>#N/A</v>
      </c>
      <c r="J215" t="e">
        <f t="shared" si="44"/>
        <v>#N/A</v>
      </c>
      <c r="K215">
        <f t="shared" si="45"/>
        <v>2019</v>
      </c>
      <c r="L215">
        <f t="shared" si="46"/>
        <v>3.2530000000000001</v>
      </c>
      <c r="M215" t="e">
        <f t="shared" si="47"/>
        <v>#N/A</v>
      </c>
      <c r="N215" t="e">
        <f t="shared" si="48"/>
        <v>#N/A</v>
      </c>
      <c r="O215">
        <f t="shared" si="49"/>
        <v>11.000215000000001</v>
      </c>
      <c r="P215" t="str">
        <f>IF(OR($A215="",games!$H215=""),"",games!$H215)</f>
        <v>Yes</v>
      </c>
      <c r="Q215">
        <f t="shared" si="50"/>
        <v>11.000215000000001</v>
      </c>
      <c r="T215">
        <f>IF(connections!$A215="","",IFERROR(INDEX(games!$B$2:$B$950,MATCH(connections!$A215,games!$A$2:$A$950,0)),""))</f>
        <v>2020</v>
      </c>
      <c r="U215">
        <f>IF(connections!$A215="","",IFERROR(INDEX(games!$B$2:$B$950,MATCH(connections!$B215,games!$A$2:$A$950,0)),""))</f>
        <v>2023</v>
      </c>
      <c r="V215">
        <f t="shared" si="51"/>
        <v>3</v>
      </c>
    </row>
    <row r="216" spans="1:22" x14ac:dyDescent="0.25">
      <c r="A216" t="str">
        <f>IF(games!$A216="","",games!$A216)</f>
        <v>Die For The Lich</v>
      </c>
      <c r="B216">
        <f>IF($A216="","",games!$B216)</f>
        <v>2025</v>
      </c>
      <c r="C216" t="str">
        <f>IF($A216="","",games!$C216)</f>
        <v>Deckbuilder</v>
      </c>
      <c r="D216">
        <f>IF($A216="","",COUNTIF(connections!$A$2:$A$1460,$A216)+COUNTIF(connections!$B$2:$B$1460,$A216))</f>
        <v>3</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3.000216</v>
      </c>
      <c r="P216" t="str">
        <f>IF(OR($A216="",games!$H216=""),"",games!$H216)</f>
        <v/>
      </c>
      <c r="Q216" t="str">
        <f t="shared" si="50"/>
        <v/>
      </c>
      <c r="T216">
        <f>IF(connections!$A216="","",IFERROR(INDEX(games!$B$2:$B$950,MATCH(connections!$A216,games!$A$2:$A$950,0)),""))</f>
        <v>2019</v>
      </c>
      <c r="U216">
        <f>IF(connections!$A216="","",IFERROR(INDEX(games!$B$2:$B$950,MATCH(connections!$B216,games!$A$2:$A$950,0)),""))</f>
        <v>2022</v>
      </c>
      <c r="V216">
        <f t="shared" si="51"/>
        <v>3</v>
      </c>
    </row>
    <row r="217" spans="1:22" x14ac:dyDescent="0.25">
      <c r="A217" t="str">
        <f>IF(games!$A217="","",games!$A217)</f>
        <v>Die in the Dungeon</v>
      </c>
      <c r="B217">
        <f>IF($A217="","",games!$B217)</f>
        <v>2025</v>
      </c>
      <c r="C217" t="str">
        <f>IF($A217="","",games!$C217)</f>
        <v>Deckbuilder</v>
      </c>
      <c r="D217">
        <f>IF($A217="","",COUNTIF(connections!$A$2:$A$1460,$A217)+COUNTIF(connections!$B$2:$B$1460,$A217))</f>
        <v>1</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1.0002169999999999</v>
      </c>
      <c r="P217" t="str">
        <f>IF(OR($A217="",games!$H217=""),"",games!$H217)</f>
        <v>Yes</v>
      </c>
      <c r="Q217">
        <f t="shared" si="50"/>
        <v>1.0002169999999999</v>
      </c>
      <c r="T217">
        <f>IF(connections!$A217="","",IFERROR(INDEX(games!$B$2:$B$950,MATCH(connections!$A217,games!$A$2:$A$950,0)),""))</f>
        <v>2015</v>
      </c>
      <c r="U217">
        <f>IF(connections!$A217="","",IFERROR(INDEX(games!$B$2:$B$950,MATCH(connections!$B217,games!$A$2:$A$950,0)),""))</f>
        <v>2021</v>
      </c>
      <c r="V217">
        <f t="shared" si="51"/>
        <v>6</v>
      </c>
    </row>
    <row r="218" spans="1:22" x14ac:dyDescent="0.25">
      <c r="A218" t="str">
        <f>IF(games!$A218="","",games!$A218)</f>
        <v>DIG: Deep In Galaxies</v>
      </c>
      <c r="B218">
        <f>IF($A218="","",games!$B218)</f>
        <v>2021</v>
      </c>
      <c r="C218" t="str">
        <f>IF($A218="","",games!$C218)</f>
        <v>Action</v>
      </c>
      <c r="D218">
        <f>IF($A218="","",COUNTIF(connections!$A$2:$A$1460,$A218)+COUNTIF(connections!$B$2:$B$1460,$A218))</f>
        <v>0</v>
      </c>
      <c r="E218">
        <f t="shared" si="39"/>
        <v>1</v>
      </c>
      <c r="F218">
        <f t="shared" si="40"/>
        <v>14</v>
      </c>
      <c r="G218">
        <f t="shared" si="41"/>
        <v>2021</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Yes</v>
      </c>
      <c r="Q218">
        <f t="shared" si="50"/>
        <v>2.1800000000000001E-4</v>
      </c>
      <c r="T218">
        <f>IF(connections!$A218="","",IFERROR(INDEX(games!$B$2:$B$950,MATCH(connections!$A218,games!$A$2:$A$950,0)),""))</f>
        <v>2015</v>
      </c>
      <c r="U218">
        <f>IF(connections!$A218="","",IFERROR(INDEX(games!$B$2:$B$950,MATCH(connections!$B218,games!$A$2:$A$950,0)),""))</f>
        <v>2024</v>
      </c>
      <c r="V218">
        <f t="shared" si="51"/>
        <v>9</v>
      </c>
    </row>
    <row r="219" spans="1:22" x14ac:dyDescent="0.25">
      <c r="A219" t="str">
        <f>IF(games!$A219="","",games!$A219)</f>
        <v>Dimensionals</v>
      </c>
      <c r="B219">
        <f>IF($A219="","",games!$B219)</f>
        <v>2024</v>
      </c>
      <c r="C219" t="str">
        <f>IF($A219="","",games!$C219)</f>
        <v>Deckbuilder</v>
      </c>
      <c r="D219">
        <f>IF($A219="","",COUNTIF(connections!$A$2:$A$1460,$A219)+COUNTIF(connections!$B$2:$B$1460,$A219))</f>
        <v>1</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1.000219</v>
      </c>
      <c r="P219" t="str">
        <f>IF(OR($A219="",games!$H219=""),"",games!$H219)</f>
        <v/>
      </c>
      <c r="Q219" t="str">
        <f t="shared" si="50"/>
        <v/>
      </c>
      <c r="T219">
        <f>IF(connections!$A219="","",IFERROR(INDEX(games!$B$2:$B$950,MATCH(connections!$A219,games!$A$2:$A$950,0)),""))</f>
        <v>2015</v>
      </c>
      <c r="U219">
        <f>IF(connections!$A219="","",IFERROR(INDEX(games!$B$2:$B$950,MATCH(connections!$B219,games!$A$2:$A$950,0)),""))</f>
        <v>2025</v>
      </c>
      <c r="V219">
        <f t="shared" si="51"/>
        <v>10</v>
      </c>
    </row>
    <row r="220" spans="1:22" x14ac:dyDescent="0.25">
      <c r="A220" t="str">
        <f>IF(games!$A220="","",games!$A220)</f>
        <v>Disfigure</v>
      </c>
      <c r="B220">
        <f>IF($A220="","",games!$B220)</f>
        <v>2023</v>
      </c>
      <c r="C220" t="str">
        <f>IF($A220="","",games!$C220)</f>
        <v>Action</v>
      </c>
      <c r="D220">
        <f>IF($A220="","",COUNTIF(connections!$A$2:$A$1460,$A220)+COUNTIF(connections!$B$2:$B$1460,$A220))</f>
        <v>2</v>
      </c>
      <c r="E220">
        <f t="shared" si="39"/>
        <v>1</v>
      </c>
      <c r="F220">
        <f t="shared" si="40"/>
        <v>16</v>
      </c>
      <c r="G220">
        <f t="shared" si="41"/>
        <v>2023</v>
      </c>
      <c r="H220">
        <f t="shared" si="42"/>
        <v>1.3679999999999999</v>
      </c>
      <c r="I220" t="e">
        <f t="shared" si="43"/>
        <v>#N/A</v>
      </c>
      <c r="J220" t="e">
        <f t="shared" si="44"/>
        <v>#N/A</v>
      </c>
      <c r="K220" t="e">
        <f t="shared" si="45"/>
        <v>#N/A</v>
      </c>
      <c r="L220" t="e">
        <f t="shared" si="46"/>
        <v>#N/A</v>
      </c>
      <c r="M220" t="e">
        <f t="shared" si="47"/>
        <v>#N/A</v>
      </c>
      <c r="N220" t="e">
        <f t="shared" si="48"/>
        <v>#N/A</v>
      </c>
      <c r="O220">
        <f t="shared" si="49"/>
        <v>2.0002200000000001</v>
      </c>
      <c r="P220" t="str">
        <f>IF(OR($A220="",games!$H220=""),"",games!$H220)</f>
        <v>Yes</v>
      </c>
      <c r="Q220">
        <f t="shared" si="50"/>
        <v>2.0002200000000001</v>
      </c>
      <c r="T220">
        <f>IF(connections!$A220="","",IFERROR(INDEX(games!$B$2:$B$950,MATCH(connections!$A220,games!$A$2:$A$950,0)),""))</f>
        <v>2015</v>
      </c>
      <c r="U220">
        <f>IF(connections!$A220="","",IFERROR(INDEX(games!$B$2:$B$950,MATCH(connections!$B220,games!$A$2:$A$950,0)),""))</f>
        <v>2019</v>
      </c>
      <c r="V220">
        <f t="shared" si="51"/>
        <v>4</v>
      </c>
    </row>
    <row r="221" spans="1:22" x14ac:dyDescent="0.25">
      <c r="A221" t="str">
        <f>IF(games!$A221="","",games!$A221)</f>
        <v>Dive or Die: Children of Rain</v>
      </c>
      <c r="B221">
        <f>IF($A221="","",games!$B221)</f>
        <v>2026</v>
      </c>
      <c r="C221" t="str">
        <f>IF($A221="","",games!$C221)</f>
        <v>Action</v>
      </c>
      <c r="D221">
        <f>IF($A221="","",COUNTIF(connections!$A$2:$A$1460,$A221)+COUNTIF(connections!$B$2:$B$1460,$A221))</f>
        <v>1</v>
      </c>
      <c r="E221">
        <f t="shared" si="39"/>
        <v>1</v>
      </c>
      <c r="F221">
        <f t="shared" si="40"/>
        <v>17</v>
      </c>
      <c r="G221">
        <f t="shared" si="41"/>
        <v>2026</v>
      </c>
      <c r="H221">
        <f t="shared" si="42"/>
        <v>1.391</v>
      </c>
      <c r="I221" t="e">
        <f t="shared" si="43"/>
        <v>#N/A</v>
      </c>
      <c r="J221" t="e">
        <f t="shared" si="44"/>
        <v>#N/A</v>
      </c>
      <c r="K221" t="e">
        <f t="shared" si="45"/>
        <v>#N/A</v>
      </c>
      <c r="L221" t="e">
        <f t="shared" si="46"/>
        <v>#N/A</v>
      </c>
      <c r="M221" t="e">
        <f t="shared" si="47"/>
        <v>#N/A</v>
      </c>
      <c r="N221" t="e">
        <f t="shared" si="48"/>
        <v>#N/A</v>
      </c>
      <c r="O221">
        <f t="shared" si="49"/>
        <v>1.000221</v>
      </c>
      <c r="P221" t="str">
        <f>IF(OR($A221="",games!$H221=""),"",games!$H221)</f>
        <v/>
      </c>
      <c r="Q221" t="str">
        <f t="shared" si="50"/>
        <v/>
      </c>
      <c r="T221">
        <f>IF(connections!$A221="","",IFERROR(INDEX(games!$B$2:$B$950,MATCH(connections!$A221,games!$A$2:$A$950,0)),""))</f>
        <v>2015</v>
      </c>
      <c r="U221">
        <f>IF(connections!$A221="","",IFERROR(INDEX(games!$B$2:$B$950,MATCH(connections!$B221,games!$A$2:$A$950,0)),""))</f>
        <v>2023</v>
      </c>
      <c r="V221">
        <f t="shared" si="51"/>
        <v>8</v>
      </c>
    </row>
    <row r="222" spans="1:22" x14ac:dyDescent="0.25">
      <c r="A222" t="str">
        <f>IF(games!$A222="","",games!$A222)</f>
        <v>Dog and Goblin</v>
      </c>
      <c r="B222">
        <f>IF($A222="","",games!$B222)</f>
        <v>2024</v>
      </c>
      <c r="C222" t="str">
        <f>IF($A222="","",games!$C222)</f>
        <v>Deckbuilder</v>
      </c>
      <c r="D222">
        <f>IF($A222="","",COUNTIF(connections!$A$2:$A$1460,$A222)+COUNTIF(connections!$B$2:$B$1460,$A222))</f>
        <v>1</v>
      </c>
      <c r="E222">
        <f t="shared" si="39"/>
        <v>3</v>
      </c>
      <c r="F222">
        <f t="shared" si="40"/>
        <v>18</v>
      </c>
      <c r="G222" t="e">
        <f t="shared" si="41"/>
        <v>#N/A</v>
      </c>
      <c r="H222" t="e">
        <f t="shared" si="42"/>
        <v>#N/A</v>
      </c>
      <c r="I222" t="e">
        <f t="shared" si="43"/>
        <v>#N/A</v>
      </c>
      <c r="J222" t="e">
        <f t="shared" si="44"/>
        <v>#N/A</v>
      </c>
      <c r="K222">
        <f t="shared" si="45"/>
        <v>2024</v>
      </c>
      <c r="L222">
        <f t="shared" si="46"/>
        <v>3.4140000000000001</v>
      </c>
      <c r="M222" t="e">
        <f t="shared" si="47"/>
        <v>#N/A</v>
      </c>
      <c r="N222" t="e">
        <f t="shared" si="48"/>
        <v>#N/A</v>
      </c>
      <c r="O222">
        <f t="shared" si="49"/>
        <v>1.0002219999999999</v>
      </c>
      <c r="P222" t="str">
        <f>IF(OR($A222="",games!$H222=""),"",games!$H222)</f>
        <v/>
      </c>
      <c r="Q222" t="str">
        <f t="shared" si="50"/>
        <v/>
      </c>
      <c r="T222">
        <f>IF(connections!$A222="","",IFERROR(INDEX(games!$B$2:$B$950,MATCH(connections!$A222,games!$A$2:$A$950,0)),""))</f>
        <v>2015</v>
      </c>
      <c r="U222">
        <f>IF(connections!$A222="","",IFERROR(INDEX(games!$B$2:$B$950,MATCH(connections!$B222,games!$A$2:$A$950,0)),""))</f>
        <v>2020</v>
      </c>
      <c r="V222">
        <f t="shared" si="51"/>
        <v>5</v>
      </c>
    </row>
    <row r="223" spans="1:22" x14ac:dyDescent="0.25">
      <c r="A223" t="str">
        <f>IF(games!$A223="","",games!$A223)</f>
        <v>Dog Witch</v>
      </c>
      <c r="B223">
        <f>IF($A223="","",games!$B223)</f>
        <v>2025</v>
      </c>
      <c r="C223" t="str">
        <f>IF($A223="","",games!$C223)</f>
        <v>Deckbuilder</v>
      </c>
      <c r="D223">
        <f>IF($A223="","",COUNTIF(connections!$A$2:$A$1460,$A223)+COUNTIF(connections!$B$2:$B$1460,$A223))</f>
        <v>2</v>
      </c>
      <c r="E223">
        <f t="shared" si="39"/>
        <v>3</v>
      </c>
      <c r="F223">
        <f t="shared" si="40"/>
        <v>19</v>
      </c>
      <c r="G223" t="e">
        <f t="shared" si="41"/>
        <v>#N/A</v>
      </c>
      <c r="H223" t="e">
        <f t="shared" si="42"/>
        <v>#N/A</v>
      </c>
      <c r="I223" t="e">
        <f t="shared" si="43"/>
        <v>#N/A</v>
      </c>
      <c r="J223" t="e">
        <f t="shared" si="44"/>
        <v>#N/A</v>
      </c>
      <c r="K223">
        <f t="shared" si="45"/>
        <v>2025</v>
      </c>
      <c r="L223">
        <f t="shared" si="46"/>
        <v>3.4369999999999998</v>
      </c>
      <c r="M223" t="e">
        <f t="shared" si="47"/>
        <v>#N/A</v>
      </c>
      <c r="N223" t="e">
        <f t="shared" si="48"/>
        <v>#N/A</v>
      </c>
      <c r="O223">
        <f t="shared" si="49"/>
        <v>2.0002230000000001</v>
      </c>
      <c r="P223" t="str">
        <f>IF(OR($A223="",games!$H223=""),"",games!$H223)</f>
        <v/>
      </c>
      <c r="Q223" t="str">
        <f t="shared" si="50"/>
        <v/>
      </c>
      <c r="T223">
        <f>IF(connections!$A223="","",IFERROR(INDEX(games!$B$2:$B$950,MATCH(connections!$A223,games!$A$2:$A$950,0)),""))</f>
        <v>2015</v>
      </c>
      <c r="U223">
        <f>IF(connections!$A223="","",IFERROR(INDEX(games!$B$2:$B$950,MATCH(connections!$B223,games!$A$2:$A$950,0)),""))</f>
        <v>2019</v>
      </c>
      <c r="V223">
        <f t="shared" si="51"/>
        <v>4</v>
      </c>
    </row>
    <row r="224" spans="1:22" x14ac:dyDescent="0.25">
      <c r="A224" t="str">
        <f>IF(games!$A224="","",games!$A224)</f>
        <v>Dogpile</v>
      </c>
      <c r="B224">
        <f>IF($A224="","",games!$B224)</f>
        <v>2025</v>
      </c>
      <c r="C224" t="str">
        <f>IF($A224="","",games!$C224)</f>
        <v>Deckbuilder</v>
      </c>
      <c r="D224">
        <f>IF($A224="","",COUNTIF(connections!$A$2:$A$1460,$A224)+COUNTIF(connections!$B$2:$B$1460,$A224))</f>
        <v>1</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1.000224</v>
      </c>
      <c r="P224" t="str">
        <f>IF(OR($A224="",games!$H224=""),"",games!$H224)</f>
        <v>Yes</v>
      </c>
      <c r="Q224">
        <f t="shared" si="50"/>
        <v>1.000224</v>
      </c>
      <c r="T224">
        <f>IF(connections!$A224="","",IFERROR(INDEX(games!$B$2:$B$950,MATCH(connections!$A224,games!$A$2:$A$950,0)),""))</f>
        <v>2015</v>
      </c>
      <c r="U224">
        <f>IF(connections!$A224="","",IFERROR(INDEX(games!$B$2:$B$950,MATCH(connections!$B224,games!$A$2:$A$950,0)),""))</f>
        <v>2023</v>
      </c>
      <c r="V224">
        <f t="shared" si="51"/>
        <v>8</v>
      </c>
    </row>
    <row r="225" spans="1:22" x14ac:dyDescent="0.25">
      <c r="A225" t="str">
        <f>IF(games!$A225="","",games!$A225)</f>
        <v>Dome Keeper</v>
      </c>
      <c r="B225">
        <f>IF($A225="","",games!$B225)</f>
        <v>2022</v>
      </c>
      <c r="C225" t="str">
        <f>IF($A225="","",games!$C225)</f>
        <v>Strategy</v>
      </c>
      <c r="D225">
        <f>IF($A225="","",COUNTIF(connections!$A$2:$A$1460,$A225)+COUNTIF(connections!$B$2:$B$1460,$A225))</f>
        <v>7</v>
      </c>
      <c r="E225">
        <f t="shared" si="39"/>
        <v>2</v>
      </c>
      <c r="F225">
        <f t="shared" si="40"/>
        <v>21</v>
      </c>
      <c r="G225" t="e">
        <f t="shared" si="41"/>
        <v>#N/A</v>
      </c>
      <c r="H225" t="e">
        <f t="shared" si="42"/>
        <v>#N/A</v>
      </c>
      <c r="I225">
        <f t="shared" si="43"/>
        <v>2022</v>
      </c>
      <c r="J225">
        <f t="shared" si="44"/>
        <v>2.4830000000000001</v>
      </c>
      <c r="K225" t="e">
        <f t="shared" si="45"/>
        <v>#N/A</v>
      </c>
      <c r="L225" t="e">
        <f t="shared" si="46"/>
        <v>#N/A</v>
      </c>
      <c r="M225" t="e">
        <f t="shared" si="47"/>
        <v>#N/A</v>
      </c>
      <c r="N225" t="e">
        <f t="shared" si="48"/>
        <v>#N/A</v>
      </c>
      <c r="O225">
        <f t="shared" si="49"/>
        <v>7.0002250000000004</v>
      </c>
      <c r="P225" t="str">
        <f>IF(OR($A225="",games!$H225=""),"",games!$H225)</f>
        <v>Yes</v>
      </c>
      <c r="Q225">
        <f t="shared" si="50"/>
        <v>7.0002250000000004</v>
      </c>
      <c r="T225">
        <f>IF(connections!$A225="","",IFERROR(INDEX(games!$B$2:$B$950,MATCH(connections!$A225,games!$A$2:$A$950,0)),""))</f>
        <v>2015</v>
      </c>
      <c r="U225">
        <f>IF(connections!$A225="","",IFERROR(INDEX(games!$B$2:$B$950,MATCH(connections!$B225,games!$A$2:$A$950,0)),""))</f>
        <v>2019</v>
      </c>
      <c r="V225">
        <f t="shared" si="51"/>
        <v>4</v>
      </c>
    </row>
    <row r="226" spans="1:22" x14ac:dyDescent="0.25">
      <c r="A226" t="str">
        <f>IF(games!$A226="","",games!$A226)</f>
        <v>Don't Let It Starve</v>
      </c>
      <c r="B226">
        <f>IF($A226="","",games!$B226)</f>
        <v>2026</v>
      </c>
      <c r="C226" t="str">
        <f>IF($A226="","",games!$C226)</f>
        <v>Strategy</v>
      </c>
      <c r="D226">
        <f>IF($A226="","",COUNTIF(connections!$A$2:$A$1460,$A226)+COUNTIF(connections!$B$2:$B$1460,$A226))</f>
        <v>1</v>
      </c>
      <c r="E226">
        <f t="shared" si="39"/>
        <v>2</v>
      </c>
      <c r="F226">
        <f t="shared" si="40"/>
        <v>22</v>
      </c>
      <c r="G226" t="e">
        <f t="shared" si="41"/>
        <v>#N/A</v>
      </c>
      <c r="H226" t="e">
        <f t="shared" si="42"/>
        <v>#N/A</v>
      </c>
      <c r="I226">
        <f t="shared" si="43"/>
        <v>2026</v>
      </c>
      <c r="J226">
        <f t="shared" si="44"/>
        <v>2.5060000000000002</v>
      </c>
      <c r="K226" t="e">
        <f t="shared" si="45"/>
        <v>#N/A</v>
      </c>
      <c r="L226" t="e">
        <f t="shared" si="46"/>
        <v>#N/A</v>
      </c>
      <c r="M226" t="e">
        <f t="shared" si="47"/>
        <v>#N/A</v>
      </c>
      <c r="N226" t="e">
        <f t="shared" si="48"/>
        <v>#N/A</v>
      </c>
      <c r="O226">
        <f t="shared" si="49"/>
        <v>1.0002260000000001</v>
      </c>
      <c r="P226" t="str">
        <f>IF(OR($A226="",games!$H226=""),"",games!$H226)</f>
        <v/>
      </c>
      <c r="Q226" t="str">
        <f t="shared" si="50"/>
        <v/>
      </c>
      <c r="T226">
        <f>IF(connections!$A226="","",IFERROR(INDEX(games!$B$2:$B$950,MATCH(connections!$A226,games!$A$2:$A$950,0)),""))</f>
        <v>2015</v>
      </c>
      <c r="U226">
        <f>IF(connections!$A226="","",IFERROR(INDEX(games!$B$2:$B$950,MATCH(connections!$B226,games!$A$2:$A$950,0)),""))</f>
        <v>2018</v>
      </c>
      <c r="V226">
        <f t="shared" si="51"/>
        <v>3</v>
      </c>
    </row>
    <row r="227" spans="1:22" x14ac:dyDescent="0.25">
      <c r="A227" t="str">
        <f>IF(games!$A227="","",games!$A227)</f>
        <v>Don't Lose Aggro</v>
      </c>
      <c r="B227">
        <f>IF($A227="","",games!$B227)</f>
        <v>2026</v>
      </c>
      <c r="C227" t="str">
        <f>IF($A227="","",games!$C227)</f>
        <v>Action</v>
      </c>
      <c r="D227">
        <f>IF($A227="","",COUNTIF(connections!$A$2:$A$1460,$A227)+COUNTIF(connections!$B$2:$B$1460,$A227))</f>
        <v>0</v>
      </c>
      <c r="E227">
        <f t="shared" si="39"/>
        <v>1</v>
      </c>
      <c r="F227">
        <f t="shared" si="40"/>
        <v>23</v>
      </c>
      <c r="G227">
        <f t="shared" si="41"/>
        <v>2026</v>
      </c>
      <c r="H227">
        <f t="shared" si="42"/>
        <v>1.5289999999999999</v>
      </c>
      <c r="I227" t="e">
        <f t="shared" si="43"/>
        <v>#N/A</v>
      </c>
      <c r="J227" t="e">
        <f t="shared" si="44"/>
        <v>#N/A</v>
      </c>
      <c r="K227" t="e">
        <f t="shared" si="45"/>
        <v>#N/A</v>
      </c>
      <c r="L227" t="e">
        <f t="shared" si="46"/>
        <v>#N/A</v>
      </c>
      <c r="M227" t="e">
        <f t="shared" si="47"/>
        <v>#N/A</v>
      </c>
      <c r="N227" t="e">
        <f t="shared" si="48"/>
        <v>#N/A</v>
      </c>
      <c r="O227">
        <f t="shared" si="49"/>
        <v>2.2699999999999999E-4</v>
      </c>
      <c r="P227" t="str">
        <f>IF(OR($A227="",games!$H227=""),"",games!$H227)</f>
        <v/>
      </c>
      <c r="Q227" t="str">
        <f t="shared" si="50"/>
        <v/>
      </c>
      <c r="T227">
        <f>IF(connections!$A227="","",IFERROR(INDEX(games!$B$2:$B$950,MATCH(connections!$A227,games!$A$2:$A$950,0)),""))</f>
        <v>2015</v>
      </c>
      <c r="U227">
        <f>IF(connections!$A227="","",IFERROR(INDEX(games!$B$2:$B$950,MATCH(connections!$B227,games!$A$2:$A$950,0)),""))</f>
        <v>2025</v>
      </c>
      <c r="V227">
        <f t="shared" si="51"/>
        <v>10</v>
      </c>
    </row>
    <row r="228" spans="1:22" x14ac:dyDescent="0.25">
      <c r="A228" t="str">
        <f>IF(games!$A228="","",games!$A228)</f>
        <v>Don't Starve</v>
      </c>
      <c r="B228">
        <f>IF($A228="","",games!$B228)</f>
        <v>2013</v>
      </c>
      <c r="C228" t="str">
        <f>IF($A228="","",games!$C228)</f>
        <v>Action</v>
      </c>
      <c r="D228">
        <f>IF($A228="","",COUNTIF(connections!$A$2:$A$1460,$A228)+COUNTIF(connections!$B$2:$B$1460,$A228))</f>
        <v>8</v>
      </c>
      <c r="E228">
        <f t="shared" si="39"/>
        <v>1</v>
      </c>
      <c r="F228">
        <f t="shared" si="40"/>
        <v>24</v>
      </c>
      <c r="G228">
        <f t="shared" si="41"/>
        <v>2013</v>
      </c>
      <c r="H228">
        <f t="shared" si="42"/>
        <v>1.552</v>
      </c>
      <c r="I228" t="e">
        <f t="shared" si="43"/>
        <v>#N/A</v>
      </c>
      <c r="J228" t="e">
        <f t="shared" si="44"/>
        <v>#N/A</v>
      </c>
      <c r="K228" t="e">
        <f t="shared" si="45"/>
        <v>#N/A</v>
      </c>
      <c r="L228" t="e">
        <f t="shared" si="46"/>
        <v>#N/A</v>
      </c>
      <c r="M228" t="e">
        <f t="shared" si="47"/>
        <v>#N/A</v>
      </c>
      <c r="N228" t="e">
        <f t="shared" si="48"/>
        <v>#N/A</v>
      </c>
      <c r="O228">
        <f t="shared" si="49"/>
        <v>8.0002279999999999</v>
      </c>
      <c r="P228" t="str">
        <f>IF(OR($A228="",games!$H228=""),"",games!$H228)</f>
        <v>Yes</v>
      </c>
      <c r="Q228">
        <f t="shared" si="50"/>
        <v>8.0002279999999999</v>
      </c>
      <c r="T228">
        <f>IF(connections!$A228="","",IFERROR(INDEX(games!$B$2:$B$950,MATCH(connections!$A228,games!$A$2:$A$950,0)),""))</f>
        <v>2015</v>
      </c>
      <c r="U228">
        <f>IF(connections!$A228="","",IFERROR(INDEX(games!$B$2:$B$950,MATCH(connections!$B228,games!$A$2:$A$950,0)),""))</f>
        <v>2016</v>
      </c>
      <c r="V228">
        <f t="shared" si="51"/>
        <v>1</v>
      </c>
    </row>
    <row r="229" spans="1:22" x14ac:dyDescent="0.25">
      <c r="A229" t="str">
        <f>IF(games!$A229="","",games!$A229)</f>
        <v>Don't Starve Together</v>
      </c>
      <c r="B229">
        <f>IF($A229="","",games!$B229)</f>
        <v>2014</v>
      </c>
      <c r="C229" t="str">
        <f>IF($A229="","",games!$C229)</f>
        <v>Action</v>
      </c>
      <c r="D229">
        <f>IF($A229="","",COUNTIF(connections!$A$2:$A$1460,$A229)+COUNTIF(connections!$B$2:$B$1460,$A229))</f>
        <v>1</v>
      </c>
      <c r="E229">
        <f t="shared" si="39"/>
        <v>1</v>
      </c>
      <c r="F229">
        <f t="shared" si="40"/>
        <v>25</v>
      </c>
      <c r="G229">
        <f t="shared" si="41"/>
        <v>2014</v>
      </c>
      <c r="H229">
        <f t="shared" si="42"/>
        <v>1.575</v>
      </c>
      <c r="I229" t="e">
        <f t="shared" si="43"/>
        <v>#N/A</v>
      </c>
      <c r="J229" t="e">
        <f t="shared" si="44"/>
        <v>#N/A</v>
      </c>
      <c r="K229" t="e">
        <f t="shared" si="45"/>
        <v>#N/A</v>
      </c>
      <c r="L229" t="e">
        <f t="shared" si="46"/>
        <v>#N/A</v>
      </c>
      <c r="M229" t="e">
        <f t="shared" si="47"/>
        <v>#N/A</v>
      </c>
      <c r="N229" t="e">
        <f t="shared" si="48"/>
        <v>#N/A</v>
      </c>
      <c r="O229">
        <f t="shared" si="49"/>
        <v>1.000229</v>
      </c>
      <c r="P229" t="str">
        <f>IF(OR($A229="",games!$H229=""),"",games!$H229)</f>
        <v>Yes</v>
      </c>
      <c r="Q229">
        <f t="shared" si="50"/>
        <v>1.000229</v>
      </c>
      <c r="T229">
        <f>IF(connections!$A229="","",IFERROR(INDEX(games!$B$2:$B$950,MATCH(connections!$A229,games!$A$2:$A$950,0)),""))</f>
        <v>2015</v>
      </c>
      <c r="U229">
        <f>IF(connections!$A229="","",IFERROR(INDEX(games!$B$2:$B$950,MATCH(connections!$B229,games!$A$2:$A$950,0)),""))</f>
        <v>2025</v>
      </c>
      <c r="V229">
        <f t="shared" si="51"/>
        <v>10</v>
      </c>
    </row>
    <row r="230" spans="1:22" x14ac:dyDescent="0.25">
      <c r="A230" t="str">
        <f>IF(games!$A230="","",games!$A230)</f>
        <v>DoomRL</v>
      </c>
      <c r="B230">
        <f>IF($A230="","",games!$B230)</f>
        <v>2002</v>
      </c>
      <c r="C230" t="str">
        <f>IF($A230="","",games!$C230)</f>
        <v>Traditional</v>
      </c>
      <c r="D230">
        <f>IF($A230="","",COUNTIF(connections!$A$2:$A$1460,$A230)+COUNTIF(connections!$B$2:$B$1460,$A230))</f>
        <v>8</v>
      </c>
      <c r="E230">
        <f t="shared" si="39"/>
        <v>4</v>
      </c>
      <c r="F230">
        <f t="shared" si="40"/>
        <v>26</v>
      </c>
      <c r="G230" t="e">
        <f t="shared" si="41"/>
        <v>#N/A</v>
      </c>
      <c r="H230" t="e">
        <f t="shared" si="42"/>
        <v>#N/A</v>
      </c>
      <c r="I230" t="e">
        <f t="shared" si="43"/>
        <v>#N/A</v>
      </c>
      <c r="J230" t="e">
        <f t="shared" si="44"/>
        <v>#N/A</v>
      </c>
      <c r="K230" t="e">
        <f t="shared" si="45"/>
        <v>#N/A</v>
      </c>
      <c r="L230" t="e">
        <f t="shared" si="46"/>
        <v>#N/A</v>
      </c>
      <c r="M230">
        <f t="shared" si="47"/>
        <v>2002</v>
      </c>
      <c r="N230">
        <f t="shared" si="48"/>
        <v>4.5979999999999999</v>
      </c>
      <c r="O230">
        <f t="shared" si="49"/>
        <v>8.0002300000000002</v>
      </c>
      <c r="P230" t="str">
        <f>IF(OR($A230="",games!$H230=""),"",games!$H230)</f>
        <v/>
      </c>
      <c r="Q230" t="str">
        <f t="shared" si="50"/>
        <v/>
      </c>
      <c r="T230">
        <f>IF(connections!$A230="","",IFERROR(INDEX(games!$B$2:$B$950,MATCH(connections!$A230,games!$A$2:$A$950,0)),""))</f>
        <v>2015</v>
      </c>
      <c r="U230">
        <f>IF(connections!$A230="","",IFERROR(INDEX(games!$B$2:$B$950,MATCH(connections!$B230,games!$A$2:$A$950,0)),""))</f>
        <v>2020</v>
      </c>
      <c r="V230">
        <f t="shared" si="51"/>
        <v>5</v>
      </c>
    </row>
    <row r="231" spans="1:22" x14ac:dyDescent="0.25">
      <c r="A231" t="str">
        <f>IF(games!$A231="","",games!$A231)</f>
        <v>Dota Auto Chess</v>
      </c>
      <c r="B231">
        <f>IF($A231="","",games!$B231)</f>
        <v>2019</v>
      </c>
      <c r="C231" t="str">
        <f>IF($A231="","",games!$C231)</f>
        <v>Strategy</v>
      </c>
      <c r="D231">
        <f>IF($A231="","",COUNTIF(connections!$A$2:$A$1460,$A231)+COUNTIF(connections!$B$2:$B$1460,$A231))</f>
        <v>7</v>
      </c>
      <c r="E231">
        <f t="shared" si="39"/>
        <v>2</v>
      </c>
      <c r="F231">
        <f t="shared" si="40"/>
        <v>27</v>
      </c>
      <c r="G231" t="e">
        <f t="shared" si="41"/>
        <v>#N/A</v>
      </c>
      <c r="H231" t="e">
        <f t="shared" si="42"/>
        <v>#N/A</v>
      </c>
      <c r="I231">
        <f t="shared" si="43"/>
        <v>2019</v>
      </c>
      <c r="J231">
        <f t="shared" si="44"/>
        <v>2.621</v>
      </c>
      <c r="K231" t="e">
        <f t="shared" si="45"/>
        <v>#N/A</v>
      </c>
      <c r="L231" t="e">
        <f t="shared" si="46"/>
        <v>#N/A</v>
      </c>
      <c r="M231" t="e">
        <f t="shared" si="47"/>
        <v>#N/A</v>
      </c>
      <c r="N231" t="e">
        <f t="shared" si="48"/>
        <v>#N/A</v>
      </c>
      <c r="O231">
        <f t="shared" si="49"/>
        <v>7.0002310000000003</v>
      </c>
      <c r="P231" t="str">
        <f>IF(OR($A231="",games!$H231=""),"",games!$H231)</f>
        <v/>
      </c>
      <c r="Q231" t="str">
        <f t="shared" si="50"/>
        <v/>
      </c>
      <c r="T231">
        <f>IF(connections!$A231="","",IFERROR(INDEX(games!$B$2:$B$950,MATCH(connections!$A231,games!$A$2:$A$950,0)),""))</f>
        <v>2015</v>
      </c>
      <c r="U231">
        <f>IF(connections!$A231="","",IFERROR(INDEX(games!$B$2:$B$950,MATCH(connections!$B231,games!$A$2:$A$950,0)),""))</f>
        <v>2019</v>
      </c>
      <c r="V231">
        <f t="shared" si="51"/>
        <v>4</v>
      </c>
    </row>
    <row r="232" spans="1:22" x14ac:dyDescent="0.25">
      <c r="A232" t="str">
        <f>IF(games!$A232="","",games!$A232)</f>
        <v>Double Dragon Gaiden: Rise Of The Dragons</v>
      </c>
      <c r="B232">
        <f>IF($A232="","",games!$B232)</f>
        <v>2023</v>
      </c>
      <c r="C232" t="str">
        <f>IF($A232="","",games!$C232)</f>
        <v>Action</v>
      </c>
      <c r="D232">
        <f>IF($A232="","",COUNTIF(connections!$A$2:$A$1460,$A232)+COUNTIF(connections!$B$2:$B$1460,$A232))</f>
        <v>0</v>
      </c>
      <c r="E232">
        <f t="shared" si="39"/>
        <v>1</v>
      </c>
      <c r="F232">
        <f t="shared" si="40"/>
        <v>28</v>
      </c>
      <c r="G232">
        <f t="shared" si="41"/>
        <v>2023</v>
      </c>
      <c r="H232">
        <f t="shared" si="42"/>
        <v>1.6440000000000001</v>
      </c>
      <c r="I232" t="e">
        <f t="shared" si="43"/>
        <v>#N/A</v>
      </c>
      <c r="J232" t="e">
        <f t="shared" si="44"/>
        <v>#N/A</v>
      </c>
      <c r="K232" t="e">
        <f t="shared" si="45"/>
        <v>#N/A</v>
      </c>
      <c r="L232" t="e">
        <f t="shared" si="46"/>
        <v>#N/A</v>
      </c>
      <c r="M232" t="e">
        <f t="shared" si="47"/>
        <v>#N/A</v>
      </c>
      <c r="N232" t="e">
        <f t="shared" si="48"/>
        <v>#N/A</v>
      </c>
      <c r="O232">
        <f t="shared" si="49"/>
        <v>2.32E-4</v>
      </c>
      <c r="P232" t="str">
        <f>IF(OR($A232="",games!$H232=""),"",games!$H232)</f>
        <v>Yes</v>
      </c>
      <c r="Q232">
        <f t="shared" si="50"/>
        <v>2.32E-4</v>
      </c>
      <c r="T232">
        <f>IF(connections!$A232="","",IFERROR(INDEX(games!$B$2:$B$950,MATCH(connections!$A232,games!$A$2:$A$950,0)),""))</f>
        <v>2015</v>
      </c>
      <c r="U232">
        <f>IF(connections!$A232="","",IFERROR(INDEX(games!$B$2:$B$950,MATCH(connections!$B232,games!$A$2:$A$950,0)),""))</f>
        <v>2025</v>
      </c>
      <c r="V232">
        <f t="shared" si="51"/>
        <v>10</v>
      </c>
    </row>
    <row r="233" spans="1:22" x14ac:dyDescent="0.25">
      <c r="A233" t="str">
        <f>IF(games!$A233="","",games!$A233)</f>
        <v>Downwell</v>
      </c>
      <c r="B233">
        <f>IF($A233="","",games!$B233)</f>
        <v>2015</v>
      </c>
      <c r="C233" t="str">
        <f>IF($A233="","",games!$C233)</f>
        <v>Action</v>
      </c>
      <c r="D233">
        <f>IF($A233="","",COUNTIF(connections!$A$2:$A$1460,$A233)+COUNTIF(connections!$B$2:$B$1460,$A233))</f>
        <v>10</v>
      </c>
      <c r="E233">
        <f t="shared" si="39"/>
        <v>1</v>
      </c>
      <c r="F233">
        <f t="shared" si="40"/>
        <v>29</v>
      </c>
      <c r="G233">
        <f t="shared" si="41"/>
        <v>2015</v>
      </c>
      <c r="H233">
        <f t="shared" si="42"/>
        <v>1.667</v>
      </c>
      <c r="I233" t="e">
        <f t="shared" si="43"/>
        <v>#N/A</v>
      </c>
      <c r="J233" t="e">
        <f t="shared" si="44"/>
        <v>#N/A</v>
      </c>
      <c r="K233" t="e">
        <f t="shared" si="45"/>
        <v>#N/A</v>
      </c>
      <c r="L233" t="e">
        <f t="shared" si="46"/>
        <v>#N/A</v>
      </c>
      <c r="M233" t="e">
        <f t="shared" si="47"/>
        <v>#N/A</v>
      </c>
      <c r="N233" t="e">
        <f t="shared" si="48"/>
        <v>#N/A</v>
      </c>
      <c r="O233">
        <f t="shared" si="49"/>
        <v>10.000233</v>
      </c>
      <c r="P233" t="str">
        <f>IF(OR($A233="",games!$H233=""),"",games!$H233)</f>
        <v>Yes</v>
      </c>
      <c r="Q233">
        <f t="shared" si="50"/>
        <v>10.000233</v>
      </c>
      <c r="T233">
        <f>IF(connections!$A233="","",IFERROR(INDEX(games!$B$2:$B$950,MATCH(connections!$A233,games!$A$2:$A$950,0)),""))</f>
        <v>2015</v>
      </c>
      <c r="U233">
        <f>IF(connections!$A233="","",IFERROR(INDEX(games!$B$2:$B$950,MATCH(connections!$B233,games!$A$2:$A$950,0)),""))</f>
        <v>2019</v>
      </c>
      <c r="V233">
        <f t="shared" si="51"/>
        <v>4</v>
      </c>
    </row>
    <row r="234" spans="1:22" x14ac:dyDescent="0.25">
      <c r="A234" t="str">
        <f>IF(games!$A234="","",games!$A234)</f>
        <v>Dragon Crystal</v>
      </c>
      <c r="B234">
        <f>IF($A234="","",games!$B234)</f>
        <v>1990</v>
      </c>
      <c r="C234" t="str">
        <f>IF($A234="","",games!$C234)</f>
        <v>Traditional</v>
      </c>
      <c r="D234">
        <f>IF($A234="","",COUNTIF(connections!$A$2:$A$1460,$A234)+COUNTIF(connections!$B$2:$B$1460,$A234))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1990</v>
      </c>
      <c r="N234">
        <f t="shared" si="48"/>
        <v>4.6899999999999995</v>
      </c>
      <c r="O234">
        <f t="shared" si="49"/>
        <v>1.0002340000000001</v>
      </c>
      <c r="P234" t="str">
        <f>IF(OR($A234="",games!$H234=""),"",games!$H234)</f>
        <v>Yes</v>
      </c>
      <c r="Q234">
        <f t="shared" si="50"/>
        <v>1.0002340000000001</v>
      </c>
      <c r="T234">
        <f>IF(connections!$A234="","",IFERROR(INDEX(games!$B$2:$B$950,MATCH(connections!$A234,games!$A$2:$A$950,0)),""))</f>
        <v>2015</v>
      </c>
      <c r="U234">
        <f>IF(connections!$A234="","",IFERROR(INDEX(games!$B$2:$B$950,MATCH(connections!$B234,games!$A$2:$A$950,0)),""))</f>
        <v>2019</v>
      </c>
      <c r="V234">
        <f t="shared" si="51"/>
        <v>4</v>
      </c>
    </row>
    <row r="235" spans="1:22" x14ac:dyDescent="0.25">
      <c r="A235" t="str">
        <f>IF(games!$A235="","",games!$A235)</f>
        <v>Dragon Quest Heroes: Torneko‘s Mystery Dungeon Classic HD</v>
      </c>
      <c r="B235">
        <f>IF($A235="","",games!$B235)</f>
        <v>2026</v>
      </c>
      <c r="C235" t="str">
        <f>IF($A235="","",games!$C235)</f>
        <v>Traditional</v>
      </c>
      <c r="D235">
        <f>IF($A235="","",COUNTIF(connections!$A$2:$A$1460,$A235)+COUNTIF(connections!$B$2:$B$1460,$A235))</f>
        <v>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2026</v>
      </c>
      <c r="N235">
        <f t="shared" si="48"/>
        <v>4.7130000000000001</v>
      </c>
      <c r="O235">
        <f t="shared" si="49"/>
        <v>1.000235</v>
      </c>
      <c r="P235" t="str">
        <f>IF(OR($A235="",games!$H235=""),"",games!$H235)</f>
        <v/>
      </c>
      <c r="Q235" t="str">
        <f t="shared" si="50"/>
        <v/>
      </c>
      <c r="T235">
        <f>IF(connections!$A235="","",IFERROR(INDEX(games!$B$2:$B$950,MATCH(connections!$A235,games!$A$2:$A$950,0)),""))</f>
        <v>2015</v>
      </c>
      <c r="U235">
        <f>IF(connections!$A235="","",IFERROR(INDEX(games!$B$2:$B$950,MATCH(connections!$B235,games!$A$2:$A$950,0)),""))</f>
        <v>2024</v>
      </c>
      <c r="V235">
        <f t="shared" si="51"/>
        <v>9</v>
      </c>
    </row>
    <row r="236" spans="1:22" x14ac:dyDescent="0.25">
      <c r="A236" t="str">
        <f>IF(games!$A236="","",games!$A236)</f>
        <v>Dragon Quest: Young Yangus and the Mystery Dungeon</v>
      </c>
      <c r="B236">
        <f>IF($A236="","",games!$B236)</f>
        <v>2006</v>
      </c>
      <c r="C236" t="str">
        <f>IF($A236="","",games!$C236)</f>
        <v>Traditional</v>
      </c>
      <c r="D236">
        <f>IF($A236="","",COUNTIF(connections!$A$2:$A$1460,$A236)+COUNTIF(connections!$B$2:$B$1460,$A236))</f>
        <v>1</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2006</v>
      </c>
      <c r="N236">
        <f t="shared" si="48"/>
        <v>4.7359999999999998</v>
      </c>
      <c r="O236">
        <f t="shared" si="49"/>
        <v>1.0002359999999999</v>
      </c>
      <c r="P236" t="str">
        <f>IF(OR($A236="",games!$H236=""),"",games!$H236)</f>
        <v>Yes</v>
      </c>
      <c r="Q236">
        <f t="shared" si="50"/>
        <v>1.0002359999999999</v>
      </c>
      <c r="T236">
        <f>IF(connections!$A236="","",IFERROR(INDEX(games!$B$2:$B$950,MATCH(connections!$A236,games!$A$2:$A$950,0)),""))</f>
        <v>2015</v>
      </c>
      <c r="U236">
        <f>IF(connections!$A236="","",IFERROR(INDEX(games!$B$2:$B$950,MATCH(connections!$B236,games!$A$2:$A$950,0)),""))</f>
        <v>2022</v>
      </c>
      <c r="V236">
        <f t="shared" si="51"/>
        <v>7</v>
      </c>
    </row>
    <row r="237" spans="1:22" x14ac:dyDescent="0.25">
      <c r="A237" t="str">
        <f>IF(games!$A237="","",games!$A237)</f>
        <v>Dragonslayer</v>
      </c>
      <c r="B237">
        <f>IF($A237="","",games!$B237)</f>
        <v>2003</v>
      </c>
      <c r="C237" t="str">
        <f>IF($A237="","",games!$C237)</f>
        <v>Traditional</v>
      </c>
      <c r="D237">
        <f>IF($A237="","",COUNTIF(connections!$A$2:$A$1460,$A237)+COUNTIF(connections!$B$2:$B$1460,$A237))</f>
        <v>1</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2003</v>
      </c>
      <c r="N237">
        <f t="shared" si="48"/>
        <v>4.7590000000000003</v>
      </c>
      <c r="O237">
        <f t="shared" si="49"/>
        <v>1.000237</v>
      </c>
      <c r="P237" t="str">
        <f>IF(OR($A237="",games!$H237=""),"",games!$H237)</f>
        <v/>
      </c>
      <c r="Q237" t="str">
        <f t="shared" si="50"/>
        <v/>
      </c>
      <c r="T237">
        <f>IF(connections!$A237="","",IFERROR(INDEX(games!$B$2:$B$950,MATCH(connections!$A237,games!$A$2:$A$950,0)),""))</f>
        <v>2015</v>
      </c>
      <c r="U237">
        <f>IF(connections!$A237="","",IFERROR(INDEX(games!$B$2:$B$950,MATCH(connections!$B237,games!$A$2:$A$950,0)),""))</f>
        <v>2024</v>
      </c>
      <c r="V237">
        <f t="shared" si="51"/>
        <v>9</v>
      </c>
    </row>
    <row r="238" spans="1:22" x14ac:dyDescent="0.25">
      <c r="A238" t="str">
        <f>IF(games!$A238="","",games!$A238)</f>
        <v>Drapline</v>
      </c>
      <c r="B238">
        <f>IF($A238="","",games!$B238)</f>
        <v>2025</v>
      </c>
      <c r="C238" t="str">
        <f>IF($A238="","",games!$C238)</f>
        <v>Strategy</v>
      </c>
      <c r="D238">
        <f>IF($A238="","",COUNTIF(connections!$A$2:$A$1460,$A238)+COUNTIF(connections!$B$2:$B$1460,$A238))</f>
        <v>1</v>
      </c>
      <c r="E238">
        <f t="shared" si="39"/>
        <v>2</v>
      </c>
      <c r="F238">
        <f t="shared" si="40"/>
        <v>0</v>
      </c>
      <c r="G238" t="e">
        <f t="shared" si="41"/>
        <v>#N/A</v>
      </c>
      <c r="H238" t="e">
        <f t="shared" si="42"/>
        <v>#N/A</v>
      </c>
      <c r="I238">
        <f t="shared" si="43"/>
        <v>2025</v>
      </c>
      <c r="J238">
        <f t="shared" si="44"/>
        <v>2</v>
      </c>
      <c r="K238" t="e">
        <f t="shared" si="45"/>
        <v>#N/A</v>
      </c>
      <c r="L238" t="e">
        <f t="shared" si="46"/>
        <v>#N/A</v>
      </c>
      <c r="M238" t="e">
        <f t="shared" si="47"/>
        <v>#N/A</v>
      </c>
      <c r="N238" t="e">
        <f t="shared" si="48"/>
        <v>#N/A</v>
      </c>
      <c r="O238">
        <f t="shared" si="49"/>
        <v>1.000238</v>
      </c>
      <c r="P238" t="str">
        <f>IF(OR($A238="",games!$H238=""),"",games!$H238)</f>
        <v>Yes</v>
      </c>
      <c r="Q238">
        <f t="shared" si="50"/>
        <v>1.000238</v>
      </c>
      <c r="T238">
        <f>IF(connections!$A238="","",IFERROR(INDEX(games!$B$2:$B$950,MATCH(connections!$A238,games!$A$2:$A$950,0)),""))</f>
        <v>2015</v>
      </c>
      <c r="U238">
        <f>IF(connections!$A238="","",IFERROR(INDEX(games!$B$2:$B$950,MATCH(connections!$B238,games!$A$2:$A$950,0)),""))</f>
        <v>2025</v>
      </c>
      <c r="V238">
        <f t="shared" si="51"/>
        <v>10</v>
      </c>
    </row>
    <row r="239" spans="1:22" x14ac:dyDescent="0.25">
      <c r="A239" t="str">
        <f>IF(games!$A239="","",games!$A239)</f>
        <v>Dream Quest</v>
      </c>
      <c r="B239">
        <f>IF($A239="","",games!$B239)</f>
        <v>2014</v>
      </c>
      <c r="C239" t="str">
        <f>IF($A239="","",games!$C239)</f>
        <v>Deckbuilder</v>
      </c>
      <c r="D239">
        <f>IF($A239="","",COUNTIF(connections!$A$2:$A$1460,$A239)+COUNTIF(connections!$B$2:$B$1460,$A239))</f>
        <v>4</v>
      </c>
      <c r="E239">
        <f t="shared" si="39"/>
        <v>3</v>
      </c>
      <c r="F239">
        <f t="shared" si="40"/>
        <v>1</v>
      </c>
      <c r="G239" t="e">
        <f t="shared" si="41"/>
        <v>#N/A</v>
      </c>
      <c r="H239" t="e">
        <f t="shared" si="42"/>
        <v>#N/A</v>
      </c>
      <c r="I239" t="e">
        <f t="shared" si="43"/>
        <v>#N/A</v>
      </c>
      <c r="J239" t="e">
        <f t="shared" si="44"/>
        <v>#N/A</v>
      </c>
      <c r="K239">
        <f t="shared" si="45"/>
        <v>2014</v>
      </c>
      <c r="L239">
        <f t="shared" si="46"/>
        <v>3.0230000000000001</v>
      </c>
      <c r="M239" t="e">
        <f t="shared" si="47"/>
        <v>#N/A</v>
      </c>
      <c r="N239" t="e">
        <f t="shared" si="48"/>
        <v>#N/A</v>
      </c>
      <c r="O239">
        <f t="shared" si="49"/>
        <v>4.0002389999999997</v>
      </c>
      <c r="P239" t="str">
        <f>IF(OR($A239="",games!$H239=""),"",games!$H239)</f>
        <v/>
      </c>
      <c r="Q239" t="str">
        <f t="shared" si="50"/>
        <v/>
      </c>
      <c r="T239">
        <f>IF(connections!$A239="","",IFERROR(INDEX(games!$B$2:$B$950,MATCH(connections!$A239,games!$A$2:$A$950,0)),""))</f>
        <v>2015</v>
      </c>
      <c r="U239">
        <f>IF(connections!$A239="","",IFERROR(INDEX(games!$B$2:$B$950,MATCH(connections!$B239,games!$A$2:$A$950,0)),""))</f>
        <v>2023</v>
      </c>
      <c r="V239">
        <f t="shared" si="51"/>
        <v>8</v>
      </c>
    </row>
    <row r="240" spans="1:22" x14ac:dyDescent="0.25">
      <c r="A240" t="str">
        <f>IF(games!$A240="","",games!$A240)</f>
        <v>Dreamscaper</v>
      </c>
      <c r="B240">
        <f>IF($A240="","",games!$B240)</f>
        <v>2020</v>
      </c>
      <c r="C240" t="str">
        <f>IF($A240="","",games!$C240)</f>
        <v>Action</v>
      </c>
      <c r="D240">
        <f>IF($A240="","",COUNTIF(connections!$A$2:$A$1460,$A240)+COUNTIF(connections!$B$2:$B$1460,$A240))</f>
        <v>3</v>
      </c>
      <c r="E240">
        <f t="shared" si="39"/>
        <v>1</v>
      </c>
      <c r="F240">
        <f t="shared" si="40"/>
        <v>2</v>
      </c>
      <c r="G240">
        <f t="shared" si="41"/>
        <v>2020</v>
      </c>
      <c r="H240">
        <f t="shared" si="42"/>
        <v>1.046</v>
      </c>
      <c r="I240" t="e">
        <f t="shared" si="43"/>
        <v>#N/A</v>
      </c>
      <c r="J240" t="e">
        <f t="shared" si="44"/>
        <v>#N/A</v>
      </c>
      <c r="K240" t="e">
        <f t="shared" si="45"/>
        <v>#N/A</v>
      </c>
      <c r="L240" t="e">
        <f t="shared" si="46"/>
        <v>#N/A</v>
      </c>
      <c r="M240" t="e">
        <f t="shared" si="47"/>
        <v>#N/A</v>
      </c>
      <c r="N240" t="e">
        <f t="shared" si="48"/>
        <v>#N/A</v>
      </c>
      <c r="O240">
        <f t="shared" si="49"/>
        <v>3.0002399999999998</v>
      </c>
      <c r="P240" t="str">
        <f>IF(OR($A240="",games!$H240=""),"",games!$H240)</f>
        <v>Yes</v>
      </c>
      <c r="Q240">
        <f t="shared" si="50"/>
        <v>3.0002399999999998</v>
      </c>
      <c r="T240">
        <f>IF(connections!$A240="","",IFERROR(INDEX(games!$B$2:$B$950,MATCH(connections!$A240,games!$A$2:$A$950,0)),""))</f>
        <v>2015</v>
      </c>
      <c r="U240">
        <f>IF(connections!$A240="","",IFERROR(INDEX(games!$B$2:$B$950,MATCH(connections!$B240,games!$A$2:$A$950,0)),""))</f>
        <v>2017</v>
      </c>
      <c r="V240">
        <f t="shared" si="51"/>
        <v>2</v>
      </c>
    </row>
    <row r="241" spans="1:22" x14ac:dyDescent="0.25">
      <c r="A241" t="str">
        <f>IF(games!$A241="","",games!$A241)</f>
        <v>Drill Core</v>
      </c>
      <c r="B241">
        <f>IF($A241="","",games!$B241)</f>
        <v>2024</v>
      </c>
      <c r="C241" t="str">
        <f>IF($A241="","",games!$C241)</f>
        <v>Strategy</v>
      </c>
      <c r="D241">
        <f>IF($A241="","",COUNTIF(connections!$A$2:$A$1460,$A241)+COUNTIF(connections!$B$2:$B$1460,$A241))</f>
        <v>1</v>
      </c>
      <c r="E241">
        <f t="shared" si="39"/>
        <v>2</v>
      </c>
      <c r="F241">
        <f t="shared" si="40"/>
        <v>3</v>
      </c>
      <c r="G241" t="e">
        <f t="shared" si="41"/>
        <v>#N/A</v>
      </c>
      <c r="H241" t="e">
        <f t="shared" si="42"/>
        <v>#N/A</v>
      </c>
      <c r="I241">
        <f t="shared" si="43"/>
        <v>2024</v>
      </c>
      <c r="J241">
        <f t="shared" si="44"/>
        <v>2.069</v>
      </c>
      <c r="K241" t="e">
        <f t="shared" si="45"/>
        <v>#N/A</v>
      </c>
      <c r="L241" t="e">
        <f t="shared" si="46"/>
        <v>#N/A</v>
      </c>
      <c r="M241" t="e">
        <f t="shared" si="47"/>
        <v>#N/A</v>
      </c>
      <c r="N241" t="e">
        <f t="shared" si="48"/>
        <v>#N/A</v>
      </c>
      <c r="O241">
        <f t="shared" si="49"/>
        <v>1.0002409999999999</v>
      </c>
      <c r="P241" t="str">
        <f>IF(OR($A241="",games!$H241=""),"",games!$H241)</f>
        <v/>
      </c>
      <c r="Q241" t="str">
        <f t="shared" si="50"/>
        <v/>
      </c>
      <c r="T241">
        <f>IF(connections!$A241="","",IFERROR(INDEX(games!$B$2:$B$950,MATCH(connections!$A241,games!$A$2:$A$950,0)),""))</f>
        <v>2015</v>
      </c>
      <c r="U241">
        <f>IF(connections!$A241="","",IFERROR(INDEX(games!$B$2:$B$950,MATCH(connections!$B241,games!$A$2:$A$950,0)),""))</f>
        <v>2024</v>
      </c>
      <c r="V241">
        <f t="shared" si="51"/>
        <v>9</v>
      </c>
    </row>
    <row r="242" spans="1:22" x14ac:dyDescent="0.25">
      <c r="A242" t="str">
        <f>IF(games!$A242="","",games!$A242)</f>
        <v>Driving Rogue</v>
      </c>
      <c r="B242">
        <f>IF($A242="","",games!$B242)</f>
        <v>2026</v>
      </c>
      <c r="C242" t="str">
        <f>IF($A242="","",games!$C242)</f>
        <v>Action</v>
      </c>
      <c r="D242">
        <f>IF($A242="","",COUNTIF(connections!$A$2:$A$1460,$A242)+COUNTIF(connections!$B$2:$B$1460,$A242))</f>
        <v>2</v>
      </c>
      <c r="E242">
        <f t="shared" si="39"/>
        <v>1</v>
      </c>
      <c r="F242">
        <f t="shared" si="40"/>
        <v>4</v>
      </c>
      <c r="G242">
        <f t="shared" si="41"/>
        <v>2026</v>
      </c>
      <c r="H242">
        <f t="shared" si="42"/>
        <v>1.0920000000000001</v>
      </c>
      <c r="I242" t="e">
        <f t="shared" si="43"/>
        <v>#N/A</v>
      </c>
      <c r="J242" t="e">
        <f t="shared" si="44"/>
        <v>#N/A</v>
      </c>
      <c r="K242" t="e">
        <f t="shared" si="45"/>
        <v>#N/A</v>
      </c>
      <c r="L242" t="e">
        <f t="shared" si="46"/>
        <v>#N/A</v>
      </c>
      <c r="M242" t="e">
        <f t="shared" si="47"/>
        <v>#N/A</v>
      </c>
      <c r="N242" t="e">
        <f t="shared" si="48"/>
        <v>#N/A</v>
      </c>
      <c r="O242">
        <f t="shared" si="49"/>
        <v>2.0002420000000001</v>
      </c>
      <c r="P242" t="str">
        <f>IF(OR($A242="",games!$H242=""),"",games!$H242)</f>
        <v/>
      </c>
      <c r="Q242" t="str">
        <f t="shared" si="50"/>
        <v/>
      </c>
      <c r="T242">
        <f>IF(connections!$A242="","",IFERROR(INDEX(games!$B$2:$B$950,MATCH(connections!$A242,games!$A$2:$A$950,0)),""))</f>
        <v>2015</v>
      </c>
      <c r="U242">
        <f>IF(connections!$A242="","",IFERROR(INDEX(games!$B$2:$B$950,MATCH(connections!$B242,games!$A$2:$A$950,0)),""))</f>
        <v>2020</v>
      </c>
      <c r="V242">
        <f t="shared" si="51"/>
        <v>5</v>
      </c>
    </row>
    <row r="243" spans="1:22" x14ac:dyDescent="0.25">
      <c r="A243" t="str">
        <f>IF(games!$A243="","",games!$A243)</f>
        <v>Drop Duchy</v>
      </c>
      <c r="B243">
        <f>IF($A243="","",games!$B243)</f>
        <v>2025</v>
      </c>
      <c r="C243" t="str">
        <f>IF($A243="","",games!$C243)</f>
        <v>Strategy</v>
      </c>
      <c r="D243">
        <f>IF($A243="","",COUNTIF(connections!$A$2:$A$1460,$A243)+COUNTIF(connections!$B$2:$B$1460,$A243))</f>
        <v>1</v>
      </c>
      <c r="E243">
        <f t="shared" si="39"/>
        <v>2</v>
      </c>
      <c r="F243">
        <f t="shared" si="40"/>
        <v>5</v>
      </c>
      <c r="G243" t="e">
        <f t="shared" si="41"/>
        <v>#N/A</v>
      </c>
      <c r="H243" t="e">
        <f t="shared" si="42"/>
        <v>#N/A</v>
      </c>
      <c r="I243">
        <f t="shared" si="43"/>
        <v>2025</v>
      </c>
      <c r="J243">
        <f t="shared" si="44"/>
        <v>2.1150000000000002</v>
      </c>
      <c r="K243" t="e">
        <f t="shared" si="45"/>
        <v>#N/A</v>
      </c>
      <c r="L243" t="e">
        <f t="shared" si="46"/>
        <v>#N/A</v>
      </c>
      <c r="M243" t="e">
        <f t="shared" si="47"/>
        <v>#N/A</v>
      </c>
      <c r="N243" t="e">
        <f t="shared" si="48"/>
        <v>#N/A</v>
      </c>
      <c r="O243">
        <f t="shared" si="49"/>
        <v>1.000243</v>
      </c>
      <c r="P243" t="str">
        <f>IF(OR($A243="",games!$H243=""),"",games!$H243)</f>
        <v>Yes</v>
      </c>
      <c r="Q243">
        <f t="shared" si="50"/>
        <v>1.000243</v>
      </c>
      <c r="T243">
        <f>IF(connections!$A243="","",IFERROR(INDEX(games!$B$2:$B$950,MATCH(connections!$A243,games!$A$2:$A$950,0)),""))</f>
        <v>2015</v>
      </c>
      <c r="U243">
        <f>IF(connections!$A243="","",IFERROR(INDEX(games!$B$2:$B$950,MATCH(connections!$B243,games!$A$2:$A$950,0)),""))</f>
        <v>2022</v>
      </c>
      <c r="V243">
        <f t="shared" si="51"/>
        <v>7</v>
      </c>
    </row>
    <row r="244" spans="1:22" x14ac:dyDescent="0.25">
      <c r="A244" t="str">
        <f>IF(games!$A244="","",games!$A244)</f>
        <v>Drop Pockets</v>
      </c>
      <c r="B244">
        <f>IF($A244="","",games!$B244)</f>
        <v>2025</v>
      </c>
      <c r="C244" t="str">
        <f>IF($A244="","",games!$C244)</f>
        <v>Strategy</v>
      </c>
      <c r="D244">
        <f>IF($A244="","",COUNTIF(connections!$A$2:$A$1460,$A244)+COUNTIF(connections!$B$2:$B$1460,$A244))</f>
        <v>1</v>
      </c>
      <c r="E244">
        <f t="shared" si="39"/>
        <v>2</v>
      </c>
      <c r="F244">
        <f t="shared" si="40"/>
        <v>6</v>
      </c>
      <c r="G244" t="e">
        <f t="shared" si="41"/>
        <v>#N/A</v>
      </c>
      <c r="H244" t="e">
        <f t="shared" si="42"/>
        <v>#N/A</v>
      </c>
      <c r="I244">
        <f t="shared" si="43"/>
        <v>2025</v>
      </c>
      <c r="J244">
        <f t="shared" si="44"/>
        <v>2.1379999999999999</v>
      </c>
      <c r="K244" t="e">
        <f t="shared" si="45"/>
        <v>#N/A</v>
      </c>
      <c r="L244" t="e">
        <f t="shared" si="46"/>
        <v>#N/A</v>
      </c>
      <c r="M244" t="e">
        <f t="shared" si="47"/>
        <v>#N/A</v>
      </c>
      <c r="N244" t="e">
        <f t="shared" si="48"/>
        <v>#N/A</v>
      </c>
      <c r="O244">
        <f t="shared" si="49"/>
        <v>1.0002439999999999</v>
      </c>
      <c r="P244" t="str">
        <f>IF(OR($A244="",games!$H244=""),"",games!$H244)</f>
        <v/>
      </c>
      <c r="Q244" t="str">
        <f t="shared" si="50"/>
        <v/>
      </c>
      <c r="T244">
        <f>IF(connections!$A244="","",IFERROR(INDEX(games!$B$2:$B$950,MATCH(connections!$A244,games!$A$2:$A$950,0)),""))</f>
        <v>2015</v>
      </c>
      <c r="U244">
        <f>IF(connections!$A244="","",IFERROR(INDEX(games!$B$2:$B$950,MATCH(connections!$B244,games!$A$2:$A$950,0)),""))</f>
        <v>2026</v>
      </c>
      <c r="V244">
        <f t="shared" si="51"/>
        <v>11</v>
      </c>
    </row>
    <row r="245" spans="1:22" x14ac:dyDescent="0.25">
      <c r="A245" t="str">
        <f>IF(games!$A245="","",games!$A245)</f>
        <v>Dungeon Clawler</v>
      </c>
      <c r="B245">
        <f>IF($A245="","",games!$B245)</f>
        <v>2024</v>
      </c>
      <c r="C245" t="str">
        <f>IF($A245="","",games!$C245)</f>
        <v>Deckbuilder</v>
      </c>
      <c r="D245">
        <f>IF($A245="","",COUNTIF(connections!$A$2:$A$1460,$A245)+COUNTIF(connections!$B$2:$B$1460,$A245))</f>
        <v>4</v>
      </c>
      <c r="E245">
        <f t="shared" si="39"/>
        <v>3</v>
      </c>
      <c r="F245">
        <f t="shared" si="40"/>
        <v>7</v>
      </c>
      <c r="G245" t="e">
        <f t="shared" si="41"/>
        <v>#N/A</v>
      </c>
      <c r="H245" t="e">
        <f t="shared" si="42"/>
        <v>#N/A</v>
      </c>
      <c r="I245" t="e">
        <f t="shared" si="43"/>
        <v>#N/A</v>
      </c>
      <c r="J245" t="e">
        <f t="shared" si="44"/>
        <v>#N/A</v>
      </c>
      <c r="K245">
        <f t="shared" si="45"/>
        <v>2024</v>
      </c>
      <c r="L245">
        <f t="shared" si="46"/>
        <v>3.161</v>
      </c>
      <c r="M245" t="e">
        <f t="shared" si="47"/>
        <v>#N/A</v>
      </c>
      <c r="N245" t="e">
        <f t="shared" si="48"/>
        <v>#N/A</v>
      </c>
      <c r="O245">
        <f t="shared" si="49"/>
        <v>4.0002449999999996</v>
      </c>
      <c r="P245" t="str">
        <f>IF(OR($A245="",games!$H245=""),"",games!$H245)</f>
        <v>Yes</v>
      </c>
      <c r="Q245">
        <f t="shared" si="50"/>
        <v>4.0002449999999996</v>
      </c>
      <c r="T245">
        <f>IF(connections!$A245="","",IFERROR(INDEX(games!$B$2:$B$950,MATCH(connections!$A245,games!$A$2:$A$950,0)),""))</f>
        <v>2022</v>
      </c>
      <c r="U245">
        <f>IF(connections!$A245="","",IFERROR(INDEX(games!$B$2:$B$950,MATCH(connections!$B245,games!$A$2:$A$950,0)),""))</f>
        <v>2026</v>
      </c>
      <c r="V245">
        <f t="shared" si="51"/>
        <v>4</v>
      </c>
    </row>
    <row r="246" spans="1:22" x14ac:dyDescent="0.25">
      <c r="A246" t="str">
        <f>IF(games!$A246="","",games!$A246)</f>
        <v>Dungeon Crawl Stone Soup</v>
      </c>
      <c r="B246">
        <f>IF($A246="","",games!$B246)</f>
        <v>2006</v>
      </c>
      <c r="C246" t="str">
        <f>IF($A246="","",games!$C246)</f>
        <v>Traditional</v>
      </c>
      <c r="D246">
        <f>IF($A246="","",COUNTIF(connections!$A$2:$A$1460,$A246)+COUNTIF(connections!$B$2:$B$1460,$A246))</f>
        <v>11</v>
      </c>
      <c r="E246">
        <f t="shared" si="39"/>
        <v>4</v>
      </c>
      <c r="F246">
        <f t="shared" si="40"/>
        <v>8</v>
      </c>
      <c r="G246" t="e">
        <f t="shared" si="41"/>
        <v>#N/A</v>
      </c>
      <c r="H246" t="e">
        <f t="shared" si="42"/>
        <v>#N/A</v>
      </c>
      <c r="I246" t="e">
        <f t="shared" si="43"/>
        <v>#N/A</v>
      </c>
      <c r="J246" t="e">
        <f t="shared" si="44"/>
        <v>#N/A</v>
      </c>
      <c r="K246" t="e">
        <f t="shared" si="45"/>
        <v>#N/A</v>
      </c>
      <c r="L246" t="e">
        <f t="shared" si="46"/>
        <v>#N/A</v>
      </c>
      <c r="M246">
        <f t="shared" si="47"/>
        <v>2006</v>
      </c>
      <c r="N246">
        <f t="shared" si="48"/>
        <v>4.1840000000000002</v>
      </c>
      <c r="O246">
        <f t="shared" si="49"/>
        <v>11.000246000000001</v>
      </c>
      <c r="P246" t="str">
        <f>IF(OR($A246="",games!$H246=""),"",games!$H246)</f>
        <v>Yes</v>
      </c>
      <c r="Q246">
        <f t="shared" si="50"/>
        <v>11.000246000000001</v>
      </c>
      <c r="T246">
        <f>IF(connections!$A246="","",IFERROR(INDEX(games!$B$2:$B$950,MATCH(connections!$A246,games!$A$2:$A$950,0)),""))</f>
        <v>2018</v>
      </c>
      <c r="U246">
        <f>IF(connections!$A246="","",IFERROR(INDEX(games!$B$2:$B$950,MATCH(connections!$B246,games!$A$2:$A$950,0)),""))</f>
        <v>2025</v>
      </c>
      <c r="V246">
        <f t="shared" si="51"/>
        <v>7</v>
      </c>
    </row>
    <row r="247" spans="1:22" x14ac:dyDescent="0.25">
      <c r="A247" t="str">
        <f>IF(games!$A247="","",games!$A247)</f>
        <v>Dungeon Deathball</v>
      </c>
      <c r="B247">
        <f>IF($A247="","",games!$B247)</f>
        <v>2021</v>
      </c>
      <c r="C247" t="str">
        <f>IF($A247="","",games!$C247)</f>
        <v>Strategy</v>
      </c>
      <c r="D247">
        <f>IF($A247="","",COUNTIF(connections!$A$2:$A$1460,$A247)+COUNTIF(connections!$B$2:$B$1460,$A247))</f>
        <v>0</v>
      </c>
      <c r="E247">
        <f t="shared" si="39"/>
        <v>2</v>
      </c>
      <c r="F247">
        <f t="shared" si="40"/>
        <v>9</v>
      </c>
      <c r="G247" t="e">
        <f t="shared" si="41"/>
        <v>#N/A</v>
      </c>
      <c r="H247" t="e">
        <f t="shared" si="42"/>
        <v>#N/A</v>
      </c>
      <c r="I247">
        <f t="shared" si="43"/>
        <v>2021</v>
      </c>
      <c r="J247">
        <f t="shared" si="44"/>
        <v>2.2069999999999999</v>
      </c>
      <c r="K247" t="e">
        <f t="shared" si="45"/>
        <v>#N/A</v>
      </c>
      <c r="L247" t="e">
        <f t="shared" si="46"/>
        <v>#N/A</v>
      </c>
      <c r="M247" t="e">
        <f t="shared" si="47"/>
        <v>#N/A</v>
      </c>
      <c r="N247" t="e">
        <f t="shared" si="48"/>
        <v>#N/A</v>
      </c>
      <c r="O247">
        <f t="shared" si="49"/>
        <v>2.4699999999999999E-4</v>
      </c>
      <c r="P247" t="str">
        <f>IF(OR($A247="",games!$H247=""),"",games!$H247)</f>
        <v>Yes</v>
      </c>
      <c r="Q247">
        <f t="shared" si="50"/>
        <v>2.4699999999999999E-4</v>
      </c>
      <c r="T247">
        <f>IF(connections!$A247="","",IFERROR(INDEX(games!$B$2:$B$950,MATCH(connections!$A247,games!$A$2:$A$950,0)),""))</f>
        <v>2018</v>
      </c>
      <c r="U247">
        <f>IF(connections!$A247="","",IFERROR(INDEX(games!$B$2:$B$950,MATCH(connections!$B247,games!$A$2:$A$950,0)),""))</f>
        <v>2025</v>
      </c>
      <c r="V247">
        <f t="shared" si="51"/>
        <v>7</v>
      </c>
    </row>
    <row r="248" spans="1:22" x14ac:dyDescent="0.25">
      <c r="A248" t="str">
        <f>IF(games!$A248="","",games!$A248)</f>
        <v>Dungeon Drafters</v>
      </c>
      <c r="B248">
        <f>IF($A248="","",games!$B248)</f>
        <v>2023</v>
      </c>
      <c r="C248" t="str">
        <f>IF($A248="","",games!$C248)</f>
        <v>Traditional</v>
      </c>
      <c r="D248">
        <f>IF($A248="","",COUNTIF(connections!$A$2:$A$1460,$A248)+COUNTIF(connections!$B$2:$B$1460,$A248))</f>
        <v>4</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2023</v>
      </c>
      <c r="N248">
        <f t="shared" si="48"/>
        <v>4.2300000000000004</v>
      </c>
      <c r="O248">
        <f t="shared" si="49"/>
        <v>4.000248</v>
      </c>
      <c r="P248" t="str">
        <f>IF(OR($A248="",games!$H248=""),"",games!$H248)</f>
        <v>Yes</v>
      </c>
      <c r="Q248">
        <f t="shared" si="50"/>
        <v>4.000248</v>
      </c>
      <c r="T248">
        <f>IF(connections!$A248="","",IFERROR(INDEX(games!$B$2:$B$950,MATCH(connections!$A248,games!$A$2:$A$950,0)),""))</f>
        <v>2018</v>
      </c>
      <c r="U248">
        <f>IF(connections!$A248="","",IFERROR(INDEX(games!$B$2:$B$950,MATCH(connections!$B248,games!$A$2:$A$950,0)),""))</f>
        <v>2025</v>
      </c>
      <c r="V248">
        <f t="shared" si="51"/>
        <v>7</v>
      </c>
    </row>
    <row r="249" spans="1:22" x14ac:dyDescent="0.25">
      <c r="A249" t="str">
        <f>IF(games!$A249="","",games!$A249)</f>
        <v>Dungeon Hack</v>
      </c>
      <c r="B249">
        <f>IF($A249="","",games!$B249)</f>
        <v>1993</v>
      </c>
      <c r="C249" t="str">
        <f>IF($A249="","",games!$C249)</f>
        <v>Action</v>
      </c>
      <c r="D249">
        <f>IF($A249="","",COUNTIF(connections!$A$2:$A$1460,$A249)+COUNTIF(connections!$B$2:$B$1460,$A249))</f>
        <v>0</v>
      </c>
      <c r="E249">
        <f t="shared" si="39"/>
        <v>1</v>
      </c>
      <c r="F249">
        <f t="shared" si="40"/>
        <v>11</v>
      </c>
      <c r="G249">
        <f t="shared" si="41"/>
        <v>1993</v>
      </c>
      <c r="H249">
        <f t="shared" si="42"/>
        <v>1.2530000000000001</v>
      </c>
      <c r="I249" t="e">
        <f t="shared" si="43"/>
        <v>#N/A</v>
      </c>
      <c r="J249" t="e">
        <f t="shared" si="44"/>
        <v>#N/A</v>
      </c>
      <c r="K249" t="e">
        <f t="shared" si="45"/>
        <v>#N/A</v>
      </c>
      <c r="L249" t="e">
        <f t="shared" si="46"/>
        <v>#N/A</v>
      </c>
      <c r="M249" t="e">
        <f t="shared" si="47"/>
        <v>#N/A</v>
      </c>
      <c r="N249" t="e">
        <f t="shared" si="48"/>
        <v>#N/A</v>
      </c>
      <c r="O249">
        <f t="shared" si="49"/>
        <v>2.4899999999999998E-4</v>
      </c>
      <c r="P249" t="str">
        <f>IF(OR($A249="",games!$H249=""),"",games!$H249)</f>
        <v/>
      </c>
      <c r="Q249" t="str">
        <f t="shared" si="50"/>
        <v/>
      </c>
      <c r="T249">
        <f>IF(connections!$A249="","",IFERROR(INDEX(games!$B$2:$B$950,MATCH(connections!$A249,games!$A$2:$A$950,0)),""))</f>
        <v>2018</v>
      </c>
      <c r="U249">
        <f>IF(connections!$A249="","",IFERROR(INDEX(games!$B$2:$B$950,MATCH(connections!$B249,games!$A$2:$A$950,0)),""))</f>
        <v>2022</v>
      </c>
      <c r="V249">
        <f t="shared" si="51"/>
        <v>4</v>
      </c>
    </row>
    <row r="250" spans="1:22" x14ac:dyDescent="0.25">
      <c r="A250" t="str">
        <f>IF(games!$A250="","",games!$A250)</f>
        <v>Dungeon of Windaria</v>
      </c>
      <c r="B250">
        <f>IF($A250="","",games!$B250)</f>
        <v>2008</v>
      </c>
      <c r="C250" t="str">
        <f>IF($A250="","",games!$C250)</f>
        <v>Traditional</v>
      </c>
      <c r="D250">
        <f>IF($A250="","",COUNTIF(connections!$A$2:$A$1460,$A250)+COUNTIF(connections!$B$2:$B$1460,$A250))</f>
        <v>1</v>
      </c>
      <c r="E250">
        <f t="shared" si="39"/>
        <v>4</v>
      </c>
      <c r="F250">
        <f t="shared" si="40"/>
        <v>12</v>
      </c>
      <c r="G250" t="e">
        <f t="shared" si="41"/>
        <v>#N/A</v>
      </c>
      <c r="H250" t="e">
        <f t="shared" si="42"/>
        <v>#N/A</v>
      </c>
      <c r="I250" t="e">
        <f t="shared" si="43"/>
        <v>#N/A</v>
      </c>
      <c r="J250" t="e">
        <f t="shared" si="44"/>
        <v>#N/A</v>
      </c>
      <c r="K250" t="e">
        <f t="shared" si="45"/>
        <v>#N/A</v>
      </c>
      <c r="L250" t="e">
        <f t="shared" si="46"/>
        <v>#N/A</v>
      </c>
      <c r="M250">
        <f t="shared" si="47"/>
        <v>2008</v>
      </c>
      <c r="N250">
        <f t="shared" si="48"/>
        <v>4.2759999999999998</v>
      </c>
      <c r="O250">
        <f t="shared" si="49"/>
        <v>1.0002500000000001</v>
      </c>
      <c r="P250" t="str">
        <f>IF(OR($A250="",games!$H250=""),"",games!$H250)</f>
        <v>Yes</v>
      </c>
      <c r="Q250">
        <f t="shared" si="50"/>
        <v>1.0002500000000001</v>
      </c>
      <c r="T250">
        <f>IF(connections!$A250="","",IFERROR(INDEX(games!$B$2:$B$950,MATCH(connections!$A250,games!$A$2:$A$950,0)),""))</f>
        <v>2018</v>
      </c>
      <c r="U250">
        <f>IF(connections!$A250="","",IFERROR(INDEX(games!$B$2:$B$950,MATCH(connections!$B250,games!$A$2:$A$950,0)),""))</f>
        <v>2025</v>
      </c>
      <c r="V250">
        <f t="shared" si="51"/>
        <v>7</v>
      </c>
    </row>
    <row r="251" spans="1:22" x14ac:dyDescent="0.25">
      <c r="A251" t="str">
        <f>IF(games!$A251="","",games!$A251)</f>
        <v>Dungeon Rushers</v>
      </c>
      <c r="B251">
        <f>IF($A251="","",games!$B251)</f>
        <v>2016</v>
      </c>
      <c r="C251" t="str">
        <f>IF($A251="","",games!$C251)</f>
        <v>Strategy</v>
      </c>
      <c r="D251">
        <f>IF($A251="","",COUNTIF(connections!$A$2:$A$1460,$A251)+COUNTIF(connections!$B$2:$B$1460,$A251))</f>
        <v>1</v>
      </c>
      <c r="E251">
        <f t="shared" si="39"/>
        <v>2</v>
      </c>
      <c r="F251">
        <f t="shared" si="40"/>
        <v>13</v>
      </c>
      <c r="G251" t="e">
        <f t="shared" si="41"/>
        <v>#N/A</v>
      </c>
      <c r="H251" t="e">
        <f t="shared" si="42"/>
        <v>#N/A</v>
      </c>
      <c r="I251">
        <f t="shared" si="43"/>
        <v>2016</v>
      </c>
      <c r="J251">
        <f t="shared" si="44"/>
        <v>2.2989999999999999</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2018</v>
      </c>
      <c r="U251">
        <f>IF(connections!$A251="","",IFERROR(INDEX(games!$B$2:$B$950,MATCH(connections!$B251,games!$A$2:$A$950,0)),""))</f>
        <v>2023</v>
      </c>
      <c r="V251">
        <f t="shared" si="51"/>
        <v>5</v>
      </c>
    </row>
    <row r="252" spans="1:22" x14ac:dyDescent="0.25">
      <c r="A252" t="str">
        <f>IF(games!$A252="","",games!$A252)</f>
        <v>Dungeonmans</v>
      </c>
      <c r="B252">
        <f>IF($A252="","",games!$B252)</f>
        <v>2010</v>
      </c>
      <c r="C252" t="str">
        <f>IF($A252="","",games!$C252)</f>
        <v>Traditional</v>
      </c>
      <c r="D252">
        <f>IF($A252="","",COUNTIF(connections!$A$2:$A$1460,$A252)+COUNTIF(connections!$B$2:$B$1460,$A252))</f>
        <v>10</v>
      </c>
      <c r="E252">
        <f t="shared" si="39"/>
        <v>4</v>
      </c>
      <c r="F252">
        <f t="shared" si="40"/>
        <v>14</v>
      </c>
      <c r="G252" t="e">
        <f t="shared" si="41"/>
        <v>#N/A</v>
      </c>
      <c r="H252" t="e">
        <f t="shared" si="42"/>
        <v>#N/A</v>
      </c>
      <c r="I252" t="e">
        <f t="shared" si="43"/>
        <v>#N/A</v>
      </c>
      <c r="J252" t="e">
        <f t="shared" si="44"/>
        <v>#N/A</v>
      </c>
      <c r="K252" t="e">
        <f t="shared" si="45"/>
        <v>#N/A</v>
      </c>
      <c r="L252" t="e">
        <f t="shared" si="46"/>
        <v>#N/A</v>
      </c>
      <c r="M252">
        <f t="shared" si="47"/>
        <v>2010</v>
      </c>
      <c r="N252">
        <f t="shared" si="48"/>
        <v>4.3220000000000001</v>
      </c>
      <c r="O252">
        <f t="shared" si="49"/>
        <v>10.000252</v>
      </c>
      <c r="P252" t="str">
        <f>IF(OR($A252="",games!$H252=""),"",games!$H252)</f>
        <v>Yes</v>
      </c>
      <c r="Q252">
        <f t="shared" si="50"/>
        <v>10.000252</v>
      </c>
      <c r="T252">
        <f>IF(connections!$A252="","",IFERROR(INDEX(games!$B$2:$B$950,MATCH(connections!$A252,games!$A$2:$A$950,0)),""))</f>
        <v>2018</v>
      </c>
      <c r="U252">
        <f>IF(connections!$A252="","",IFERROR(INDEX(games!$B$2:$B$950,MATCH(connections!$B252,games!$A$2:$A$950,0)),""))</f>
        <v>2022</v>
      </c>
      <c r="V252">
        <f t="shared" si="51"/>
        <v>4</v>
      </c>
    </row>
    <row r="253" spans="1:22" x14ac:dyDescent="0.25">
      <c r="A253" t="str">
        <f>IF(games!$A253="","",games!$A253)</f>
        <v>Dungeons &amp; Degenerate Gamblers</v>
      </c>
      <c r="B253">
        <f>IF($A253="","",games!$B253)</f>
        <v>2024</v>
      </c>
      <c r="C253" t="str">
        <f>IF($A253="","",games!$C253)</f>
        <v>Deckbuilder</v>
      </c>
      <c r="D253">
        <f>IF($A253="","",COUNTIF(connections!$A$2:$A$1460,$A253)+COUNTIF(connections!$B$2:$B$1460,$A253))</f>
        <v>1</v>
      </c>
      <c r="E253">
        <f t="shared" si="39"/>
        <v>3</v>
      </c>
      <c r="F253">
        <f t="shared" si="40"/>
        <v>15</v>
      </c>
      <c r="G253" t="e">
        <f t="shared" si="41"/>
        <v>#N/A</v>
      </c>
      <c r="H253" t="e">
        <f t="shared" si="42"/>
        <v>#N/A</v>
      </c>
      <c r="I253" t="e">
        <f t="shared" si="43"/>
        <v>#N/A</v>
      </c>
      <c r="J253" t="e">
        <f t="shared" si="44"/>
        <v>#N/A</v>
      </c>
      <c r="K253">
        <f t="shared" si="45"/>
        <v>2024</v>
      </c>
      <c r="L253">
        <f t="shared" si="46"/>
        <v>3.3449999999999998</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2018</v>
      </c>
      <c r="U253">
        <f>IF(connections!$A253="","",IFERROR(INDEX(games!$B$2:$B$950,MATCH(connections!$B253,games!$A$2:$A$950,0)),""))</f>
        <v>2019</v>
      </c>
      <c r="V253">
        <f t="shared" si="51"/>
        <v>1</v>
      </c>
    </row>
    <row r="254" spans="1:22" x14ac:dyDescent="0.25">
      <c r="A254" t="str">
        <f>IF(games!$A254="","",games!$A254)</f>
        <v>Dungeons of Blood and Dream</v>
      </c>
      <c r="B254">
        <f>IF($A254="","",games!$B254)</f>
        <v>2024</v>
      </c>
      <c r="C254" t="str">
        <f>IF($A254="","",games!$C254)</f>
        <v>Action</v>
      </c>
      <c r="D254">
        <f>IF($A254="","",COUNTIF(connections!$A$2:$A$1460,$A254)+COUNTIF(connections!$B$2:$B$1460,$A254))</f>
        <v>1</v>
      </c>
      <c r="E254">
        <f t="shared" si="39"/>
        <v>1</v>
      </c>
      <c r="F254">
        <f t="shared" si="40"/>
        <v>16</v>
      </c>
      <c r="G254">
        <f t="shared" si="41"/>
        <v>2024</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2018</v>
      </c>
      <c r="U254">
        <f>IF(connections!$A254="","",IFERROR(INDEX(games!$B$2:$B$950,MATCH(connections!$B254,games!$A$2:$A$950,0)),""))</f>
        <v>2020</v>
      </c>
      <c r="V254">
        <f t="shared" si="51"/>
        <v>2</v>
      </c>
    </row>
    <row r="255" spans="1:22" x14ac:dyDescent="0.25">
      <c r="A255" t="str">
        <f>IF(games!$A255="","",games!$A255)</f>
        <v>Dungeons of Dredmor</v>
      </c>
      <c r="B255">
        <f>IF($A255="","",games!$B255)</f>
        <v>2011</v>
      </c>
      <c r="C255" t="str">
        <f>IF($A255="","",games!$C255)</f>
        <v>Traditional</v>
      </c>
      <c r="D255">
        <f>IF($A255="","",COUNTIF(connections!$A$2:$A$1460,$A255)+COUNTIF(connections!$B$2:$B$1460,$A255))</f>
        <v>5</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2011</v>
      </c>
      <c r="N255">
        <f t="shared" si="48"/>
        <v>4.391</v>
      </c>
      <c r="O255">
        <f t="shared" si="49"/>
        <v>5.0002550000000001</v>
      </c>
      <c r="P255" t="str">
        <f>IF(OR($A255="",games!$H255=""),"",games!$H255)</f>
        <v>Yes</v>
      </c>
      <c r="Q255">
        <f t="shared" si="50"/>
        <v>5.0002550000000001</v>
      </c>
      <c r="T255">
        <f>IF(connections!$A255="","",IFERROR(INDEX(games!$B$2:$B$950,MATCH(connections!$A255,games!$A$2:$A$950,0)),""))</f>
        <v>2018</v>
      </c>
      <c r="U255">
        <f>IF(connections!$A255="","",IFERROR(INDEX(games!$B$2:$B$950,MATCH(connections!$B255,games!$A$2:$A$950,0)),""))</f>
        <v>2025</v>
      </c>
      <c r="V255">
        <f t="shared" si="51"/>
        <v>7</v>
      </c>
    </row>
    <row r="256" spans="1:22" x14ac:dyDescent="0.25">
      <c r="A256" t="str">
        <f>IF(games!$A256="","",games!$A256)</f>
        <v>Dungreed</v>
      </c>
      <c r="B256">
        <f>IF($A256="","",games!$B256)</f>
        <v>2018</v>
      </c>
      <c r="C256" t="str">
        <f>IF($A256="","",games!$C256)</f>
        <v>Action</v>
      </c>
      <c r="D256">
        <f>IF($A256="","",COUNTIF(connections!$A$2:$A$1460,$A256)+COUNTIF(connections!$B$2:$B$1460,$A256))</f>
        <v>2</v>
      </c>
      <c r="E256">
        <f t="shared" si="39"/>
        <v>1</v>
      </c>
      <c r="F256">
        <f t="shared" si="40"/>
        <v>18</v>
      </c>
      <c r="G256">
        <f t="shared" si="41"/>
        <v>2018</v>
      </c>
      <c r="H256">
        <f t="shared" si="42"/>
        <v>1.4139999999999999</v>
      </c>
      <c r="I256" t="e">
        <f t="shared" si="43"/>
        <v>#N/A</v>
      </c>
      <c r="J256" t="e">
        <f t="shared" si="44"/>
        <v>#N/A</v>
      </c>
      <c r="K256" t="e">
        <f t="shared" si="45"/>
        <v>#N/A</v>
      </c>
      <c r="L256" t="e">
        <f t="shared" si="46"/>
        <v>#N/A</v>
      </c>
      <c r="M256" t="e">
        <f t="shared" si="47"/>
        <v>#N/A</v>
      </c>
      <c r="N256" t="e">
        <f t="shared" si="48"/>
        <v>#N/A</v>
      </c>
      <c r="O256">
        <f t="shared" si="49"/>
        <v>2.0002559999999998</v>
      </c>
      <c r="P256" t="str">
        <f>IF(OR($A256="",games!$H256=""),"",games!$H256)</f>
        <v>Yes</v>
      </c>
      <c r="Q256">
        <f t="shared" si="50"/>
        <v>2.0002559999999998</v>
      </c>
      <c r="T256">
        <f>IF(connections!$A256="","",IFERROR(INDEX(games!$B$2:$B$950,MATCH(connections!$A256,games!$A$2:$A$950,0)),""))</f>
        <v>2018</v>
      </c>
      <c r="U256">
        <f>IF(connections!$A256="","",IFERROR(INDEX(games!$B$2:$B$950,MATCH(connections!$B256,games!$A$2:$A$950,0)),""))</f>
        <v>2022</v>
      </c>
      <c r="V256">
        <f t="shared" si="51"/>
        <v>4</v>
      </c>
    </row>
    <row r="257" spans="1:22" x14ac:dyDescent="0.25">
      <c r="A257" t="str">
        <f>IF(games!$A257="","",games!$A257)</f>
        <v>Dunjungle</v>
      </c>
      <c r="B257">
        <f>IF($A257="","",games!$B257)</f>
        <v>2025</v>
      </c>
      <c r="C257" t="str">
        <f>IF($A257="","",games!$C257)</f>
        <v>Action</v>
      </c>
      <c r="D257">
        <f>IF($A257="","",COUNTIF(connections!$A$2:$A$1460,$A257)+COUNTIF(connections!$B$2:$B$1460,$A257))</f>
        <v>4</v>
      </c>
      <c r="E257">
        <f t="shared" si="39"/>
        <v>1</v>
      </c>
      <c r="F257">
        <f t="shared" si="40"/>
        <v>19</v>
      </c>
      <c r="G257">
        <f t="shared" si="41"/>
        <v>2025</v>
      </c>
      <c r="H257">
        <f t="shared" si="42"/>
        <v>1.4370000000000001</v>
      </c>
      <c r="I257" t="e">
        <f t="shared" si="43"/>
        <v>#N/A</v>
      </c>
      <c r="J257" t="e">
        <f t="shared" si="44"/>
        <v>#N/A</v>
      </c>
      <c r="K257" t="e">
        <f t="shared" si="45"/>
        <v>#N/A</v>
      </c>
      <c r="L257" t="e">
        <f t="shared" si="46"/>
        <v>#N/A</v>
      </c>
      <c r="M257" t="e">
        <f t="shared" si="47"/>
        <v>#N/A</v>
      </c>
      <c r="N257" t="e">
        <f t="shared" si="48"/>
        <v>#N/A</v>
      </c>
      <c r="O257">
        <f t="shared" si="49"/>
        <v>4.0002570000000004</v>
      </c>
      <c r="P257" t="str">
        <f>IF(OR($A257="",games!$H257=""),"",games!$H257)</f>
        <v/>
      </c>
      <c r="Q257" t="str">
        <f t="shared" si="50"/>
        <v/>
      </c>
      <c r="T257">
        <f>IF(connections!$A257="","",IFERROR(INDEX(games!$B$2:$B$950,MATCH(connections!$A257,games!$A$2:$A$950,0)),""))</f>
        <v>2018</v>
      </c>
      <c r="U257">
        <f>IF(connections!$A257="","",IFERROR(INDEX(games!$B$2:$B$950,MATCH(connections!$B257,games!$A$2:$A$950,0)),""))</f>
        <v>2020</v>
      </c>
      <c r="V257">
        <f t="shared" si="51"/>
        <v>2</v>
      </c>
    </row>
    <row r="258" spans="1:22" x14ac:dyDescent="0.25">
      <c r="A258" t="str">
        <f>IF(games!$A258="","",games!$A258)</f>
        <v>Dwarf Fortress</v>
      </c>
      <c r="B258">
        <f>IF($A258="","",games!$B258)</f>
        <v>2006</v>
      </c>
      <c r="C258" t="str">
        <f>IF($A258="","",games!$C258)</f>
        <v>Strategy</v>
      </c>
      <c r="D258">
        <f>IF($A258="","",COUNTIF(connections!$A$2:$A$1460,$A258)+COUNTIF(connections!$B$2:$B$1460,$A258))</f>
        <v>11</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2006</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11.000258000000001</v>
      </c>
      <c r="P258" t="str">
        <f>IF(OR($A258="",games!$H258=""),"",games!$H258)</f>
        <v>Yes</v>
      </c>
      <c r="Q258">
        <f t="shared" ref="Q258:Q321" si="63">IF(OR($A258="",$P258&lt;&gt;"Yes"),"",$D258+ROW()/1000000)</f>
        <v>11.000258000000001</v>
      </c>
      <c r="T258">
        <f>IF(connections!$A258="","",IFERROR(INDEX(games!$B$2:$B$950,MATCH(connections!$A258,games!$A$2:$A$950,0)),""))</f>
        <v>2018</v>
      </c>
      <c r="U258">
        <f>IF(connections!$A258="","",IFERROR(INDEX(games!$B$2:$B$950,MATCH(connections!$B258,games!$A$2:$A$950,0)),""))</f>
        <v>2024</v>
      </c>
      <c r="V258">
        <f t="shared" ref="V258:V321" si="64">IF(OR($T258="",$U258=""),"",$U258-$T258)</f>
        <v>6</v>
      </c>
    </row>
    <row r="259" spans="1:22" x14ac:dyDescent="0.25">
      <c r="A259" t="str">
        <f>IF(games!$A259="","",games!$A259)</f>
        <v>Dwarves: Glory, Death and Loot</v>
      </c>
      <c r="B259">
        <f>IF($A259="","",games!$B259)</f>
        <v>2023</v>
      </c>
      <c r="C259" t="str">
        <f>IF($A259="","",games!$C259)</f>
        <v>Strategy</v>
      </c>
      <c r="D259">
        <f>IF($A259="","",COUNTIF(connections!$A$2:$A$1460,$A259)+COUNTIF(connections!$B$2:$B$1460,$A259))</f>
        <v>1</v>
      </c>
      <c r="E259">
        <f t="shared" si="52"/>
        <v>2</v>
      </c>
      <c r="F259">
        <f t="shared" si="53"/>
        <v>21</v>
      </c>
      <c r="G259" t="e">
        <f t="shared" si="54"/>
        <v>#N/A</v>
      </c>
      <c r="H259" t="e">
        <f t="shared" si="55"/>
        <v>#N/A</v>
      </c>
      <c r="I259">
        <f t="shared" si="56"/>
        <v>2023</v>
      </c>
      <c r="J259">
        <f t="shared" si="57"/>
        <v>2.4830000000000001</v>
      </c>
      <c r="K259" t="e">
        <f t="shared" si="58"/>
        <v>#N/A</v>
      </c>
      <c r="L259" t="e">
        <f t="shared" si="59"/>
        <v>#N/A</v>
      </c>
      <c r="M259" t="e">
        <f t="shared" si="60"/>
        <v>#N/A</v>
      </c>
      <c r="N259" t="e">
        <f t="shared" si="61"/>
        <v>#N/A</v>
      </c>
      <c r="O259">
        <f t="shared" si="62"/>
        <v>1.000259</v>
      </c>
      <c r="P259" t="str">
        <f>IF(OR($A259="",games!$H259=""),"",games!$H259)</f>
        <v/>
      </c>
      <c r="Q259" t="str">
        <f t="shared" si="63"/>
        <v/>
      </c>
      <c r="T259">
        <f>IF(connections!$A259="","",IFERROR(INDEX(games!$B$2:$B$950,MATCH(connections!$A259,games!$A$2:$A$950,0)),""))</f>
        <v>2018</v>
      </c>
      <c r="U259">
        <f>IF(connections!$A259="","",IFERROR(INDEX(games!$B$2:$B$950,MATCH(connections!$B259,games!$A$2:$A$950,0)),""))</f>
        <v>2019</v>
      </c>
      <c r="V259">
        <f t="shared" si="64"/>
        <v>1</v>
      </c>
    </row>
    <row r="260" spans="1:22" x14ac:dyDescent="0.25">
      <c r="A260" t="str">
        <f>IF(games!$A260="","",games!$A260)</f>
        <v>Elden Ring Nightreign</v>
      </c>
      <c r="B260">
        <f>IF($A260="","",games!$B260)</f>
        <v>2025</v>
      </c>
      <c r="C260" t="str">
        <f>IF($A260="","",games!$C260)</f>
        <v>Action</v>
      </c>
      <c r="D260">
        <f>IF($A260="","",COUNTIF(connections!$A$2:$A$1460,$A260)+COUNTIF(connections!$B$2:$B$1460,$A260))</f>
        <v>1</v>
      </c>
      <c r="E260">
        <f t="shared" si="52"/>
        <v>1</v>
      </c>
      <c r="F260">
        <f t="shared" si="53"/>
        <v>22</v>
      </c>
      <c r="G260">
        <f t="shared" si="54"/>
        <v>2025</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2018</v>
      </c>
      <c r="U260">
        <f>IF(connections!$A260="","",IFERROR(INDEX(games!$B$2:$B$950,MATCH(connections!$B260,games!$A$2:$A$950,0)),""))</f>
        <v>2025</v>
      </c>
      <c r="V260">
        <f t="shared" si="64"/>
        <v>7</v>
      </c>
    </row>
    <row r="261" spans="1:22" x14ac:dyDescent="0.25">
      <c r="A261" t="str">
        <f>IF(games!$A261="","",games!$A261)</f>
        <v>Eldritch</v>
      </c>
      <c r="B261">
        <f>IF($A261="","",games!$B261)</f>
        <v>2013</v>
      </c>
      <c r="C261" t="str">
        <f>IF($A261="","",games!$C261)</f>
        <v>Action</v>
      </c>
      <c r="D261">
        <f>IF($A261="","",COUNTIF(connections!$A$2:$A$1460,$A261)+COUNTIF(connections!$B$2:$B$1460,$A261))</f>
        <v>1</v>
      </c>
      <c r="E261">
        <f t="shared" si="52"/>
        <v>1</v>
      </c>
      <c r="F261">
        <f t="shared" si="53"/>
        <v>23</v>
      </c>
      <c r="G261">
        <f t="shared" si="54"/>
        <v>2013</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2018</v>
      </c>
      <c r="U261">
        <f>IF(connections!$A261="","",IFERROR(INDEX(games!$B$2:$B$950,MATCH(connections!$B261,games!$A$2:$A$950,0)),""))</f>
        <v>2020</v>
      </c>
      <c r="V261">
        <f t="shared" si="64"/>
        <v>2</v>
      </c>
    </row>
    <row r="262" spans="1:22" x14ac:dyDescent="0.25">
      <c r="A262" t="str">
        <f>IF(games!$A262="","",games!$A262)</f>
        <v>Elemental Survivors</v>
      </c>
      <c r="B262">
        <f>IF($A262="","",games!$B262)</f>
        <v>2023</v>
      </c>
      <c r="C262" t="str">
        <f>IF($A262="","",games!$C262)</f>
        <v>Action</v>
      </c>
      <c r="D262">
        <f>IF($A262="","",COUNTIF(connections!$A$2:$A$1460,$A262)+COUNTIF(connections!$B$2:$B$1460,$A262))</f>
        <v>1</v>
      </c>
      <c r="E262">
        <f t="shared" si="52"/>
        <v>1</v>
      </c>
      <c r="F262">
        <f t="shared" si="53"/>
        <v>24</v>
      </c>
      <c r="G262">
        <f t="shared" si="54"/>
        <v>2023</v>
      </c>
      <c r="H262">
        <f t="shared" si="55"/>
        <v>1.552</v>
      </c>
      <c r="I262" t="e">
        <f t="shared" si="56"/>
        <v>#N/A</v>
      </c>
      <c r="J262" t="e">
        <f t="shared" si="57"/>
        <v>#N/A</v>
      </c>
      <c r="K262" t="e">
        <f t="shared" si="58"/>
        <v>#N/A</v>
      </c>
      <c r="L262" t="e">
        <f t="shared" si="59"/>
        <v>#N/A</v>
      </c>
      <c r="M262" t="e">
        <f t="shared" si="60"/>
        <v>#N/A</v>
      </c>
      <c r="N262" t="e">
        <f t="shared" si="61"/>
        <v>#N/A</v>
      </c>
      <c r="O262">
        <f t="shared" si="62"/>
        <v>1.000262</v>
      </c>
      <c r="P262" t="str">
        <f>IF(OR($A262="",games!$H262=""),"",games!$H262)</f>
        <v>Yes</v>
      </c>
      <c r="Q262">
        <f t="shared" si="63"/>
        <v>1.000262</v>
      </c>
      <c r="T262">
        <f>IF(connections!$A262="","",IFERROR(INDEX(games!$B$2:$B$950,MATCH(connections!$A262,games!$A$2:$A$950,0)),""))</f>
        <v>2018</v>
      </c>
      <c r="U262">
        <f>IF(connections!$A262="","",IFERROR(INDEX(games!$B$2:$B$950,MATCH(connections!$B262,games!$A$2:$A$950,0)),""))</f>
        <v>2019</v>
      </c>
      <c r="V262">
        <f t="shared" si="64"/>
        <v>1</v>
      </c>
    </row>
    <row r="263" spans="1:22" x14ac:dyDescent="0.25">
      <c r="A263" t="str">
        <f>IF(games!$A263="","",games!$A263)</f>
        <v>Elewar: Fused Survivors</v>
      </c>
      <c r="B263">
        <f>IF($A263="","",games!$B263)</f>
        <v>2023</v>
      </c>
      <c r="C263" t="str">
        <f>IF($A263="","",games!$C263)</f>
        <v>Action</v>
      </c>
      <c r="D263">
        <f>IF($A263="","",COUNTIF(connections!$A$2:$A$1460,$A263)+COUNTIF(connections!$B$2:$B$1460,$A263))</f>
        <v>1</v>
      </c>
      <c r="E263">
        <f t="shared" si="52"/>
        <v>1</v>
      </c>
      <c r="F263">
        <f t="shared" si="53"/>
        <v>25</v>
      </c>
      <c r="G263">
        <f t="shared" si="54"/>
        <v>2023</v>
      </c>
      <c r="H263">
        <f t="shared" si="55"/>
        <v>1.575</v>
      </c>
      <c r="I263" t="e">
        <f t="shared" si="56"/>
        <v>#N/A</v>
      </c>
      <c r="J263" t="e">
        <f t="shared" si="57"/>
        <v>#N/A</v>
      </c>
      <c r="K263" t="e">
        <f t="shared" si="58"/>
        <v>#N/A</v>
      </c>
      <c r="L263" t="e">
        <f t="shared" si="59"/>
        <v>#N/A</v>
      </c>
      <c r="M263" t="e">
        <f t="shared" si="60"/>
        <v>#N/A</v>
      </c>
      <c r="N263" t="e">
        <f t="shared" si="61"/>
        <v>#N/A</v>
      </c>
      <c r="O263">
        <f t="shared" si="62"/>
        <v>1.0002629999999999</v>
      </c>
      <c r="P263" t="str">
        <f>IF(OR($A263="",games!$H263=""),"",games!$H263)</f>
        <v>Yes</v>
      </c>
      <c r="Q263">
        <f t="shared" si="63"/>
        <v>1.0002629999999999</v>
      </c>
      <c r="T263">
        <f>IF(connections!$A263="","",IFERROR(INDEX(games!$B$2:$B$950,MATCH(connections!$A263,games!$A$2:$A$950,0)),""))</f>
        <v>2018</v>
      </c>
      <c r="U263">
        <f>IF(connections!$A263="","",IFERROR(INDEX(games!$B$2:$B$950,MATCH(connections!$B263,games!$A$2:$A$950,0)),""))</f>
        <v>2023</v>
      </c>
      <c r="V263">
        <f t="shared" si="64"/>
        <v>5</v>
      </c>
    </row>
    <row r="264" spans="1:22" x14ac:dyDescent="0.25">
      <c r="A264" t="str">
        <f>IF(games!$A264="","",games!$A264)</f>
        <v>Elin</v>
      </c>
      <c r="B264">
        <f>IF($A264="","",games!$B264)</f>
        <v>2024</v>
      </c>
      <c r="C264" t="str">
        <f>IF($A264="","",games!$C264)</f>
        <v>Traditional</v>
      </c>
      <c r="D264">
        <f>IF($A264="","",COUNTIF(connections!$A$2:$A$1460,$A264)+COUNTIF(connections!$B$2:$B$1460,$A264))</f>
        <v>1</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2024</v>
      </c>
      <c r="N264">
        <f t="shared" si="61"/>
        <v>4.5979999999999999</v>
      </c>
      <c r="O264">
        <f t="shared" si="62"/>
        <v>1.000264</v>
      </c>
      <c r="P264" t="str">
        <f>IF(OR($A264="",games!$H264=""),"",games!$H264)</f>
        <v/>
      </c>
      <c r="Q264" t="str">
        <f t="shared" si="63"/>
        <v/>
      </c>
      <c r="T264">
        <f>IF(connections!$A264="","",IFERROR(INDEX(games!$B$2:$B$950,MATCH(connections!$A264,games!$A$2:$A$950,0)),""))</f>
        <v>2018</v>
      </c>
      <c r="U264">
        <f>IF(connections!$A264="","",IFERROR(INDEX(games!$B$2:$B$950,MATCH(connections!$B264,games!$A$2:$A$950,0)),""))</f>
        <v>2025</v>
      </c>
      <c r="V264">
        <f t="shared" si="64"/>
        <v>7</v>
      </c>
    </row>
    <row r="265" spans="1:22" x14ac:dyDescent="0.25">
      <c r="A265" t="str">
        <f>IF(games!$A265="","",games!$A265)</f>
        <v>Elona</v>
      </c>
      <c r="B265">
        <f>IF($A265="","",games!$B265)</f>
        <v>2008</v>
      </c>
      <c r="C265" t="str">
        <f>IF($A265="","",games!$C265)</f>
        <v>Traditional</v>
      </c>
      <c r="D265">
        <f>IF($A265="","",COUNTIF(connections!$A$2:$A$1460,$A265)+COUNTIF(connections!$B$2:$B$1460,$A265))</f>
        <v>5</v>
      </c>
      <c r="E265">
        <f t="shared" si="52"/>
        <v>4</v>
      </c>
      <c r="F265">
        <f t="shared" si="53"/>
        <v>27</v>
      </c>
      <c r="G265" t="e">
        <f t="shared" si="54"/>
        <v>#N/A</v>
      </c>
      <c r="H265" t="e">
        <f t="shared" si="55"/>
        <v>#N/A</v>
      </c>
      <c r="I265" t="e">
        <f t="shared" si="56"/>
        <v>#N/A</v>
      </c>
      <c r="J265" t="e">
        <f t="shared" si="57"/>
        <v>#N/A</v>
      </c>
      <c r="K265" t="e">
        <f t="shared" si="58"/>
        <v>#N/A</v>
      </c>
      <c r="L265" t="e">
        <f t="shared" si="59"/>
        <v>#N/A</v>
      </c>
      <c r="M265">
        <f t="shared" si="60"/>
        <v>2008</v>
      </c>
      <c r="N265">
        <f t="shared" si="61"/>
        <v>4.6210000000000004</v>
      </c>
      <c r="O265">
        <f t="shared" si="62"/>
        <v>5.0002649999999997</v>
      </c>
      <c r="P265" t="str">
        <f>IF(OR($A265="",games!$H265=""),"",games!$H265)</f>
        <v/>
      </c>
      <c r="Q265" t="str">
        <f t="shared" si="63"/>
        <v/>
      </c>
      <c r="T265">
        <f>IF(connections!$A265="","",IFERROR(INDEX(games!$B$2:$B$950,MATCH(connections!$A265,games!$A$2:$A$950,0)),""))</f>
        <v>2018</v>
      </c>
      <c r="U265">
        <f>IF(connections!$A265="","",IFERROR(INDEX(games!$B$2:$B$950,MATCH(connections!$B265,games!$A$2:$A$950,0)),""))</f>
        <v>2020</v>
      </c>
      <c r="V265">
        <f t="shared" si="64"/>
        <v>2</v>
      </c>
    </row>
    <row r="266" spans="1:22" x14ac:dyDescent="0.25">
      <c r="A266" t="str">
        <f>IF(games!$A266="","",games!$A266)</f>
        <v>Ember Knights</v>
      </c>
      <c r="B266">
        <f>IF($A266="","",games!$B266)</f>
        <v>2022</v>
      </c>
      <c r="C266" t="str">
        <f>IF($A266="","",games!$C266)</f>
        <v>Action</v>
      </c>
      <c r="D266">
        <f>IF($A266="","",COUNTIF(connections!$A$2:$A$1460,$A266)+COUNTIF(connections!$B$2:$B$1460,$A266))</f>
        <v>5</v>
      </c>
      <c r="E266">
        <f t="shared" si="52"/>
        <v>1</v>
      </c>
      <c r="F266">
        <f t="shared" si="53"/>
        <v>28</v>
      </c>
      <c r="G266">
        <f t="shared" si="54"/>
        <v>2022</v>
      </c>
      <c r="H266">
        <f t="shared" si="55"/>
        <v>1.6440000000000001</v>
      </c>
      <c r="I266" t="e">
        <f t="shared" si="56"/>
        <v>#N/A</v>
      </c>
      <c r="J266" t="e">
        <f t="shared" si="57"/>
        <v>#N/A</v>
      </c>
      <c r="K266" t="e">
        <f t="shared" si="58"/>
        <v>#N/A</v>
      </c>
      <c r="L266" t="e">
        <f t="shared" si="59"/>
        <v>#N/A</v>
      </c>
      <c r="M266" t="e">
        <f t="shared" si="60"/>
        <v>#N/A</v>
      </c>
      <c r="N266" t="e">
        <f t="shared" si="61"/>
        <v>#N/A</v>
      </c>
      <c r="O266">
        <f t="shared" si="62"/>
        <v>5.0002659999999999</v>
      </c>
      <c r="P266" t="str">
        <f>IF(OR($A266="",games!$H266=""),"",games!$H266)</f>
        <v>Yes</v>
      </c>
      <c r="Q266">
        <f t="shared" si="63"/>
        <v>5.0002659999999999</v>
      </c>
      <c r="T266">
        <f>IF(connections!$A266="","",IFERROR(INDEX(games!$B$2:$B$950,MATCH(connections!$A266,games!$A$2:$A$950,0)),""))</f>
        <v>2018</v>
      </c>
      <c r="U266">
        <f>IF(connections!$A266="","",IFERROR(INDEX(games!$B$2:$B$950,MATCH(connections!$B266,games!$A$2:$A$950,0)),""))</f>
        <v>2020</v>
      </c>
      <c r="V266">
        <f t="shared" si="64"/>
        <v>2</v>
      </c>
    </row>
    <row r="267" spans="1:22" x14ac:dyDescent="0.25">
      <c r="A267" t="str">
        <f>IF(games!$A267="","",games!$A267)</f>
        <v>Emberward</v>
      </c>
      <c r="B267">
        <f>IF($A267="","",games!$B267)</f>
        <v>2024</v>
      </c>
      <c r="C267" t="str">
        <f>IF($A267="","",games!$C267)</f>
        <v>Strategy</v>
      </c>
      <c r="D267">
        <f>IF($A267="","",COUNTIF(connections!$A$2:$A$1460,$A267)+COUNTIF(connections!$B$2:$B$1460,$A267))</f>
        <v>1</v>
      </c>
      <c r="E267">
        <f t="shared" si="52"/>
        <v>2</v>
      </c>
      <c r="F267">
        <f t="shared" si="53"/>
        <v>29</v>
      </c>
      <c r="G267" t="e">
        <f t="shared" si="54"/>
        <v>#N/A</v>
      </c>
      <c r="H267" t="e">
        <f t="shared" si="55"/>
        <v>#N/A</v>
      </c>
      <c r="I267">
        <f t="shared" si="56"/>
        <v>2024</v>
      </c>
      <c r="J267">
        <f t="shared" si="57"/>
        <v>2.6669999999999998</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2018</v>
      </c>
      <c r="U267">
        <f>IF(connections!$A267="","",IFERROR(INDEX(games!$B$2:$B$950,MATCH(connections!$B267,games!$A$2:$A$950,0)),""))</f>
        <v>2019</v>
      </c>
      <c r="V267">
        <f t="shared" si="64"/>
        <v>1</v>
      </c>
    </row>
    <row r="268" spans="1:22" x14ac:dyDescent="0.25">
      <c r="A268" t="str">
        <f>IF(games!$A268="","",games!$A268)</f>
        <v>Endgame of Devil</v>
      </c>
      <c r="B268">
        <f>IF($A268="","",games!$B268)</f>
        <v>2023</v>
      </c>
      <c r="C268" t="str">
        <f>IF($A268="","",games!$C268)</f>
        <v>Deckbuilder</v>
      </c>
      <c r="D268">
        <f>IF($A268="","",COUNTIF(connections!$A$2:$A$1460,$A268)+COUNTIF(connections!$B$2:$B$1460,$A268))</f>
        <v>2</v>
      </c>
      <c r="E268">
        <f t="shared" si="52"/>
        <v>3</v>
      </c>
      <c r="F268">
        <f t="shared" si="53"/>
        <v>30</v>
      </c>
      <c r="G268" t="e">
        <f t="shared" si="54"/>
        <v>#N/A</v>
      </c>
      <c r="H268" t="e">
        <f t="shared" si="55"/>
        <v>#N/A</v>
      </c>
      <c r="I268" t="e">
        <f t="shared" si="56"/>
        <v>#N/A</v>
      </c>
      <c r="J268" t="e">
        <f t="shared" si="57"/>
        <v>#N/A</v>
      </c>
      <c r="K268">
        <f t="shared" si="58"/>
        <v>2023</v>
      </c>
      <c r="L268">
        <f t="shared" si="59"/>
        <v>3.69</v>
      </c>
      <c r="M268" t="e">
        <f t="shared" si="60"/>
        <v>#N/A</v>
      </c>
      <c r="N268" t="e">
        <f t="shared" si="61"/>
        <v>#N/A</v>
      </c>
      <c r="O268">
        <f t="shared" si="62"/>
        <v>2.0002680000000002</v>
      </c>
      <c r="P268" t="str">
        <f>IF(OR($A268="",games!$H268=""),"",games!$H268)</f>
        <v>Yes</v>
      </c>
      <c r="Q268">
        <f t="shared" si="63"/>
        <v>2.0002680000000002</v>
      </c>
      <c r="T268">
        <f>IF(connections!$A268="","",IFERROR(INDEX(games!$B$2:$B$950,MATCH(connections!$A268,games!$A$2:$A$950,0)),""))</f>
        <v>2018</v>
      </c>
      <c r="U268">
        <f>IF(connections!$A268="","",IFERROR(INDEX(games!$B$2:$B$950,MATCH(connections!$B268,games!$A$2:$A$950,0)),""))</f>
        <v>2020</v>
      </c>
      <c r="V268">
        <f t="shared" si="64"/>
        <v>2</v>
      </c>
    </row>
    <row r="269" spans="1:22" x14ac:dyDescent="0.25">
      <c r="A269" t="str">
        <f>IF(games!$A269="","",games!$A269)</f>
        <v>Endless Alice</v>
      </c>
      <c r="B269">
        <f>IF($A269="","",games!$B269)</f>
        <v>2025</v>
      </c>
      <c r="C269" t="str">
        <f>IF($A269="","",games!$C269)</f>
        <v>Action</v>
      </c>
      <c r="D269">
        <f>IF($A269="","",COUNTIF(connections!$A$2:$A$1460,$A269)+COUNTIF(connections!$B$2:$B$1460,$A269))</f>
        <v>1</v>
      </c>
      <c r="E269">
        <f t="shared" si="52"/>
        <v>1</v>
      </c>
      <c r="F269">
        <f t="shared" si="53"/>
        <v>31</v>
      </c>
      <c r="G269">
        <f t="shared" si="54"/>
        <v>2025</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IF(connections!$A269="","",IFERROR(INDEX(games!$B$2:$B$950,MATCH(connections!$A269,games!$A$2:$A$950,0)),""))</f>
        <v>2018</v>
      </c>
      <c r="U269">
        <f>IF(connections!$A269="","",IFERROR(INDEX(games!$B$2:$B$950,MATCH(connections!$B269,games!$A$2:$A$950,0)),""))</f>
        <v>2024</v>
      </c>
      <c r="V269">
        <f t="shared" si="64"/>
        <v>6</v>
      </c>
    </row>
    <row r="270" spans="1:22" x14ac:dyDescent="0.25">
      <c r="A270" t="str">
        <f>IF(games!$A270="","",games!$A270)</f>
        <v>Enter the Gungeon</v>
      </c>
      <c r="B270">
        <f>IF($A270="","",games!$B270)</f>
        <v>2016</v>
      </c>
      <c r="C270" t="str">
        <f>IF($A270="","",games!$C270)</f>
        <v>Action</v>
      </c>
      <c r="D270">
        <f>IF($A270="","",COUNTIF(connections!$A$2:$A$1460,$A270)+COUNTIF(connections!$B$2:$B$1460,$A270))</f>
        <v>34</v>
      </c>
      <c r="E270">
        <f t="shared" si="52"/>
        <v>1</v>
      </c>
      <c r="F270">
        <f t="shared" si="53"/>
        <v>32</v>
      </c>
      <c r="G270">
        <f t="shared" si="54"/>
        <v>2016</v>
      </c>
      <c r="H270">
        <f t="shared" si="55"/>
        <v>1.736</v>
      </c>
      <c r="I270" t="e">
        <f t="shared" si="56"/>
        <v>#N/A</v>
      </c>
      <c r="J270" t="e">
        <f t="shared" si="57"/>
        <v>#N/A</v>
      </c>
      <c r="K270" t="e">
        <f t="shared" si="58"/>
        <v>#N/A</v>
      </c>
      <c r="L270" t="e">
        <f t="shared" si="59"/>
        <v>#N/A</v>
      </c>
      <c r="M270" t="e">
        <f t="shared" si="60"/>
        <v>#N/A</v>
      </c>
      <c r="N270" t="e">
        <f t="shared" si="61"/>
        <v>#N/A</v>
      </c>
      <c r="O270">
        <f t="shared" si="62"/>
        <v>34.00027</v>
      </c>
      <c r="P270" t="str">
        <f>IF(OR($A270="",games!$H270=""),"",games!$H270)</f>
        <v>Yes</v>
      </c>
      <c r="Q270">
        <f t="shared" si="63"/>
        <v>34.00027</v>
      </c>
      <c r="T270">
        <f>IF(connections!$A270="","",IFERROR(INDEX(games!$B$2:$B$950,MATCH(connections!$A270,games!$A$2:$A$950,0)),""))</f>
        <v>2018</v>
      </c>
      <c r="U270">
        <f>IF(connections!$A270="","",IFERROR(INDEX(games!$B$2:$B$950,MATCH(connections!$B270,games!$A$2:$A$950,0)),""))</f>
        <v>2024</v>
      </c>
      <c r="V270">
        <f t="shared" si="64"/>
        <v>6</v>
      </c>
    </row>
    <row r="271" spans="1:22" x14ac:dyDescent="0.25">
      <c r="A271" t="str">
        <f>IF(games!$A271="","",games!$A271)</f>
        <v>Escape The Mad Empire</v>
      </c>
      <c r="B271">
        <f>IF($A271="","",games!$B271)</f>
        <v>2025</v>
      </c>
      <c r="C271" t="str">
        <f>IF($A271="","",games!$C271)</f>
        <v>Strategy</v>
      </c>
      <c r="D271">
        <f>IF($A271="","",COUNTIF(connections!$A$2:$A$1460,$A271)+COUNTIF(connections!$B$2:$B$1460,$A271))</f>
        <v>6</v>
      </c>
      <c r="E271">
        <f t="shared" si="52"/>
        <v>2</v>
      </c>
      <c r="F271">
        <f t="shared" si="53"/>
        <v>33</v>
      </c>
      <c r="G271" t="e">
        <f t="shared" si="54"/>
        <v>#N/A</v>
      </c>
      <c r="H271" t="e">
        <f t="shared" si="55"/>
        <v>#N/A</v>
      </c>
      <c r="I271">
        <f t="shared" si="56"/>
        <v>2025</v>
      </c>
      <c r="J271">
        <f t="shared" si="57"/>
        <v>2.7589999999999999</v>
      </c>
      <c r="K271" t="e">
        <f t="shared" si="58"/>
        <v>#N/A</v>
      </c>
      <c r="L271" t="e">
        <f t="shared" si="59"/>
        <v>#N/A</v>
      </c>
      <c r="M271" t="e">
        <f t="shared" si="60"/>
        <v>#N/A</v>
      </c>
      <c r="N271" t="e">
        <f t="shared" si="61"/>
        <v>#N/A</v>
      </c>
      <c r="O271">
        <f t="shared" si="62"/>
        <v>6.0002709999999997</v>
      </c>
      <c r="P271" t="str">
        <f>IF(OR($A271="",games!$H271=""),"",games!$H271)</f>
        <v/>
      </c>
      <c r="Q271" t="str">
        <f t="shared" si="63"/>
        <v/>
      </c>
      <c r="T271">
        <f>IF(connections!$A271="","",IFERROR(INDEX(games!$B$2:$B$950,MATCH(connections!$A271,games!$A$2:$A$950,0)),""))</f>
        <v>2018</v>
      </c>
      <c r="U271">
        <f>IF(connections!$A271="","",IFERROR(INDEX(games!$B$2:$B$950,MATCH(connections!$B271,games!$A$2:$A$950,0)),""))</f>
        <v>2025</v>
      </c>
      <c r="V271">
        <f t="shared" si="64"/>
        <v>7</v>
      </c>
    </row>
    <row r="272" spans="1:22" x14ac:dyDescent="0.25">
      <c r="A272" t="str">
        <f>IF(games!$A272="","",games!$A272)</f>
        <v>Eternal Quest</v>
      </c>
      <c r="B272">
        <f>IF($A272="","",games!$B272)</f>
        <v>2004</v>
      </c>
      <c r="C272" t="str">
        <f>IF($A272="","",games!$C272)</f>
        <v>Traditional</v>
      </c>
      <c r="D272">
        <f>IF($A272="","",COUNTIF(connections!$A$2:$A$1460,$A272)+COUNTIF(connections!$B$2:$B$1460,$A272))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2004</v>
      </c>
      <c r="N272">
        <f t="shared" si="61"/>
        <v>4</v>
      </c>
      <c r="O272">
        <f t="shared" si="62"/>
        <v>1.000272</v>
      </c>
      <c r="P272" t="str">
        <f>IF(OR($A272="",games!$H272=""),"",games!$H272)</f>
        <v>Yes</v>
      </c>
      <c r="Q272">
        <f t="shared" si="63"/>
        <v>1.000272</v>
      </c>
      <c r="T272">
        <f>IF(connections!$A272="","",IFERROR(INDEX(games!$B$2:$B$950,MATCH(connections!$A272,games!$A$2:$A$950,0)),""))</f>
        <v>2018</v>
      </c>
      <c r="U272">
        <f>IF(connections!$A272="","",IFERROR(INDEX(games!$B$2:$B$950,MATCH(connections!$B272,games!$A$2:$A$950,0)),""))</f>
        <v>2019</v>
      </c>
      <c r="V272">
        <f t="shared" si="64"/>
        <v>1</v>
      </c>
    </row>
    <row r="273" spans="1:22" x14ac:dyDescent="0.25">
      <c r="A273" t="str">
        <f>IF(games!$A273="","",games!$A273)</f>
        <v>Etrian Mystery Dungeon</v>
      </c>
      <c r="B273">
        <f>IF($A273="","",games!$B273)</f>
        <v>2015</v>
      </c>
      <c r="C273" t="str">
        <f>IF($A273="","",games!$C273)</f>
        <v>Traditional</v>
      </c>
      <c r="D273">
        <f>IF($A273="","",COUNTIF(connections!$A$2:$A$1460,$A273)+COUNTIF(connections!$B$2:$B$1460,$A273))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2015</v>
      </c>
      <c r="N273">
        <f t="shared" si="61"/>
        <v>4.0229999999999997</v>
      </c>
      <c r="O273">
        <f t="shared" si="62"/>
        <v>2.000273</v>
      </c>
      <c r="P273" t="str">
        <f>IF(OR($A273="",games!$H273=""),"",games!$H273)</f>
        <v/>
      </c>
      <c r="Q273" t="str">
        <f t="shared" si="63"/>
        <v/>
      </c>
      <c r="T273">
        <f>IF(connections!$A273="","",IFERROR(INDEX(games!$B$2:$B$950,MATCH(connections!$A273,games!$A$2:$A$950,0)),""))</f>
        <v>2018</v>
      </c>
      <c r="U273">
        <f>IF(connections!$A273="","",IFERROR(INDEX(games!$B$2:$B$950,MATCH(connections!$B273,games!$A$2:$A$950,0)),""))</f>
        <v>2024</v>
      </c>
      <c r="V273">
        <f t="shared" si="64"/>
        <v>6</v>
      </c>
    </row>
    <row r="274" spans="1:22" x14ac:dyDescent="0.25">
      <c r="A274" t="str">
        <f>IF(games!$A274="","",games!$A274)</f>
        <v>Etrian Mystery Dungeon 2</v>
      </c>
      <c r="B274">
        <f>IF($A274="","",games!$B274)</f>
        <v>2017</v>
      </c>
      <c r="C274" t="str">
        <f>IF($A274="","",games!$C274)</f>
        <v>Traditional</v>
      </c>
      <c r="D274">
        <f>IF($A274="","",COUNTIF(connections!$A$2:$A$1460,$A274)+COUNTIF(connections!$B$2:$B$1460,$A274))</f>
        <v>1</v>
      </c>
      <c r="E274">
        <f t="shared" si="52"/>
        <v>4</v>
      </c>
      <c r="F274">
        <f t="shared" si="53"/>
        <v>2</v>
      </c>
      <c r="G274" t="e">
        <f t="shared" si="54"/>
        <v>#N/A</v>
      </c>
      <c r="H274" t="e">
        <f t="shared" si="55"/>
        <v>#N/A</v>
      </c>
      <c r="I274" t="e">
        <f t="shared" si="56"/>
        <v>#N/A</v>
      </c>
      <c r="J274" t="e">
        <f t="shared" si="57"/>
        <v>#N/A</v>
      </c>
      <c r="K274" t="e">
        <f t="shared" si="58"/>
        <v>#N/A</v>
      </c>
      <c r="L274" t="e">
        <f t="shared" si="59"/>
        <v>#N/A</v>
      </c>
      <c r="M274">
        <f t="shared" si="60"/>
        <v>2017</v>
      </c>
      <c r="N274">
        <f t="shared" si="61"/>
        <v>4.0460000000000003</v>
      </c>
      <c r="O274">
        <f t="shared" si="62"/>
        <v>1.0002740000000001</v>
      </c>
      <c r="P274" t="str">
        <f>IF(OR($A274="",games!$H274=""),"",games!$H274)</f>
        <v/>
      </c>
      <c r="Q274" t="str">
        <f t="shared" si="63"/>
        <v/>
      </c>
      <c r="T274">
        <f>IF(connections!$A274="","",IFERROR(INDEX(games!$B$2:$B$950,MATCH(connections!$A274,games!$A$2:$A$950,0)),""))</f>
        <v>2023</v>
      </c>
      <c r="U274">
        <f>IF(connections!$A274="","",IFERROR(INDEX(games!$B$2:$B$950,MATCH(connections!$B274,games!$A$2:$A$950,0)),""))</f>
        <v>2024</v>
      </c>
      <c r="V274">
        <f t="shared" si="64"/>
        <v>1</v>
      </c>
    </row>
    <row r="275" spans="1:22" x14ac:dyDescent="0.25">
      <c r="A275" t="str">
        <f>IF(games!$A275="","",games!$A275)</f>
        <v>Everything is Crab</v>
      </c>
      <c r="B275">
        <f>IF($A275="","",games!$B275)</f>
        <v>2026</v>
      </c>
      <c r="C275" t="str">
        <f>IF($A275="","",games!$C275)</f>
        <v>Action</v>
      </c>
      <c r="D275">
        <f>IF($A275="","",COUNTIF(connections!$A$2:$A$1460,$A275)+COUNTIF(connections!$B$2:$B$1460,$A275))</f>
        <v>3</v>
      </c>
      <c r="E275">
        <f t="shared" si="52"/>
        <v>1</v>
      </c>
      <c r="F275">
        <f t="shared" si="53"/>
        <v>3</v>
      </c>
      <c r="G275">
        <f t="shared" si="54"/>
        <v>2026</v>
      </c>
      <c r="H275">
        <f t="shared" si="55"/>
        <v>1.069</v>
      </c>
      <c r="I275" t="e">
        <f t="shared" si="56"/>
        <v>#N/A</v>
      </c>
      <c r="J275" t="e">
        <f t="shared" si="57"/>
        <v>#N/A</v>
      </c>
      <c r="K275" t="e">
        <f t="shared" si="58"/>
        <v>#N/A</v>
      </c>
      <c r="L275" t="e">
        <f t="shared" si="59"/>
        <v>#N/A</v>
      </c>
      <c r="M275" t="e">
        <f t="shared" si="60"/>
        <v>#N/A</v>
      </c>
      <c r="N275" t="e">
        <f t="shared" si="61"/>
        <v>#N/A</v>
      </c>
      <c r="O275">
        <f t="shared" si="62"/>
        <v>3.0002749999999998</v>
      </c>
      <c r="P275" t="str">
        <f>IF(OR($A275="",games!$H275=""),"",games!$H275)</f>
        <v>Yes</v>
      </c>
      <c r="Q275">
        <f t="shared" si="63"/>
        <v>3.0002749999999998</v>
      </c>
      <c r="T275">
        <f>IF(connections!$A275="","",IFERROR(INDEX(games!$B$2:$B$950,MATCH(connections!$A275,games!$A$2:$A$950,0)),""))</f>
        <v>2023</v>
      </c>
      <c r="U275">
        <f>IF(connections!$A275="","",IFERROR(INDEX(games!$B$2:$B$950,MATCH(connections!$B275,games!$A$2:$A$950,0)),""))</f>
        <v>2026</v>
      </c>
      <c r="V275">
        <f t="shared" si="64"/>
        <v>3</v>
      </c>
    </row>
    <row r="276" spans="1:22" x14ac:dyDescent="0.25">
      <c r="A276" t="str">
        <f>IF(games!$A276="","",games!$A276)</f>
        <v>Evolings</v>
      </c>
      <c r="B276">
        <f>IF($A276="","",games!$B276)</f>
        <v>2023</v>
      </c>
      <c r="C276" t="str">
        <f>IF($A276="","",games!$C276)</f>
        <v>Action</v>
      </c>
      <c r="D276">
        <f>IF($A276="","",COUNTIF(connections!$A$2:$A$1460,$A276)+COUNTIF(connections!$B$2:$B$1460,$A276))</f>
        <v>0</v>
      </c>
      <c r="E276">
        <f t="shared" si="52"/>
        <v>1</v>
      </c>
      <c r="F276">
        <f t="shared" si="53"/>
        <v>4</v>
      </c>
      <c r="G276">
        <f t="shared" si="54"/>
        <v>2023</v>
      </c>
      <c r="H276">
        <f t="shared" si="55"/>
        <v>1.0920000000000001</v>
      </c>
      <c r="I276" t="e">
        <f t="shared" si="56"/>
        <v>#N/A</v>
      </c>
      <c r="J276" t="e">
        <f t="shared" si="57"/>
        <v>#N/A</v>
      </c>
      <c r="K276" t="e">
        <f t="shared" si="58"/>
        <v>#N/A</v>
      </c>
      <c r="L276" t="e">
        <f t="shared" si="59"/>
        <v>#N/A</v>
      </c>
      <c r="M276" t="e">
        <f t="shared" si="60"/>
        <v>#N/A</v>
      </c>
      <c r="N276" t="e">
        <f t="shared" si="61"/>
        <v>#N/A</v>
      </c>
      <c r="O276">
        <f t="shared" si="62"/>
        <v>2.7599999999999999E-4</v>
      </c>
      <c r="P276" t="str">
        <f>IF(OR($A276="",games!$H276=""),"",games!$H276)</f>
        <v>Yes</v>
      </c>
      <c r="Q276">
        <f t="shared" si="63"/>
        <v>2.7599999999999999E-4</v>
      </c>
      <c r="T276">
        <f>IF(connections!$A276="","",IFERROR(INDEX(games!$B$2:$B$950,MATCH(connections!$A276,games!$A$2:$A$950,0)),""))</f>
        <v>2023</v>
      </c>
      <c r="U276">
        <f>IF(connections!$A276="","",IFERROR(INDEX(games!$B$2:$B$950,MATCH(connections!$B276,games!$A$2:$A$950,0)),""))</f>
        <v>2025</v>
      </c>
      <c r="V276">
        <f t="shared" si="64"/>
        <v>2</v>
      </c>
    </row>
    <row r="277" spans="1:22" x14ac:dyDescent="0.25">
      <c r="A277" t="str">
        <f>IF(games!$A277="","",games!$A277)</f>
        <v>Exit the Gungeon</v>
      </c>
      <c r="B277">
        <f>IF($A277="","",games!$B277)</f>
        <v>2020</v>
      </c>
      <c r="C277" t="str">
        <f>IF($A277="","",games!$C277)</f>
        <v>Action</v>
      </c>
      <c r="D277">
        <f>IF($A277="","",COUNTIF(connections!$A$2:$A$1460,$A277)+COUNTIF(connections!$B$2:$B$1460,$A277))</f>
        <v>2</v>
      </c>
      <c r="E277">
        <f t="shared" si="52"/>
        <v>1</v>
      </c>
      <c r="F277">
        <f t="shared" si="53"/>
        <v>5</v>
      </c>
      <c r="G277">
        <f t="shared" si="54"/>
        <v>2020</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2023</v>
      </c>
      <c r="U277">
        <f>IF(connections!$A277="","",IFERROR(INDEX(games!$B$2:$B$950,MATCH(connections!$B277,games!$A$2:$A$950,0)),""))</f>
        <v>2025</v>
      </c>
      <c r="V277">
        <f t="shared" si="64"/>
        <v>2</v>
      </c>
    </row>
    <row r="278" spans="1:22" x14ac:dyDescent="0.25">
      <c r="A278" t="str">
        <f>IF(games!$A278="","",games!$A278)</f>
        <v>Facehand</v>
      </c>
      <c r="B278">
        <f>IF($A278="","",games!$B278)</f>
        <v>2024</v>
      </c>
      <c r="C278" t="str">
        <f>IF($A278="","",games!$C278)</f>
        <v>Deckbuilder</v>
      </c>
      <c r="D278">
        <f>IF($A278="","",COUNTIF(connections!$A$2:$A$1460,$A278)+COUNTIF(connections!$B$2:$B$1460,$A278))</f>
        <v>1</v>
      </c>
      <c r="E278">
        <f t="shared" si="52"/>
        <v>3</v>
      </c>
      <c r="F278">
        <f t="shared" si="53"/>
        <v>6</v>
      </c>
      <c r="G278" t="e">
        <f t="shared" si="54"/>
        <v>#N/A</v>
      </c>
      <c r="H278" t="e">
        <f t="shared" si="55"/>
        <v>#N/A</v>
      </c>
      <c r="I278" t="e">
        <f t="shared" si="56"/>
        <v>#N/A</v>
      </c>
      <c r="J278" t="e">
        <f t="shared" si="57"/>
        <v>#N/A</v>
      </c>
      <c r="K278">
        <f t="shared" si="58"/>
        <v>2024</v>
      </c>
      <c r="L278">
        <f t="shared" si="59"/>
        <v>3.1379999999999999</v>
      </c>
      <c r="M278" t="e">
        <f t="shared" si="60"/>
        <v>#N/A</v>
      </c>
      <c r="N278" t="e">
        <f t="shared" si="61"/>
        <v>#N/A</v>
      </c>
      <c r="O278">
        <f t="shared" si="62"/>
        <v>1.000278</v>
      </c>
      <c r="P278" t="str">
        <f>IF(OR($A278="",games!$H278=""),"",games!$H278)</f>
        <v>Yes</v>
      </c>
      <c r="Q278">
        <f t="shared" si="63"/>
        <v>1.000278</v>
      </c>
      <c r="T278">
        <f>IF(connections!$A278="","",IFERROR(INDEX(games!$B$2:$B$950,MATCH(connections!$A278,games!$A$2:$A$950,0)),""))</f>
        <v>2023</v>
      </c>
      <c r="U278">
        <f>IF(connections!$A278="","",IFERROR(INDEX(games!$B$2:$B$950,MATCH(connections!$B278,games!$A$2:$A$950,0)),""))</f>
        <v>2024</v>
      </c>
      <c r="V278">
        <f t="shared" si="64"/>
        <v>1</v>
      </c>
    </row>
    <row r="279" spans="1:22" x14ac:dyDescent="0.25">
      <c r="A279" t="str">
        <f>IF(games!$A279="","",games!$A279)</f>
        <v>Fairy Tail: Dungeons</v>
      </c>
      <c r="B279">
        <f>IF($A279="","",games!$B279)</f>
        <v>2024</v>
      </c>
      <c r="C279" t="str">
        <f>IF($A279="","",games!$C279)</f>
        <v>Deckbuilder</v>
      </c>
      <c r="D279">
        <f>IF($A279="","",COUNTIF(connections!$A$2:$A$1460,$A279)+COUNTIF(connections!$B$2:$B$1460,$A279))</f>
        <v>0</v>
      </c>
      <c r="E279">
        <f t="shared" si="52"/>
        <v>3</v>
      </c>
      <c r="F279">
        <f t="shared" si="53"/>
        <v>7</v>
      </c>
      <c r="G279" t="e">
        <f t="shared" si="54"/>
        <v>#N/A</v>
      </c>
      <c r="H279" t="e">
        <f t="shared" si="55"/>
        <v>#N/A</v>
      </c>
      <c r="I279" t="e">
        <f t="shared" si="56"/>
        <v>#N/A</v>
      </c>
      <c r="J279" t="e">
        <f t="shared" si="57"/>
        <v>#N/A</v>
      </c>
      <c r="K279">
        <f t="shared" si="58"/>
        <v>2024</v>
      </c>
      <c r="L279">
        <f t="shared" si="59"/>
        <v>3.161</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2023</v>
      </c>
      <c r="U279">
        <f>IF(connections!$A279="","",IFERROR(INDEX(games!$B$2:$B$950,MATCH(connections!$B279,games!$A$2:$A$950,0)),""))</f>
        <v>2026</v>
      </c>
      <c r="V279">
        <f t="shared" si="64"/>
        <v>3</v>
      </c>
    </row>
    <row r="280" spans="1:22" x14ac:dyDescent="0.25">
      <c r="A280" t="str">
        <f>IF(games!$A280="","",games!$A280)</f>
        <v>Fatal Labyrinth</v>
      </c>
      <c r="B280">
        <f>IF($A280="","",games!$B280)</f>
        <v>1990</v>
      </c>
      <c r="C280" t="str">
        <f>IF($A280="","",games!$C280)</f>
        <v>Traditional</v>
      </c>
      <c r="D280">
        <f>IF($A280="","",COUNTIF(connections!$A$2:$A$1460,$A280)+COUNTIF(connections!$B$2:$B$1460,$A280))</f>
        <v>2</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1990</v>
      </c>
      <c r="N280">
        <f t="shared" si="61"/>
        <v>4.1840000000000002</v>
      </c>
      <c r="O280">
        <f t="shared" si="62"/>
        <v>2.0002800000000001</v>
      </c>
      <c r="P280" t="str">
        <f>IF(OR($A280="",games!$H280=""),"",games!$H280)</f>
        <v>Yes</v>
      </c>
      <c r="Q280">
        <f t="shared" si="63"/>
        <v>2.0002800000000001</v>
      </c>
      <c r="T280">
        <f>IF(connections!$A280="","",IFERROR(INDEX(games!$B$2:$B$950,MATCH(connections!$A280,games!$A$2:$A$950,0)),""))</f>
        <v>2024</v>
      </c>
      <c r="U280">
        <f>IF(connections!$A280="","",IFERROR(INDEX(games!$B$2:$B$950,MATCH(connections!$B280,games!$A$2:$A$950,0)),""))</f>
        <v>2025</v>
      </c>
      <c r="V280">
        <f t="shared" si="64"/>
        <v>1</v>
      </c>
    </row>
    <row r="281" spans="1:22" x14ac:dyDescent="0.25">
      <c r="A281" t="str">
        <f>IF(games!$A281="","",games!$A281)</f>
        <v>Fear &amp; Hunger</v>
      </c>
      <c r="B281">
        <f>IF($A281="","",games!$B281)</f>
        <v>2018</v>
      </c>
      <c r="C281" t="str">
        <f>IF($A281="","",games!$C281)</f>
        <v>Strategy</v>
      </c>
      <c r="D281">
        <f>IF($A281="","",COUNTIF(connections!$A$2:$A$1460,$A281)+COUNTIF(connections!$B$2:$B$1460,$A281))</f>
        <v>1</v>
      </c>
      <c r="E281">
        <f t="shared" si="52"/>
        <v>2</v>
      </c>
      <c r="F281">
        <f t="shared" si="53"/>
        <v>9</v>
      </c>
      <c r="G281" t="e">
        <f t="shared" si="54"/>
        <v>#N/A</v>
      </c>
      <c r="H281" t="e">
        <f t="shared" si="55"/>
        <v>#N/A</v>
      </c>
      <c r="I281">
        <f t="shared" si="56"/>
        <v>2018</v>
      </c>
      <c r="J281">
        <f t="shared" si="57"/>
        <v>2.2069999999999999</v>
      </c>
      <c r="K281" t="e">
        <f t="shared" si="58"/>
        <v>#N/A</v>
      </c>
      <c r="L281" t="e">
        <f t="shared" si="59"/>
        <v>#N/A</v>
      </c>
      <c r="M281" t="e">
        <f t="shared" si="60"/>
        <v>#N/A</v>
      </c>
      <c r="N281" t="e">
        <f t="shared" si="61"/>
        <v>#N/A</v>
      </c>
      <c r="O281">
        <f t="shared" si="62"/>
        <v>1.000281</v>
      </c>
      <c r="P281" t="str">
        <f>IF(OR($A281="",games!$H281=""),"",games!$H281)</f>
        <v/>
      </c>
      <c r="Q281" t="str">
        <f t="shared" si="63"/>
        <v/>
      </c>
      <c r="T281">
        <f>IF(connections!$A281="","",IFERROR(INDEX(games!$B$2:$B$950,MATCH(connections!$A281,games!$A$2:$A$950,0)),""))</f>
        <v>2024</v>
      </c>
      <c r="U281">
        <f>IF(connections!$A281="","",IFERROR(INDEX(games!$B$2:$B$950,MATCH(connections!$B281,games!$A$2:$A$950,0)),""))</f>
        <v>2026</v>
      </c>
      <c r="V281">
        <f t="shared" si="64"/>
        <v>2</v>
      </c>
    </row>
    <row r="282" spans="1:22" x14ac:dyDescent="0.25">
      <c r="A282" t="str">
        <f>IF(games!$A282="","",games!$A282)</f>
        <v>Feed the Deep</v>
      </c>
      <c r="B282">
        <f>IF($A282="","",games!$B282)</f>
        <v>2024</v>
      </c>
      <c r="C282" t="str">
        <f>IF($A282="","",games!$C282)</f>
        <v>Strategy</v>
      </c>
      <c r="D282">
        <f>IF($A282="","",COUNTIF(connections!$A$2:$A$1460,$A282)+COUNTIF(connections!$B$2:$B$1460,$A282))</f>
        <v>2</v>
      </c>
      <c r="E282">
        <f t="shared" si="52"/>
        <v>2</v>
      </c>
      <c r="F282">
        <f t="shared" si="53"/>
        <v>10</v>
      </c>
      <c r="G282" t="e">
        <f t="shared" si="54"/>
        <v>#N/A</v>
      </c>
      <c r="H282" t="e">
        <f t="shared" si="55"/>
        <v>#N/A</v>
      </c>
      <c r="I282">
        <f t="shared" si="56"/>
        <v>2024</v>
      </c>
      <c r="J282">
        <f t="shared" si="57"/>
        <v>2.23</v>
      </c>
      <c r="K282" t="e">
        <f t="shared" si="58"/>
        <v>#N/A</v>
      </c>
      <c r="L282" t="e">
        <f t="shared" si="59"/>
        <v>#N/A</v>
      </c>
      <c r="M282" t="e">
        <f t="shared" si="60"/>
        <v>#N/A</v>
      </c>
      <c r="N282" t="e">
        <f t="shared" si="61"/>
        <v>#N/A</v>
      </c>
      <c r="O282">
        <f t="shared" si="62"/>
        <v>2.0002819999999999</v>
      </c>
      <c r="P282" t="str">
        <f>IF(OR($A282="",games!$H282=""),"",games!$H282)</f>
        <v>Yes</v>
      </c>
      <c r="Q282">
        <f t="shared" si="63"/>
        <v>2.0002819999999999</v>
      </c>
      <c r="T282">
        <f>IF(connections!$A282="","",IFERROR(INDEX(games!$B$2:$B$950,MATCH(connections!$A282,games!$A$2:$A$950,0)),""))</f>
        <v>2024</v>
      </c>
      <c r="U282">
        <f>IF(connections!$A282="","",IFERROR(INDEX(games!$B$2:$B$950,MATCH(connections!$B282,games!$A$2:$A$950,0)),""))</f>
        <v>2026</v>
      </c>
      <c r="V282">
        <f t="shared" si="64"/>
        <v>2</v>
      </c>
    </row>
    <row r="283" spans="1:22" x14ac:dyDescent="0.25">
      <c r="A283" t="str">
        <f>IF(games!$A283="","",games!$A283)</f>
        <v>Fights in Tight Spaces</v>
      </c>
      <c r="B283">
        <f>IF($A283="","",games!$B283)</f>
        <v>2021</v>
      </c>
      <c r="C283" t="str">
        <f>IF($A283="","",games!$C283)</f>
        <v>Deckbuilder</v>
      </c>
      <c r="D283">
        <f>IF($A283="","",COUNTIF(connections!$A$2:$A$1460,$A283)+COUNTIF(connections!$B$2:$B$1460,$A283))</f>
        <v>5</v>
      </c>
      <c r="E283">
        <f t="shared" si="52"/>
        <v>3</v>
      </c>
      <c r="F283">
        <f t="shared" si="53"/>
        <v>11</v>
      </c>
      <c r="G283" t="e">
        <f t="shared" si="54"/>
        <v>#N/A</v>
      </c>
      <c r="H283" t="e">
        <f t="shared" si="55"/>
        <v>#N/A</v>
      </c>
      <c r="I283" t="e">
        <f t="shared" si="56"/>
        <v>#N/A</v>
      </c>
      <c r="J283" t="e">
        <f t="shared" si="57"/>
        <v>#N/A</v>
      </c>
      <c r="K283">
        <f t="shared" si="58"/>
        <v>2021</v>
      </c>
      <c r="L283">
        <f t="shared" si="59"/>
        <v>3.2530000000000001</v>
      </c>
      <c r="M283" t="e">
        <f t="shared" si="60"/>
        <v>#N/A</v>
      </c>
      <c r="N283" t="e">
        <f t="shared" si="61"/>
        <v>#N/A</v>
      </c>
      <c r="O283">
        <f t="shared" si="62"/>
        <v>5.0002829999999996</v>
      </c>
      <c r="P283" t="str">
        <f>IF(OR($A283="",games!$H283=""),"",games!$H283)</f>
        <v>Yes</v>
      </c>
      <c r="Q283">
        <f t="shared" si="63"/>
        <v>5.0002829999999996</v>
      </c>
      <c r="T283">
        <f>IF(connections!$A283="","",IFERROR(INDEX(games!$B$2:$B$950,MATCH(connections!$A283,games!$A$2:$A$950,0)),""))</f>
        <v>2024</v>
      </c>
      <c r="U283">
        <f>IF(connections!$A283="","",IFERROR(INDEX(games!$B$2:$B$950,MATCH(connections!$B283,games!$A$2:$A$950,0)),""))</f>
        <v>2024</v>
      </c>
      <c r="V283">
        <f t="shared" si="64"/>
        <v>0</v>
      </c>
    </row>
    <row r="284" spans="1:22" x14ac:dyDescent="0.25">
      <c r="A284" t="str">
        <f>IF(games!$A284="","",games!$A284)</f>
        <v>Final Fantasy Fables: Chocobo's Dungeon</v>
      </c>
      <c r="B284">
        <f>IF($A284="","",games!$B284)</f>
        <v>2007</v>
      </c>
      <c r="C284" t="str">
        <f>IF($A284="","",games!$C284)</f>
        <v>Traditional</v>
      </c>
      <c r="D284">
        <f>IF($A284="","",COUNTIF(connections!$A$2:$A$1460,$A284)+COUNTIF(connections!$B$2:$B$1460,$A284))</f>
        <v>2</v>
      </c>
      <c r="E284">
        <f t="shared" si="52"/>
        <v>4</v>
      </c>
      <c r="F284">
        <f t="shared" si="53"/>
        <v>12</v>
      </c>
      <c r="G284" t="e">
        <f t="shared" si="54"/>
        <v>#N/A</v>
      </c>
      <c r="H284" t="e">
        <f t="shared" si="55"/>
        <v>#N/A</v>
      </c>
      <c r="I284" t="e">
        <f t="shared" si="56"/>
        <v>#N/A</v>
      </c>
      <c r="J284" t="e">
        <f t="shared" si="57"/>
        <v>#N/A</v>
      </c>
      <c r="K284" t="e">
        <f t="shared" si="58"/>
        <v>#N/A</v>
      </c>
      <c r="L284" t="e">
        <f t="shared" si="59"/>
        <v>#N/A</v>
      </c>
      <c r="M284">
        <f t="shared" si="60"/>
        <v>2007</v>
      </c>
      <c r="N284">
        <f t="shared" si="61"/>
        <v>4.2759999999999998</v>
      </c>
      <c r="O284">
        <f t="shared" si="62"/>
        <v>2.0002840000000002</v>
      </c>
      <c r="P284" t="str">
        <f>IF(OR($A284="",games!$H284=""),"",games!$H284)</f>
        <v>Yes</v>
      </c>
      <c r="Q284">
        <f t="shared" si="63"/>
        <v>2.0002840000000002</v>
      </c>
      <c r="T284">
        <f>IF(connections!$A284="","",IFERROR(INDEX(games!$B$2:$B$950,MATCH(connections!$A284,games!$A$2:$A$950,0)),""))</f>
        <v>2018</v>
      </c>
      <c r="U284">
        <f>IF(connections!$A284="","",IFERROR(INDEX(games!$B$2:$B$950,MATCH(connections!$B284,games!$A$2:$A$950,0)),""))</f>
        <v>2023</v>
      </c>
      <c r="V284">
        <f t="shared" si="64"/>
        <v>5</v>
      </c>
    </row>
    <row r="285" spans="1:22" x14ac:dyDescent="0.25">
      <c r="A285" t="str">
        <f>IF(games!$A285="","",games!$A285)</f>
        <v>Fish Fear Me</v>
      </c>
      <c r="B285">
        <f>IF($A285="","",games!$B285)</f>
        <v>2024</v>
      </c>
      <c r="C285" t="str">
        <f>IF($A285="","",games!$C285)</f>
        <v>Action</v>
      </c>
      <c r="D285">
        <f>IF($A285="","",COUNTIF(connections!$A$2:$A$1460,$A285)+COUNTIF(connections!$B$2:$B$1460,$A285))</f>
        <v>1</v>
      </c>
      <c r="E285">
        <f t="shared" si="52"/>
        <v>1</v>
      </c>
      <c r="F285">
        <f t="shared" si="53"/>
        <v>13</v>
      </c>
      <c r="G285">
        <f t="shared" si="54"/>
        <v>2024</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2012</v>
      </c>
      <c r="U285">
        <f>IF(connections!$A285="","",IFERROR(INDEX(games!$B$2:$B$950,MATCH(connections!$B285,games!$A$2:$A$950,0)),""))</f>
        <v>2026</v>
      </c>
      <c r="V285">
        <f t="shared" si="64"/>
        <v>14</v>
      </c>
    </row>
    <row r="286" spans="1:22" x14ac:dyDescent="0.25">
      <c r="A286" t="str">
        <f>IF(games!$A286="","",games!$A286)</f>
        <v>FLERP</v>
      </c>
      <c r="B286">
        <f>IF($A286="","",games!$B286)</f>
        <v>2022</v>
      </c>
      <c r="C286" t="str">
        <f>IF($A286="","",games!$C286)</f>
        <v>Action</v>
      </c>
      <c r="D286">
        <f>IF($A286="","",COUNTIF(connections!$A$2:$A$1460,$A286)+COUNTIF(connections!$B$2:$B$1460,$A286))</f>
        <v>2</v>
      </c>
      <c r="E286">
        <f t="shared" si="52"/>
        <v>1</v>
      </c>
      <c r="F286">
        <f t="shared" si="53"/>
        <v>14</v>
      </c>
      <c r="G286">
        <f t="shared" si="54"/>
        <v>2022</v>
      </c>
      <c r="H286">
        <f t="shared" si="55"/>
        <v>1.3220000000000001</v>
      </c>
      <c r="I286" t="e">
        <f t="shared" si="56"/>
        <v>#N/A</v>
      </c>
      <c r="J286" t="e">
        <f t="shared" si="57"/>
        <v>#N/A</v>
      </c>
      <c r="K286" t="e">
        <f t="shared" si="58"/>
        <v>#N/A</v>
      </c>
      <c r="L286" t="e">
        <f t="shared" si="59"/>
        <v>#N/A</v>
      </c>
      <c r="M286" t="e">
        <f t="shared" si="60"/>
        <v>#N/A</v>
      </c>
      <c r="N286" t="e">
        <f t="shared" si="61"/>
        <v>#N/A</v>
      </c>
      <c r="O286">
        <f t="shared" si="62"/>
        <v>2.000286</v>
      </c>
      <c r="P286" t="str">
        <f>IF(OR($A286="",games!$H286=""),"",games!$H286)</f>
        <v/>
      </c>
      <c r="Q286" t="str">
        <f t="shared" si="63"/>
        <v/>
      </c>
      <c r="T286">
        <f>IF(connections!$A286="","",IFERROR(INDEX(games!$B$2:$B$950,MATCH(connections!$A286,games!$A$2:$A$950,0)),""))</f>
        <v>2019</v>
      </c>
      <c r="U286">
        <f>IF(connections!$A286="","",IFERROR(INDEX(games!$B$2:$B$950,MATCH(connections!$B286,games!$A$2:$A$950,0)),""))</f>
        <v>2026</v>
      </c>
      <c r="V286">
        <f t="shared" si="64"/>
        <v>7</v>
      </c>
    </row>
    <row r="287" spans="1:22" x14ac:dyDescent="0.25">
      <c r="A287" t="str">
        <f>IF(games!$A287="","",games!$A287)</f>
        <v>Flick Shot Rogues</v>
      </c>
      <c r="B287">
        <f>IF($A287="","",games!$B287)</f>
        <v>2025</v>
      </c>
      <c r="C287" t="str">
        <f>IF($A287="","",games!$C287)</f>
        <v>Strategy</v>
      </c>
      <c r="D287">
        <f>IF($A287="","",COUNTIF(connections!$A$2:$A$1460,$A287)+COUNTIF(connections!$B$2:$B$1460,$A287))</f>
        <v>0</v>
      </c>
      <c r="E287">
        <f t="shared" si="52"/>
        <v>2</v>
      </c>
      <c r="F287">
        <f t="shared" si="53"/>
        <v>15</v>
      </c>
      <c r="G287" t="e">
        <f t="shared" si="54"/>
        <v>#N/A</v>
      </c>
      <c r="H287" t="e">
        <f t="shared" si="55"/>
        <v>#N/A</v>
      </c>
      <c r="I287">
        <f t="shared" si="56"/>
        <v>2025</v>
      </c>
      <c r="J287">
        <f t="shared" si="57"/>
        <v>2.3449999999999998</v>
      </c>
      <c r="K287" t="e">
        <f t="shared" si="58"/>
        <v>#N/A</v>
      </c>
      <c r="L287" t="e">
        <f t="shared" si="59"/>
        <v>#N/A</v>
      </c>
      <c r="M287" t="e">
        <f t="shared" si="60"/>
        <v>#N/A</v>
      </c>
      <c r="N287" t="e">
        <f t="shared" si="61"/>
        <v>#N/A</v>
      </c>
      <c r="O287">
        <f t="shared" si="62"/>
        <v>2.8699999999999998E-4</v>
      </c>
      <c r="P287" t="str">
        <f>IF(OR($A287="",games!$H287=""),"",games!$H287)</f>
        <v>Yes</v>
      </c>
      <c r="Q287">
        <f t="shared" si="63"/>
        <v>2.8699999999999998E-4</v>
      </c>
      <c r="T287">
        <f>IF(connections!$A287="","",IFERROR(INDEX(games!$B$2:$B$950,MATCH(connections!$A287,games!$A$2:$A$950,0)),""))</f>
        <v>2010</v>
      </c>
      <c r="U287">
        <f>IF(connections!$A287="","",IFERROR(INDEX(games!$B$2:$B$950,MATCH(connections!$B287,games!$A$2:$A$950,0)),""))</f>
        <v>2023</v>
      </c>
      <c r="V287">
        <f t="shared" si="64"/>
        <v>13</v>
      </c>
    </row>
    <row r="288" spans="1:22" x14ac:dyDescent="0.25">
      <c r="A288" t="str">
        <f>IF(games!$A288="","",games!$A288)</f>
        <v>Flinthook</v>
      </c>
      <c r="B288">
        <f>IF($A288="","",games!$B288)</f>
        <v>2017</v>
      </c>
      <c r="C288" t="str">
        <f>IF($A288="","",games!$C288)</f>
        <v>Action</v>
      </c>
      <c r="D288">
        <f>IF($A288="","",COUNTIF(connections!$A$2:$A$1460,$A288)+COUNTIF(connections!$B$2:$B$1460,$A288))</f>
        <v>2</v>
      </c>
      <c r="E288">
        <f t="shared" si="52"/>
        <v>1</v>
      </c>
      <c r="F288">
        <f t="shared" si="53"/>
        <v>16</v>
      </c>
      <c r="G288">
        <f t="shared" si="54"/>
        <v>2017</v>
      </c>
      <c r="H288">
        <f t="shared" si="55"/>
        <v>1.3679999999999999</v>
      </c>
      <c r="I288" t="e">
        <f t="shared" si="56"/>
        <v>#N/A</v>
      </c>
      <c r="J288" t="e">
        <f t="shared" si="57"/>
        <v>#N/A</v>
      </c>
      <c r="K288" t="e">
        <f t="shared" si="58"/>
        <v>#N/A</v>
      </c>
      <c r="L288" t="e">
        <f t="shared" si="59"/>
        <v>#N/A</v>
      </c>
      <c r="M288" t="e">
        <f t="shared" si="60"/>
        <v>#N/A</v>
      </c>
      <c r="N288" t="e">
        <f t="shared" si="61"/>
        <v>#N/A</v>
      </c>
      <c r="O288">
        <f t="shared" si="62"/>
        <v>2.0002879999999998</v>
      </c>
      <c r="P288" t="str">
        <f>IF(OR($A288="",games!$H288=""),"",games!$H288)</f>
        <v>Yes</v>
      </c>
      <c r="Q288">
        <f t="shared" si="63"/>
        <v>2.0002879999999998</v>
      </c>
      <c r="T288">
        <f>IF(connections!$A288="","",IFERROR(INDEX(games!$B$2:$B$950,MATCH(connections!$A288,games!$A$2:$A$950,0)),""))</f>
        <v>2010</v>
      </c>
      <c r="U288">
        <f>IF(connections!$A288="","",IFERROR(INDEX(games!$B$2:$B$950,MATCH(connections!$B288,games!$A$2:$A$950,0)),""))</f>
        <v>2011</v>
      </c>
      <c r="V288">
        <f t="shared" si="64"/>
        <v>1</v>
      </c>
    </row>
    <row r="289" spans="1:22" x14ac:dyDescent="0.25">
      <c r="A289" t="str">
        <f>IF(games!$A289="","",games!$A289)</f>
        <v>Fogpiercer</v>
      </c>
      <c r="B289">
        <f>IF($A289="","",games!$B289)</f>
        <v>2026</v>
      </c>
      <c r="C289" t="str">
        <f>IF($A289="","",games!$C289)</f>
        <v>Deckbuilder</v>
      </c>
      <c r="D289">
        <f>IF($A289="","",COUNTIF(connections!$A$2:$A$1460,$A289)+COUNTIF(connections!$B$2:$B$1460,$A289))</f>
        <v>4</v>
      </c>
      <c r="E289">
        <f t="shared" si="52"/>
        <v>3</v>
      </c>
      <c r="F289">
        <f t="shared" si="53"/>
        <v>17</v>
      </c>
      <c r="G289" t="e">
        <f t="shared" si="54"/>
        <v>#N/A</v>
      </c>
      <c r="H289" t="e">
        <f t="shared" si="55"/>
        <v>#N/A</v>
      </c>
      <c r="I289" t="e">
        <f t="shared" si="56"/>
        <v>#N/A</v>
      </c>
      <c r="J289" t="e">
        <f t="shared" si="57"/>
        <v>#N/A</v>
      </c>
      <c r="K289">
        <f t="shared" si="58"/>
        <v>2026</v>
      </c>
      <c r="L289">
        <f t="shared" si="59"/>
        <v>3.391</v>
      </c>
      <c r="M289" t="e">
        <f t="shared" si="60"/>
        <v>#N/A</v>
      </c>
      <c r="N289" t="e">
        <f t="shared" si="61"/>
        <v>#N/A</v>
      </c>
      <c r="O289">
        <f t="shared" si="62"/>
        <v>4.0002890000000004</v>
      </c>
      <c r="P289" t="str">
        <f>IF(OR($A289="",games!$H289=""),"",games!$H289)</f>
        <v/>
      </c>
      <c r="Q289" t="str">
        <f t="shared" si="63"/>
        <v/>
      </c>
      <c r="T289">
        <f>IF(connections!$A289="","",IFERROR(INDEX(games!$B$2:$B$950,MATCH(connections!$A289,games!$A$2:$A$950,0)),""))</f>
        <v>2018</v>
      </c>
      <c r="U289">
        <f>IF(connections!$A289="","",IFERROR(INDEX(games!$B$2:$B$950,MATCH(connections!$B289,games!$A$2:$A$950,0)),""))</f>
        <v>2021</v>
      </c>
      <c r="V289">
        <f t="shared" si="64"/>
        <v>3</v>
      </c>
    </row>
    <row r="290" spans="1:22" x14ac:dyDescent="0.25">
      <c r="A290" t="str">
        <f>IF(games!$A290="","",games!$A290)</f>
        <v>Footgun: Underground</v>
      </c>
      <c r="B290">
        <f>IF($A290="","",games!$B290)</f>
        <v>2024</v>
      </c>
      <c r="C290" t="str">
        <f>IF($A290="","",games!$C290)</f>
        <v>Action</v>
      </c>
      <c r="D290">
        <f>IF($A290="","",COUNTIF(connections!$A$2:$A$1460,$A290)+COUNTIF(connections!$B$2:$B$1460,$A290))</f>
        <v>3</v>
      </c>
      <c r="E290">
        <f t="shared" si="52"/>
        <v>1</v>
      </c>
      <c r="F290">
        <f t="shared" si="53"/>
        <v>18</v>
      </c>
      <c r="G290">
        <f t="shared" si="54"/>
        <v>2024</v>
      </c>
      <c r="H290">
        <f t="shared" si="55"/>
        <v>1.4139999999999999</v>
      </c>
      <c r="I290" t="e">
        <f t="shared" si="56"/>
        <v>#N/A</v>
      </c>
      <c r="J290" t="e">
        <f t="shared" si="57"/>
        <v>#N/A</v>
      </c>
      <c r="K290" t="e">
        <f t="shared" si="58"/>
        <v>#N/A</v>
      </c>
      <c r="L290" t="e">
        <f t="shared" si="59"/>
        <v>#N/A</v>
      </c>
      <c r="M290" t="e">
        <f t="shared" si="60"/>
        <v>#N/A</v>
      </c>
      <c r="N290" t="e">
        <f t="shared" si="61"/>
        <v>#N/A</v>
      </c>
      <c r="O290">
        <f t="shared" si="62"/>
        <v>3.0002900000000001</v>
      </c>
      <c r="P290" t="str">
        <f>IF(OR($A290="",games!$H290=""),"",games!$H290)</f>
        <v>Yes</v>
      </c>
      <c r="Q290">
        <f t="shared" si="63"/>
        <v>3.0002900000000001</v>
      </c>
      <c r="T290">
        <f>IF(connections!$A290="","",IFERROR(INDEX(games!$B$2:$B$950,MATCH(connections!$A290,games!$A$2:$A$950,0)),""))</f>
        <v>2021</v>
      </c>
      <c r="U290">
        <f>IF(connections!$A290="","",IFERROR(INDEX(games!$B$2:$B$950,MATCH(connections!$B290,games!$A$2:$A$950,0)),""))</f>
        <v>2026</v>
      </c>
      <c r="V290">
        <f t="shared" si="64"/>
        <v>5</v>
      </c>
    </row>
    <row r="291" spans="1:22" x14ac:dyDescent="0.25">
      <c r="A291" t="str">
        <f>IF(games!$A291="","",games!$A291)</f>
        <v>For the King</v>
      </c>
      <c r="B291">
        <f>IF($A291="","",games!$B291)</f>
        <v>2018</v>
      </c>
      <c r="C291" t="str">
        <f>IF($A291="","",games!$C291)</f>
        <v>Strategy</v>
      </c>
      <c r="D291">
        <f>IF($A291="","",COUNTIF(connections!$A$2:$A$1460,$A291)+COUNTIF(connections!$B$2:$B$1460,$A291))</f>
        <v>3</v>
      </c>
      <c r="E291">
        <f t="shared" si="52"/>
        <v>2</v>
      </c>
      <c r="F291">
        <f t="shared" si="53"/>
        <v>19</v>
      </c>
      <c r="G291" t="e">
        <f t="shared" si="54"/>
        <v>#N/A</v>
      </c>
      <c r="H291" t="e">
        <f t="shared" si="55"/>
        <v>#N/A</v>
      </c>
      <c r="I291">
        <f t="shared" si="56"/>
        <v>2018</v>
      </c>
      <c r="J291">
        <f t="shared" si="57"/>
        <v>2.4369999999999998</v>
      </c>
      <c r="K291" t="e">
        <f t="shared" si="58"/>
        <v>#N/A</v>
      </c>
      <c r="L291" t="e">
        <f t="shared" si="59"/>
        <v>#N/A</v>
      </c>
      <c r="M291" t="e">
        <f t="shared" si="60"/>
        <v>#N/A</v>
      </c>
      <c r="N291" t="e">
        <f t="shared" si="61"/>
        <v>#N/A</v>
      </c>
      <c r="O291">
        <f t="shared" si="62"/>
        <v>3.0002909999999998</v>
      </c>
      <c r="P291" t="str">
        <f>IF(OR($A291="",games!$H291=""),"",games!$H291)</f>
        <v>Yes</v>
      </c>
      <c r="Q291">
        <f t="shared" si="63"/>
        <v>3.0002909999999998</v>
      </c>
      <c r="T291">
        <f>IF(connections!$A291="","",IFERROR(INDEX(games!$B$2:$B$950,MATCH(connections!$A291,games!$A$2:$A$950,0)),""))</f>
        <v>2021</v>
      </c>
      <c r="U291">
        <f>IF(connections!$A291="","",IFERROR(INDEX(games!$B$2:$B$950,MATCH(connections!$B291,games!$A$2:$A$950,0)),""))</f>
        <v>2023</v>
      </c>
      <c r="V291">
        <f t="shared" si="64"/>
        <v>2</v>
      </c>
    </row>
    <row r="292" spans="1:22" x14ac:dyDescent="0.25">
      <c r="A292" t="str">
        <f>IF(games!$A292="","",games!$A292)</f>
        <v>For the King 2</v>
      </c>
      <c r="B292">
        <f>IF($A292="","",games!$B292)</f>
        <v>2023</v>
      </c>
      <c r="C292" t="str">
        <f>IF($A292="","",games!$C292)</f>
        <v>Strategy</v>
      </c>
      <c r="D292">
        <f>IF($A292="","",COUNTIF(connections!$A$2:$A$1460,$A292)+COUNTIF(connections!$B$2:$B$1460,$A292))</f>
        <v>1</v>
      </c>
      <c r="E292">
        <f t="shared" si="52"/>
        <v>2</v>
      </c>
      <c r="F292">
        <f t="shared" si="53"/>
        <v>20</v>
      </c>
      <c r="G292" t="e">
        <f t="shared" si="54"/>
        <v>#N/A</v>
      </c>
      <c r="H292" t="e">
        <f t="shared" si="55"/>
        <v>#N/A</v>
      </c>
      <c r="I292">
        <f t="shared" si="56"/>
        <v>2023</v>
      </c>
      <c r="J292">
        <f t="shared" si="57"/>
        <v>2.46</v>
      </c>
      <c r="K292" t="e">
        <f t="shared" si="58"/>
        <v>#N/A</v>
      </c>
      <c r="L292" t="e">
        <f t="shared" si="59"/>
        <v>#N/A</v>
      </c>
      <c r="M292" t="e">
        <f t="shared" si="60"/>
        <v>#N/A</v>
      </c>
      <c r="N292" t="e">
        <f t="shared" si="61"/>
        <v>#N/A</v>
      </c>
      <c r="O292">
        <f t="shared" si="62"/>
        <v>1.000292</v>
      </c>
      <c r="P292" t="str">
        <f>IF(OR($A292="",games!$H292=""),"",games!$H292)</f>
        <v>Yes</v>
      </c>
      <c r="Q292">
        <f t="shared" si="63"/>
        <v>1.000292</v>
      </c>
      <c r="T292">
        <f>IF(connections!$A292="","",IFERROR(INDEX(games!$B$2:$B$950,MATCH(connections!$A292,games!$A$2:$A$950,0)),""))</f>
        <v>1996</v>
      </c>
      <c r="U292">
        <f>IF(connections!$A292="","",IFERROR(INDEX(games!$B$2:$B$950,MATCH(connections!$B292,games!$A$2:$A$950,0)),""))</f>
        <v>2026</v>
      </c>
      <c r="V292">
        <f t="shared" si="64"/>
        <v>30</v>
      </c>
    </row>
    <row r="293" spans="1:22" x14ac:dyDescent="0.25">
      <c r="A293" t="str">
        <f>IF(games!$A293="","",games!$A293)</f>
        <v>For The Warp</v>
      </c>
      <c r="B293">
        <f>IF($A293="","",games!$B293)</f>
        <v>2020</v>
      </c>
      <c r="C293" t="str">
        <f>IF($A293="","",games!$C293)</f>
        <v>Deckbuilder</v>
      </c>
      <c r="D293">
        <f>IF($A293="","",COUNTIF(connections!$A$2:$A$1460,$A293)+COUNTIF(connections!$B$2:$B$1460,$A293))</f>
        <v>3</v>
      </c>
      <c r="E293">
        <f t="shared" si="52"/>
        <v>3</v>
      </c>
      <c r="F293">
        <f t="shared" si="53"/>
        <v>21</v>
      </c>
      <c r="G293" t="e">
        <f t="shared" si="54"/>
        <v>#N/A</v>
      </c>
      <c r="H293" t="e">
        <f t="shared" si="55"/>
        <v>#N/A</v>
      </c>
      <c r="I293" t="e">
        <f t="shared" si="56"/>
        <v>#N/A</v>
      </c>
      <c r="J293" t="e">
        <f t="shared" si="57"/>
        <v>#N/A</v>
      </c>
      <c r="K293">
        <f t="shared" si="58"/>
        <v>2020</v>
      </c>
      <c r="L293">
        <f t="shared" si="59"/>
        <v>3.4830000000000001</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1996</v>
      </c>
      <c r="U293">
        <f>IF(connections!$A293="","",IFERROR(INDEX(games!$B$2:$B$950,MATCH(connections!$B293,games!$A$2:$A$950,0)),""))</f>
        <v>2018</v>
      </c>
      <c r="V293">
        <f t="shared" si="64"/>
        <v>22</v>
      </c>
    </row>
    <row r="294" spans="1:22" x14ac:dyDescent="0.25">
      <c r="A294" t="str">
        <f>IF(games!$A294="","",games!$A294)</f>
        <v>Forestrike</v>
      </c>
      <c r="B294">
        <f>IF($A294="","",games!$B294)</f>
        <v>2025</v>
      </c>
      <c r="C294" t="str">
        <f>IF($A294="","",games!$C294)</f>
        <v>Action</v>
      </c>
      <c r="D294">
        <f>IF($A294="","",COUNTIF(connections!$A$2:$A$1460,$A294)+COUNTIF(connections!$B$2:$B$1460,$A294))</f>
        <v>0</v>
      </c>
      <c r="E294">
        <f t="shared" si="52"/>
        <v>1</v>
      </c>
      <c r="F294">
        <f t="shared" si="53"/>
        <v>22</v>
      </c>
      <c r="G294">
        <f t="shared" si="54"/>
        <v>2025</v>
      </c>
      <c r="H294">
        <f t="shared" si="55"/>
        <v>1.506</v>
      </c>
      <c r="I294" t="e">
        <f t="shared" si="56"/>
        <v>#N/A</v>
      </c>
      <c r="J294" t="e">
        <f t="shared" si="57"/>
        <v>#N/A</v>
      </c>
      <c r="K294" t="e">
        <f t="shared" si="58"/>
        <v>#N/A</v>
      </c>
      <c r="L294" t="e">
        <f t="shared" si="59"/>
        <v>#N/A</v>
      </c>
      <c r="M294" t="e">
        <f t="shared" si="60"/>
        <v>#N/A</v>
      </c>
      <c r="N294" t="e">
        <f t="shared" si="61"/>
        <v>#N/A</v>
      </c>
      <c r="O294">
        <f t="shared" si="62"/>
        <v>2.9399999999999999E-4</v>
      </c>
      <c r="P294" t="str">
        <f>IF(OR($A294="",games!$H294=""),"",games!$H294)</f>
        <v/>
      </c>
      <c r="Q294" t="str">
        <f t="shared" si="63"/>
        <v/>
      </c>
      <c r="T294">
        <f>IF(connections!$A294="","",IFERROR(INDEX(games!$B$2:$B$950,MATCH(connections!$A294,games!$A$2:$A$950,0)),""))</f>
        <v>1996</v>
      </c>
      <c r="U294">
        <f>IF(connections!$A294="","",IFERROR(INDEX(games!$B$2:$B$950,MATCH(connections!$B294,games!$A$2:$A$950,0)),""))</f>
        <v>2010</v>
      </c>
      <c r="V294">
        <f t="shared" si="64"/>
        <v>14</v>
      </c>
    </row>
    <row r="295" spans="1:22" x14ac:dyDescent="0.25">
      <c r="A295" t="str">
        <f>IF(games!$A295="","",games!$A295)</f>
        <v>Forward: Escape the Fold</v>
      </c>
      <c r="B295">
        <f>IF($A295="","",games!$B295)</f>
        <v>2022</v>
      </c>
      <c r="C295" t="str">
        <f>IF($A295="","",games!$C295)</f>
        <v>Strategy</v>
      </c>
      <c r="D295">
        <f>IF($A295="","",COUNTIF(connections!$A$2:$A$1460,$A295)+COUNTIF(connections!$B$2:$B$1460,$A295))</f>
        <v>4</v>
      </c>
      <c r="E295">
        <f t="shared" si="52"/>
        <v>2</v>
      </c>
      <c r="F295">
        <f t="shared" si="53"/>
        <v>23</v>
      </c>
      <c r="G295" t="e">
        <f t="shared" si="54"/>
        <v>#N/A</v>
      </c>
      <c r="H295" t="e">
        <f t="shared" si="55"/>
        <v>#N/A</v>
      </c>
      <c r="I295">
        <f t="shared" si="56"/>
        <v>2022</v>
      </c>
      <c r="J295">
        <f t="shared" si="57"/>
        <v>2.5289999999999999</v>
      </c>
      <c r="K295" t="e">
        <f t="shared" si="58"/>
        <v>#N/A</v>
      </c>
      <c r="L295" t="e">
        <f t="shared" si="59"/>
        <v>#N/A</v>
      </c>
      <c r="M295" t="e">
        <f t="shared" si="60"/>
        <v>#N/A</v>
      </c>
      <c r="N295" t="e">
        <f t="shared" si="61"/>
        <v>#N/A</v>
      </c>
      <c r="O295">
        <f t="shared" si="62"/>
        <v>4.0002950000000004</v>
      </c>
      <c r="P295" t="str">
        <f>IF(OR($A295="",games!$H295=""),"",games!$H295)</f>
        <v>Yes</v>
      </c>
      <c r="Q295">
        <f t="shared" si="63"/>
        <v>4.0002950000000004</v>
      </c>
      <c r="T295">
        <f>IF(connections!$A295="","",IFERROR(INDEX(games!$B$2:$B$950,MATCH(connections!$A295,games!$A$2:$A$950,0)),""))</f>
        <v>1996</v>
      </c>
      <c r="U295">
        <f>IF(connections!$A295="","",IFERROR(INDEX(games!$B$2:$B$950,MATCH(connections!$B295,games!$A$2:$A$950,0)),""))</f>
        <v>2017</v>
      </c>
      <c r="V295">
        <f t="shared" si="64"/>
        <v>21</v>
      </c>
    </row>
    <row r="296" spans="1:22" x14ac:dyDescent="0.25">
      <c r="A296" t="str">
        <f>IF(games!$A296="","",games!$A296)</f>
        <v>Freaky Awesome</v>
      </c>
      <c r="B296">
        <f>IF($A296="","",games!$B296)</f>
        <v>2017</v>
      </c>
      <c r="C296" t="str">
        <f>IF($A296="","",games!$C296)</f>
        <v>Action</v>
      </c>
      <c r="D296">
        <f>IF($A296="","",COUNTIF(connections!$A$2:$A$1460,$A296)+COUNTIF(connections!$B$2:$B$1460,$A296))</f>
        <v>1</v>
      </c>
      <c r="E296">
        <f t="shared" si="52"/>
        <v>1</v>
      </c>
      <c r="F296">
        <f t="shared" si="53"/>
        <v>24</v>
      </c>
      <c r="G296">
        <f t="shared" si="54"/>
        <v>2017</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Yes</v>
      </c>
      <c r="Q296">
        <f t="shared" si="63"/>
        <v>1.0002960000000001</v>
      </c>
      <c r="T296">
        <f>IF(connections!$A296="","",IFERROR(INDEX(games!$B$2:$B$950,MATCH(connections!$A296,games!$A$2:$A$950,0)),""))</f>
        <v>1996</v>
      </c>
      <c r="U296">
        <f>IF(connections!$A296="","",IFERROR(INDEX(games!$B$2:$B$950,MATCH(connections!$B296,games!$A$2:$A$950,0)),""))</f>
        <v>2020</v>
      </c>
      <c r="V296">
        <f t="shared" si="64"/>
        <v>24</v>
      </c>
    </row>
    <row r="297" spans="1:22" x14ac:dyDescent="0.25">
      <c r="A297" t="str">
        <f>IF(games!$A297="","",games!$A297)</f>
        <v>From The Top</v>
      </c>
      <c r="B297">
        <f>IF($A297="","",games!$B297)</f>
        <v>2025</v>
      </c>
      <c r="C297" t="str">
        <f>IF($A297="","",games!$C297)</f>
        <v>Action</v>
      </c>
      <c r="D297">
        <f>IF($A297="","",COUNTIF(connections!$A$2:$A$1460,$A297)+COUNTIF(connections!$B$2:$B$1460,$A297))</f>
        <v>1</v>
      </c>
      <c r="E297">
        <f t="shared" si="52"/>
        <v>1</v>
      </c>
      <c r="F297">
        <f t="shared" si="53"/>
        <v>25</v>
      </c>
      <c r="G297">
        <f t="shared" si="54"/>
        <v>2025</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Yes</v>
      </c>
      <c r="Q297">
        <f t="shared" si="63"/>
        <v>1.000297</v>
      </c>
      <c r="T297">
        <f>IF(connections!$A297="","",IFERROR(INDEX(games!$B$2:$B$950,MATCH(connections!$A297,games!$A$2:$A$950,0)),""))</f>
        <v>1996</v>
      </c>
      <c r="U297">
        <f>IF(connections!$A297="","",IFERROR(INDEX(games!$B$2:$B$950,MATCH(connections!$B297,games!$A$2:$A$950,0)),""))</f>
        <v>2026</v>
      </c>
      <c r="V297">
        <f t="shared" si="64"/>
        <v>30</v>
      </c>
    </row>
    <row r="298" spans="1:22" x14ac:dyDescent="0.25">
      <c r="A298" t="str">
        <f>IF(games!$A298="","",games!$A298)</f>
        <v>Frozen Depths</v>
      </c>
      <c r="B298">
        <f>IF($A298="","",games!$B298)</f>
        <v>2006</v>
      </c>
      <c r="C298" t="str">
        <f>IF($A298="","",games!$C298)</f>
        <v>Traditional</v>
      </c>
      <c r="D298">
        <f>IF($A298="","",COUNTIF(connections!$A$2:$A$1460,$A298)+COUNTIF(connections!$B$2:$B$1460,$A298))</f>
        <v>4</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2006</v>
      </c>
      <c r="N298">
        <f t="shared" si="61"/>
        <v>4.5979999999999999</v>
      </c>
      <c r="O298">
        <f t="shared" si="62"/>
        <v>4.0002979999999999</v>
      </c>
      <c r="P298" t="str">
        <f>IF(OR($A298="",games!$H298=""),"",games!$H298)</f>
        <v>Yes</v>
      </c>
      <c r="Q298">
        <f t="shared" si="63"/>
        <v>4.0002979999999999</v>
      </c>
      <c r="T298">
        <f>IF(connections!$A298="","",IFERROR(INDEX(games!$B$2:$B$950,MATCH(connections!$A298,games!$A$2:$A$950,0)),""))</f>
        <v>1996</v>
      </c>
      <c r="U298">
        <f>IF(connections!$A298="","",IFERROR(INDEX(games!$B$2:$B$950,MATCH(connections!$B298,games!$A$2:$A$950,0)),""))</f>
        <v>2023</v>
      </c>
      <c r="V298">
        <f t="shared" si="64"/>
        <v>27</v>
      </c>
    </row>
    <row r="299" spans="1:22" x14ac:dyDescent="0.25">
      <c r="A299" t="str">
        <f>IF(games!$A299="","",games!$A299)</f>
        <v>FTL</v>
      </c>
      <c r="B299">
        <f>IF($A299="","",games!$B299)</f>
        <v>2012</v>
      </c>
      <c r="C299" t="str">
        <f>IF($A299="","",games!$C299)</f>
        <v>Strategy</v>
      </c>
      <c r="D299">
        <f>IF($A299="","",COUNTIF(connections!$A$2:$A$1460,$A299)+COUNTIF(connections!$B$2:$B$1460,$A299))</f>
        <v>43</v>
      </c>
      <c r="E299">
        <f t="shared" si="52"/>
        <v>2</v>
      </c>
      <c r="F299">
        <f t="shared" si="53"/>
        <v>27</v>
      </c>
      <c r="G299" t="e">
        <f t="shared" si="54"/>
        <v>#N/A</v>
      </c>
      <c r="H299" t="e">
        <f t="shared" si="55"/>
        <v>#N/A</v>
      </c>
      <c r="I299">
        <f t="shared" si="56"/>
        <v>2012</v>
      </c>
      <c r="J299">
        <f t="shared" si="57"/>
        <v>2.621</v>
      </c>
      <c r="K299" t="e">
        <f t="shared" si="58"/>
        <v>#N/A</v>
      </c>
      <c r="L299" t="e">
        <f t="shared" si="59"/>
        <v>#N/A</v>
      </c>
      <c r="M299" t="e">
        <f t="shared" si="60"/>
        <v>#N/A</v>
      </c>
      <c r="N299" t="e">
        <f t="shared" si="61"/>
        <v>#N/A</v>
      </c>
      <c r="O299">
        <f t="shared" si="62"/>
        <v>43.000298999999998</v>
      </c>
      <c r="P299" t="str">
        <f>IF(OR($A299="",games!$H299=""),"",games!$H299)</f>
        <v>Yes</v>
      </c>
      <c r="Q299">
        <f t="shared" si="63"/>
        <v>43.000298999999998</v>
      </c>
      <c r="T299">
        <f>IF(connections!$A299="","",IFERROR(INDEX(games!$B$2:$B$950,MATCH(connections!$A299,games!$A$2:$A$950,0)),""))</f>
        <v>1996</v>
      </c>
      <c r="U299">
        <f>IF(connections!$A299="","",IFERROR(INDEX(games!$B$2:$B$950,MATCH(connections!$B299,games!$A$2:$A$950,0)),""))</f>
        <v>2012</v>
      </c>
      <c r="V299">
        <f t="shared" si="64"/>
        <v>16</v>
      </c>
    </row>
    <row r="300" spans="1:22" x14ac:dyDescent="0.25">
      <c r="A300" t="str">
        <f>IF(games!$A300="","",games!$A300)</f>
        <v>Full Mojo Rampage</v>
      </c>
      <c r="B300">
        <f>IF($A300="","",games!$B300)</f>
        <v>2013</v>
      </c>
      <c r="C300" t="str">
        <f>IF($A300="","",games!$C300)</f>
        <v>Action</v>
      </c>
      <c r="D300">
        <f>IF($A300="","",COUNTIF(connections!$A$2:$A$1460,$A300)+COUNTIF(connections!$B$2:$B$1460,$A300))</f>
        <v>1</v>
      </c>
      <c r="E300">
        <f t="shared" si="52"/>
        <v>1</v>
      </c>
      <c r="F300">
        <f t="shared" si="53"/>
        <v>28</v>
      </c>
      <c r="G300">
        <f t="shared" si="54"/>
        <v>2013</v>
      </c>
      <c r="H300">
        <f t="shared" si="55"/>
        <v>1.6440000000000001</v>
      </c>
      <c r="I300" t="e">
        <f t="shared" si="56"/>
        <v>#N/A</v>
      </c>
      <c r="J300" t="e">
        <f t="shared" si="57"/>
        <v>#N/A</v>
      </c>
      <c r="K300" t="e">
        <f t="shared" si="58"/>
        <v>#N/A</v>
      </c>
      <c r="L300" t="e">
        <f t="shared" si="59"/>
        <v>#N/A</v>
      </c>
      <c r="M300" t="e">
        <f t="shared" si="60"/>
        <v>#N/A</v>
      </c>
      <c r="N300" t="e">
        <f t="shared" si="61"/>
        <v>#N/A</v>
      </c>
      <c r="O300">
        <f t="shared" si="62"/>
        <v>1.0003</v>
      </c>
      <c r="P300" t="str">
        <f>IF(OR($A300="",games!$H300=""),"",games!$H300)</f>
        <v/>
      </c>
      <c r="Q300" t="str">
        <f t="shared" si="63"/>
        <v/>
      </c>
      <c r="T300">
        <f>IF(connections!$A300="","",IFERROR(INDEX(games!$B$2:$B$950,MATCH(connections!$A300,games!$A$2:$A$950,0)),""))</f>
        <v>1996</v>
      </c>
      <c r="U300">
        <f>IF(connections!$A300="","",IFERROR(INDEX(games!$B$2:$B$950,MATCH(connections!$B300,games!$A$2:$A$950,0)),""))</f>
        <v>2010</v>
      </c>
      <c r="V300">
        <f t="shared" si="64"/>
        <v>14</v>
      </c>
    </row>
    <row r="301" spans="1:22" x14ac:dyDescent="0.25">
      <c r="A301" t="str">
        <f>IF(games!$A301="","",games!$A301)</f>
        <v>Fury Unleashed</v>
      </c>
      <c r="B301">
        <f>IF($A301="","",games!$B301)</f>
        <v>2020</v>
      </c>
      <c r="C301" t="str">
        <f>IF($A301="","",games!$C301)</f>
        <v>Action</v>
      </c>
      <c r="D301">
        <f>IF($A301="","",COUNTIF(connections!$A$2:$A$1460,$A301)+COUNTIF(connections!$B$2:$B$1460,$A301))</f>
        <v>2</v>
      </c>
      <c r="E301">
        <f t="shared" si="52"/>
        <v>1</v>
      </c>
      <c r="F301">
        <f t="shared" si="53"/>
        <v>29</v>
      </c>
      <c r="G301">
        <f t="shared" si="54"/>
        <v>2020</v>
      </c>
      <c r="H301">
        <f t="shared" si="55"/>
        <v>1.667</v>
      </c>
      <c r="I301" t="e">
        <f t="shared" si="56"/>
        <v>#N/A</v>
      </c>
      <c r="J301" t="e">
        <f t="shared" si="57"/>
        <v>#N/A</v>
      </c>
      <c r="K301" t="e">
        <f t="shared" si="58"/>
        <v>#N/A</v>
      </c>
      <c r="L301" t="e">
        <f t="shared" si="59"/>
        <v>#N/A</v>
      </c>
      <c r="M301" t="e">
        <f t="shared" si="60"/>
        <v>#N/A</v>
      </c>
      <c r="N301" t="e">
        <f t="shared" si="61"/>
        <v>#N/A</v>
      </c>
      <c r="O301">
        <f t="shared" si="62"/>
        <v>2.0003009999999999</v>
      </c>
      <c r="P301" t="str">
        <f>IF(OR($A301="",games!$H301=""),"",games!$H301)</f>
        <v>Yes</v>
      </c>
      <c r="Q301">
        <f t="shared" si="63"/>
        <v>2.0003009999999999</v>
      </c>
      <c r="T301">
        <f>IF(connections!$A301="","",IFERROR(INDEX(games!$B$2:$B$950,MATCH(connections!$A301,games!$A$2:$A$950,0)),""))</f>
        <v>1996</v>
      </c>
      <c r="U301">
        <f>IF(connections!$A301="","",IFERROR(INDEX(games!$B$2:$B$950,MATCH(connections!$B301,games!$A$2:$A$950,0)),""))</f>
        <v>2025</v>
      </c>
      <c r="V301">
        <f t="shared" si="64"/>
        <v>29</v>
      </c>
    </row>
    <row r="302" spans="1:22" x14ac:dyDescent="0.25">
      <c r="A302" t="str">
        <f>IF(games!$A302="","",games!$A302)</f>
        <v>Fushigi no Gensoukyou</v>
      </c>
      <c r="B302">
        <f>IF($A302="","",games!$B302)</f>
        <v>2010</v>
      </c>
      <c r="C302" t="str">
        <f>IF($A302="","",games!$C302)</f>
        <v>Traditional</v>
      </c>
      <c r="D302">
        <f>IF($A302="","",COUNTIF(connections!$A$2:$A$1460,$A302)+COUNTIF(connections!$B$2:$B$1460,$A302))</f>
        <v>5</v>
      </c>
      <c r="E302">
        <f t="shared" si="52"/>
        <v>4</v>
      </c>
      <c r="F302">
        <f t="shared" si="53"/>
        <v>30</v>
      </c>
      <c r="G302" t="e">
        <f t="shared" si="54"/>
        <v>#N/A</v>
      </c>
      <c r="H302" t="e">
        <f t="shared" si="55"/>
        <v>#N/A</v>
      </c>
      <c r="I302" t="e">
        <f t="shared" si="56"/>
        <v>#N/A</v>
      </c>
      <c r="J302" t="e">
        <f t="shared" si="57"/>
        <v>#N/A</v>
      </c>
      <c r="K302" t="e">
        <f t="shared" si="58"/>
        <v>#N/A</v>
      </c>
      <c r="L302" t="e">
        <f t="shared" si="59"/>
        <v>#N/A</v>
      </c>
      <c r="M302">
        <f t="shared" si="60"/>
        <v>2010</v>
      </c>
      <c r="N302">
        <f t="shared" si="61"/>
        <v>4.6899999999999995</v>
      </c>
      <c r="O302">
        <f t="shared" si="62"/>
        <v>5.0003019999999996</v>
      </c>
      <c r="P302" t="str">
        <f>IF(OR($A302="",games!$H302=""),"",games!$H302)</f>
        <v/>
      </c>
      <c r="Q302" t="str">
        <f t="shared" si="63"/>
        <v/>
      </c>
      <c r="T302">
        <f>IF(connections!$A302="","",IFERROR(INDEX(games!$B$2:$B$950,MATCH(connections!$A302,games!$A$2:$A$950,0)),""))</f>
        <v>1996</v>
      </c>
      <c r="U302">
        <f>IF(connections!$A302="","",IFERROR(INDEX(games!$B$2:$B$950,MATCH(connections!$B302,games!$A$2:$A$950,0)),""))</f>
        <v>2023</v>
      </c>
      <c r="V302">
        <f t="shared" si="64"/>
        <v>27</v>
      </c>
    </row>
    <row r="303" spans="1:22" x14ac:dyDescent="0.25">
      <c r="A303" t="str">
        <f>IF(games!$A303="","",games!$A303)</f>
        <v>Fushigi no Gensoukyou 3</v>
      </c>
      <c r="B303">
        <f>IF($A303="","",games!$B303)</f>
        <v>2014</v>
      </c>
      <c r="C303" t="str">
        <f>IF($A303="","",games!$C303)</f>
        <v>Traditional</v>
      </c>
      <c r="D303">
        <f>IF($A303="","",COUNTIF(connections!$A$2:$A$1460,$A303)+COUNTIF(connections!$B$2:$B$1460,$A303))</f>
        <v>3</v>
      </c>
      <c r="E303">
        <f t="shared" si="52"/>
        <v>4</v>
      </c>
      <c r="F303">
        <f t="shared" si="53"/>
        <v>31</v>
      </c>
      <c r="G303" t="e">
        <f t="shared" si="54"/>
        <v>#N/A</v>
      </c>
      <c r="H303" t="e">
        <f t="shared" si="55"/>
        <v>#N/A</v>
      </c>
      <c r="I303" t="e">
        <f t="shared" si="56"/>
        <v>#N/A</v>
      </c>
      <c r="J303" t="e">
        <f t="shared" si="57"/>
        <v>#N/A</v>
      </c>
      <c r="K303" t="e">
        <f t="shared" si="58"/>
        <v>#N/A</v>
      </c>
      <c r="L303" t="e">
        <f t="shared" si="59"/>
        <v>#N/A</v>
      </c>
      <c r="M303">
        <f t="shared" si="60"/>
        <v>2014</v>
      </c>
      <c r="N303">
        <f t="shared" si="61"/>
        <v>4.7130000000000001</v>
      </c>
      <c r="O303">
        <f t="shared" si="62"/>
        <v>3.0003030000000002</v>
      </c>
      <c r="P303" t="str">
        <f>IF(OR($A303="",games!$H303=""),"",games!$H303)</f>
        <v/>
      </c>
      <c r="Q303" t="str">
        <f t="shared" si="63"/>
        <v/>
      </c>
      <c r="T303">
        <f>IF(connections!$A303="","",IFERROR(INDEX(games!$B$2:$B$950,MATCH(connections!$A303,games!$A$2:$A$950,0)),""))</f>
        <v>1996</v>
      </c>
      <c r="U303">
        <f>IF(connections!$A303="","",IFERROR(INDEX(games!$B$2:$B$950,MATCH(connections!$B303,games!$A$2:$A$950,0)),""))</f>
        <v>2020</v>
      </c>
      <c r="V303">
        <f t="shared" si="64"/>
        <v>24</v>
      </c>
    </row>
    <row r="304" spans="1:22" x14ac:dyDescent="0.25">
      <c r="A304" t="str">
        <f>IF(games!$A304="","",games!$A304)</f>
        <v>Galactic Glitch</v>
      </c>
      <c r="B304">
        <f>IF($A304="","",games!$B304)</f>
        <v>2024</v>
      </c>
      <c r="C304" t="str">
        <f>IF($A304="","",games!$C304)</f>
        <v>Action</v>
      </c>
      <c r="D304">
        <f>IF($A304="","",COUNTIF(connections!$A$2:$A$1460,$A304)+COUNTIF(connections!$B$2:$B$1460,$A304))</f>
        <v>3</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3.0003039999999999</v>
      </c>
      <c r="P304" t="str">
        <f>IF(OR($A304="",games!$H304=""),"",games!$H304)</f>
        <v>Yes</v>
      </c>
      <c r="Q304">
        <f t="shared" si="63"/>
        <v>3.0003039999999999</v>
      </c>
      <c r="T304">
        <f>IF(connections!$A304="","",IFERROR(INDEX(games!$B$2:$B$950,MATCH(connections!$A304,games!$A$2:$A$950,0)),""))</f>
        <v>1996</v>
      </c>
      <c r="U304">
        <f>IF(connections!$A304="","",IFERROR(INDEX(games!$B$2:$B$950,MATCH(connections!$B304,games!$A$2:$A$950,0)),""))</f>
        <v>2023</v>
      </c>
      <c r="V304">
        <f t="shared" si="64"/>
        <v>27</v>
      </c>
    </row>
    <row r="305" spans="1:22" x14ac:dyDescent="0.25">
      <c r="A305" t="str">
        <f>IF(games!$A305="","",games!$A305)</f>
        <v>Gambonanza</v>
      </c>
      <c r="B305">
        <f>IF($A305="","",games!$B305)</f>
        <v>2026</v>
      </c>
      <c r="C305" t="str">
        <f>IF($A305="","",games!$C305)</f>
        <v>Deckbuilder</v>
      </c>
      <c r="D305">
        <f>IF($A305="","",COUNTIF(connections!$A$2:$A$1460,$A305)+COUNTIF(connections!$B$2:$B$1460,$A305))</f>
        <v>1</v>
      </c>
      <c r="E305">
        <f t="shared" si="52"/>
        <v>3</v>
      </c>
      <c r="F305">
        <f t="shared" si="53"/>
        <v>33</v>
      </c>
      <c r="G305" t="e">
        <f t="shared" si="54"/>
        <v>#N/A</v>
      </c>
      <c r="H305" t="e">
        <f t="shared" si="55"/>
        <v>#N/A</v>
      </c>
      <c r="I305" t="e">
        <f t="shared" si="56"/>
        <v>#N/A</v>
      </c>
      <c r="J305" t="e">
        <f t="shared" si="57"/>
        <v>#N/A</v>
      </c>
      <c r="K305">
        <f t="shared" si="58"/>
        <v>2026</v>
      </c>
      <c r="L305">
        <f t="shared" si="59"/>
        <v>3.7589999999999999</v>
      </c>
      <c r="M305" t="e">
        <f t="shared" si="60"/>
        <v>#N/A</v>
      </c>
      <c r="N305" t="e">
        <f t="shared" si="61"/>
        <v>#N/A</v>
      </c>
      <c r="O305">
        <f t="shared" si="62"/>
        <v>1.000305</v>
      </c>
      <c r="P305" t="str">
        <f>IF(OR($A305="",games!$H305=""),"",games!$H305)</f>
        <v/>
      </c>
      <c r="Q305" t="str">
        <f t="shared" si="63"/>
        <v/>
      </c>
      <c r="T305">
        <f>IF(connections!$A305="","",IFERROR(INDEX(games!$B$2:$B$950,MATCH(connections!$A305,games!$A$2:$A$950,0)),""))</f>
        <v>1996</v>
      </c>
      <c r="U305">
        <f>IF(connections!$A305="","",IFERROR(INDEX(games!$B$2:$B$950,MATCH(connections!$B305,games!$A$2:$A$950,0)),""))</f>
        <v>2025</v>
      </c>
      <c r="V305">
        <f t="shared" si="64"/>
        <v>29</v>
      </c>
    </row>
    <row r="306" spans="1:22" x14ac:dyDescent="0.25">
      <c r="A306" t="str">
        <f>IF(games!$A306="","",games!$A306)</f>
        <v>Garden of Witches</v>
      </c>
      <c r="B306">
        <f>IF($A306="","",games!$B306)</f>
        <v>2025</v>
      </c>
      <c r="C306" t="str">
        <f>IF($A306="","",games!$C306)</f>
        <v>Action</v>
      </c>
      <c r="D306">
        <f>IF($A306="","",COUNTIF(connections!$A$2:$A$1460,$A306)+COUNTIF(connections!$B$2:$B$1460,$A306))</f>
        <v>2</v>
      </c>
      <c r="E306">
        <f t="shared" si="52"/>
        <v>1</v>
      </c>
      <c r="F306">
        <f t="shared" si="53"/>
        <v>0</v>
      </c>
      <c r="G306">
        <f t="shared" si="54"/>
        <v>2025</v>
      </c>
      <c r="H306">
        <f t="shared" si="55"/>
        <v>1</v>
      </c>
      <c r="I306" t="e">
        <f t="shared" si="56"/>
        <v>#N/A</v>
      </c>
      <c r="J306" t="e">
        <f t="shared" si="57"/>
        <v>#N/A</v>
      </c>
      <c r="K306" t="e">
        <f t="shared" si="58"/>
        <v>#N/A</v>
      </c>
      <c r="L306" t="e">
        <f t="shared" si="59"/>
        <v>#N/A</v>
      </c>
      <c r="M306" t="e">
        <f t="shared" si="60"/>
        <v>#N/A</v>
      </c>
      <c r="N306" t="e">
        <f t="shared" si="61"/>
        <v>#N/A</v>
      </c>
      <c r="O306">
        <f t="shared" si="62"/>
        <v>2.0003060000000001</v>
      </c>
      <c r="P306" t="str">
        <f>IF(OR($A306="",games!$H306=""),"",games!$H306)</f>
        <v/>
      </c>
      <c r="Q306" t="str">
        <f t="shared" si="63"/>
        <v/>
      </c>
      <c r="T306">
        <f>IF(connections!$A306="","",IFERROR(INDEX(games!$B$2:$B$950,MATCH(connections!$A306,games!$A$2:$A$950,0)),""))</f>
        <v>1996</v>
      </c>
      <c r="U306">
        <f>IF(connections!$A306="","",IFERROR(INDEX(games!$B$2:$B$950,MATCH(connections!$B306,games!$A$2:$A$950,0)),""))</f>
        <v>2025</v>
      </c>
      <c r="V306">
        <f t="shared" si="64"/>
        <v>29</v>
      </c>
    </row>
    <row r="307" spans="1:22" x14ac:dyDescent="0.25">
      <c r="A307" t="str">
        <f>IF(games!$A307="","",games!$A307)</f>
        <v>Gatekeeper</v>
      </c>
      <c r="B307">
        <f>IF($A307="","",games!$B307)</f>
        <v>2024</v>
      </c>
      <c r="C307" t="str">
        <f>IF($A307="","",games!$C307)</f>
        <v>Action</v>
      </c>
      <c r="D307">
        <f>IF($A307="","",COUNTIF(connections!$A$2:$A$1460,$A307)+COUNTIF(connections!$B$2:$B$1460,$A307))</f>
        <v>1</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1.0003070000000001</v>
      </c>
      <c r="P307" t="str">
        <f>IF(OR($A307="",games!$H307=""),"",games!$H307)</f>
        <v>Yes</v>
      </c>
      <c r="Q307">
        <f t="shared" si="63"/>
        <v>1.0003070000000001</v>
      </c>
      <c r="T307">
        <f>IF(connections!$A307="","",IFERROR(INDEX(games!$B$2:$B$950,MATCH(connections!$A307,games!$A$2:$A$950,0)),""))</f>
        <v>1996</v>
      </c>
      <c r="U307">
        <f>IF(connections!$A307="","",IFERROR(INDEX(games!$B$2:$B$950,MATCH(connections!$B307,games!$A$2:$A$950,0)),""))</f>
        <v>2006</v>
      </c>
      <c r="V307">
        <f t="shared" si="64"/>
        <v>10</v>
      </c>
    </row>
    <row r="308" spans="1:22" x14ac:dyDescent="0.25">
      <c r="A308" t="str">
        <f>IF(games!$A308="","",games!$A308)</f>
        <v>GearHead</v>
      </c>
      <c r="B308">
        <f>IF($A308="","",games!$B308)</f>
        <v>2002</v>
      </c>
      <c r="C308" t="str">
        <f>IF($A308="","",games!$C308)</f>
        <v>Traditional</v>
      </c>
      <c r="D308">
        <f>IF($A308="","",COUNTIF(connections!$A$2:$A$1460,$A308)+COUNTIF(connections!$B$2:$B$1460,$A308))</f>
        <v>3</v>
      </c>
      <c r="E308">
        <f t="shared" si="52"/>
        <v>4</v>
      </c>
      <c r="F308">
        <f t="shared" si="53"/>
        <v>2</v>
      </c>
      <c r="G308" t="e">
        <f t="shared" si="54"/>
        <v>#N/A</v>
      </c>
      <c r="H308" t="e">
        <f t="shared" si="55"/>
        <v>#N/A</v>
      </c>
      <c r="I308" t="e">
        <f t="shared" si="56"/>
        <v>#N/A</v>
      </c>
      <c r="J308" t="e">
        <f t="shared" si="57"/>
        <v>#N/A</v>
      </c>
      <c r="K308" t="e">
        <f t="shared" si="58"/>
        <v>#N/A</v>
      </c>
      <c r="L308" t="e">
        <f t="shared" si="59"/>
        <v>#N/A</v>
      </c>
      <c r="M308">
        <f t="shared" si="60"/>
        <v>2002</v>
      </c>
      <c r="N308">
        <f t="shared" si="61"/>
        <v>4.0460000000000003</v>
      </c>
      <c r="O308">
        <f t="shared" si="62"/>
        <v>3.000308</v>
      </c>
      <c r="P308" t="str">
        <f>IF(OR($A308="",games!$H308=""),"",games!$H308)</f>
        <v>Yes</v>
      </c>
      <c r="Q308">
        <f t="shared" si="63"/>
        <v>3.000308</v>
      </c>
      <c r="T308">
        <f>IF(connections!$A308="","",IFERROR(INDEX(games!$B$2:$B$950,MATCH(connections!$A308,games!$A$2:$A$950,0)),""))</f>
        <v>1996</v>
      </c>
      <c r="U308">
        <f>IF(connections!$A308="","",IFERROR(INDEX(games!$B$2:$B$950,MATCH(connections!$B308,games!$A$2:$A$950,0)),""))</f>
        <v>2026</v>
      </c>
      <c r="V308">
        <f t="shared" si="64"/>
        <v>30</v>
      </c>
    </row>
    <row r="309" spans="1:22" x14ac:dyDescent="0.25">
      <c r="A309" t="str">
        <f>IF(games!$A309="","",games!$A309)</f>
        <v>GearHead 2</v>
      </c>
      <c r="B309">
        <f>IF($A309="","",games!$B309)</f>
        <v>2007</v>
      </c>
      <c r="C309" t="str">
        <f>IF($A309="","",games!$C309)</f>
        <v>Traditional</v>
      </c>
      <c r="D309">
        <f>IF($A309="","",COUNTIF(connections!$A$2:$A$1460,$A309)+COUNTIF(connections!$B$2:$B$1460,$A309))</f>
        <v>2</v>
      </c>
      <c r="E309">
        <f t="shared" si="52"/>
        <v>4</v>
      </c>
      <c r="F309">
        <f t="shared" si="53"/>
        <v>3</v>
      </c>
      <c r="G309" t="e">
        <f t="shared" si="54"/>
        <v>#N/A</v>
      </c>
      <c r="H309" t="e">
        <f t="shared" si="55"/>
        <v>#N/A</v>
      </c>
      <c r="I309" t="e">
        <f t="shared" si="56"/>
        <v>#N/A</v>
      </c>
      <c r="J309" t="e">
        <f t="shared" si="57"/>
        <v>#N/A</v>
      </c>
      <c r="K309" t="e">
        <f t="shared" si="58"/>
        <v>#N/A</v>
      </c>
      <c r="L309" t="e">
        <f t="shared" si="59"/>
        <v>#N/A</v>
      </c>
      <c r="M309">
        <f t="shared" si="60"/>
        <v>2007</v>
      </c>
      <c r="N309">
        <f t="shared" si="61"/>
        <v>4.069</v>
      </c>
      <c r="O309">
        <f t="shared" si="62"/>
        <v>2.0003090000000001</v>
      </c>
      <c r="P309" t="str">
        <f>IF(OR($A309="",games!$H309=""),"",games!$H309)</f>
        <v>Yes</v>
      </c>
      <c r="Q309">
        <f t="shared" si="63"/>
        <v>2.0003090000000001</v>
      </c>
      <c r="T309">
        <f>IF(connections!$A309="","",IFERROR(INDEX(games!$B$2:$B$950,MATCH(connections!$A309,games!$A$2:$A$950,0)),""))</f>
        <v>1996</v>
      </c>
      <c r="U309">
        <f>IF(connections!$A309="","",IFERROR(INDEX(games!$B$2:$B$950,MATCH(connections!$B309,games!$A$2:$A$950,0)),""))</f>
        <v>2014</v>
      </c>
      <c r="V309">
        <f t="shared" si="64"/>
        <v>18</v>
      </c>
    </row>
    <row r="310" spans="1:22" x14ac:dyDescent="0.25">
      <c r="A310" t="str">
        <f>IF(games!$A310="","",games!$A310)</f>
        <v>GearHead Caramel</v>
      </c>
      <c r="B310">
        <f>IF($A310="","",games!$B310)</f>
        <v>2022</v>
      </c>
      <c r="C310" t="str">
        <f>IF($A310="","",games!$C310)</f>
        <v>Traditional</v>
      </c>
      <c r="D310">
        <f>IF($A310="","",COUNTIF(connections!$A$2:$A$1460,$A310)+COUNTIF(connections!$B$2:$B$1460,$A310))</f>
        <v>3</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2022</v>
      </c>
      <c r="N310">
        <f t="shared" si="61"/>
        <v>4.0919999999999996</v>
      </c>
      <c r="O310">
        <f t="shared" si="62"/>
        <v>3.0003099999999998</v>
      </c>
      <c r="P310" t="str">
        <f>IF(OR($A310="",games!$H310=""),"",games!$H310)</f>
        <v/>
      </c>
      <c r="Q310" t="str">
        <f t="shared" si="63"/>
        <v/>
      </c>
      <c r="T310">
        <f>IF(connections!$A310="","",IFERROR(INDEX(games!$B$2:$B$950,MATCH(connections!$A310,games!$A$2:$A$950,0)),""))</f>
        <v>1996</v>
      </c>
      <c r="U310">
        <f>IF(connections!$A310="","",IFERROR(INDEX(games!$B$2:$B$950,MATCH(connections!$B310,games!$A$2:$A$950,0)),""))</f>
        <v>2023</v>
      </c>
      <c r="V310">
        <f t="shared" si="64"/>
        <v>27</v>
      </c>
    </row>
    <row r="311" spans="1:22" x14ac:dyDescent="0.25">
      <c r="A311" t="str">
        <f>IF(games!$A311="","",games!$A311)</f>
        <v>Genome Guardian</v>
      </c>
      <c r="B311">
        <f>IF($A311="","",games!$B311)</f>
        <v>2024</v>
      </c>
      <c r="C311" t="str">
        <f>IF($A311="","",games!$C311)</f>
        <v>Action</v>
      </c>
      <c r="D311">
        <f>IF($A311="","",COUNTIF(connections!$A$2:$A$1460,$A311)+COUNTIF(connections!$B$2:$B$1460,$A311))</f>
        <v>3</v>
      </c>
      <c r="E311">
        <f t="shared" si="52"/>
        <v>1</v>
      </c>
      <c r="F311">
        <f t="shared" si="53"/>
        <v>5</v>
      </c>
      <c r="G311">
        <f t="shared" si="54"/>
        <v>2024</v>
      </c>
      <c r="H311">
        <f t="shared" si="55"/>
        <v>1.115</v>
      </c>
      <c r="I311" t="e">
        <f t="shared" si="56"/>
        <v>#N/A</v>
      </c>
      <c r="J311" t="e">
        <f t="shared" si="57"/>
        <v>#N/A</v>
      </c>
      <c r="K311" t="e">
        <f t="shared" si="58"/>
        <v>#N/A</v>
      </c>
      <c r="L311" t="e">
        <f t="shared" si="59"/>
        <v>#N/A</v>
      </c>
      <c r="M311" t="e">
        <f t="shared" si="60"/>
        <v>#N/A</v>
      </c>
      <c r="N311" t="e">
        <f t="shared" si="61"/>
        <v>#N/A</v>
      </c>
      <c r="O311">
        <f t="shared" si="62"/>
        <v>3.000311</v>
      </c>
      <c r="P311" t="str">
        <f>IF(OR($A311="",games!$H311=""),"",games!$H311)</f>
        <v>Yes</v>
      </c>
      <c r="Q311">
        <f t="shared" si="63"/>
        <v>3.000311</v>
      </c>
      <c r="T311">
        <f>IF(connections!$A311="","",IFERROR(INDEX(games!$B$2:$B$950,MATCH(connections!$A311,games!$A$2:$A$950,0)),""))</f>
        <v>1996</v>
      </c>
      <c r="U311">
        <f>IF(connections!$A311="","",IFERROR(INDEX(games!$B$2:$B$950,MATCH(connections!$B311,games!$A$2:$A$950,0)),""))</f>
        <v>2003</v>
      </c>
      <c r="V311">
        <f t="shared" si="64"/>
        <v>7</v>
      </c>
    </row>
    <row r="312" spans="1:22" x14ac:dyDescent="0.25">
      <c r="A312" t="str">
        <f>IF(games!$A312="","",games!$A312)</f>
        <v>Genome Guardian 2</v>
      </c>
      <c r="B312">
        <f>IF($A312="","",games!$B312)</f>
        <v>2026</v>
      </c>
      <c r="C312" t="str">
        <f>IF($A312="","",games!$C312)</f>
        <v>Action</v>
      </c>
      <c r="D312">
        <f>IF($A312="","",COUNTIF(connections!$A$2:$A$1460,$A312)+COUNTIF(connections!$B$2:$B$1460,$A312))</f>
        <v>1</v>
      </c>
      <c r="E312">
        <f t="shared" si="52"/>
        <v>1</v>
      </c>
      <c r="F312">
        <f t="shared" si="53"/>
        <v>6</v>
      </c>
      <c r="G312">
        <f t="shared" si="54"/>
        <v>2026</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
      </c>
      <c r="Q312" t="str">
        <f t="shared" si="63"/>
        <v/>
      </c>
      <c r="T312">
        <f>IF(connections!$A312="","",IFERROR(INDEX(games!$B$2:$B$950,MATCH(connections!$A312,games!$A$2:$A$950,0)),""))</f>
        <v>1996</v>
      </c>
      <c r="U312">
        <f>IF(connections!$A312="","",IFERROR(INDEX(games!$B$2:$B$950,MATCH(connections!$B312,games!$A$2:$A$950,0)),""))</f>
        <v>2025</v>
      </c>
      <c r="V312">
        <f t="shared" si="64"/>
        <v>29</v>
      </c>
    </row>
    <row r="313" spans="1:22" x14ac:dyDescent="0.25">
      <c r="A313" t="str">
        <f>IF(games!$A313="","",games!$A313)</f>
        <v>Geometry Arena</v>
      </c>
      <c r="B313">
        <f>IF($A313="","",games!$B313)</f>
        <v>2020</v>
      </c>
      <c r="C313" t="str">
        <f>IF($A313="","",games!$C313)</f>
        <v>Action</v>
      </c>
      <c r="D313">
        <f>IF($A313="","",COUNTIF(connections!$A$2:$A$1460,$A313)+COUNTIF(connections!$B$2:$B$1460,$A313))</f>
        <v>1</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1.000313</v>
      </c>
      <c r="P313" t="str">
        <f>IF(OR($A313="",games!$H313=""),"",games!$H313)</f>
        <v>Yes</v>
      </c>
      <c r="Q313">
        <f t="shared" si="63"/>
        <v>1.000313</v>
      </c>
      <c r="T313">
        <f>IF(connections!$A313="","",IFERROR(INDEX(games!$B$2:$B$950,MATCH(connections!$A313,games!$A$2:$A$950,0)),""))</f>
        <v>1996</v>
      </c>
      <c r="U313">
        <f>IF(connections!$A313="","",IFERROR(INDEX(games!$B$2:$B$950,MATCH(connections!$B313,games!$A$2:$A$950,0)),""))</f>
        <v>2020</v>
      </c>
      <c r="V313">
        <f t="shared" si="64"/>
        <v>24</v>
      </c>
    </row>
    <row r="314" spans="1:22" x14ac:dyDescent="0.25">
      <c r="A314" t="str">
        <f>IF(games!$A314="","",games!$A314)</f>
        <v>Geometry Arena 2</v>
      </c>
      <c r="B314">
        <f>IF($A314="","",games!$B314)</f>
        <v>2023</v>
      </c>
      <c r="C314" t="str">
        <f>IF($A314="","",games!$C314)</f>
        <v>Action</v>
      </c>
      <c r="D314">
        <f>IF($A314="","",COUNTIF(connections!$A$2:$A$1460,$A314)+COUNTIF(connections!$B$2:$B$1460,$A314))</f>
        <v>1</v>
      </c>
      <c r="E314">
        <f t="shared" si="52"/>
        <v>1</v>
      </c>
      <c r="F314">
        <f t="shared" si="53"/>
        <v>8</v>
      </c>
      <c r="G314">
        <f t="shared" si="54"/>
        <v>2023</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1996</v>
      </c>
      <c r="U314">
        <f>IF(connections!$A314="","",IFERROR(INDEX(games!$B$2:$B$950,MATCH(connections!$B314,games!$A$2:$A$950,0)),""))</f>
        <v>2026</v>
      </c>
      <c r="V314">
        <f t="shared" si="64"/>
        <v>30</v>
      </c>
    </row>
    <row r="315" spans="1:22" x14ac:dyDescent="0.25">
      <c r="A315" t="str">
        <f>IF(games!$A315="","",games!$A315)</f>
        <v>Glyphica: Typing Survival</v>
      </c>
      <c r="B315">
        <f>IF($A315="","",games!$B315)</f>
        <v>2024</v>
      </c>
      <c r="C315" t="str">
        <f>IF($A315="","",games!$C315)</f>
        <v>Action</v>
      </c>
      <c r="D315">
        <f>IF($A315="","",COUNTIF(connections!$A$2:$A$1460,$A315)+COUNTIF(connections!$B$2:$B$1460,$A315))</f>
        <v>2</v>
      </c>
      <c r="E315">
        <f t="shared" si="52"/>
        <v>1</v>
      </c>
      <c r="F315">
        <f t="shared" si="53"/>
        <v>9</v>
      </c>
      <c r="G315">
        <f t="shared" si="54"/>
        <v>2024</v>
      </c>
      <c r="H315">
        <f t="shared" si="55"/>
        <v>1.2070000000000001</v>
      </c>
      <c r="I315" t="e">
        <f t="shared" si="56"/>
        <v>#N/A</v>
      </c>
      <c r="J315" t="e">
        <f t="shared" si="57"/>
        <v>#N/A</v>
      </c>
      <c r="K315" t="e">
        <f t="shared" si="58"/>
        <v>#N/A</v>
      </c>
      <c r="L315" t="e">
        <f t="shared" si="59"/>
        <v>#N/A</v>
      </c>
      <c r="M315" t="e">
        <f t="shared" si="60"/>
        <v>#N/A</v>
      </c>
      <c r="N315" t="e">
        <f t="shared" si="61"/>
        <v>#N/A</v>
      </c>
      <c r="O315">
        <f t="shared" si="62"/>
        <v>2.0003150000000001</v>
      </c>
      <c r="P315" t="str">
        <f>IF(OR($A315="",games!$H315=""),"",games!$H315)</f>
        <v/>
      </c>
      <c r="Q315" t="str">
        <f t="shared" si="63"/>
        <v/>
      </c>
      <c r="T315">
        <f>IF(connections!$A315="","",IFERROR(INDEX(games!$B$2:$B$950,MATCH(connections!$A315,games!$A$2:$A$950,0)),""))</f>
        <v>1996</v>
      </c>
      <c r="U315">
        <f>IF(connections!$A315="","",IFERROR(INDEX(games!$B$2:$B$950,MATCH(connections!$B315,games!$A$2:$A$950,0)),""))</f>
        <v>2013</v>
      </c>
      <c r="V315">
        <f t="shared" si="64"/>
        <v>17</v>
      </c>
    </row>
    <row r="316" spans="1:22" x14ac:dyDescent="0.25">
      <c r="A316" t="str">
        <f>IF(games!$A316="","",games!$A316)</f>
        <v>GnollHack</v>
      </c>
      <c r="B316">
        <f>IF($A316="","",games!$B316)</f>
        <v>2020</v>
      </c>
      <c r="C316" t="str">
        <f>IF($A316="","",games!$C316)</f>
        <v>Traditional</v>
      </c>
      <c r="D316">
        <f>IF($A316="","",COUNTIF(connections!$A$2:$A$1460,$A316)+COUNTIF(connections!$B$2:$B$1460,$A316))</f>
        <v>1</v>
      </c>
      <c r="E316">
        <f t="shared" si="52"/>
        <v>4</v>
      </c>
      <c r="F316">
        <f t="shared" si="53"/>
        <v>10</v>
      </c>
      <c r="G316" t="e">
        <f t="shared" si="54"/>
        <v>#N/A</v>
      </c>
      <c r="H316" t="e">
        <f t="shared" si="55"/>
        <v>#N/A</v>
      </c>
      <c r="I316" t="e">
        <f t="shared" si="56"/>
        <v>#N/A</v>
      </c>
      <c r="J316" t="e">
        <f t="shared" si="57"/>
        <v>#N/A</v>
      </c>
      <c r="K316" t="e">
        <f t="shared" si="58"/>
        <v>#N/A</v>
      </c>
      <c r="L316" t="e">
        <f t="shared" si="59"/>
        <v>#N/A</v>
      </c>
      <c r="M316">
        <f t="shared" si="60"/>
        <v>2020</v>
      </c>
      <c r="N316">
        <f t="shared" si="61"/>
        <v>4.2300000000000004</v>
      </c>
      <c r="O316">
        <f t="shared" si="62"/>
        <v>1.000316</v>
      </c>
      <c r="P316" t="str">
        <f>IF(OR($A316="",games!$H316=""),"",games!$H316)</f>
        <v>Yes</v>
      </c>
      <c r="Q316">
        <f t="shared" si="63"/>
        <v>1.000316</v>
      </c>
      <c r="T316">
        <f>IF(connections!$A316="","",IFERROR(INDEX(games!$B$2:$B$950,MATCH(connections!$A316,games!$A$2:$A$950,0)),""))</f>
        <v>1996</v>
      </c>
      <c r="U316">
        <f>IF(connections!$A316="","",IFERROR(INDEX(games!$B$2:$B$950,MATCH(connections!$B316,games!$A$2:$A$950,0)),""))</f>
        <v>2024</v>
      </c>
      <c r="V316">
        <f t="shared" si="64"/>
        <v>28</v>
      </c>
    </row>
    <row r="317" spans="1:22" x14ac:dyDescent="0.25">
      <c r="A317" t="str">
        <f>IF(games!$A317="","",games!$A317)</f>
        <v>Gnomes</v>
      </c>
      <c r="B317">
        <f>IF($A317="","",games!$B317)</f>
        <v>2025</v>
      </c>
      <c r="C317" t="str">
        <f>IF($A317="","",games!$C317)</f>
        <v>Strategy</v>
      </c>
      <c r="D317">
        <f>IF($A317="","",COUNTIF(connections!$A$2:$A$1460,$A317)+COUNTIF(connections!$B$2:$B$1460,$A317))</f>
        <v>3</v>
      </c>
      <c r="E317">
        <f t="shared" si="52"/>
        <v>2</v>
      </c>
      <c r="F317">
        <f t="shared" si="53"/>
        <v>11</v>
      </c>
      <c r="G317" t="e">
        <f t="shared" si="54"/>
        <v>#N/A</v>
      </c>
      <c r="H317" t="e">
        <f t="shared" si="55"/>
        <v>#N/A</v>
      </c>
      <c r="I317">
        <f t="shared" si="56"/>
        <v>2025</v>
      </c>
      <c r="J317">
        <f t="shared" si="57"/>
        <v>2.2530000000000001</v>
      </c>
      <c r="K317" t="e">
        <f t="shared" si="58"/>
        <v>#N/A</v>
      </c>
      <c r="L317" t="e">
        <f t="shared" si="59"/>
        <v>#N/A</v>
      </c>
      <c r="M317" t="e">
        <f t="shared" si="60"/>
        <v>#N/A</v>
      </c>
      <c r="N317" t="e">
        <f t="shared" si="61"/>
        <v>#N/A</v>
      </c>
      <c r="O317">
        <f t="shared" si="62"/>
        <v>3.0003169999999999</v>
      </c>
      <c r="P317" t="str">
        <f>IF(OR($A317="",games!$H317=""),"",games!$H317)</f>
        <v>Yes</v>
      </c>
      <c r="Q317">
        <f t="shared" si="63"/>
        <v>3.0003169999999999</v>
      </c>
      <c r="T317">
        <f>IF(connections!$A317="","",IFERROR(INDEX(games!$B$2:$B$950,MATCH(connections!$A317,games!$A$2:$A$950,0)),""))</f>
        <v>2019</v>
      </c>
      <c r="U317">
        <f>IF(connections!$A317="","",IFERROR(INDEX(games!$B$2:$B$950,MATCH(connections!$B317,games!$A$2:$A$950,0)),""))</f>
        <v>2026</v>
      </c>
      <c r="V317">
        <f t="shared" si="64"/>
        <v>7</v>
      </c>
    </row>
    <row r="318" spans="1:22" x14ac:dyDescent="0.25">
      <c r="A318" t="str">
        <f>IF(games!$A318="","",games!$A318)</f>
        <v>Go Mecha Ball</v>
      </c>
      <c r="B318">
        <f>IF($A318="","",games!$B318)</f>
        <v>2024</v>
      </c>
      <c r="C318" t="str">
        <f>IF($A318="","",games!$C318)</f>
        <v>Action</v>
      </c>
      <c r="D318">
        <f>IF($A318="","",COUNTIF(connections!$A$2:$A$1460,$A318)+COUNTIF(connections!$B$2:$B$1460,$A318))</f>
        <v>0</v>
      </c>
      <c r="E318">
        <f t="shared" si="52"/>
        <v>1</v>
      </c>
      <c r="F318">
        <f t="shared" si="53"/>
        <v>12</v>
      </c>
      <c r="G318">
        <f t="shared" si="54"/>
        <v>2024</v>
      </c>
      <c r="H318">
        <f t="shared" si="55"/>
        <v>1.276</v>
      </c>
      <c r="I318" t="e">
        <f t="shared" si="56"/>
        <v>#N/A</v>
      </c>
      <c r="J318" t="e">
        <f t="shared" si="57"/>
        <v>#N/A</v>
      </c>
      <c r="K318" t="e">
        <f t="shared" si="58"/>
        <v>#N/A</v>
      </c>
      <c r="L318" t="e">
        <f t="shared" si="59"/>
        <v>#N/A</v>
      </c>
      <c r="M318" t="e">
        <f t="shared" si="60"/>
        <v>#N/A</v>
      </c>
      <c r="N318" t="e">
        <f t="shared" si="61"/>
        <v>#N/A</v>
      </c>
      <c r="O318">
        <f t="shared" si="62"/>
        <v>3.1799999999999998E-4</v>
      </c>
      <c r="P318" t="str">
        <f>IF(OR($A318="",games!$H318=""),"",games!$H318)</f>
        <v>Yes</v>
      </c>
      <c r="Q318">
        <f t="shared" si="63"/>
        <v>3.1799999999999998E-4</v>
      </c>
      <c r="T318">
        <f>IF(connections!$A318="","",IFERROR(INDEX(games!$B$2:$B$950,MATCH(connections!$A318,games!$A$2:$A$950,0)),""))</f>
        <v>2019</v>
      </c>
      <c r="U318">
        <f>IF(connections!$A318="","",IFERROR(INDEX(games!$B$2:$B$950,MATCH(connections!$B318,games!$A$2:$A$950,0)),""))</f>
        <v>2022</v>
      </c>
      <c r="V318">
        <f t="shared" si="64"/>
        <v>3</v>
      </c>
    </row>
    <row r="319" spans="1:22" x14ac:dyDescent="0.25">
      <c r="A319" t="str">
        <f>IF(games!$A319="","",games!$A319)</f>
        <v>Goblin Sushi</v>
      </c>
      <c r="B319">
        <f>IF($A319="","",games!$B319)</f>
        <v>2026</v>
      </c>
      <c r="C319" t="str">
        <f>IF($A319="","",games!$C319)</f>
        <v>Deckbuilder</v>
      </c>
      <c r="D319">
        <f>IF($A319="","",COUNTIF(connections!$A$2:$A$1460,$A319)+COUNTIF(connections!$B$2:$B$1460,$A319))</f>
        <v>0</v>
      </c>
      <c r="E319">
        <f t="shared" si="52"/>
        <v>3</v>
      </c>
      <c r="F319">
        <f t="shared" si="53"/>
        <v>13</v>
      </c>
      <c r="G319" t="e">
        <f t="shared" si="54"/>
        <v>#N/A</v>
      </c>
      <c r="H319" t="e">
        <f t="shared" si="55"/>
        <v>#N/A</v>
      </c>
      <c r="I319" t="e">
        <f t="shared" si="56"/>
        <v>#N/A</v>
      </c>
      <c r="J319" t="e">
        <f t="shared" si="57"/>
        <v>#N/A</v>
      </c>
      <c r="K319">
        <f t="shared" si="58"/>
        <v>2026</v>
      </c>
      <c r="L319">
        <f t="shared" si="59"/>
        <v>3.2989999999999999</v>
      </c>
      <c r="M319" t="e">
        <f t="shared" si="60"/>
        <v>#N/A</v>
      </c>
      <c r="N319" t="e">
        <f t="shared" si="61"/>
        <v>#N/A</v>
      </c>
      <c r="O319">
        <f t="shared" si="62"/>
        <v>3.19E-4</v>
      </c>
      <c r="P319" t="str">
        <f>IF(OR($A319="",games!$H319=""),"",games!$H319)</f>
        <v/>
      </c>
      <c r="Q319" t="str">
        <f t="shared" si="63"/>
        <v/>
      </c>
      <c r="T319">
        <f>IF(connections!$A319="","",IFERROR(INDEX(games!$B$2:$B$950,MATCH(connections!$A319,games!$A$2:$A$950,0)),""))</f>
        <v>2019</v>
      </c>
      <c r="U319">
        <f>IF(connections!$A319="","",IFERROR(INDEX(games!$B$2:$B$950,MATCH(connections!$B319,games!$A$2:$A$950,0)),""))</f>
        <v>2024</v>
      </c>
      <c r="V319">
        <f t="shared" si="64"/>
        <v>5</v>
      </c>
    </row>
    <row r="320" spans="1:22" x14ac:dyDescent="0.25">
      <c r="A320" t="str">
        <f>IF(games!$A320="","",games!$A320)</f>
        <v>God of Weapons</v>
      </c>
      <c r="B320">
        <f>IF($A320="","",games!$B320)</f>
        <v>2023</v>
      </c>
      <c r="C320" t="str">
        <f>IF($A320="","",games!$C320)</f>
        <v>Action</v>
      </c>
      <c r="D320">
        <f>IF($A320="","",COUNTIF(connections!$A$2:$A$1460,$A320)+COUNTIF(connections!$B$2:$B$1460,$A320))</f>
        <v>3</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3.0003199999999999</v>
      </c>
      <c r="P320" t="str">
        <f>IF(OR($A320="",games!$H320=""),"",games!$H320)</f>
        <v>Yes</v>
      </c>
      <c r="Q320">
        <f t="shared" si="63"/>
        <v>3.0003199999999999</v>
      </c>
      <c r="T320">
        <f>IF(connections!$A320="","",IFERROR(INDEX(games!$B$2:$B$950,MATCH(connections!$A320,games!$A$2:$A$950,0)),""))</f>
        <v>2019</v>
      </c>
      <c r="U320">
        <f>IF(connections!$A320="","",IFERROR(INDEX(games!$B$2:$B$950,MATCH(connections!$B320,games!$A$2:$A$950,0)),""))</f>
        <v>2025</v>
      </c>
      <c r="V320">
        <f t="shared" si="64"/>
        <v>6</v>
      </c>
    </row>
    <row r="321" spans="1:22" x14ac:dyDescent="0.25">
      <c r="A321" t="str">
        <f>IF(games!$A321="","",games!$A321)</f>
        <v>Godbreakers</v>
      </c>
      <c r="B321">
        <f>IF($A321="","",games!$B321)</f>
        <v>2025</v>
      </c>
      <c r="C321" t="str">
        <f>IF($A321="","",games!$C321)</f>
        <v>Action</v>
      </c>
      <c r="D321">
        <f>IF($A321="","",COUNTIF(connections!$A$2:$A$1460,$A321)+COUNTIF(connections!$B$2:$B$1460,$A321))</f>
        <v>0</v>
      </c>
      <c r="E321">
        <f t="shared" si="52"/>
        <v>1</v>
      </c>
      <c r="F321">
        <f t="shared" si="53"/>
        <v>15</v>
      </c>
      <c r="G321">
        <f t="shared" si="54"/>
        <v>2025</v>
      </c>
      <c r="H321">
        <f t="shared" si="55"/>
        <v>1.345</v>
      </c>
      <c r="I321" t="e">
        <f t="shared" si="56"/>
        <v>#N/A</v>
      </c>
      <c r="J321" t="e">
        <f t="shared" si="57"/>
        <v>#N/A</v>
      </c>
      <c r="K321" t="e">
        <f t="shared" si="58"/>
        <v>#N/A</v>
      </c>
      <c r="L321" t="e">
        <f t="shared" si="59"/>
        <v>#N/A</v>
      </c>
      <c r="M321" t="e">
        <f t="shared" si="60"/>
        <v>#N/A</v>
      </c>
      <c r="N321" t="e">
        <f t="shared" si="61"/>
        <v>#N/A</v>
      </c>
      <c r="O321">
        <f t="shared" si="62"/>
        <v>3.21E-4</v>
      </c>
      <c r="P321" t="str">
        <f>IF(OR($A321="",games!$H321=""),"",games!$H321)</f>
        <v>Yes</v>
      </c>
      <c r="Q321">
        <f t="shared" si="63"/>
        <v>3.21E-4</v>
      </c>
      <c r="T321">
        <f>IF(connections!$A321="","",IFERROR(INDEX(games!$B$2:$B$950,MATCH(connections!$A321,games!$A$2:$A$950,0)),""))</f>
        <v>2019</v>
      </c>
      <c r="U321">
        <f>IF(connections!$A321="","",IFERROR(INDEX(games!$B$2:$B$950,MATCH(connections!$B321,games!$A$2:$A$950,0)),""))</f>
        <v>2025</v>
      </c>
      <c r="V321">
        <f t="shared" si="64"/>
        <v>6</v>
      </c>
    </row>
    <row r="322" spans="1:22" x14ac:dyDescent="0.25">
      <c r="A322" t="str">
        <f>IF(games!$A322="","",games!$A322)</f>
        <v>Going Under</v>
      </c>
      <c r="B322">
        <f>IF($A322="","",games!$B322)</f>
        <v>2020</v>
      </c>
      <c r="C322" t="str">
        <f>IF($A322="","",games!$C322)</f>
        <v>Action</v>
      </c>
      <c r="D322">
        <f>IF($A322="","",COUNTIF(connections!$A$2:$A$1460,$A322)+COUNTIF(connections!$B$2:$B$1460,$A322))</f>
        <v>4</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4.0003219999999997</v>
      </c>
      <c r="P322" t="str">
        <f>IF(OR($A322="",games!$H322=""),"",games!$H322)</f>
        <v>Yes</v>
      </c>
      <c r="Q322">
        <f t="shared" ref="Q322:Q385" si="76">IF(OR($A322="",$P322&lt;&gt;"Yes"),"",$D322+ROW()/1000000)</f>
        <v>4.0003219999999997</v>
      </c>
      <c r="T322">
        <f>IF(connections!$A322="","",IFERROR(INDEX(games!$B$2:$B$950,MATCH(connections!$A322,games!$A$2:$A$950,0)),""))</f>
        <v>2019</v>
      </c>
      <c r="U322">
        <f>IF(connections!$A322="","",IFERROR(INDEX(games!$B$2:$B$950,MATCH(connections!$B322,games!$A$2:$A$950,0)),""))</f>
        <v>2025</v>
      </c>
      <c r="V322">
        <f t="shared" ref="V322:V385" si="77">IF(OR($T322="",$U322=""),"",$U322-$T322)</f>
        <v>6</v>
      </c>
    </row>
    <row r="323" spans="1:22" x14ac:dyDescent="0.25">
      <c r="A323" t="str">
        <f>IF(games!$A323="","",games!$A323)</f>
        <v>Golden Krone Hotel</v>
      </c>
      <c r="B323">
        <f>IF($A323="","",games!$B323)</f>
        <v>2014</v>
      </c>
      <c r="C323" t="str">
        <f>IF($A323="","",games!$C323)</f>
        <v>Traditional</v>
      </c>
      <c r="D323">
        <f>IF($A323="","",COUNTIF(connections!$A$2:$A$1460,$A323)+COUNTIF(connections!$B$2:$B$1460,$A323))</f>
        <v>1</v>
      </c>
      <c r="E323">
        <f t="shared" si="65"/>
        <v>4</v>
      </c>
      <c r="F323">
        <f t="shared" si="66"/>
        <v>17</v>
      </c>
      <c r="G323" t="e">
        <f t="shared" si="67"/>
        <v>#N/A</v>
      </c>
      <c r="H323" t="e">
        <f t="shared" si="68"/>
        <v>#N/A</v>
      </c>
      <c r="I323" t="e">
        <f t="shared" si="69"/>
        <v>#N/A</v>
      </c>
      <c r="J323" t="e">
        <f t="shared" si="70"/>
        <v>#N/A</v>
      </c>
      <c r="K323" t="e">
        <f t="shared" si="71"/>
        <v>#N/A</v>
      </c>
      <c r="L323" t="e">
        <f t="shared" si="72"/>
        <v>#N/A</v>
      </c>
      <c r="M323">
        <f t="shared" si="73"/>
        <v>2014</v>
      </c>
      <c r="N323">
        <f t="shared" si="74"/>
        <v>4.391</v>
      </c>
      <c r="O323">
        <f t="shared" si="75"/>
        <v>1.0003230000000001</v>
      </c>
      <c r="P323" t="str">
        <f>IF(OR($A323="",games!$H323=""),"",games!$H323)</f>
        <v>Yes</v>
      </c>
      <c r="Q323">
        <f t="shared" si="76"/>
        <v>1.0003230000000001</v>
      </c>
      <c r="T323">
        <f>IF(connections!$A323="","",IFERROR(INDEX(games!$B$2:$B$950,MATCH(connections!$A323,games!$A$2:$A$950,0)),""))</f>
        <v>2019</v>
      </c>
      <c r="U323">
        <f>IF(connections!$A323="","",IFERROR(INDEX(games!$B$2:$B$950,MATCH(connections!$B323,games!$A$2:$A$950,0)),""))</f>
        <v>2024</v>
      </c>
      <c r="V323">
        <f t="shared" si="77"/>
        <v>5</v>
      </c>
    </row>
    <row r="324" spans="1:22" x14ac:dyDescent="0.25">
      <c r="A324" t="str">
        <f>IF(games!$A324="","",games!$A324)</f>
        <v>Golden Light</v>
      </c>
      <c r="B324">
        <f>IF($A324="","",games!$B324)</f>
        <v>2020</v>
      </c>
      <c r="C324" t="str">
        <f>IF($A324="","",games!$C324)</f>
        <v>Action</v>
      </c>
      <c r="D324">
        <f>IF($A324="","",COUNTIF(connections!$A$2:$A$1460,$A324)+COUNTIF(connections!$B$2:$B$1460,$A324))</f>
        <v>2</v>
      </c>
      <c r="E324">
        <f t="shared" si="65"/>
        <v>1</v>
      </c>
      <c r="F324">
        <f t="shared" si="66"/>
        <v>18</v>
      </c>
      <c r="G324">
        <f t="shared" si="67"/>
        <v>2020</v>
      </c>
      <c r="H324">
        <f t="shared" si="68"/>
        <v>1.4139999999999999</v>
      </c>
      <c r="I324" t="e">
        <f t="shared" si="69"/>
        <v>#N/A</v>
      </c>
      <c r="J324" t="e">
        <f t="shared" si="70"/>
        <v>#N/A</v>
      </c>
      <c r="K324" t="e">
        <f t="shared" si="71"/>
        <v>#N/A</v>
      </c>
      <c r="L324" t="e">
        <f t="shared" si="72"/>
        <v>#N/A</v>
      </c>
      <c r="M324" t="e">
        <f t="shared" si="73"/>
        <v>#N/A</v>
      </c>
      <c r="N324" t="e">
        <f t="shared" si="74"/>
        <v>#N/A</v>
      </c>
      <c r="O324">
        <f t="shared" si="75"/>
        <v>2.000324</v>
      </c>
      <c r="P324" t="str">
        <f>IF(OR($A324="",games!$H324=""),"",games!$H324)</f>
        <v>Yes</v>
      </c>
      <c r="Q324">
        <f t="shared" si="76"/>
        <v>2.000324</v>
      </c>
      <c r="T324">
        <f>IF(connections!$A324="","",IFERROR(INDEX(games!$B$2:$B$950,MATCH(connections!$A324,games!$A$2:$A$950,0)),""))</f>
        <v>2019</v>
      </c>
      <c r="U324">
        <f>IF(connections!$A324="","",IFERROR(INDEX(games!$B$2:$B$950,MATCH(connections!$B324,games!$A$2:$A$950,0)),""))</f>
        <v>2025</v>
      </c>
      <c r="V324">
        <f t="shared" si="77"/>
        <v>6</v>
      </c>
    </row>
    <row r="325" spans="1:22" x14ac:dyDescent="0.25">
      <c r="A325" t="str">
        <f>IF(games!$A325="","",games!$A325)</f>
        <v>Golfie</v>
      </c>
      <c r="B325">
        <f>IF($A325="","",games!$B325)</f>
        <v>2022</v>
      </c>
      <c r="C325" t="str">
        <f>IF($A325="","",games!$C325)</f>
        <v>Action</v>
      </c>
      <c r="D325">
        <f>IF($A325="","",COUNTIF(connections!$A$2:$A$1460,$A325)+COUNTIF(connections!$B$2:$B$1460,$A325))</f>
        <v>1</v>
      </c>
      <c r="E325">
        <f t="shared" si="65"/>
        <v>1</v>
      </c>
      <c r="F325">
        <f t="shared" si="66"/>
        <v>19</v>
      </c>
      <c r="G325">
        <f t="shared" si="67"/>
        <v>2022</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Yes</v>
      </c>
      <c r="Q325">
        <f t="shared" si="76"/>
        <v>1.0003249999999999</v>
      </c>
      <c r="T325">
        <f>IF(connections!$A325="","",IFERROR(INDEX(games!$B$2:$B$950,MATCH(connections!$A325,games!$A$2:$A$950,0)),""))</f>
        <v>2019</v>
      </c>
      <c r="U325">
        <f>IF(connections!$A325="","",IFERROR(INDEX(games!$B$2:$B$950,MATCH(connections!$B325,games!$A$2:$A$950,0)),""))</f>
        <v>2024</v>
      </c>
      <c r="V325">
        <f t="shared" si="77"/>
        <v>5</v>
      </c>
    </row>
    <row r="326" spans="1:22" x14ac:dyDescent="0.25">
      <c r="A326" t="str">
        <f>IF(games!$A326="","",games!$A326)</f>
        <v>GoNNER</v>
      </c>
      <c r="B326">
        <f>IF($A326="","",games!$B326)</f>
        <v>2016</v>
      </c>
      <c r="C326" t="str">
        <f>IF($A326="","",games!$C326)</f>
        <v>Action</v>
      </c>
      <c r="D326">
        <f>IF($A326="","",COUNTIF(connections!$A$2:$A$1460,$A326)+COUNTIF(connections!$B$2:$B$1460,$A326))</f>
        <v>5</v>
      </c>
      <c r="E326">
        <f t="shared" si="65"/>
        <v>1</v>
      </c>
      <c r="F326">
        <f t="shared" si="66"/>
        <v>20</v>
      </c>
      <c r="G326">
        <f t="shared" si="67"/>
        <v>2016</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2019</v>
      </c>
      <c r="U326">
        <f>IF(connections!$A326="","",IFERROR(INDEX(games!$B$2:$B$950,MATCH(connections!$B326,games!$A$2:$A$950,0)),""))</f>
        <v>2022</v>
      </c>
      <c r="V326">
        <f t="shared" si="77"/>
        <v>3</v>
      </c>
    </row>
    <row r="327" spans="1:22" x14ac:dyDescent="0.25">
      <c r="A327" t="str">
        <f>IF(games!$A327="","",games!$A327)</f>
        <v>GONNER2</v>
      </c>
      <c r="B327">
        <f>IF($A327="","",games!$B327)</f>
        <v>2020</v>
      </c>
      <c r="C327" t="str">
        <f>IF($A327="","",games!$C327)</f>
        <v>Action</v>
      </c>
      <c r="D327">
        <f>IF($A327="","",COUNTIF(connections!$A$2:$A$1460,$A327)+COUNTIF(connections!$B$2:$B$1460,$A327))</f>
        <v>1</v>
      </c>
      <c r="E327">
        <f t="shared" si="65"/>
        <v>1</v>
      </c>
      <c r="F327">
        <f t="shared" si="66"/>
        <v>21</v>
      </c>
      <c r="G327">
        <f t="shared" si="67"/>
        <v>2020</v>
      </c>
      <c r="H327">
        <f t="shared" si="68"/>
        <v>1.4830000000000001</v>
      </c>
      <c r="I327" t="e">
        <f t="shared" si="69"/>
        <v>#N/A</v>
      </c>
      <c r="J327" t="e">
        <f t="shared" si="70"/>
        <v>#N/A</v>
      </c>
      <c r="K327" t="e">
        <f t="shared" si="71"/>
        <v>#N/A</v>
      </c>
      <c r="L327" t="e">
        <f t="shared" si="72"/>
        <v>#N/A</v>
      </c>
      <c r="M327" t="e">
        <f t="shared" si="73"/>
        <v>#N/A</v>
      </c>
      <c r="N327" t="e">
        <f t="shared" si="74"/>
        <v>#N/A</v>
      </c>
      <c r="O327">
        <f t="shared" si="75"/>
        <v>1.000327</v>
      </c>
      <c r="P327" t="str">
        <f>IF(OR($A327="",games!$H327=""),"",games!$H327)</f>
        <v>Yes</v>
      </c>
      <c r="Q327">
        <f t="shared" si="76"/>
        <v>1.000327</v>
      </c>
      <c r="T327">
        <f>IF(connections!$A327="","",IFERROR(INDEX(games!$B$2:$B$950,MATCH(connections!$A327,games!$A$2:$A$950,0)),""))</f>
        <v>2022</v>
      </c>
      <c r="U327">
        <f>IF(connections!$A327="","",IFERROR(INDEX(games!$B$2:$B$950,MATCH(connections!$B327,games!$A$2:$A$950,0)),""))</f>
        <v>2023</v>
      </c>
      <c r="V327">
        <f t="shared" si="77"/>
        <v>1</v>
      </c>
    </row>
    <row r="328" spans="1:22" x14ac:dyDescent="0.25">
      <c r="A328" t="str">
        <f>IF(games!$A328="","",games!$A328)</f>
        <v>Goobies</v>
      </c>
      <c r="B328">
        <f>IF($A328="","",games!$B328)</f>
        <v>2023</v>
      </c>
      <c r="C328" t="str">
        <f>IF($A328="","",games!$C328)</f>
        <v>Action</v>
      </c>
      <c r="D328">
        <f>IF($A328="","",COUNTIF(connections!$A$2:$A$1460,$A328)+COUNTIF(connections!$B$2:$B$1460,$A328))</f>
        <v>1</v>
      </c>
      <c r="E328">
        <f t="shared" si="65"/>
        <v>1</v>
      </c>
      <c r="F328">
        <f t="shared" si="66"/>
        <v>22</v>
      </c>
      <c r="G328">
        <f t="shared" si="67"/>
        <v>2023</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
      </c>
      <c r="Q328" t="str">
        <f t="shared" si="76"/>
        <v/>
      </c>
      <c r="T328">
        <f>IF(connections!$A328="","",IFERROR(INDEX(games!$B$2:$B$950,MATCH(connections!$A328,games!$A$2:$A$950,0)),""))</f>
        <v>2022</v>
      </c>
      <c r="U328">
        <f>IF(connections!$A328="","",IFERROR(INDEX(games!$B$2:$B$950,MATCH(connections!$B328,games!$A$2:$A$950,0)),""))</f>
        <v>2025</v>
      </c>
      <c r="V328">
        <f t="shared" si="77"/>
        <v>3</v>
      </c>
    </row>
    <row r="329" spans="1:22" x14ac:dyDescent="0.25">
      <c r="A329" t="str">
        <f>IF(games!$A329="","",games!$A329)</f>
        <v>Gordian Quest</v>
      </c>
      <c r="B329">
        <f>IF($A329="","",games!$B329)</f>
        <v>2020</v>
      </c>
      <c r="C329" t="str">
        <f>IF($A329="","",games!$C329)</f>
        <v>Deckbuilder</v>
      </c>
      <c r="D329">
        <f>IF($A329="","",COUNTIF(connections!$A$2:$A$1460,$A329)+COUNTIF(connections!$B$2:$B$1460,$A329))</f>
        <v>3</v>
      </c>
      <c r="E329">
        <f t="shared" si="65"/>
        <v>3</v>
      </c>
      <c r="F329">
        <f t="shared" si="66"/>
        <v>23</v>
      </c>
      <c r="G329" t="e">
        <f t="shared" si="67"/>
        <v>#N/A</v>
      </c>
      <c r="H329" t="e">
        <f t="shared" si="68"/>
        <v>#N/A</v>
      </c>
      <c r="I329" t="e">
        <f t="shared" si="69"/>
        <v>#N/A</v>
      </c>
      <c r="J329" t="e">
        <f t="shared" si="70"/>
        <v>#N/A</v>
      </c>
      <c r="K329">
        <f t="shared" si="71"/>
        <v>2020</v>
      </c>
      <c r="L329">
        <f t="shared" si="72"/>
        <v>3.5289999999999999</v>
      </c>
      <c r="M329" t="e">
        <f t="shared" si="73"/>
        <v>#N/A</v>
      </c>
      <c r="N329" t="e">
        <f t="shared" si="74"/>
        <v>#N/A</v>
      </c>
      <c r="O329">
        <f t="shared" si="75"/>
        <v>3.0003289999999998</v>
      </c>
      <c r="P329" t="str">
        <f>IF(OR($A329="",games!$H329=""),"",games!$H329)</f>
        <v>Yes</v>
      </c>
      <c r="Q329">
        <f t="shared" si="76"/>
        <v>3.0003289999999998</v>
      </c>
      <c r="T329">
        <f>IF(connections!$A329="","",IFERROR(INDEX(games!$B$2:$B$950,MATCH(connections!$A329,games!$A$2:$A$950,0)),""))</f>
        <v>2022</v>
      </c>
      <c r="U329">
        <f>IF(connections!$A329="","",IFERROR(INDEX(games!$B$2:$B$950,MATCH(connections!$B329,games!$A$2:$A$950,0)),""))</f>
        <v>2024</v>
      </c>
      <c r="V329">
        <f t="shared" si="77"/>
        <v>2</v>
      </c>
    </row>
    <row r="330" spans="1:22" x14ac:dyDescent="0.25">
      <c r="A330" t="str">
        <f>IF(games!$A330="","",games!$A330)</f>
        <v>Granvir</v>
      </c>
      <c r="B330">
        <f>IF($A330="","",games!$B330)</f>
        <v>2025</v>
      </c>
      <c r="C330" t="str">
        <f>IF($A330="","",games!$C330)</f>
        <v>Action</v>
      </c>
      <c r="D330">
        <f>IF($A330="","",COUNTIF(connections!$A$2:$A$1460,$A330)+COUNTIF(connections!$B$2:$B$1460,$A330))</f>
        <v>0</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3.3E-4</v>
      </c>
      <c r="P330" t="str">
        <f>IF(OR($A330="",games!$H330=""),"",games!$H330)</f>
        <v/>
      </c>
      <c r="Q330" t="str">
        <f t="shared" si="76"/>
        <v/>
      </c>
      <c r="T330">
        <f>IF(connections!$A330="","",IFERROR(INDEX(games!$B$2:$B$950,MATCH(connections!$A330,games!$A$2:$A$950,0)),""))</f>
        <v>2022</v>
      </c>
      <c r="U330">
        <f>IF(connections!$A330="","",IFERROR(INDEX(games!$B$2:$B$950,MATCH(connections!$B330,games!$A$2:$A$950,0)),""))</f>
        <v>2025</v>
      </c>
      <c r="V330">
        <f t="shared" si="77"/>
        <v>3</v>
      </c>
    </row>
    <row r="331" spans="1:22" x14ac:dyDescent="0.25">
      <c r="A331" t="str">
        <f>IF(games!$A331="","",games!$A331)</f>
        <v>Greedland</v>
      </c>
      <c r="B331">
        <f>IF($A331="","",games!$B331)</f>
        <v>2023</v>
      </c>
      <c r="C331" t="str">
        <f>IF($A331="","",games!$C331)</f>
        <v>Action</v>
      </c>
      <c r="D331">
        <f>IF($A331="","",COUNTIF(connections!$A$2:$A$1460,$A331)+COUNTIF(connections!$B$2:$B$1460,$A331))</f>
        <v>1</v>
      </c>
      <c r="E331">
        <f t="shared" si="65"/>
        <v>1</v>
      </c>
      <c r="F331">
        <f t="shared" si="66"/>
        <v>25</v>
      </c>
      <c r="G331">
        <f t="shared" si="67"/>
        <v>2023</v>
      </c>
      <c r="H331">
        <f t="shared" si="68"/>
        <v>1.575</v>
      </c>
      <c r="I331" t="e">
        <f t="shared" si="69"/>
        <v>#N/A</v>
      </c>
      <c r="J331" t="e">
        <f t="shared" si="70"/>
        <v>#N/A</v>
      </c>
      <c r="K331" t="e">
        <f t="shared" si="71"/>
        <v>#N/A</v>
      </c>
      <c r="L331" t="e">
        <f t="shared" si="72"/>
        <v>#N/A</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2022</v>
      </c>
      <c r="U331">
        <f>IF(connections!$A331="","",IFERROR(INDEX(games!$B$2:$B$950,MATCH(connections!$B331,games!$A$2:$A$950,0)),""))</f>
        <v>2023</v>
      </c>
      <c r="V331">
        <f t="shared" si="77"/>
        <v>1</v>
      </c>
    </row>
    <row r="332" spans="1:22" x14ac:dyDescent="0.25">
      <c r="A332" t="str">
        <f>IF(games!$A332="","",games!$A332)</f>
        <v>Griftlands</v>
      </c>
      <c r="B332">
        <f>IF($A332="","",games!$B332)</f>
        <v>2020</v>
      </c>
      <c r="C332" t="str">
        <f>IF($A332="","",games!$C332)</f>
        <v>Deckbuilder</v>
      </c>
      <c r="D332">
        <f>IF($A332="","",COUNTIF(connections!$A$2:$A$1460,$A332)+COUNTIF(connections!$B$2:$B$1460,$A332))</f>
        <v>3</v>
      </c>
      <c r="E332">
        <f t="shared" si="65"/>
        <v>3</v>
      </c>
      <c r="F332">
        <f t="shared" si="66"/>
        <v>26</v>
      </c>
      <c r="G332" t="e">
        <f t="shared" si="67"/>
        <v>#N/A</v>
      </c>
      <c r="H332" t="e">
        <f t="shared" si="68"/>
        <v>#N/A</v>
      </c>
      <c r="I332" t="e">
        <f t="shared" si="69"/>
        <v>#N/A</v>
      </c>
      <c r="J332" t="e">
        <f t="shared" si="70"/>
        <v>#N/A</v>
      </c>
      <c r="K332">
        <f t="shared" si="71"/>
        <v>2020</v>
      </c>
      <c r="L332">
        <f t="shared" si="72"/>
        <v>3.5979999999999999</v>
      </c>
      <c r="M332" t="e">
        <f t="shared" si="73"/>
        <v>#N/A</v>
      </c>
      <c r="N332" t="e">
        <f t="shared" si="74"/>
        <v>#N/A</v>
      </c>
      <c r="O332">
        <f t="shared" si="75"/>
        <v>3.0003320000000002</v>
      </c>
      <c r="P332" t="str">
        <f>IF(OR($A332="",games!$H332=""),"",games!$H332)</f>
        <v>Yes</v>
      </c>
      <c r="Q332">
        <f t="shared" si="76"/>
        <v>3.0003320000000002</v>
      </c>
      <c r="T332">
        <f>IF(connections!$A332="","",IFERROR(INDEX(games!$B$2:$B$950,MATCH(connections!$A332,games!$A$2:$A$950,0)),""))</f>
        <v>2013</v>
      </c>
      <c r="U332">
        <f>IF(connections!$A332="","",IFERROR(INDEX(games!$B$2:$B$950,MATCH(connections!$B332,games!$A$2:$A$950,0)),""))</f>
        <v>2022</v>
      </c>
      <c r="V332">
        <f t="shared" si="77"/>
        <v>9</v>
      </c>
    </row>
    <row r="333" spans="1:22" x14ac:dyDescent="0.25">
      <c r="A333" t="str">
        <f>IF(games!$A333="","",games!$A333)</f>
        <v>Guidus</v>
      </c>
      <c r="B333">
        <f>IF($A333="","",games!$B333)</f>
        <v>2021</v>
      </c>
      <c r="C333" t="str">
        <f>IF($A333="","",games!$C333)</f>
        <v>Action</v>
      </c>
      <c r="D333">
        <f>IF($A333="","",COUNTIF(connections!$A$2:$A$1460,$A333)+COUNTIF(connections!$B$2:$B$1460,$A333))</f>
        <v>2</v>
      </c>
      <c r="E333">
        <f t="shared" si="65"/>
        <v>1</v>
      </c>
      <c r="F333">
        <f t="shared" si="66"/>
        <v>27</v>
      </c>
      <c r="G333">
        <f t="shared" si="67"/>
        <v>2021</v>
      </c>
      <c r="H333">
        <f t="shared" si="68"/>
        <v>1.621</v>
      </c>
      <c r="I333" t="e">
        <f t="shared" si="69"/>
        <v>#N/A</v>
      </c>
      <c r="J333" t="e">
        <f t="shared" si="70"/>
        <v>#N/A</v>
      </c>
      <c r="K333" t="e">
        <f t="shared" si="71"/>
        <v>#N/A</v>
      </c>
      <c r="L333" t="e">
        <f t="shared" si="72"/>
        <v>#N/A</v>
      </c>
      <c r="M333" t="e">
        <f t="shared" si="73"/>
        <v>#N/A</v>
      </c>
      <c r="N333" t="e">
        <f t="shared" si="74"/>
        <v>#N/A</v>
      </c>
      <c r="O333">
        <f t="shared" si="75"/>
        <v>2.0003329999999999</v>
      </c>
      <c r="P333" t="str">
        <f>IF(OR($A333="",games!$H333=""),"",games!$H333)</f>
        <v>Yes</v>
      </c>
      <c r="Q333">
        <f t="shared" si="76"/>
        <v>2.0003329999999999</v>
      </c>
      <c r="T333">
        <f>IF(connections!$A333="","",IFERROR(INDEX(games!$B$2:$B$950,MATCH(connections!$A333,games!$A$2:$A$950,0)),""))</f>
        <v>2013</v>
      </c>
      <c r="U333">
        <f>IF(connections!$A333="","",IFERROR(INDEX(games!$B$2:$B$950,MATCH(connections!$B333,games!$A$2:$A$950,0)),""))</f>
        <v>2014</v>
      </c>
      <c r="V333">
        <f t="shared" si="77"/>
        <v>1</v>
      </c>
    </row>
    <row r="334" spans="1:22" x14ac:dyDescent="0.25">
      <c r="A334" t="str">
        <f>IF(games!$A334="","",games!$A334)</f>
        <v>Guidus Zero</v>
      </c>
      <c r="B334">
        <f>IF($A334="","",games!$B334)</f>
        <v>2024</v>
      </c>
      <c r="C334" t="str">
        <f>IF($A334="","",games!$C334)</f>
        <v>Action</v>
      </c>
      <c r="D334">
        <f>IF($A334="","",COUNTIF(connections!$A$2:$A$1460,$A334)+COUNTIF(connections!$B$2:$B$1460,$A334))</f>
        <v>1</v>
      </c>
      <c r="E334">
        <f t="shared" si="65"/>
        <v>1</v>
      </c>
      <c r="F334">
        <f t="shared" si="66"/>
        <v>28</v>
      </c>
      <c r="G334">
        <f t="shared" si="67"/>
        <v>2024</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
      </c>
      <c r="Q334" t="str">
        <f t="shared" si="76"/>
        <v/>
      </c>
      <c r="T334">
        <f>IF(connections!$A334="","",IFERROR(INDEX(games!$B$2:$B$950,MATCH(connections!$A334,games!$A$2:$A$950,0)),""))</f>
        <v>2013</v>
      </c>
      <c r="U334">
        <f>IF(connections!$A334="","",IFERROR(INDEX(games!$B$2:$B$950,MATCH(connections!$B334,games!$A$2:$A$950,0)),""))</f>
        <v>2026</v>
      </c>
      <c r="V334">
        <f t="shared" si="77"/>
        <v>13</v>
      </c>
    </row>
    <row r="335" spans="1:22" x14ac:dyDescent="0.25">
      <c r="A335" t="str">
        <f>IF(games!$A335="","",games!$A335)</f>
        <v>Guild of Dungeoneering</v>
      </c>
      <c r="B335">
        <f>IF($A335="","",games!$B335)</f>
        <v>2015</v>
      </c>
      <c r="C335" t="str">
        <f>IF($A335="","",games!$C335)</f>
        <v>Deckbuilder</v>
      </c>
      <c r="D335">
        <f>IF($A335="","",COUNTIF(connections!$A$2:$A$1460,$A335)+COUNTIF(connections!$B$2:$B$1460,$A335))</f>
        <v>3</v>
      </c>
      <c r="E335">
        <f t="shared" si="65"/>
        <v>3</v>
      </c>
      <c r="F335">
        <f t="shared" si="66"/>
        <v>29</v>
      </c>
      <c r="G335" t="e">
        <f t="shared" si="67"/>
        <v>#N/A</v>
      </c>
      <c r="H335" t="e">
        <f t="shared" si="68"/>
        <v>#N/A</v>
      </c>
      <c r="I335" t="e">
        <f t="shared" si="69"/>
        <v>#N/A</v>
      </c>
      <c r="J335" t="e">
        <f t="shared" si="70"/>
        <v>#N/A</v>
      </c>
      <c r="K335">
        <f t="shared" si="71"/>
        <v>2015</v>
      </c>
      <c r="L335">
        <f t="shared" si="72"/>
        <v>3.6669999999999998</v>
      </c>
      <c r="M335" t="e">
        <f t="shared" si="73"/>
        <v>#N/A</v>
      </c>
      <c r="N335" t="e">
        <f t="shared" si="74"/>
        <v>#N/A</v>
      </c>
      <c r="O335">
        <f t="shared" si="75"/>
        <v>3.0003350000000002</v>
      </c>
      <c r="P335" t="str">
        <f>IF(OR($A335="",games!$H335=""),"",games!$H335)</f>
        <v/>
      </c>
      <c r="Q335" t="str">
        <f t="shared" si="76"/>
        <v/>
      </c>
      <c r="T335">
        <f>IF(connections!$A335="","",IFERROR(INDEX(games!$B$2:$B$950,MATCH(connections!$A335,games!$A$2:$A$950,0)),""))</f>
        <v>2013</v>
      </c>
      <c r="U335">
        <f>IF(connections!$A335="","",IFERROR(INDEX(games!$B$2:$B$950,MATCH(connections!$B335,games!$A$2:$A$950,0)),""))</f>
        <v>2014</v>
      </c>
      <c r="V335">
        <f t="shared" si="77"/>
        <v>1</v>
      </c>
    </row>
    <row r="336" spans="1:22" x14ac:dyDescent="0.25">
      <c r="A336" t="str">
        <f>IF(games!$A336="","",games!$A336)</f>
        <v>Gumballs &amp; Dungeons</v>
      </c>
      <c r="B336">
        <f>IF($A336="","",games!$B336)</f>
        <v>2017</v>
      </c>
      <c r="C336" t="str">
        <f>IF($A336="","",games!$C336)</f>
        <v>Strategy</v>
      </c>
      <c r="D336">
        <f>IF($A336="","",COUNTIF(connections!$A$2:$A$1460,$A336)+COUNTIF(connections!$B$2:$B$1460,$A336))</f>
        <v>0</v>
      </c>
      <c r="E336">
        <f t="shared" si="65"/>
        <v>2</v>
      </c>
      <c r="F336">
        <f t="shared" si="66"/>
        <v>30</v>
      </c>
      <c r="G336" t="e">
        <f t="shared" si="67"/>
        <v>#N/A</v>
      </c>
      <c r="H336" t="e">
        <f t="shared" si="68"/>
        <v>#N/A</v>
      </c>
      <c r="I336">
        <f t="shared" si="69"/>
        <v>2017</v>
      </c>
      <c r="J336">
        <f t="shared" si="70"/>
        <v>2.69</v>
      </c>
      <c r="K336" t="e">
        <f t="shared" si="71"/>
        <v>#N/A</v>
      </c>
      <c r="L336" t="e">
        <f t="shared" si="72"/>
        <v>#N/A</v>
      </c>
      <c r="M336" t="e">
        <f t="shared" si="73"/>
        <v>#N/A</v>
      </c>
      <c r="N336" t="e">
        <f t="shared" si="74"/>
        <v>#N/A</v>
      </c>
      <c r="O336">
        <f t="shared" si="75"/>
        <v>3.3599999999999998E-4</v>
      </c>
      <c r="P336" t="str">
        <f>IF(OR($A336="",games!$H336=""),"",games!$H336)</f>
        <v>Yes</v>
      </c>
      <c r="Q336">
        <f t="shared" si="76"/>
        <v>3.3599999999999998E-4</v>
      </c>
      <c r="T336">
        <f>IF(connections!$A336="","",IFERROR(INDEX(games!$B$2:$B$950,MATCH(connections!$A336,games!$A$2:$A$950,0)),""))</f>
        <v>2013</v>
      </c>
      <c r="U336">
        <f>IF(connections!$A336="","",IFERROR(INDEX(games!$B$2:$B$950,MATCH(connections!$B336,games!$A$2:$A$950,0)),""))</f>
        <v>2014</v>
      </c>
      <c r="V336">
        <f t="shared" si="77"/>
        <v>1</v>
      </c>
    </row>
    <row r="337" spans="1:22" x14ac:dyDescent="0.25">
      <c r="A337" t="str">
        <f>IF(games!$A337="","",games!$A337)</f>
        <v>Gunfire Reborn</v>
      </c>
      <c r="B337">
        <f>IF($A337="","",games!$B337)</f>
        <v>2020</v>
      </c>
      <c r="C337" t="str">
        <f>IF($A337="","",games!$C337)</f>
        <v>Action</v>
      </c>
      <c r="D337">
        <f>IF($A337="","",COUNTIF(connections!$A$2:$A$1460,$A337)+COUNTIF(connections!$B$2:$B$1460,$A337))</f>
        <v>8</v>
      </c>
      <c r="E337">
        <f t="shared" si="65"/>
        <v>1</v>
      </c>
      <c r="F337">
        <f t="shared" si="66"/>
        <v>31</v>
      </c>
      <c r="G337">
        <f t="shared" si="67"/>
        <v>2020</v>
      </c>
      <c r="H337">
        <f t="shared" si="68"/>
        <v>1.7130000000000001</v>
      </c>
      <c r="I337" t="e">
        <f t="shared" si="69"/>
        <v>#N/A</v>
      </c>
      <c r="J337" t="e">
        <f t="shared" si="70"/>
        <v>#N/A</v>
      </c>
      <c r="K337" t="e">
        <f t="shared" si="71"/>
        <v>#N/A</v>
      </c>
      <c r="L337" t="e">
        <f t="shared" si="72"/>
        <v>#N/A</v>
      </c>
      <c r="M337" t="e">
        <f t="shared" si="73"/>
        <v>#N/A</v>
      </c>
      <c r="N337" t="e">
        <f t="shared" si="74"/>
        <v>#N/A</v>
      </c>
      <c r="O337">
        <f t="shared" si="75"/>
        <v>8.000337</v>
      </c>
      <c r="P337" t="str">
        <f>IF(OR($A337="",games!$H337=""),"",games!$H337)</f>
        <v>Yes</v>
      </c>
      <c r="Q337">
        <f t="shared" si="76"/>
        <v>8.000337</v>
      </c>
      <c r="T337">
        <f>IF(connections!$A337="","",IFERROR(INDEX(games!$B$2:$B$950,MATCH(connections!$A337,games!$A$2:$A$950,0)),""))</f>
        <v>2013</v>
      </c>
      <c r="U337">
        <f>IF(connections!$A337="","",IFERROR(INDEX(games!$B$2:$B$950,MATCH(connections!$B337,games!$A$2:$A$950,0)),""))</f>
        <v>2024</v>
      </c>
      <c r="V337">
        <f t="shared" si="77"/>
        <v>11</v>
      </c>
    </row>
    <row r="338" spans="1:22" x14ac:dyDescent="0.25">
      <c r="A338" t="str">
        <f>IF(games!$A338="","",games!$A338)</f>
        <v>Gunlocked</v>
      </c>
      <c r="B338">
        <f>IF($A338="","",games!$B338)</f>
        <v>2022</v>
      </c>
      <c r="C338" t="str">
        <f>IF($A338="","",games!$C338)</f>
        <v>Action</v>
      </c>
      <c r="D338">
        <f>IF($A338="","",COUNTIF(connections!$A$2:$A$1460,$A338)+COUNTIF(connections!$B$2:$B$1460,$A338))</f>
        <v>2</v>
      </c>
      <c r="E338">
        <f t="shared" si="65"/>
        <v>1</v>
      </c>
      <c r="F338">
        <f t="shared" si="66"/>
        <v>32</v>
      </c>
      <c r="G338">
        <f t="shared" si="67"/>
        <v>2022</v>
      </c>
      <c r="H338">
        <f t="shared" si="68"/>
        <v>1.736</v>
      </c>
      <c r="I338" t="e">
        <f t="shared" si="69"/>
        <v>#N/A</v>
      </c>
      <c r="J338" t="e">
        <f t="shared" si="70"/>
        <v>#N/A</v>
      </c>
      <c r="K338" t="e">
        <f t="shared" si="71"/>
        <v>#N/A</v>
      </c>
      <c r="L338" t="e">
        <f t="shared" si="72"/>
        <v>#N/A</v>
      </c>
      <c r="M338" t="e">
        <f t="shared" si="73"/>
        <v>#N/A</v>
      </c>
      <c r="N338" t="e">
        <f t="shared" si="74"/>
        <v>#N/A</v>
      </c>
      <c r="O338">
        <f t="shared" si="75"/>
        <v>2.0003380000000002</v>
      </c>
      <c r="P338" t="str">
        <f>IF(OR($A338="",games!$H338=""),"",games!$H338)</f>
        <v>Yes</v>
      </c>
      <c r="Q338">
        <f t="shared" si="76"/>
        <v>2.0003380000000002</v>
      </c>
      <c r="T338">
        <f>IF(connections!$A338="","",IFERROR(INDEX(games!$B$2:$B$950,MATCH(connections!$A338,games!$A$2:$A$950,0)),""))</f>
        <v>2013</v>
      </c>
      <c r="U338">
        <f>IF(connections!$A338="","",IFERROR(INDEX(games!$B$2:$B$950,MATCH(connections!$B338,games!$A$2:$A$950,0)),""))</f>
        <v>2015</v>
      </c>
      <c r="V338">
        <f t="shared" si="77"/>
        <v>2</v>
      </c>
    </row>
    <row r="339" spans="1:22" x14ac:dyDescent="0.25">
      <c r="A339" t="str">
        <f>IF(games!$A339="","",games!$A339)</f>
        <v>Gunlocked 2</v>
      </c>
      <c r="B339">
        <f>IF($A339="","",games!$B339)</f>
        <v>2025</v>
      </c>
      <c r="C339" t="str">
        <f>IF($A339="","",games!$C339)</f>
        <v>Action</v>
      </c>
      <c r="D339">
        <f>IF($A339="","",COUNTIF(connections!$A$2:$A$1460,$A339)+COUNTIF(connections!$B$2:$B$1460,$A339))</f>
        <v>1</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1.0003390000000001</v>
      </c>
      <c r="P339" t="str">
        <f>IF(OR($A339="",games!$H339=""),"",games!$H339)</f>
        <v>Yes</v>
      </c>
      <c r="Q339">
        <f t="shared" si="76"/>
        <v>1.0003390000000001</v>
      </c>
      <c r="T339">
        <f>IF(connections!$A339="","",IFERROR(INDEX(games!$B$2:$B$950,MATCH(connections!$A339,games!$A$2:$A$950,0)),""))</f>
        <v>2013</v>
      </c>
      <c r="U339">
        <f>IF(connections!$A339="","",IFERROR(INDEX(games!$B$2:$B$950,MATCH(connections!$B339,games!$A$2:$A$950,0)),""))</f>
        <v>2016</v>
      </c>
      <c r="V339">
        <f t="shared" si="77"/>
        <v>3</v>
      </c>
    </row>
    <row r="340" spans="1:22" x14ac:dyDescent="0.25">
      <c r="A340" t="str">
        <f>IF(games!$A340="","",games!$A340)</f>
        <v>Guntouchables</v>
      </c>
      <c r="B340">
        <f>IF($A340="","",games!$B340)</f>
        <v>2025</v>
      </c>
      <c r="C340" t="str">
        <f>IF($A340="","",games!$C340)</f>
        <v>Action</v>
      </c>
      <c r="D340">
        <f>IF($A340="","",COUNTIF(connections!$A$2:$A$1460,$A340)+COUNTIF(connections!$B$2:$B$1460,$A340))</f>
        <v>1</v>
      </c>
      <c r="E340">
        <f t="shared" si="65"/>
        <v>1</v>
      </c>
      <c r="F340">
        <f t="shared" si="66"/>
        <v>0</v>
      </c>
      <c r="G340">
        <f t="shared" si="67"/>
        <v>2025</v>
      </c>
      <c r="H340">
        <f t="shared" si="68"/>
        <v>1</v>
      </c>
      <c r="I340" t="e">
        <f t="shared" si="69"/>
        <v>#N/A</v>
      </c>
      <c r="J340" t="e">
        <f t="shared" si="70"/>
        <v>#N/A</v>
      </c>
      <c r="K340" t="e">
        <f t="shared" si="71"/>
        <v>#N/A</v>
      </c>
      <c r="L340" t="e">
        <f t="shared" si="72"/>
        <v>#N/A</v>
      </c>
      <c r="M340" t="e">
        <f t="shared" si="73"/>
        <v>#N/A</v>
      </c>
      <c r="N340" t="e">
        <f t="shared" si="74"/>
        <v>#N/A</v>
      </c>
      <c r="O340">
        <f t="shared" si="75"/>
        <v>1.00034</v>
      </c>
      <c r="P340" t="str">
        <f>IF(OR($A340="",games!$H340=""),"",games!$H340)</f>
        <v>Yes</v>
      </c>
      <c r="Q340">
        <f t="shared" si="76"/>
        <v>1.00034</v>
      </c>
      <c r="T340">
        <f>IF(connections!$A340="","",IFERROR(INDEX(games!$B$2:$B$950,MATCH(connections!$A340,games!$A$2:$A$950,0)),""))</f>
        <v>2002</v>
      </c>
      <c r="U340">
        <f>IF(connections!$A340="","",IFERROR(INDEX(games!$B$2:$B$950,MATCH(connections!$B340,games!$A$2:$A$950,0)),""))</f>
        <v>2010</v>
      </c>
      <c r="V340">
        <f t="shared" si="77"/>
        <v>8</v>
      </c>
    </row>
    <row r="341" spans="1:22" x14ac:dyDescent="0.25">
      <c r="A341" t="str">
        <f>IF(games!$A341="","",games!$A341)</f>
        <v>Hack</v>
      </c>
      <c r="B341">
        <f>IF($A341="","",games!$B341)</f>
        <v>1984</v>
      </c>
      <c r="C341" t="str">
        <f>IF($A341="","",games!$C341)</f>
        <v>Traditional</v>
      </c>
      <c r="D341">
        <f>IF($A341="","",COUNTIF(connections!$A$2:$A$1460,$A341)+COUNTIF(connections!$B$2:$B$1460,$A341))</f>
        <v>7</v>
      </c>
      <c r="E341">
        <f t="shared" si="65"/>
        <v>4</v>
      </c>
      <c r="F341">
        <f t="shared" si="66"/>
        <v>1</v>
      </c>
      <c r="G341" t="e">
        <f t="shared" si="67"/>
        <v>#N/A</v>
      </c>
      <c r="H341" t="e">
        <f t="shared" si="68"/>
        <v>#N/A</v>
      </c>
      <c r="I341" t="e">
        <f t="shared" si="69"/>
        <v>#N/A</v>
      </c>
      <c r="J341" t="e">
        <f t="shared" si="70"/>
        <v>#N/A</v>
      </c>
      <c r="K341" t="e">
        <f t="shared" si="71"/>
        <v>#N/A</v>
      </c>
      <c r="L341" t="e">
        <f t="shared" si="72"/>
        <v>#N/A</v>
      </c>
      <c r="M341">
        <f t="shared" si="73"/>
        <v>1984</v>
      </c>
      <c r="N341">
        <f t="shared" si="74"/>
        <v>4.0229999999999997</v>
      </c>
      <c r="O341">
        <f t="shared" si="75"/>
        <v>7.0003409999999997</v>
      </c>
      <c r="P341" t="str">
        <f>IF(OR($A341="",games!$H341=""),"",games!$H341)</f>
        <v>Yes</v>
      </c>
      <c r="Q341">
        <f t="shared" si="76"/>
        <v>7.0003409999999997</v>
      </c>
      <c r="T341">
        <f>IF(connections!$A341="","",IFERROR(INDEX(games!$B$2:$B$950,MATCH(connections!$A341,games!$A$2:$A$950,0)),""))</f>
        <v>2002</v>
      </c>
      <c r="U341">
        <f>IF(connections!$A341="","",IFERROR(INDEX(games!$B$2:$B$950,MATCH(connections!$B341,games!$A$2:$A$950,0)),""))</f>
        <v>2010</v>
      </c>
      <c r="V341">
        <f t="shared" si="77"/>
        <v>8</v>
      </c>
    </row>
    <row r="342" spans="1:22" x14ac:dyDescent="0.25">
      <c r="A342" t="str">
        <f>IF(games!$A342="","",games!$A342)</f>
        <v>Hack'EM</v>
      </c>
      <c r="B342">
        <f>IF($A342="","",games!$B342)</f>
        <v>2022</v>
      </c>
      <c r="C342" t="str">
        <f>IF($A342="","",games!$C342)</f>
        <v>Traditional</v>
      </c>
      <c r="D342">
        <f>IF($A342="","",COUNTIF(connections!$A$2:$A$1460,$A342)+COUNTIF(connections!$B$2:$B$1460,$A342))</f>
        <v>2</v>
      </c>
      <c r="E342">
        <f t="shared" si="65"/>
        <v>4</v>
      </c>
      <c r="F342">
        <f t="shared" si="66"/>
        <v>2</v>
      </c>
      <c r="G342" t="e">
        <f t="shared" si="67"/>
        <v>#N/A</v>
      </c>
      <c r="H342" t="e">
        <f t="shared" si="68"/>
        <v>#N/A</v>
      </c>
      <c r="I342" t="e">
        <f t="shared" si="69"/>
        <v>#N/A</v>
      </c>
      <c r="J342" t="e">
        <f t="shared" si="70"/>
        <v>#N/A</v>
      </c>
      <c r="K342" t="e">
        <f t="shared" si="71"/>
        <v>#N/A</v>
      </c>
      <c r="L342" t="e">
        <f t="shared" si="72"/>
        <v>#N/A</v>
      </c>
      <c r="M342">
        <f t="shared" si="73"/>
        <v>2022</v>
      </c>
      <c r="N342">
        <f t="shared" si="74"/>
        <v>4.0460000000000003</v>
      </c>
      <c r="O342">
        <f t="shared" si="75"/>
        <v>2.0003419999999998</v>
      </c>
      <c r="P342" t="str">
        <f>IF(OR($A342="",games!$H342=""),"",games!$H342)</f>
        <v>Yes</v>
      </c>
      <c r="Q342">
        <f t="shared" si="76"/>
        <v>2.0003419999999998</v>
      </c>
      <c r="T342">
        <f>IF(connections!$A342="","",IFERROR(INDEX(games!$B$2:$B$950,MATCH(connections!$A342,games!$A$2:$A$950,0)),""))</f>
        <v>2002</v>
      </c>
      <c r="U342">
        <f>IF(connections!$A342="","",IFERROR(INDEX(games!$B$2:$B$950,MATCH(connections!$B342,games!$A$2:$A$950,0)),""))</f>
        <v>2010</v>
      </c>
      <c r="V342">
        <f t="shared" si="77"/>
        <v>8</v>
      </c>
    </row>
    <row r="343" spans="1:22" x14ac:dyDescent="0.25">
      <c r="A343" t="str">
        <f>IF(games!$A343="","",games!$A343)</f>
        <v>Hadean Tactics</v>
      </c>
      <c r="B343">
        <f>IF($A343="","",games!$B343)</f>
        <v>2021</v>
      </c>
      <c r="C343" t="str">
        <f>IF($A343="","",games!$C343)</f>
        <v>Deckbuilder</v>
      </c>
      <c r="D343">
        <f>IF($A343="","",COUNTIF(connections!$A$2:$A$1460,$A343)+COUNTIF(connections!$B$2:$B$1460,$A343))</f>
        <v>1</v>
      </c>
      <c r="E343">
        <f t="shared" si="65"/>
        <v>3</v>
      </c>
      <c r="F343">
        <f t="shared" si="66"/>
        <v>3</v>
      </c>
      <c r="G343" t="e">
        <f t="shared" si="67"/>
        <v>#N/A</v>
      </c>
      <c r="H343" t="e">
        <f t="shared" si="68"/>
        <v>#N/A</v>
      </c>
      <c r="I343" t="e">
        <f t="shared" si="69"/>
        <v>#N/A</v>
      </c>
      <c r="J343" t="e">
        <f t="shared" si="70"/>
        <v>#N/A</v>
      </c>
      <c r="K343">
        <f t="shared" si="71"/>
        <v>2021</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2002</v>
      </c>
      <c r="U343">
        <f>IF(connections!$A343="","",IFERROR(INDEX(games!$B$2:$B$950,MATCH(connections!$B343,games!$A$2:$A$950,0)),""))</f>
        <v>2006</v>
      </c>
      <c r="V343">
        <f t="shared" si="77"/>
        <v>4</v>
      </c>
    </row>
    <row r="344" spans="1:22" x14ac:dyDescent="0.25">
      <c r="A344" t="str">
        <f>IF(games!$A344="","",games!$A344)</f>
        <v>Hades</v>
      </c>
      <c r="B344">
        <f>IF($A344="","",games!$B344)</f>
        <v>2019</v>
      </c>
      <c r="C344" t="str">
        <f>IF($A344="","",games!$C344)</f>
        <v>Action</v>
      </c>
      <c r="D344">
        <f>IF($A344="","",COUNTIF(connections!$A$2:$A$1460,$A344)+COUNTIF(connections!$B$2:$B$1460,$A344))</f>
        <v>66</v>
      </c>
      <c r="E344">
        <f t="shared" si="65"/>
        <v>1</v>
      </c>
      <c r="F344">
        <f t="shared" si="66"/>
        <v>4</v>
      </c>
      <c r="G344">
        <f t="shared" si="67"/>
        <v>2019</v>
      </c>
      <c r="H344">
        <f t="shared" si="68"/>
        <v>1.0920000000000001</v>
      </c>
      <c r="I344" t="e">
        <f t="shared" si="69"/>
        <v>#N/A</v>
      </c>
      <c r="J344" t="e">
        <f t="shared" si="70"/>
        <v>#N/A</v>
      </c>
      <c r="K344" t="e">
        <f t="shared" si="71"/>
        <v>#N/A</v>
      </c>
      <c r="L344" t="e">
        <f t="shared" si="72"/>
        <v>#N/A</v>
      </c>
      <c r="M344" t="e">
        <f t="shared" si="73"/>
        <v>#N/A</v>
      </c>
      <c r="N344" t="e">
        <f t="shared" si="74"/>
        <v>#N/A</v>
      </c>
      <c r="O344">
        <f t="shared" si="75"/>
        <v>66.000343999999998</v>
      </c>
      <c r="P344" t="str">
        <f>IF(OR($A344="",games!$H344=""),"",games!$H344)</f>
        <v>Yes</v>
      </c>
      <c r="Q344">
        <f t="shared" si="76"/>
        <v>66.000343999999998</v>
      </c>
      <c r="T344">
        <f>IF(connections!$A344="","",IFERROR(INDEX(games!$B$2:$B$950,MATCH(connections!$A344,games!$A$2:$A$950,0)),""))</f>
        <v>2002</v>
      </c>
      <c r="U344">
        <f>IF(connections!$A344="","",IFERROR(INDEX(games!$B$2:$B$950,MATCH(connections!$B344,games!$A$2:$A$950,0)),""))</f>
        <v>2011</v>
      </c>
      <c r="V344">
        <f t="shared" si="77"/>
        <v>9</v>
      </c>
    </row>
    <row r="345" spans="1:22" x14ac:dyDescent="0.25">
      <c r="A345" t="str">
        <f>IF(games!$A345="","",games!$A345)</f>
        <v>Hades II</v>
      </c>
      <c r="B345">
        <f>IF($A345="","",games!$B345)</f>
        <v>2024</v>
      </c>
      <c r="C345" t="str">
        <f>IF($A345="","",games!$C345)</f>
        <v>Action</v>
      </c>
      <c r="D345">
        <f>IF($A345="","",COUNTIF(connections!$A$2:$A$1460,$A345)+COUNTIF(connections!$B$2:$B$1460,$A345))</f>
        <v>1</v>
      </c>
      <c r="E345">
        <f t="shared" si="65"/>
        <v>1</v>
      </c>
      <c r="F345">
        <f t="shared" si="66"/>
        <v>5</v>
      </c>
      <c r="G345">
        <f t="shared" si="67"/>
        <v>2024</v>
      </c>
      <c r="H345">
        <f t="shared" si="68"/>
        <v>1.115</v>
      </c>
      <c r="I345" t="e">
        <f t="shared" si="69"/>
        <v>#N/A</v>
      </c>
      <c r="J345" t="e">
        <f t="shared" si="70"/>
        <v>#N/A</v>
      </c>
      <c r="K345" t="e">
        <f t="shared" si="71"/>
        <v>#N/A</v>
      </c>
      <c r="L345" t="e">
        <f t="shared" si="72"/>
        <v>#N/A</v>
      </c>
      <c r="M345" t="e">
        <f t="shared" si="73"/>
        <v>#N/A</v>
      </c>
      <c r="N345" t="e">
        <f t="shared" si="74"/>
        <v>#N/A</v>
      </c>
      <c r="O345">
        <f t="shared" si="75"/>
        <v>1.000345</v>
      </c>
      <c r="P345" t="str">
        <f>IF(OR($A345="",games!$H345=""),"",games!$H345)</f>
        <v>Yes</v>
      </c>
      <c r="Q345">
        <f t="shared" si="76"/>
        <v>1.000345</v>
      </c>
      <c r="T345">
        <f>IF(connections!$A345="","",IFERROR(INDEX(games!$B$2:$B$950,MATCH(connections!$A345,games!$A$2:$A$950,0)),""))</f>
        <v>2002</v>
      </c>
      <c r="U345">
        <f>IF(connections!$A345="","",IFERROR(INDEX(games!$B$2:$B$950,MATCH(connections!$B345,games!$A$2:$A$950,0)),""))</f>
        <v>2019</v>
      </c>
      <c r="V345">
        <f t="shared" si="77"/>
        <v>17</v>
      </c>
    </row>
    <row r="346" spans="1:22" x14ac:dyDescent="0.25">
      <c r="A346" t="str">
        <f>IF(games!$A346="","",games!$A346)</f>
        <v>Halls of Torment</v>
      </c>
      <c r="B346">
        <f>IF($A346="","",games!$B346)</f>
        <v>2023</v>
      </c>
      <c r="C346" t="str">
        <f>IF($A346="","",games!$C346)</f>
        <v>Action</v>
      </c>
      <c r="D346">
        <f>IF($A346="","",COUNTIF(connections!$A$2:$A$1460,$A346)+COUNTIF(connections!$B$2:$B$1460,$A346))</f>
        <v>7</v>
      </c>
      <c r="E346">
        <f t="shared" si="65"/>
        <v>1</v>
      </c>
      <c r="F346">
        <f t="shared" si="66"/>
        <v>6</v>
      </c>
      <c r="G346">
        <f t="shared" si="67"/>
        <v>2023</v>
      </c>
      <c r="H346">
        <f t="shared" si="68"/>
        <v>1.1379999999999999</v>
      </c>
      <c r="I346" t="e">
        <f t="shared" si="69"/>
        <v>#N/A</v>
      </c>
      <c r="J346" t="e">
        <f t="shared" si="70"/>
        <v>#N/A</v>
      </c>
      <c r="K346" t="e">
        <f t="shared" si="71"/>
        <v>#N/A</v>
      </c>
      <c r="L346" t="e">
        <f t="shared" si="72"/>
        <v>#N/A</v>
      </c>
      <c r="M346" t="e">
        <f t="shared" si="73"/>
        <v>#N/A</v>
      </c>
      <c r="N346" t="e">
        <f t="shared" si="74"/>
        <v>#N/A</v>
      </c>
      <c r="O346">
        <f t="shared" si="75"/>
        <v>7.0003460000000004</v>
      </c>
      <c r="P346" t="str">
        <f>IF(OR($A346="",games!$H346=""),"",games!$H346)</f>
        <v>Yes</v>
      </c>
      <c r="Q346">
        <f t="shared" si="76"/>
        <v>7.0003460000000004</v>
      </c>
      <c r="T346">
        <f>IF(connections!$A346="","",IFERROR(INDEX(games!$B$2:$B$950,MATCH(connections!$A346,games!$A$2:$A$950,0)),""))</f>
        <v>2002</v>
      </c>
      <c r="U346">
        <f>IF(connections!$A346="","",IFERROR(INDEX(games!$B$2:$B$950,MATCH(connections!$B346,games!$A$2:$A$950,0)),""))</f>
        <v>2023</v>
      </c>
      <c r="V346">
        <f t="shared" si="77"/>
        <v>21</v>
      </c>
    </row>
    <row r="347" spans="1:22" x14ac:dyDescent="0.25">
      <c r="A347" t="str">
        <f>IF(games!$A347="","",games!$A347)</f>
        <v>Hand of Fate</v>
      </c>
      <c r="B347">
        <f>IF($A347="","",games!$B347)</f>
        <v>2014</v>
      </c>
      <c r="C347" t="str">
        <f>IF($A347="","",games!$C347)</f>
        <v>Deckbuilder</v>
      </c>
      <c r="D347">
        <f>IF($A347="","",COUNTIF(connections!$A$2:$A$1460,$A347)+COUNTIF(connections!$B$2:$B$1460,$A347))</f>
        <v>4</v>
      </c>
      <c r="E347">
        <f t="shared" si="65"/>
        <v>3</v>
      </c>
      <c r="F347">
        <f t="shared" si="66"/>
        <v>7</v>
      </c>
      <c r="G347" t="e">
        <f t="shared" si="67"/>
        <v>#N/A</v>
      </c>
      <c r="H347" t="e">
        <f t="shared" si="68"/>
        <v>#N/A</v>
      </c>
      <c r="I347" t="e">
        <f t="shared" si="69"/>
        <v>#N/A</v>
      </c>
      <c r="J347" t="e">
        <f t="shared" si="70"/>
        <v>#N/A</v>
      </c>
      <c r="K347">
        <f t="shared" si="71"/>
        <v>2014</v>
      </c>
      <c r="L347">
        <f t="shared" si="72"/>
        <v>3.161</v>
      </c>
      <c r="M347" t="e">
        <f t="shared" si="73"/>
        <v>#N/A</v>
      </c>
      <c r="N347" t="e">
        <f t="shared" si="74"/>
        <v>#N/A</v>
      </c>
      <c r="O347">
        <f t="shared" si="75"/>
        <v>4.0003469999999997</v>
      </c>
      <c r="P347" t="str">
        <f>IF(OR($A347="",games!$H347=""),"",games!$H347)</f>
        <v>Yes</v>
      </c>
      <c r="Q347">
        <f t="shared" si="76"/>
        <v>4.0003469999999997</v>
      </c>
      <c r="T347">
        <f>IF(connections!$A347="","",IFERROR(INDEX(games!$B$2:$B$950,MATCH(connections!$A347,games!$A$2:$A$950,0)),""))</f>
        <v>2002</v>
      </c>
      <c r="U347">
        <f>IF(connections!$A347="","",IFERROR(INDEX(games!$B$2:$B$950,MATCH(connections!$B347,games!$A$2:$A$950,0)),""))</f>
        <v>2016</v>
      </c>
      <c r="V347">
        <f t="shared" si="77"/>
        <v>14</v>
      </c>
    </row>
    <row r="348" spans="1:22" x14ac:dyDescent="0.25">
      <c r="A348" t="str">
        <f>IF(games!$A348="","",games!$A348)</f>
        <v>Hand of Fate 2</v>
      </c>
      <c r="B348">
        <f>IF($A348="","",games!$B348)</f>
        <v>2017</v>
      </c>
      <c r="C348" t="str">
        <f>IF($A348="","",games!$C348)</f>
        <v>Deckbuilder</v>
      </c>
      <c r="D348">
        <f>IF($A348="","",COUNTIF(connections!$A$2:$A$1460,$A348)+COUNTIF(connections!$B$2:$B$1460,$A348))</f>
        <v>1</v>
      </c>
      <c r="E348">
        <f t="shared" si="65"/>
        <v>3</v>
      </c>
      <c r="F348">
        <f t="shared" si="66"/>
        <v>8</v>
      </c>
      <c r="G348" t="e">
        <f t="shared" si="67"/>
        <v>#N/A</v>
      </c>
      <c r="H348" t="e">
        <f t="shared" si="68"/>
        <v>#N/A</v>
      </c>
      <c r="I348" t="e">
        <f t="shared" si="69"/>
        <v>#N/A</v>
      </c>
      <c r="J348" t="e">
        <f t="shared" si="70"/>
        <v>#N/A</v>
      </c>
      <c r="K348">
        <f t="shared" si="71"/>
        <v>2017</v>
      </c>
      <c r="L348">
        <f t="shared" si="72"/>
        <v>3.1840000000000002</v>
      </c>
      <c r="M348" t="e">
        <f t="shared" si="73"/>
        <v>#N/A</v>
      </c>
      <c r="N348" t="e">
        <f t="shared" si="74"/>
        <v>#N/A</v>
      </c>
      <c r="O348">
        <f t="shared" si="75"/>
        <v>1.000348</v>
      </c>
      <c r="P348" t="str">
        <f>IF(OR($A348="",games!$H348=""),"",games!$H348)</f>
        <v>Yes</v>
      </c>
      <c r="Q348">
        <f t="shared" si="76"/>
        <v>1.000348</v>
      </c>
      <c r="T348">
        <f>IF(connections!$A348="","",IFERROR(INDEX(games!$B$2:$B$950,MATCH(connections!$A348,games!$A$2:$A$950,0)),""))</f>
        <v>2019</v>
      </c>
      <c r="U348">
        <f>IF(connections!$A348="","",IFERROR(INDEX(games!$B$2:$B$950,MATCH(connections!$B348,games!$A$2:$A$950,0)),""))</f>
        <v>2021</v>
      </c>
      <c r="V348">
        <f t="shared" si="77"/>
        <v>2</v>
      </c>
    </row>
    <row r="349" spans="1:22" x14ac:dyDescent="0.25">
      <c r="A349" t="str">
        <f>IF(games!$A349="","",games!$A349)</f>
        <v>Hand of Fate: Hordes</v>
      </c>
      <c r="B349">
        <f>IF($A349="","",games!$B349)</f>
        <v>2026</v>
      </c>
      <c r="C349" t="str">
        <f>IF($A349="","",games!$C349)</f>
        <v>Action</v>
      </c>
      <c r="D349">
        <f>IF($A349="","",COUNTIF(connections!$A$2:$A$1460,$A349)+COUNTIF(connections!$B$2:$B$1460,$A349))</f>
        <v>2</v>
      </c>
      <c r="E349">
        <f t="shared" si="65"/>
        <v>1</v>
      </c>
      <c r="F349">
        <f t="shared" si="66"/>
        <v>9</v>
      </c>
      <c r="G349">
        <f t="shared" si="67"/>
        <v>2026</v>
      </c>
      <c r="H349">
        <f t="shared" si="68"/>
        <v>1.2070000000000001</v>
      </c>
      <c r="I349" t="e">
        <f t="shared" si="69"/>
        <v>#N/A</v>
      </c>
      <c r="J349" t="e">
        <f t="shared" si="70"/>
        <v>#N/A</v>
      </c>
      <c r="K349" t="e">
        <f t="shared" si="71"/>
        <v>#N/A</v>
      </c>
      <c r="L349" t="e">
        <f t="shared" si="72"/>
        <v>#N/A</v>
      </c>
      <c r="M349" t="e">
        <f t="shared" si="73"/>
        <v>#N/A</v>
      </c>
      <c r="N349" t="e">
        <f t="shared" si="74"/>
        <v>#N/A</v>
      </c>
      <c r="O349">
        <f t="shared" si="75"/>
        <v>2.0003489999999999</v>
      </c>
      <c r="P349" t="str">
        <f>IF(OR($A349="",games!$H349=""),"",games!$H349)</f>
        <v/>
      </c>
      <c r="Q349" t="str">
        <f t="shared" si="76"/>
        <v/>
      </c>
      <c r="T349">
        <f>IF(connections!$A349="","",IFERROR(INDEX(games!$B$2:$B$950,MATCH(connections!$A349,games!$A$2:$A$950,0)),""))</f>
        <v>2019</v>
      </c>
      <c r="U349">
        <f>IF(connections!$A349="","",IFERROR(INDEX(games!$B$2:$B$950,MATCH(connections!$B349,games!$A$2:$A$950,0)),""))</f>
        <v>2021</v>
      </c>
      <c r="V349">
        <f t="shared" si="77"/>
        <v>2</v>
      </c>
    </row>
    <row r="350" spans="1:22" x14ac:dyDescent="0.25">
      <c r="A350" t="str">
        <f>IF(games!$A350="","",games!$A350)</f>
        <v>Handmancers</v>
      </c>
      <c r="B350">
        <f>IF($A350="","",games!$B350)</f>
        <v>2026</v>
      </c>
      <c r="C350" t="str">
        <f>IF($A350="","",games!$C350)</f>
        <v>Deckbuilder</v>
      </c>
      <c r="D350">
        <f>IF($A350="","",COUNTIF(connections!$A$2:$A$1460,$A350)+COUNTIF(connections!$B$2:$B$1460,$A350))</f>
        <v>1</v>
      </c>
      <c r="E350">
        <f t="shared" si="65"/>
        <v>3</v>
      </c>
      <c r="F350">
        <f t="shared" si="66"/>
        <v>10</v>
      </c>
      <c r="G350" t="e">
        <f t="shared" si="67"/>
        <v>#N/A</v>
      </c>
      <c r="H350" t="e">
        <f t="shared" si="68"/>
        <v>#N/A</v>
      </c>
      <c r="I350" t="e">
        <f t="shared" si="69"/>
        <v>#N/A</v>
      </c>
      <c r="J350" t="e">
        <f t="shared" si="70"/>
        <v>#N/A</v>
      </c>
      <c r="K350">
        <f t="shared" si="71"/>
        <v>2026</v>
      </c>
      <c r="L350">
        <f t="shared" si="72"/>
        <v>3.23</v>
      </c>
      <c r="M350" t="e">
        <f t="shared" si="73"/>
        <v>#N/A</v>
      </c>
      <c r="N350" t="e">
        <f t="shared" si="74"/>
        <v>#N/A</v>
      </c>
      <c r="O350">
        <f t="shared" si="75"/>
        <v>1.0003500000000001</v>
      </c>
      <c r="P350" t="str">
        <f>IF(OR($A350="",games!$H350=""),"",games!$H350)</f>
        <v/>
      </c>
      <c r="Q350" t="str">
        <f t="shared" si="76"/>
        <v/>
      </c>
      <c r="T350">
        <f>IF(connections!$A350="","",IFERROR(INDEX(games!$B$2:$B$950,MATCH(connections!$A350,games!$A$2:$A$950,0)),""))</f>
        <v>2019</v>
      </c>
      <c r="U350">
        <f>IF(connections!$A350="","",IFERROR(INDEX(games!$B$2:$B$950,MATCH(connections!$B350,games!$A$2:$A$950,0)),""))</f>
        <v>2023</v>
      </c>
      <c r="V350">
        <f t="shared" si="77"/>
        <v>4</v>
      </c>
    </row>
    <row r="351" spans="1:22" x14ac:dyDescent="0.25">
      <c r="A351" t="str">
        <f>IF(games!$A351="","",games!$A351)</f>
        <v>Hangtime!</v>
      </c>
      <c r="B351">
        <f>IF($A351="","",games!$B351)</f>
        <v>2025</v>
      </c>
      <c r="C351" t="str">
        <f>IF($A351="","",games!$C351)</f>
        <v>Action</v>
      </c>
      <c r="D351">
        <f>IF($A351="","",COUNTIF(connections!$A$2:$A$1460,$A351)+COUNTIF(connections!$B$2:$B$1460,$A351))</f>
        <v>0</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3.5100000000000002E-4</v>
      </c>
      <c r="P351" t="str">
        <f>IF(OR($A351="",games!$H351=""),"",games!$H351)</f>
        <v/>
      </c>
      <c r="Q351" t="str">
        <f t="shared" si="76"/>
        <v/>
      </c>
      <c r="T351">
        <f>IF(connections!$A351="","",IFERROR(INDEX(games!$B$2:$B$950,MATCH(connections!$A351,games!$A$2:$A$950,0)),""))</f>
        <v>2019</v>
      </c>
      <c r="U351">
        <f>IF(connections!$A351="","",IFERROR(INDEX(games!$B$2:$B$950,MATCH(connections!$B351,games!$A$2:$A$950,0)),""))</f>
        <v>2021</v>
      </c>
      <c r="V351">
        <f t="shared" si="77"/>
        <v>2</v>
      </c>
    </row>
    <row r="352" spans="1:22" x14ac:dyDescent="0.25">
      <c r="A352" t="str">
        <f>IF(games!$A352="","",games!$A352)</f>
        <v>Haque</v>
      </c>
      <c r="B352">
        <f>IF($A352="","",games!$B352)</f>
        <v>2017</v>
      </c>
      <c r="C352" t="str">
        <f>IF($A352="","",games!$C352)</f>
        <v>Traditional</v>
      </c>
      <c r="D352">
        <f>IF($A352="","",COUNTIF(connections!$A$2:$A$1460,$A352)+COUNTIF(connections!$B$2:$B$1460,$A352))</f>
        <v>4</v>
      </c>
      <c r="E352">
        <f t="shared" si="65"/>
        <v>4</v>
      </c>
      <c r="F352">
        <f t="shared" si="66"/>
        <v>12</v>
      </c>
      <c r="G352" t="e">
        <f t="shared" si="67"/>
        <v>#N/A</v>
      </c>
      <c r="H352" t="e">
        <f t="shared" si="68"/>
        <v>#N/A</v>
      </c>
      <c r="I352" t="e">
        <f t="shared" si="69"/>
        <v>#N/A</v>
      </c>
      <c r="J352" t="e">
        <f t="shared" si="70"/>
        <v>#N/A</v>
      </c>
      <c r="K352" t="e">
        <f t="shared" si="71"/>
        <v>#N/A</v>
      </c>
      <c r="L352" t="e">
        <f t="shared" si="72"/>
        <v>#N/A</v>
      </c>
      <c r="M352">
        <f t="shared" si="73"/>
        <v>2017</v>
      </c>
      <c r="N352">
        <f t="shared" si="74"/>
        <v>4.2759999999999998</v>
      </c>
      <c r="O352">
        <f t="shared" si="75"/>
        <v>4.0003520000000004</v>
      </c>
      <c r="P352" t="str">
        <f>IF(OR($A352="",games!$H352=""),"",games!$H352)</f>
        <v/>
      </c>
      <c r="Q352" t="str">
        <f t="shared" si="76"/>
        <v/>
      </c>
      <c r="T352">
        <f>IF(connections!$A352="","",IFERROR(INDEX(games!$B$2:$B$950,MATCH(connections!$A352,games!$A$2:$A$950,0)),""))</f>
        <v>2019</v>
      </c>
      <c r="U352">
        <f>IF(connections!$A352="","",IFERROR(INDEX(games!$B$2:$B$950,MATCH(connections!$B352,games!$A$2:$A$950,0)),""))</f>
        <v>2019</v>
      </c>
      <c r="V352">
        <f t="shared" si="77"/>
        <v>0</v>
      </c>
    </row>
    <row r="353" spans="1:22" x14ac:dyDescent="0.25">
      <c r="A353" t="str">
        <f>IF(games!$A353="","",games!$A353)</f>
        <v>Has-Been Heroes</v>
      </c>
      <c r="B353">
        <f>IF($A353="","",games!$B353)</f>
        <v>2017</v>
      </c>
      <c r="C353" t="str">
        <f>IF($A353="","",games!$C353)</f>
        <v>Action</v>
      </c>
      <c r="D353">
        <f>IF($A353="","",COUNTIF(connections!$A$2:$A$1460,$A353)+COUNTIF(connections!$B$2:$B$1460,$A353))</f>
        <v>2</v>
      </c>
      <c r="E353">
        <f t="shared" si="65"/>
        <v>1</v>
      </c>
      <c r="F353">
        <f t="shared" si="66"/>
        <v>13</v>
      </c>
      <c r="G353">
        <f t="shared" si="67"/>
        <v>2017</v>
      </c>
      <c r="H353">
        <f t="shared" si="68"/>
        <v>1.2989999999999999</v>
      </c>
      <c r="I353" t="e">
        <f t="shared" si="69"/>
        <v>#N/A</v>
      </c>
      <c r="J353" t="e">
        <f t="shared" si="70"/>
        <v>#N/A</v>
      </c>
      <c r="K353" t="e">
        <f t="shared" si="71"/>
        <v>#N/A</v>
      </c>
      <c r="L353" t="e">
        <f t="shared" si="72"/>
        <v>#N/A</v>
      </c>
      <c r="M353" t="e">
        <f t="shared" si="73"/>
        <v>#N/A</v>
      </c>
      <c r="N353" t="e">
        <f t="shared" si="74"/>
        <v>#N/A</v>
      </c>
      <c r="O353">
        <f t="shared" si="75"/>
        <v>2.000353</v>
      </c>
      <c r="P353" t="str">
        <f>IF(OR($A353="",games!$H353=""),"",games!$H353)</f>
        <v/>
      </c>
      <c r="Q353" t="str">
        <f t="shared" si="76"/>
        <v/>
      </c>
      <c r="T353">
        <f>IF(connections!$A353="","",IFERROR(INDEX(games!$B$2:$B$950,MATCH(connections!$A353,games!$A$2:$A$950,0)),""))</f>
        <v>2019</v>
      </c>
      <c r="U353">
        <f>IF(connections!$A353="","",IFERROR(INDEX(games!$B$2:$B$950,MATCH(connections!$B353,games!$A$2:$A$950,0)),""))</f>
        <v>2025</v>
      </c>
      <c r="V353">
        <f t="shared" si="77"/>
        <v>6</v>
      </c>
    </row>
    <row r="354" spans="1:22" x14ac:dyDescent="0.25">
      <c r="A354" t="str">
        <f>IF(games!$A354="","",games!$A354)</f>
        <v>Haste</v>
      </c>
      <c r="B354">
        <f>IF($A354="","",games!$B354)</f>
        <v>2025</v>
      </c>
      <c r="C354" t="str">
        <f>IF($A354="","",games!$C354)</f>
        <v>Action</v>
      </c>
      <c r="D354">
        <f>IF($A354="","",COUNTIF(connections!$A$2:$A$1460,$A354)+COUNTIF(connections!$B$2:$B$1460,$A354))</f>
        <v>0</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3.5399999999999999E-4</v>
      </c>
      <c r="P354" t="str">
        <f>IF(OR($A354="",games!$H354=""),"",games!$H354)</f>
        <v>Yes</v>
      </c>
      <c r="Q354">
        <f t="shared" si="76"/>
        <v>3.5399999999999999E-4</v>
      </c>
      <c r="T354">
        <f>IF(connections!$A354="","",IFERROR(INDEX(games!$B$2:$B$950,MATCH(connections!$A354,games!$A$2:$A$950,0)),""))</f>
        <v>2019</v>
      </c>
      <c r="U354">
        <f>IF(connections!$A354="","",IFERROR(INDEX(games!$B$2:$B$950,MATCH(connections!$B354,games!$A$2:$A$950,0)),""))</f>
        <v>2021</v>
      </c>
      <c r="V354">
        <f t="shared" si="77"/>
        <v>2</v>
      </c>
    </row>
    <row r="355" spans="1:22" x14ac:dyDescent="0.25">
      <c r="A355" t="str">
        <f>IF(games!$A355="","",games!$A355)</f>
        <v>Have a Nice Death</v>
      </c>
      <c r="B355">
        <f>IF($A355="","",games!$B355)</f>
        <v>2022</v>
      </c>
      <c r="C355" t="str">
        <f>IF($A355="","",games!$C355)</f>
        <v>Action</v>
      </c>
      <c r="D355">
        <f>IF($A355="","",COUNTIF(connections!$A$2:$A$1460,$A355)+COUNTIF(connections!$B$2:$B$1460,$A355))</f>
        <v>1</v>
      </c>
      <c r="E355">
        <f t="shared" si="65"/>
        <v>1</v>
      </c>
      <c r="F355">
        <f t="shared" si="66"/>
        <v>15</v>
      </c>
      <c r="G355">
        <f t="shared" si="67"/>
        <v>2022</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Yes</v>
      </c>
      <c r="Q355">
        <f t="shared" si="76"/>
        <v>1.0003550000000001</v>
      </c>
      <c r="T355">
        <f>IF(connections!$A355="","",IFERROR(INDEX(games!$B$2:$B$950,MATCH(connections!$A355,games!$A$2:$A$950,0)),""))</f>
        <v>2015</v>
      </c>
      <c r="U355">
        <f>IF(connections!$A355="","",IFERROR(INDEX(games!$B$2:$B$950,MATCH(connections!$B355,games!$A$2:$A$950,0)),""))</f>
        <v>2020</v>
      </c>
      <c r="V355">
        <f t="shared" si="77"/>
        <v>5</v>
      </c>
    </row>
    <row r="356" spans="1:22" x14ac:dyDescent="0.25">
      <c r="A356" t="str">
        <f>IF(games!$A356="","",games!$A356)</f>
        <v>He is Coming</v>
      </c>
      <c r="B356">
        <f>IF($A356="","",games!$B356)</f>
        <v>2025</v>
      </c>
      <c r="C356" t="str">
        <f>IF($A356="","",games!$C356)</f>
        <v>Deckbuilder</v>
      </c>
      <c r="D356">
        <f>IF($A356="","",COUNTIF(connections!$A$2:$A$1460,$A356)+COUNTIF(connections!$B$2:$B$1460,$A356))</f>
        <v>1</v>
      </c>
      <c r="E356">
        <f t="shared" si="65"/>
        <v>3</v>
      </c>
      <c r="F356">
        <f t="shared" si="66"/>
        <v>16</v>
      </c>
      <c r="G356" t="e">
        <f t="shared" si="67"/>
        <v>#N/A</v>
      </c>
      <c r="H356" t="e">
        <f t="shared" si="68"/>
        <v>#N/A</v>
      </c>
      <c r="I356" t="e">
        <f t="shared" si="69"/>
        <v>#N/A</v>
      </c>
      <c r="J356" t="e">
        <f t="shared" si="70"/>
        <v>#N/A</v>
      </c>
      <c r="K356">
        <f t="shared" si="71"/>
        <v>2025</v>
      </c>
      <c r="L356">
        <f t="shared" si="72"/>
        <v>3.3679999999999999</v>
      </c>
      <c r="M356" t="e">
        <f t="shared" si="73"/>
        <v>#N/A</v>
      </c>
      <c r="N356" t="e">
        <f t="shared" si="74"/>
        <v>#N/A</v>
      </c>
      <c r="O356">
        <f t="shared" si="75"/>
        <v>1.000356</v>
      </c>
      <c r="P356" t="str">
        <f>IF(OR($A356="",games!$H356=""),"",games!$H356)</f>
        <v>Yes</v>
      </c>
      <c r="Q356">
        <f t="shared" si="76"/>
        <v>1.000356</v>
      </c>
      <c r="T356">
        <f>IF(connections!$A356="","",IFERROR(INDEX(games!$B$2:$B$950,MATCH(connections!$A356,games!$A$2:$A$950,0)),""))</f>
        <v>2015</v>
      </c>
      <c r="U356">
        <f>IF(connections!$A356="","",IFERROR(INDEX(games!$B$2:$B$950,MATCH(connections!$B356,games!$A$2:$A$950,0)),""))</f>
        <v>2016</v>
      </c>
      <c r="V356">
        <f t="shared" si="77"/>
        <v>1</v>
      </c>
    </row>
    <row r="357" spans="1:22" x14ac:dyDescent="0.25">
      <c r="A357" t="str">
        <f>IF(games!$A357="","",games!$A357)</f>
        <v>Heading Out</v>
      </c>
      <c r="B357">
        <f>IF($A357="","",games!$B357)</f>
        <v>2023</v>
      </c>
      <c r="C357" t="str">
        <f>IF($A357="","",games!$C357)</f>
        <v>Action</v>
      </c>
      <c r="D357">
        <f>IF($A357="","",COUNTIF(connections!$A$2:$A$1460,$A357)+COUNTIF(connections!$B$2:$B$1460,$A357))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
      </c>
      <c r="Q357" t="str">
        <f t="shared" si="76"/>
        <v/>
      </c>
      <c r="T357">
        <f>IF(connections!$A357="","",IFERROR(INDEX(games!$B$2:$B$950,MATCH(connections!$A357,games!$A$2:$A$950,0)),""))</f>
        <v>2015</v>
      </c>
      <c r="U357">
        <f>IF(connections!$A357="","",IFERROR(INDEX(games!$B$2:$B$950,MATCH(connections!$B357,games!$A$2:$A$950,0)),""))</f>
        <v>2023</v>
      </c>
      <c r="V357">
        <f t="shared" si="77"/>
        <v>8</v>
      </c>
    </row>
    <row r="358" spans="1:22" x14ac:dyDescent="0.25">
      <c r="A358" t="str">
        <f>IF(games!$A358="","",games!$A358)</f>
        <v>Heat Signature</v>
      </c>
      <c r="B358">
        <f>IF($A358="","",games!$B358)</f>
        <v>2017</v>
      </c>
      <c r="C358" t="str">
        <f>IF($A358="","",games!$C358)</f>
        <v>Action</v>
      </c>
      <c r="D358">
        <f>IF($A358="","",COUNTIF(connections!$A$2:$A$1460,$A358)+COUNTIF(connections!$B$2:$B$1460,$A358))</f>
        <v>1</v>
      </c>
      <c r="E358">
        <f t="shared" si="65"/>
        <v>1</v>
      </c>
      <c r="F358">
        <f t="shared" si="66"/>
        <v>18</v>
      </c>
      <c r="G358">
        <f t="shared" si="67"/>
        <v>2017</v>
      </c>
      <c r="H358">
        <f t="shared" si="68"/>
        <v>1.4139999999999999</v>
      </c>
      <c r="I358" t="e">
        <f t="shared" si="69"/>
        <v>#N/A</v>
      </c>
      <c r="J358" t="e">
        <f t="shared" si="70"/>
        <v>#N/A</v>
      </c>
      <c r="K358" t="e">
        <f t="shared" si="71"/>
        <v>#N/A</v>
      </c>
      <c r="L358" t="e">
        <f t="shared" si="72"/>
        <v>#N/A</v>
      </c>
      <c r="M358" t="e">
        <f t="shared" si="73"/>
        <v>#N/A</v>
      </c>
      <c r="N358" t="e">
        <f t="shared" si="74"/>
        <v>#N/A</v>
      </c>
      <c r="O358">
        <f t="shared" si="75"/>
        <v>1.0003580000000001</v>
      </c>
      <c r="P358" t="str">
        <f>IF(OR($A358="",games!$H358=""),"",games!$H358)</f>
        <v>Yes</v>
      </c>
      <c r="Q358">
        <f t="shared" si="76"/>
        <v>1.0003580000000001</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Heavy Bullets</v>
      </c>
      <c r="B359">
        <f>IF($A359="","",games!$B359)</f>
        <v>2014</v>
      </c>
      <c r="C359" t="str">
        <f>IF($A359="","",games!$C359)</f>
        <v>Action</v>
      </c>
      <c r="D359">
        <f>IF($A359="","",COUNTIF(connections!$A$2:$A$1460,$A359)+COUNTIF(connections!$B$2:$B$1460,$A359))</f>
        <v>1</v>
      </c>
      <c r="E359">
        <f t="shared" si="65"/>
        <v>1</v>
      </c>
      <c r="F359">
        <f t="shared" si="66"/>
        <v>19</v>
      </c>
      <c r="G359">
        <f t="shared" si="67"/>
        <v>2014</v>
      </c>
      <c r="H359">
        <f t="shared" si="68"/>
        <v>1.4370000000000001</v>
      </c>
      <c r="I359" t="e">
        <f t="shared" si="69"/>
        <v>#N/A</v>
      </c>
      <c r="J359" t="e">
        <f t="shared" si="70"/>
        <v>#N/A</v>
      </c>
      <c r="K359" t="e">
        <f t="shared" si="71"/>
        <v>#N/A</v>
      </c>
      <c r="L359" t="e">
        <f t="shared" si="72"/>
        <v>#N/A</v>
      </c>
      <c r="M359" t="e">
        <f t="shared" si="73"/>
        <v>#N/A</v>
      </c>
      <c r="N359" t="e">
        <f t="shared" si="74"/>
        <v>#N/A</v>
      </c>
      <c r="O359">
        <f t="shared" si="75"/>
        <v>1.000359</v>
      </c>
      <c r="P359" t="str">
        <f>IF(OR($A359="",games!$H359=""),"",games!$H359)</f>
        <v>Yes</v>
      </c>
      <c r="Q359">
        <f t="shared" si="76"/>
        <v>1.000359</v>
      </c>
      <c r="T359">
        <f>IF(connections!$A359="","",IFERROR(INDEX(games!$B$2:$B$950,MATCH(connections!$A359,games!$A$2:$A$950,0)),""))</f>
        <v>2015</v>
      </c>
      <c r="U359">
        <f>IF(connections!$A359="","",IFERROR(INDEX(games!$B$2:$B$950,MATCH(connections!$B359,games!$A$2:$A$950,0)),""))</f>
        <v>2017</v>
      </c>
      <c r="V359">
        <f t="shared" si="77"/>
        <v>2</v>
      </c>
    </row>
    <row r="360" spans="1:22" x14ac:dyDescent="0.25">
      <c r="A360" t="str">
        <f>IF(games!$A360="","",games!$A360)</f>
        <v>Hell Clock</v>
      </c>
      <c r="B360">
        <f>IF($A360="","",games!$B360)</f>
        <v>2025</v>
      </c>
      <c r="C360" t="str">
        <f>IF($A360="","",games!$C360)</f>
        <v>Action</v>
      </c>
      <c r="D360">
        <f>IF($A360="","",COUNTIF(connections!$A$2:$A$1460,$A360)+COUNTIF(connections!$B$2:$B$1460,$A360))</f>
        <v>3</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3.0003600000000001</v>
      </c>
      <c r="P360" t="str">
        <f>IF(OR($A360="",games!$H360=""),"",games!$H360)</f>
        <v>Yes</v>
      </c>
      <c r="Q360">
        <f t="shared" si="76"/>
        <v>3.0003600000000001</v>
      </c>
      <c r="T360">
        <f>IF(connections!$A360="","",IFERROR(INDEX(games!$B$2:$B$950,MATCH(connections!$A360,games!$A$2:$A$950,0)),""))</f>
        <v>2015</v>
      </c>
      <c r="U360">
        <f>IF(connections!$A360="","",IFERROR(INDEX(games!$B$2:$B$950,MATCH(connections!$B360,games!$A$2:$A$950,0)),""))</f>
        <v>2020</v>
      </c>
      <c r="V360">
        <f t="shared" si="77"/>
        <v>5</v>
      </c>
    </row>
    <row r="361" spans="1:22" x14ac:dyDescent="0.25">
      <c r="A361" t="str">
        <f>IF(games!$A361="","",games!$A361)</f>
        <v>Hell Maiden</v>
      </c>
      <c r="B361">
        <f>IF($A361="","",games!$B361)</f>
        <v>2026</v>
      </c>
      <c r="C361" t="str">
        <f>IF($A361="","",games!$C361)</f>
        <v>Action</v>
      </c>
      <c r="D361">
        <f>IF($A361="","",COUNTIF(connections!$A$2:$A$1460,$A361)+COUNTIF(connections!$B$2:$B$1460,$A361))</f>
        <v>4</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4.0003609999999998</v>
      </c>
      <c r="P361" t="str">
        <f>IF(OR($A361="",games!$H361=""),"",games!$H361)</f>
        <v/>
      </c>
      <c r="Q361" t="str">
        <f t="shared" si="76"/>
        <v/>
      </c>
      <c r="T361">
        <f>IF(connections!$A361="","",IFERROR(INDEX(games!$B$2:$B$950,MATCH(connections!$A361,games!$A$2:$A$950,0)),""))</f>
        <v>2015</v>
      </c>
      <c r="U361">
        <f>IF(connections!$A361="","",IFERROR(INDEX(games!$B$2:$B$950,MATCH(connections!$B361,games!$A$2:$A$950,0)),""))</f>
        <v>2022</v>
      </c>
      <c r="V361">
        <f t="shared" si="77"/>
        <v>7</v>
      </c>
    </row>
    <row r="362" spans="1:22" x14ac:dyDescent="0.25">
      <c r="A362" t="str">
        <f>IF(games!$A362="","",games!$A362)</f>
        <v>Hellboy Web of Wyrd</v>
      </c>
      <c r="B362">
        <f>IF($A362="","",games!$B362)</f>
        <v>2023</v>
      </c>
      <c r="C362" t="str">
        <f>IF($A362="","",games!$C362)</f>
        <v>Action</v>
      </c>
      <c r="D362">
        <f>IF($A362="","",COUNTIF(connections!$A$2:$A$1460,$A362)+COUNTIF(connections!$B$2:$B$1460,$A362))</f>
        <v>1</v>
      </c>
      <c r="E362">
        <f t="shared" si="65"/>
        <v>1</v>
      </c>
      <c r="F362">
        <f t="shared" si="66"/>
        <v>22</v>
      </c>
      <c r="G362">
        <f t="shared" si="67"/>
        <v>2023</v>
      </c>
      <c r="H362">
        <f t="shared" si="68"/>
        <v>1.506</v>
      </c>
      <c r="I362" t="e">
        <f t="shared" si="69"/>
        <v>#N/A</v>
      </c>
      <c r="J362" t="e">
        <f t="shared" si="70"/>
        <v>#N/A</v>
      </c>
      <c r="K362" t="e">
        <f t="shared" si="71"/>
        <v>#N/A</v>
      </c>
      <c r="L362" t="e">
        <f t="shared" si="72"/>
        <v>#N/A</v>
      </c>
      <c r="M362" t="e">
        <f t="shared" si="73"/>
        <v>#N/A</v>
      </c>
      <c r="N362" t="e">
        <f t="shared" si="74"/>
        <v>#N/A</v>
      </c>
      <c r="O362">
        <f t="shared" si="75"/>
        <v>1.000362</v>
      </c>
      <c r="P362" t="str">
        <f>IF(OR($A362="",games!$H362=""),"",games!$H362)</f>
        <v/>
      </c>
      <c r="Q362" t="str">
        <f t="shared" si="76"/>
        <v/>
      </c>
      <c r="T362">
        <f>IF(connections!$A362="","",IFERROR(INDEX(games!$B$2:$B$950,MATCH(connections!$A362,games!$A$2:$A$950,0)),""))</f>
        <v>2015</v>
      </c>
      <c r="U362">
        <f>IF(connections!$A362="","",IFERROR(INDEX(games!$B$2:$B$950,MATCH(connections!$B362,games!$A$2:$A$950,0)),""))</f>
        <v>2017</v>
      </c>
      <c r="V362">
        <f t="shared" si="77"/>
        <v>2</v>
      </c>
    </row>
    <row r="363" spans="1:22" x14ac:dyDescent="0.25">
      <c r="A363" t="str">
        <f>IF(games!$A363="","",games!$A363)</f>
        <v>Hellcard</v>
      </c>
      <c r="B363">
        <f>IF($A363="","",games!$B363)</f>
        <v>2023</v>
      </c>
      <c r="C363" t="str">
        <f>IF($A363="","",games!$C363)</f>
        <v>Deckbuilder</v>
      </c>
      <c r="D363">
        <f>IF($A363="","",COUNTIF(connections!$A$2:$A$1460,$A363)+COUNTIF(connections!$B$2:$B$1460,$A363))</f>
        <v>2</v>
      </c>
      <c r="E363">
        <f t="shared" si="65"/>
        <v>3</v>
      </c>
      <c r="F363">
        <f t="shared" si="66"/>
        <v>23</v>
      </c>
      <c r="G363" t="e">
        <f t="shared" si="67"/>
        <v>#N/A</v>
      </c>
      <c r="H363" t="e">
        <f t="shared" si="68"/>
        <v>#N/A</v>
      </c>
      <c r="I363" t="e">
        <f t="shared" si="69"/>
        <v>#N/A</v>
      </c>
      <c r="J363" t="e">
        <f t="shared" si="70"/>
        <v>#N/A</v>
      </c>
      <c r="K363">
        <f t="shared" si="71"/>
        <v>2023</v>
      </c>
      <c r="L363">
        <f t="shared" si="72"/>
        <v>3.5289999999999999</v>
      </c>
      <c r="M363" t="e">
        <f t="shared" si="73"/>
        <v>#N/A</v>
      </c>
      <c r="N363" t="e">
        <f t="shared" si="74"/>
        <v>#N/A</v>
      </c>
      <c r="O363">
        <f t="shared" si="75"/>
        <v>2.0003630000000001</v>
      </c>
      <c r="P363" t="str">
        <f>IF(OR($A363="",games!$H363=""),"",games!$H363)</f>
        <v>Yes</v>
      </c>
      <c r="Q363">
        <f t="shared" si="76"/>
        <v>2.0003630000000001</v>
      </c>
      <c r="T363">
        <f>IF(connections!$A363="","",IFERROR(INDEX(games!$B$2:$B$950,MATCH(connections!$A363,games!$A$2:$A$950,0)),""))</f>
        <v>2015</v>
      </c>
      <c r="U363">
        <f>IF(connections!$A363="","",IFERROR(INDEX(games!$B$2:$B$950,MATCH(connections!$B363,games!$A$2:$A$950,0)),""))</f>
        <v>2017</v>
      </c>
      <c r="V363">
        <f t="shared" si="77"/>
        <v>2</v>
      </c>
    </row>
    <row r="364" spans="1:22" x14ac:dyDescent="0.25">
      <c r="A364" t="str">
        <f>IF(games!$A364="","",games!$A364)</f>
        <v>Helskate</v>
      </c>
      <c r="B364">
        <f>IF($A364="","",games!$B364)</f>
        <v>2025</v>
      </c>
      <c r="C364" t="str">
        <f>IF($A364="","",games!$C364)</f>
        <v>Action</v>
      </c>
      <c r="D364">
        <f>IF($A364="","",COUNTIF(connections!$A$2:$A$1460,$A364)+COUNTIF(connections!$B$2:$B$1460,$A364))</f>
        <v>1</v>
      </c>
      <c r="E364">
        <f t="shared" si="65"/>
        <v>1</v>
      </c>
      <c r="F364">
        <f t="shared" si="66"/>
        <v>24</v>
      </c>
      <c r="G364">
        <f t="shared" si="67"/>
        <v>2025</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2014</v>
      </c>
      <c r="U364">
        <f>IF(connections!$A364="","",IFERROR(INDEX(games!$B$2:$B$950,MATCH(connections!$B364,games!$A$2:$A$950,0)),""))</f>
        <v>2019</v>
      </c>
      <c r="V364">
        <f t="shared" si="77"/>
        <v>5</v>
      </c>
    </row>
    <row r="365" spans="1:22" x14ac:dyDescent="0.25">
      <c r="A365" t="str">
        <f>IF(games!$A365="","",games!$A365)</f>
        <v>Heretic's Fork</v>
      </c>
      <c r="B365">
        <f>IF($A365="","",games!$B365)</f>
        <v>2023</v>
      </c>
      <c r="C365" t="str">
        <f>IF($A365="","",games!$C365)</f>
        <v>Action</v>
      </c>
      <c r="D365">
        <f>IF($A365="","",COUNTIF(connections!$A$2:$A$1460,$A365)+COUNTIF(connections!$B$2:$B$1460,$A365))</f>
        <v>2</v>
      </c>
      <c r="E365">
        <f t="shared" si="65"/>
        <v>1</v>
      </c>
      <c r="F365">
        <f t="shared" si="66"/>
        <v>25</v>
      </c>
      <c r="G365">
        <f t="shared" si="67"/>
        <v>2023</v>
      </c>
      <c r="H365">
        <f t="shared" si="68"/>
        <v>1.575</v>
      </c>
      <c r="I365" t="e">
        <f t="shared" si="69"/>
        <v>#N/A</v>
      </c>
      <c r="J365" t="e">
        <f t="shared" si="70"/>
        <v>#N/A</v>
      </c>
      <c r="K365" t="e">
        <f t="shared" si="71"/>
        <v>#N/A</v>
      </c>
      <c r="L365" t="e">
        <f t="shared" si="72"/>
        <v>#N/A</v>
      </c>
      <c r="M365" t="e">
        <f t="shared" si="73"/>
        <v>#N/A</v>
      </c>
      <c r="N365" t="e">
        <f t="shared" si="74"/>
        <v>#N/A</v>
      </c>
      <c r="O365">
        <f t="shared" si="75"/>
        <v>2.0003649999999999</v>
      </c>
      <c r="P365" t="str">
        <f>IF(OR($A365="",games!$H365=""),"",games!$H365)</f>
        <v>Yes</v>
      </c>
      <c r="Q365">
        <f t="shared" si="76"/>
        <v>2.0003649999999999</v>
      </c>
      <c r="T365">
        <f>IF(connections!$A365="","",IFERROR(INDEX(games!$B$2:$B$950,MATCH(connections!$A365,games!$A$2:$A$950,0)),""))</f>
        <v>2014</v>
      </c>
      <c r="U365">
        <f>IF(connections!$A365="","",IFERROR(INDEX(games!$B$2:$B$950,MATCH(connections!$B365,games!$A$2:$A$950,0)),""))</f>
        <v>2017</v>
      </c>
      <c r="V365">
        <f t="shared" si="77"/>
        <v>3</v>
      </c>
    </row>
    <row r="366" spans="1:22" x14ac:dyDescent="0.25">
      <c r="A366" t="str">
        <f>IF(games!$A366="","",games!$A366)</f>
        <v>Heroes of Hammerwatch</v>
      </c>
      <c r="B366">
        <f>IF($A366="","",games!$B366)</f>
        <v>2018</v>
      </c>
      <c r="C366" t="str">
        <f>IF($A366="","",games!$C366)</f>
        <v>Action</v>
      </c>
      <c r="D366">
        <f>IF($A366="","",COUNTIF(connections!$A$2:$A$1460,$A366)+COUNTIF(connections!$B$2:$B$1460,$A366))</f>
        <v>3</v>
      </c>
      <c r="E366">
        <f t="shared" si="65"/>
        <v>1</v>
      </c>
      <c r="F366">
        <f t="shared" si="66"/>
        <v>26</v>
      </c>
      <c r="G366">
        <f t="shared" si="67"/>
        <v>2018</v>
      </c>
      <c r="H366">
        <f t="shared" si="68"/>
        <v>1.5979999999999999</v>
      </c>
      <c r="I366" t="e">
        <f t="shared" si="69"/>
        <v>#N/A</v>
      </c>
      <c r="J366" t="e">
        <f t="shared" si="70"/>
        <v>#N/A</v>
      </c>
      <c r="K366" t="e">
        <f t="shared" si="71"/>
        <v>#N/A</v>
      </c>
      <c r="L366" t="e">
        <f t="shared" si="72"/>
        <v>#N/A</v>
      </c>
      <c r="M366" t="e">
        <f t="shared" si="73"/>
        <v>#N/A</v>
      </c>
      <c r="N366" t="e">
        <f t="shared" si="74"/>
        <v>#N/A</v>
      </c>
      <c r="O366">
        <f t="shared" si="75"/>
        <v>3.0003660000000001</v>
      </c>
      <c r="P366" t="str">
        <f>IF(OR($A366="",games!$H366=""),"",games!$H366)</f>
        <v>Yes</v>
      </c>
      <c r="Q366">
        <f t="shared" si="76"/>
        <v>3.0003660000000001</v>
      </c>
      <c r="T366">
        <f>IF(connections!$A366="","",IFERROR(INDEX(games!$B$2:$B$950,MATCH(connections!$A366,games!$A$2:$A$950,0)),""))</f>
        <v>2014</v>
      </c>
      <c r="U366">
        <f>IF(connections!$A366="","",IFERROR(INDEX(games!$B$2:$B$950,MATCH(connections!$B366,games!$A$2:$A$950,0)),""))</f>
        <v>2019</v>
      </c>
      <c r="V366">
        <f t="shared" si="77"/>
        <v>5</v>
      </c>
    </row>
    <row r="367" spans="1:22" x14ac:dyDescent="0.25">
      <c r="A367" t="str">
        <f>IF(games!$A367="","",games!$A367)</f>
        <v>Heroes of Hammerwatch II</v>
      </c>
      <c r="B367">
        <f>IF($A367="","",games!$B367)</f>
        <v>2025</v>
      </c>
      <c r="C367" t="str">
        <f>IF($A367="","",games!$C367)</f>
        <v>Action</v>
      </c>
      <c r="D367">
        <f>IF($A367="","",COUNTIF(connections!$A$2:$A$1460,$A367)+COUNTIF(connections!$B$2:$B$1460,$A367))</f>
        <v>1</v>
      </c>
      <c r="E367">
        <f t="shared" si="65"/>
        <v>1</v>
      </c>
      <c r="F367">
        <f t="shared" si="66"/>
        <v>27</v>
      </c>
      <c r="G367">
        <f t="shared" si="67"/>
        <v>2025</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2014</v>
      </c>
      <c r="U367">
        <f>IF(connections!$A367="","",IFERROR(INDEX(games!$B$2:$B$950,MATCH(connections!$B367,games!$A$2:$A$950,0)),""))</f>
        <v>2017</v>
      </c>
      <c r="V367">
        <f t="shared" si="77"/>
        <v>3</v>
      </c>
    </row>
    <row r="368" spans="1:22" x14ac:dyDescent="0.25">
      <c r="A368" t="str">
        <f>IF(games!$A368="","",games!$A368)</f>
        <v>Hexagod</v>
      </c>
      <c r="B368">
        <f>IF($A368="","",games!$B368)</f>
        <v>2025</v>
      </c>
      <c r="C368" t="str">
        <f>IF($A368="","",games!$C368)</f>
        <v>Strategy</v>
      </c>
      <c r="D368">
        <f>IF($A368="","",COUNTIF(connections!$A$2:$A$1460,$A368)+COUNTIF(connections!$B$2:$B$1460,$A368))</f>
        <v>1</v>
      </c>
      <c r="E368">
        <f t="shared" si="65"/>
        <v>2</v>
      </c>
      <c r="F368">
        <f t="shared" si="66"/>
        <v>28</v>
      </c>
      <c r="G368" t="e">
        <f t="shared" si="67"/>
        <v>#N/A</v>
      </c>
      <c r="H368" t="e">
        <f t="shared" si="68"/>
        <v>#N/A</v>
      </c>
      <c r="I368">
        <f t="shared" si="69"/>
        <v>2025</v>
      </c>
      <c r="J368">
        <f t="shared" si="70"/>
        <v>2.6440000000000001</v>
      </c>
      <c r="K368" t="e">
        <f t="shared" si="71"/>
        <v>#N/A</v>
      </c>
      <c r="L368" t="e">
        <f t="shared" si="72"/>
        <v>#N/A</v>
      </c>
      <c r="M368" t="e">
        <f t="shared" si="73"/>
        <v>#N/A</v>
      </c>
      <c r="N368" t="e">
        <f t="shared" si="74"/>
        <v>#N/A</v>
      </c>
      <c r="O368">
        <f t="shared" si="75"/>
        <v>1.0003679999999999</v>
      </c>
      <c r="P368" t="str">
        <f>IF(OR($A368="",games!$H368=""),"",games!$H368)</f>
        <v/>
      </c>
      <c r="Q368" t="str">
        <f t="shared" si="76"/>
        <v/>
      </c>
      <c r="T368">
        <f>IF(connections!$A368="","",IFERROR(INDEX(games!$B$2:$B$950,MATCH(connections!$A368,games!$A$2:$A$950,0)),""))</f>
        <v>2024</v>
      </c>
      <c r="U368">
        <f>IF(connections!$A368="","",IFERROR(INDEX(games!$B$2:$B$950,MATCH(connections!$B368,games!$A$2:$A$950,0)),""))</f>
        <v>2026</v>
      </c>
      <c r="V368">
        <f t="shared" si="77"/>
        <v>2</v>
      </c>
    </row>
    <row r="369" spans="1:22" x14ac:dyDescent="0.25">
      <c r="A369" t="str">
        <f>IF(games!$A369="","",games!$A369)</f>
        <v>Hive Blight</v>
      </c>
      <c r="B369">
        <f>IF($A369="","",games!$B369)</f>
        <v>2026</v>
      </c>
      <c r="C369" t="str">
        <f>IF($A369="","",games!$C369)</f>
        <v>Strategy</v>
      </c>
      <c r="D369">
        <f>IF($A369="","",COUNTIF(connections!$A$2:$A$1460,$A369)+COUNTIF(connections!$B$2:$B$1460,$A369))</f>
        <v>2</v>
      </c>
      <c r="E369">
        <f t="shared" si="65"/>
        <v>2</v>
      </c>
      <c r="F369">
        <f t="shared" si="66"/>
        <v>29</v>
      </c>
      <c r="G369" t="e">
        <f t="shared" si="67"/>
        <v>#N/A</v>
      </c>
      <c r="H369" t="e">
        <f t="shared" si="68"/>
        <v>#N/A</v>
      </c>
      <c r="I369">
        <f t="shared" si="69"/>
        <v>2026</v>
      </c>
      <c r="J369">
        <f t="shared" si="70"/>
        <v>2.6669999999999998</v>
      </c>
      <c r="K369" t="e">
        <f t="shared" si="71"/>
        <v>#N/A</v>
      </c>
      <c r="L369" t="e">
        <f t="shared" si="72"/>
        <v>#N/A</v>
      </c>
      <c r="M369" t="e">
        <f t="shared" si="73"/>
        <v>#N/A</v>
      </c>
      <c r="N369" t="e">
        <f t="shared" si="74"/>
        <v>#N/A</v>
      </c>
      <c r="O369">
        <f t="shared" si="75"/>
        <v>2.0003690000000001</v>
      </c>
      <c r="P369" t="str">
        <f>IF(OR($A369="",games!$H369=""),"",games!$H369)</f>
        <v/>
      </c>
      <c r="Q369" t="str">
        <f t="shared" si="76"/>
        <v/>
      </c>
      <c r="T369">
        <f>IF(connections!$A369="","",IFERROR(INDEX(games!$B$2:$B$950,MATCH(connections!$A369,games!$A$2:$A$950,0)),""))</f>
        <v>2006</v>
      </c>
      <c r="U369">
        <f>IF(connections!$A369="","",IFERROR(INDEX(games!$B$2:$B$950,MATCH(connections!$B369,games!$A$2:$A$950,0)),""))</f>
        <v>2010</v>
      </c>
      <c r="V369">
        <f t="shared" si="77"/>
        <v>4</v>
      </c>
    </row>
    <row r="370" spans="1:22" x14ac:dyDescent="0.25">
      <c r="A370" t="str">
        <f>IF(games!$A370="","",games!$A370)</f>
        <v>HoloCure: Save the Fans!</v>
      </c>
      <c r="B370">
        <f>IF($A370="","",games!$B370)</f>
        <v>2023</v>
      </c>
      <c r="C370" t="str">
        <f>IF($A370="","",games!$C370)</f>
        <v>Action</v>
      </c>
      <c r="D370">
        <f>IF($A370="","",COUNTIF(connections!$A$2:$A$1460,$A370)+COUNTIF(connections!$B$2:$B$1460,$A370))</f>
        <v>2</v>
      </c>
      <c r="E370">
        <f t="shared" si="65"/>
        <v>1</v>
      </c>
      <c r="F370">
        <f t="shared" si="66"/>
        <v>30</v>
      </c>
      <c r="G370">
        <f t="shared" si="67"/>
        <v>2023</v>
      </c>
      <c r="H370">
        <f t="shared" si="68"/>
        <v>1.69</v>
      </c>
      <c r="I370" t="e">
        <f t="shared" si="69"/>
        <v>#N/A</v>
      </c>
      <c r="J370" t="e">
        <f t="shared" si="70"/>
        <v>#N/A</v>
      </c>
      <c r="K370" t="e">
        <f t="shared" si="71"/>
        <v>#N/A</v>
      </c>
      <c r="L370" t="e">
        <f t="shared" si="72"/>
        <v>#N/A</v>
      </c>
      <c r="M370" t="e">
        <f t="shared" si="73"/>
        <v>#N/A</v>
      </c>
      <c r="N370" t="e">
        <f t="shared" si="74"/>
        <v>#N/A</v>
      </c>
      <c r="O370">
        <f t="shared" si="75"/>
        <v>2.0003700000000002</v>
      </c>
      <c r="P370" t="str">
        <f>IF(OR($A370="",games!$H370=""),"",games!$H370)</f>
        <v>Yes</v>
      </c>
      <c r="Q370">
        <f t="shared" si="76"/>
        <v>2.0003700000000002</v>
      </c>
      <c r="T370">
        <f>IF(connections!$A370="","",IFERROR(INDEX(games!$B$2:$B$950,MATCH(connections!$A370,games!$A$2:$A$950,0)),""))</f>
        <v>2006</v>
      </c>
      <c r="U370">
        <f>IF(connections!$A370="","",IFERROR(INDEX(games!$B$2:$B$950,MATCH(connections!$B370,games!$A$2:$A$950,0)),""))</f>
        <v>2017</v>
      </c>
      <c r="V370">
        <f t="shared" si="77"/>
        <v>11</v>
      </c>
    </row>
    <row r="371" spans="1:22" x14ac:dyDescent="0.25">
      <c r="A371" t="str">
        <f>IF(games!$A371="","",games!$A371)</f>
        <v>HoloDungeon: Koyori vs HollowLive in Honsha Tower</v>
      </c>
      <c r="B371">
        <f>IF($A371="","",games!$B371)</f>
        <v>2026</v>
      </c>
      <c r="C371" t="str">
        <f>IF($A371="","",games!$C371)</f>
        <v>Traditional</v>
      </c>
      <c r="D371">
        <f>IF($A371="","",COUNTIF(connections!$A$2:$A$1460,$A371)+COUNTIF(connections!$B$2:$B$1460,$A371))</f>
        <v>1</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2026</v>
      </c>
      <c r="N371">
        <f t="shared" si="74"/>
        <v>4.7130000000000001</v>
      </c>
      <c r="O371">
        <f t="shared" si="75"/>
        <v>1.0003709999999999</v>
      </c>
      <c r="P371" t="str">
        <f>IF(OR($A371="",games!$H371=""),"",games!$H371)</f>
        <v/>
      </c>
      <c r="Q371" t="str">
        <f t="shared" si="76"/>
        <v/>
      </c>
      <c r="T371">
        <f>IF(connections!$A371="","",IFERROR(INDEX(games!$B$2:$B$950,MATCH(connections!$A371,games!$A$2:$A$950,0)),""))</f>
        <v>2006</v>
      </c>
      <c r="U371">
        <f>IF(connections!$A371="","",IFERROR(INDEX(games!$B$2:$B$950,MATCH(connections!$B371,games!$A$2:$A$950,0)),""))</f>
        <v>2010</v>
      </c>
      <c r="V371">
        <f t="shared" si="77"/>
        <v>4</v>
      </c>
    </row>
    <row r="372" spans="1:22" x14ac:dyDescent="0.25">
      <c r="A372" t="str">
        <f>IF(games!$A372="","",games!$A372)</f>
        <v>Hoplite</v>
      </c>
      <c r="B372">
        <f>IF($A372="","",games!$B372)</f>
        <v>2013</v>
      </c>
      <c r="C372" t="str">
        <f>IF($A372="","",games!$C372)</f>
        <v>Traditional</v>
      </c>
      <c r="D372">
        <f>IF($A372="","",COUNTIF(connections!$A$2:$A$1460,$A372)+COUNTIF(connections!$B$2:$B$1460,$A372))</f>
        <v>4</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2013</v>
      </c>
      <c r="N372">
        <f t="shared" si="74"/>
        <v>4.7359999999999998</v>
      </c>
      <c r="O372">
        <f t="shared" si="75"/>
        <v>4.0003719999999996</v>
      </c>
      <c r="P372" t="str">
        <f>IF(OR($A372="",games!$H372=""),"",games!$H372)</f>
        <v>Yes</v>
      </c>
      <c r="Q372">
        <f t="shared" si="76"/>
        <v>4.0003719999999996</v>
      </c>
      <c r="T372">
        <f>IF(connections!$A372="","",IFERROR(INDEX(games!$B$2:$B$950,MATCH(connections!$A372,games!$A$2:$A$950,0)),""))</f>
        <v>2006</v>
      </c>
      <c r="U372">
        <f>IF(connections!$A372="","",IFERROR(INDEX(games!$B$2:$B$950,MATCH(connections!$B372,games!$A$2:$A$950,0)),""))</f>
        <v>2010</v>
      </c>
      <c r="V372">
        <f t="shared" si="77"/>
        <v>4</v>
      </c>
    </row>
    <row r="373" spans="1:22" x14ac:dyDescent="0.25">
      <c r="A373" t="str">
        <f>IF(games!$A373="","",games!$A373)</f>
        <v>House of Necrosis</v>
      </c>
      <c r="B373">
        <f>IF($A373="","",games!$B373)</f>
        <v>2025</v>
      </c>
      <c r="C373" t="str">
        <f>IF($A373="","",games!$C373)</f>
        <v>Traditional</v>
      </c>
      <c r="D373">
        <f>IF($A373="","",COUNTIF(connections!$A$2:$A$1460,$A373)+COUNTIF(connections!$B$2:$B$1460,$A373))</f>
        <v>2</v>
      </c>
      <c r="E373">
        <f t="shared" si="65"/>
        <v>4</v>
      </c>
      <c r="F373">
        <f t="shared" si="66"/>
        <v>33</v>
      </c>
      <c r="G373" t="e">
        <f t="shared" si="67"/>
        <v>#N/A</v>
      </c>
      <c r="H373" t="e">
        <f t="shared" si="68"/>
        <v>#N/A</v>
      </c>
      <c r="I373" t="e">
        <f t="shared" si="69"/>
        <v>#N/A</v>
      </c>
      <c r="J373" t="e">
        <f t="shared" si="70"/>
        <v>#N/A</v>
      </c>
      <c r="K373" t="e">
        <f t="shared" si="71"/>
        <v>#N/A</v>
      </c>
      <c r="L373" t="e">
        <f t="shared" si="72"/>
        <v>#N/A</v>
      </c>
      <c r="M373">
        <f t="shared" si="73"/>
        <v>2025</v>
      </c>
      <c r="N373">
        <f t="shared" si="74"/>
        <v>4.7590000000000003</v>
      </c>
      <c r="O373">
        <f t="shared" si="75"/>
        <v>2.0003730000000002</v>
      </c>
      <c r="P373" t="str">
        <f>IF(OR($A373="",games!$H373=""),"",games!$H373)</f>
        <v/>
      </c>
      <c r="Q373" t="str">
        <f t="shared" si="76"/>
        <v/>
      </c>
      <c r="T373">
        <f>IF(connections!$A373="","",IFERROR(INDEX(games!$B$2:$B$950,MATCH(connections!$A373,games!$A$2:$A$950,0)),""))</f>
        <v>2006</v>
      </c>
      <c r="U373">
        <f>IF(connections!$A373="","",IFERROR(INDEX(games!$B$2:$B$950,MATCH(connections!$B373,games!$A$2:$A$950,0)),""))</f>
        <v>2014</v>
      </c>
      <c r="V373">
        <f t="shared" si="77"/>
        <v>8</v>
      </c>
    </row>
    <row r="374" spans="1:22" x14ac:dyDescent="0.25">
      <c r="A374" t="str">
        <f>IF(games!$A374="","",games!$A374)</f>
        <v>How Many Dudes?</v>
      </c>
      <c r="B374">
        <f>IF($A374="","",games!$B374)</f>
        <v>2026</v>
      </c>
      <c r="C374" t="str">
        <f>IF($A374="","",games!$C374)</f>
        <v>Action</v>
      </c>
      <c r="D374">
        <f>IF($A374="","",COUNTIF(connections!$A$2:$A$1460,$A374)+COUNTIF(connections!$B$2:$B$1460,$A374))</f>
        <v>2</v>
      </c>
      <c r="E374">
        <f t="shared" si="65"/>
        <v>1</v>
      </c>
      <c r="F374">
        <f t="shared" si="66"/>
        <v>0</v>
      </c>
      <c r="G374">
        <f t="shared" si="67"/>
        <v>2026</v>
      </c>
      <c r="H374">
        <f t="shared" si="68"/>
        <v>1</v>
      </c>
      <c r="I374" t="e">
        <f t="shared" si="69"/>
        <v>#N/A</v>
      </c>
      <c r="J374" t="e">
        <f t="shared" si="70"/>
        <v>#N/A</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2006</v>
      </c>
      <c r="U374">
        <f>IF(connections!$A374="","",IFERROR(INDEX(games!$B$2:$B$950,MATCH(connections!$B374,games!$A$2:$A$950,0)),""))</f>
        <v>2023</v>
      </c>
      <c r="V374">
        <f t="shared" si="77"/>
        <v>17</v>
      </c>
    </row>
    <row r="375" spans="1:22" x14ac:dyDescent="0.25">
      <c r="A375" t="str">
        <f>IF(games!$A375="","",games!$A375)</f>
        <v>Hungry Horrors</v>
      </c>
      <c r="B375">
        <f>IF($A375="","",games!$B375)</f>
        <v>2026</v>
      </c>
      <c r="C375" t="str">
        <f>IF($A375="","",games!$C375)</f>
        <v>Deckbuilder</v>
      </c>
      <c r="D375">
        <f>IF($A375="","",COUNTIF(connections!$A$2:$A$1460,$A375)+COUNTIF(connections!$B$2:$B$1460,$A375))</f>
        <v>4</v>
      </c>
      <c r="E375">
        <f t="shared" si="65"/>
        <v>3</v>
      </c>
      <c r="F375">
        <f t="shared" si="66"/>
        <v>1</v>
      </c>
      <c r="G375" t="e">
        <f t="shared" si="67"/>
        <v>#N/A</v>
      </c>
      <c r="H375" t="e">
        <f t="shared" si="68"/>
        <v>#N/A</v>
      </c>
      <c r="I375" t="e">
        <f t="shared" si="69"/>
        <v>#N/A</v>
      </c>
      <c r="J375" t="e">
        <f t="shared" si="70"/>
        <v>#N/A</v>
      </c>
      <c r="K375">
        <f t="shared" si="71"/>
        <v>2026</v>
      </c>
      <c r="L375">
        <f t="shared" si="72"/>
        <v>3.0230000000000001</v>
      </c>
      <c r="M375" t="e">
        <f t="shared" si="73"/>
        <v>#N/A</v>
      </c>
      <c r="N375" t="e">
        <f t="shared" si="74"/>
        <v>#N/A</v>
      </c>
      <c r="O375">
        <f t="shared" si="75"/>
        <v>4.000375</v>
      </c>
      <c r="P375" t="str">
        <f>IF(OR($A375="",games!$H375=""),"",games!$H375)</f>
        <v/>
      </c>
      <c r="Q375" t="str">
        <f t="shared" si="76"/>
        <v/>
      </c>
      <c r="T375">
        <f>IF(connections!$A375="","",IFERROR(INDEX(games!$B$2:$B$950,MATCH(connections!$A375,games!$A$2:$A$950,0)),""))</f>
        <v>2006</v>
      </c>
      <c r="U375">
        <f>IF(connections!$A375="","",IFERROR(INDEX(games!$B$2:$B$950,MATCH(connections!$B375,games!$A$2:$A$950,0)),""))</f>
        <v>2020</v>
      </c>
      <c r="V375">
        <f t="shared" si="77"/>
        <v>14</v>
      </c>
    </row>
    <row r="376" spans="1:22" x14ac:dyDescent="0.25">
      <c r="A376" t="str">
        <f>IF(games!$A376="","",games!$A376)</f>
        <v>Hunter X Hunter: Nen X Survivor</v>
      </c>
      <c r="B376">
        <f>IF($A376="","",games!$B376)</f>
        <v>2026</v>
      </c>
      <c r="C376" t="str">
        <f>IF($A376="","",games!$C376)</f>
        <v>Action</v>
      </c>
      <c r="D376">
        <f>IF($A376="","",COUNTIF(connections!$A$2:$A$1460,$A376)+COUNTIF(connections!$B$2:$B$1460,$A376))</f>
        <v>1</v>
      </c>
      <c r="E376">
        <f t="shared" si="65"/>
        <v>1</v>
      </c>
      <c r="F376">
        <f t="shared" si="66"/>
        <v>2</v>
      </c>
      <c r="G376">
        <f t="shared" si="67"/>
        <v>2026</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2006</v>
      </c>
      <c r="U376">
        <f>IF(connections!$A376="","",IFERROR(INDEX(games!$B$2:$B$950,MATCH(connections!$B376,games!$A$2:$A$950,0)),""))</f>
        <v>2025</v>
      </c>
      <c r="V376">
        <f t="shared" si="77"/>
        <v>19</v>
      </c>
    </row>
    <row r="377" spans="1:22" x14ac:dyDescent="0.25">
      <c r="A377" t="str">
        <f>IF(games!$A377="","",games!$A377)</f>
        <v>HyperRogue</v>
      </c>
      <c r="B377">
        <f>IF($A377="","",games!$B377)</f>
        <v>2012</v>
      </c>
      <c r="C377" t="str">
        <f>IF($A377="","",games!$C377)</f>
        <v>Traditional</v>
      </c>
      <c r="D377">
        <f>IF($A377="","",COUNTIF(connections!$A$2:$A$1460,$A377)+COUNTIF(connections!$B$2:$B$1460,$A377))</f>
        <v>6</v>
      </c>
      <c r="E377">
        <f t="shared" si="65"/>
        <v>4</v>
      </c>
      <c r="F377">
        <f t="shared" si="66"/>
        <v>3</v>
      </c>
      <c r="G377" t="e">
        <f t="shared" si="67"/>
        <v>#N/A</v>
      </c>
      <c r="H377" t="e">
        <f t="shared" si="68"/>
        <v>#N/A</v>
      </c>
      <c r="I377" t="e">
        <f t="shared" si="69"/>
        <v>#N/A</v>
      </c>
      <c r="J377" t="e">
        <f t="shared" si="70"/>
        <v>#N/A</v>
      </c>
      <c r="K377" t="e">
        <f t="shared" si="71"/>
        <v>#N/A</v>
      </c>
      <c r="L377" t="e">
        <f t="shared" si="72"/>
        <v>#N/A</v>
      </c>
      <c r="M377">
        <f t="shared" si="73"/>
        <v>2012</v>
      </c>
      <c r="N377">
        <f t="shared" si="74"/>
        <v>4.069</v>
      </c>
      <c r="O377">
        <f t="shared" si="75"/>
        <v>6.0003770000000003</v>
      </c>
      <c r="P377" t="str">
        <f>IF(OR($A377="",games!$H377=""),"",games!$H377)</f>
        <v/>
      </c>
      <c r="Q377" t="str">
        <f t="shared" si="76"/>
        <v/>
      </c>
      <c r="T377">
        <f>IF(connections!$A377="","",IFERROR(INDEX(games!$B$2:$B$950,MATCH(connections!$A377,games!$A$2:$A$950,0)),""))</f>
        <v>2006</v>
      </c>
      <c r="U377">
        <f>IF(connections!$A377="","",IFERROR(INDEX(games!$B$2:$B$950,MATCH(connections!$B377,games!$A$2:$A$950,0)),""))</f>
        <v>2018</v>
      </c>
      <c r="V377">
        <f t="shared" si="77"/>
        <v>12</v>
      </c>
    </row>
    <row r="378" spans="1:22" x14ac:dyDescent="0.25">
      <c r="A378" t="str">
        <f>IF(games!$A378="","",games!$A378)</f>
        <v>I Am Legion: Stand Survivors</v>
      </c>
      <c r="B378">
        <f>IF($A378="","",games!$B378)</f>
        <v>2025</v>
      </c>
      <c r="C378" t="str">
        <f>IF($A378="","",games!$C378)</f>
        <v>Action</v>
      </c>
      <c r="D378">
        <f>IF($A378="","",COUNTIF(connections!$A$2:$A$1460,$A378)+COUNTIF(connections!$B$2:$B$1460,$A378))</f>
        <v>1</v>
      </c>
      <c r="E378">
        <f t="shared" si="65"/>
        <v>1</v>
      </c>
      <c r="F378">
        <f t="shared" si="66"/>
        <v>4</v>
      </c>
      <c r="G378">
        <f t="shared" si="67"/>
        <v>2025</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Yes</v>
      </c>
      <c r="Q378">
        <f t="shared" si="76"/>
        <v>1.000378</v>
      </c>
      <c r="T378">
        <f>IF(connections!$A378="","",IFERROR(INDEX(games!$B$2:$B$950,MATCH(connections!$A378,games!$A$2:$A$950,0)),""))</f>
        <v>2006</v>
      </c>
      <c r="U378">
        <f>IF(connections!$A378="","",IFERROR(INDEX(games!$B$2:$B$950,MATCH(connections!$B378,games!$A$2:$A$950,0)),""))</f>
        <v>2025</v>
      </c>
      <c r="V378">
        <f t="shared" si="77"/>
        <v>19</v>
      </c>
    </row>
    <row r="379" spans="1:22" x14ac:dyDescent="0.25">
      <c r="A379" t="str">
        <f>IF(games!$A379="","",games!$A379)</f>
        <v>I Am Overburdened</v>
      </c>
      <c r="B379">
        <f>IF($A379="","",games!$B379)</f>
        <v>2017</v>
      </c>
      <c r="C379" t="str">
        <f>IF($A379="","",games!$C379)</f>
        <v>Traditional</v>
      </c>
      <c r="D379">
        <f>IF($A379="","",COUNTIF(connections!$A$2:$A$1460,$A379)+COUNTIF(connections!$B$2:$B$1460,$A379))</f>
        <v>2</v>
      </c>
      <c r="E379">
        <f t="shared" si="65"/>
        <v>4</v>
      </c>
      <c r="F379">
        <f t="shared" si="66"/>
        <v>5</v>
      </c>
      <c r="G379" t="e">
        <f t="shared" si="67"/>
        <v>#N/A</v>
      </c>
      <c r="H379" t="e">
        <f t="shared" si="68"/>
        <v>#N/A</v>
      </c>
      <c r="I379" t="e">
        <f t="shared" si="69"/>
        <v>#N/A</v>
      </c>
      <c r="J379" t="e">
        <f t="shared" si="70"/>
        <v>#N/A</v>
      </c>
      <c r="K379" t="e">
        <f t="shared" si="71"/>
        <v>#N/A</v>
      </c>
      <c r="L379" t="e">
        <f t="shared" si="72"/>
        <v>#N/A</v>
      </c>
      <c r="M379">
        <f t="shared" si="73"/>
        <v>2017</v>
      </c>
      <c r="N379">
        <f t="shared" si="74"/>
        <v>4.1150000000000002</v>
      </c>
      <c r="O379">
        <f t="shared" si="75"/>
        <v>2.0003790000000001</v>
      </c>
      <c r="P379" t="str">
        <f>IF(OR($A379="",games!$H379=""),"",games!$H379)</f>
        <v/>
      </c>
      <c r="Q379" t="str">
        <f t="shared" si="76"/>
        <v/>
      </c>
      <c r="T379">
        <f>IF(connections!$A379="","",IFERROR(INDEX(games!$B$2:$B$950,MATCH(connections!$A379,games!$A$2:$A$950,0)),""))</f>
        <v>2010</v>
      </c>
      <c r="U379">
        <f>IF(connections!$A379="","",IFERROR(INDEX(games!$B$2:$B$950,MATCH(connections!$B379,games!$A$2:$A$950,0)),""))</f>
        <v>2017</v>
      </c>
      <c r="V379">
        <f t="shared" si="77"/>
        <v>7</v>
      </c>
    </row>
    <row r="380" spans="1:22" x14ac:dyDescent="0.25">
      <c r="A380" t="str">
        <f>IF(games!$A380="","",games!$A380)</f>
        <v>Icewall</v>
      </c>
      <c r="B380">
        <f>IF($A380="","",games!$B380)</f>
        <v>2022</v>
      </c>
      <c r="C380" t="str">
        <f>IF($A380="","",games!$C380)</f>
        <v>Action</v>
      </c>
      <c r="D380">
        <f>IF($A380="","",COUNTIF(connections!$A$2:$A$1460,$A380)+COUNTIF(connections!$B$2:$B$1460,$A380))</f>
        <v>1</v>
      </c>
      <c r="E380">
        <f t="shared" si="65"/>
        <v>1</v>
      </c>
      <c r="F380">
        <f t="shared" si="66"/>
        <v>6</v>
      </c>
      <c r="G380">
        <f t="shared" si="67"/>
        <v>2022</v>
      </c>
      <c r="H380">
        <f t="shared" si="68"/>
        <v>1.1379999999999999</v>
      </c>
      <c r="I380" t="e">
        <f t="shared" si="69"/>
        <v>#N/A</v>
      </c>
      <c r="J380" t="e">
        <f t="shared" si="70"/>
        <v>#N/A</v>
      </c>
      <c r="K380" t="e">
        <f t="shared" si="71"/>
        <v>#N/A</v>
      </c>
      <c r="L380" t="e">
        <f t="shared" si="72"/>
        <v>#N/A</v>
      </c>
      <c r="M380" t="e">
        <f t="shared" si="73"/>
        <v>#N/A</v>
      </c>
      <c r="N380" t="e">
        <f t="shared" si="74"/>
        <v>#N/A</v>
      </c>
      <c r="O380">
        <f t="shared" si="75"/>
        <v>1.00038</v>
      </c>
      <c r="P380" t="str">
        <f>IF(OR($A380="",games!$H380=""),"",games!$H380)</f>
        <v>Yes</v>
      </c>
      <c r="Q380">
        <f t="shared" si="76"/>
        <v>1.00038</v>
      </c>
      <c r="T380">
        <f>IF(connections!$A380="","",IFERROR(INDEX(games!$B$2:$B$950,MATCH(connections!$A380,games!$A$2:$A$950,0)),""))</f>
        <v>2011</v>
      </c>
      <c r="U380">
        <f>IF(connections!$A380="","",IFERROR(INDEX(games!$B$2:$B$950,MATCH(connections!$B380,games!$A$2:$A$950,0)),""))</f>
        <v>2017</v>
      </c>
      <c r="V380">
        <f t="shared" si="77"/>
        <v>6</v>
      </c>
    </row>
    <row r="381" spans="1:22" x14ac:dyDescent="0.25">
      <c r="A381" t="str">
        <f>IF(games!$A381="","",games!$A381)</f>
        <v>Immortal Redneck</v>
      </c>
      <c r="B381">
        <f>IF($A381="","",games!$B381)</f>
        <v>2017</v>
      </c>
      <c r="C381" t="str">
        <f>IF($A381="","",games!$C381)</f>
        <v>Action</v>
      </c>
      <c r="D381">
        <f>IF($A381="","",COUNTIF(connections!$A$2:$A$1460,$A381)+COUNTIF(connections!$B$2:$B$1460,$A381))</f>
        <v>4</v>
      </c>
      <c r="E381">
        <f t="shared" si="65"/>
        <v>1</v>
      </c>
      <c r="F381">
        <f t="shared" si="66"/>
        <v>7</v>
      </c>
      <c r="G381">
        <f t="shared" si="67"/>
        <v>2017</v>
      </c>
      <c r="H381">
        <f t="shared" si="68"/>
        <v>1.161</v>
      </c>
      <c r="I381" t="e">
        <f t="shared" si="69"/>
        <v>#N/A</v>
      </c>
      <c r="J381" t="e">
        <f t="shared" si="70"/>
        <v>#N/A</v>
      </c>
      <c r="K381" t="e">
        <f t="shared" si="71"/>
        <v>#N/A</v>
      </c>
      <c r="L381" t="e">
        <f t="shared" si="72"/>
        <v>#N/A</v>
      </c>
      <c r="M381" t="e">
        <f t="shared" si="73"/>
        <v>#N/A</v>
      </c>
      <c r="N381" t="e">
        <f t="shared" si="74"/>
        <v>#N/A</v>
      </c>
      <c r="O381">
        <f t="shared" si="75"/>
        <v>4.000381</v>
      </c>
      <c r="P381" t="str">
        <f>IF(OR($A381="",games!$H381=""),"",games!$H381)</f>
        <v>Yes</v>
      </c>
      <c r="Q381">
        <f t="shared" si="76"/>
        <v>4.000381</v>
      </c>
      <c r="T381">
        <f>IF(connections!$A381="","",IFERROR(INDEX(games!$B$2:$B$950,MATCH(connections!$A381,games!$A$2:$A$950,0)),""))</f>
        <v>2011</v>
      </c>
      <c r="U381">
        <f>IF(connections!$A381="","",IFERROR(INDEX(games!$B$2:$B$950,MATCH(connections!$B381,games!$A$2:$A$950,0)),""))</f>
        <v>2014</v>
      </c>
      <c r="V381">
        <f t="shared" si="77"/>
        <v>3</v>
      </c>
    </row>
    <row r="382" spans="1:22" x14ac:dyDescent="0.25">
      <c r="A382" t="str">
        <f>IF(games!$A382="","",games!$A382)</f>
        <v>In Celebration of Violence</v>
      </c>
      <c r="B382">
        <f>IF($A382="","",games!$B382)</f>
        <v>2016</v>
      </c>
      <c r="C382" t="str">
        <f>IF($A382="","",games!$C382)</f>
        <v>Action</v>
      </c>
      <c r="D382">
        <f>IF($A382="","",COUNTIF(connections!$A$2:$A$1460,$A382)+COUNTIF(connections!$B$2:$B$1460,$A382))</f>
        <v>1</v>
      </c>
      <c r="E382">
        <f t="shared" si="65"/>
        <v>1</v>
      </c>
      <c r="F382">
        <f t="shared" si="66"/>
        <v>8</v>
      </c>
      <c r="G382">
        <f t="shared" si="67"/>
        <v>2016</v>
      </c>
      <c r="H382">
        <f t="shared" si="68"/>
        <v>1.1839999999999999</v>
      </c>
      <c r="I382" t="e">
        <f t="shared" si="69"/>
        <v>#N/A</v>
      </c>
      <c r="J382" t="e">
        <f t="shared" si="70"/>
        <v>#N/A</v>
      </c>
      <c r="K382" t="e">
        <f t="shared" si="71"/>
        <v>#N/A</v>
      </c>
      <c r="L382" t="e">
        <f t="shared" si="72"/>
        <v>#N/A</v>
      </c>
      <c r="M382" t="e">
        <f t="shared" si="73"/>
        <v>#N/A</v>
      </c>
      <c r="N382" t="e">
        <f t="shared" si="74"/>
        <v>#N/A</v>
      </c>
      <c r="O382">
        <f t="shared" si="75"/>
        <v>1.0003820000000001</v>
      </c>
      <c r="P382" t="str">
        <f>IF(OR($A382="",games!$H382=""),"",games!$H382)</f>
        <v/>
      </c>
      <c r="Q382" t="str">
        <f t="shared" si="76"/>
        <v/>
      </c>
      <c r="T382">
        <f>IF(connections!$A382="","",IFERROR(INDEX(games!$B$2:$B$950,MATCH(connections!$A382,games!$A$2:$A$950,0)),""))</f>
        <v>2011</v>
      </c>
      <c r="U382">
        <f>IF(connections!$A382="","",IFERROR(INDEX(games!$B$2:$B$950,MATCH(connections!$B382,games!$A$2:$A$950,0)),""))</f>
        <v>2016</v>
      </c>
      <c r="V382">
        <f t="shared" si="77"/>
        <v>5</v>
      </c>
    </row>
    <row r="383" spans="1:22" x14ac:dyDescent="0.25">
      <c r="A383" t="str">
        <f>IF(games!$A383="","",games!$A383)</f>
        <v>Incursion</v>
      </c>
      <c r="B383">
        <f>IF($A383="","",games!$B383)</f>
        <v>2007</v>
      </c>
      <c r="C383" t="str">
        <f>IF($A383="","",games!$C383)</f>
        <v>Traditional</v>
      </c>
      <c r="D383">
        <f>IF($A383="","",COUNTIF(connections!$A$2:$A$1460,$A383)+COUNTIF(connections!$B$2:$B$1460,$A383))</f>
        <v>6</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2007</v>
      </c>
      <c r="N383">
        <f t="shared" si="74"/>
        <v>4.2069999999999999</v>
      </c>
      <c r="O383">
        <f t="shared" si="75"/>
        <v>6.0003830000000002</v>
      </c>
      <c r="P383" t="str">
        <f>IF(OR($A383="",games!$H383=""),"",games!$H383)</f>
        <v>Yes</v>
      </c>
      <c r="Q383">
        <f t="shared" si="76"/>
        <v>6.0003830000000002</v>
      </c>
      <c r="T383">
        <f>IF(connections!$A383="","",IFERROR(INDEX(games!$B$2:$B$950,MATCH(connections!$A383,games!$A$2:$A$950,0)),""))</f>
        <v>2011</v>
      </c>
      <c r="U383">
        <f>IF(connections!$A383="","",IFERROR(INDEX(games!$B$2:$B$950,MATCH(connections!$B383,games!$A$2:$A$950,0)),""))</f>
        <v>2021</v>
      </c>
      <c r="V383">
        <f t="shared" si="77"/>
        <v>10</v>
      </c>
    </row>
    <row r="384" spans="1:22" x14ac:dyDescent="0.25">
      <c r="A384" t="str">
        <f>IF(games!$A384="","",games!$A384)</f>
        <v>Infinite Space III: Sea of Stars</v>
      </c>
      <c r="B384">
        <f>IF($A384="","",games!$B384)</f>
        <v>2015</v>
      </c>
      <c r="C384" t="str">
        <f>IF($A384="","",games!$C384)</f>
        <v>Strategy</v>
      </c>
      <c r="D384">
        <f>IF($A384="","",COUNTIF(connections!$A$2:$A$1460,$A384)+COUNTIF(connections!$B$2:$B$1460,$A384))</f>
        <v>1</v>
      </c>
      <c r="E384">
        <f t="shared" si="65"/>
        <v>2</v>
      </c>
      <c r="F384">
        <f t="shared" si="66"/>
        <v>10</v>
      </c>
      <c r="G384" t="e">
        <f t="shared" si="67"/>
        <v>#N/A</v>
      </c>
      <c r="H384" t="e">
        <f t="shared" si="68"/>
        <v>#N/A</v>
      </c>
      <c r="I384">
        <f t="shared" si="69"/>
        <v>2015</v>
      </c>
      <c r="J384">
        <f t="shared" si="70"/>
        <v>2.23</v>
      </c>
      <c r="K384" t="e">
        <f t="shared" si="71"/>
        <v>#N/A</v>
      </c>
      <c r="L384" t="e">
        <f t="shared" si="72"/>
        <v>#N/A</v>
      </c>
      <c r="M384" t="e">
        <f t="shared" si="73"/>
        <v>#N/A</v>
      </c>
      <c r="N384" t="e">
        <f t="shared" si="74"/>
        <v>#N/A</v>
      </c>
      <c r="O384">
        <f t="shared" si="75"/>
        <v>1.0003839999999999</v>
      </c>
      <c r="P384" t="str">
        <f>IF(OR($A384="",games!$H384=""),"",games!$H384)</f>
        <v>Yes</v>
      </c>
      <c r="Q384">
        <f t="shared" si="76"/>
        <v>1.0003839999999999</v>
      </c>
      <c r="T384">
        <f>IF(connections!$A384="","",IFERROR(INDEX(games!$B$2:$B$950,MATCH(connections!$A384,games!$A$2:$A$950,0)),""))</f>
        <v>2018</v>
      </c>
      <c r="U384">
        <f>IF(connections!$A384="","",IFERROR(INDEX(games!$B$2:$B$950,MATCH(connections!$B384,games!$A$2:$A$950,0)),""))</f>
        <v>2025</v>
      </c>
      <c r="V384">
        <f t="shared" si="77"/>
        <v>7</v>
      </c>
    </row>
    <row r="385" spans="1:22" x14ac:dyDescent="0.25">
      <c r="A385" t="str">
        <f>IF(games!$A385="","",games!$A385)</f>
        <v>Infra Arcana</v>
      </c>
      <c r="B385">
        <f>IF($A385="","",games!$B385)</f>
        <v>2011</v>
      </c>
      <c r="C385" t="str">
        <f>IF($A385="","",games!$C385)</f>
        <v>Traditional</v>
      </c>
      <c r="D385">
        <f>IF($A385="","",COUNTIF(connections!$A$2:$A$1460,$A385)+COUNTIF(connections!$B$2:$B$1460,$A385))</f>
        <v>3</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2011</v>
      </c>
      <c r="N385">
        <f t="shared" si="74"/>
        <v>4.2530000000000001</v>
      </c>
      <c r="O385">
        <f t="shared" si="75"/>
        <v>3.0003850000000001</v>
      </c>
      <c r="P385" t="str">
        <f>IF(OR($A385="",games!$H385=""),"",games!$H385)</f>
        <v>Yes</v>
      </c>
      <c r="Q385">
        <f t="shared" si="76"/>
        <v>3.0003850000000001</v>
      </c>
      <c r="T385">
        <f>IF(connections!$A385="","",IFERROR(INDEX(games!$B$2:$B$950,MATCH(connections!$A385,games!$A$2:$A$950,0)),""))</f>
        <v>2006</v>
      </c>
      <c r="U385">
        <f>IF(connections!$A385="","",IFERROR(INDEX(games!$B$2:$B$950,MATCH(connections!$B385,games!$A$2:$A$950,0)),""))</f>
        <v>2010</v>
      </c>
      <c r="V385">
        <f t="shared" si="77"/>
        <v>4</v>
      </c>
    </row>
    <row r="386" spans="1:22" x14ac:dyDescent="0.25">
      <c r="A386" t="str">
        <f>IF(games!$A386="","",games!$A386)</f>
        <v>Inkbound</v>
      </c>
      <c r="B386">
        <f>IF($A386="","",games!$B386)</f>
        <v>2023</v>
      </c>
      <c r="C386" t="str">
        <f>IF($A386="","",games!$C386)</f>
        <v>Strategy</v>
      </c>
      <c r="D386">
        <f>IF($A386="","",COUNTIF(connections!$A$2:$A$1460,$A386)+COUNTIF(connections!$B$2:$B$1460,$A386))</f>
        <v>1</v>
      </c>
      <c r="E386">
        <f t="shared" ref="E386:E449" si="78">IF($A386="","",IFERROR(MATCH($C386,$R$2:$R$5,0),0))</f>
        <v>2</v>
      </c>
      <c r="F386">
        <f t="shared" ref="F386:F449" si="79">IF($A386="","",MOD(ROW(),34))</f>
        <v>12</v>
      </c>
      <c r="G386" t="e">
        <f t="shared" ref="G386:G449" si="80">IF($A386="",NA(),IF($C386="Action",$B386,NA()))</f>
        <v>#N/A</v>
      </c>
      <c r="H386" t="e">
        <f t="shared" ref="H386:H449" si="81">IF($A386="",NA(),IF($C386="Action",1+$F386*0.023,NA()))</f>
        <v>#N/A</v>
      </c>
      <c r="I386">
        <f t="shared" ref="I386:I449" si="82">IF($A386="",NA(),IF($C386="Strategy",$B386,NA()))</f>
        <v>2023</v>
      </c>
      <c r="J386">
        <f t="shared" ref="J386:J449" si="83">IF($A386="",NA(),IF($C386="Strategy",2+$F386*0.023,NA()))</f>
        <v>2.2759999999999998</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2006</v>
      </c>
      <c r="U386">
        <f>IF(connections!$A386="","",IFERROR(INDEX(games!$B$2:$B$950,MATCH(connections!$B386,games!$A$2:$A$950,0)),""))</f>
        <v>2010</v>
      </c>
      <c r="V386">
        <f t="shared" ref="V386:V449" si="90">IF(OR($T386="",$U386=""),"",$U386-$T386)</f>
        <v>4</v>
      </c>
    </row>
    <row r="387" spans="1:22" x14ac:dyDescent="0.25">
      <c r="A387" t="str">
        <f>IF(games!$A387="","",games!$A387)</f>
        <v>Inkshade</v>
      </c>
      <c r="B387">
        <f>IF($A387="","",games!$B387)</f>
        <v>2025</v>
      </c>
      <c r="C387" t="str">
        <f>IF($A387="","",games!$C387)</f>
        <v>Strategy</v>
      </c>
      <c r="D387">
        <f>IF($A387="","",COUNTIF(connections!$A$2:$A$1460,$A387)+COUNTIF(connections!$B$2:$B$1460,$A387))</f>
        <v>2</v>
      </c>
      <c r="E387">
        <f t="shared" si="78"/>
        <v>2</v>
      </c>
      <c r="F387">
        <f t="shared" si="79"/>
        <v>13</v>
      </c>
      <c r="G387" t="e">
        <f t="shared" si="80"/>
        <v>#N/A</v>
      </c>
      <c r="H387" t="e">
        <f t="shared" si="81"/>
        <v>#N/A</v>
      </c>
      <c r="I387">
        <f t="shared" si="82"/>
        <v>2025</v>
      </c>
      <c r="J387">
        <f t="shared" si="83"/>
        <v>2.2989999999999999</v>
      </c>
      <c r="K387" t="e">
        <f t="shared" si="84"/>
        <v>#N/A</v>
      </c>
      <c r="L387" t="e">
        <f t="shared" si="85"/>
        <v>#N/A</v>
      </c>
      <c r="M387" t="e">
        <f t="shared" si="86"/>
        <v>#N/A</v>
      </c>
      <c r="N387" t="e">
        <f t="shared" si="87"/>
        <v>#N/A</v>
      </c>
      <c r="O387">
        <f t="shared" si="88"/>
        <v>2.0003869999999999</v>
      </c>
      <c r="P387" t="str">
        <f>IF(OR($A387="",games!$H387=""),"",games!$H387)</f>
        <v/>
      </c>
      <c r="Q387" t="str">
        <f t="shared" si="89"/>
        <v/>
      </c>
      <c r="T387">
        <f>IF(connections!$A387="","",IFERROR(INDEX(games!$B$2:$B$950,MATCH(connections!$A387,games!$A$2:$A$950,0)),""))</f>
        <v>2006</v>
      </c>
      <c r="U387">
        <f>IF(connections!$A387="","",IFERROR(INDEX(games!$B$2:$B$950,MATCH(connections!$B387,games!$A$2:$A$950,0)),""))</f>
        <v>2015</v>
      </c>
      <c r="V387">
        <f t="shared" si="90"/>
        <v>9</v>
      </c>
    </row>
    <row r="388" spans="1:22" x14ac:dyDescent="0.25">
      <c r="A388" t="str">
        <f>IF(games!$A388="","",games!$A388)</f>
        <v>Inscryption</v>
      </c>
      <c r="B388">
        <f>IF($A388="","",games!$B388)</f>
        <v>2021</v>
      </c>
      <c r="C388" t="str">
        <f>IF($A388="","",games!$C388)</f>
        <v>Deckbuilder</v>
      </c>
      <c r="D388">
        <f>IF($A388="","",COUNTIF(connections!$A$2:$A$1460,$A388)+COUNTIF(connections!$B$2:$B$1460,$A388))</f>
        <v>18</v>
      </c>
      <c r="E388">
        <f t="shared" si="78"/>
        <v>3</v>
      </c>
      <c r="F388">
        <f t="shared" si="79"/>
        <v>14</v>
      </c>
      <c r="G388" t="e">
        <f t="shared" si="80"/>
        <v>#N/A</v>
      </c>
      <c r="H388" t="e">
        <f t="shared" si="81"/>
        <v>#N/A</v>
      </c>
      <c r="I388" t="e">
        <f t="shared" si="82"/>
        <v>#N/A</v>
      </c>
      <c r="J388" t="e">
        <f t="shared" si="83"/>
        <v>#N/A</v>
      </c>
      <c r="K388">
        <f t="shared" si="84"/>
        <v>2021</v>
      </c>
      <c r="L388">
        <f t="shared" si="85"/>
        <v>3.3220000000000001</v>
      </c>
      <c r="M388" t="e">
        <f t="shared" si="86"/>
        <v>#N/A</v>
      </c>
      <c r="N388" t="e">
        <f t="shared" si="87"/>
        <v>#N/A</v>
      </c>
      <c r="O388">
        <f t="shared" si="88"/>
        <v>18.000388000000001</v>
      </c>
      <c r="P388" t="str">
        <f>IF(OR($A388="",games!$H388=""),"",games!$H388)</f>
        <v>Yes</v>
      </c>
      <c r="Q388">
        <f t="shared" si="89"/>
        <v>18.000388000000001</v>
      </c>
      <c r="T388">
        <f>IF(connections!$A388="","",IFERROR(INDEX(games!$B$2:$B$950,MATCH(connections!$A388,games!$A$2:$A$950,0)),""))</f>
        <v>2006</v>
      </c>
      <c r="U388">
        <f>IF(connections!$A388="","",IFERROR(INDEX(games!$B$2:$B$950,MATCH(connections!$B388,games!$A$2:$A$950,0)),""))</f>
        <v>2023</v>
      </c>
      <c r="V388">
        <f t="shared" si="90"/>
        <v>17</v>
      </c>
    </row>
    <row r="389" spans="1:22" x14ac:dyDescent="0.25">
      <c r="A389" t="str">
        <f>IF(games!$A389="","",games!$A389)</f>
        <v>Insider Trading</v>
      </c>
      <c r="B389">
        <f>IF($A389="","",games!$B389)</f>
        <v>2026</v>
      </c>
      <c r="C389" t="str">
        <f>IF($A389="","",games!$C389)</f>
        <v>Deckbuilder</v>
      </c>
      <c r="D389">
        <f>IF($A389="","",COUNTIF(connections!$A$2:$A$1460,$A389)+COUNTIF(connections!$B$2:$B$1460,$A389))</f>
        <v>2</v>
      </c>
      <c r="E389">
        <f t="shared" si="78"/>
        <v>3</v>
      </c>
      <c r="F389">
        <f t="shared" si="79"/>
        <v>15</v>
      </c>
      <c r="G389" t="e">
        <f t="shared" si="80"/>
        <v>#N/A</v>
      </c>
      <c r="H389" t="e">
        <f t="shared" si="81"/>
        <v>#N/A</v>
      </c>
      <c r="I389" t="e">
        <f t="shared" si="82"/>
        <v>#N/A</v>
      </c>
      <c r="J389" t="e">
        <f t="shared" si="83"/>
        <v>#N/A</v>
      </c>
      <c r="K389">
        <f t="shared" si="84"/>
        <v>2026</v>
      </c>
      <c r="L389">
        <f t="shared" si="85"/>
        <v>3.3449999999999998</v>
      </c>
      <c r="M389" t="e">
        <f t="shared" si="86"/>
        <v>#N/A</v>
      </c>
      <c r="N389" t="e">
        <f t="shared" si="87"/>
        <v>#N/A</v>
      </c>
      <c r="O389">
        <f t="shared" si="88"/>
        <v>2.0003890000000002</v>
      </c>
      <c r="P389" t="str">
        <f>IF(OR($A389="",games!$H389=""),"",games!$H389)</f>
        <v/>
      </c>
      <c r="Q389" t="str">
        <f t="shared" si="89"/>
        <v/>
      </c>
      <c r="T389">
        <f>IF(connections!$A389="","",IFERROR(INDEX(games!$B$2:$B$950,MATCH(connections!$A389,games!$A$2:$A$950,0)),""))</f>
        <v>2006</v>
      </c>
      <c r="U389">
        <f>IF(connections!$A389="","",IFERROR(INDEX(games!$B$2:$B$950,MATCH(connections!$B389,games!$A$2:$A$950,0)),""))</f>
        <v>2025</v>
      </c>
      <c r="V389">
        <f t="shared" si="90"/>
        <v>19</v>
      </c>
    </row>
    <row r="390" spans="1:22" x14ac:dyDescent="0.25">
      <c r="A390" t="str">
        <f>IF(games!$A390="","",games!$A390)</f>
        <v>Insurmountable</v>
      </c>
      <c r="B390">
        <f>IF($A390="","",games!$B390)</f>
        <v>2021</v>
      </c>
      <c r="C390" t="str">
        <f>IF($A390="","",games!$C390)</f>
        <v>Strategy</v>
      </c>
      <c r="D390">
        <f>IF($A390="","",COUNTIF(connections!$A$2:$A$1460,$A390)+COUNTIF(connections!$B$2:$B$1460,$A390))</f>
        <v>2</v>
      </c>
      <c r="E390">
        <f t="shared" si="78"/>
        <v>2</v>
      </c>
      <c r="F390">
        <f t="shared" si="79"/>
        <v>16</v>
      </c>
      <c r="G390" t="e">
        <f t="shared" si="80"/>
        <v>#N/A</v>
      </c>
      <c r="H390" t="e">
        <f t="shared" si="81"/>
        <v>#N/A</v>
      </c>
      <c r="I390">
        <f t="shared" si="82"/>
        <v>2021</v>
      </c>
      <c r="J390">
        <f t="shared" si="83"/>
        <v>2.3679999999999999</v>
      </c>
      <c r="K390" t="e">
        <f t="shared" si="84"/>
        <v>#N/A</v>
      </c>
      <c r="L390" t="e">
        <f t="shared" si="85"/>
        <v>#N/A</v>
      </c>
      <c r="M390" t="e">
        <f t="shared" si="86"/>
        <v>#N/A</v>
      </c>
      <c r="N390" t="e">
        <f t="shared" si="87"/>
        <v>#N/A</v>
      </c>
      <c r="O390">
        <f t="shared" si="88"/>
        <v>2.0003899999999999</v>
      </c>
      <c r="P390" t="str">
        <f>IF(OR($A390="",games!$H390=""),"",games!$H390)</f>
        <v>Yes</v>
      </c>
      <c r="Q390">
        <f t="shared" si="89"/>
        <v>2.0003899999999999</v>
      </c>
      <c r="T390">
        <f>IF(connections!$A390="","",IFERROR(INDEX(games!$B$2:$B$950,MATCH(connections!$A390,games!$A$2:$A$950,0)),""))</f>
        <v>2006</v>
      </c>
      <c r="U390">
        <f>IF(connections!$A390="","",IFERROR(INDEX(games!$B$2:$B$950,MATCH(connections!$B390,games!$A$2:$A$950,0)),""))</f>
        <v>2021</v>
      </c>
      <c r="V390">
        <f t="shared" si="90"/>
        <v>15</v>
      </c>
    </row>
    <row r="391" spans="1:22" x14ac:dyDescent="0.25">
      <c r="A391" t="str">
        <f>IF(games!$A391="","",games!$A391)</f>
        <v>Into the Breach</v>
      </c>
      <c r="B391">
        <f>IF($A391="","",games!$B391)</f>
        <v>2018</v>
      </c>
      <c r="C391" t="str">
        <f>IF($A391="","",games!$C391)</f>
        <v>Strategy</v>
      </c>
      <c r="D391">
        <f>IF($A391="","",COUNTIF(connections!$A$2:$A$1460,$A391)+COUNTIF(connections!$B$2:$B$1460,$A391))</f>
        <v>28</v>
      </c>
      <c r="E391">
        <f t="shared" si="78"/>
        <v>2</v>
      </c>
      <c r="F391">
        <f t="shared" si="79"/>
        <v>17</v>
      </c>
      <c r="G391" t="e">
        <f t="shared" si="80"/>
        <v>#N/A</v>
      </c>
      <c r="H391" t="e">
        <f t="shared" si="81"/>
        <v>#N/A</v>
      </c>
      <c r="I391">
        <f t="shared" si="82"/>
        <v>2018</v>
      </c>
      <c r="J391">
        <f t="shared" si="83"/>
        <v>2.391</v>
      </c>
      <c r="K391" t="e">
        <f t="shared" si="84"/>
        <v>#N/A</v>
      </c>
      <c r="L391" t="e">
        <f t="shared" si="85"/>
        <v>#N/A</v>
      </c>
      <c r="M391" t="e">
        <f t="shared" si="86"/>
        <v>#N/A</v>
      </c>
      <c r="N391" t="e">
        <f t="shared" si="87"/>
        <v>#N/A</v>
      </c>
      <c r="O391">
        <f t="shared" si="88"/>
        <v>28.000391</v>
      </c>
      <c r="P391" t="str">
        <f>IF(OR($A391="",games!$H391=""),"",games!$H391)</f>
        <v>Yes</v>
      </c>
      <c r="Q391">
        <f t="shared" si="89"/>
        <v>28.000391</v>
      </c>
      <c r="T391">
        <f>IF(connections!$A391="","",IFERROR(INDEX(games!$B$2:$B$950,MATCH(connections!$A391,games!$A$2:$A$950,0)),""))</f>
        <v>2006</v>
      </c>
      <c r="U391">
        <f>IF(connections!$A391="","",IFERROR(INDEX(games!$B$2:$B$950,MATCH(connections!$B391,games!$A$2:$A$950,0)),""))</f>
        <v>2012</v>
      </c>
      <c r="V391">
        <f t="shared" si="90"/>
        <v>6</v>
      </c>
    </row>
    <row r="392" spans="1:22" x14ac:dyDescent="0.25">
      <c r="A392" t="str">
        <f>IF(games!$A392="","",games!$A392)</f>
        <v>Into The Grid</v>
      </c>
      <c r="B392">
        <f>IF($A392="","",games!$B392)</f>
        <v>2025</v>
      </c>
      <c r="C392" t="str">
        <f>IF($A392="","",games!$C392)</f>
        <v>Deckbuilder</v>
      </c>
      <c r="D392">
        <f>IF($A392="","",COUNTIF(connections!$A$2:$A$1460,$A392)+COUNTIF(connections!$B$2:$B$1460,$A392))</f>
        <v>1</v>
      </c>
      <c r="E392">
        <f t="shared" si="78"/>
        <v>3</v>
      </c>
      <c r="F392">
        <f t="shared" si="79"/>
        <v>18</v>
      </c>
      <c r="G392" t="e">
        <f t="shared" si="80"/>
        <v>#N/A</v>
      </c>
      <c r="H392" t="e">
        <f t="shared" si="81"/>
        <v>#N/A</v>
      </c>
      <c r="I392" t="e">
        <f t="shared" si="82"/>
        <v>#N/A</v>
      </c>
      <c r="J392" t="e">
        <f t="shared" si="83"/>
        <v>#N/A</v>
      </c>
      <c r="K392">
        <f t="shared" si="84"/>
        <v>2025</v>
      </c>
      <c r="L392">
        <f t="shared" si="85"/>
        <v>3.4140000000000001</v>
      </c>
      <c r="M392" t="e">
        <f t="shared" si="86"/>
        <v>#N/A</v>
      </c>
      <c r="N392" t="e">
        <f t="shared" si="87"/>
        <v>#N/A</v>
      </c>
      <c r="O392">
        <f t="shared" si="88"/>
        <v>1.0003919999999999</v>
      </c>
      <c r="P392" t="str">
        <f>IF(OR($A392="",games!$H392=""),"",games!$H392)</f>
        <v/>
      </c>
      <c r="Q392" t="str">
        <f t="shared" si="89"/>
        <v/>
      </c>
      <c r="T392">
        <f>IF(connections!$A392="","",IFERROR(INDEX(games!$B$2:$B$950,MATCH(connections!$A392,games!$A$2:$A$950,0)),""))</f>
        <v>2006</v>
      </c>
      <c r="U392">
        <f>IF(connections!$A392="","",IFERROR(INDEX(games!$B$2:$B$950,MATCH(connections!$B392,games!$A$2:$A$950,0)),""))</f>
        <v>2024</v>
      </c>
      <c r="V392">
        <f t="shared" si="90"/>
        <v>18</v>
      </c>
    </row>
    <row r="393" spans="1:22" x14ac:dyDescent="0.25">
      <c r="A393" t="str">
        <f>IF(games!$A393="","",games!$A393)</f>
        <v>Iratus: Lord of the Dead</v>
      </c>
      <c r="B393">
        <f>IF($A393="","",games!$B393)</f>
        <v>2019</v>
      </c>
      <c r="C393" t="str">
        <f>IF($A393="","",games!$C393)</f>
        <v>Strategy</v>
      </c>
      <c r="D393">
        <f>IF($A393="","",COUNTIF(connections!$A$2:$A$1460,$A393)+COUNTIF(connections!$B$2:$B$1460,$A393))</f>
        <v>2</v>
      </c>
      <c r="E393">
        <f t="shared" si="78"/>
        <v>2</v>
      </c>
      <c r="F393">
        <f t="shared" si="79"/>
        <v>19</v>
      </c>
      <c r="G393" t="e">
        <f t="shared" si="80"/>
        <v>#N/A</v>
      </c>
      <c r="H393" t="e">
        <f t="shared" si="81"/>
        <v>#N/A</v>
      </c>
      <c r="I393">
        <f t="shared" si="82"/>
        <v>2019</v>
      </c>
      <c r="J393">
        <f t="shared" si="83"/>
        <v>2.4369999999999998</v>
      </c>
      <c r="K393" t="e">
        <f t="shared" si="84"/>
        <v>#N/A</v>
      </c>
      <c r="L393" t="e">
        <f t="shared" si="85"/>
        <v>#N/A</v>
      </c>
      <c r="M393" t="e">
        <f t="shared" si="86"/>
        <v>#N/A</v>
      </c>
      <c r="N393" t="e">
        <f t="shared" si="87"/>
        <v>#N/A</v>
      </c>
      <c r="O393">
        <f t="shared" si="88"/>
        <v>2.0003929999999999</v>
      </c>
      <c r="P393" t="str">
        <f>IF(OR($A393="",games!$H393=""),"",games!$H393)</f>
        <v>Yes</v>
      </c>
      <c r="Q393">
        <f t="shared" si="89"/>
        <v>2.0003929999999999</v>
      </c>
      <c r="T393">
        <f>IF(connections!$A393="","",IFERROR(INDEX(games!$B$2:$B$950,MATCH(connections!$A393,games!$A$2:$A$950,0)),""))</f>
        <v>2006</v>
      </c>
      <c r="U393">
        <f>IF(connections!$A393="","",IFERROR(INDEX(games!$B$2:$B$950,MATCH(connections!$B393,games!$A$2:$A$950,0)),""))</f>
        <v>2017</v>
      </c>
      <c r="V393">
        <f t="shared" si="90"/>
        <v>11</v>
      </c>
    </row>
    <row r="394" spans="1:22" x14ac:dyDescent="0.25">
      <c r="A394" t="str">
        <f>IF(games!$A394="","",games!$A394)</f>
        <v>Iter Vehemens Ad Necem</v>
      </c>
      <c r="B394">
        <f>IF($A394="","",games!$B394)</f>
        <v>2001</v>
      </c>
      <c r="C394" t="str">
        <f>IF($A394="","",games!$C394)</f>
        <v>Traditional</v>
      </c>
      <c r="D394">
        <f>IF($A394="","",COUNTIF(connections!$A$2:$A$1460,$A394)+COUNTIF(connections!$B$2:$B$1460,$A394))</f>
        <v>3</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2001</v>
      </c>
      <c r="N394">
        <f t="shared" si="87"/>
        <v>4.46</v>
      </c>
      <c r="O394">
        <f t="shared" si="88"/>
        <v>3.000394</v>
      </c>
      <c r="P394" t="str">
        <f>IF(OR($A394="",games!$H394=""),"",games!$H394)</f>
        <v>Yes</v>
      </c>
      <c r="Q394">
        <f t="shared" si="89"/>
        <v>3.000394</v>
      </c>
      <c r="T394">
        <f>IF(connections!$A394="","",IFERROR(INDEX(games!$B$2:$B$950,MATCH(connections!$A394,games!$A$2:$A$950,0)),""))</f>
        <v>2006</v>
      </c>
      <c r="U394">
        <f>IF(connections!$A394="","",IFERROR(INDEX(games!$B$2:$B$950,MATCH(connections!$B394,games!$A$2:$A$950,0)),""))</f>
        <v>2011</v>
      </c>
      <c r="V394">
        <f t="shared" si="90"/>
        <v>5</v>
      </c>
    </row>
    <row r="395" spans="1:22" x14ac:dyDescent="0.25">
      <c r="A395" t="str">
        <f>IF(games!$A395="","",games!$A395)</f>
        <v>Izuna 2: The Unemployed Ninja Returns</v>
      </c>
      <c r="B395">
        <f>IF($A395="","",games!$B395)</f>
        <v>2007</v>
      </c>
      <c r="C395" t="str">
        <f>IF($A395="","",games!$C395)</f>
        <v>Traditional</v>
      </c>
      <c r="D395">
        <f>IF($A395="","",COUNTIF(connections!$A$2:$A$1460,$A395)+COUNTIF(connections!$B$2:$B$1460,$A395))</f>
        <v>1</v>
      </c>
      <c r="E395">
        <f t="shared" si="78"/>
        <v>4</v>
      </c>
      <c r="F395">
        <f t="shared" si="79"/>
        <v>21</v>
      </c>
      <c r="G395" t="e">
        <f t="shared" si="80"/>
        <v>#N/A</v>
      </c>
      <c r="H395" t="e">
        <f t="shared" si="81"/>
        <v>#N/A</v>
      </c>
      <c r="I395" t="e">
        <f t="shared" si="82"/>
        <v>#N/A</v>
      </c>
      <c r="J395" t="e">
        <f t="shared" si="83"/>
        <v>#N/A</v>
      </c>
      <c r="K395" t="e">
        <f t="shared" si="84"/>
        <v>#N/A</v>
      </c>
      <c r="L395" t="e">
        <f t="shared" si="85"/>
        <v>#N/A</v>
      </c>
      <c r="M395">
        <f t="shared" si="86"/>
        <v>2007</v>
      </c>
      <c r="N395">
        <f t="shared" si="87"/>
        <v>4.4829999999999997</v>
      </c>
      <c r="O395">
        <f t="shared" si="88"/>
        <v>1.0003949999999999</v>
      </c>
      <c r="P395" t="str">
        <f>IF(OR($A395="",games!$H395=""),"",games!$H395)</f>
        <v>Yes</v>
      </c>
      <c r="Q395">
        <f t="shared" si="89"/>
        <v>1.0003949999999999</v>
      </c>
      <c r="T395">
        <f>IF(connections!$A395="","",IFERROR(INDEX(games!$B$2:$B$950,MATCH(connections!$A395,games!$A$2:$A$950,0)),""))</f>
        <v>2025</v>
      </c>
      <c r="U395">
        <f>IF(connections!$A395="","",IFERROR(INDEX(games!$B$2:$B$950,MATCH(connections!$B395,games!$A$2:$A$950,0)),""))</f>
        <v>2026</v>
      </c>
      <c r="V395">
        <f t="shared" si="90"/>
        <v>1</v>
      </c>
    </row>
    <row r="396" spans="1:22" x14ac:dyDescent="0.25">
      <c r="A396" t="str">
        <f>IF(games!$A396="","",games!$A396)</f>
        <v>Izuna: Legend of the Unemployed Ninja</v>
      </c>
      <c r="B396">
        <f>IF($A396="","",games!$B396)</f>
        <v>2006</v>
      </c>
      <c r="C396" t="str">
        <f>IF($A396="","",games!$C396)</f>
        <v>Traditional</v>
      </c>
      <c r="D396">
        <f>IF($A396="","",COUNTIF(connections!$A$2:$A$1460,$A396)+COUNTIF(connections!$B$2:$B$1460,$A396))</f>
        <v>2</v>
      </c>
      <c r="E396">
        <f t="shared" si="78"/>
        <v>4</v>
      </c>
      <c r="F396">
        <f t="shared" si="79"/>
        <v>22</v>
      </c>
      <c r="G396" t="e">
        <f t="shared" si="80"/>
        <v>#N/A</v>
      </c>
      <c r="H396" t="e">
        <f t="shared" si="81"/>
        <v>#N/A</v>
      </c>
      <c r="I396" t="e">
        <f t="shared" si="82"/>
        <v>#N/A</v>
      </c>
      <c r="J396" t="e">
        <f t="shared" si="83"/>
        <v>#N/A</v>
      </c>
      <c r="K396" t="e">
        <f t="shared" si="84"/>
        <v>#N/A</v>
      </c>
      <c r="L396" t="e">
        <f t="shared" si="85"/>
        <v>#N/A</v>
      </c>
      <c r="M396">
        <f t="shared" si="86"/>
        <v>2006</v>
      </c>
      <c r="N396">
        <f t="shared" si="87"/>
        <v>4.5060000000000002</v>
      </c>
      <c r="O396">
        <f t="shared" si="88"/>
        <v>2.0003959999999998</v>
      </c>
      <c r="P396" t="str">
        <f>IF(OR($A396="",games!$H396=""),"",games!$H396)</f>
        <v>Yes</v>
      </c>
      <c r="Q396">
        <f t="shared" si="89"/>
        <v>2.0003959999999998</v>
      </c>
      <c r="T396">
        <f>IF(connections!$A396="","",IFERROR(INDEX(games!$B$2:$B$950,MATCH(connections!$A396,games!$A$2:$A$950,0)),""))</f>
        <v>2008</v>
      </c>
      <c r="U396">
        <f>IF(connections!$A396="","",IFERROR(INDEX(games!$B$2:$B$950,MATCH(connections!$B396,games!$A$2:$A$950,0)),""))</f>
        <v>2010</v>
      </c>
      <c r="V396">
        <f t="shared" si="90"/>
        <v>2</v>
      </c>
    </row>
    <row r="397" spans="1:22" x14ac:dyDescent="0.25">
      <c r="A397" t="str">
        <f>IF(games!$A397="","",games!$A397)</f>
        <v>Jotunnslayer: Hordes of Hel</v>
      </c>
      <c r="B397">
        <f>IF($A397="","",games!$B397)</f>
        <v>2025</v>
      </c>
      <c r="C397" t="str">
        <f>IF($A397="","",games!$C397)</f>
        <v>Action</v>
      </c>
      <c r="D397">
        <f>IF($A397="","",COUNTIF(connections!$A$2:$A$1460,$A397)+COUNTIF(connections!$B$2:$B$1460,$A397))</f>
        <v>4</v>
      </c>
      <c r="E397">
        <f t="shared" si="78"/>
        <v>1</v>
      </c>
      <c r="F397">
        <f t="shared" si="79"/>
        <v>23</v>
      </c>
      <c r="G397">
        <f t="shared" si="80"/>
        <v>2025</v>
      </c>
      <c r="H397">
        <f t="shared" si="81"/>
        <v>1.5289999999999999</v>
      </c>
      <c r="I397" t="e">
        <f t="shared" si="82"/>
        <v>#N/A</v>
      </c>
      <c r="J397" t="e">
        <f t="shared" si="83"/>
        <v>#N/A</v>
      </c>
      <c r="K397" t="e">
        <f t="shared" si="84"/>
        <v>#N/A</v>
      </c>
      <c r="L397" t="e">
        <f t="shared" si="85"/>
        <v>#N/A</v>
      </c>
      <c r="M397" t="e">
        <f t="shared" si="86"/>
        <v>#N/A</v>
      </c>
      <c r="N397" t="e">
        <f t="shared" si="87"/>
        <v>#N/A</v>
      </c>
      <c r="O397">
        <f t="shared" si="88"/>
        <v>4.0003970000000004</v>
      </c>
      <c r="P397" t="str">
        <f>IF(OR($A397="",games!$H397=""),"",games!$H397)</f>
        <v/>
      </c>
      <c r="Q397" t="str">
        <f t="shared" si="89"/>
        <v/>
      </c>
      <c r="T397">
        <f>IF(connections!$A397="","",IFERROR(INDEX(games!$B$2:$B$950,MATCH(connections!$A397,games!$A$2:$A$950,0)),""))</f>
        <v>2008</v>
      </c>
      <c r="U397">
        <f>IF(connections!$A397="","",IFERROR(INDEX(games!$B$2:$B$950,MATCH(connections!$B397,games!$A$2:$A$950,0)),""))</f>
        <v>2024</v>
      </c>
      <c r="V397">
        <f t="shared" si="90"/>
        <v>16</v>
      </c>
    </row>
    <row r="398" spans="1:22" x14ac:dyDescent="0.25">
      <c r="A398" t="str">
        <f>IF(games!$A398="","",games!$A398)</f>
        <v>Juicy Realm</v>
      </c>
      <c r="B398">
        <f>IF($A398="","",games!$B398)</f>
        <v>2018</v>
      </c>
      <c r="C398" t="str">
        <f>IF($A398="","",games!$C398)</f>
        <v>Action</v>
      </c>
      <c r="D398">
        <f>IF($A398="","",COUNTIF(connections!$A$2:$A$1460,$A398)+COUNTIF(connections!$B$2:$B$1460,$A398))</f>
        <v>0</v>
      </c>
      <c r="E398">
        <f t="shared" si="78"/>
        <v>1</v>
      </c>
      <c r="F398">
        <f t="shared" si="79"/>
        <v>24</v>
      </c>
      <c r="G398">
        <f t="shared" si="80"/>
        <v>2018</v>
      </c>
      <c r="H398">
        <f t="shared" si="81"/>
        <v>1.552</v>
      </c>
      <c r="I398" t="e">
        <f t="shared" si="82"/>
        <v>#N/A</v>
      </c>
      <c r="J398" t="e">
        <f t="shared" si="83"/>
        <v>#N/A</v>
      </c>
      <c r="K398" t="e">
        <f t="shared" si="84"/>
        <v>#N/A</v>
      </c>
      <c r="L398" t="e">
        <f t="shared" si="85"/>
        <v>#N/A</v>
      </c>
      <c r="M398" t="e">
        <f t="shared" si="86"/>
        <v>#N/A</v>
      </c>
      <c r="N398" t="e">
        <f t="shared" si="87"/>
        <v>#N/A</v>
      </c>
      <c r="O398">
        <f t="shared" si="88"/>
        <v>3.9800000000000002E-4</v>
      </c>
      <c r="P398" t="str">
        <f>IF(OR($A398="",games!$H398=""),"",games!$H398)</f>
        <v/>
      </c>
      <c r="Q398" t="str">
        <f t="shared" si="89"/>
        <v/>
      </c>
      <c r="T398">
        <f>IF(connections!$A398="","",IFERROR(INDEX(games!$B$2:$B$950,MATCH(connections!$A398,games!$A$2:$A$950,0)),""))</f>
        <v>2022</v>
      </c>
      <c r="U398">
        <f>IF(connections!$A398="","",IFERROR(INDEX(games!$B$2:$B$950,MATCH(connections!$B398,games!$A$2:$A$950,0)),""))</f>
        <v>2024</v>
      </c>
      <c r="V398">
        <f t="shared" si="90"/>
        <v>2</v>
      </c>
    </row>
    <row r="399" spans="1:22" x14ac:dyDescent="0.25">
      <c r="A399" t="str">
        <f>IF(games!$A399="","",games!$A399)</f>
        <v>Jupiter Hell</v>
      </c>
      <c r="B399">
        <f>IF($A399="","",games!$B399)</f>
        <v>2019</v>
      </c>
      <c r="C399" t="str">
        <f>IF($A399="","",games!$C399)</f>
        <v>Traditional</v>
      </c>
      <c r="D399">
        <f>IF($A399="","",COUNTIF(connections!$A$2:$A$1460,$A399)+COUNTIF(connections!$B$2:$B$1460,$A399))</f>
        <v>1</v>
      </c>
      <c r="E399">
        <f t="shared" si="78"/>
        <v>4</v>
      </c>
      <c r="F399">
        <f t="shared" si="79"/>
        <v>25</v>
      </c>
      <c r="G399" t="e">
        <f t="shared" si="80"/>
        <v>#N/A</v>
      </c>
      <c r="H399" t="e">
        <f t="shared" si="81"/>
        <v>#N/A</v>
      </c>
      <c r="I399" t="e">
        <f t="shared" si="82"/>
        <v>#N/A</v>
      </c>
      <c r="J399" t="e">
        <f t="shared" si="83"/>
        <v>#N/A</v>
      </c>
      <c r="K399" t="e">
        <f t="shared" si="84"/>
        <v>#N/A</v>
      </c>
      <c r="L399" t="e">
        <f t="shared" si="85"/>
        <v>#N/A</v>
      </c>
      <c r="M399">
        <f t="shared" si="86"/>
        <v>2019</v>
      </c>
      <c r="N399">
        <f t="shared" si="87"/>
        <v>4.5750000000000002</v>
      </c>
      <c r="O399">
        <f t="shared" si="88"/>
        <v>1.000399</v>
      </c>
      <c r="P399" t="str">
        <f>IF(OR($A399="",games!$H399=""),"",games!$H399)</f>
        <v>Yes</v>
      </c>
      <c r="Q399">
        <f t="shared" si="89"/>
        <v>1.000399</v>
      </c>
      <c r="T399">
        <f>IF(connections!$A399="","",IFERROR(INDEX(games!$B$2:$B$950,MATCH(connections!$A399,games!$A$2:$A$950,0)),""))</f>
        <v>2023</v>
      </c>
      <c r="U399">
        <f>IF(connections!$A399="","",IFERROR(INDEX(games!$B$2:$B$950,MATCH(connections!$B399,games!$A$2:$A$950,0)),""))</f>
        <v>2025</v>
      </c>
      <c r="V399">
        <f t="shared" si="90"/>
        <v>2</v>
      </c>
    </row>
    <row r="400" spans="1:22" x14ac:dyDescent="0.25">
      <c r="A400" t="str">
        <f>IF(games!$A400="","",games!$A400)</f>
        <v>Just King</v>
      </c>
      <c r="B400">
        <f>IF($A400="","",games!$B400)</f>
        <v>2023</v>
      </c>
      <c r="C400" t="str">
        <f>IF($A400="","",games!$C400)</f>
        <v>Action</v>
      </c>
      <c r="D400">
        <f>IF($A400="","",COUNTIF(connections!$A$2:$A$1460,$A400)+COUNTIF(connections!$B$2:$B$1460,$A400))</f>
        <v>1</v>
      </c>
      <c r="E400">
        <f t="shared" si="78"/>
        <v>1</v>
      </c>
      <c r="F400">
        <f t="shared" si="79"/>
        <v>26</v>
      </c>
      <c r="G400">
        <f t="shared" si="80"/>
        <v>2023</v>
      </c>
      <c r="H400">
        <f t="shared" si="81"/>
        <v>1.5979999999999999</v>
      </c>
      <c r="I400" t="e">
        <f t="shared" si="82"/>
        <v>#N/A</v>
      </c>
      <c r="J400" t="e">
        <f t="shared" si="83"/>
        <v>#N/A</v>
      </c>
      <c r="K400" t="e">
        <f t="shared" si="84"/>
        <v>#N/A</v>
      </c>
      <c r="L400" t="e">
        <f t="shared" si="85"/>
        <v>#N/A</v>
      </c>
      <c r="M400" t="e">
        <f t="shared" si="86"/>
        <v>#N/A</v>
      </c>
      <c r="N400" t="e">
        <f t="shared" si="87"/>
        <v>#N/A</v>
      </c>
      <c r="O400">
        <f t="shared" si="88"/>
        <v>1.0004</v>
      </c>
      <c r="P400" t="str">
        <f>IF(OR($A400="",games!$H400=""),"",games!$H400)</f>
        <v>Yes</v>
      </c>
      <c r="Q400">
        <f t="shared" si="89"/>
        <v>1.0004</v>
      </c>
      <c r="T400">
        <f>IF(connections!$A400="","",IFERROR(INDEX(games!$B$2:$B$950,MATCH(connections!$A400,games!$A$2:$A$950,0)),""))</f>
        <v>2016</v>
      </c>
      <c r="U400">
        <f>IF(connections!$A400="","",IFERROR(INDEX(games!$B$2:$B$950,MATCH(connections!$B400,games!$A$2:$A$950,0)),""))</f>
        <v>2025</v>
      </c>
      <c r="V400">
        <f t="shared" si="90"/>
        <v>9</v>
      </c>
    </row>
    <row r="401" spans="1:22" x14ac:dyDescent="0.25">
      <c r="A401" t="str">
        <f>IF(games!$A401="","",games!$A401)</f>
        <v>Kādomon: Hyper Auto Battlers</v>
      </c>
      <c r="B401">
        <f>IF($A401="","",games!$B401)</f>
        <v>2024</v>
      </c>
      <c r="C401" t="str">
        <f>IF($A401="","",games!$C401)</f>
        <v>Strategy</v>
      </c>
      <c r="D401">
        <f>IF($A401="","",COUNTIF(connections!$A$2:$A$1460,$A401)+COUNTIF(connections!$B$2:$B$1460,$A401))</f>
        <v>3</v>
      </c>
      <c r="E401">
        <f t="shared" si="78"/>
        <v>2</v>
      </c>
      <c r="F401">
        <f t="shared" si="79"/>
        <v>27</v>
      </c>
      <c r="G401" t="e">
        <f t="shared" si="80"/>
        <v>#N/A</v>
      </c>
      <c r="H401" t="e">
        <f t="shared" si="81"/>
        <v>#N/A</v>
      </c>
      <c r="I401">
        <f t="shared" si="82"/>
        <v>2024</v>
      </c>
      <c r="J401">
        <f t="shared" si="83"/>
        <v>2.621</v>
      </c>
      <c r="K401" t="e">
        <f t="shared" si="84"/>
        <v>#N/A</v>
      </c>
      <c r="L401" t="e">
        <f t="shared" si="85"/>
        <v>#N/A</v>
      </c>
      <c r="M401" t="e">
        <f t="shared" si="86"/>
        <v>#N/A</v>
      </c>
      <c r="N401" t="e">
        <f t="shared" si="87"/>
        <v>#N/A</v>
      </c>
      <c r="O401">
        <f t="shared" si="88"/>
        <v>3.0004010000000001</v>
      </c>
      <c r="P401" t="str">
        <f>IF(OR($A401="",games!$H401=""),"",games!$H401)</f>
        <v>Yes</v>
      </c>
      <c r="Q401">
        <f t="shared" si="89"/>
        <v>3.0004010000000001</v>
      </c>
      <c r="T401">
        <f>IF(connections!$A401="","",IFERROR(INDEX(games!$B$2:$B$950,MATCH(connections!$A401,games!$A$2:$A$950,0)),""))</f>
        <v>2016</v>
      </c>
      <c r="U401">
        <f>IF(connections!$A401="","",IFERROR(INDEX(games!$B$2:$B$950,MATCH(connections!$B401,games!$A$2:$A$950,0)),""))</f>
        <v>2023</v>
      </c>
      <c r="V401">
        <f t="shared" si="90"/>
        <v>7</v>
      </c>
    </row>
    <row r="402" spans="1:22" x14ac:dyDescent="0.25">
      <c r="A402" t="str">
        <f>IF(games!$A402="","",games!$A402)</f>
        <v>Katanaut</v>
      </c>
      <c r="B402">
        <f>IF($A402="","",games!$B402)</f>
        <v>2025</v>
      </c>
      <c r="C402" t="str">
        <f>IF($A402="","",games!$C402)</f>
        <v>Action</v>
      </c>
      <c r="D402">
        <f>IF($A402="","",COUNTIF(connections!$A$2:$A$1460,$A402)+COUNTIF(connections!$B$2:$B$1460,$A402))</f>
        <v>1</v>
      </c>
      <c r="E402">
        <f t="shared" si="78"/>
        <v>1</v>
      </c>
      <c r="F402">
        <f t="shared" si="79"/>
        <v>28</v>
      </c>
      <c r="G402">
        <f t="shared" si="80"/>
        <v>2025</v>
      </c>
      <c r="H402">
        <f t="shared" si="81"/>
        <v>1.6440000000000001</v>
      </c>
      <c r="I402" t="e">
        <f t="shared" si="82"/>
        <v>#N/A</v>
      </c>
      <c r="J402" t="e">
        <f t="shared" si="83"/>
        <v>#N/A</v>
      </c>
      <c r="K402" t="e">
        <f t="shared" si="84"/>
        <v>#N/A</v>
      </c>
      <c r="L402" t="e">
        <f t="shared" si="85"/>
        <v>#N/A</v>
      </c>
      <c r="M402" t="e">
        <f t="shared" si="86"/>
        <v>#N/A</v>
      </c>
      <c r="N402" t="e">
        <f t="shared" si="87"/>
        <v>#N/A</v>
      </c>
      <c r="O402">
        <f t="shared" si="88"/>
        <v>1.000402</v>
      </c>
      <c r="P402" t="str">
        <f>IF(OR($A402="",games!$H402=""),"",games!$H402)</f>
        <v/>
      </c>
      <c r="Q402" t="str">
        <f t="shared" si="89"/>
        <v/>
      </c>
      <c r="T402">
        <f>IF(connections!$A402="","",IFERROR(INDEX(games!$B$2:$B$950,MATCH(connections!$A402,games!$A$2:$A$950,0)),""))</f>
        <v>2016</v>
      </c>
      <c r="U402">
        <f>IF(connections!$A402="","",IFERROR(INDEX(games!$B$2:$B$950,MATCH(connections!$B402,games!$A$2:$A$950,0)),""))</f>
        <v>2023</v>
      </c>
      <c r="V402">
        <f t="shared" si="90"/>
        <v>7</v>
      </c>
    </row>
    <row r="403" spans="1:22" x14ac:dyDescent="0.25">
      <c r="A403" t="str">
        <f>IF(games!$A403="","",games!$A403)</f>
        <v>KeeperRL</v>
      </c>
      <c r="B403">
        <f>IF($A403="","",games!$B403)</f>
        <v>2015</v>
      </c>
      <c r="C403" t="str">
        <f>IF($A403="","",games!$C403)</f>
        <v>Traditional</v>
      </c>
      <c r="D403">
        <f>IF($A403="","",COUNTIF(connections!$A$2:$A$1460,$A403)+COUNTIF(connections!$B$2:$B$1460,$A403))</f>
        <v>3</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2015</v>
      </c>
      <c r="N403">
        <f t="shared" si="87"/>
        <v>4.6669999999999998</v>
      </c>
      <c r="O403">
        <f t="shared" si="88"/>
        <v>3.0004029999999999</v>
      </c>
      <c r="P403" t="str">
        <f>IF(OR($A403="",games!$H403=""),"",games!$H403)</f>
        <v>Yes</v>
      </c>
      <c r="Q403">
        <f t="shared" si="89"/>
        <v>3.0004029999999999</v>
      </c>
      <c r="T403">
        <f>IF(connections!$A403="","",IFERROR(INDEX(games!$B$2:$B$950,MATCH(connections!$A403,games!$A$2:$A$950,0)),""))</f>
        <v>2016</v>
      </c>
      <c r="U403">
        <f>IF(connections!$A403="","",IFERROR(INDEX(games!$B$2:$B$950,MATCH(connections!$B403,games!$A$2:$A$950,0)),""))</f>
        <v>2025</v>
      </c>
      <c r="V403">
        <f t="shared" si="90"/>
        <v>9</v>
      </c>
    </row>
    <row r="404" spans="1:22" x14ac:dyDescent="0.25">
      <c r="A404" t="str">
        <f>IF(games!$A404="","",games!$A404)</f>
        <v>Keeper's Toll</v>
      </c>
      <c r="B404">
        <f>IF($A404="","",games!$B404)</f>
        <v>2023</v>
      </c>
      <c r="C404" t="str">
        <f>IF($A404="","",games!$C404)</f>
        <v>Action</v>
      </c>
      <c r="D404">
        <f>IF($A404="","",COUNTIF(connections!$A$2:$A$1460,$A404)+COUNTIF(connections!$B$2:$B$1460,$A404))</f>
        <v>1</v>
      </c>
      <c r="E404">
        <f t="shared" si="78"/>
        <v>1</v>
      </c>
      <c r="F404">
        <f t="shared" si="79"/>
        <v>30</v>
      </c>
      <c r="G404">
        <f t="shared" si="80"/>
        <v>2023</v>
      </c>
      <c r="H404">
        <f t="shared" si="81"/>
        <v>1.69</v>
      </c>
      <c r="I404" t="e">
        <f t="shared" si="82"/>
        <v>#N/A</v>
      </c>
      <c r="J404" t="e">
        <f t="shared" si="83"/>
        <v>#N/A</v>
      </c>
      <c r="K404" t="e">
        <f t="shared" si="84"/>
        <v>#N/A</v>
      </c>
      <c r="L404" t="e">
        <f t="shared" si="85"/>
        <v>#N/A</v>
      </c>
      <c r="M404" t="e">
        <f t="shared" si="86"/>
        <v>#N/A</v>
      </c>
      <c r="N404" t="e">
        <f t="shared" si="87"/>
        <v>#N/A</v>
      </c>
      <c r="O404">
        <f t="shared" si="88"/>
        <v>1.0004040000000001</v>
      </c>
      <c r="P404" t="str">
        <f>IF(OR($A404="",games!$H404=""),"",games!$H404)</f>
        <v>Yes</v>
      </c>
      <c r="Q404">
        <f t="shared" si="89"/>
        <v>1.0004040000000001</v>
      </c>
      <c r="T404">
        <f>IF(connections!$A404="","",IFERROR(INDEX(games!$B$2:$B$950,MATCH(connections!$A404,games!$A$2:$A$950,0)),""))</f>
        <v>2016</v>
      </c>
      <c r="U404">
        <f>IF(connections!$A404="","",IFERROR(INDEX(games!$B$2:$B$950,MATCH(connections!$B404,games!$A$2:$A$950,0)),""))</f>
        <v>2020</v>
      </c>
      <c r="V404">
        <f t="shared" si="90"/>
        <v>4</v>
      </c>
    </row>
    <row r="405" spans="1:22" x14ac:dyDescent="0.25">
      <c r="A405" t="str">
        <f>IF(games!$A405="","",games!$A405)</f>
        <v>Kernel Hearts</v>
      </c>
      <c r="B405">
        <f>IF($A405="","",games!$B405)</f>
        <v>2026</v>
      </c>
      <c r="C405" t="str">
        <f>IF($A405="","",games!$C405)</f>
        <v>Action</v>
      </c>
      <c r="D405">
        <f>IF($A405="","",COUNTIF(connections!$A$2:$A$1460,$A405)+COUNTIF(connections!$B$2:$B$1460,$A405))</f>
        <v>2</v>
      </c>
      <c r="E405">
        <f t="shared" si="78"/>
        <v>1</v>
      </c>
      <c r="F405">
        <f t="shared" si="79"/>
        <v>31</v>
      </c>
      <c r="G405">
        <f t="shared" si="80"/>
        <v>2026</v>
      </c>
      <c r="H405">
        <f t="shared" si="81"/>
        <v>1.7130000000000001</v>
      </c>
      <c r="I405" t="e">
        <f t="shared" si="82"/>
        <v>#N/A</v>
      </c>
      <c r="J405" t="e">
        <f t="shared" si="83"/>
        <v>#N/A</v>
      </c>
      <c r="K405" t="e">
        <f t="shared" si="84"/>
        <v>#N/A</v>
      </c>
      <c r="L405" t="e">
        <f t="shared" si="85"/>
        <v>#N/A</v>
      </c>
      <c r="M405" t="e">
        <f t="shared" si="86"/>
        <v>#N/A</v>
      </c>
      <c r="N405" t="e">
        <f t="shared" si="87"/>
        <v>#N/A</v>
      </c>
      <c r="O405">
        <f t="shared" si="88"/>
        <v>2.0004050000000002</v>
      </c>
      <c r="P405" t="str">
        <f>IF(OR($A405="",games!$H405=""),"",games!$H405)</f>
        <v/>
      </c>
      <c r="Q405" t="str">
        <f t="shared" si="89"/>
        <v/>
      </c>
      <c r="T405">
        <f>IF(connections!$A405="","",IFERROR(INDEX(games!$B$2:$B$950,MATCH(connections!$A405,games!$A$2:$A$950,0)),""))</f>
        <v>2016</v>
      </c>
      <c r="U405">
        <f>IF(connections!$A405="","",IFERROR(INDEX(games!$B$2:$B$950,MATCH(connections!$B405,games!$A$2:$A$950,0)),""))</f>
        <v>2023</v>
      </c>
      <c r="V405">
        <f t="shared" si="90"/>
        <v>7</v>
      </c>
    </row>
    <row r="406" spans="1:22" x14ac:dyDescent="0.25">
      <c r="A406" t="str">
        <f>IF(games!$A406="","",games!$A406)</f>
        <v>Kill the Brickman</v>
      </c>
      <c r="B406">
        <f>IF($A406="","",games!$B406)</f>
        <v>2025</v>
      </c>
      <c r="C406" t="str">
        <f>IF($A406="","",games!$C406)</f>
        <v>Strategy</v>
      </c>
      <c r="D406">
        <f>IF($A406="","",COUNTIF(connections!$A$2:$A$1460,$A406)+COUNTIF(connections!$B$2:$B$1460,$A406))</f>
        <v>1</v>
      </c>
      <c r="E406">
        <f t="shared" si="78"/>
        <v>2</v>
      </c>
      <c r="F406">
        <f t="shared" si="79"/>
        <v>32</v>
      </c>
      <c r="G406" t="e">
        <f t="shared" si="80"/>
        <v>#N/A</v>
      </c>
      <c r="H406" t="e">
        <f t="shared" si="81"/>
        <v>#N/A</v>
      </c>
      <c r="I406">
        <f t="shared" si="82"/>
        <v>2025</v>
      </c>
      <c r="J406">
        <f t="shared" si="83"/>
        <v>2.7359999999999998</v>
      </c>
      <c r="K406" t="e">
        <f t="shared" si="84"/>
        <v>#N/A</v>
      </c>
      <c r="L406" t="e">
        <f t="shared" si="85"/>
        <v>#N/A</v>
      </c>
      <c r="M406" t="e">
        <f t="shared" si="86"/>
        <v>#N/A</v>
      </c>
      <c r="N406" t="e">
        <f t="shared" si="87"/>
        <v>#N/A</v>
      </c>
      <c r="O406">
        <f t="shared" si="88"/>
        <v>1.0004059999999999</v>
      </c>
      <c r="P406" t="str">
        <f>IF(OR($A406="",games!$H406=""),"",games!$H406)</f>
        <v/>
      </c>
      <c r="Q406" t="str">
        <f t="shared" si="89"/>
        <v/>
      </c>
      <c r="T406">
        <f>IF(connections!$A406="","",IFERROR(INDEX(games!$B$2:$B$950,MATCH(connections!$A406,games!$A$2:$A$950,0)),""))</f>
        <v>2016</v>
      </c>
      <c r="U406">
        <f>IF(connections!$A406="","",IFERROR(INDEX(games!$B$2:$B$950,MATCH(connections!$B406,games!$A$2:$A$950,0)),""))</f>
        <v>2021</v>
      </c>
      <c r="V406">
        <f t="shared" si="90"/>
        <v>5</v>
      </c>
    </row>
    <row r="407" spans="1:22" x14ac:dyDescent="0.25">
      <c r="A407" t="str">
        <f>IF(games!$A407="","",games!$A407)</f>
        <v>Kill The Music</v>
      </c>
      <c r="B407">
        <f>IF($A407="","",games!$B407)</f>
        <v>2025</v>
      </c>
      <c r="C407" t="str">
        <f>IF($A407="","",games!$C407)</f>
        <v>Action</v>
      </c>
      <c r="D407">
        <f>IF($A407="","",COUNTIF(connections!$A$2:$A$1460,$A407)+COUNTIF(connections!$B$2:$B$1460,$A407))</f>
        <v>4</v>
      </c>
      <c r="E407">
        <f t="shared" si="78"/>
        <v>1</v>
      </c>
      <c r="F407">
        <f t="shared" si="79"/>
        <v>33</v>
      </c>
      <c r="G407">
        <f t="shared" si="80"/>
        <v>2025</v>
      </c>
      <c r="H407">
        <f t="shared" si="81"/>
        <v>1.7589999999999999</v>
      </c>
      <c r="I407" t="e">
        <f t="shared" si="82"/>
        <v>#N/A</v>
      </c>
      <c r="J407" t="e">
        <f t="shared" si="83"/>
        <v>#N/A</v>
      </c>
      <c r="K407" t="e">
        <f t="shared" si="84"/>
        <v>#N/A</v>
      </c>
      <c r="L407" t="e">
        <f t="shared" si="85"/>
        <v>#N/A</v>
      </c>
      <c r="M407" t="e">
        <f t="shared" si="86"/>
        <v>#N/A</v>
      </c>
      <c r="N407" t="e">
        <f t="shared" si="87"/>
        <v>#N/A</v>
      </c>
      <c r="O407">
        <f t="shared" si="88"/>
        <v>4.000407</v>
      </c>
      <c r="P407" t="str">
        <f>IF(OR($A407="",games!$H407=""),"",games!$H407)</f>
        <v>Yes</v>
      </c>
      <c r="Q407">
        <f t="shared" si="89"/>
        <v>4.000407</v>
      </c>
      <c r="T407">
        <f>IF(connections!$A407="","",IFERROR(INDEX(games!$B$2:$B$950,MATCH(connections!$A407,games!$A$2:$A$950,0)),""))</f>
        <v>2016</v>
      </c>
      <c r="U407">
        <f>IF(connections!$A407="","",IFERROR(INDEX(games!$B$2:$B$950,MATCH(connections!$B407,games!$A$2:$A$950,0)),""))</f>
        <v>2020</v>
      </c>
      <c r="V407">
        <f t="shared" si="90"/>
        <v>4</v>
      </c>
    </row>
    <row r="408" spans="1:22" x14ac:dyDescent="0.25">
      <c r="A408" t="str">
        <f>IF(games!$A408="","",games!$A408)</f>
        <v>Kingdom: New Lands</v>
      </c>
      <c r="B408">
        <f>IF($A408="","",games!$B408)</f>
        <v>2016</v>
      </c>
      <c r="C408" t="str">
        <f>IF($A408="","",games!$C408)</f>
        <v>Strategy</v>
      </c>
      <c r="D408">
        <f>IF($A408="","",COUNTIF(connections!$A$2:$A$1460,$A408)+COUNTIF(connections!$B$2:$B$1460,$A408))</f>
        <v>3</v>
      </c>
      <c r="E408">
        <f t="shared" si="78"/>
        <v>2</v>
      </c>
      <c r="F408">
        <f t="shared" si="79"/>
        <v>0</v>
      </c>
      <c r="G408" t="e">
        <f t="shared" si="80"/>
        <v>#N/A</v>
      </c>
      <c r="H408" t="e">
        <f t="shared" si="81"/>
        <v>#N/A</v>
      </c>
      <c r="I408">
        <f t="shared" si="82"/>
        <v>2016</v>
      </c>
      <c r="J408">
        <f t="shared" si="83"/>
        <v>2</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2016</v>
      </c>
      <c r="U408">
        <f>IF(connections!$A408="","",IFERROR(INDEX(games!$B$2:$B$950,MATCH(connections!$B408,games!$A$2:$A$950,0)),""))</f>
        <v>2022</v>
      </c>
      <c r="V408">
        <f t="shared" si="90"/>
        <v>6</v>
      </c>
    </row>
    <row r="409" spans="1:22" x14ac:dyDescent="0.25">
      <c r="A409" t="str">
        <f>IF(games!$A409="","",games!$A409)</f>
        <v>Kitty Survivors: Rogues of Catmere</v>
      </c>
      <c r="B409">
        <f>IF($A409="","",games!$B409)</f>
        <v>2023</v>
      </c>
      <c r="C409" t="str">
        <f>IF($A409="","",games!$C409)</f>
        <v>Action</v>
      </c>
      <c r="D409">
        <f>IF($A409="","",COUNTIF(connections!$A$2:$A$1460,$A409)+COUNTIF(connections!$B$2:$B$1460,$A409))</f>
        <v>1</v>
      </c>
      <c r="E409">
        <f t="shared" si="78"/>
        <v>1</v>
      </c>
      <c r="F409">
        <f t="shared" si="79"/>
        <v>1</v>
      </c>
      <c r="G409">
        <f t="shared" si="80"/>
        <v>2023</v>
      </c>
      <c r="H409">
        <f t="shared" si="81"/>
        <v>1.0229999999999999</v>
      </c>
      <c r="I409" t="e">
        <f t="shared" si="82"/>
        <v>#N/A</v>
      </c>
      <c r="J409" t="e">
        <f t="shared" si="83"/>
        <v>#N/A</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2016</v>
      </c>
      <c r="U409">
        <f>IF(connections!$A409="","",IFERROR(INDEX(games!$B$2:$B$950,MATCH(connections!$B409,games!$A$2:$A$950,0)),""))</f>
        <v>2025</v>
      </c>
      <c r="V409">
        <f t="shared" si="90"/>
        <v>9</v>
      </c>
    </row>
    <row r="410" spans="1:22" x14ac:dyDescent="0.25">
      <c r="A410" t="str">
        <f>IF(games!$A410="","",games!$A410)</f>
        <v>Knightica</v>
      </c>
      <c r="B410">
        <f>IF($A410="","",games!$B410)</f>
        <v>2025</v>
      </c>
      <c r="C410" t="str">
        <f>IF($A410="","",games!$C410)</f>
        <v>Strategy</v>
      </c>
      <c r="D410">
        <f>IF($A410="","",COUNTIF(connections!$A$2:$A$1460,$A410)+COUNTIF(connections!$B$2:$B$1460,$A410))</f>
        <v>3</v>
      </c>
      <c r="E410">
        <f t="shared" si="78"/>
        <v>2</v>
      </c>
      <c r="F410">
        <f t="shared" si="79"/>
        <v>2</v>
      </c>
      <c r="G410" t="e">
        <f t="shared" si="80"/>
        <v>#N/A</v>
      </c>
      <c r="H410" t="e">
        <f t="shared" si="81"/>
        <v>#N/A</v>
      </c>
      <c r="I410">
        <f t="shared" si="82"/>
        <v>2025</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2016</v>
      </c>
      <c r="U410">
        <f>IF(connections!$A410="","",IFERROR(INDEX(games!$B$2:$B$950,MATCH(connections!$B410,games!$A$2:$A$950,0)),""))</f>
        <v>2020</v>
      </c>
      <c r="V410">
        <f t="shared" si="90"/>
        <v>4</v>
      </c>
    </row>
    <row r="411" spans="1:22" x14ac:dyDescent="0.25">
      <c r="A411" t="str">
        <f>IF(games!$A411="","",games!$A411)</f>
        <v>Knights in Tight Spaces</v>
      </c>
      <c r="B411">
        <f>IF($A411="","",games!$B411)</f>
        <v>2025</v>
      </c>
      <c r="C411" t="str">
        <f>IF($A411="","",games!$C411)</f>
        <v>Deckbuilder</v>
      </c>
      <c r="D411">
        <f>IF($A411="","",COUNTIF(connections!$A$2:$A$1460,$A411)+COUNTIF(connections!$B$2:$B$1460,$A411))</f>
        <v>1</v>
      </c>
      <c r="E411">
        <f t="shared" si="78"/>
        <v>3</v>
      </c>
      <c r="F411">
        <f t="shared" si="79"/>
        <v>3</v>
      </c>
      <c r="G411" t="e">
        <f t="shared" si="80"/>
        <v>#N/A</v>
      </c>
      <c r="H411" t="e">
        <f t="shared" si="81"/>
        <v>#N/A</v>
      </c>
      <c r="I411" t="e">
        <f t="shared" si="82"/>
        <v>#N/A</v>
      </c>
      <c r="J411" t="e">
        <f t="shared" si="83"/>
        <v>#N/A</v>
      </c>
      <c r="K411">
        <f t="shared" si="84"/>
        <v>2025</v>
      </c>
      <c r="L411">
        <f t="shared" si="85"/>
        <v>3.069</v>
      </c>
      <c r="M411" t="e">
        <f t="shared" si="86"/>
        <v>#N/A</v>
      </c>
      <c r="N411" t="e">
        <f t="shared" si="87"/>
        <v>#N/A</v>
      </c>
      <c r="O411">
        <f t="shared" si="88"/>
        <v>1.0004109999999999</v>
      </c>
      <c r="P411" t="str">
        <f>IF(OR($A411="",games!$H411=""),"",games!$H411)</f>
        <v>Yes</v>
      </c>
      <c r="Q411">
        <f t="shared" si="89"/>
        <v>1.0004109999999999</v>
      </c>
      <c r="T411">
        <f>IF(connections!$A411="","",IFERROR(INDEX(games!$B$2:$B$950,MATCH(connections!$A411,games!$A$2:$A$950,0)),""))</f>
        <v>2016</v>
      </c>
      <c r="U411">
        <f>IF(connections!$A411="","",IFERROR(INDEX(games!$B$2:$B$950,MATCH(connections!$B411,games!$A$2:$A$950,0)),""))</f>
        <v>2024</v>
      </c>
      <c r="V411">
        <f t="shared" si="90"/>
        <v>8</v>
      </c>
    </row>
    <row r="412" spans="1:22" x14ac:dyDescent="0.25">
      <c r="A412" t="str">
        <f>IF(games!$A412="","",games!$A412)</f>
        <v>Knock on the Coffin Lid</v>
      </c>
      <c r="B412">
        <f>IF($A412="","",games!$B412)</f>
        <v>2020</v>
      </c>
      <c r="C412" t="str">
        <f>IF($A412="","",games!$C412)</f>
        <v>Deckbuilder</v>
      </c>
      <c r="D412">
        <f>IF($A412="","",COUNTIF(connections!$A$2:$A$1460,$A412)+COUNTIF(connections!$B$2:$B$1460,$A412))</f>
        <v>1</v>
      </c>
      <c r="E412">
        <f t="shared" si="78"/>
        <v>3</v>
      </c>
      <c r="F412">
        <f t="shared" si="79"/>
        <v>4</v>
      </c>
      <c r="G412" t="e">
        <f t="shared" si="80"/>
        <v>#N/A</v>
      </c>
      <c r="H412" t="e">
        <f t="shared" si="81"/>
        <v>#N/A</v>
      </c>
      <c r="I412" t="e">
        <f t="shared" si="82"/>
        <v>#N/A</v>
      </c>
      <c r="J412" t="e">
        <f t="shared" si="83"/>
        <v>#N/A</v>
      </c>
      <c r="K412">
        <f t="shared" si="84"/>
        <v>2020</v>
      </c>
      <c r="L412">
        <f t="shared" si="85"/>
        <v>3.0920000000000001</v>
      </c>
      <c r="M412" t="e">
        <f t="shared" si="86"/>
        <v>#N/A</v>
      </c>
      <c r="N412" t="e">
        <f t="shared" si="87"/>
        <v>#N/A</v>
      </c>
      <c r="O412">
        <f t="shared" si="88"/>
        <v>1.0004120000000001</v>
      </c>
      <c r="P412" t="str">
        <f>IF(OR($A412="",games!$H412=""),"",games!$H412)</f>
        <v/>
      </c>
      <c r="Q412" t="str">
        <f t="shared" si="89"/>
        <v/>
      </c>
      <c r="T412">
        <f>IF(connections!$A412="","",IFERROR(INDEX(games!$B$2:$B$950,MATCH(connections!$A412,games!$A$2:$A$950,0)),""))</f>
        <v>2016</v>
      </c>
      <c r="U412">
        <f>IF(connections!$A412="","",IFERROR(INDEX(games!$B$2:$B$950,MATCH(connections!$B412,games!$A$2:$A$950,0)),""))</f>
        <v>2020</v>
      </c>
      <c r="V412">
        <f t="shared" si="90"/>
        <v>4</v>
      </c>
    </row>
    <row r="413" spans="1:22" x14ac:dyDescent="0.25">
      <c r="A413" t="str">
        <f>IF(games!$A413="","",games!$A413)</f>
        <v>Labyrinth of Legendary Loot</v>
      </c>
      <c r="B413">
        <f>IF($A413="","",games!$B413)</f>
        <v>2020</v>
      </c>
      <c r="C413" t="str">
        <f>IF($A413="","",games!$C413)</f>
        <v>Traditional</v>
      </c>
      <c r="D413">
        <f>IF($A413="","",COUNTIF(connections!$A$2:$A$1460,$A413)+COUNTIF(connections!$B$2:$B$1460,$A413))</f>
        <v>3</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2020</v>
      </c>
      <c r="N413">
        <f t="shared" si="87"/>
        <v>4.1150000000000002</v>
      </c>
      <c r="O413">
        <f t="shared" si="88"/>
        <v>3.000413</v>
      </c>
      <c r="P413" t="str">
        <f>IF(OR($A413="",games!$H413=""),"",games!$H413)</f>
        <v>Yes</v>
      </c>
      <c r="Q413">
        <f t="shared" si="89"/>
        <v>3.000413</v>
      </c>
      <c r="T413">
        <f>IF(connections!$A413="","",IFERROR(INDEX(games!$B$2:$B$950,MATCH(connections!$A413,games!$A$2:$A$950,0)),""))</f>
        <v>2016</v>
      </c>
      <c r="U413">
        <f>IF(connections!$A413="","",IFERROR(INDEX(games!$B$2:$B$950,MATCH(connections!$B413,games!$A$2:$A$950,0)),""))</f>
        <v>2020</v>
      </c>
      <c r="V413">
        <f t="shared" si="90"/>
        <v>4</v>
      </c>
    </row>
    <row r="414" spans="1:22" x14ac:dyDescent="0.25">
      <c r="A414" t="str">
        <f>IF(games!$A414="","",games!$A414)</f>
        <v>Lake of Creatures</v>
      </c>
      <c r="B414">
        <f>IF($A414="","",games!$B414)</f>
        <v>2024</v>
      </c>
      <c r="C414" t="str">
        <f>IF($A414="","",games!$C414)</f>
        <v>Action</v>
      </c>
      <c r="D414">
        <f>IF($A414="","",COUNTIF(connections!$A$2:$A$1460,$A414)+COUNTIF(connections!$B$2:$B$1460,$A414))</f>
        <v>3</v>
      </c>
      <c r="E414">
        <f t="shared" si="78"/>
        <v>1</v>
      </c>
      <c r="F414">
        <f t="shared" si="79"/>
        <v>6</v>
      </c>
      <c r="G414">
        <f t="shared" si="80"/>
        <v>2024</v>
      </c>
      <c r="H414">
        <f t="shared" si="81"/>
        <v>1.1379999999999999</v>
      </c>
      <c r="I414" t="e">
        <f t="shared" si="82"/>
        <v>#N/A</v>
      </c>
      <c r="J414" t="e">
        <f t="shared" si="83"/>
        <v>#N/A</v>
      </c>
      <c r="K414" t="e">
        <f t="shared" si="84"/>
        <v>#N/A</v>
      </c>
      <c r="L414" t="e">
        <f t="shared" si="85"/>
        <v>#N/A</v>
      </c>
      <c r="M414" t="e">
        <f t="shared" si="86"/>
        <v>#N/A</v>
      </c>
      <c r="N414" t="e">
        <f t="shared" si="87"/>
        <v>#N/A</v>
      </c>
      <c r="O414">
        <f t="shared" si="88"/>
        <v>3.0004140000000001</v>
      </c>
      <c r="P414" t="str">
        <f>IF(OR($A414="",games!$H414=""),"",games!$H414)</f>
        <v>Yes</v>
      </c>
      <c r="Q414">
        <f t="shared" si="89"/>
        <v>3.0004140000000001</v>
      </c>
      <c r="T414">
        <f>IF(connections!$A414="","",IFERROR(INDEX(games!$B$2:$B$950,MATCH(connections!$A414,games!$A$2:$A$950,0)),""))</f>
        <v>2016</v>
      </c>
      <c r="U414">
        <f>IF(connections!$A414="","",IFERROR(INDEX(games!$B$2:$B$950,MATCH(connections!$B414,games!$A$2:$A$950,0)),""))</f>
        <v>2019</v>
      </c>
      <c r="V414">
        <f t="shared" si="90"/>
        <v>3</v>
      </c>
    </row>
    <row r="415" spans="1:22" x14ac:dyDescent="0.25">
      <c r="A415" t="str">
        <f>IF(games!$A415="","",games!$A415)</f>
        <v>LambdaRogue: The Book of Stars</v>
      </c>
      <c r="B415">
        <f>IF($A415="","",games!$B415)</f>
        <v>2006</v>
      </c>
      <c r="C415" t="str">
        <f>IF($A415="","",games!$C415)</f>
        <v>Traditional</v>
      </c>
      <c r="D415">
        <f>IF($A415="","",COUNTIF(connections!$A$2:$A$1460,$A415)+COUNTIF(connections!$B$2:$B$1460,$A415))</f>
        <v>4</v>
      </c>
      <c r="E415">
        <f t="shared" si="78"/>
        <v>4</v>
      </c>
      <c r="F415">
        <f t="shared" si="79"/>
        <v>7</v>
      </c>
      <c r="G415" t="e">
        <f t="shared" si="80"/>
        <v>#N/A</v>
      </c>
      <c r="H415" t="e">
        <f t="shared" si="81"/>
        <v>#N/A</v>
      </c>
      <c r="I415" t="e">
        <f t="shared" si="82"/>
        <v>#N/A</v>
      </c>
      <c r="J415" t="e">
        <f t="shared" si="83"/>
        <v>#N/A</v>
      </c>
      <c r="K415" t="e">
        <f t="shared" si="84"/>
        <v>#N/A</v>
      </c>
      <c r="L415" t="e">
        <f t="shared" si="85"/>
        <v>#N/A</v>
      </c>
      <c r="M415">
        <f t="shared" si="86"/>
        <v>2006</v>
      </c>
      <c r="N415">
        <f t="shared" si="87"/>
        <v>4.1609999999999996</v>
      </c>
      <c r="O415">
        <f t="shared" si="88"/>
        <v>4.0004150000000003</v>
      </c>
      <c r="P415" t="str">
        <f>IF(OR($A415="",games!$H415=""),"",games!$H415)</f>
        <v>Yes</v>
      </c>
      <c r="Q415">
        <f t="shared" si="89"/>
        <v>4.0004150000000003</v>
      </c>
      <c r="T415">
        <f>IF(connections!$A415="","",IFERROR(INDEX(games!$B$2:$B$950,MATCH(connections!$A415,games!$A$2:$A$950,0)),""))</f>
        <v>2016</v>
      </c>
      <c r="U415">
        <f>IF(connections!$A415="","",IFERROR(INDEX(games!$B$2:$B$950,MATCH(connections!$B415,games!$A$2:$A$950,0)),""))</f>
        <v>2017</v>
      </c>
      <c r="V415">
        <f t="shared" si="90"/>
        <v>1</v>
      </c>
    </row>
    <row r="416" spans="1:22" x14ac:dyDescent="0.25">
      <c r="A416" t="str">
        <f>IF(games!$A416="","",games!$A416)</f>
        <v>Larn</v>
      </c>
      <c r="B416">
        <f>IF($A416="","",games!$B416)</f>
        <v>1986</v>
      </c>
      <c r="C416" t="str">
        <f>IF($A416="","",games!$C416)</f>
        <v>Traditional</v>
      </c>
      <c r="D416">
        <f>IF($A416="","",COUNTIF(connections!$A$2:$A$1460,$A416)+COUNTIF(connections!$B$2:$B$1460,$A416))</f>
        <v>2</v>
      </c>
      <c r="E416">
        <f t="shared" si="78"/>
        <v>4</v>
      </c>
      <c r="F416">
        <f t="shared" si="79"/>
        <v>8</v>
      </c>
      <c r="G416" t="e">
        <f t="shared" si="80"/>
        <v>#N/A</v>
      </c>
      <c r="H416" t="e">
        <f t="shared" si="81"/>
        <v>#N/A</v>
      </c>
      <c r="I416" t="e">
        <f t="shared" si="82"/>
        <v>#N/A</v>
      </c>
      <c r="J416" t="e">
        <f t="shared" si="83"/>
        <v>#N/A</v>
      </c>
      <c r="K416" t="e">
        <f t="shared" si="84"/>
        <v>#N/A</v>
      </c>
      <c r="L416" t="e">
        <f t="shared" si="85"/>
        <v>#N/A</v>
      </c>
      <c r="M416">
        <f t="shared" si="86"/>
        <v>1986</v>
      </c>
      <c r="N416">
        <f t="shared" si="87"/>
        <v>4.1840000000000002</v>
      </c>
      <c r="O416">
        <f t="shared" si="88"/>
        <v>2.000416</v>
      </c>
      <c r="P416" t="str">
        <f>IF(OR($A416="",games!$H416=""),"",games!$H416)</f>
        <v>Yes</v>
      </c>
      <c r="Q416">
        <f t="shared" si="89"/>
        <v>2.000416</v>
      </c>
      <c r="T416">
        <f>IF(connections!$A416="","",IFERROR(INDEX(games!$B$2:$B$950,MATCH(connections!$A416,games!$A$2:$A$950,0)),""))</f>
        <v>2016</v>
      </c>
      <c r="U416">
        <f>IF(connections!$A416="","",IFERROR(INDEX(games!$B$2:$B$950,MATCH(connections!$B416,games!$A$2:$A$950,0)),""))</f>
        <v>2024</v>
      </c>
      <c r="V416">
        <f t="shared" si="90"/>
        <v>8</v>
      </c>
    </row>
    <row r="417" spans="1:22" x14ac:dyDescent="0.25">
      <c r="A417" t="str">
        <f>IF(games!$A417="","",games!$A417)</f>
        <v>Legend of Dungeon</v>
      </c>
      <c r="B417">
        <f>IF($A417="","",games!$B417)</f>
        <v>2013</v>
      </c>
      <c r="C417" t="str">
        <f>IF($A417="","",games!$C417)</f>
        <v>Action</v>
      </c>
      <c r="D417">
        <f>IF($A417="","",COUNTIF(connections!$A$2:$A$1460,$A417)+COUNTIF(connections!$B$2:$B$1460,$A417))</f>
        <v>1</v>
      </c>
      <c r="E417">
        <f t="shared" si="78"/>
        <v>1</v>
      </c>
      <c r="F417">
        <f t="shared" si="79"/>
        <v>9</v>
      </c>
      <c r="G417">
        <f t="shared" si="80"/>
        <v>2013</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2016</v>
      </c>
      <c r="U417">
        <f>IF(connections!$A417="","",IFERROR(INDEX(games!$B$2:$B$950,MATCH(connections!$B417,games!$A$2:$A$950,0)),""))</f>
        <v>2022</v>
      </c>
      <c r="V417">
        <f t="shared" si="90"/>
        <v>6</v>
      </c>
    </row>
    <row r="418" spans="1:22" x14ac:dyDescent="0.25">
      <c r="A418" t="str">
        <f>IF(games!$A418="","",games!$A418)</f>
        <v>Legend of Keepers: Career of a Dungeon Manager</v>
      </c>
      <c r="B418">
        <f>IF($A418="","",games!$B418)</f>
        <v>2019</v>
      </c>
      <c r="C418" t="str">
        <f>IF($A418="","",games!$C418)</f>
        <v>Strategy</v>
      </c>
      <c r="D418">
        <f>IF($A418="","",COUNTIF(connections!$A$2:$A$1460,$A418)+COUNTIF(connections!$B$2:$B$1460,$A418))</f>
        <v>4</v>
      </c>
      <c r="E418">
        <f t="shared" si="78"/>
        <v>2</v>
      </c>
      <c r="F418">
        <f t="shared" si="79"/>
        <v>10</v>
      </c>
      <c r="G418" t="e">
        <f t="shared" si="80"/>
        <v>#N/A</v>
      </c>
      <c r="H418" t="e">
        <f t="shared" si="81"/>
        <v>#N/A</v>
      </c>
      <c r="I418">
        <f t="shared" si="82"/>
        <v>2019</v>
      </c>
      <c r="J418">
        <f t="shared" si="83"/>
        <v>2.23</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IF(connections!$A418="","",IFERROR(INDEX(games!$B$2:$B$950,MATCH(connections!$A418,games!$A$2:$A$950,0)),""))</f>
        <v>2016</v>
      </c>
      <c r="U418">
        <f>IF(connections!$A418="","",IFERROR(INDEX(games!$B$2:$B$950,MATCH(connections!$B418,games!$A$2:$A$950,0)),""))</f>
        <v>2019</v>
      </c>
      <c r="V418">
        <f t="shared" si="90"/>
        <v>3</v>
      </c>
    </row>
    <row r="419" spans="1:22" x14ac:dyDescent="0.25">
      <c r="A419" t="str">
        <f>IF(games!$A419="","",games!$A419)</f>
        <v>Legionbound</v>
      </c>
      <c r="B419">
        <f>IF($A419="","",games!$B419)</f>
        <v>2026</v>
      </c>
      <c r="C419" t="str">
        <f>IF($A419="","",games!$C419)</f>
        <v>Strategy</v>
      </c>
      <c r="D419">
        <f>IF($A419="","",COUNTIF(connections!$A$2:$A$1460,$A419)+COUNTIF(connections!$B$2:$B$1460,$A419))</f>
        <v>1</v>
      </c>
      <c r="E419">
        <f t="shared" si="78"/>
        <v>2</v>
      </c>
      <c r="F419">
        <f t="shared" si="79"/>
        <v>11</v>
      </c>
      <c r="G419" t="e">
        <f t="shared" si="80"/>
        <v>#N/A</v>
      </c>
      <c r="H419" t="e">
        <f t="shared" si="81"/>
        <v>#N/A</v>
      </c>
      <c r="I419">
        <f t="shared" si="82"/>
        <v>2026</v>
      </c>
      <c r="J419">
        <f t="shared" si="83"/>
        <v>2.2530000000000001</v>
      </c>
      <c r="K419" t="e">
        <f t="shared" si="84"/>
        <v>#N/A</v>
      </c>
      <c r="L419" t="e">
        <f t="shared" si="85"/>
        <v>#N/A</v>
      </c>
      <c r="M419" t="e">
        <f t="shared" si="86"/>
        <v>#N/A</v>
      </c>
      <c r="N419" t="e">
        <f t="shared" si="87"/>
        <v>#N/A</v>
      </c>
      <c r="O419">
        <f t="shared" si="88"/>
        <v>1.0004189999999999</v>
      </c>
      <c r="P419" t="str">
        <f>IF(OR($A419="",games!$H419=""),"",games!$H419)</f>
        <v/>
      </c>
      <c r="Q419" t="str">
        <f t="shared" si="89"/>
        <v/>
      </c>
      <c r="T419">
        <f>IF(connections!$A419="","",IFERROR(INDEX(games!$B$2:$B$950,MATCH(connections!$A419,games!$A$2:$A$950,0)),""))</f>
        <v>2016</v>
      </c>
      <c r="U419">
        <f>IF(connections!$A419="","",IFERROR(INDEX(games!$B$2:$B$950,MATCH(connections!$B419,games!$A$2:$A$950,0)),""))</f>
        <v>2025</v>
      </c>
      <c r="V419">
        <f t="shared" si="90"/>
        <v>9</v>
      </c>
    </row>
    <row r="420" spans="1:22" x14ac:dyDescent="0.25">
      <c r="A420" t="str">
        <f>IF(games!$A420="","",games!$A420)</f>
        <v>Let Him Cook</v>
      </c>
      <c r="B420">
        <f>IF($A420="","",games!$B420)</f>
        <v>2024</v>
      </c>
      <c r="C420" t="str">
        <f>IF($A420="","",games!$C420)</f>
        <v>Action</v>
      </c>
      <c r="D420">
        <f>IF($A420="","",COUNTIF(connections!$A$2:$A$1460,$A420)+COUNTIF(connections!$B$2:$B$1460,$A420))</f>
        <v>1</v>
      </c>
      <c r="E420">
        <f t="shared" si="78"/>
        <v>1</v>
      </c>
      <c r="F420">
        <f t="shared" si="79"/>
        <v>12</v>
      </c>
      <c r="G420">
        <f t="shared" si="80"/>
        <v>2024</v>
      </c>
      <c r="H420">
        <f t="shared" si="81"/>
        <v>1.276</v>
      </c>
      <c r="I420" t="e">
        <f t="shared" si="82"/>
        <v>#N/A</v>
      </c>
      <c r="J420" t="e">
        <f t="shared" si="83"/>
        <v>#N/A</v>
      </c>
      <c r="K420" t="e">
        <f t="shared" si="84"/>
        <v>#N/A</v>
      </c>
      <c r="L420" t="e">
        <f t="shared" si="85"/>
        <v>#N/A</v>
      </c>
      <c r="M420" t="e">
        <f t="shared" si="86"/>
        <v>#N/A</v>
      </c>
      <c r="N420" t="e">
        <f t="shared" si="87"/>
        <v>#N/A</v>
      </c>
      <c r="O420">
        <f t="shared" si="88"/>
        <v>1.0004200000000001</v>
      </c>
      <c r="P420" t="str">
        <f>IF(OR($A420="",games!$H420=""),"",games!$H420)</f>
        <v/>
      </c>
      <c r="Q420" t="str">
        <f t="shared" si="89"/>
        <v/>
      </c>
      <c r="T420">
        <f>IF(connections!$A420="","",IFERROR(INDEX(games!$B$2:$B$950,MATCH(connections!$A420,games!$A$2:$A$950,0)),""))</f>
        <v>2016</v>
      </c>
      <c r="U420">
        <f>IF(connections!$A420="","",IFERROR(INDEX(games!$B$2:$B$950,MATCH(connections!$B420,games!$A$2:$A$950,0)),""))</f>
        <v>2026</v>
      </c>
      <c r="V420">
        <f t="shared" si="90"/>
        <v>10</v>
      </c>
    </row>
    <row r="421" spans="1:22" x14ac:dyDescent="0.25">
      <c r="A421" t="str">
        <f>IF(games!$A421="","",games!$A421)</f>
        <v>Lethal Dungeon</v>
      </c>
      <c r="B421">
        <f>IF($A421="","",games!$B421)</f>
        <v>2026</v>
      </c>
      <c r="C421" t="str">
        <f>IF($A421="","",games!$C421)</f>
        <v>Deckbuilder</v>
      </c>
      <c r="D421">
        <f>IF($A421="","",COUNTIF(connections!$A$2:$A$1460,$A421)+COUNTIF(connections!$B$2:$B$1460,$A421))</f>
        <v>2</v>
      </c>
      <c r="E421">
        <f t="shared" si="78"/>
        <v>3</v>
      </c>
      <c r="F421">
        <f t="shared" si="79"/>
        <v>13</v>
      </c>
      <c r="G421" t="e">
        <f t="shared" si="80"/>
        <v>#N/A</v>
      </c>
      <c r="H421" t="e">
        <f t="shared" si="81"/>
        <v>#N/A</v>
      </c>
      <c r="I421" t="e">
        <f t="shared" si="82"/>
        <v>#N/A</v>
      </c>
      <c r="J421" t="e">
        <f t="shared" si="83"/>
        <v>#N/A</v>
      </c>
      <c r="K421">
        <f t="shared" si="84"/>
        <v>2026</v>
      </c>
      <c r="L421">
        <f t="shared" si="85"/>
        <v>3.2989999999999999</v>
      </c>
      <c r="M421" t="e">
        <f t="shared" si="86"/>
        <v>#N/A</v>
      </c>
      <c r="N421" t="e">
        <f t="shared" si="87"/>
        <v>#N/A</v>
      </c>
      <c r="O421">
        <f t="shared" si="88"/>
        <v>2.0004209999999998</v>
      </c>
      <c r="P421" t="str">
        <f>IF(OR($A421="",games!$H421=""),"",games!$H421)</f>
        <v/>
      </c>
      <c r="Q421" t="str">
        <f t="shared" si="89"/>
        <v/>
      </c>
      <c r="T421">
        <f>IF(connections!$A421="","",IFERROR(INDEX(games!$B$2:$B$950,MATCH(connections!$A421,games!$A$2:$A$950,0)),""))</f>
        <v>2016</v>
      </c>
      <c r="U421">
        <f>IF(connections!$A421="","",IFERROR(INDEX(games!$B$2:$B$950,MATCH(connections!$B421,games!$A$2:$A$950,0)),""))</f>
        <v>2021</v>
      </c>
      <c r="V421">
        <f t="shared" si="90"/>
        <v>5</v>
      </c>
    </row>
    <row r="422" spans="1:22" x14ac:dyDescent="0.25">
      <c r="A422" t="str">
        <f>IF(games!$A422="","",games!$A422)</f>
        <v>Let's! Revolution!</v>
      </c>
      <c r="B422">
        <f>IF($A422="","",games!$B422)</f>
        <v>2023</v>
      </c>
      <c r="C422" t="str">
        <f>IF($A422="","",games!$C422)</f>
        <v>Strategy</v>
      </c>
      <c r="D422">
        <f>IF($A422="","",COUNTIF(connections!$A$2:$A$1460,$A422)+COUNTIF(connections!$B$2:$B$1460,$A422))</f>
        <v>2</v>
      </c>
      <c r="E422">
        <f t="shared" si="78"/>
        <v>2</v>
      </c>
      <c r="F422">
        <f t="shared" si="79"/>
        <v>14</v>
      </c>
      <c r="G422" t="e">
        <f t="shared" si="80"/>
        <v>#N/A</v>
      </c>
      <c r="H422" t="e">
        <f t="shared" si="81"/>
        <v>#N/A</v>
      </c>
      <c r="I422">
        <f t="shared" si="82"/>
        <v>2023</v>
      </c>
      <c r="J422">
        <f t="shared" si="83"/>
        <v>2.3220000000000001</v>
      </c>
      <c r="K422" t="e">
        <f t="shared" si="84"/>
        <v>#N/A</v>
      </c>
      <c r="L422" t="e">
        <f t="shared" si="85"/>
        <v>#N/A</v>
      </c>
      <c r="M422" t="e">
        <f t="shared" si="86"/>
        <v>#N/A</v>
      </c>
      <c r="N422" t="e">
        <f t="shared" si="87"/>
        <v>#N/A</v>
      </c>
      <c r="O422">
        <f t="shared" si="88"/>
        <v>2.0004219999999999</v>
      </c>
      <c r="P422" t="str">
        <f>IF(OR($A422="",games!$H422=""),"",games!$H422)</f>
        <v>Yes</v>
      </c>
      <c r="Q422">
        <f t="shared" si="89"/>
        <v>2.0004219999999999</v>
      </c>
      <c r="T422">
        <f>IF(connections!$A422="","",IFERROR(INDEX(games!$B$2:$B$950,MATCH(connections!$A422,games!$A$2:$A$950,0)),""))</f>
        <v>2016</v>
      </c>
      <c r="U422">
        <f>IF(connections!$A422="","",IFERROR(INDEX(games!$B$2:$B$950,MATCH(connections!$B422,games!$A$2:$A$950,0)),""))</f>
        <v>2026</v>
      </c>
      <c r="V422">
        <f t="shared" si="90"/>
        <v>10</v>
      </c>
    </row>
    <row r="423" spans="1:22" x14ac:dyDescent="0.25">
      <c r="A423" t="str">
        <f>IF(games!$A423="","",games!$A423)</f>
        <v>Lexispell</v>
      </c>
      <c r="B423">
        <f>IF($A423="","",games!$B423)</f>
        <v>2026</v>
      </c>
      <c r="C423" t="str">
        <f>IF($A423="","",games!$C423)</f>
        <v>Deckbuilder</v>
      </c>
      <c r="D423">
        <f>IF($A423="","",COUNTIF(connections!$A$2:$A$1460,$A423)+COUNTIF(connections!$B$2:$B$1460,$A423))</f>
        <v>2</v>
      </c>
      <c r="E423">
        <f t="shared" si="78"/>
        <v>3</v>
      </c>
      <c r="F423">
        <f t="shared" si="79"/>
        <v>15</v>
      </c>
      <c r="G423" t="e">
        <f t="shared" si="80"/>
        <v>#N/A</v>
      </c>
      <c r="H423" t="e">
        <f t="shared" si="81"/>
        <v>#N/A</v>
      </c>
      <c r="I423" t="e">
        <f t="shared" si="82"/>
        <v>#N/A</v>
      </c>
      <c r="J423" t="e">
        <f t="shared" si="83"/>
        <v>#N/A</v>
      </c>
      <c r="K423">
        <f t="shared" si="84"/>
        <v>2026</v>
      </c>
      <c r="L423">
        <f t="shared" si="85"/>
        <v>3.3449999999999998</v>
      </c>
      <c r="M423" t="e">
        <f t="shared" si="86"/>
        <v>#N/A</v>
      </c>
      <c r="N423" t="e">
        <f t="shared" si="87"/>
        <v>#N/A</v>
      </c>
      <c r="O423">
        <f t="shared" si="88"/>
        <v>2.0004230000000001</v>
      </c>
      <c r="P423" t="str">
        <f>IF(OR($A423="",games!$H423=""),"",games!$H423)</f>
        <v/>
      </c>
      <c r="Q423" t="str">
        <f t="shared" si="89"/>
        <v/>
      </c>
      <c r="T423">
        <f>IF(connections!$A423="","",IFERROR(INDEX(games!$B$2:$B$950,MATCH(connections!$A423,games!$A$2:$A$950,0)),""))</f>
        <v>2016</v>
      </c>
      <c r="U423">
        <f>IF(connections!$A423="","",IFERROR(INDEX(games!$B$2:$B$950,MATCH(connections!$B423,games!$A$2:$A$950,0)),""))</f>
        <v>2024</v>
      </c>
      <c r="V423">
        <f t="shared" si="90"/>
        <v>8</v>
      </c>
    </row>
    <row r="424" spans="1:22" x14ac:dyDescent="0.25">
      <c r="A424" t="str">
        <f>IF(games!$A424="","",games!$A424)</f>
        <v>Linley's Dungeon Crawl</v>
      </c>
      <c r="B424">
        <f>IF($A424="","",games!$B424)</f>
        <v>1995</v>
      </c>
      <c r="C424" t="str">
        <f>IF($A424="","",games!$C424)</f>
        <v>Traditional</v>
      </c>
      <c r="D424">
        <f>IF($A424="","",COUNTIF(connections!$A$2:$A$1460,$A424)+COUNTIF(connections!$B$2:$B$1460,$A424))</f>
        <v>5</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1995</v>
      </c>
      <c r="N424">
        <f t="shared" si="87"/>
        <v>4.3680000000000003</v>
      </c>
      <c r="O424">
        <f t="shared" si="88"/>
        <v>5.0004239999999998</v>
      </c>
      <c r="P424" t="str">
        <f>IF(OR($A424="",games!$H424=""),"",games!$H424)</f>
        <v>Yes</v>
      </c>
      <c r="Q424">
        <f t="shared" si="89"/>
        <v>5.0004239999999998</v>
      </c>
      <c r="T424">
        <f>IF(connections!$A424="","",IFERROR(INDEX(games!$B$2:$B$950,MATCH(connections!$A424,games!$A$2:$A$950,0)),""))</f>
        <v>2016</v>
      </c>
      <c r="U424">
        <f>IF(connections!$A424="","",IFERROR(INDEX(games!$B$2:$B$950,MATCH(connections!$B424,games!$A$2:$A$950,0)),""))</f>
        <v>2020</v>
      </c>
      <c r="V424">
        <f t="shared" si="90"/>
        <v>4</v>
      </c>
    </row>
    <row r="425" spans="1:22" x14ac:dyDescent="0.25">
      <c r="A425" t="str">
        <f>IF(games!$A425="","",games!$A425)</f>
        <v>Lone Ruin</v>
      </c>
      <c r="B425">
        <f>IF($A425="","",games!$B425)</f>
        <v>2023</v>
      </c>
      <c r="C425" t="str">
        <f>IF($A425="","",games!$C425)</f>
        <v>Action</v>
      </c>
      <c r="D425">
        <f>IF($A425="","",COUNTIF(connections!$A$2:$A$1460,$A425)+COUNTIF(connections!$B$2:$B$1460,$A425))</f>
        <v>3</v>
      </c>
      <c r="E425">
        <f t="shared" si="78"/>
        <v>1</v>
      </c>
      <c r="F425">
        <f t="shared" si="79"/>
        <v>17</v>
      </c>
      <c r="G425">
        <f t="shared" si="80"/>
        <v>2023</v>
      </c>
      <c r="H425">
        <f t="shared" si="81"/>
        <v>1.391</v>
      </c>
      <c r="I425" t="e">
        <f t="shared" si="82"/>
        <v>#N/A</v>
      </c>
      <c r="J425" t="e">
        <f t="shared" si="83"/>
        <v>#N/A</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2016</v>
      </c>
      <c r="U425">
        <f>IF(connections!$A425="","",IFERROR(INDEX(games!$B$2:$B$950,MATCH(connections!$B425,games!$A$2:$A$950,0)),""))</f>
        <v>2025</v>
      </c>
      <c r="V425">
        <f t="shared" si="90"/>
        <v>9</v>
      </c>
    </row>
    <row r="426" spans="1:22" x14ac:dyDescent="0.25">
      <c r="A426" t="str">
        <f>IF(games!$A426="","",games!$A426)</f>
        <v>LoneStar</v>
      </c>
      <c r="B426">
        <f>IF($A426="","",games!$B426)</f>
        <v>2024</v>
      </c>
      <c r="C426" t="str">
        <f>IF($A426="","",games!$C426)</f>
        <v>Strategy</v>
      </c>
      <c r="D426">
        <f>IF($A426="","",COUNTIF(connections!$A$2:$A$1460,$A426)+COUNTIF(connections!$B$2:$B$1460,$A426))</f>
        <v>1</v>
      </c>
      <c r="E426">
        <f t="shared" si="78"/>
        <v>2</v>
      </c>
      <c r="F426">
        <f t="shared" si="79"/>
        <v>18</v>
      </c>
      <c r="G426" t="e">
        <f t="shared" si="80"/>
        <v>#N/A</v>
      </c>
      <c r="H426" t="e">
        <f t="shared" si="81"/>
        <v>#N/A</v>
      </c>
      <c r="I426">
        <f t="shared" si="82"/>
        <v>2024</v>
      </c>
      <c r="J426">
        <f t="shared" si="83"/>
        <v>2.4140000000000001</v>
      </c>
      <c r="K426" t="e">
        <f t="shared" si="84"/>
        <v>#N/A</v>
      </c>
      <c r="L426" t="e">
        <f t="shared" si="85"/>
        <v>#N/A</v>
      </c>
      <c r="M426" t="e">
        <f t="shared" si="86"/>
        <v>#N/A</v>
      </c>
      <c r="N426" t="e">
        <f t="shared" si="87"/>
        <v>#N/A</v>
      </c>
      <c r="O426">
        <f t="shared" si="88"/>
        <v>1.000426</v>
      </c>
      <c r="P426" t="str">
        <f>IF(OR($A426="",games!$H426=""),"",games!$H426)</f>
        <v>Yes</v>
      </c>
      <c r="Q426">
        <f t="shared" si="89"/>
        <v>1.000426</v>
      </c>
      <c r="T426">
        <f>IF(connections!$A426="","",IFERROR(INDEX(games!$B$2:$B$950,MATCH(connections!$A426,games!$A$2:$A$950,0)),""))</f>
        <v>2016</v>
      </c>
      <c r="U426">
        <f>IF(connections!$A426="","",IFERROR(INDEX(games!$B$2:$B$950,MATCH(connections!$B426,games!$A$2:$A$950,0)),""))</f>
        <v>2021</v>
      </c>
      <c r="V426">
        <f t="shared" si="90"/>
        <v>5</v>
      </c>
    </row>
    <row r="427" spans="1:22" x14ac:dyDescent="0.25">
      <c r="A427" t="str">
        <f>IF(games!$A427="","",games!$A427)</f>
        <v>Loop Hero</v>
      </c>
      <c r="B427">
        <f>IF($A427="","",games!$B427)</f>
        <v>2021</v>
      </c>
      <c r="C427" t="str">
        <f>IF($A427="","",games!$C427)</f>
        <v>Strategy</v>
      </c>
      <c r="D427">
        <f>IF($A427="","",COUNTIF(connections!$A$2:$A$1460,$A427)+COUNTIF(connections!$B$2:$B$1460,$A427))</f>
        <v>4</v>
      </c>
      <c r="E427">
        <f t="shared" si="78"/>
        <v>2</v>
      </c>
      <c r="F427">
        <f t="shared" si="79"/>
        <v>19</v>
      </c>
      <c r="G427" t="e">
        <f t="shared" si="80"/>
        <v>#N/A</v>
      </c>
      <c r="H427" t="e">
        <f t="shared" si="81"/>
        <v>#N/A</v>
      </c>
      <c r="I427">
        <f t="shared" si="82"/>
        <v>2021</v>
      </c>
      <c r="J427">
        <f t="shared" si="83"/>
        <v>2.4369999999999998</v>
      </c>
      <c r="K427" t="e">
        <f t="shared" si="84"/>
        <v>#N/A</v>
      </c>
      <c r="L427" t="e">
        <f t="shared" si="85"/>
        <v>#N/A</v>
      </c>
      <c r="M427" t="e">
        <f t="shared" si="86"/>
        <v>#N/A</v>
      </c>
      <c r="N427" t="e">
        <f t="shared" si="87"/>
        <v>#N/A</v>
      </c>
      <c r="O427">
        <f t="shared" si="88"/>
        <v>4.0004270000000002</v>
      </c>
      <c r="P427" t="str">
        <f>IF(OR($A427="",games!$H427=""),"",games!$H427)</f>
        <v>Yes</v>
      </c>
      <c r="Q427">
        <f t="shared" si="89"/>
        <v>4.0004270000000002</v>
      </c>
      <c r="T427">
        <f>IF(connections!$A427="","",IFERROR(INDEX(games!$B$2:$B$950,MATCH(connections!$A427,games!$A$2:$A$950,0)),""))</f>
        <v>2016</v>
      </c>
      <c r="U427">
        <f>IF(connections!$A427="","",IFERROR(INDEX(games!$B$2:$B$950,MATCH(connections!$B427,games!$A$2:$A$950,0)),""))</f>
        <v>2022</v>
      </c>
      <c r="V427">
        <f t="shared" si="90"/>
        <v>6</v>
      </c>
    </row>
    <row r="428" spans="1:22" x14ac:dyDescent="0.25">
      <c r="A428" t="str">
        <f>IF(games!$A428="","",games!$A428)</f>
        <v>Loot Rascals</v>
      </c>
      <c r="B428">
        <f>IF($A428="","",games!$B428)</f>
        <v>2017</v>
      </c>
      <c r="C428" t="str">
        <f>IF($A428="","",games!$C428)</f>
        <v>Strategy</v>
      </c>
      <c r="D428">
        <f>IF($A428="","",COUNTIF(connections!$A$2:$A$1460,$A428)+COUNTIF(connections!$B$2:$B$1460,$A428))</f>
        <v>3</v>
      </c>
      <c r="E428">
        <f t="shared" si="78"/>
        <v>2</v>
      </c>
      <c r="F428">
        <f t="shared" si="79"/>
        <v>20</v>
      </c>
      <c r="G428" t="e">
        <f t="shared" si="80"/>
        <v>#N/A</v>
      </c>
      <c r="H428" t="e">
        <f t="shared" si="81"/>
        <v>#N/A</v>
      </c>
      <c r="I428">
        <f t="shared" si="82"/>
        <v>2017</v>
      </c>
      <c r="J428">
        <f t="shared" si="83"/>
        <v>2.46</v>
      </c>
      <c r="K428" t="e">
        <f t="shared" si="84"/>
        <v>#N/A</v>
      </c>
      <c r="L428" t="e">
        <f t="shared" si="85"/>
        <v>#N/A</v>
      </c>
      <c r="M428" t="e">
        <f t="shared" si="86"/>
        <v>#N/A</v>
      </c>
      <c r="N428" t="e">
        <f t="shared" si="87"/>
        <v>#N/A</v>
      </c>
      <c r="O428">
        <f t="shared" si="88"/>
        <v>3.0004279999999999</v>
      </c>
      <c r="P428" t="str">
        <f>IF(OR($A428="",games!$H428=""),"",games!$H428)</f>
        <v/>
      </c>
      <c r="Q428" t="str">
        <f t="shared" si="89"/>
        <v/>
      </c>
      <c r="T428">
        <f>IF(connections!$A428="","",IFERROR(INDEX(games!$B$2:$B$950,MATCH(connections!$A428,games!$A$2:$A$950,0)),""))</f>
        <v>2016</v>
      </c>
      <c r="U428">
        <f>IF(connections!$A428="","",IFERROR(INDEX(games!$B$2:$B$950,MATCH(connections!$B428,games!$A$2:$A$950,0)),""))</f>
        <v>2022</v>
      </c>
      <c r="V428">
        <f t="shared" si="90"/>
        <v>6</v>
      </c>
    </row>
    <row r="429" spans="1:22" x14ac:dyDescent="0.25">
      <c r="A429" t="str">
        <f>IF(games!$A429="","",games!$A429)</f>
        <v>Loot River</v>
      </c>
      <c r="B429">
        <f>IF($A429="","",games!$B429)</f>
        <v>2022</v>
      </c>
      <c r="C429" t="str">
        <f>IF($A429="","",games!$C429)</f>
        <v>Strategy</v>
      </c>
      <c r="D429">
        <f>IF($A429="","",COUNTIF(connections!$A$2:$A$1460,$A429)+COUNTIF(connections!$B$2:$B$1460,$A429))</f>
        <v>0</v>
      </c>
      <c r="E429">
        <f t="shared" si="78"/>
        <v>2</v>
      </c>
      <c r="F429">
        <f t="shared" si="79"/>
        <v>21</v>
      </c>
      <c r="G429" t="e">
        <f t="shared" si="80"/>
        <v>#N/A</v>
      </c>
      <c r="H429" t="e">
        <f t="shared" si="81"/>
        <v>#N/A</v>
      </c>
      <c r="I429">
        <f t="shared" si="82"/>
        <v>2022</v>
      </c>
      <c r="J429">
        <f t="shared" si="83"/>
        <v>2.4830000000000001</v>
      </c>
      <c r="K429" t="e">
        <f t="shared" si="84"/>
        <v>#N/A</v>
      </c>
      <c r="L429" t="e">
        <f t="shared" si="85"/>
        <v>#N/A</v>
      </c>
      <c r="M429" t="e">
        <f t="shared" si="86"/>
        <v>#N/A</v>
      </c>
      <c r="N429" t="e">
        <f t="shared" si="87"/>
        <v>#N/A</v>
      </c>
      <c r="O429">
        <f t="shared" si="88"/>
        <v>4.2900000000000002E-4</v>
      </c>
      <c r="P429" t="str">
        <f>IF(OR($A429="",games!$H429=""),"",games!$H429)</f>
        <v>Yes</v>
      </c>
      <c r="Q429">
        <f t="shared" si="89"/>
        <v>4.2900000000000002E-4</v>
      </c>
      <c r="T429">
        <f>IF(connections!$A429="","",IFERROR(INDEX(games!$B$2:$B$950,MATCH(connections!$A429,games!$A$2:$A$950,0)),""))</f>
        <v>2016</v>
      </c>
      <c r="U429">
        <f>IF(connections!$A429="","",IFERROR(INDEX(games!$B$2:$B$950,MATCH(connections!$B429,games!$A$2:$A$950,0)),""))</f>
        <v>2022</v>
      </c>
      <c r="V429">
        <f t="shared" si="90"/>
        <v>6</v>
      </c>
    </row>
    <row r="430" spans="1:22" x14ac:dyDescent="0.25">
      <c r="A430" t="str">
        <f>IF(games!$A430="","",games!$A430)</f>
        <v>Lootplot</v>
      </c>
      <c r="B430">
        <f>IF($A430="","",games!$B430)</f>
        <v>2025</v>
      </c>
      <c r="C430" t="str">
        <f>IF($A430="","",games!$C430)</f>
        <v>Strategy</v>
      </c>
      <c r="D430">
        <f>IF($A430="","",COUNTIF(connections!$A$2:$A$1460,$A430)+COUNTIF(connections!$B$2:$B$1460,$A430))</f>
        <v>2</v>
      </c>
      <c r="E430">
        <f t="shared" si="78"/>
        <v>2</v>
      </c>
      <c r="F430">
        <f t="shared" si="79"/>
        <v>22</v>
      </c>
      <c r="G430" t="e">
        <f t="shared" si="80"/>
        <v>#N/A</v>
      </c>
      <c r="H430" t="e">
        <f t="shared" si="81"/>
        <v>#N/A</v>
      </c>
      <c r="I430">
        <f t="shared" si="82"/>
        <v>2025</v>
      </c>
      <c r="J430">
        <f t="shared" si="83"/>
        <v>2.5060000000000002</v>
      </c>
      <c r="K430" t="e">
        <f t="shared" si="84"/>
        <v>#N/A</v>
      </c>
      <c r="L430" t="e">
        <f t="shared" si="85"/>
        <v>#N/A</v>
      </c>
      <c r="M430" t="e">
        <f t="shared" si="86"/>
        <v>#N/A</v>
      </c>
      <c r="N430" t="e">
        <f t="shared" si="87"/>
        <v>#N/A</v>
      </c>
      <c r="O430">
        <f t="shared" si="88"/>
        <v>2.0004300000000002</v>
      </c>
      <c r="P430" t="str">
        <f>IF(OR($A430="",games!$H430=""),"",games!$H430)</f>
        <v/>
      </c>
      <c r="Q430" t="str">
        <f t="shared" si="89"/>
        <v/>
      </c>
      <c r="T430">
        <f>IF(connections!$A430="","",IFERROR(INDEX(games!$B$2:$B$950,MATCH(connections!$A430,games!$A$2:$A$950,0)),""))</f>
        <v>2016</v>
      </c>
      <c r="U430">
        <f>IF(connections!$A430="","",IFERROR(INDEX(games!$B$2:$B$950,MATCH(connections!$B430,games!$A$2:$A$950,0)),""))</f>
        <v>2019</v>
      </c>
      <c r="V430">
        <f t="shared" si="90"/>
        <v>3</v>
      </c>
    </row>
    <row r="431" spans="1:22" x14ac:dyDescent="0.25">
      <c r="A431" t="str">
        <f>IF(games!$A431="","",games!$A431)</f>
        <v>Lort</v>
      </c>
      <c r="B431">
        <f>IF($A431="","",games!$B431)</f>
        <v>2026</v>
      </c>
      <c r="C431" t="str">
        <f>IF($A431="","",games!$C431)</f>
        <v>Action</v>
      </c>
      <c r="D431">
        <f>IF($A431="","",COUNTIF(connections!$A$2:$A$1460,$A431)+COUNTIF(connections!$B$2:$B$1460,$A431))</f>
        <v>2</v>
      </c>
      <c r="E431">
        <f t="shared" si="78"/>
        <v>1</v>
      </c>
      <c r="F431">
        <f t="shared" si="79"/>
        <v>23</v>
      </c>
      <c r="G431">
        <f t="shared" si="80"/>
        <v>2026</v>
      </c>
      <c r="H431">
        <f t="shared" si="81"/>
        <v>1.5289999999999999</v>
      </c>
      <c r="I431" t="e">
        <f t="shared" si="82"/>
        <v>#N/A</v>
      </c>
      <c r="J431" t="e">
        <f t="shared" si="83"/>
        <v>#N/A</v>
      </c>
      <c r="K431" t="e">
        <f t="shared" si="84"/>
        <v>#N/A</v>
      </c>
      <c r="L431" t="e">
        <f t="shared" si="85"/>
        <v>#N/A</v>
      </c>
      <c r="M431" t="e">
        <f t="shared" si="86"/>
        <v>#N/A</v>
      </c>
      <c r="N431" t="e">
        <f t="shared" si="87"/>
        <v>#N/A</v>
      </c>
      <c r="O431">
        <f t="shared" si="88"/>
        <v>2.0004309999999998</v>
      </c>
      <c r="P431" t="str">
        <f>IF(OR($A431="",games!$H431=""),"",games!$H431)</f>
        <v/>
      </c>
      <c r="Q431" t="str">
        <f t="shared" si="89"/>
        <v/>
      </c>
      <c r="T431">
        <f>IF(connections!$A431="","",IFERROR(INDEX(games!$B$2:$B$950,MATCH(connections!$A431,games!$A$2:$A$950,0)),""))</f>
        <v>2015</v>
      </c>
      <c r="U431">
        <f>IF(connections!$A431="","",IFERROR(INDEX(games!$B$2:$B$950,MATCH(connections!$B431,games!$A$2:$A$950,0)),""))</f>
        <v>2017</v>
      </c>
      <c r="V431">
        <f t="shared" si="90"/>
        <v>2</v>
      </c>
    </row>
    <row r="432" spans="1:22" x14ac:dyDescent="0.25">
      <c r="A432" t="str">
        <f>IF(games!$A432="","",games!$A432)</f>
        <v>Lost Flame</v>
      </c>
      <c r="B432">
        <f>IF($A432="","",games!$B432)</f>
        <v>2019</v>
      </c>
      <c r="C432" t="str">
        <f>IF($A432="","",games!$C432)</f>
        <v>Traditional</v>
      </c>
      <c r="D432">
        <f>IF($A432="","",COUNTIF(connections!$A$2:$A$1460,$A432)+COUNTIF(connections!$B$2:$B$1460,$A432))</f>
        <v>2</v>
      </c>
      <c r="E432">
        <f t="shared" si="78"/>
        <v>4</v>
      </c>
      <c r="F432">
        <f t="shared" si="79"/>
        <v>24</v>
      </c>
      <c r="G432" t="e">
        <f t="shared" si="80"/>
        <v>#N/A</v>
      </c>
      <c r="H432" t="e">
        <f t="shared" si="81"/>
        <v>#N/A</v>
      </c>
      <c r="I432" t="e">
        <f t="shared" si="82"/>
        <v>#N/A</v>
      </c>
      <c r="J432" t="e">
        <f t="shared" si="83"/>
        <v>#N/A</v>
      </c>
      <c r="K432" t="e">
        <f t="shared" si="84"/>
        <v>#N/A</v>
      </c>
      <c r="L432" t="e">
        <f t="shared" si="85"/>
        <v>#N/A</v>
      </c>
      <c r="M432">
        <f t="shared" si="86"/>
        <v>2019</v>
      </c>
      <c r="N432">
        <f t="shared" si="87"/>
        <v>4.5519999999999996</v>
      </c>
      <c r="O432">
        <f t="shared" si="88"/>
        <v>2.000432</v>
      </c>
      <c r="P432" t="str">
        <f>IF(OR($A432="",games!$H432=""),"",games!$H432)</f>
        <v/>
      </c>
      <c r="Q432" t="str">
        <f t="shared" si="89"/>
        <v/>
      </c>
      <c r="T432">
        <f>IF(connections!$A432="","",IFERROR(INDEX(games!$B$2:$B$950,MATCH(connections!$A432,games!$A$2:$A$950,0)),""))</f>
        <v>1990</v>
      </c>
      <c r="U432">
        <f>IF(connections!$A432="","",IFERROR(INDEX(games!$B$2:$B$950,MATCH(connections!$B432,games!$A$2:$A$950,0)),""))</f>
        <v>1990</v>
      </c>
      <c r="V432">
        <f t="shared" si="90"/>
        <v>0</v>
      </c>
    </row>
    <row r="433" spans="1:22" x14ac:dyDescent="0.25">
      <c r="A433" t="str">
        <f>IF(games!$A433="","",games!$A433)</f>
        <v>Lost For Swords</v>
      </c>
      <c r="B433">
        <f>IF($A433="","",games!$B433)</f>
        <v>2023</v>
      </c>
      <c r="C433" t="str">
        <f>IF($A433="","",games!$C433)</f>
        <v>Deckbuilder</v>
      </c>
      <c r="D433">
        <f>IF($A433="","",COUNTIF(connections!$A$2:$A$1460,$A433)+COUNTIF(connections!$B$2:$B$1460,$A433))</f>
        <v>4</v>
      </c>
      <c r="E433">
        <f t="shared" si="78"/>
        <v>3</v>
      </c>
      <c r="F433">
        <f t="shared" si="79"/>
        <v>25</v>
      </c>
      <c r="G433" t="e">
        <f t="shared" si="80"/>
        <v>#N/A</v>
      </c>
      <c r="H433" t="e">
        <f t="shared" si="81"/>
        <v>#N/A</v>
      </c>
      <c r="I433" t="e">
        <f t="shared" si="82"/>
        <v>#N/A</v>
      </c>
      <c r="J433" t="e">
        <f t="shared" si="83"/>
        <v>#N/A</v>
      </c>
      <c r="K433">
        <f t="shared" si="84"/>
        <v>2023</v>
      </c>
      <c r="L433">
        <f t="shared" si="85"/>
        <v>3.5750000000000002</v>
      </c>
      <c r="M433" t="e">
        <f t="shared" si="86"/>
        <v>#N/A</v>
      </c>
      <c r="N433" t="e">
        <f t="shared" si="87"/>
        <v>#N/A</v>
      </c>
      <c r="O433">
        <f t="shared" si="88"/>
        <v>4.0004330000000001</v>
      </c>
      <c r="P433" t="str">
        <f>IF(OR($A433="",games!$H433=""),"",games!$H433)</f>
        <v/>
      </c>
      <c r="Q433" t="str">
        <f t="shared" si="89"/>
        <v/>
      </c>
      <c r="T433">
        <f>IF(connections!$A433="","",IFERROR(INDEX(games!$B$2:$B$950,MATCH(connections!$A433,games!$A$2:$A$950,0)),""))</f>
        <v>2021</v>
      </c>
      <c r="U433">
        <f>IF(connections!$A433="","",IFERROR(INDEX(games!$B$2:$B$950,MATCH(connections!$B433,games!$A$2:$A$950,0)),""))</f>
        <v>2026</v>
      </c>
      <c r="V433">
        <f t="shared" si="90"/>
        <v>5</v>
      </c>
    </row>
    <row r="434" spans="1:22" x14ac:dyDescent="0.25">
      <c r="A434" t="str">
        <f>IF(games!$A434="","",games!$A434)</f>
        <v>Lost In Fantaland</v>
      </c>
      <c r="B434">
        <f>IF($A434="","",games!$B434)</f>
        <v>2022</v>
      </c>
      <c r="C434" t="str">
        <f>IF($A434="","",games!$C434)</f>
        <v>Deckbuilder</v>
      </c>
      <c r="D434">
        <f>IF($A434="","",COUNTIF(connections!$A$2:$A$1460,$A434)+COUNTIF(connections!$B$2:$B$1460,$A434))</f>
        <v>1</v>
      </c>
      <c r="E434">
        <f t="shared" si="78"/>
        <v>3</v>
      </c>
      <c r="F434">
        <f t="shared" si="79"/>
        <v>26</v>
      </c>
      <c r="G434" t="e">
        <f t="shared" si="80"/>
        <v>#N/A</v>
      </c>
      <c r="H434" t="e">
        <f t="shared" si="81"/>
        <v>#N/A</v>
      </c>
      <c r="I434" t="e">
        <f t="shared" si="82"/>
        <v>#N/A</v>
      </c>
      <c r="J434" t="e">
        <f t="shared" si="83"/>
        <v>#N/A</v>
      </c>
      <c r="K434">
        <f t="shared" si="84"/>
        <v>2022</v>
      </c>
      <c r="L434">
        <f t="shared" si="85"/>
        <v>3.5979999999999999</v>
      </c>
      <c r="M434" t="e">
        <f t="shared" si="86"/>
        <v>#N/A</v>
      </c>
      <c r="N434" t="e">
        <f t="shared" si="87"/>
        <v>#N/A</v>
      </c>
      <c r="O434">
        <f t="shared" si="88"/>
        <v>1.000434</v>
      </c>
      <c r="P434" t="str">
        <f>IF(OR($A434="",games!$H434=""),"",games!$H434)</f>
        <v/>
      </c>
      <c r="Q434" t="str">
        <f t="shared" si="89"/>
        <v/>
      </c>
      <c r="T434">
        <f>IF(connections!$A434="","",IFERROR(INDEX(games!$B$2:$B$950,MATCH(connections!$A434,games!$A$2:$A$950,0)),""))</f>
        <v>2021</v>
      </c>
      <c r="U434">
        <f>IF(connections!$A434="","",IFERROR(INDEX(games!$B$2:$B$950,MATCH(connections!$B434,games!$A$2:$A$950,0)),""))</f>
        <v>2026</v>
      </c>
      <c r="V434">
        <f t="shared" si="90"/>
        <v>5</v>
      </c>
    </row>
    <row r="435" spans="1:22" x14ac:dyDescent="0.25">
      <c r="A435" t="str">
        <f>IF(games!$A435="","",games!$A435)</f>
        <v>Lost in Random: The Eternal Die</v>
      </c>
      <c r="B435">
        <f>IF($A435="","",games!$B435)</f>
        <v>2025</v>
      </c>
      <c r="C435" t="str">
        <f>IF($A435="","",games!$C435)</f>
        <v>Action</v>
      </c>
      <c r="D435">
        <f>IF($A435="","",COUNTIF(connections!$A$2:$A$1460,$A435)+COUNTIF(connections!$B$2:$B$1460,$A435))</f>
        <v>1</v>
      </c>
      <c r="E435">
        <f t="shared" si="78"/>
        <v>1</v>
      </c>
      <c r="F435">
        <f t="shared" si="79"/>
        <v>27</v>
      </c>
      <c r="G435">
        <f t="shared" si="80"/>
        <v>2025</v>
      </c>
      <c r="H435">
        <f t="shared" si="81"/>
        <v>1.621</v>
      </c>
      <c r="I435" t="e">
        <f t="shared" si="82"/>
        <v>#N/A</v>
      </c>
      <c r="J435" t="e">
        <f t="shared" si="83"/>
        <v>#N/A</v>
      </c>
      <c r="K435" t="e">
        <f t="shared" si="84"/>
        <v>#N/A</v>
      </c>
      <c r="L435" t="e">
        <f t="shared" si="85"/>
        <v>#N/A</v>
      </c>
      <c r="M435" t="e">
        <f t="shared" si="86"/>
        <v>#N/A</v>
      </c>
      <c r="N435" t="e">
        <f t="shared" si="87"/>
        <v>#N/A</v>
      </c>
      <c r="O435">
        <f t="shared" si="88"/>
        <v>1.000435</v>
      </c>
      <c r="P435" t="str">
        <f>IF(OR($A435="",games!$H435=""),"",games!$H435)</f>
        <v>Yes</v>
      </c>
      <c r="Q435">
        <f t="shared" si="89"/>
        <v>1.000435</v>
      </c>
      <c r="T435">
        <f>IF(connections!$A435="","",IFERROR(INDEX(games!$B$2:$B$950,MATCH(connections!$A435,games!$A$2:$A$950,0)),""))</f>
        <v>2021</v>
      </c>
      <c r="U435">
        <f>IF(connections!$A435="","",IFERROR(INDEX(games!$B$2:$B$950,MATCH(connections!$B435,games!$A$2:$A$950,0)),""))</f>
        <v>2025</v>
      </c>
      <c r="V435">
        <f t="shared" si="90"/>
        <v>4</v>
      </c>
    </row>
    <row r="436" spans="1:22" x14ac:dyDescent="0.25">
      <c r="A436" t="str">
        <f>IF(games!$A436="","",games!$A436)</f>
        <v>Lost Labyrinth</v>
      </c>
      <c r="B436">
        <f>IF($A436="","",games!$B436)</f>
        <v>2001</v>
      </c>
      <c r="C436" t="str">
        <f>IF($A436="","",games!$C436)</f>
        <v>Traditional</v>
      </c>
      <c r="D436">
        <f>IF($A436="","",COUNTIF(connections!$A$2:$A$1460,$A436)+COUNTIF(connections!$B$2:$B$1460,$A436))</f>
        <v>2</v>
      </c>
      <c r="E436">
        <f t="shared" si="78"/>
        <v>4</v>
      </c>
      <c r="F436">
        <f t="shared" si="79"/>
        <v>28</v>
      </c>
      <c r="G436" t="e">
        <f t="shared" si="80"/>
        <v>#N/A</v>
      </c>
      <c r="H436" t="e">
        <f t="shared" si="81"/>
        <v>#N/A</v>
      </c>
      <c r="I436" t="e">
        <f t="shared" si="82"/>
        <v>#N/A</v>
      </c>
      <c r="J436" t="e">
        <f t="shared" si="83"/>
        <v>#N/A</v>
      </c>
      <c r="K436" t="e">
        <f t="shared" si="84"/>
        <v>#N/A</v>
      </c>
      <c r="L436" t="e">
        <f t="shared" si="85"/>
        <v>#N/A</v>
      </c>
      <c r="M436">
        <f t="shared" si="86"/>
        <v>2001</v>
      </c>
      <c r="N436">
        <f t="shared" si="87"/>
        <v>4.6440000000000001</v>
      </c>
      <c r="O436">
        <f t="shared" si="88"/>
        <v>2.0004360000000001</v>
      </c>
      <c r="P436" t="str">
        <f>IF(OR($A436="",games!$H436=""),"",games!$H436)</f>
        <v/>
      </c>
      <c r="Q436" t="str">
        <f t="shared" si="89"/>
        <v/>
      </c>
      <c r="T436">
        <f>IF(connections!$A436="","",IFERROR(INDEX(games!$B$2:$B$950,MATCH(connections!$A436,games!$A$2:$A$950,0)),""))</f>
        <v>2007</v>
      </c>
      <c r="U436">
        <f>IF(connections!$A436="","",IFERROR(INDEX(games!$B$2:$B$950,MATCH(connections!$B436,games!$A$2:$A$950,0)),""))</f>
        <v>2019</v>
      </c>
      <c r="V436">
        <f t="shared" si="90"/>
        <v>12</v>
      </c>
    </row>
    <row r="437" spans="1:22" x14ac:dyDescent="0.25">
      <c r="A437" t="str">
        <f>IF(games!$A437="","",games!$A437)</f>
        <v>Luck &amp; Loot</v>
      </c>
      <c r="B437">
        <f>IF($A437="","",games!$B437)</f>
        <v>2024</v>
      </c>
      <c r="C437" t="str">
        <f>IF($A437="","",games!$C437)</f>
        <v>Deckbuilder</v>
      </c>
      <c r="D437">
        <f>IF($A437="","",COUNTIF(connections!$A$2:$A$1460,$A437)+COUNTIF(connections!$B$2:$B$1460,$A437))</f>
        <v>3</v>
      </c>
      <c r="E437">
        <f t="shared" si="78"/>
        <v>3</v>
      </c>
      <c r="F437">
        <f t="shared" si="79"/>
        <v>29</v>
      </c>
      <c r="G437" t="e">
        <f t="shared" si="80"/>
        <v>#N/A</v>
      </c>
      <c r="H437" t="e">
        <f t="shared" si="81"/>
        <v>#N/A</v>
      </c>
      <c r="I437" t="e">
        <f t="shared" si="82"/>
        <v>#N/A</v>
      </c>
      <c r="J437" t="e">
        <f t="shared" si="83"/>
        <v>#N/A</v>
      </c>
      <c r="K437">
        <f t="shared" si="84"/>
        <v>2024</v>
      </c>
      <c r="L437">
        <f t="shared" si="85"/>
        <v>3.6669999999999998</v>
      </c>
      <c r="M437" t="e">
        <f t="shared" si="86"/>
        <v>#N/A</v>
      </c>
      <c r="N437" t="e">
        <f t="shared" si="87"/>
        <v>#N/A</v>
      </c>
      <c r="O437">
        <f t="shared" si="88"/>
        <v>3.0004369999999998</v>
      </c>
      <c r="P437" t="str">
        <f>IF(OR($A437="",games!$H437=""),"",games!$H437)</f>
        <v/>
      </c>
      <c r="Q437" t="str">
        <f t="shared" si="89"/>
        <v/>
      </c>
      <c r="T437">
        <f>IF(connections!$A437="","",IFERROR(INDEX(games!$B$2:$B$950,MATCH(connections!$A437,games!$A$2:$A$950,0)),""))</f>
        <v>2022</v>
      </c>
      <c r="U437">
        <f>IF(connections!$A437="","",IFERROR(INDEX(games!$B$2:$B$950,MATCH(connections!$B437,games!$A$2:$A$950,0)),""))</f>
        <v>2023</v>
      </c>
      <c r="V437">
        <f t="shared" si="90"/>
        <v>1</v>
      </c>
    </row>
    <row r="438" spans="1:22" x14ac:dyDescent="0.25">
      <c r="A438" t="str">
        <f>IF(games!$A438="","",games!$A438)</f>
        <v>Luck be a Landlord</v>
      </c>
      <c r="B438">
        <f>IF($A438="","",games!$B438)</f>
        <v>2021</v>
      </c>
      <c r="C438" t="str">
        <f>IF($A438="","",games!$C438)</f>
        <v>Deckbuilder</v>
      </c>
      <c r="D438">
        <f>IF($A438="","",COUNTIF(connections!$A$2:$A$1460,$A438)+COUNTIF(connections!$B$2:$B$1460,$A438))</f>
        <v>27</v>
      </c>
      <c r="E438">
        <f t="shared" si="78"/>
        <v>3</v>
      </c>
      <c r="F438">
        <f t="shared" si="79"/>
        <v>30</v>
      </c>
      <c r="G438" t="e">
        <f t="shared" si="80"/>
        <v>#N/A</v>
      </c>
      <c r="H438" t="e">
        <f t="shared" si="81"/>
        <v>#N/A</v>
      </c>
      <c r="I438" t="e">
        <f t="shared" si="82"/>
        <v>#N/A</v>
      </c>
      <c r="J438" t="e">
        <f t="shared" si="83"/>
        <v>#N/A</v>
      </c>
      <c r="K438">
        <f t="shared" si="84"/>
        <v>2021</v>
      </c>
      <c r="L438">
        <f t="shared" si="85"/>
        <v>3.69</v>
      </c>
      <c r="M438" t="e">
        <f t="shared" si="86"/>
        <v>#N/A</v>
      </c>
      <c r="N438" t="e">
        <f t="shared" si="87"/>
        <v>#N/A</v>
      </c>
      <c r="O438">
        <f t="shared" si="88"/>
        <v>27.000437999999999</v>
      </c>
      <c r="P438" t="str">
        <f>IF(OR($A438="",games!$H438=""),"",games!$H438)</f>
        <v>Yes</v>
      </c>
      <c r="Q438">
        <f t="shared" si="89"/>
        <v>27.000437999999999</v>
      </c>
      <c r="T438">
        <f>IF(connections!$A438="","",IFERROR(INDEX(games!$B$2:$B$950,MATCH(connections!$A438,games!$A$2:$A$950,0)),""))</f>
        <v>2018</v>
      </c>
      <c r="U438">
        <f>IF(connections!$A438="","",IFERROR(INDEX(games!$B$2:$B$950,MATCH(connections!$B438,games!$A$2:$A$950,0)),""))</f>
        <v>2023</v>
      </c>
      <c r="V438">
        <f t="shared" si="90"/>
        <v>5</v>
      </c>
    </row>
    <row r="439" spans="1:22" x14ac:dyDescent="0.25">
      <c r="A439" t="str">
        <f>IF(games!$A439="","",games!$A439)</f>
        <v>Lucky Hero</v>
      </c>
      <c r="B439">
        <f>IF($A439="","",games!$B439)</f>
        <v>2023</v>
      </c>
      <c r="C439" t="str">
        <f>IF($A439="","",games!$C439)</f>
        <v>Deckbuilder</v>
      </c>
      <c r="D439">
        <f>IF($A439="","",COUNTIF(connections!$A$2:$A$1460,$A439)+COUNTIF(connections!$B$2:$B$1460,$A439))</f>
        <v>1</v>
      </c>
      <c r="E439">
        <f t="shared" si="78"/>
        <v>3</v>
      </c>
      <c r="F439">
        <f t="shared" si="79"/>
        <v>31</v>
      </c>
      <c r="G439" t="e">
        <f t="shared" si="80"/>
        <v>#N/A</v>
      </c>
      <c r="H439" t="e">
        <f t="shared" si="81"/>
        <v>#N/A</v>
      </c>
      <c r="I439" t="e">
        <f t="shared" si="82"/>
        <v>#N/A</v>
      </c>
      <c r="J439" t="e">
        <f t="shared" si="83"/>
        <v>#N/A</v>
      </c>
      <c r="K439">
        <f t="shared" si="84"/>
        <v>2023</v>
      </c>
      <c r="L439">
        <f t="shared" si="85"/>
        <v>3.7130000000000001</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2018</v>
      </c>
      <c r="U439">
        <f>IF(connections!$A439="","",IFERROR(INDEX(games!$B$2:$B$950,MATCH(connections!$B439,games!$A$2:$A$950,0)),""))</f>
        <v>2019</v>
      </c>
      <c r="V439">
        <f t="shared" si="90"/>
        <v>1</v>
      </c>
    </row>
    <row r="440" spans="1:22" x14ac:dyDescent="0.25">
      <c r="A440" t="str">
        <f>IF(games!$A440="","",games!$A440)</f>
        <v>Lucky Shot</v>
      </c>
      <c r="B440">
        <f>IF($A440="","",games!$B440)</f>
        <v>2026</v>
      </c>
      <c r="C440" t="str">
        <f>IF($A440="","",games!$C440)</f>
        <v>Action</v>
      </c>
      <c r="D440">
        <f>IF($A440="","",COUNTIF(connections!$A$2:$A$1460,$A440)+COUNTIF(connections!$B$2:$B$1460,$A440))</f>
        <v>1</v>
      </c>
      <c r="E440">
        <f t="shared" si="78"/>
        <v>1</v>
      </c>
      <c r="F440">
        <f t="shared" si="79"/>
        <v>32</v>
      </c>
      <c r="G440">
        <f t="shared" si="80"/>
        <v>2026</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
      </c>
      <c r="Q440" t="str">
        <f t="shared" si="89"/>
        <v/>
      </c>
      <c r="T440">
        <f>IF(connections!$A440="","",IFERROR(INDEX(games!$B$2:$B$950,MATCH(connections!$A440,games!$A$2:$A$950,0)),""))</f>
        <v>2018</v>
      </c>
      <c r="U440">
        <f>IF(connections!$A440="","",IFERROR(INDEX(games!$B$2:$B$950,MATCH(connections!$B440,games!$A$2:$A$950,0)),""))</f>
        <v>2024</v>
      </c>
      <c r="V440">
        <f t="shared" si="90"/>
        <v>6</v>
      </c>
    </row>
    <row r="441" spans="1:22" x14ac:dyDescent="0.25">
      <c r="A441" t="str">
        <f>IF(games!$A441="","",games!$A441)</f>
        <v>Lunchbreak Tactics</v>
      </c>
      <c r="B441">
        <f>IF($A441="","",games!$B441)</f>
        <v>2026</v>
      </c>
      <c r="C441" t="str">
        <f>IF($A441="","",games!$C441)</f>
        <v>Strategy</v>
      </c>
      <c r="D441">
        <f>IF($A441="","",COUNTIF(connections!$A$2:$A$1460,$A441)+COUNTIF(connections!$B$2:$B$1460,$A441))</f>
        <v>1</v>
      </c>
      <c r="E441">
        <f t="shared" si="78"/>
        <v>2</v>
      </c>
      <c r="F441">
        <f t="shared" si="79"/>
        <v>33</v>
      </c>
      <c r="G441" t="e">
        <f t="shared" si="80"/>
        <v>#N/A</v>
      </c>
      <c r="H441" t="e">
        <f t="shared" si="81"/>
        <v>#N/A</v>
      </c>
      <c r="I441">
        <f t="shared" si="82"/>
        <v>2026</v>
      </c>
      <c r="J441">
        <f t="shared" si="83"/>
        <v>2.7589999999999999</v>
      </c>
      <c r="K441" t="e">
        <f t="shared" si="84"/>
        <v>#N/A</v>
      </c>
      <c r="L441" t="e">
        <f t="shared" si="85"/>
        <v>#N/A</v>
      </c>
      <c r="M441" t="e">
        <f t="shared" si="86"/>
        <v>#N/A</v>
      </c>
      <c r="N441" t="e">
        <f t="shared" si="87"/>
        <v>#N/A</v>
      </c>
      <c r="O441">
        <f t="shared" si="88"/>
        <v>1.0004409999999999</v>
      </c>
      <c r="P441" t="str">
        <f>IF(OR($A441="",games!$H441=""),"",games!$H441)</f>
        <v/>
      </c>
      <c r="Q441" t="str">
        <f t="shared" si="89"/>
        <v/>
      </c>
      <c r="T441">
        <f>IF(connections!$A441="","",IFERROR(INDEX(games!$B$2:$B$950,MATCH(connections!$A441,games!$A$2:$A$950,0)),""))</f>
        <v>2020</v>
      </c>
      <c r="U441">
        <f>IF(connections!$A441="","",IFERROR(INDEX(games!$B$2:$B$950,MATCH(connections!$B441,games!$A$2:$A$950,0)),""))</f>
        <v>2024</v>
      </c>
      <c r="V441">
        <f t="shared" si="90"/>
        <v>4</v>
      </c>
    </row>
    <row r="442" spans="1:22" x14ac:dyDescent="0.25">
      <c r="A442" t="str">
        <f>IF(games!$A442="","",games!$A442)</f>
        <v>Mad King Redemption</v>
      </c>
      <c r="B442">
        <f>IF($A442="","",games!$B442)</f>
        <v>2026</v>
      </c>
      <c r="C442" t="str">
        <f>IF($A442="","",games!$C442)</f>
        <v>Action</v>
      </c>
      <c r="D442">
        <f>IF($A442="","",COUNTIF(connections!$A$2:$A$1460,$A442)+COUNTIF(connections!$B$2:$B$1460,$A442))</f>
        <v>0</v>
      </c>
      <c r="E442">
        <f t="shared" si="78"/>
        <v>1</v>
      </c>
      <c r="F442">
        <f t="shared" si="79"/>
        <v>0</v>
      </c>
      <c r="G442">
        <f t="shared" si="80"/>
        <v>2026</v>
      </c>
      <c r="H442">
        <f t="shared" si="81"/>
        <v>1</v>
      </c>
      <c r="I442" t="e">
        <f t="shared" si="82"/>
        <v>#N/A</v>
      </c>
      <c r="J442" t="e">
        <f t="shared" si="83"/>
        <v>#N/A</v>
      </c>
      <c r="K442" t="e">
        <f t="shared" si="84"/>
        <v>#N/A</v>
      </c>
      <c r="L442" t="e">
        <f t="shared" si="85"/>
        <v>#N/A</v>
      </c>
      <c r="M442" t="e">
        <f t="shared" si="86"/>
        <v>#N/A</v>
      </c>
      <c r="N442" t="e">
        <f t="shared" si="87"/>
        <v>#N/A</v>
      </c>
      <c r="O442">
        <f t="shared" si="88"/>
        <v>4.4200000000000001E-4</v>
      </c>
      <c r="P442" t="str">
        <f>IF(OR($A442="",games!$H442=""),"",games!$H442)</f>
        <v/>
      </c>
      <c r="Q442" t="str">
        <f t="shared" si="89"/>
        <v/>
      </c>
      <c r="T442">
        <f>IF(connections!$A442="","",IFERROR(INDEX(games!$B$2:$B$950,MATCH(connections!$A442,games!$A$2:$A$950,0)),""))</f>
        <v>2022</v>
      </c>
      <c r="U442">
        <f>IF(connections!$A442="","",IFERROR(INDEX(games!$B$2:$B$950,MATCH(connections!$B442,games!$A$2:$A$950,0)),""))</f>
        <v>2024</v>
      </c>
      <c r="V442">
        <f t="shared" si="90"/>
        <v>2</v>
      </c>
    </row>
    <row r="443" spans="1:22" x14ac:dyDescent="0.25">
      <c r="A443" t="str">
        <f>IF(games!$A443="","",games!$A443)</f>
        <v>Magic Survival</v>
      </c>
      <c r="B443">
        <f>IF($A443="","",games!$B443)</f>
        <v>2019</v>
      </c>
      <c r="C443" t="str">
        <f>IF($A443="","",games!$C443)</f>
        <v>Action</v>
      </c>
      <c r="D443">
        <f>IF($A443="","",COUNTIF(connections!$A$2:$A$1460,$A443)+COUNTIF(connections!$B$2:$B$1460,$A443))</f>
        <v>3</v>
      </c>
      <c r="E443">
        <f t="shared" si="78"/>
        <v>1</v>
      </c>
      <c r="F443">
        <f t="shared" si="79"/>
        <v>1</v>
      </c>
      <c r="G443">
        <f t="shared" si="80"/>
        <v>2019</v>
      </c>
      <c r="H443">
        <f t="shared" si="81"/>
        <v>1.0229999999999999</v>
      </c>
      <c r="I443" t="e">
        <f t="shared" si="82"/>
        <v>#N/A</v>
      </c>
      <c r="J443" t="e">
        <f t="shared" si="83"/>
        <v>#N/A</v>
      </c>
      <c r="K443" t="e">
        <f t="shared" si="84"/>
        <v>#N/A</v>
      </c>
      <c r="L443" t="e">
        <f t="shared" si="85"/>
        <v>#N/A</v>
      </c>
      <c r="M443" t="e">
        <f t="shared" si="86"/>
        <v>#N/A</v>
      </c>
      <c r="N443" t="e">
        <f t="shared" si="87"/>
        <v>#N/A</v>
      </c>
      <c r="O443">
        <f t="shared" si="88"/>
        <v>3.0004430000000002</v>
      </c>
      <c r="P443" t="str">
        <f>IF(OR($A443="",games!$H443=""),"",games!$H443)</f>
        <v/>
      </c>
      <c r="Q443" t="str">
        <f t="shared" si="89"/>
        <v/>
      </c>
      <c r="T443">
        <f>IF(connections!$A443="","",IFERROR(INDEX(games!$B$2:$B$950,MATCH(connections!$A443,games!$A$2:$A$950,0)),""))</f>
        <v>2022</v>
      </c>
      <c r="U443">
        <f>IF(connections!$A443="","",IFERROR(INDEX(games!$B$2:$B$950,MATCH(connections!$B443,games!$A$2:$A$950,0)),""))</f>
        <v>2024</v>
      </c>
      <c r="V443">
        <f t="shared" si="90"/>
        <v>2</v>
      </c>
    </row>
    <row r="444" spans="1:22" x14ac:dyDescent="0.25">
      <c r="A444" t="str">
        <f>IF(games!$A444="","",games!$A444)</f>
        <v>Magicraft</v>
      </c>
      <c r="B444">
        <f>IF($A444="","",games!$B444)</f>
        <v>2023</v>
      </c>
      <c r="C444" t="str">
        <f>IF($A444="","",games!$C444)</f>
        <v>Action</v>
      </c>
      <c r="D444">
        <f>IF($A444="","",COUNTIF(connections!$A$2:$A$1460,$A444)+COUNTIF(connections!$B$2:$B$1460,$A444))</f>
        <v>4</v>
      </c>
      <c r="E444">
        <f t="shared" si="78"/>
        <v>1</v>
      </c>
      <c r="F444">
        <f t="shared" si="79"/>
        <v>2</v>
      </c>
      <c r="G444">
        <f t="shared" si="80"/>
        <v>2023</v>
      </c>
      <c r="H444">
        <f t="shared" si="81"/>
        <v>1.046</v>
      </c>
      <c r="I444" t="e">
        <f t="shared" si="82"/>
        <v>#N/A</v>
      </c>
      <c r="J444" t="e">
        <f t="shared" si="83"/>
        <v>#N/A</v>
      </c>
      <c r="K444" t="e">
        <f t="shared" si="84"/>
        <v>#N/A</v>
      </c>
      <c r="L444" t="e">
        <f t="shared" si="85"/>
        <v>#N/A</v>
      </c>
      <c r="M444" t="e">
        <f t="shared" si="86"/>
        <v>#N/A</v>
      </c>
      <c r="N444" t="e">
        <f t="shared" si="87"/>
        <v>#N/A</v>
      </c>
      <c r="O444">
        <f t="shared" si="88"/>
        <v>4.0004439999999999</v>
      </c>
      <c r="P444" t="str">
        <f>IF(OR($A444="",games!$H444=""),"",games!$H444)</f>
        <v/>
      </c>
      <c r="Q444" t="str">
        <f t="shared" si="89"/>
        <v/>
      </c>
      <c r="T444">
        <f>IF(connections!$A444="","",IFERROR(INDEX(games!$B$2:$B$950,MATCH(connections!$A444,games!$A$2:$A$950,0)),""))</f>
        <v>2012</v>
      </c>
      <c r="U444">
        <f>IF(connections!$A444="","",IFERROR(INDEX(games!$B$2:$B$950,MATCH(connections!$B444,games!$A$2:$A$950,0)),""))</f>
        <v>2019</v>
      </c>
      <c r="V444">
        <f t="shared" si="90"/>
        <v>7</v>
      </c>
    </row>
    <row r="445" spans="1:22" x14ac:dyDescent="0.25">
      <c r="A445" t="str">
        <f>IF(games!$A445="","",games!$A445)</f>
        <v>Maid Survivors: Little Angels</v>
      </c>
      <c r="B445">
        <f>IF($A445="","",games!$B445)</f>
        <v>2025</v>
      </c>
      <c r="C445" t="str">
        <f>IF($A445="","",games!$C445)</f>
        <v>Action</v>
      </c>
      <c r="D445">
        <f>IF($A445="","",COUNTIF(connections!$A$2:$A$1460,$A445)+COUNTIF(connections!$B$2:$B$1460,$A445))</f>
        <v>1</v>
      </c>
      <c r="E445">
        <f t="shared" si="78"/>
        <v>1</v>
      </c>
      <c r="F445">
        <f t="shared" si="79"/>
        <v>3</v>
      </c>
      <c r="G445">
        <f t="shared" si="80"/>
        <v>2025</v>
      </c>
      <c r="H445">
        <f t="shared" si="81"/>
        <v>1.069</v>
      </c>
      <c r="I445" t="e">
        <f t="shared" si="82"/>
        <v>#N/A</v>
      </c>
      <c r="J445" t="e">
        <f t="shared" si="83"/>
        <v>#N/A</v>
      </c>
      <c r="K445" t="e">
        <f t="shared" si="84"/>
        <v>#N/A</v>
      </c>
      <c r="L445" t="e">
        <f t="shared" si="85"/>
        <v>#N/A</v>
      </c>
      <c r="M445" t="e">
        <f t="shared" si="86"/>
        <v>#N/A</v>
      </c>
      <c r="N445" t="e">
        <f t="shared" si="87"/>
        <v>#N/A</v>
      </c>
      <c r="O445">
        <f t="shared" si="88"/>
        <v>1.000445</v>
      </c>
      <c r="P445" t="str">
        <f>IF(OR($A445="",games!$H445=""),"",games!$H445)</f>
        <v/>
      </c>
      <c r="Q445" t="str">
        <f t="shared" si="89"/>
        <v/>
      </c>
      <c r="T445">
        <f>IF(connections!$A445="","",IFERROR(INDEX(games!$B$2:$B$950,MATCH(connections!$A445,games!$A$2:$A$950,0)),""))</f>
        <v>2012</v>
      </c>
      <c r="U445">
        <f>IF(connections!$A445="","",IFERROR(INDEX(games!$B$2:$B$950,MATCH(connections!$B445,games!$A$2:$A$950,0)),""))</f>
        <v>2020</v>
      </c>
      <c r="V445">
        <f t="shared" si="90"/>
        <v>8</v>
      </c>
    </row>
    <row r="446" spans="1:22" x14ac:dyDescent="0.25">
      <c r="A446" t="str">
        <f>IF(games!$A446="","",games!$A446)</f>
        <v>Mainframe Defenders</v>
      </c>
      <c r="B446">
        <f>IF($A446="","",games!$B446)</f>
        <v>2020</v>
      </c>
      <c r="C446" t="str">
        <f>IF($A446="","",games!$C446)</f>
        <v>Traditional</v>
      </c>
      <c r="D446">
        <f>IF($A446="","",COUNTIF(connections!$A$2:$A$1460,$A446)+COUNTIF(connections!$B$2:$B$1460,$A446))</f>
        <v>1</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2020</v>
      </c>
      <c r="N446">
        <f t="shared" si="87"/>
        <v>4.0919999999999996</v>
      </c>
      <c r="O446">
        <f t="shared" si="88"/>
        <v>1.0004459999999999</v>
      </c>
      <c r="P446" t="str">
        <f>IF(OR($A446="",games!$H446=""),"",games!$H446)</f>
        <v>Yes</v>
      </c>
      <c r="Q446">
        <f t="shared" si="89"/>
        <v>1.0004459999999999</v>
      </c>
      <c r="T446">
        <f>IF(connections!$A446="","",IFERROR(INDEX(games!$B$2:$B$950,MATCH(connections!$A446,games!$A$2:$A$950,0)),""))</f>
        <v>2012</v>
      </c>
      <c r="U446">
        <f>IF(connections!$A446="","",IFERROR(INDEX(games!$B$2:$B$950,MATCH(connections!$B446,games!$A$2:$A$950,0)),""))</f>
        <v>2024</v>
      </c>
      <c r="V446">
        <f t="shared" si="90"/>
        <v>12</v>
      </c>
    </row>
    <row r="447" spans="1:22" x14ac:dyDescent="0.25">
      <c r="A447" t="str">
        <f>IF(games!$A447="","",games!$A447)</f>
        <v>Mana Spark</v>
      </c>
      <c r="B447">
        <f>IF($A447="","",games!$B447)</f>
        <v>2018</v>
      </c>
      <c r="C447" t="str">
        <f>IF($A447="","",games!$C447)</f>
        <v>Action</v>
      </c>
      <c r="D447">
        <f>IF($A447="","",COUNTIF(connections!$A$2:$A$1460,$A447)+COUNTIF(connections!$B$2:$B$1460,$A447))</f>
        <v>2</v>
      </c>
      <c r="E447">
        <f t="shared" si="78"/>
        <v>1</v>
      </c>
      <c r="F447">
        <f t="shared" si="79"/>
        <v>5</v>
      </c>
      <c r="G447">
        <f t="shared" si="80"/>
        <v>2018</v>
      </c>
      <c r="H447">
        <f t="shared" si="81"/>
        <v>1.115</v>
      </c>
      <c r="I447" t="e">
        <f t="shared" si="82"/>
        <v>#N/A</v>
      </c>
      <c r="J447" t="e">
        <f t="shared" si="83"/>
        <v>#N/A</v>
      </c>
      <c r="K447" t="e">
        <f t="shared" si="84"/>
        <v>#N/A</v>
      </c>
      <c r="L447" t="e">
        <f t="shared" si="85"/>
        <v>#N/A</v>
      </c>
      <c r="M447" t="e">
        <f t="shared" si="86"/>
        <v>#N/A</v>
      </c>
      <c r="N447" t="e">
        <f t="shared" si="87"/>
        <v>#N/A</v>
      </c>
      <c r="O447">
        <f t="shared" si="88"/>
        <v>2.0004469999999999</v>
      </c>
      <c r="P447" t="str">
        <f>IF(OR($A447="",games!$H447=""),"",games!$H447)</f>
        <v>Yes</v>
      </c>
      <c r="Q447">
        <f t="shared" si="89"/>
        <v>2.0004469999999999</v>
      </c>
      <c r="T447">
        <f>IF(connections!$A447="","",IFERROR(INDEX(games!$B$2:$B$950,MATCH(connections!$A447,games!$A$2:$A$950,0)),""))</f>
        <v>2012</v>
      </c>
      <c r="U447">
        <f>IF(connections!$A447="","",IFERROR(INDEX(games!$B$2:$B$950,MATCH(connections!$B447,games!$A$2:$A$950,0)),""))</f>
        <v>2026</v>
      </c>
      <c r="V447">
        <f t="shared" si="90"/>
        <v>14</v>
      </c>
    </row>
    <row r="448" spans="1:22" x14ac:dyDescent="0.25">
      <c r="A448" t="str">
        <f>IF(games!$A448="","",games!$A448)</f>
        <v>Masks of the Void: Origins</v>
      </c>
      <c r="B448">
        <f>IF($A448="","",games!$B448)</f>
        <v>2025</v>
      </c>
      <c r="C448" t="str">
        <f>IF($A448="","",games!$C448)</f>
        <v>Action</v>
      </c>
      <c r="D448">
        <f>IF($A448="","",COUNTIF(connections!$A$2:$A$1460,$A448)+COUNTIF(connections!$B$2:$B$1460,$A448))</f>
        <v>3</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3.000448</v>
      </c>
      <c r="P448" t="str">
        <f>IF(OR($A448="",games!$H448=""),"",games!$H448)</f>
        <v>Yes</v>
      </c>
      <c r="Q448">
        <f t="shared" si="89"/>
        <v>3.000448</v>
      </c>
      <c r="T448">
        <f>IF(connections!$A448="","",IFERROR(INDEX(games!$B$2:$B$950,MATCH(connections!$A448,games!$A$2:$A$950,0)),""))</f>
        <v>2012</v>
      </c>
      <c r="U448">
        <f>IF(connections!$A448="","",IFERROR(INDEX(games!$B$2:$B$950,MATCH(connections!$B448,games!$A$2:$A$950,0)),""))</f>
        <v>2015</v>
      </c>
      <c r="V448">
        <f t="shared" si="90"/>
        <v>3</v>
      </c>
    </row>
    <row r="449" spans="1:22" x14ac:dyDescent="0.25">
      <c r="A449" t="str">
        <f>IF(games!$A449="","",games!$A449)</f>
        <v>Master of Piece</v>
      </c>
      <c r="B449">
        <f>IF($A449="","",games!$B449)</f>
        <v>2026</v>
      </c>
      <c r="C449" t="str">
        <f>IF($A449="","",games!$C449)</f>
        <v>Deckbuilder</v>
      </c>
      <c r="D449">
        <f>IF($A449="","",COUNTIF(connections!$A$2:$A$1460,$A449)+COUNTIF(connections!$B$2:$B$1460,$A449))</f>
        <v>4</v>
      </c>
      <c r="E449">
        <f t="shared" si="78"/>
        <v>3</v>
      </c>
      <c r="F449">
        <f t="shared" si="79"/>
        <v>7</v>
      </c>
      <c r="G449" t="e">
        <f t="shared" si="80"/>
        <v>#N/A</v>
      </c>
      <c r="H449" t="e">
        <f t="shared" si="81"/>
        <v>#N/A</v>
      </c>
      <c r="I449" t="e">
        <f t="shared" si="82"/>
        <v>#N/A</v>
      </c>
      <c r="J449" t="e">
        <f t="shared" si="83"/>
        <v>#N/A</v>
      </c>
      <c r="K449">
        <f t="shared" si="84"/>
        <v>2026</v>
      </c>
      <c r="L449">
        <f t="shared" si="85"/>
        <v>3.161</v>
      </c>
      <c r="M449" t="e">
        <f t="shared" si="86"/>
        <v>#N/A</v>
      </c>
      <c r="N449" t="e">
        <f t="shared" si="87"/>
        <v>#N/A</v>
      </c>
      <c r="O449">
        <f t="shared" si="88"/>
        <v>4.0004489999999997</v>
      </c>
      <c r="P449" t="str">
        <f>IF(OR($A449="",games!$H449=""),"",games!$H449)</f>
        <v/>
      </c>
      <c r="Q449" t="str">
        <f t="shared" si="89"/>
        <v/>
      </c>
      <c r="T449">
        <f>IF(connections!$A449="","",IFERROR(INDEX(games!$B$2:$B$950,MATCH(connections!$A449,games!$A$2:$A$950,0)),""))</f>
        <v>2012</v>
      </c>
      <c r="U449">
        <f>IF(connections!$A449="","",IFERROR(INDEX(games!$B$2:$B$950,MATCH(connections!$B449,games!$A$2:$A$950,0)),""))</f>
        <v>2019</v>
      </c>
      <c r="V449">
        <f t="shared" si="90"/>
        <v>7</v>
      </c>
    </row>
    <row r="450" spans="1:22" x14ac:dyDescent="0.25">
      <c r="A450" t="str">
        <f>IF(games!$A450="","",games!$A450)</f>
        <v>Maze Mice</v>
      </c>
      <c r="B450">
        <f>IF($A450="","",games!$B450)</f>
        <v>2025</v>
      </c>
      <c r="C450" t="str">
        <f>IF($A450="","",games!$C450)</f>
        <v>Action</v>
      </c>
      <c r="D450">
        <f>IF($A450="","",COUNTIF(connections!$A$2:$A$1460,$A450)+COUNTIF(connections!$B$2:$B$1460,$A450))</f>
        <v>2</v>
      </c>
      <c r="E450">
        <f t="shared" ref="E450:E513" si="91">IF($A450="","",IFERROR(MATCH($C450,$R$2:$R$5,0),0))</f>
        <v>1</v>
      </c>
      <c r="F450">
        <f t="shared" ref="F450:F513" si="92">IF($A450="","",MOD(ROW(),34))</f>
        <v>8</v>
      </c>
      <c r="G450">
        <f t="shared" ref="G450:G513" si="93">IF($A450="",NA(),IF($C450="Action",$B450,NA()))</f>
        <v>2025</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2.0004499999999998</v>
      </c>
      <c r="P450" t="str">
        <f>IF(OR($A450="",games!$H450=""),"",games!$H450)</f>
        <v>Yes</v>
      </c>
      <c r="Q450">
        <f t="shared" ref="Q450:Q513" si="102">IF(OR($A450="",$P450&lt;&gt;"Yes"),"",$D450+ROW()/1000000)</f>
        <v>2.0004499999999998</v>
      </c>
      <c r="T450">
        <f>IF(connections!$A450="","",IFERROR(INDEX(games!$B$2:$B$950,MATCH(connections!$A450,games!$A$2:$A$950,0)),""))</f>
        <v>2012</v>
      </c>
      <c r="U450">
        <f>IF(connections!$A450="","",IFERROR(INDEX(games!$B$2:$B$950,MATCH(connections!$B450,games!$A$2:$A$950,0)),""))</f>
        <v>2018</v>
      </c>
      <c r="V450">
        <f t="shared" ref="V450:V513" si="103">IF(OR($T450="",$U450=""),"",$U450-$T450)</f>
        <v>6</v>
      </c>
    </row>
    <row r="451" spans="1:22" x14ac:dyDescent="0.25">
      <c r="A451" t="str">
        <f>IF(games!$A451="","",games!$A451)</f>
        <v>Mechanibot</v>
      </c>
      <c r="B451">
        <f>IF($A451="","",games!$B451)</f>
        <v>2022</v>
      </c>
      <c r="C451" t="str">
        <f>IF($A451="","",games!$C451)</f>
        <v>Strategy</v>
      </c>
      <c r="D451">
        <f>IF($A451="","",COUNTIF(connections!$A$2:$A$1460,$A451)+COUNTIF(connections!$B$2:$B$1460,$A451))</f>
        <v>0</v>
      </c>
      <c r="E451">
        <f t="shared" si="91"/>
        <v>2</v>
      </c>
      <c r="F451">
        <f t="shared" si="92"/>
        <v>9</v>
      </c>
      <c r="G451" t="e">
        <f t="shared" si="93"/>
        <v>#N/A</v>
      </c>
      <c r="H451" t="e">
        <f t="shared" si="94"/>
        <v>#N/A</v>
      </c>
      <c r="I451">
        <f t="shared" si="95"/>
        <v>2022</v>
      </c>
      <c r="J451">
        <f t="shared" si="96"/>
        <v>2.2069999999999999</v>
      </c>
      <c r="K451" t="e">
        <f t="shared" si="97"/>
        <v>#N/A</v>
      </c>
      <c r="L451" t="e">
        <f t="shared" si="98"/>
        <v>#N/A</v>
      </c>
      <c r="M451" t="e">
        <f t="shared" si="99"/>
        <v>#N/A</v>
      </c>
      <c r="N451" t="e">
        <f t="shared" si="100"/>
        <v>#N/A</v>
      </c>
      <c r="O451">
        <f t="shared" si="101"/>
        <v>4.5100000000000001E-4</v>
      </c>
      <c r="P451" t="str">
        <f>IF(OR($A451="",games!$H451=""),"",games!$H451)</f>
        <v>Yes</v>
      </c>
      <c r="Q451">
        <f t="shared" si="102"/>
        <v>4.5100000000000001E-4</v>
      </c>
      <c r="T451">
        <f>IF(connections!$A451="","",IFERROR(INDEX(games!$B$2:$B$950,MATCH(connections!$A451,games!$A$2:$A$950,0)),""))</f>
        <v>2012</v>
      </c>
      <c r="U451">
        <f>IF(connections!$A451="","",IFERROR(INDEX(games!$B$2:$B$950,MATCH(connections!$B451,games!$A$2:$A$950,0)),""))</f>
        <v>2023</v>
      </c>
      <c r="V451">
        <f t="shared" si="103"/>
        <v>11</v>
      </c>
    </row>
    <row r="452" spans="1:22" x14ac:dyDescent="0.25">
      <c r="A452" t="str">
        <f>IF(games!$A452="","",games!$A452)</f>
        <v>Megabonk</v>
      </c>
      <c r="B452">
        <f>IF($A452="","",games!$B452)</f>
        <v>2025</v>
      </c>
      <c r="C452" t="str">
        <f>IF($A452="","",games!$C452)</f>
        <v>Action</v>
      </c>
      <c r="D452">
        <f>IF($A452="","",COUNTIF(connections!$A$2:$A$1460,$A452)+COUNTIF(connections!$B$2:$B$1460,$A452))</f>
        <v>4</v>
      </c>
      <c r="E452">
        <f t="shared" si="91"/>
        <v>1</v>
      </c>
      <c r="F452">
        <f t="shared" si="92"/>
        <v>10</v>
      </c>
      <c r="G452">
        <f t="shared" si="93"/>
        <v>2025</v>
      </c>
      <c r="H452">
        <f t="shared" si="94"/>
        <v>1.23</v>
      </c>
      <c r="I452" t="e">
        <f t="shared" si="95"/>
        <v>#N/A</v>
      </c>
      <c r="J452" t="e">
        <f t="shared" si="96"/>
        <v>#N/A</v>
      </c>
      <c r="K452" t="e">
        <f t="shared" si="97"/>
        <v>#N/A</v>
      </c>
      <c r="L452" t="e">
        <f t="shared" si="98"/>
        <v>#N/A</v>
      </c>
      <c r="M452" t="e">
        <f t="shared" si="99"/>
        <v>#N/A</v>
      </c>
      <c r="N452" t="e">
        <f t="shared" si="100"/>
        <v>#N/A</v>
      </c>
      <c r="O452">
        <f t="shared" si="101"/>
        <v>4.0004520000000001</v>
      </c>
      <c r="P452" t="str">
        <f>IF(OR($A452="",games!$H452=""),"",games!$H452)</f>
        <v>Yes</v>
      </c>
      <c r="Q452">
        <f t="shared" si="102"/>
        <v>4.0004520000000001</v>
      </c>
      <c r="T452">
        <f>IF(connections!$A452="","",IFERROR(INDEX(games!$B$2:$B$950,MATCH(connections!$A452,games!$A$2:$A$950,0)),""))</f>
        <v>2012</v>
      </c>
      <c r="U452">
        <f>IF(connections!$A452="","",IFERROR(INDEX(games!$B$2:$B$950,MATCH(connections!$B452,games!$A$2:$A$950,0)),""))</f>
        <v>2014</v>
      </c>
      <c r="V452">
        <f t="shared" si="103"/>
        <v>2</v>
      </c>
    </row>
    <row r="453" spans="1:22" x14ac:dyDescent="0.25">
      <c r="A453" t="str">
        <f>IF(games!$A453="","",games!$A453)</f>
        <v>Meme Mayhem</v>
      </c>
      <c r="B453">
        <f>IF($A453="","",games!$B453)</f>
        <v>2024</v>
      </c>
      <c r="C453" t="str">
        <f>IF($A453="","",games!$C453)</f>
        <v>Deckbuilder</v>
      </c>
      <c r="D453">
        <f>IF($A453="","",COUNTIF(connections!$A$2:$A$1460,$A453)+COUNTIF(connections!$B$2:$B$1460,$A453))</f>
        <v>1</v>
      </c>
      <c r="E453">
        <f t="shared" si="91"/>
        <v>3</v>
      </c>
      <c r="F453">
        <f t="shared" si="92"/>
        <v>11</v>
      </c>
      <c r="G453" t="e">
        <f t="shared" si="93"/>
        <v>#N/A</v>
      </c>
      <c r="H453" t="e">
        <f t="shared" si="94"/>
        <v>#N/A</v>
      </c>
      <c r="I453" t="e">
        <f t="shared" si="95"/>
        <v>#N/A</v>
      </c>
      <c r="J453" t="e">
        <f t="shared" si="96"/>
        <v>#N/A</v>
      </c>
      <c r="K453">
        <f t="shared" si="97"/>
        <v>2024</v>
      </c>
      <c r="L453">
        <f t="shared" si="98"/>
        <v>3.2530000000000001</v>
      </c>
      <c r="M453" t="e">
        <f t="shared" si="99"/>
        <v>#N/A</v>
      </c>
      <c r="N453" t="e">
        <f t="shared" si="100"/>
        <v>#N/A</v>
      </c>
      <c r="O453">
        <f t="shared" si="101"/>
        <v>1.000453</v>
      </c>
      <c r="P453" t="str">
        <f>IF(OR($A453="",games!$H453=""),"",games!$H453)</f>
        <v/>
      </c>
      <c r="Q453" t="str">
        <f t="shared" si="102"/>
        <v/>
      </c>
      <c r="T453">
        <f>IF(connections!$A453="","",IFERROR(INDEX(games!$B$2:$B$950,MATCH(connections!$A453,games!$A$2:$A$950,0)),""))</f>
        <v>2012</v>
      </c>
      <c r="U453">
        <f>IF(connections!$A453="","",IFERROR(INDEX(games!$B$2:$B$950,MATCH(connections!$B453,games!$A$2:$A$950,0)),""))</f>
        <v>2018</v>
      </c>
      <c r="V453">
        <f t="shared" si="103"/>
        <v>6</v>
      </c>
    </row>
    <row r="454" spans="1:22" x14ac:dyDescent="0.25">
      <c r="A454" t="str">
        <f>IF(games!$A454="","",games!$A454)</f>
        <v>Menace from the Deep</v>
      </c>
      <c r="B454">
        <f>IF($A454="","",games!$B454)</f>
        <v>2024</v>
      </c>
      <c r="C454" t="str">
        <f>IF($A454="","",games!$C454)</f>
        <v>Deckbuilder</v>
      </c>
      <c r="D454">
        <f>IF($A454="","",COUNTIF(connections!$A$2:$A$1460,$A454)+COUNTIF(connections!$B$2:$B$1460,$A454))</f>
        <v>1</v>
      </c>
      <c r="E454">
        <f t="shared" si="91"/>
        <v>3</v>
      </c>
      <c r="F454">
        <f t="shared" si="92"/>
        <v>12</v>
      </c>
      <c r="G454" t="e">
        <f t="shared" si="93"/>
        <v>#N/A</v>
      </c>
      <c r="H454" t="e">
        <f t="shared" si="94"/>
        <v>#N/A</v>
      </c>
      <c r="I454" t="e">
        <f t="shared" si="95"/>
        <v>#N/A</v>
      </c>
      <c r="J454" t="e">
        <f t="shared" si="96"/>
        <v>#N/A</v>
      </c>
      <c r="K454">
        <f t="shared" si="97"/>
        <v>2024</v>
      </c>
      <c r="L454">
        <f t="shared" si="98"/>
        <v>3.2759999999999998</v>
      </c>
      <c r="M454" t="e">
        <f t="shared" si="99"/>
        <v>#N/A</v>
      </c>
      <c r="N454" t="e">
        <f t="shared" si="100"/>
        <v>#N/A</v>
      </c>
      <c r="O454">
        <f t="shared" si="101"/>
        <v>1.000454</v>
      </c>
      <c r="P454" t="str">
        <f>IF(OR($A454="",games!$H454=""),"",games!$H454)</f>
        <v>Yes</v>
      </c>
      <c r="Q454">
        <f t="shared" si="102"/>
        <v>1.000454</v>
      </c>
      <c r="T454">
        <f>IF(connections!$A454="","",IFERROR(INDEX(games!$B$2:$B$950,MATCH(connections!$A454,games!$A$2:$A$950,0)),""))</f>
        <v>2012</v>
      </c>
      <c r="U454">
        <f>IF(connections!$A454="","",IFERROR(INDEX(games!$B$2:$B$950,MATCH(connections!$B454,games!$A$2:$A$950,0)),""))</f>
        <v>2024</v>
      </c>
      <c r="V454">
        <f t="shared" si="103"/>
        <v>12</v>
      </c>
    </row>
    <row r="455" spans="1:22" x14ac:dyDescent="0.25">
      <c r="A455" t="str">
        <f>IF(games!$A455="","",games!$A455)</f>
        <v>Menherarium</v>
      </c>
      <c r="B455">
        <f>IF($A455="","",games!$B455)</f>
        <v>2026</v>
      </c>
      <c r="C455" t="str">
        <f>IF($A455="","",games!$C455)</f>
        <v>Deckbuilder</v>
      </c>
      <c r="D455">
        <f>IF($A455="","",COUNTIF(connections!$A$2:$A$1460,$A455)+COUNTIF(connections!$B$2:$B$1460,$A455))</f>
        <v>2</v>
      </c>
      <c r="E455">
        <f t="shared" si="91"/>
        <v>3</v>
      </c>
      <c r="F455">
        <f t="shared" si="92"/>
        <v>13</v>
      </c>
      <c r="G455" t="e">
        <f t="shared" si="93"/>
        <v>#N/A</v>
      </c>
      <c r="H455" t="e">
        <f t="shared" si="94"/>
        <v>#N/A</v>
      </c>
      <c r="I455" t="e">
        <f t="shared" si="95"/>
        <v>#N/A</v>
      </c>
      <c r="J455" t="e">
        <f t="shared" si="96"/>
        <v>#N/A</v>
      </c>
      <c r="K455">
        <f t="shared" si="97"/>
        <v>2026</v>
      </c>
      <c r="L455">
        <f t="shared" si="98"/>
        <v>3.2989999999999999</v>
      </c>
      <c r="M455" t="e">
        <f t="shared" si="99"/>
        <v>#N/A</v>
      </c>
      <c r="N455" t="e">
        <f t="shared" si="100"/>
        <v>#N/A</v>
      </c>
      <c r="O455">
        <f t="shared" si="101"/>
        <v>2.0004550000000001</v>
      </c>
      <c r="P455" t="str">
        <f>IF(OR($A455="",games!$H455=""),"",games!$H455)</f>
        <v/>
      </c>
      <c r="Q455" t="str">
        <f t="shared" si="102"/>
        <v/>
      </c>
      <c r="T455">
        <f>IF(connections!$A455="","",IFERROR(INDEX(games!$B$2:$B$950,MATCH(connections!$A455,games!$A$2:$A$950,0)),""))</f>
        <v>2012</v>
      </c>
      <c r="U455">
        <f>IF(connections!$A455="","",IFERROR(INDEX(games!$B$2:$B$950,MATCH(connections!$B455,games!$A$2:$A$950,0)),""))</f>
        <v>2020</v>
      </c>
      <c r="V455">
        <f t="shared" si="103"/>
        <v>8</v>
      </c>
    </row>
    <row r="456" spans="1:22" x14ac:dyDescent="0.25">
      <c r="A456" t="str">
        <f>IF(games!$A456="","",games!$A456)</f>
        <v>Merge Maestro</v>
      </c>
      <c r="B456">
        <f>IF($A456="","",games!$B456)</f>
        <v>2025</v>
      </c>
      <c r="C456" t="str">
        <f>IF($A456="","",games!$C456)</f>
        <v>Deckbuilder</v>
      </c>
      <c r="D456">
        <f>IF($A456="","",COUNTIF(connections!$A$2:$A$1460,$A456)+COUNTIF(connections!$B$2:$B$1460,$A456))</f>
        <v>1</v>
      </c>
      <c r="E456">
        <f t="shared" si="91"/>
        <v>3</v>
      </c>
      <c r="F456">
        <f t="shared" si="92"/>
        <v>14</v>
      </c>
      <c r="G456" t="e">
        <f t="shared" si="93"/>
        <v>#N/A</v>
      </c>
      <c r="H456" t="e">
        <f t="shared" si="94"/>
        <v>#N/A</v>
      </c>
      <c r="I456" t="e">
        <f t="shared" si="95"/>
        <v>#N/A</v>
      </c>
      <c r="J456" t="e">
        <f t="shared" si="96"/>
        <v>#N/A</v>
      </c>
      <c r="K456">
        <f t="shared" si="97"/>
        <v>2025</v>
      </c>
      <c r="L456">
        <f t="shared" si="98"/>
        <v>3.3220000000000001</v>
      </c>
      <c r="M456" t="e">
        <f t="shared" si="99"/>
        <v>#N/A</v>
      </c>
      <c r="N456" t="e">
        <f t="shared" si="100"/>
        <v>#N/A</v>
      </c>
      <c r="O456">
        <f t="shared" si="101"/>
        <v>1.000456</v>
      </c>
      <c r="P456" t="str">
        <f>IF(OR($A456="",games!$H456=""),"",games!$H456)</f>
        <v>Yes</v>
      </c>
      <c r="Q456">
        <f t="shared" si="102"/>
        <v>1.000456</v>
      </c>
      <c r="T456">
        <f>IF(connections!$A456="","",IFERROR(INDEX(games!$B$2:$B$950,MATCH(connections!$A456,games!$A$2:$A$950,0)),""))</f>
        <v>2012</v>
      </c>
      <c r="U456">
        <f>IF(connections!$A456="","",IFERROR(INDEX(games!$B$2:$B$950,MATCH(connections!$B456,games!$A$2:$A$950,0)),""))</f>
        <v>2015</v>
      </c>
      <c r="V456">
        <f t="shared" si="103"/>
        <v>3</v>
      </c>
    </row>
    <row r="457" spans="1:22" x14ac:dyDescent="0.25">
      <c r="A457" t="str">
        <f>IF(games!$A457="","",games!$A457)</f>
        <v>Metal Slug Tactics</v>
      </c>
      <c r="B457">
        <f>IF($A457="","",games!$B457)</f>
        <v>2024</v>
      </c>
      <c r="C457" t="str">
        <f>IF($A457="","",games!$C457)</f>
        <v>Strategy</v>
      </c>
      <c r="D457">
        <f>IF($A457="","",COUNTIF(connections!$A$2:$A$1460,$A457)+COUNTIF(connections!$B$2:$B$1460,$A457))</f>
        <v>1</v>
      </c>
      <c r="E457">
        <f t="shared" si="91"/>
        <v>2</v>
      </c>
      <c r="F457">
        <f t="shared" si="92"/>
        <v>15</v>
      </c>
      <c r="G457" t="e">
        <f t="shared" si="93"/>
        <v>#N/A</v>
      </c>
      <c r="H457" t="e">
        <f t="shared" si="94"/>
        <v>#N/A</v>
      </c>
      <c r="I457">
        <f t="shared" si="95"/>
        <v>2024</v>
      </c>
      <c r="J457">
        <f t="shared" si="96"/>
        <v>2.3449999999999998</v>
      </c>
      <c r="K457" t="e">
        <f t="shared" si="97"/>
        <v>#N/A</v>
      </c>
      <c r="L457" t="e">
        <f t="shared" si="98"/>
        <v>#N/A</v>
      </c>
      <c r="M457" t="e">
        <f t="shared" si="99"/>
        <v>#N/A</v>
      </c>
      <c r="N457" t="e">
        <f t="shared" si="100"/>
        <v>#N/A</v>
      </c>
      <c r="O457">
        <f t="shared" si="101"/>
        <v>1.0004569999999999</v>
      </c>
      <c r="P457" t="str">
        <f>IF(OR($A457="",games!$H457=""),"",games!$H457)</f>
        <v>Yes</v>
      </c>
      <c r="Q457">
        <f t="shared" si="102"/>
        <v>1.0004569999999999</v>
      </c>
      <c r="T457">
        <f>IF(connections!$A457="","",IFERROR(INDEX(games!$B$2:$B$950,MATCH(connections!$A457,games!$A$2:$A$950,0)),""))</f>
        <v>2012</v>
      </c>
      <c r="U457">
        <f>IF(connections!$A457="","",IFERROR(INDEX(games!$B$2:$B$950,MATCH(connections!$B457,games!$A$2:$A$950,0)),""))</f>
        <v>2014</v>
      </c>
      <c r="V457">
        <f t="shared" si="103"/>
        <v>2</v>
      </c>
    </row>
    <row r="458" spans="1:22" x14ac:dyDescent="0.25">
      <c r="A458" t="str">
        <f>IF(games!$A458="","",games!$A458)</f>
        <v>Metal Unit</v>
      </c>
      <c r="B458">
        <f>IF($A458="","",games!$B458)</f>
        <v>2020</v>
      </c>
      <c r="C458" t="str">
        <f>IF($A458="","",games!$C458)</f>
        <v>Action</v>
      </c>
      <c r="D458">
        <f>IF($A458="","",COUNTIF(connections!$A$2:$A$1460,$A458)+COUNTIF(connections!$B$2:$B$1460,$A458))</f>
        <v>1</v>
      </c>
      <c r="E458">
        <f t="shared" si="91"/>
        <v>1</v>
      </c>
      <c r="F458">
        <f t="shared" si="92"/>
        <v>16</v>
      </c>
      <c r="G458">
        <f t="shared" si="93"/>
        <v>2020</v>
      </c>
      <c r="H458">
        <f t="shared" si="94"/>
        <v>1.3679999999999999</v>
      </c>
      <c r="I458" t="e">
        <f t="shared" si="95"/>
        <v>#N/A</v>
      </c>
      <c r="J458" t="e">
        <f t="shared" si="96"/>
        <v>#N/A</v>
      </c>
      <c r="K458" t="e">
        <f t="shared" si="97"/>
        <v>#N/A</v>
      </c>
      <c r="L458" t="e">
        <f t="shared" si="98"/>
        <v>#N/A</v>
      </c>
      <c r="M458" t="e">
        <f t="shared" si="99"/>
        <v>#N/A</v>
      </c>
      <c r="N458" t="e">
        <f t="shared" si="100"/>
        <v>#N/A</v>
      </c>
      <c r="O458">
        <f t="shared" si="101"/>
        <v>1.0004580000000001</v>
      </c>
      <c r="P458" t="str">
        <f>IF(OR($A458="",games!$H458=""),"",games!$H458)</f>
        <v>Yes</v>
      </c>
      <c r="Q458">
        <f t="shared" si="102"/>
        <v>1.0004580000000001</v>
      </c>
      <c r="T458">
        <f>IF(connections!$A458="","",IFERROR(INDEX(games!$B$2:$B$950,MATCH(connections!$A458,games!$A$2:$A$950,0)),""))</f>
        <v>2012</v>
      </c>
      <c r="U458">
        <f>IF(connections!$A458="","",IFERROR(INDEX(games!$B$2:$B$950,MATCH(connections!$B458,games!$A$2:$A$950,0)),""))</f>
        <v>2017</v>
      </c>
      <c r="V458">
        <f t="shared" si="103"/>
        <v>5</v>
      </c>
    </row>
    <row r="459" spans="1:22" x14ac:dyDescent="0.25">
      <c r="A459" t="str">
        <f>IF(games!$A459="","",games!$A459)</f>
        <v>Metallic Child</v>
      </c>
      <c r="B459">
        <f>IF($A459="","",games!$B459)</f>
        <v>2021</v>
      </c>
      <c r="C459" t="str">
        <f>IF($A459="","",games!$C459)</f>
        <v>Action</v>
      </c>
      <c r="D459">
        <f>IF($A459="","",COUNTIF(connections!$A$2:$A$1460,$A459)+COUNTIF(connections!$B$2:$B$1460,$A459))</f>
        <v>1</v>
      </c>
      <c r="E459">
        <f t="shared" si="91"/>
        <v>1</v>
      </c>
      <c r="F459">
        <f t="shared" si="92"/>
        <v>17</v>
      </c>
      <c r="G459">
        <f t="shared" si="93"/>
        <v>2021</v>
      </c>
      <c r="H459">
        <f t="shared" si="94"/>
        <v>1.391</v>
      </c>
      <c r="I459" t="e">
        <f t="shared" si="95"/>
        <v>#N/A</v>
      </c>
      <c r="J459" t="e">
        <f t="shared" si="96"/>
        <v>#N/A</v>
      </c>
      <c r="K459" t="e">
        <f t="shared" si="97"/>
        <v>#N/A</v>
      </c>
      <c r="L459" t="e">
        <f t="shared" si="98"/>
        <v>#N/A</v>
      </c>
      <c r="M459" t="e">
        <f t="shared" si="99"/>
        <v>#N/A</v>
      </c>
      <c r="N459" t="e">
        <f t="shared" si="100"/>
        <v>#N/A</v>
      </c>
      <c r="O459">
        <f t="shared" si="101"/>
        <v>1.000459</v>
      </c>
      <c r="P459" t="str">
        <f>IF(OR($A459="",games!$H459=""),"",games!$H459)</f>
        <v>Yes</v>
      </c>
      <c r="Q459">
        <f t="shared" si="102"/>
        <v>1.000459</v>
      </c>
      <c r="T459">
        <f>IF(connections!$A459="","",IFERROR(INDEX(games!$B$2:$B$950,MATCH(connections!$A459,games!$A$2:$A$950,0)),""))</f>
        <v>2012</v>
      </c>
      <c r="U459">
        <f>IF(connections!$A459="","",IFERROR(INDEX(games!$B$2:$B$950,MATCH(connections!$B459,games!$A$2:$A$950,0)),""))</f>
        <v>2017</v>
      </c>
      <c r="V459">
        <f t="shared" si="103"/>
        <v>5</v>
      </c>
    </row>
    <row r="460" spans="1:22" x14ac:dyDescent="0.25">
      <c r="A460" t="str">
        <f>IF(games!$A460="","",games!$A460)</f>
        <v>Mewgenics</v>
      </c>
      <c r="B460">
        <f>IF($A460="","",games!$B460)</f>
        <v>2026</v>
      </c>
      <c r="C460" t="str">
        <f>IF($A460="","",games!$C460)</f>
        <v>Strategy</v>
      </c>
      <c r="D460">
        <f>IF($A460="","",COUNTIF(connections!$A$2:$A$1460,$A460)+COUNTIF(connections!$B$2:$B$1460,$A460))</f>
        <v>2</v>
      </c>
      <c r="E460">
        <f t="shared" si="91"/>
        <v>2</v>
      </c>
      <c r="F460">
        <f t="shared" si="92"/>
        <v>18</v>
      </c>
      <c r="G460" t="e">
        <f t="shared" si="93"/>
        <v>#N/A</v>
      </c>
      <c r="H460" t="e">
        <f t="shared" si="94"/>
        <v>#N/A</v>
      </c>
      <c r="I460">
        <f t="shared" si="95"/>
        <v>2026</v>
      </c>
      <c r="J460">
        <f t="shared" si="96"/>
        <v>2.4140000000000001</v>
      </c>
      <c r="K460" t="e">
        <f t="shared" si="97"/>
        <v>#N/A</v>
      </c>
      <c r="L460" t="e">
        <f t="shared" si="98"/>
        <v>#N/A</v>
      </c>
      <c r="M460" t="e">
        <f t="shared" si="99"/>
        <v>#N/A</v>
      </c>
      <c r="N460" t="e">
        <f t="shared" si="100"/>
        <v>#N/A</v>
      </c>
      <c r="O460">
        <f t="shared" si="101"/>
        <v>2.0004599999999999</v>
      </c>
      <c r="P460" t="str">
        <f>IF(OR($A460="",games!$H460=""),"",games!$H460)</f>
        <v>Yes</v>
      </c>
      <c r="Q460">
        <f t="shared" si="102"/>
        <v>2.0004599999999999</v>
      </c>
      <c r="T460">
        <f>IF(connections!$A460="","",IFERROR(INDEX(games!$B$2:$B$950,MATCH(connections!$A460,games!$A$2:$A$950,0)),""))</f>
        <v>2012</v>
      </c>
      <c r="U460">
        <f>IF(connections!$A460="","",IFERROR(INDEX(games!$B$2:$B$950,MATCH(connections!$B460,games!$A$2:$A$950,0)),""))</f>
        <v>2021</v>
      </c>
      <c r="V460">
        <f t="shared" si="103"/>
        <v>9</v>
      </c>
    </row>
    <row r="461" spans="1:22" x14ac:dyDescent="0.25">
      <c r="A461" t="str">
        <f>IF(games!$A461="","",games!$A461)</f>
        <v>Million Depth</v>
      </c>
      <c r="B461">
        <f>IF($A461="","",games!$B461)</f>
        <v>2025</v>
      </c>
      <c r="C461" t="str">
        <f>IF($A461="","",games!$C461)</f>
        <v>Action</v>
      </c>
      <c r="D461">
        <f>IF($A461="","",COUNTIF(connections!$A$2:$A$1460,$A461)+COUNTIF(connections!$B$2:$B$1460,$A461))</f>
        <v>1</v>
      </c>
      <c r="E461">
        <f t="shared" si="91"/>
        <v>1</v>
      </c>
      <c r="F461">
        <f t="shared" si="92"/>
        <v>19</v>
      </c>
      <c r="G461">
        <f t="shared" si="93"/>
        <v>2025</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
      </c>
      <c r="Q461" t="str">
        <f t="shared" si="102"/>
        <v/>
      </c>
      <c r="T461">
        <f>IF(connections!$A461="","",IFERROR(INDEX(games!$B$2:$B$950,MATCH(connections!$A461,games!$A$2:$A$950,0)),""))</f>
        <v>2012</v>
      </c>
      <c r="U461">
        <f>IF(connections!$A461="","",IFERROR(INDEX(games!$B$2:$B$950,MATCH(connections!$B461,games!$A$2:$A$950,0)),""))</f>
        <v>2018</v>
      </c>
      <c r="V461">
        <f t="shared" si="103"/>
        <v>6</v>
      </c>
    </row>
    <row r="462" spans="1:22" x14ac:dyDescent="0.25">
      <c r="A462" t="str">
        <f>IF(games!$A462="","",games!$A462)</f>
        <v>Mimic Logic</v>
      </c>
      <c r="B462">
        <f>IF($A462="","",games!$B462)</f>
        <v>2024</v>
      </c>
      <c r="C462" t="str">
        <f>IF($A462="","",games!$C462)</f>
        <v>Strategy</v>
      </c>
      <c r="D462">
        <f>IF($A462="","",COUNTIF(connections!$A$2:$A$1460,$A462)+COUNTIF(connections!$B$2:$B$1460,$A462))</f>
        <v>1</v>
      </c>
      <c r="E462">
        <f t="shared" si="91"/>
        <v>2</v>
      </c>
      <c r="F462">
        <f t="shared" si="92"/>
        <v>20</v>
      </c>
      <c r="G462" t="e">
        <f t="shared" si="93"/>
        <v>#N/A</v>
      </c>
      <c r="H462" t="e">
        <f t="shared" si="94"/>
        <v>#N/A</v>
      </c>
      <c r="I462">
        <f t="shared" si="95"/>
        <v>2024</v>
      </c>
      <c r="J462">
        <f t="shared" si="96"/>
        <v>2.46</v>
      </c>
      <c r="K462" t="e">
        <f t="shared" si="97"/>
        <v>#N/A</v>
      </c>
      <c r="L462" t="e">
        <f t="shared" si="98"/>
        <v>#N/A</v>
      </c>
      <c r="M462" t="e">
        <f t="shared" si="99"/>
        <v>#N/A</v>
      </c>
      <c r="N462" t="e">
        <f t="shared" si="100"/>
        <v>#N/A</v>
      </c>
      <c r="O462">
        <f t="shared" si="101"/>
        <v>1.000462</v>
      </c>
      <c r="P462" t="str">
        <f>IF(OR($A462="",games!$H462=""),"",games!$H462)</f>
        <v>Yes</v>
      </c>
      <c r="Q462">
        <f t="shared" si="102"/>
        <v>1.000462</v>
      </c>
      <c r="T462">
        <f>IF(connections!$A462="","",IFERROR(INDEX(games!$B$2:$B$950,MATCH(connections!$A462,games!$A$2:$A$950,0)),""))</f>
        <v>2012</v>
      </c>
      <c r="U462">
        <f>IF(connections!$A462="","",IFERROR(INDEX(games!$B$2:$B$950,MATCH(connections!$B462,games!$A$2:$A$950,0)),""))</f>
        <v>2024</v>
      </c>
      <c r="V462">
        <f t="shared" si="103"/>
        <v>12</v>
      </c>
    </row>
    <row r="463" spans="1:22" x14ac:dyDescent="0.25">
      <c r="A463" t="str">
        <f>IF(games!$A463="","",games!$A463)</f>
        <v>Miracle Chou Party: Sanae to Tenshi no Gensou Labyrinth</v>
      </c>
      <c r="B463">
        <f>IF($A463="","",games!$B463)</f>
        <v>2012</v>
      </c>
      <c r="C463" t="str">
        <f>IF($A463="","",games!$C463)</f>
        <v>Traditional</v>
      </c>
      <c r="D463">
        <f>IF($A463="","",COUNTIF(connections!$A$2:$A$1460,$A463)+COUNTIF(connections!$B$2:$B$1460,$A463))</f>
        <v>2</v>
      </c>
      <c r="E463">
        <f t="shared" si="91"/>
        <v>4</v>
      </c>
      <c r="F463">
        <f t="shared" si="92"/>
        <v>21</v>
      </c>
      <c r="G463" t="e">
        <f t="shared" si="93"/>
        <v>#N/A</v>
      </c>
      <c r="H463" t="e">
        <f t="shared" si="94"/>
        <v>#N/A</v>
      </c>
      <c r="I463" t="e">
        <f t="shared" si="95"/>
        <v>#N/A</v>
      </c>
      <c r="J463" t="e">
        <f t="shared" si="96"/>
        <v>#N/A</v>
      </c>
      <c r="K463" t="e">
        <f t="shared" si="97"/>
        <v>#N/A</v>
      </c>
      <c r="L463" t="e">
        <f t="shared" si="98"/>
        <v>#N/A</v>
      </c>
      <c r="M463">
        <f t="shared" si="99"/>
        <v>2012</v>
      </c>
      <c r="N463">
        <f t="shared" si="100"/>
        <v>4.4829999999999997</v>
      </c>
      <c r="O463">
        <f t="shared" si="101"/>
        <v>2.0004629999999999</v>
      </c>
      <c r="P463" t="str">
        <f>IF(OR($A463="",games!$H463=""),"",games!$H463)</f>
        <v/>
      </c>
      <c r="Q463" t="str">
        <f t="shared" si="102"/>
        <v/>
      </c>
      <c r="T463">
        <f>IF(connections!$A463="","",IFERROR(INDEX(games!$B$2:$B$950,MATCH(connections!$A463,games!$A$2:$A$950,0)),""))</f>
        <v>2012</v>
      </c>
      <c r="U463">
        <f>IF(connections!$A463="","",IFERROR(INDEX(games!$B$2:$B$950,MATCH(connections!$B463,games!$A$2:$A$950,0)),""))</f>
        <v>2015</v>
      </c>
      <c r="V463">
        <f t="shared" si="103"/>
        <v>3</v>
      </c>
    </row>
    <row r="464" spans="1:22" x14ac:dyDescent="0.25">
      <c r="A464" t="str">
        <f>IF(games!$A464="","",games!$A464)</f>
        <v>Miracle Party: Fushigi no Gensoukyou 2</v>
      </c>
      <c r="B464">
        <f>IF($A464="","",games!$B464)</f>
        <v>2011</v>
      </c>
      <c r="C464" t="str">
        <f>IF($A464="","",games!$C464)</f>
        <v>Traditional</v>
      </c>
      <c r="D464">
        <f>IF($A464="","",COUNTIF(connections!$A$2:$A$1460,$A464)+COUNTIF(connections!$B$2:$B$1460,$A464))</f>
        <v>3</v>
      </c>
      <c r="E464">
        <f t="shared" si="91"/>
        <v>4</v>
      </c>
      <c r="F464">
        <f t="shared" si="92"/>
        <v>22</v>
      </c>
      <c r="G464" t="e">
        <f t="shared" si="93"/>
        <v>#N/A</v>
      </c>
      <c r="H464" t="e">
        <f t="shared" si="94"/>
        <v>#N/A</v>
      </c>
      <c r="I464" t="e">
        <f t="shared" si="95"/>
        <v>#N/A</v>
      </c>
      <c r="J464" t="e">
        <f t="shared" si="96"/>
        <v>#N/A</v>
      </c>
      <c r="K464" t="e">
        <f t="shared" si="97"/>
        <v>#N/A</v>
      </c>
      <c r="L464" t="e">
        <f t="shared" si="98"/>
        <v>#N/A</v>
      </c>
      <c r="M464">
        <f t="shared" si="99"/>
        <v>2011</v>
      </c>
      <c r="N464">
        <f t="shared" si="100"/>
        <v>4.5060000000000002</v>
      </c>
      <c r="O464">
        <f t="shared" si="101"/>
        <v>3.000464</v>
      </c>
      <c r="P464" t="str">
        <f>IF(OR($A464="",games!$H464=""),"",games!$H464)</f>
        <v/>
      </c>
      <c r="Q464" t="str">
        <f t="shared" si="102"/>
        <v/>
      </c>
      <c r="T464">
        <f>IF(connections!$A464="","",IFERROR(INDEX(games!$B$2:$B$950,MATCH(connections!$A464,games!$A$2:$A$950,0)),""))</f>
        <v>2012</v>
      </c>
      <c r="U464">
        <f>IF(connections!$A464="","",IFERROR(INDEX(games!$B$2:$B$950,MATCH(connections!$B464,games!$A$2:$A$950,0)),""))</f>
        <v>2019</v>
      </c>
      <c r="V464">
        <f t="shared" si="103"/>
        <v>7</v>
      </c>
    </row>
    <row r="465" spans="1:22" x14ac:dyDescent="0.25">
      <c r="A465" t="str">
        <f>IF(games!$A465="","",games!$A465)</f>
        <v>Mission: Thunderbolt</v>
      </c>
      <c r="B465">
        <f>IF($A465="","",games!$B465)</f>
        <v>1987</v>
      </c>
      <c r="C465" t="str">
        <f>IF($A465="","",games!$C465)</f>
        <v>Traditional</v>
      </c>
      <c r="D465">
        <f>IF($A465="","",COUNTIF(connections!$A$2:$A$1460,$A465)+COUNTIF(connections!$B$2:$B$1460,$A465))</f>
        <v>1</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1987</v>
      </c>
      <c r="N465">
        <f t="shared" si="100"/>
        <v>4.5289999999999999</v>
      </c>
      <c r="O465">
        <f t="shared" si="101"/>
        <v>1.0004649999999999</v>
      </c>
      <c r="P465" t="str">
        <f>IF(OR($A465="",games!$H465=""),"",games!$H465)</f>
        <v>Yes</v>
      </c>
      <c r="Q465">
        <f t="shared" si="102"/>
        <v>1.0004649999999999</v>
      </c>
      <c r="T465">
        <f>IF(connections!$A465="","",IFERROR(INDEX(games!$B$2:$B$950,MATCH(connections!$A465,games!$A$2:$A$950,0)),""))</f>
        <v>2012</v>
      </c>
      <c r="U465">
        <f>IF(connections!$A465="","",IFERROR(INDEX(games!$B$2:$B$950,MATCH(connections!$B465,games!$A$2:$A$950,0)),""))</f>
        <v>2015</v>
      </c>
      <c r="V465">
        <f t="shared" si="103"/>
        <v>3</v>
      </c>
    </row>
    <row r="466" spans="1:22" x14ac:dyDescent="0.25">
      <c r="A466" t="str">
        <f>IF(games!$A466="","",games!$A466)</f>
        <v>Mistrogue: Mist and the Living Dungeons</v>
      </c>
      <c r="B466">
        <f>IF($A466="","",games!$B466)</f>
        <v>2023</v>
      </c>
      <c r="C466" t="str">
        <f>IF($A466="","",games!$C466)</f>
        <v>Action</v>
      </c>
      <c r="D466">
        <f>IF($A466="","",COUNTIF(connections!$A$2:$A$1460,$A466)+COUNTIF(connections!$B$2:$B$1460,$A466))</f>
        <v>1</v>
      </c>
      <c r="E466">
        <f t="shared" si="91"/>
        <v>1</v>
      </c>
      <c r="F466">
        <f t="shared" si="92"/>
        <v>24</v>
      </c>
      <c r="G466">
        <f t="shared" si="93"/>
        <v>2023</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Yes</v>
      </c>
      <c r="Q466">
        <f t="shared" si="102"/>
        <v>1.0004660000000001</v>
      </c>
      <c r="T466">
        <f>IF(connections!$A466="","",IFERROR(INDEX(games!$B$2:$B$950,MATCH(connections!$A466,games!$A$2:$A$950,0)),""))</f>
        <v>2012</v>
      </c>
      <c r="U466">
        <f>IF(connections!$A466="","",IFERROR(INDEX(games!$B$2:$B$950,MATCH(connections!$B466,games!$A$2:$A$950,0)),""))</f>
        <v>2020</v>
      </c>
      <c r="V466">
        <f t="shared" si="103"/>
        <v>8</v>
      </c>
    </row>
    <row r="467" spans="1:22" x14ac:dyDescent="0.25">
      <c r="A467" t="str">
        <f>IF(games!$A467="","",games!$A467)</f>
        <v>Mobmania</v>
      </c>
      <c r="B467">
        <f>IF($A467="","",games!$B467)</f>
        <v>2022</v>
      </c>
      <c r="C467" t="str">
        <f>IF($A467="","",games!$C467)</f>
        <v>Action</v>
      </c>
      <c r="D467">
        <f>IF($A467="","",COUNTIF(connections!$A$2:$A$1460,$A467)+COUNTIF(connections!$B$2:$B$1460,$A467))</f>
        <v>1</v>
      </c>
      <c r="E467">
        <f t="shared" si="91"/>
        <v>1</v>
      </c>
      <c r="F467">
        <f t="shared" si="92"/>
        <v>25</v>
      </c>
      <c r="G467">
        <f t="shared" si="93"/>
        <v>2022</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
      </c>
      <c r="Q467" t="str">
        <f t="shared" si="102"/>
        <v/>
      </c>
      <c r="T467">
        <f>IF(connections!$A467="","",IFERROR(INDEX(games!$B$2:$B$950,MATCH(connections!$A467,games!$A$2:$A$950,0)),""))</f>
        <v>2012</v>
      </c>
      <c r="U467">
        <f>IF(connections!$A467="","",IFERROR(INDEX(games!$B$2:$B$950,MATCH(connections!$B467,games!$A$2:$A$950,0)),""))</f>
        <v>2014</v>
      </c>
      <c r="V467">
        <f t="shared" si="103"/>
        <v>2</v>
      </c>
    </row>
    <row r="468" spans="1:22" x14ac:dyDescent="0.25">
      <c r="A468" t="str">
        <f>IF(games!$A468="","",games!$A468)</f>
        <v>Monmusu Gladiator</v>
      </c>
      <c r="B468">
        <f>IF($A468="","",games!$B468)</f>
        <v>2021</v>
      </c>
      <c r="C468" t="str">
        <f>IF($A468="","",games!$C468)</f>
        <v>Deckbuilder</v>
      </c>
      <c r="D468">
        <f>IF($A468="","",COUNTIF(connections!$A$2:$A$1460,$A468)+COUNTIF(connections!$B$2:$B$1460,$A468))</f>
        <v>1</v>
      </c>
      <c r="E468">
        <f t="shared" si="91"/>
        <v>3</v>
      </c>
      <c r="F468">
        <f t="shared" si="92"/>
        <v>26</v>
      </c>
      <c r="G468" t="e">
        <f t="shared" si="93"/>
        <v>#N/A</v>
      </c>
      <c r="H468" t="e">
        <f t="shared" si="94"/>
        <v>#N/A</v>
      </c>
      <c r="I468" t="e">
        <f t="shared" si="95"/>
        <v>#N/A</v>
      </c>
      <c r="J468" t="e">
        <f t="shared" si="96"/>
        <v>#N/A</v>
      </c>
      <c r="K468">
        <f t="shared" si="97"/>
        <v>2021</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2012</v>
      </c>
      <c r="U468">
        <f>IF(connections!$A468="","",IFERROR(INDEX(games!$B$2:$B$950,MATCH(connections!$B468,games!$A$2:$A$950,0)),""))</f>
        <v>2015</v>
      </c>
      <c r="V468">
        <f t="shared" si="103"/>
        <v>3</v>
      </c>
    </row>
    <row r="469" spans="1:22" x14ac:dyDescent="0.25">
      <c r="A469" t="str">
        <f>IF(games!$A469="","",games!$A469)</f>
        <v>Monster Gate</v>
      </c>
      <c r="B469">
        <f>IF($A469="","",games!$B469)</f>
        <v>2002</v>
      </c>
      <c r="C469" t="str">
        <f>IF($A469="","",games!$C469)</f>
        <v>Traditional</v>
      </c>
      <c r="D469">
        <f>IF($A469="","",COUNTIF(connections!$A$2:$A$1460,$A469)+COUNTIF(connections!$B$2:$B$1460,$A469))</f>
        <v>3</v>
      </c>
      <c r="E469">
        <f t="shared" si="91"/>
        <v>4</v>
      </c>
      <c r="F469">
        <f t="shared" si="92"/>
        <v>27</v>
      </c>
      <c r="G469" t="e">
        <f t="shared" si="93"/>
        <v>#N/A</v>
      </c>
      <c r="H469" t="e">
        <f t="shared" si="94"/>
        <v>#N/A</v>
      </c>
      <c r="I469" t="e">
        <f t="shared" si="95"/>
        <v>#N/A</v>
      </c>
      <c r="J469" t="e">
        <f t="shared" si="96"/>
        <v>#N/A</v>
      </c>
      <c r="K469" t="e">
        <f t="shared" si="97"/>
        <v>#N/A</v>
      </c>
      <c r="L469" t="e">
        <f t="shared" si="98"/>
        <v>#N/A</v>
      </c>
      <c r="M469">
        <f t="shared" si="99"/>
        <v>2002</v>
      </c>
      <c r="N469">
        <f t="shared" si="100"/>
        <v>4.6210000000000004</v>
      </c>
      <c r="O469">
        <f t="shared" si="101"/>
        <v>3.0004689999999998</v>
      </c>
      <c r="P469" t="str">
        <f>IF(OR($A469="",games!$H469=""),"",games!$H469)</f>
        <v>Yes</v>
      </c>
      <c r="Q469">
        <f t="shared" si="102"/>
        <v>3.0004689999999998</v>
      </c>
      <c r="T469">
        <f>IF(connections!$A469="","",IFERROR(INDEX(games!$B$2:$B$950,MATCH(connections!$A469,games!$A$2:$A$950,0)),""))</f>
        <v>2012</v>
      </c>
      <c r="U469">
        <f>IF(connections!$A469="","",IFERROR(INDEX(games!$B$2:$B$950,MATCH(connections!$B469,games!$A$2:$A$950,0)),""))</f>
        <v>2014</v>
      </c>
      <c r="V469">
        <f t="shared" si="103"/>
        <v>2</v>
      </c>
    </row>
    <row r="470" spans="1:22" x14ac:dyDescent="0.25">
      <c r="A470" t="str">
        <f>IF(games!$A470="","",games!$A470)</f>
        <v>Monster Gate: Ooinaru Dungeon - Fuuin no Orb</v>
      </c>
      <c r="B470">
        <f>IF($A470="","",games!$B470)</f>
        <v>2003</v>
      </c>
      <c r="C470" t="str">
        <f>IF($A470="","",games!$C470)</f>
        <v>Traditional</v>
      </c>
      <c r="D470">
        <f>IF($A470="","",COUNTIF(connections!$A$2:$A$1460,$A470)+COUNTIF(connections!$B$2:$B$1460,$A470))</f>
        <v>1</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2003</v>
      </c>
      <c r="N470">
        <f t="shared" si="100"/>
        <v>4.6440000000000001</v>
      </c>
      <c r="O470">
        <f t="shared" si="101"/>
        <v>1.00047</v>
      </c>
      <c r="P470" t="str">
        <f>IF(OR($A470="",games!$H470=""),"",games!$H470)</f>
        <v>Yes</v>
      </c>
      <c r="Q470">
        <f t="shared" si="102"/>
        <v>1.00047</v>
      </c>
      <c r="T470">
        <f>IF(connections!$A470="","",IFERROR(INDEX(games!$B$2:$B$950,MATCH(connections!$A470,games!$A$2:$A$950,0)),""))</f>
        <v>2012</v>
      </c>
      <c r="U470">
        <f>IF(connections!$A470="","",IFERROR(INDEX(games!$B$2:$B$950,MATCH(connections!$B470,games!$A$2:$A$950,0)),""))</f>
        <v>2024</v>
      </c>
      <c r="V470">
        <f t="shared" si="103"/>
        <v>12</v>
      </c>
    </row>
    <row r="471" spans="1:22" x14ac:dyDescent="0.25">
      <c r="A471" t="str">
        <f>IF(games!$A471="","",games!$A471)</f>
        <v>Monster Girls and the Mysterious Adventure</v>
      </c>
      <c r="B471">
        <f>IF($A471="","",games!$B471)</f>
        <v>2020</v>
      </c>
      <c r="C471" t="str">
        <f>IF($A471="","",games!$C471)</f>
        <v>Traditional</v>
      </c>
      <c r="D471">
        <f>IF($A471="","",COUNTIF(connections!$A$2:$A$1460,$A471)+COUNTIF(connections!$B$2:$B$1460,$A471))</f>
        <v>2</v>
      </c>
      <c r="E471">
        <f t="shared" si="91"/>
        <v>4</v>
      </c>
      <c r="F471">
        <f t="shared" si="92"/>
        <v>29</v>
      </c>
      <c r="G471" t="e">
        <f t="shared" si="93"/>
        <v>#N/A</v>
      </c>
      <c r="H471" t="e">
        <f t="shared" si="94"/>
        <v>#N/A</v>
      </c>
      <c r="I471" t="e">
        <f t="shared" si="95"/>
        <v>#N/A</v>
      </c>
      <c r="J471" t="e">
        <f t="shared" si="96"/>
        <v>#N/A</v>
      </c>
      <c r="K471" t="e">
        <f t="shared" si="97"/>
        <v>#N/A</v>
      </c>
      <c r="L471" t="e">
        <f t="shared" si="98"/>
        <v>#N/A</v>
      </c>
      <c r="M471">
        <f t="shared" si="99"/>
        <v>2020</v>
      </c>
      <c r="N471">
        <f t="shared" si="100"/>
        <v>4.6669999999999998</v>
      </c>
      <c r="O471">
        <f t="shared" si="101"/>
        <v>2.0004710000000001</v>
      </c>
      <c r="P471" t="str">
        <f>IF(OR($A471="",games!$H471=""),"",games!$H471)</f>
        <v/>
      </c>
      <c r="Q471" t="str">
        <f t="shared" si="102"/>
        <v/>
      </c>
      <c r="T471">
        <f>IF(connections!$A471="","",IFERROR(INDEX(games!$B$2:$B$950,MATCH(connections!$A471,games!$A$2:$A$950,0)),""))</f>
        <v>2012</v>
      </c>
      <c r="U471">
        <f>IF(connections!$A471="","",IFERROR(INDEX(games!$B$2:$B$950,MATCH(connections!$B471,games!$A$2:$A$950,0)),""))</f>
        <v>2025</v>
      </c>
      <c r="V471">
        <f t="shared" si="103"/>
        <v>13</v>
      </c>
    </row>
    <row r="472" spans="1:22" x14ac:dyDescent="0.25">
      <c r="A472" t="str">
        <f>IF(games!$A472="","",games!$A472)</f>
        <v>Monster Girls and the Mysterious Adventure 2</v>
      </c>
      <c r="B472">
        <f>IF($A472="","",games!$B472)</f>
        <v>2022</v>
      </c>
      <c r="C472" t="str">
        <f>IF($A472="","",games!$C472)</f>
        <v>Traditional</v>
      </c>
      <c r="D472">
        <f>IF($A472="","",COUNTIF(connections!$A$2:$A$1460,$A472)+COUNTIF(connections!$B$2:$B$1460,$A472))</f>
        <v>1</v>
      </c>
      <c r="E472">
        <f t="shared" si="91"/>
        <v>4</v>
      </c>
      <c r="F472">
        <f t="shared" si="92"/>
        <v>30</v>
      </c>
      <c r="G472" t="e">
        <f t="shared" si="93"/>
        <v>#N/A</v>
      </c>
      <c r="H472" t="e">
        <f t="shared" si="94"/>
        <v>#N/A</v>
      </c>
      <c r="I472" t="e">
        <f t="shared" si="95"/>
        <v>#N/A</v>
      </c>
      <c r="J472" t="e">
        <f t="shared" si="96"/>
        <v>#N/A</v>
      </c>
      <c r="K472" t="e">
        <f t="shared" si="97"/>
        <v>#N/A</v>
      </c>
      <c r="L472" t="e">
        <f t="shared" si="98"/>
        <v>#N/A</v>
      </c>
      <c r="M472">
        <f t="shared" si="99"/>
        <v>2022</v>
      </c>
      <c r="N472">
        <f t="shared" si="100"/>
        <v>4.6899999999999995</v>
      </c>
      <c r="O472">
        <f t="shared" si="101"/>
        <v>1.000472</v>
      </c>
      <c r="P472" t="str">
        <f>IF(OR($A472="",games!$H472=""),"",games!$H472)</f>
        <v/>
      </c>
      <c r="Q472" t="str">
        <f t="shared" si="102"/>
        <v/>
      </c>
      <c r="T472">
        <f>IF(connections!$A472="","",IFERROR(INDEX(games!$B$2:$B$950,MATCH(connections!$A472,games!$A$2:$A$950,0)),""))</f>
        <v>2012</v>
      </c>
      <c r="U472">
        <f>IF(connections!$A472="","",IFERROR(INDEX(games!$B$2:$B$950,MATCH(connections!$B472,games!$A$2:$A$950,0)),""))</f>
        <v>2017</v>
      </c>
      <c r="V472">
        <f t="shared" si="103"/>
        <v>5</v>
      </c>
    </row>
    <row r="473" spans="1:22" x14ac:dyDescent="0.25">
      <c r="A473" t="str">
        <f>IF(games!$A473="","",games!$A473)</f>
        <v>Monster Slayers</v>
      </c>
      <c r="B473">
        <f>IF($A473="","",games!$B473)</f>
        <v>2017</v>
      </c>
      <c r="C473" t="str">
        <f>IF($A473="","",games!$C473)</f>
        <v>Deckbuilder</v>
      </c>
      <c r="D473">
        <f>IF($A473="","",COUNTIF(connections!$A$2:$A$1460,$A473)+COUNTIF(connections!$B$2:$B$1460,$A473))</f>
        <v>2</v>
      </c>
      <c r="E473">
        <f t="shared" si="91"/>
        <v>3</v>
      </c>
      <c r="F473">
        <f t="shared" si="92"/>
        <v>31</v>
      </c>
      <c r="G473" t="e">
        <f t="shared" si="93"/>
        <v>#N/A</v>
      </c>
      <c r="H473" t="e">
        <f t="shared" si="94"/>
        <v>#N/A</v>
      </c>
      <c r="I473" t="e">
        <f t="shared" si="95"/>
        <v>#N/A</v>
      </c>
      <c r="J473" t="e">
        <f t="shared" si="96"/>
        <v>#N/A</v>
      </c>
      <c r="K473">
        <f t="shared" si="97"/>
        <v>2017</v>
      </c>
      <c r="L473">
        <f t="shared" si="98"/>
        <v>3.7130000000000001</v>
      </c>
      <c r="M473" t="e">
        <f t="shared" si="99"/>
        <v>#N/A</v>
      </c>
      <c r="N473" t="e">
        <f t="shared" si="100"/>
        <v>#N/A</v>
      </c>
      <c r="O473">
        <f t="shared" si="101"/>
        <v>2.0004729999999999</v>
      </c>
      <c r="P473" t="str">
        <f>IF(OR($A473="",games!$H473=""),"",games!$H473)</f>
        <v>Yes</v>
      </c>
      <c r="Q473">
        <f t="shared" si="102"/>
        <v>2.0004729999999999</v>
      </c>
      <c r="T473">
        <f>IF(connections!$A473="","",IFERROR(INDEX(games!$B$2:$B$950,MATCH(connections!$A473,games!$A$2:$A$950,0)),""))</f>
        <v>2012</v>
      </c>
      <c r="U473">
        <f>IF(connections!$A473="","",IFERROR(INDEX(games!$B$2:$B$950,MATCH(connections!$B473,games!$A$2:$A$950,0)),""))</f>
        <v>2018</v>
      </c>
      <c r="V473">
        <f t="shared" si="103"/>
        <v>6</v>
      </c>
    </row>
    <row r="474" spans="1:22" x14ac:dyDescent="0.25">
      <c r="A474" t="str">
        <f>IF(games!$A474="","",games!$A474)</f>
        <v>Monster Train</v>
      </c>
      <c r="B474">
        <f>IF($A474="","",games!$B474)</f>
        <v>2020</v>
      </c>
      <c r="C474" t="str">
        <f>IF($A474="","",games!$C474)</f>
        <v>Deckbuilder</v>
      </c>
      <c r="D474">
        <f>IF($A474="","",COUNTIF(connections!$A$2:$A$1460,$A474)+COUNTIF(connections!$B$2:$B$1460,$A474))</f>
        <v>14</v>
      </c>
      <c r="E474">
        <f t="shared" si="91"/>
        <v>3</v>
      </c>
      <c r="F474">
        <f t="shared" si="92"/>
        <v>32</v>
      </c>
      <c r="G474" t="e">
        <f t="shared" si="93"/>
        <v>#N/A</v>
      </c>
      <c r="H474" t="e">
        <f t="shared" si="94"/>
        <v>#N/A</v>
      </c>
      <c r="I474" t="e">
        <f t="shared" si="95"/>
        <v>#N/A</v>
      </c>
      <c r="J474" t="e">
        <f t="shared" si="96"/>
        <v>#N/A</v>
      </c>
      <c r="K474">
        <f t="shared" si="97"/>
        <v>2020</v>
      </c>
      <c r="L474">
        <f t="shared" si="98"/>
        <v>3.7359999999999998</v>
      </c>
      <c r="M474" t="e">
        <f t="shared" si="99"/>
        <v>#N/A</v>
      </c>
      <c r="N474" t="e">
        <f t="shared" si="100"/>
        <v>#N/A</v>
      </c>
      <c r="O474">
        <f t="shared" si="101"/>
        <v>14.000474000000001</v>
      </c>
      <c r="P474" t="str">
        <f>IF(OR($A474="",games!$H474=""),"",games!$H474)</f>
        <v>Yes</v>
      </c>
      <c r="Q474">
        <f t="shared" si="102"/>
        <v>14.000474000000001</v>
      </c>
      <c r="T474">
        <f>IF(connections!$A474="","",IFERROR(INDEX(games!$B$2:$B$950,MATCH(connections!$A474,games!$A$2:$A$950,0)),""))</f>
        <v>2012</v>
      </c>
      <c r="U474">
        <f>IF(connections!$A474="","",IFERROR(INDEX(games!$B$2:$B$950,MATCH(connections!$B474,games!$A$2:$A$950,0)),""))</f>
        <v>2016</v>
      </c>
      <c r="V474">
        <f t="shared" si="103"/>
        <v>4</v>
      </c>
    </row>
    <row r="475" spans="1:22" x14ac:dyDescent="0.25">
      <c r="A475" t="str">
        <f>IF(games!$A475="","",games!$A475)</f>
        <v>Monster Train 2</v>
      </c>
      <c r="B475">
        <f>IF($A475="","",games!$B475)</f>
        <v>2025</v>
      </c>
      <c r="C475" t="str">
        <f>IF($A475="","",games!$C475)</f>
        <v>Deckbuilder</v>
      </c>
      <c r="D475">
        <f>IF($A475="","",COUNTIF(connections!$A$2:$A$1460,$A475)+COUNTIF(connections!$B$2:$B$1460,$A475))</f>
        <v>1</v>
      </c>
      <c r="E475">
        <f t="shared" si="91"/>
        <v>3</v>
      </c>
      <c r="F475">
        <f t="shared" si="92"/>
        <v>33</v>
      </c>
      <c r="G475" t="e">
        <f t="shared" si="93"/>
        <v>#N/A</v>
      </c>
      <c r="H475" t="e">
        <f t="shared" si="94"/>
        <v>#N/A</v>
      </c>
      <c r="I475" t="e">
        <f t="shared" si="95"/>
        <v>#N/A</v>
      </c>
      <c r="J475" t="e">
        <f t="shared" si="96"/>
        <v>#N/A</v>
      </c>
      <c r="K475">
        <f t="shared" si="97"/>
        <v>2025</v>
      </c>
      <c r="L475">
        <f t="shared" si="98"/>
        <v>3.7589999999999999</v>
      </c>
      <c r="M475" t="e">
        <f t="shared" si="99"/>
        <v>#N/A</v>
      </c>
      <c r="N475" t="e">
        <f t="shared" si="100"/>
        <v>#N/A</v>
      </c>
      <c r="O475">
        <f t="shared" si="101"/>
        <v>1.000475</v>
      </c>
      <c r="P475" t="str">
        <f>IF(OR($A475="",games!$H475=""),"",games!$H475)</f>
        <v/>
      </c>
      <c r="Q475" t="str">
        <f t="shared" si="102"/>
        <v/>
      </c>
      <c r="T475">
        <f>IF(connections!$A475="","",IFERROR(INDEX(games!$B$2:$B$950,MATCH(connections!$A475,games!$A$2:$A$950,0)),""))</f>
        <v>2012</v>
      </c>
      <c r="U475">
        <f>IF(connections!$A475="","",IFERROR(INDEX(games!$B$2:$B$950,MATCH(connections!$B475,games!$A$2:$A$950,0)),""))</f>
        <v>2019</v>
      </c>
      <c r="V475">
        <f t="shared" si="103"/>
        <v>7</v>
      </c>
    </row>
    <row r="476" spans="1:22" x14ac:dyDescent="0.25">
      <c r="A476" t="str">
        <f>IF(games!$A476="","",games!$A476)</f>
        <v>Monsters are Coming!</v>
      </c>
      <c r="B476">
        <f>IF($A476="","",games!$B476)</f>
        <v>2025</v>
      </c>
      <c r="C476" t="str">
        <f>IF($A476="","",games!$C476)</f>
        <v>Action</v>
      </c>
      <c r="D476">
        <f>IF($A476="","",COUNTIF(connections!$A$2:$A$1460,$A476)+COUNTIF(connections!$B$2:$B$1460,$A476))</f>
        <v>2</v>
      </c>
      <c r="E476">
        <f t="shared" si="91"/>
        <v>1</v>
      </c>
      <c r="F476">
        <f t="shared" si="92"/>
        <v>0</v>
      </c>
      <c r="G476">
        <f t="shared" si="93"/>
        <v>2025</v>
      </c>
      <c r="H476">
        <f t="shared" si="94"/>
        <v>1</v>
      </c>
      <c r="I476" t="e">
        <f t="shared" si="95"/>
        <v>#N/A</v>
      </c>
      <c r="J476" t="e">
        <f t="shared" si="96"/>
        <v>#N/A</v>
      </c>
      <c r="K476" t="e">
        <f t="shared" si="97"/>
        <v>#N/A</v>
      </c>
      <c r="L476" t="e">
        <f t="shared" si="98"/>
        <v>#N/A</v>
      </c>
      <c r="M476" t="e">
        <f t="shared" si="99"/>
        <v>#N/A</v>
      </c>
      <c r="N476" t="e">
        <f t="shared" si="100"/>
        <v>#N/A</v>
      </c>
      <c r="O476">
        <f t="shared" si="101"/>
        <v>2.0004759999999999</v>
      </c>
      <c r="P476" t="str">
        <f>IF(OR($A476="",games!$H476=""),"",games!$H476)</f>
        <v>Yes</v>
      </c>
      <c r="Q476">
        <f t="shared" si="102"/>
        <v>2.0004759999999999</v>
      </c>
      <c r="T476">
        <f>IF(connections!$A476="","",IFERROR(INDEX(games!$B$2:$B$950,MATCH(connections!$A476,games!$A$2:$A$950,0)),""))</f>
        <v>2012</v>
      </c>
      <c r="U476">
        <f>IF(connections!$A476="","",IFERROR(INDEX(games!$B$2:$B$950,MATCH(connections!$B476,games!$A$2:$A$950,0)),""))</f>
        <v>2015</v>
      </c>
      <c r="V476">
        <f t="shared" si="103"/>
        <v>3</v>
      </c>
    </row>
    <row r="477" spans="1:22" x14ac:dyDescent="0.25">
      <c r="A477" t="str">
        <f>IF(games!$A477="","",games!$A477)</f>
        <v>Monstrum</v>
      </c>
      <c r="B477">
        <f>IF($A477="","",games!$B477)</f>
        <v>2015</v>
      </c>
      <c r="C477" t="str">
        <f>IF($A477="","",games!$C477)</f>
        <v>Action</v>
      </c>
      <c r="D477">
        <f>IF($A477="","",COUNTIF(connections!$A$2:$A$1460,$A477)+COUNTIF(connections!$B$2:$B$1460,$A477))</f>
        <v>3</v>
      </c>
      <c r="E477">
        <f t="shared" si="91"/>
        <v>1</v>
      </c>
      <c r="F477">
        <f t="shared" si="92"/>
        <v>1</v>
      </c>
      <c r="G477">
        <f t="shared" si="93"/>
        <v>2015</v>
      </c>
      <c r="H477">
        <f t="shared" si="94"/>
        <v>1.0229999999999999</v>
      </c>
      <c r="I477" t="e">
        <f t="shared" si="95"/>
        <v>#N/A</v>
      </c>
      <c r="J477" t="e">
        <f t="shared" si="96"/>
        <v>#N/A</v>
      </c>
      <c r="K477" t="e">
        <f t="shared" si="97"/>
        <v>#N/A</v>
      </c>
      <c r="L477" t="e">
        <f t="shared" si="98"/>
        <v>#N/A</v>
      </c>
      <c r="M477" t="e">
        <f t="shared" si="99"/>
        <v>#N/A</v>
      </c>
      <c r="N477" t="e">
        <f t="shared" si="100"/>
        <v>#N/A</v>
      </c>
      <c r="O477">
        <f t="shared" si="101"/>
        <v>3.0004770000000001</v>
      </c>
      <c r="P477" t="str">
        <f>IF(OR($A477="",games!$H477=""),"",games!$H477)</f>
        <v>Yes</v>
      </c>
      <c r="Q477">
        <f t="shared" si="102"/>
        <v>3.0004770000000001</v>
      </c>
      <c r="T477">
        <f>IF(connections!$A477="","",IFERROR(INDEX(games!$B$2:$B$950,MATCH(connections!$A477,games!$A$2:$A$950,0)),""))</f>
        <v>2012</v>
      </c>
      <c r="U477">
        <f>IF(connections!$A477="","",IFERROR(INDEX(games!$B$2:$B$950,MATCH(connections!$B477,games!$A$2:$A$950,0)),""))</f>
        <v>2016</v>
      </c>
      <c r="V477">
        <f t="shared" si="103"/>
        <v>4</v>
      </c>
    </row>
    <row r="478" spans="1:22" x14ac:dyDescent="0.25">
      <c r="A478" t="str">
        <f>IF(games!$A478="","",games!$A478)</f>
        <v>Montabi</v>
      </c>
      <c r="B478">
        <f>IF($A478="","",games!$B478)</f>
        <v>2026</v>
      </c>
      <c r="C478" t="str">
        <f>IF($A478="","",games!$C478)</f>
        <v>Deckbuilder</v>
      </c>
      <c r="D478">
        <f>IF($A478="","",COUNTIF(connections!$A$2:$A$1460,$A478)+COUNTIF(connections!$B$2:$B$1460,$A478))</f>
        <v>3</v>
      </c>
      <c r="E478">
        <f t="shared" si="91"/>
        <v>3</v>
      </c>
      <c r="F478">
        <f t="shared" si="92"/>
        <v>2</v>
      </c>
      <c r="G478" t="e">
        <f t="shared" si="93"/>
        <v>#N/A</v>
      </c>
      <c r="H478" t="e">
        <f t="shared" si="94"/>
        <v>#N/A</v>
      </c>
      <c r="I478" t="e">
        <f t="shared" si="95"/>
        <v>#N/A</v>
      </c>
      <c r="J478" t="e">
        <f t="shared" si="96"/>
        <v>#N/A</v>
      </c>
      <c r="K478">
        <f t="shared" si="97"/>
        <v>2026</v>
      </c>
      <c r="L478">
        <f t="shared" si="98"/>
        <v>3.0459999999999998</v>
      </c>
      <c r="M478" t="e">
        <f t="shared" si="99"/>
        <v>#N/A</v>
      </c>
      <c r="N478" t="e">
        <f t="shared" si="100"/>
        <v>#N/A</v>
      </c>
      <c r="O478">
        <f t="shared" si="101"/>
        <v>3.0004780000000002</v>
      </c>
      <c r="P478" t="str">
        <f>IF(OR($A478="",games!$H478=""),"",games!$H478)</f>
        <v/>
      </c>
      <c r="Q478" t="str">
        <f t="shared" si="102"/>
        <v/>
      </c>
      <c r="T478">
        <f>IF(connections!$A478="","",IFERROR(INDEX(games!$B$2:$B$950,MATCH(connections!$A478,games!$A$2:$A$950,0)),""))</f>
        <v>2012</v>
      </c>
      <c r="U478">
        <f>IF(connections!$A478="","",IFERROR(INDEX(games!$B$2:$B$950,MATCH(connections!$B478,games!$A$2:$A$950,0)),""))</f>
        <v>2022</v>
      </c>
      <c r="V478">
        <f t="shared" si="103"/>
        <v>10</v>
      </c>
    </row>
    <row r="479" spans="1:22" x14ac:dyDescent="0.25">
      <c r="A479" t="str">
        <f>IF(games!$A479="","",games!$A479)</f>
        <v>Moon Hunters</v>
      </c>
      <c r="B479">
        <f>IF($A479="","",games!$B479)</f>
        <v>2016</v>
      </c>
      <c r="C479" t="str">
        <f>IF($A479="","",games!$C479)</f>
        <v>Action</v>
      </c>
      <c r="D479">
        <f>IF($A479="","",COUNTIF(connections!$A$2:$A$1460,$A479)+COUNTIF(connections!$B$2:$B$1460,$A479))</f>
        <v>1</v>
      </c>
      <c r="E479">
        <f t="shared" si="91"/>
        <v>1</v>
      </c>
      <c r="F479">
        <f t="shared" si="92"/>
        <v>3</v>
      </c>
      <c r="G479">
        <f t="shared" si="93"/>
        <v>2016</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2012</v>
      </c>
      <c r="U479">
        <f>IF(connections!$A479="","",IFERROR(INDEX(games!$B$2:$B$950,MATCH(connections!$B479,games!$A$2:$A$950,0)),""))</f>
        <v>2021</v>
      </c>
      <c r="V479">
        <f t="shared" si="103"/>
        <v>9</v>
      </c>
    </row>
    <row r="480" spans="1:22" x14ac:dyDescent="0.25">
      <c r="A480" t="str">
        <f>IF(games!$A480="","",games!$A480)</f>
        <v>Moon Watch</v>
      </c>
      <c r="B480">
        <f>IF($A480="","",games!$B480)</f>
        <v>2024</v>
      </c>
      <c r="C480" t="str">
        <f>IF($A480="","",games!$C480)</f>
        <v>Action</v>
      </c>
      <c r="D480">
        <f>IF($A480="","",COUNTIF(connections!$A$2:$A$1460,$A480)+COUNTIF(connections!$B$2:$B$1460,$A480))</f>
        <v>1</v>
      </c>
      <c r="E480">
        <f t="shared" si="91"/>
        <v>1</v>
      </c>
      <c r="F480">
        <f t="shared" si="92"/>
        <v>4</v>
      </c>
      <c r="G480">
        <f t="shared" si="93"/>
        <v>2024</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IF(connections!$A480="","",IFERROR(INDEX(games!$B$2:$B$950,MATCH(connections!$A480,games!$A$2:$A$950,0)),""))</f>
        <v>2012</v>
      </c>
      <c r="U480">
        <f>IF(connections!$A480="","",IFERROR(INDEX(games!$B$2:$B$950,MATCH(connections!$B480,games!$A$2:$A$950,0)),""))</f>
        <v>2019</v>
      </c>
      <c r="V480">
        <f t="shared" si="103"/>
        <v>7</v>
      </c>
    </row>
    <row r="481" spans="1:22" x14ac:dyDescent="0.25">
      <c r="A481" t="str">
        <f>IF(games!$A481="","",games!$A481)</f>
        <v>Moonlighter</v>
      </c>
      <c r="B481">
        <f>IF($A481="","",games!$B481)</f>
        <v>2018</v>
      </c>
      <c r="C481" t="str">
        <f>IF($A481="","",games!$C481)</f>
        <v>Action</v>
      </c>
      <c r="D481">
        <f>IF($A481="","",COUNTIF(connections!$A$2:$A$1460,$A481)+COUNTIF(connections!$B$2:$B$1460,$A481))</f>
        <v>4</v>
      </c>
      <c r="E481">
        <f t="shared" si="91"/>
        <v>1</v>
      </c>
      <c r="F481">
        <f t="shared" si="92"/>
        <v>5</v>
      </c>
      <c r="G481">
        <f t="shared" si="93"/>
        <v>2018</v>
      </c>
      <c r="H481">
        <f t="shared" si="94"/>
        <v>1.115</v>
      </c>
      <c r="I481" t="e">
        <f t="shared" si="95"/>
        <v>#N/A</v>
      </c>
      <c r="J481" t="e">
        <f t="shared" si="96"/>
        <v>#N/A</v>
      </c>
      <c r="K481" t="e">
        <f t="shared" si="97"/>
        <v>#N/A</v>
      </c>
      <c r="L481" t="e">
        <f t="shared" si="98"/>
        <v>#N/A</v>
      </c>
      <c r="M481" t="e">
        <f t="shared" si="99"/>
        <v>#N/A</v>
      </c>
      <c r="N481" t="e">
        <f t="shared" si="100"/>
        <v>#N/A</v>
      </c>
      <c r="O481">
        <f t="shared" si="101"/>
        <v>4.0004809999999997</v>
      </c>
      <c r="P481" t="str">
        <f>IF(OR($A481="",games!$H481=""),"",games!$H481)</f>
        <v>Yes</v>
      </c>
      <c r="Q481">
        <f t="shared" si="102"/>
        <v>4.0004809999999997</v>
      </c>
      <c r="T481">
        <f>IF(connections!$A481="","",IFERROR(INDEX(games!$B$2:$B$950,MATCH(connections!$A481,games!$A$2:$A$950,0)),""))</f>
        <v>2012</v>
      </c>
      <c r="U481">
        <f>IF(connections!$A481="","",IFERROR(INDEX(games!$B$2:$B$950,MATCH(connections!$B481,games!$A$2:$A$950,0)),""))</f>
        <v>2019</v>
      </c>
      <c r="V481">
        <f t="shared" si="103"/>
        <v>7</v>
      </c>
    </row>
    <row r="482" spans="1:22" x14ac:dyDescent="0.25">
      <c r="A482" t="str">
        <f>IF(games!$A482="","",games!$A482)</f>
        <v>Moonlighter 2: The Endless Vault</v>
      </c>
      <c r="B482">
        <f>IF($A482="","",games!$B482)</f>
        <v>2025</v>
      </c>
      <c r="C482" t="str">
        <f>IF($A482="","",games!$C482)</f>
        <v>Action</v>
      </c>
      <c r="D482">
        <f>IF($A482="","",COUNTIF(connections!$A$2:$A$1460,$A482)+COUNTIF(connections!$B$2:$B$1460,$A482))</f>
        <v>1</v>
      </c>
      <c r="E482">
        <f t="shared" si="91"/>
        <v>1</v>
      </c>
      <c r="F482">
        <f t="shared" si="92"/>
        <v>6</v>
      </c>
      <c r="G482">
        <f t="shared" si="93"/>
        <v>2025</v>
      </c>
      <c r="H482">
        <f t="shared" si="94"/>
        <v>1.1379999999999999</v>
      </c>
      <c r="I482" t="e">
        <f t="shared" si="95"/>
        <v>#N/A</v>
      </c>
      <c r="J482" t="e">
        <f t="shared" si="96"/>
        <v>#N/A</v>
      </c>
      <c r="K482" t="e">
        <f t="shared" si="97"/>
        <v>#N/A</v>
      </c>
      <c r="L482" t="e">
        <f t="shared" si="98"/>
        <v>#N/A</v>
      </c>
      <c r="M482" t="e">
        <f t="shared" si="99"/>
        <v>#N/A</v>
      </c>
      <c r="N482" t="e">
        <f t="shared" si="100"/>
        <v>#N/A</v>
      </c>
      <c r="O482">
        <f t="shared" si="101"/>
        <v>1.0004820000000001</v>
      </c>
      <c r="P482" t="str">
        <f>IF(OR($A482="",games!$H482=""),"",games!$H482)</f>
        <v/>
      </c>
      <c r="Q482" t="str">
        <f t="shared" si="102"/>
        <v/>
      </c>
      <c r="T482">
        <f>IF(connections!$A482="","",IFERROR(INDEX(games!$B$2:$B$950,MATCH(connections!$A482,games!$A$2:$A$950,0)),""))</f>
        <v>2012</v>
      </c>
      <c r="U482">
        <f>IF(connections!$A482="","",IFERROR(INDEX(games!$B$2:$B$950,MATCH(connections!$B482,games!$A$2:$A$950,0)),""))</f>
        <v>2024</v>
      </c>
      <c r="V482">
        <f t="shared" si="103"/>
        <v>12</v>
      </c>
    </row>
    <row r="483" spans="1:22" x14ac:dyDescent="0.25">
      <c r="A483" t="str">
        <f>IF(games!$A483="","",games!$A483)</f>
        <v>Moonring</v>
      </c>
      <c r="B483">
        <f>IF($A483="","",games!$B483)</f>
        <v>2023</v>
      </c>
      <c r="C483" t="str">
        <f>IF($A483="","",games!$C483)</f>
        <v>Traditional</v>
      </c>
      <c r="D483">
        <f>IF($A483="","",COUNTIF(connections!$A$2:$A$1460,$A483)+COUNTIF(connections!$B$2:$B$1460,$A483))</f>
        <v>4</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2023</v>
      </c>
      <c r="N483">
        <f t="shared" si="100"/>
        <v>4.1609999999999996</v>
      </c>
      <c r="O483">
        <f t="shared" si="101"/>
        <v>4.000483</v>
      </c>
      <c r="P483" t="str">
        <f>IF(OR($A483="",games!$H483=""),"",games!$H483)</f>
        <v>Yes</v>
      </c>
      <c r="Q483">
        <f t="shared" si="102"/>
        <v>4.000483</v>
      </c>
      <c r="T483">
        <f>IF(connections!$A483="","",IFERROR(INDEX(games!$B$2:$B$950,MATCH(connections!$A483,games!$A$2:$A$950,0)),""))</f>
        <v>2012</v>
      </c>
      <c r="U483">
        <f>IF(connections!$A483="","",IFERROR(INDEX(games!$B$2:$B$950,MATCH(connections!$B483,games!$A$2:$A$950,0)),""))</f>
        <v>2023</v>
      </c>
      <c r="V483">
        <f t="shared" si="103"/>
        <v>11</v>
      </c>
    </row>
    <row r="484" spans="1:22" x14ac:dyDescent="0.25">
      <c r="A484" t="str">
        <f>IF(games!$A484="","",games!$A484)</f>
        <v>Morbid Metal</v>
      </c>
      <c r="B484">
        <f>IF($A484="","",games!$B484)</f>
        <v>2026</v>
      </c>
      <c r="C484" t="str">
        <f>IF($A484="","",games!$C484)</f>
        <v>Action</v>
      </c>
      <c r="D484">
        <f>IF($A484="","",COUNTIF(connections!$A$2:$A$1460,$A484)+COUNTIF(connections!$B$2:$B$1460,$A484))</f>
        <v>2</v>
      </c>
      <c r="E484">
        <f t="shared" si="91"/>
        <v>1</v>
      </c>
      <c r="F484">
        <f t="shared" si="92"/>
        <v>8</v>
      </c>
      <c r="G484">
        <f t="shared" si="93"/>
        <v>2026</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
      </c>
      <c r="Q484" t="str">
        <f t="shared" si="102"/>
        <v/>
      </c>
      <c r="T484">
        <f>IF(connections!$A484="","",IFERROR(INDEX(games!$B$2:$B$950,MATCH(connections!$A484,games!$A$2:$A$950,0)),""))</f>
        <v>2010</v>
      </c>
      <c r="U484">
        <f>IF(connections!$A484="","",IFERROR(INDEX(games!$B$2:$B$950,MATCH(connections!$B484,games!$A$2:$A$950,0)),""))</f>
        <v>2010</v>
      </c>
      <c r="V484">
        <f t="shared" si="103"/>
        <v>0</v>
      </c>
    </row>
    <row r="485" spans="1:22" x14ac:dyDescent="0.25">
      <c r="A485" t="str">
        <f>IF(games!$A485="","",games!$A485)</f>
        <v>Moria</v>
      </c>
      <c r="B485">
        <f>IF($A485="","",games!$B485)</f>
        <v>1983</v>
      </c>
      <c r="C485" t="str">
        <f>IF($A485="","",games!$C485)</f>
        <v>Traditional</v>
      </c>
      <c r="D485">
        <f>IF($A485="","",COUNTIF(connections!$A$2:$A$1460,$A485)+COUNTIF(connections!$B$2:$B$1460,$A485))</f>
        <v>4</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1983</v>
      </c>
      <c r="N485">
        <f t="shared" si="100"/>
        <v>4.2069999999999999</v>
      </c>
      <c r="O485">
        <f t="shared" si="101"/>
        <v>4.0004850000000003</v>
      </c>
      <c r="P485" t="str">
        <f>IF(OR($A485="",games!$H485=""),"",games!$H485)</f>
        <v>Yes</v>
      </c>
      <c r="Q485">
        <f t="shared" si="102"/>
        <v>4.0004850000000003</v>
      </c>
      <c r="T485">
        <f>IF(connections!$A485="","",IFERROR(INDEX(games!$B$2:$B$950,MATCH(connections!$A485,games!$A$2:$A$950,0)),""))</f>
        <v>2010</v>
      </c>
      <c r="U485">
        <f>IF(connections!$A485="","",IFERROR(INDEX(games!$B$2:$B$950,MATCH(connections!$B485,games!$A$2:$A$950,0)),""))</f>
        <v>2011</v>
      </c>
      <c r="V485">
        <f t="shared" si="103"/>
        <v>1</v>
      </c>
    </row>
    <row r="486" spans="1:22" x14ac:dyDescent="0.25">
      <c r="A486" t="str">
        <f>IF(games!$A486="","",games!$A486)</f>
        <v>Morimens</v>
      </c>
      <c r="B486">
        <f>IF($A486="","",games!$B486)</f>
        <v>2024</v>
      </c>
      <c r="C486" t="str">
        <f>IF($A486="","",games!$C486)</f>
        <v>Deckbuilder</v>
      </c>
      <c r="D486">
        <f>IF($A486="","",COUNTIF(connections!$A$2:$A$1460,$A486)+COUNTIF(connections!$B$2:$B$1460,$A486))</f>
        <v>1</v>
      </c>
      <c r="E486">
        <f t="shared" si="91"/>
        <v>3</v>
      </c>
      <c r="F486">
        <f t="shared" si="92"/>
        <v>10</v>
      </c>
      <c r="G486" t="e">
        <f t="shared" si="93"/>
        <v>#N/A</v>
      </c>
      <c r="H486" t="e">
        <f t="shared" si="94"/>
        <v>#N/A</v>
      </c>
      <c r="I486" t="e">
        <f t="shared" si="95"/>
        <v>#N/A</v>
      </c>
      <c r="J486" t="e">
        <f t="shared" si="96"/>
        <v>#N/A</v>
      </c>
      <c r="K486">
        <f t="shared" si="97"/>
        <v>2024</v>
      </c>
      <c r="L486">
        <f t="shared" si="98"/>
        <v>3.23</v>
      </c>
      <c r="M486" t="e">
        <f t="shared" si="99"/>
        <v>#N/A</v>
      </c>
      <c r="N486" t="e">
        <f t="shared" si="100"/>
        <v>#N/A</v>
      </c>
      <c r="O486">
        <f t="shared" si="101"/>
        <v>1.000486</v>
      </c>
      <c r="P486" t="str">
        <f>IF(OR($A486="",games!$H486=""),"",games!$H486)</f>
        <v>Yes</v>
      </c>
      <c r="Q486">
        <f t="shared" si="102"/>
        <v>1.000486</v>
      </c>
      <c r="T486">
        <f>IF(connections!$A486="","",IFERROR(INDEX(games!$B$2:$B$950,MATCH(connections!$A486,games!$A$2:$A$950,0)),""))</f>
        <v>2010</v>
      </c>
      <c r="U486">
        <f>IF(connections!$A486="","",IFERROR(INDEX(games!$B$2:$B$950,MATCH(connections!$B486,games!$A$2:$A$950,0)),""))</f>
        <v>2011</v>
      </c>
      <c r="V486">
        <f t="shared" si="103"/>
        <v>1</v>
      </c>
    </row>
    <row r="487" spans="1:22" x14ac:dyDescent="0.25">
      <c r="A487" t="str">
        <f>IF(games!$A487="","",games!$A487)</f>
        <v>Morsels</v>
      </c>
      <c r="B487">
        <f>IF($A487="","",games!$B487)</f>
        <v>2025</v>
      </c>
      <c r="C487" t="str">
        <f>IF($A487="","",games!$C487)</f>
        <v>Action</v>
      </c>
      <c r="D487">
        <f>IF($A487="","",COUNTIF(connections!$A$2:$A$1460,$A487)+COUNTIF(connections!$B$2:$B$1460,$A487))</f>
        <v>0</v>
      </c>
      <c r="E487">
        <f t="shared" si="91"/>
        <v>1</v>
      </c>
      <c r="F487">
        <f t="shared" si="92"/>
        <v>11</v>
      </c>
      <c r="G487">
        <f t="shared" si="93"/>
        <v>2025</v>
      </c>
      <c r="H487">
        <f t="shared" si="94"/>
        <v>1.2530000000000001</v>
      </c>
      <c r="I487" t="e">
        <f t="shared" si="95"/>
        <v>#N/A</v>
      </c>
      <c r="J487" t="e">
        <f t="shared" si="96"/>
        <v>#N/A</v>
      </c>
      <c r="K487" t="e">
        <f t="shared" si="97"/>
        <v>#N/A</v>
      </c>
      <c r="L487" t="e">
        <f t="shared" si="98"/>
        <v>#N/A</v>
      </c>
      <c r="M487" t="e">
        <f t="shared" si="99"/>
        <v>#N/A</v>
      </c>
      <c r="N487" t="e">
        <f t="shared" si="100"/>
        <v>#N/A</v>
      </c>
      <c r="O487">
        <f t="shared" si="101"/>
        <v>4.8700000000000002E-4</v>
      </c>
      <c r="P487" t="str">
        <f>IF(OR($A487="",games!$H487=""),"",games!$H487)</f>
        <v/>
      </c>
      <c r="Q487" t="str">
        <f t="shared" si="102"/>
        <v/>
      </c>
      <c r="T487">
        <f>IF(connections!$A487="","",IFERROR(INDEX(games!$B$2:$B$950,MATCH(connections!$A487,games!$A$2:$A$950,0)),""))</f>
        <v>2010</v>
      </c>
      <c r="U487">
        <f>IF(connections!$A487="","",IFERROR(INDEX(games!$B$2:$B$950,MATCH(connections!$B487,games!$A$2:$A$950,0)),""))</f>
        <v>2010</v>
      </c>
      <c r="V487">
        <f t="shared" si="103"/>
        <v>0</v>
      </c>
    </row>
    <row r="488" spans="1:22" x14ac:dyDescent="0.25">
      <c r="A488" t="str">
        <f>IF(games!$A488="","",games!$A488)</f>
        <v>Mortal Sin</v>
      </c>
      <c r="B488">
        <f>IF($A488="","",games!$B488)</f>
        <v>2023</v>
      </c>
      <c r="C488" t="str">
        <f>IF($A488="","",games!$C488)</f>
        <v>Action</v>
      </c>
      <c r="D488">
        <f>IF($A488="","",COUNTIF(connections!$A$2:$A$1460,$A488)+COUNTIF(connections!$B$2:$B$1460,$A488))</f>
        <v>2</v>
      </c>
      <c r="E488">
        <f t="shared" si="91"/>
        <v>1</v>
      </c>
      <c r="F488">
        <f t="shared" si="92"/>
        <v>12</v>
      </c>
      <c r="G488">
        <f t="shared" si="93"/>
        <v>2023</v>
      </c>
      <c r="H488">
        <f t="shared" si="94"/>
        <v>1.276</v>
      </c>
      <c r="I488" t="e">
        <f t="shared" si="95"/>
        <v>#N/A</v>
      </c>
      <c r="J488" t="e">
        <f t="shared" si="96"/>
        <v>#N/A</v>
      </c>
      <c r="K488" t="e">
        <f t="shared" si="97"/>
        <v>#N/A</v>
      </c>
      <c r="L488" t="e">
        <f t="shared" si="98"/>
        <v>#N/A</v>
      </c>
      <c r="M488" t="e">
        <f t="shared" si="99"/>
        <v>#N/A</v>
      </c>
      <c r="N488" t="e">
        <f t="shared" si="100"/>
        <v>#N/A</v>
      </c>
      <c r="O488">
        <f t="shared" si="101"/>
        <v>2.0004879999999998</v>
      </c>
      <c r="P488" t="str">
        <f>IF(OR($A488="",games!$H488=""),"",games!$H488)</f>
        <v>Yes</v>
      </c>
      <c r="Q488">
        <f t="shared" si="102"/>
        <v>2.0004879999999998</v>
      </c>
      <c r="T488">
        <f>IF(connections!$A488="","",IFERROR(INDEX(games!$B$2:$B$950,MATCH(connections!$A488,games!$A$2:$A$950,0)),""))</f>
        <v>2014</v>
      </c>
      <c r="U488">
        <f>IF(connections!$A488="","",IFERROR(INDEX(games!$B$2:$B$950,MATCH(connections!$B488,games!$A$2:$A$950,0)),""))</f>
        <v>2024</v>
      </c>
      <c r="V488">
        <f t="shared" si="103"/>
        <v>10</v>
      </c>
    </row>
    <row r="489" spans="1:22" x14ac:dyDescent="0.25">
      <c r="A489" t="str">
        <f>IF(games!$A489="","",games!$A489)</f>
        <v>Mothergunship</v>
      </c>
      <c r="B489">
        <f>IF($A489="","",games!$B489)</f>
        <v>2018</v>
      </c>
      <c r="C489" t="str">
        <f>IF($A489="","",games!$C489)</f>
        <v>Action</v>
      </c>
      <c r="D489">
        <f>IF($A489="","",COUNTIF(connections!$A$2:$A$1460,$A489)+COUNTIF(connections!$B$2:$B$1460,$A489))</f>
        <v>2</v>
      </c>
      <c r="E489">
        <f t="shared" si="91"/>
        <v>1</v>
      </c>
      <c r="F489">
        <f t="shared" si="92"/>
        <v>13</v>
      </c>
      <c r="G489">
        <f t="shared" si="93"/>
        <v>2018</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Yes</v>
      </c>
      <c r="Q489">
        <f t="shared" si="102"/>
        <v>2.000489</v>
      </c>
      <c r="T489">
        <f>IF(connections!$A489="","",IFERROR(INDEX(games!$B$2:$B$950,MATCH(connections!$A489,games!$A$2:$A$950,0)),""))</f>
        <v>2002</v>
      </c>
      <c r="U489">
        <f>IF(connections!$A489="","",IFERROR(INDEX(games!$B$2:$B$950,MATCH(connections!$B489,games!$A$2:$A$950,0)),""))</f>
        <v>2007</v>
      </c>
      <c r="V489">
        <f t="shared" si="103"/>
        <v>5</v>
      </c>
    </row>
    <row r="490" spans="1:22" x14ac:dyDescent="0.25">
      <c r="A490" t="str">
        <f>IF(games!$A490="","",games!$A490)</f>
        <v>Mothergunship: Forge</v>
      </c>
      <c r="B490">
        <f>IF($A490="","",games!$B490)</f>
        <v>2022</v>
      </c>
      <c r="C490" t="str">
        <f>IF($A490="","",games!$C490)</f>
        <v>Action</v>
      </c>
      <c r="D490">
        <f>IF($A490="","",COUNTIF(connections!$A$2:$A$1460,$A490)+COUNTIF(connections!$B$2:$B$1460,$A490))</f>
        <v>1</v>
      </c>
      <c r="E490">
        <f t="shared" si="91"/>
        <v>1</v>
      </c>
      <c r="F490">
        <f t="shared" si="92"/>
        <v>14</v>
      </c>
      <c r="G490">
        <f t="shared" si="93"/>
        <v>2022</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Yes</v>
      </c>
      <c r="Q490">
        <f t="shared" si="102"/>
        <v>1.0004900000000001</v>
      </c>
      <c r="T490">
        <f>IF(connections!$A490="","",IFERROR(INDEX(games!$B$2:$B$950,MATCH(connections!$A490,games!$A$2:$A$950,0)),""))</f>
        <v>2007</v>
      </c>
      <c r="U490">
        <f>IF(connections!$A490="","",IFERROR(INDEX(games!$B$2:$B$950,MATCH(connections!$B490,games!$A$2:$A$950,0)),""))</f>
        <v>2022</v>
      </c>
      <c r="V490">
        <f t="shared" si="103"/>
        <v>15</v>
      </c>
    </row>
    <row r="491" spans="1:22" x14ac:dyDescent="0.25">
      <c r="A491" t="str">
        <f>IF(games!$A491="","",games!$A491)</f>
        <v>Motto!? Fushigi no Gensoukyou: Under the Moonlight</v>
      </c>
      <c r="B491">
        <f>IF($A491="","",games!$B491)</f>
        <v>2011</v>
      </c>
      <c r="C491" t="str">
        <f>IF($A491="","",games!$C491)</f>
        <v>Traditional</v>
      </c>
      <c r="D491">
        <f>IF($A491="","",COUNTIF(connections!$A$2:$A$1460,$A491)+COUNTIF(connections!$B$2:$B$1460,$A491))</f>
        <v>2</v>
      </c>
      <c r="E491">
        <f t="shared" si="91"/>
        <v>4</v>
      </c>
      <c r="F491">
        <f t="shared" si="92"/>
        <v>15</v>
      </c>
      <c r="G491" t="e">
        <f t="shared" si="93"/>
        <v>#N/A</v>
      </c>
      <c r="H491" t="e">
        <f t="shared" si="94"/>
        <v>#N/A</v>
      </c>
      <c r="I491" t="e">
        <f t="shared" si="95"/>
        <v>#N/A</v>
      </c>
      <c r="J491" t="e">
        <f t="shared" si="96"/>
        <v>#N/A</v>
      </c>
      <c r="K491" t="e">
        <f t="shared" si="97"/>
        <v>#N/A</v>
      </c>
      <c r="L491" t="e">
        <f t="shared" si="98"/>
        <v>#N/A</v>
      </c>
      <c r="M491">
        <f t="shared" si="99"/>
        <v>2011</v>
      </c>
      <c r="N491">
        <f t="shared" si="100"/>
        <v>4.3449999999999998</v>
      </c>
      <c r="O491">
        <f t="shared" si="101"/>
        <v>2.0004909999999998</v>
      </c>
      <c r="P491" t="str">
        <f>IF(OR($A491="",games!$H491=""),"",games!$H491)</f>
        <v/>
      </c>
      <c r="Q491" t="str">
        <f t="shared" si="102"/>
        <v/>
      </c>
      <c r="T491">
        <f>IF(connections!$A491="","",IFERROR(INDEX(games!$B$2:$B$950,MATCH(connections!$A491,games!$A$2:$A$950,0)),""))</f>
        <v>2024</v>
      </c>
      <c r="U491">
        <f>IF(connections!$A491="","",IFERROR(INDEX(games!$B$2:$B$950,MATCH(connections!$B491,games!$A$2:$A$950,0)),""))</f>
        <v>2025</v>
      </c>
      <c r="V491">
        <f t="shared" si="103"/>
        <v>1</v>
      </c>
    </row>
    <row r="492" spans="1:22" x14ac:dyDescent="0.25">
      <c r="A492" t="str">
        <f>IF(games!$A492="","",games!$A492)</f>
        <v>Mr. Sun's Hatbox</v>
      </c>
      <c r="B492">
        <f>IF($A492="","",games!$B492)</f>
        <v>2023</v>
      </c>
      <c r="C492" t="str">
        <f>IF($A492="","",games!$C492)</f>
        <v>Action</v>
      </c>
      <c r="D492">
        <f>IF($A492="","",COUNTIF(connections!$A$2:$A$1460,$A492)+COUNTIF(connections!$B$2:$B$1460,$A492))</f>
        <v>1</v>
      </c>
      <c r="E492">
        <f t="shared" si="91"/>
        <v>1</v>
      </c>
      <c r="F492">
        <f t="shared" si="92"/>
        <v>16</v>
      </c>
      <c r="G492">
        <f t="shared" si="93"/>
        <v>2023</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IF(connections!$A492="","",IFERROR(INDEX(games!$B$2:$B$950,MATCH(connections!$A492,games!$A$2:$A$950,0)),""))</f>
        <v>2024</v>
      </c>
      <c r="U492">
        <f>IF(connections!$A492="","",IFERROR(INDEX(games!$B$2:$B$950,MATCH(connections!$B492,games!$A$2:$A$950,0)),""))</f>
        <v>2026</v>
      </c>
      <c r="V492">
        <f t="shared" si="103"/>
        <v>2</v>
      </c>
    </row>
    <row r="493" spans="1:22" x14ac:dyDescent="0.25">
      <c r="A493" t="str">
        <f>IF(games!$A493="","",games!$A493)</f>
        <v>Muck</v>
      </c>
      <c r="B493">
        <f>IF($A493="","",games!$B493)</f>
        <v>2021</v>
      </c>
      <c r="C493" t="str">
        <f>IF($A493="","",games!$C493)</f>
        <v>Action</v>
      </c>
      <c r="D493">
        <f>IF($A493="","",COUNTIF(connections!$A$2:$A$1460,$A493)+COUNTIF(connections!$B$2:$B$1460,$A493))</f>
        <v>3</v>
      </c>
      <c r="E493">
        <f t="shared" si="91"/>
        <v>1</v>
      </c>
      <c r="F493">
        <f t="shared" si="92"/>
        <v>17</v>
      </c>
      <c r="G493">
        <f t="shared" si="93"/>
        <v>2021</v>
      </c>
      <c r="H493">
        <f t="shared" si="94"/>
        <v>1.391</v>
      </c>
      <c r="I493" t="e">
        <f t="shared" si="95"/>
        <v>#N/A</v>
      </c>
      <c r="J493" t="e">
        <f t="shared" si="96"/>
        <v>#N/A</v>
      </c>
      <c r="K493" t="e">
        <f t="shared" si="97"/>
        <v>#N/A</v>
      </c>
      <c r="L493" t="e">
        <f t="shared" si="98"/>
        <v>#N/A</v>
      </c>
      <c r="M493" t="e">
        <f t="shared" si="99"/>
        <v>#N/A</v>
      </c>
      <c r="N493" t="e">
        <f t="shared" si="100"/>
        <v>#N/A</v>
      </c>
      <c r="O493">
        <f t="shared" si="101"/>
        <v>3.0004930000000001</v>
      </c>
      <c r="P493" t="str">
        <f>IF(OR($A493="",games!$H493=""),"",games!$H493)</f>
        <v>Yes</v>
      </c>
      <c r="Q493">
        <f t="shared" si="102"/>
        <v>3.0004930000000001</v>
      </c>
      <c r="T493">
        <f>IF(connections!$A493="","",IFERROR(INDEX(games!$B$2:$B$950,MATCH(connections!$A493,games!$A$2:$A$950,0)),""))</f>
        <v>2020</v>
      </c>
      <c r="U493">
        <f>IF(connections!$A493="","",IFERROR(INDEX(games!$B$2:$B$950,MATCH(connections!$B493,games!$A$2:$A$950,0)),""))</f>
        <v>2023</v>
      </c>
      <c r="V493">
        <f t="shared" si="103"/>
        <v>3</v>
      </c>
    </row>
    <row r="494" spans="1:22" x14ac:dyDescent="0.25">
      <c r="A494" t="str">
        <f>IF(games!$A494="","",games!$A494)</f>
        <v>My Card Is Better Than Your Card!</v>
      </c>
      <c r="B494">
        <f>IF($A494="","",games!$B494)</f>
        <v>2025</v>
      </c>
      <c r="C494" t="str">
        <f>IF($A494="","",games!$C494)</f>
        <v>Deckbuilder</v>
      </c>
      <c r="D494">
        <f>IF($A494="","",COUNTIF(connections!$A$2:$A$1460,$A494)+COUNTIF(connections!$B$2:$B$1460,$A494))</f>
        <v>1</v>
      </c>
      <c r="E494">
        <f t="shared" si="91"/>
        <v>3</v>
      </c>
      <c r="F494">
        <f t="shared" si="92"/>
        <v>18</v>
      </c>
      <c r="G494" t="e">
        <f t="shared" si="93"/>
        <v>#N/A</v>
      </c>
      <c r="H494" t="e">
        <f t="shared" si="94"/>
        <v>#N/A</v>
      </c>
      <c r="I494" t="e">
        <f t="shared" si="95"/>
        <v>#N/A</v>
      </c>
      <c r="J494" t="e">
        <f t="shared" si="96"/>
        <v>#N/A</v>
      </c>
      <c r="K494">
        <f t="shared" si="97"/>
        <v>2025</v>
      </c>
      <c r="L494">
        <f t="shared" si="98"/>
        <v>3.4140000000000001</v>
      </c>
      <c r="M494" t="e">
        <f t="shared" si="99"/>
        <v>#N/A</v>
      </c>
      <c r="N494" t="e">
        <f t="shared" si="100"/>
        <v>#N/A</v>
      </c>
      <c r="O494">
        <f t="shared" si="101"/>
        <v>1.000494</v>
      </c>
      <c r="P494" t="str">
        <f>IF(OR($A494="",games!$H494=""),"",games!$H494)</f>
        <v/>
      </c>
      <c r="Q494" t="str">
        <f t="shared" si="102"/>
        <v/>
      </c>
      <c r="T494">
        <f>IF(connections!$A494="","",IFERROR(INDEX(games!$B$2:$B$950,MATCH(connections!$A494,games!$A$2:$A$950,0)),""))</f>
        <v>2016</v>
      </c>
      <c r="U494">
        <f>IF(connections!$A494="","",IFERROR(INDEX(games!$B$2:$B$950,MATCH(connections!$B494,games!$A$2:$A$950,0)),""))</f>
        <v>2020</v>
      </c>
      <c r="V494">
        <f t="shared" si="103"/>
        <v>4</v>
      </c>
    </row>
    <row r="495" spans="1:22" x14ac:dyDescent="0.25">
      <c r="A495" t="str">
        <f>IF(games!$A495="","",games!$A495)</f>
        <v>Mystery Chronicle: One Way Heroics</v>
      </c>
      <c r="B495">
        <f>IF($A495="","",games!$B495)</f>
        <v>2016</v>
      </c>
      <c r="C495" t="str">
        <f>IF($A495="","",games!$C495)</f>
        <v>Traditional</v>
      </c>
      <c r="D495">
        <f>IF($A495="","",COUNTIF(connections!$A$2:$A$1460,$A495)+COUNTIF(connections!$B$2:$B$1460,$A495))</f>
        <v>1</v>
      </c>
      <c r="E495">
        <f t="shared" si="91"/>
        <v>4</v>
      </c>
      <c r="F495">
        <f t="shared" si="92"/>
        <v>19</v>
      </c>
      <c r="G495" t="e">
        <f t="shared" si="93"/>
        <v>#N/A</v>
      </c>
      <c r="H495" t="e">
        <f t="shared" si="94"/>
        <v>#N/A</v>
      </c>
      <c r="I495" t="e">
        <f t="shared" si="95"/>
        <v>#N/A</v>
      </c>
      <c r="J495" t="e">
        <f t="shared" si="96"/>
        <v>#N/A</v>
      </c>
      <c r="K495" t="e">
        <f t="shared" si="97"/>
        <v>#N/A</v>
      </c>
      <c r="L495" t="e">
        <f t="shared" si="98"/>
        <v>#N/A</v>
      </c>
      <c r="M495">
        <f t="shared" si="99"/>
        <v>2016</v>
      </c>
      <c r="N495">
        <f t="shared" si="100"/>
        <v>4.4370000000000003</v>
      </c>
      <c r="O495">
        <f t="shared" si="101"/>
        <v>1.0004949999999999</v>
      </c>
      <c r="P495" t="str">
        <f>IF(OR($A495="",games!$H495=""),"",games!$H495)</f>
        <v>Yes</v>
      </c>
      <c r="Q495">
        <f t="shared" si="102"/>
        <v>1.0004949999999999</v>
      </c>
      <c r="T495">
        <f>IF(connections!$A495="","",IFERROR(INDEX(games!$B$2:$B$950,MATCH(connections!$A495,games!$A$2:$A$950,0)),""))</f>
        <v>2020</v>
      </c>
      <c r="U495">
        <f>IF(connections!$A495="","",IFERROR(INDEX(games!$B$2:$B$950,MATCH(connections!$B495,games!$A$2:$A$950,0)),""))</f>
        <v>2024</v>
      </c>
      <c r="V495">
        <f t="shared" si="103"/>
        <v>4</v>
      </c>
    </row>
    <row r="496" spans="1:22" x14ac:dyDescent="0.25">
      <c r="A496" t="str">
        <f>IF(games!$A496="","",games!$A496)</f>
        <v>Mystery Dungeon 2: Shiren the Wanderer</v>
      </c>
      <c r="B496">
        <f>IF($A496="","",games!$B496)</f>
        <v>1995</v>
      </c>
      <c r="C496" t="str">
        <f>IF($A496="","",games!$C496)</f>
        <v>Traditional</v>
      </c>
      <c r="D496">
        <f>IF($A496="","",COUNTIF(connections!$A$2:$A$1460,$A496)+COUNTIF(connections!$B$2:$B$1460,$A496))</f>
        <v>12</v>
      </c>
      <c r="E496">
        <f t="shared" si="91"/>
        <v>4</v>
      </c>
      <c r="F496">
        <f t="shared" si="92"/>
        <v>20</v>
      </c>
      <c r="G496" t="e">
        <f t="shared" si="93"/>
        <v>#N/A</v>
      </c>
      <c r="H496" t="e">
        <f t="shared" si="94"/>
        <v>#N/A</v>
      </c>
      <c r="I496" t="e">
        <f t="shared" si="95"/>
        <v>#N/A</v>
      </c>
      <c r="J496" t="e">
        <f t="shared" si="96"/>
        <v>#N/A</v>
      </c>
      <c r="K496" t="e">
        <f t="shared" si="97"/>
        <v>#N/A</v>
      </c>
      <c r="L496" t="e">
        <f t="shared" si="98"/>
        <v>#N/A</v>
      </c>
      <c r="M496">
        <f t="shared" si="99"/>
        <v>1995</v>
      </c>
      <c r="N496">
        <f t="shared" si="100"/>
        <v>4.46</v>
      </c>
      <c r="O496">
        <f t="shared" si="101"/>
        <v>12.000496</v>
      </c>
      <c r="P496" t="str">
        <f>IF(OR($A496="",games!$H496=""),"",games!$H496)</f>
        <v>Yes</v>
      </c>
      <c r="Q496">
        <f t="shared" si="102"/>
        <v>12.000496</v>
      </c>
      <c r="T496">
        <f>IF(connections!$A496="","",IFERROR(INDEX(games!$B$2:$B$950,MATCH(connections!$A496,games!$A$2:$A$950,0)),""))</f>
        <v>2020</v>
      </c>
      <c r="U496">
        <f>IF(connections!$A496="","",IFERROR(INDEX(games!$B$2:$B$950,MATCH(connections!$B496,games!$A$2:$A$950,0)),""))</f>
        <v>2023</v>
      </c>
      <c r="V496">
        <f t="shared" si="103"/>
        <v>3</v>
      </c>
    </row>
    <row r="497" spans="1:22" x14ac:dyDescent="0.25">
      <c r="A497" t="str">
        <f>IF(games!$A497="","",games!$A497)</f>
        <v>Mythical Concept Starnaut</v>
      </c>
      <c r="B497">
        <f>IF($A497="","",games!$B497)</f>
        <v>2024</v>
      </c>
      <c r="C497" t="str">
        <f>IF($A497="","",games!$C497)</f>
        <v>Action</v>
      </c>
      <c r="D497">
        <f>IF($A497="","",COUNTIF(connections!$A$2:$A$1460,$A497)+COUNTIF(connections!$B$2:$B$1460,$A497))</f>
        <v>1</v>
      </c>
      <c r="E497">
        <f t="shared" si="91"/>
        <v>1</v>
      </c>
      <c r="F497">
        <f t="shared" si="92"/>
        <v>21</v>
      </c>
      <c r="G497">
        <f t="shared" si="93"/>
        <v>2024</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2021</v>
      </c>
      <c r="U497">
        <f>IF(connections!$A497="","",IFERROR(INDEX(games!$B$2:$B$950,MATCH(connections!$B497,games!$A$2:$A$950,0)),""))</f>
        <v>2024</v>
      </c>
      <c r="V497">
        <f t="shared" si="103"/>
        <v>3</v>
      </c>
    </row>
    <row r="498" spans="1:22" x14ac:dyDescent="0.25">
      <c r="A498" t="str">
        <f>IF(games!$A498="","",games!$A498)</f>
        <v>Nadir</v>
      </c>
      <c r="B498">
        <f>IF($A498="","",games!$B498)</f>
        <v>2022</v>
      </c>
      <c r="C498" t="str">
        <f>IF($A498="","",games!$C498)</f>
        <v>Deckbuilder</v>
      </c>
      <c r="D498">
        <f>IF($A498="","",COUNTIF(connections!$A$2:$A$1460,$A498)+COUNTIF(connections!$B$2:$B$1460,$A498))</f>
        <v>2</v>
      </c>
      <c r="E498">
        <f t="shared" si="91"/>
        <v>3</v>
      </c>
      <c r="F498">
        <f t="shared" si="92"/>
        <v>22</v>
      </c>
      <c r="G498" t="e">
        <f t="shared" si="93"/>
        <v>#N/A</v>
      </c>
      <c r="H498" t="e">
        <f t="shared" si="94"/>
        <v>#N/A</v>
      </c>
      <c r="I498" t="e">
        <f t="shared" si="95"/>
        <v>#N/A</v>
      </c>
      <c r="J498" t="e">
        <f t="shared" si="96"/>
        <v>#N/A</v>
      </c>
      <c r="K498">
        <f t="shared" si="97"/>
        <v>2022</v>
      </c>
      <c r="L498">
        <f t="shared" si="98"/>
        <v>3.5060000000000002</v>
      </c>
      <c r="M498" t="e">
        <f t="shared" si="99"/>
        <v>#N/A</v>
      </c>
      <c r="N498" t="e">
        <f t="shared" si="100"/>
        <v>#N/A</v>
      </c>
      <c r="O498">
        <f t="shared" si="101"/>
        <v>2.0004979999999999</v>
      </c>
      <c r="P498" t="str">
        <f>IF(OR($A498="",games!$H498=""),"",games!$H498)</f>
        <v/>
      </c>
      <c r="Q498" t="str">
        <f t="shared" si="102"/>
        <v/>
      </c>
      <c r="T498">
        <f>IF(connections!$A498="","",IFERROR(INDEX(games!$B$2:$B$950,MATCH(connections!$A498,games!$A$2:$A$950,0)),""))</f>
        <v>2015</v>
      </c>
      <c r="U498">
        <f>IF(connections!$A498="","",IFERROR(INDEX(games!$B$2:$B$950,MATCH(connections!$B498,games!$A$2:$A$950,0)),""))</f>
        <v>2019</v>
      </c>
      <c r="V498">
        <f t="shared" si="103"/>
        <v>4</v>
      </c>
    </row>
    <row r="499" spans="1:22" x14ac:dyDescent="0.25">
      <c r="A499" t="str">
        <f>IF(games!$A499="","",games!$A499)</f>
        <v>NecroBouncer</v>
      </c>
      <c r="B499">
        <f>IF($A499="","",games!$B499)</f>
        <v>2022</v>
      </c>
      <c r="C499" t="str">
        <f>IF($A499="","",games!$C499)</f>
        <v>Action</v>
      </c>
      <c r="D499">
        <f>IF($A499="","",COUNTIF(connections!$A$2:$A$1460,$A499)+COUNTIF(connections!$B$2:$B$1460,$A499))</f>
        <v>2</v>
      </c>
      <c r="E499">
        <f t="shared" si="91"/>
        <v>1</v>
      </c>
      <c r="F499">
        <f t="shared" si="92"/>
        <v>23</v>
      </c>
      <c r="G499">
        <f t="shared" si="93"/>
        <v>2022</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2020</v>
      </c>
      <c r="U499">
        <f>IF(connections!$A499="","",IFERROR(INDEX(games!$B$2:$B$950,MATCH(connections!$B499,games!$A$2:$A$950,0)),""))</f>
        <v>2025</v>
      </c>
      <c r="V499">
        <f t="shared" si="103"/>
        <v>5</v>
      </c>
    </row>
    <row r="500" spans="1:22" x14ac:dyDescent="0.25">
      <c r="A500" t="str">
        <f>IF(games!$A500="","",games!$A500)</f>
        <v>Necroking</v>
      </c>
      <c r="B500">
        <f>IF($A500="","",games!$B500)</f>
        <v>2024</v>
      </c>
      <c r="C500" t="str">
        <f>IF($A500="","",games!$C500)</f>
        <v>Strategy</v>
      </c>
      <c r="D500">
        <f>IF($A500="","",COUNTIF(connections!$A$2:$A$1460,$A500)+COUNTIF(connections!$B$2:$B$1460,$A500))</f>
        <v>0</v>
      </c>
      <c r="E500">
        <f t="shared" si="91"/>
        <v>2</v>
      </c>
      <c r="F500">
        <f t="shared" si="92"/>
        <v>24</v>
      </c>
      <c r="G500" t="e">
        <f t="shared" si="93"/>
        <v>#N/A</v>
      </c>
      <c r="H500" t="e">
        <f t="shared" si="94"/>
        <v>#N/A</v>
      </c>
      <c r="I500">
        <f t="shared" si="95"/>
        <v>2024</v>
      </c>
      <c r="J500">
        <f t="shared" si="96"/>
        <v>2.552</v>
      </c>
      <c r="K500" t="e">
        <f t="shared" si="97"/>
        <v>#N/A</v>
      </c>
      <c r="L500" t="e">
        <f t="shared" si="98"/>
        <v>#N/A</v>
      </c>
      <c r="M500" t="e">
        <f t="shared" si="99"/>
        <v>#N/A</v>
      </c>
      <c r="N500" t="e">
        <f t="shared" si="100"/>
        <v>#N/A</v>
      </c>
      <c r="O500">
        <f t="shared" si="101"/>
        <v>5.0000000000000001E-4</v>
      </c>
      <c r="P500" t="str">
        <f>IF(OR($A500="",games!$H500=""),"",games!$H500)</f>
        <v>Yes</v>
      </c>
      <c r="Q500">
        <f t="shared" si="102"/>
        <v>5.0000000000000001E-4</v>
      </c>
      <c r="T500">
        <f>IF(connections!$A500="","",IFERROR(INDEX(games!$B$2:$B$950,MATCH(connections!$A500,games!$A$2:$A$950,0)),""))</f>
        <v>2020</v>
      </c>
      <c r="U500">
        <f>IF(connections!$A500="","",IFERROR(INDEX(games!$B$2:$B$950,MATCH(connections!$B500,games!$A$2:$A$950,0)),""))</f>
        <v>2025</v>
      </c>
      <c r="V500">
        <f t="shared" si="103"/>
        <v>5</v>
      </c>
    </row>
    <row r="501" spans="1:22" x14ac:dyDescent="0.25">
      <c r="A501" t="str">
        <f>IF(games!$A501="","",games!$A501)</f>
        <v>Necrosmith</v>
      </c>
      <c r="B501">
        <f>IF($A501="","",games!$B501)</f>
        <v>2022</v>
      </c>
      <c r="C501" t="str">
        <f>IF($A501="","",games!$C501)</f>
        <v>Action</v>
      </c>
      <c r="D501">
        <f>IF($A501="","",COUNTIF(connections!$A$2:$A$1460,$A501)+COUNTIF(connections!$B$2:$B$1460,$A501))</f>
        <v>2</v>
      </c>
      <c r="E501">
        <f t="shared" si="91"/>
        <v>1</v>
      </c>
      <c r="F501">
        <f t="shared" si="92"/>
        <v>25</v>
      </c>
      <c r="G501">
        <f t="shared" si="93"/>
        <v>2022</v>
      </c>
      <c r="H501">
        <f t="shared" si="94"/>
        <v>1.575</v>
      </c>
      <c r="I501" t="e">
        <f t="shared" si="95"/>
        <v>#N/A</v>
      </c>
      <c r="J501" t="e">
        <f t="shared" si="96"/>
        <v>#N/A</v>
      </c>
      <c r="K501" t="e">
        <f t="shared" si="97"/>
        <v>#N/A</v>
      </c>
      <c r="L501" t="e">
        <f t="shared" si="98"/>
        <v>#N/A</v>
      </c>
      <c r="M501" t="e">
        <f t="shared" si="99"/>
        <v>#N/A</v>
      </c>
      <c r="N501" t="e">
        <f t="shared" si="100"/>
        <v>#N/A</v>
      </c>
      <c r="O501">
        <f t="shared" si="101"/>
        <v>2.0005009999999999</v>
      </c>
      <c r="P501" t="str">
        <f>IF(OR($A501="",games!$H501=""),"",games!$H501)</f>
        <v>Yes</v>
      </c>
      <c r="Q501">
        <f t="shared" si="102"/>
        <v>2.0005009999999999</v>
      </c>
      <c r="T501">
        <f>IF(connections!$A501="","",IFERROR(INDEX(games!$B$2:$B$950,MATCH(connections!$A501,games!$A$2:$A$950,0)),""))</f>
        <v>2020</v>
      </c>
      <c r="U501">
        <f>IF(connections!$A501="","",IFERROR(INDEX(games!$B$2:$B$950,MATCH(connections!$B501,games!$A$2:$A$950,0)),""))</f>
        <v>2023</v>
      </c>
      <c r="V501">
        <f t="shared" si="103"/>
        <v>3</v>
      </c>
    </row>
    <row r="502" spans="1:22" x14ac:dyDescent="0.25">
      <c r="A502" t="str">
        <f>IF(games!$A502="","",games!$A502)</f>
        <v>Necrosmith 2</v>
      </c>
      <c r="B502">
        <f>IF($A502="","",games!$B502)</f>
        <v>2024</v>
      </c>
      <c r="C502" t="str">
        <f>IF($A502="","",games!$C502)</f>
        <v>Action</v>
      </c>
      <c r="D502">
        <f>IF($A502="","",COUNTIF(connections!$A$2:$A$1460,$A502)+COUNTIF(connections!$B$2:$B$1460,$A502))</f>
        <v>1</v>
      </c>
      <c r="E502">
        <f t="shared" si="91"/>
        <v>1</v>
      </c>
      <c r="F502">
        <f t="shared" si="92"/>
        <v>26</v>
      </c>
      <c r="G502">
        <f t="shared" si="93"/>
        <v>2024</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2020</v>
      </c>
      <c r="U502">
        <f>IF(connections!$A502="","",IFERROR(INDEX(games!$B$2:$B$950,MATCH(connections!$B502,games!$A$2:$A$950,0)),""))</f>
        <v>2025</v>
      </c>
      <c r="V502">
        <f t="shared" si="103"/>
        <v>5</v>
      </c>
    </row>
    <row r="503" spans="1:22" x14ac:dyDescent="0.25">
      <c r="A503" t="str">
        <f>IF(games!$A503="","",games!$A503)</f>
        <v>Neon Abyss</v>
      </c>
      <c r="B503">
        <f>IF($A503="","",games!$B503)</f>
        <v>2019</v>
      </c>
      <c r="C503" t="str">
        <f>IF($A503="","",games!$C503)</f>
        <v>Action</v>
      </c>
      <c r="D503">
        <f>IF($A503="","",COUNTIF(connections!$A$2:$A$1460,$A503)+COUNTIF(connections!$B$2:$B$1460,$A503))</f>
        <v>4</v>
      </c>
      <c r="E503">
        <f t="shared" si="91"/>
        <v>1</v>
      </c>
      <c r="F503">
        <f t="shared" si="92"/>
        <v>27</v>
      </c>
      <c r="G503">
        <f t="shared" si="93"/>
        <v>2019</v>
      </c>
      <c r="H503">
        <f t="shared" si="94"/>
        <v>1.621</v>
      </c>
      <c r="I503" t="e">
        <f t="shared" si="95"/>
        <v>#N/A</v>
      </c>
      <c r="J503" t="e">
        <f t="shared" si="96"/>
        <v>#N/A</v>
      </c>
      <c r="K503" t="e">
        <f t="shared" si="97"/>
        <v>#N/A</v>
      </c>
      <c r="L503" t="e">
        <f t="shared" si="98"/>
        <v>#N/A</v>
      </c>
      <c r="M503" t="e">
        <f t="shared" si="99"/>
        <v>#N/A</v>
      </c>
      <c r="N503" t="e">
        <f t="shared" si="100"/>
        <v>#N/A</v>
      </c>
      <c r="O503">
        <f t="shared" si="101"/>
        <v>4.0005030000000001</v>
      </c>
      <c r="P503" t="str">
        <f>IF(OR($A503="",games!$H503=""),"",games!$H503)</f>
        <v>Yes</v>
      </c>
      <c r="Q503">
        <f t="shared" si="102"/>
        <v>4.0005030000000001</v>
      </c>
      <c r="T503">
        <f>IF(connections!$A503="","",IFERROR(INDEX(games!$B$2:$B$950,MATCH(connections!$A503,games!$A$2:$A$950,0)),""))</f>
        <v>2020</v>
      </c>
      <c r="U503">
        <f>IF(connections!$A503="","",IFERROR(INDEX(games!$B$2:$B$950,MATCH(connections!$B503,games!$A$2:$A$950,0)),""))</f>
        <v>2026</v>
      </c>
      <c r="V503">
        <f t="shared" si="103"/>
        <v>6</v>
      </c>
    </row>
    <row r="504" spans="1:22" x14ac:dyDescent="0.25">
      <c r="A504" t="str">
        <f>IF(games!$A504="","",games!$A504)</f>
        <v>Neon Abyss 2</v>
      </c>
      <c r="B504">
        <f>IF($A504="","",games!$B504)</f>
        <v>2025</v>
      </c>
      <c r="C504" t="str">
        <f>IF($A504="","",games!$C504)</f>
        <v>Action</v>
      </c>
      <c r="D504">
        <f>IF($A504="","",COUNTIF(connections!$A$2:$A$1460,$A504)+COUNTIF(connections!$B$2:$B$1460,$A504))</f>
        <v>1</v>
      </c>
      <c r="E504">
        <f t="shared" si="91"/>
        <v>1</v>
      </c>
      <c r="F504">
        <f t="shared" si="92"/>
        <v>28</v>
      </c>
      <c r="G504">
        <f t="shared" si="93"/>
        <v>2025</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
      </c>
      <c r="Q504" t="str">
        <f t="shared" si="102"/>
        <v/>
      </c>
      <c r="T504">
        <f>IF(connections!$A504="","",IFERROR(INDEX(games!$B$2:$B$950,MATCH(connections!$A504,games!$A$2:$A$950,0)),""))</f>
        <v>2020</v>
      </c>
      <c r="U504">
        <f>IF(connections!$A504="","",IFERROR(INDEX(games!$B$2:$B$950,MATCH(connections!$B504,games!$A$2:$A$950,0)),""))</f>
        <v>2020</v>
      </c>
      <c r="V504">
        <f t="shared" si="103"/>
        <v>0</v>
      </c>
    </row>
    <row r="505" spans="1:22" x14ac:dyDescent="0.25">
      <c r="A505" t="str">
        <f>IF(games!$A505="","",games!$A505)</f>
        <v>Neophyte</v>
      </c>
      <c r="B505">
        <f>IF($A505="","",games!$B505)</f>
        <v>2022</v>
      </c>
      <c r="C505" t="str">
        <f>IF($A505="","",games!$C505)</f>
        <v>Action</v>
      </c>
      <c r="D505">
        <f>IF($A505="","",COUNTIF(connections!$A$2:$A$1460,$A505)+COUNTIF(connections!$B$2:$B$1460,$A505))</f>
        <v>1</v>
      </c>
      <c r="E505">
        <f t="shared" si="91"/>
        <v>1</v>
      </c>
      <c r="F505">
        <f t="shared" si="92"/>
        <v>29</v>
      </c>
      <c r="G505">
        <f t="shared" si="93"/>
        <v>2022</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
      </c>
      <c r="Q505" t="str">
        <f t="shared" si="102"/>
        <v/>
      </c>
      <c r="T505">
        <f>IF(connections!$A505="","",IFERROR(INDEX(games!$B$2:$B$950,MATCH(connections!$A505,games!$A$2:$A$950,0)),""))</f>
        <v>2020</v>
      </c>
      <c r="U505">
        <f>IF(connections!$A505="","",IFERROR(INDEX(games!$B$2:$B$950,MATCH(connections!$B505,games!$A$2:$A$950,0)),""))</f>
        <v>2024</v>
      </c>
      <c r="V505">
        <f t="shared" si="103"/>
        <v>4</v>
      </c>
    </row>
    <row r="506" spans="1:22" x14ac:dyDescent="0.25">
      <c r="A506" t="str">
        <f>IF(games!$A506="","",games!$A506)</f>
        <v>NetHack</v>
      </c>
      <c r="B506">
        <f>IF($A506="","",games!$B506)</f>
        <v>1987</v>
      </c>
      <c r="C506" t="str">
        <f>IF($A506="","",games!$C506)</f>
        <v>Traditional</v>
      </c>
      <c r="D506">
        <f>IF($A506="","",COUNTIF(connections!$A$2:$A$1460,$A506)+COUNTIF(connections!$B$2:$B$1460,$A506))</f>
        <v>36</v>
      </c>
      <c r="E506">
        <f t="shared" si="91"/>
        <v>4</v>
      </c>
      <c r="F506">
        <f t="shared" si="92"/>
        <v>30</v>
      </c>
      <c r="G506" t="e">
        <f t="shared" si="93"/>
        <v>#N/A</v>
      </c>
      <c r="H506" t="e">
        <f t="shared" si="94"/>
        <v>#N/A</v>
      </c>
      <c r="I506" t="e">
        <f t="shared" si="95"/>
        <v>#N/A</v>
      </c>
      <c r="J506" t="e">
        <f t="shared" si="96"/>
        <v>#N/A</v>
      </c>
      <c r="K506" t="e">
        <f t="shared" si="97"/>
        <v>#N/A</v>
      </c>
      <c r="L506" t="e">
        <f t="shared" si="98"/>
        <v>#N/A</v>
      </c>
      <c r="M506">
        <f t="shared" si="99"/>
        <v>1987</v>
      </c>
      <c r="N506">
        <f t="shared" si="100"/>
        <v>4.6899999999999995</v>
      </c>
      <c r="O506">
        <f t="shared" si="101"/>
        <v>36.000506000000001</v>
      </c>
      <c r="P506" t="str">
        <f>IF(OR($A506="",games!$H506=""),"",games!$H506)</f>
        <v>Yes</v>
      </c>
      <c r="Q506">
        <f t="shared" si="102"/>
        <v>36.000506000000001</v>
      </c>
      <c r="T506">
        <f>IF(connections!$A506="","",IFERROR(INDEX(games!$B$2:$B$950,MATCH(connections!$A506,games!$A$2:$A$950,0)),""))</f>
        <v>2022</v>
      </c>
      <c r="U506">
        <f>IF(connections!$A506="","",IFERROR(INDEX(games!$B$2:$B$950,MATCH(connections!$B506,games!$A$2:$A$950,0)),""))</f>
        <v>2025</v>
      </c>
      <c r="V506">
        <f t="shared" si="103"/>
        <v>3</v>
      </c>
    </row>
    <row r="507" spans="1:22" x14ac:dyDescent="0.25">
      <c r="A507" t="str">
        <f>IF(games!$A507="","",games!$A507)</f>
        <v>Netherworld Covenant</v>
      </c>
      <c r="B507">
        <f>IF($A507="","",games!$B507)</f>
        <v>2025</v>
      </c>
      <c r="C507" t="str">
        <f>IF($A507="","",games!$C507)</f>
        <v>Action</v>
      </c>
      <c r="D507">
        <f>IF($A507="","",COUNTIF(connections!$A$2:$A$1460,$A507)+COUNTIF(connections!$B$2:$B$1460,$A507))</f>
        <v>2</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2.0005069999999998</v>
      </c>
      <c r="P507" t="str">
        <f>IF(OR($A507="",games!$H507=""),"",games!$H507)</f>
        <v/>
      </c>
      <c r="Q507" t="str">
        <f t="shared" si="102"/>
        <v/>
      </c>
      <c r="T507">
        <f>IF(connections!$A507="","",IFERROR(INDEX(games!$B$2:$B$950,MATCH(connections!$A507,games!$A$2:$A$950,0)),""))</f>
        <v>1984</v>
      </c>
      <c r="U507">
        <f>IF(connections!$A507="","",IFERROR(INDEX(games!$B$2:$B$950,MATCH(connections!$B507,games!$A$2:$A$950,0)),""))</f>
        <v>1994</v>
      </c>
      <c r="V507">
        <f t="shared" si="103"/>
        <v>10</v>
      </c>
    </row>
    <row r="508" spans="1:22" x14ac:dyDescent="0.25">
      <c r="A508" t="str">
        <f>IF(games!$A508="","",games!$A508)</f>
        <v>Nigate Tale</v>
      </c>
      <c r="B508">
        <f>IF($A508="","",games!$B508)</f>
        <v>2021</v>
      </c>
      <c r="C508" t="str">
        <f>IF($A508="","",games!$C508)</f>
        <v>Action</v>
      </c>
      <c r="D508">
        <f>IF($A508="","",COUNTIF(connections!$A$2:$A$1460,$A508)+COUNTIF(connections!$B$2:$B$1460,$A508))</f>
        <v>1</v>
      </c>
      <c r="E508">
        <f t="shared" si="91"/>
        <v>1</v>
      </c>
      <c r="F508">
        <f t="shared" si="92"/>
        <v>32</v>
      </c>
      <c r="G508">
        <f t="shared" si="93"/>
        <v>2021</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1984</v>
      </c>
      <c r="U508">
        <f>IF(connections!$A508="","",IFERROR(INDEX(games!$B$2:$B$950,MATCH(connections!$B508,games!$A$2:$A$950,0)),""))</f>
        <v>2006</v>
      </c>
      <c r="V508">
        <f t="shared" si="103"/>
        <v>22</v>
      </c>
    </row>
    <row r="509" spans="1:22" x14ac:dyDescent="0.25">
      <c r="A509" t="str">
        <f>IF(games!$A509="","",games!$A509)</f>
        <v>Night Swarm</v>
      </c>
      <c r="B509">
        <f>IF($A509="","",games!$B509)</f>
        <v>2025</v>
      </c>
      <c r="C509" t="str">
        <f>IF($A509="","",games!$C509)</f>
        <v>Action</v>
      </c>
      <c r="D509">
        <f>IF($A509="","",COUNTIF(connections!$A$2:$A$1460,$A509)+COUNTIF(connections!$B$2:$B$1460,$A509))</f>
        <v>1</v>
      </c>
      <c r="E509">
        <f t="shared" si="91"/>
        <v>1</v>
      </c>
      <c r="F509">
        <f t="shared" si="92"/>
        <v>33</v>
      </c>
      <c r="G509">
        <f t="shared" si="93"/>
        <v>2025</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Yes</v>
      </c>
      <c r="Q509">
        <f t="shared" si="102"/>
        <v>1.0005090000000001</v>
      </c>
      <c r="T509">
        <f>IF(connections!$A509="","",IFERROR(INDEX(games!$B$2:$B$950,MATCH(connections!$A509,games!$A$2:$A$950,0)),""))</f>
        <v>1984</v>
      </c>
      <c r="U509">
        <f>IF(connections!$A509="","",IFERROR(INDEX(games!$B$2:$B$950,MATCH(connections!$B509,games!$A$2:$A$950,0)),""))</f>
        <v>2002</v>
      </c>
      <c r="V509">
        <f t="shared" si="103"/>
        <v>18</v>
      </c>
    </row>
    <row r="510" spans="1:22" x14ac:dyDescent="0.25">
      <c r="A510" t="str">
        <f>IF(games!$A510="","",games!$A510)</f>
        <v>Nimrods</v>
      </c>
      <c r="B510">
        <f>IF($A510="","",games!$B510)</f>
        <v>2024</v>
      </c>
      <c r="C510" t="str">
        <f>IF($A510="","",games!$C510)</f>
        <v>Action</v>
      </c>
      <c r="D510">
        <f>IF($A510="","",COUNTIF(connections!$A$2:$A$1460,$A510)+COUNTIF(connections!$B$2:$B$1460,$A510))</f>
        <v>1</v>
      </c>
      <c r="E510">
        <f t="shared" si="91"/>
        <v>1</v>
      </c>
      <c r="F510">
        <f t="shared" si="92"/>
        <v>0</v>
      </c>
      <c r="G510">
        <f t="shared" si="93"/>
        <v>2024</v>
      </c>
      <c r="H510">
        <f t="shared" si="94"/>
        <v>1</v>
      </c>
      <c r="I510" t="e">
        <f t="shared" si="95"/>
        <v>#N/A</v>
      </c>
      <c r="J510" t="e">
        <f t="shared" si="96"/>
        <v>#N/A</v>
      </c>
      <c r="K510" t="e">
        <f t="shared" si="97"/>
        <v>#N/A</v>
      </c>
      <c r="L510" t="e">
        <f t="shared" si="98"/>
        <v>#N/A</v>
      </c>
      <c r="M510" t="e">
        <f t="shared" si="99"/>
        <v>#N/A</v>
      </c>
      <c r="N510" t="e">
        <f t="shared" si="100"/>
        <v>#N/A</v>
      </c>
      <c r="O510">
        <f t="shared" si="101"/>
        <v>1.00051</v>
      </c>
      <c r="P510" t="str">
        <f>IF(OR($A510="",games!$H510=""),"",games!$H510)</f>
        <v/>
      </c>
      <c r="Q510" t="str">
        <f t="shared" si="102"/>
        <v/>
      </c>
      <c r="T510">
        <f>IF(connections!$A510="","",IFERROR(INDEX(games!$B$2:$B$950,MATCH(connections!$A510,games!$A$2:$A$950,0)),""))</f>
        <v>1984</v>
      </c>
      <c r="U510">
        <f>IF(connections!$A510="","",IFERROR(INDEX(games!$B$2:$B$950,MATCH(connections!$B510,games!$A$2:$A$950,0)),""))</f>
        <v>2022</v>
      </c>
      <c r="V510">
        <f t="shared" si="103"/>
        <v>38</v>
      </c>
    </row>
    <row r="511" spans="1:22" x14ac:dyDescent="0.25">
      <c r="A511" t="str">
        <f>IF(games!$A511="","",games!$A511)</f>
        <v>Node Crown</v>
      </c>
      <c r="B511">
        <f>IF($A511="","",games!$B511)</f>
        <v>2026</v>
      </c>
      <c r="C511" t="str">
        <f>IF($A511="","",games!$C511)</f>
        <v>Deckbuilder</v>
      </c>
      <c r="D511">
        <f>IF($A511="","",COUNTIF(connections!$A$2:$A$1460,$A511)+COUNTIF(connections!$B$2:$B$1460,$A511))</f>
        <v>5</v>
      </c>
      <c r="E511">
        <f t="shared" si="91"/>
        <v>3</v>
      </c>
      <c r="F511">
        <f t="shared" si="92"/>
        <v>1</v>
      </c>
      <c r="G511" t="e">
        <f t="shared" si="93"/>
        <v>#N/A</v>
      </c>
      <c r="H511" t="e">
        <f t="shared" si="94"/>
        <v>#N/A</v>
      </c>
      <c r="I511" t="e">
        <f t="shared" si="95"/>
        <v>#N/A</v>
      </c>
      <c r="J511" t="e">
        <f t="shared" si="96"/>
        <v>#N/A</v>
      </c>
      <c r="K511">
        <f t="shared" si="97"/>
        <v>2026</v>
      </c>
      <c r="L511">
        <f t="shared" si="98"/>
        <v>3.0230000000000001</v>
      </c>
      <c r="M511" t="e">
        <f t="shared" si="99"/>
        <v>#N/A</v>
      </c>
      <c r="N511" t="e">
        <f t="shared" si="100"/>
        <v>#N/A</v>
      </c>
      <c r="O511">
        <f t="shared" si="101"/>
        <v>5.0005110000000004</v>
      </c>
      <c r="P511" t="str">
        <f>IF(OR($A511="",games!$H511=""),"",games!$H511)</f>
        <v/>
      </c>
      <c r="Q511" t="str">
        <f t="shared" si="102"/>
        <v/>
      </c>
      <c r="T511">
        <f>IF(connections!$A511="","",IFERROR(INDEX(games!$B$2:$B$950,MATCH(connections!$A511,games!$A$2:$A$950,0)),""))</f>
        <v>1984</v>
      </c>
      <c r="U511">
        <f>IF(connections!$A511="","",IFERROR(INDEX(games!$B$2:$B$950,MATCH(connections!$B511,games!$A$2:$A$950,0)),""))</f>
        <v>2001</v>
      </c>
      <c r="V511">
        <f t="shared" si="103"/>
        <v>17</v>
      </c>
    </row>
    <row r="512" spans="1:22" x14ac:dyDescent="0.25">
      <c r="A512" t="str">
        <f>IF(games!$A512="","",games!$A512)</f>
        <v>Node Farm</v>
      </c>
      <c r="B512">
        <f>IF($A512="","",games!$B512)</f>
        <v>2024</v>
      </c>
      <c r="C512" t="str">
        <f>IF($A512="","",games!$C512)</f>
        <v>Strategy</v>
      </c>
      <c r="D512">
        <f>IF($A512="","",COUNTIF(connections!$A$2:$A$1460,$A512)+COUNTIF(connections!$B$2:$B$1460,$A512))</f>
        <v>1</v>
      </c>
      <c r="E512">
        <f t="shared" si="91"/>
        <v>2</v>
      </c>
      <c r="F512">
        <f t="shared" si="92"/>
        <v>2</v>
      </c>
      <c r="G512" t="e">
        <f t="shared" si="93"/>
        <v>#N/A</v>
      </c>
      <c r="H512" t="e">
        <f t="shared" si="94"/>
        <v>#N/A</v>
      </c>
      <c r="I512">
        <f t="shared" si="95"/>
        <v>2024</v>
      </c>
      <c r="J512">
        <f t="shared" si="96"/>
        <v>2.0459999999999998</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1984</v>
      </c>
      <c r="U512">
        <f>IF(connections!$A512="","",IFERROR(INDEX(games!$B$2:$B$950,MATCH(connections!$B512,games!$A$2:$A$950,0)),""))</f>
        <v>1987</v>
      </c>
      <c r="V512">
        <f t="shared" si="103"/>
        <v>3</v>
      </c>
    </row>
    <row r="513" spans="1:22" x14ac:dyDescent="0.25">
      <c r="A513" t="str">
        <f>IF(games!$A513="","",games!$A513)</f>
        <v>Noita</v>
      </c>
      <c r="B513">
        <f>IF($A513="","",games!$B513)</f>
        <v>2019</v>
      </c>
      <c r="C513" t="str">
        <f>IF($A513="","",games!$C513)</f>
        <v>Action</v>
      </c>
      <c r="D513">
        <f>IF($A513="","",COUNTIF(connections!$A$2:$A$1460,$A513)+COUNTIF(connections!$B$2:$B$1460,$A513))</f>
        <v>8</v>
      </c>
      <c r="E513">
        <f t="shared" si="91"/>
        <v>1</v>
      </c>
      <c r="F513">
        <f t="shared" si="92"/>
        <v>3</v>
      </c>
      <c r="G513">
        <f t="shared" si="93"/>
        <v>2019</v>
      </c>
      <c r="H513">
        <f t="shared" si="94"/>
        <v>1.069</v>
      </c>
      <c r="I513" t="e">
        <f t="shared" si="95"/>
        <v>#N/A</v>
      </c>
      <c r="J513" t="e">
        <f t="shared" si="96"/>
        <v>#N/A</v>
      </c>
      <c r="K513" t="e">
        <f t="shared" si="97"/>
        <v>#N/A</v>
      </c>
      <c r="L513" t="e">
        <f t="shared" si="98"/>
        <v>#N/A</v>
      </c>
      <c r="M513" t="e">
        <f t="shared" si="99"/>
        <v>#N/A</v>
      </c>
      <c r="N513" t="e">
        <f t="shared" si="100"/>
        <v>#N/A</v>
      </c>
      <c r="O513">
        <f t="shared" si="101"/>
        <v>8.0005129999999998</v>
      </c>
      <c r="P513" t="str">
        <f>IF(OR($A513="",games!$H513=""),"",games!$H513)</f>
        <v>Yes</v>
      </c>
      <c r="Q513">
        <f t="shared" si="102"/>
        <v>8.0005129999999998</v>
      </c>
      <c r="T513">
        <f>IF(connections!$A513="","",IFERROR(INDEX(games!$B$2:$B$950,MATCH(connections!$A513,games!$A$2:$A$950,0)),""))</f>
        <v>2022</v>
      </c>
      <c r="U513">
        <f>IF(connections!$A513="","",IFERROR(INDEX(games!$B$2:$B$950,MATCH(connections!$B513,games!$A$2:$A$950,0)),""))</f>
        <v>2025</v>
      </c>
      <c r="V513">
        <f t="shared" si="103"/>
        <v>3</v>
      </c>
    </row>
    <row r="514" spans="1:22" x14ac:dyDescent="0.25">
      <c r="A514" t="str">
        <f>IF(games!$A514="","",games!$A514)</f>
        <v>Nomad Survival</v>
      </c>
      <c r="B514">
        <f>IF($A514="","",games!$B514)</f>
        <v>2022</v>
      </c>
      <c r="C514" t="str">
        <f>IF($A514="","",games!$C514)</f>
        <v>Action</v>
      </c>
      <c r="D514">
        <f>IF($A514="","",COUNTIF(connections!$A$2:$A$1460,$A514)+COUNTIF(connections!$B$2:$B$1460,$A514))</f>
        <v>1</v>
      </c>
      <c r="E514">
        <f t="shared" ref="E514:E577" si="104">IF($A514="","",IFERROR(MATCH($C514,$R$2:$R$5,0),0))</f>
        <v>1</v>
      </c>
      <c r="F514">
        <f t="shared" ref="F514:F577" si="105">IF($A514="","",MOD(ROW(),34))</f>
        <v>4</v>
      </c>
      <c r="G514">
        <f t="shared" ref="G514:G577" si="106">IF($A514="",NA(),IF($C514="Action",$B514,NA()))</f>
        <v>2022</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IF(connections!$A514="","",IFERROR(INDEX(games!$B$2:$B$950,MATCH(connections!$A514,games!$A$2:$A$950,0)),""))</f>
        <v>2019</v>
      </c>
      <c r="U514">
        <f>IF(connections!$A514="","",IFERROR(INDEX(games!$B$2:$B$950,MATCH(connections!$B514,games!$A$2:$A$950,0)),""))</f>
        <v>2024</v>
      </c>
      <c r="V514">
        <f t="shared" ref="V514:V577" si="116">IF(OR($T514="",$U514=""),"",$U514-$T514)</f>
        <v>5</v>
      </c>
    </row>
    <row r="515" spans="1:22" x14ac:dyDescent="0.25">
      <c r="A515" t="str">
        <f>IF(games!$A515="","",games!$A515)</f>
        <v>Noobs Are Coming</v>
      </c>
      <c r="B515">
        <f>IF($A515="","",games!$B515)</f>
        <v>2025</v>
      </c>
      <c r="C515" t="str">
        <f>IF($A515="","",games!$C515)</f>
        <v>Action</v>
      </c>
      <c r="D515">
        <f>IF($A515="","",COUNTIF(connections!$A$2:$A$1460,$A515)+COUNTIF(connections!$B$2:$B$1460,$A515))</f>
        <v>2</v>
      </c>
      <c r="E515">
        <f t="shared" si="104"/>
        <v>1</v>
      </c>
      <c r="F515">
        <f t="shared" si="105"/>
        <v>5</v>
      </c>
      <c r="G515">
        <f t="shared" si="106"/>
        <v>2025</v>
      </c>
      <c r="H515">
        <f t="shared" si="107"/>
        <v>1.115</v>
      </c>
      <c r="I515" t="e">
        <f t="shared" si="108"/>
        <v>#N/A</v>
      </c>
      <c r="J515" t="e">
        <f t="shared" si="109"/>
        <v>#N/A</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IF(connections!$A515="","",IFERROR(INDEX(games!$B$2:$B$950,MATCH(connections!$A515,games!$A$2:$A$950,0)),""))</f>
        <v>2019</v>
      </c>
      <c r="U515">
        <f>IF(connections!$A515="","",IFERROR(INDEX(games!$B$2:$B$950,MATCH(connections!$B515,games!$A$2:$A$950,0)),""))</f>
        <v>2025</v>
      </c>
      <c r="V515">
        <f t="shared" si="116"/>
        <v>6</v>
      </c>
    </row>
    <row r="516" spans="1:22" x14ac:dyDescent="0.25">
      <c r="A516" t="str">
        <f>IF(games!$A516="","",games!$A516)</f>
        <v>Noobs Want to Live</v>
      </c>
      <c r="B516">
        <f>IF($A516="","",games!$B516)</f>
        <v>2023</v>
      </c>
      <c r="C516" t="str">
        <f>IF($A516="","",games!$C516)</f>
        <v>Action</v>
      </c>
      <c r="D516">
        <f>IF($A516="","",COUNTIF(connections!$A$2:$A$1460,$A516)+COUNTIF(connections!$B$2:$B$1460,$A516))</f>
        <v>1</v>
      </c>
      <c r="E516">
        <f t="shared" si="104"/>
        <v>1</v>
      </c>
      <c r="F516">
        <f t="shared" si="105"/>
        <v>6</v>
      </c>
      <c r="G516">
        <f t="shared" si="106"/>
        <v>2023</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IF(connections!$A516="","",IFERROR(INDEX(games!$B$2:$B$950,MATCH(connections!$A516,games!$A$2:$A$950,0)),""))</f>
        <v>2019</v>
      </c>
      <c r="U516">
        <f>IF(connections!$A516="","",IFERROR(INDEX(games!$B$2:$B$950,MATCH(connections!$B516,games!$A$2:$A$950,0)),""))</f>
        <v>2025</v>
      </c>
      <c r="V516">
        <f t="shared" si="116"/>
        <v>6</v>
      </c>
    </row>
    <row r="517" spans="1:22" x14ac:dyDescent="0.25">
      <c r="A517" t="str">
        <f>IF(games!$A517="","",games!$A517)</f>
        <v>Nordhold</v>
      </c>
      <c r="B517">
        <f>IF($A517="","",games!$B517)</f>
        <v>2025</v>
      </c>
      <c r="C517" t="str">
        <f>IF($A517="","",games!$C517)</f>
        <v>Strategy</v>
      </c>
      <c r="D517">
        <f>IF($A517="","",COUNTIF(connections!$A$2:$A$1460,$A517)+COUNTIF(connections!$B$2:$B$1460,$A517))</f>
        <v>2</v>
      </c>
      <c r="E517">
        <f t="shared" si="104"/>
        <v>2</v>
      </c>
      <c r="F517">
        <f t="shared" si="105"/>
        <v>7</v>
      </c>
      <c r="G517" t="e">
        <f t="shared" si="106"/>
        <v>#N/A</v>
      </c>
      <c r="H517" t="e">
        <f t="shared" si="107"/>
        <v>#N/A</v>
      </c>
      <c r="I517">
        <f t="shared" si="108"/>
        <v>2025</v>
      </c>
      <c r="J517">
        <f t="shared" si="109"/>
        <v>2.161</v>
      </c>
      <c r="K517" t="e">
        <f t="shared" si="110"/>
        <v>#N/A</v>
      </c>
      <c r="L517" t="e">
        <f t="shared" si="111"/>
        <v>#N/A</v>
      </c>
      <c r="M517" t="e">
        <f t="shared" si="112"/>
        <v>#N/A</v>
      </c>
      <c r="N517" t="e">
        <f t="shared" si="113"/>
        <v>#N/A</v>
      </c>
      <c r="O517">
        <f t="shared" si="114"/>
        <v>2.0005169999999999</v>
      </c>
      <c r="P517" t="str">
        <f>IF(OR($A517="",games!$H517=""),"",games!$H517)</f>
        <v>Yes</v>
      </c>
      <c r="Q517">
        <f t="shared" si="115"/>
        <v>2.0005169999999999</v>
      </c>
      <c r="T517">
        <f>IF(connections!$A517="","",IFERROR(INDEX(games!$B$2:$B$950,MATCH(connections!$A517,games!$A$2:$A$950,0)),""))</f>
        <v>2019</v>
      </c>
      <c r="U517">
        <f>IF(connections!$A517="","",IFERROR(INDEX(games!$B$2:$B$950,MATCH(connections!$B517,games!$A$2:$A$950,0)),""))</f>
        <v>2022</v>
      </c>
      <c r="V517">
        <f t="shared" si="116"/>
        <v>3</v>
      </c>
    </row>
    <row r="518" spans="1:22" x14ac:dyDescent="0.25">
      <c r="A518" t="str">
        <f>IF(games!$A518="","",games!$A518)</f>
        <v>Nordic Ashes: Survivors of Ragnarok</v>
      </c>
      <c r="B518">
        <f>IF($A518="","",games!$B518)</f>
        <v>2022</v>
      </c>
      <c r="C518" t="str">
        <f>IF($A518="","",games!$C518)</f>
        <v>Action</v>
      </c>
      <c r="D518">
        <f>IF($A518="","",COUNTIF(connections!$A$2:$A$1460,$A518)+COUNTIF(connections!$B$2:$B$1460,$A518))</f>
        <v>3</v>
      </c>
      <c r="E518">
        <f t="shared" si="104"/>
        <v>1</v>
      </c>
      <c r="F518">
        <f t="shared" si="105"/>
        <v>8</v>
      </c>
      <c r="G518">
        <f t="shared" si="106"/>
        <v>2022</v>
      </c>
      <c r="H518">
        <f t="shared" si="107"/>
        <v>1.1839999999999999</v>
      </c>
      <c r="I518" t="e">
        <f t="shared" si="108"/>
        <v>#N/A</v>
      </c>
      <c r="J518" t="e">
        <f t="shared" si="109"/>
        <v>#N/A</v>
      </c>
      <c r="K518" t="e">
        <f t="shared" si="110"/>
        <v>#N/A</v>
      </c>
      <c r="L518" t="e">
        <f t="shared" si="111"/>
        <v>#N/A</v>
      </c>
      <c r="M518" t="e">
        <f t="shared" si="112"/>
        <v>#N/A</v>
      </c>
      <c r="N518" t="e">
        <f t="shared" si="113"/>
        <v>#N/A</v>
      </c>
      <c r="O518">
        <f t="shared" si="114"/>
        <v>3.000518</v>
      </c>
      <c r="P518" t="str">
        <f>IF(OR($A518="",games!$H518=""),"",games!$H518)</f>
        <v>Yes</v>
      </c>
      <c r="Q518">
        <f t="shared" si="115"/>
        <v>3.000518</v>
      </c>
      <c r="T518">
        <f>IF(connections!$A518="","",IFERROR(INDEX(games!$B$2:$B$950,MATCH(connections!$A518,games!$A$2:$A$950,0)),""))</f>
        <v>2019</v>
      </c>
      <c r="U518">
        <f>IF(connections!$A518="","",IFERROR(INDEX(games!$B$2:$B$950,MATCH(connections!$B518,games!$A$2:$A$950,0)),""))</f>
        <v>2023</v>
      </c>
      <c r="V518">
        <f t="shared" si="116"/>
        <v>4</v>
      </c>
    </row>
    <row r="519" spans="1:22" x14ac:dyDescent="0.25">
      <c r="A519" t="str">
        <f>IF(games!$A519="","",games!$A519)</f>
        <v>No-Skin</v>
      </c>
      <c r="B519">
        <f>IF($A519="","",games!$B519)</f>
        <v>2025</v>
      </c>
      <c r="C519" t="str">
        <f>IF($A519="","",games!$C519)</f>
        <v>Strategy</v>
      </c>
      <c r="D519">
        <f>IF($A519="","",COUNTIF(connections!$A$2:$A$1460,$A519)+COUNTIF(connections!$B$2:$B$1460,$A519))</f>
        <v>0</v>
      </c>
      <c r="E519">
        <f t="shared" si="104"/>
        <v>2</v>
      </c>
      <c r="F519">
        <f t="shared" si="105"/>
        <v>9</v>
      </c>
      <c r="G519" t="e">
        <f t="shared" si="106"/>
        <v>#N/A</v>
      </c>
      <c r="H519" t="e">
        <f t="shared" si="107"/>
        <v>#N/A</v>
      </c>
      <c r="I519">
        <f t="shared" si="108"/>
        <v>2025</v>
      </c>
      <c r="J519">
        <f t="shared" si="109"/>
        <v>2.2069999999999999</v>
      </c>
      <c r="K519" t="e">
        <f t="shared" si="110"/>
        <v>#N/A</v>
      </c>
      <c r="L519" t="e">
        <f t="shared" si="111"/>
        <v>#N/A</v>
      </c>
      <c r="M519" t="e">
        <f t="shared" si="112"/>
        <v>#N/A</v>
      </c>
      <c r="N519" t="e">
        <f t="shared" si="113"/>
        <v>#N/A</v>
      </c>
      <c r="O519">
        <f t="shared" si="114"/>
        <v>5.1900000000000004E-4</v>
      </c>
      <c r="P519" t="str">
        <f>IF(OR($A519="",games!$H519=""),"",games!$H519)</f>
        <v/>
      </c>
      <c r="Q519" t="str">
        <f t="shared" si="115"/>
        <v/>
      </c>
      <c r="T519">
        <f>IF(connections!$A519="","",IFERROR(INDEX(games!$B$2:$B$950,MATCH(connections!$A519,games!$A$2:$A$950,0)),""))</f>
        <v>2019</v>
      </c>
      <c r="U519">
        <f>IF(connections!$A519="","",IFERROR(INDEX(games!$B$2:$B$950,MATCH(connections!$B519,games!$A$2:$A$950,0)),""))</f>
        <v>2026</v>
      </c>
      <c r="V519">
        <f t="shared" si="116"/>
        <v>7</v>
      </c>
    </row>
    <row r="520" spans="1:22" x14ac:dyDescent="0.25">
      <c r="A520" t="str">
        <f>IF(games!$A520="","",games!$A520)</f>
        <v>Nova Drift</v>
      </c>
      <c r="B520">
        <f>IF($A520="","",games!$B520)</f>
        <v>2019</v>
      </c>
      <c r="C520" t="str">
        <f>IF($A520="","",games!$C520)</f>
        <v>Action</v>
      </c>
      <c r="D520">
        <f>IF($A520="","",COUNTIF(connections!$A$2:$A$1460,$A520)+COUNTIF(connections!$B$2:$B$1460,$A520))</f>
        <v>2</v>
      </c>
      <c r="E520">
        <f t="shared" si="104"/>
        <v>1</v>
      </c>
      <c r="F520">
        <f t="shared" si="105"/>
        <v>10</v>
      </c>
      <c r="G520">
        <f t="shared" si="106"/>
        <v>2019</v>
      </c>
      <c r="H520">
        <f t="shared" si="107"/>
        <v>1.23</v>
      </c>
      <c r="I520" t="e">
        <f t="shared" si="108"/>
        <v>#N/A</v>
      </c>
      <c r="J520" t="e">
        <f t="shared" si="109"/>
        <v>#N/A</v>
      </c>
      <c r="K520" t="e">
        <f t="shared" si="110"/>
        <v>#N/A</v>
      </c>
      <c r="L520" t="e">
        <f t="shared" si="111"/>
        <v>#N/A</v>
      </c>
      <c r="M520" t="e">
        <f t="shared" si="112"/>
        <v>#N/A</v>
      </c>
      <c r="N520" t="e">
        <f t="shared" si="113"/>
        <v>#N/A</v>
      </c>
      <c r="O520">
        <f t="shared" si="114"/>
        <v>2.0005199999999999</v>
      </c>
      <c r="P520" t="str">
        <f>IF(OR($A520="",games!$H520=""),"",games!$H520)</f>
        <v>Yes</v>
      </c>
      <c r="Q520">
        <f t="shared" si="115"/>
        <v>2.0005199999999999</v>
      </c>
      <c r="T520">
        <f>IF(connections!$A520="","",IFERROR(INDEX(games!$B$2:$B$950,MATCH(connections!$A520,games!$A$2:$A$950,0)),""))</f>
        <v>2019</v>
      </c>
      <c r="U520">
        <f>IF(connections!$A520="","",IFERROR(INDEX(games!$B$2:$B$950,MATCH(connections!$B520,games!$A$2:$A$950,0)),""))</f>
        <v>2023</v>
      </c>
      <c r="V520">
        <f t="shared" si="116"/>
        <v>4</v>
      </c>
    </row>
    <row r="521" spans="1:22" x14ac:dyDescent="0.25">
      <c r="A521" t="str">
        <f>IF(games!$A521="","",games!$A521)</f>
        <v>Nowhere Prophet</v>
      </c>
      <c r="B521">
        <f>IF($A521="","",games!$B521)</f>
        <v>2019</v>
      </c>
      <c r="C521" t="str">
        <f>IF($A521="","",games!$C521)</f>
        <v>Deckbuilder</v>
      </c>
      <c r="D521">
        <f>IF($A521="","",COUNTIF(connections!$A$2:$A$1460,$A521)+COUNTIF(connections!$B$2:$B$1460,$A521))</f>
        <v>2</v>
      </c>
      <c r="E521">
        <f t="shared" si="104"/>
        <v>3</v>
      </c>
      <c r="F521">
        <f t="shared" si="105"/>
        <v>11</v>
      </c>
      <c r="G521" t="e">
        <f t="shared" si="106"/>
        <v>#N/A</v>
      </c>
      <c r="H521" t="e">
        <f t="shared" si="107"/>
        <v>#N/A</v>
      </c>
      <c r="I521" t="e">
        <f t="shared" si="108"/>
        <v>#N/A</v>
      </c>
      <c r="J521" t="e">
        <f t="shared" si="109"/>
        <v>#N/A</v>
      </c>
      <c r="K521">
        <f t="shared" si="110"/>
        <v>2019</v>
      </c>
      <c r="L521">
        <f t="shared" si="111"/>
        <v>3.2530000000000001</v>
      </c>
      <c r="M521" t="e">
        <f t="shared" si="112"/>
        <v>#N/A</v>
      </c>
      <c r="N521" t="e">
        <f t="shared" si="113"/>
        <v>#N/A</v>
      </c>
      <c r="O521">
        <f t="shared" si="114"/>
        <v>2.000521</v>
      </c>
      <c r="P521" t="str">
        <f>IF(OR($A521="",games!$H521=""),"",games!$H521)</f>
        <v>Yes</v>
      </c>
      <c r="Q521">
        <f t="shared" si="115"/>
        <v>2.000521</v>
      </c>
      <c r="T521">
        <f>IF(connections!$A521="","",IFERROR(INDEX(games!$B$2:$B$950,MATCH(connections!$A521,games!$A$2:$A$950,0)),""))</f>
        <v>2019</v>
      </c>
      <c r="U521">
        <f>IF(connections!$A521="","",IFERROR(INDEX(games!$B$2:$B$950,MATCH(connections!$B521,games!$A$2:$A$950,0)),""))</f>
        <v>2025</v>
      </c>
      <c r="V521">
        <f t="shared" si="116"/>
        <v>6</v>
      </c>
    </row>
    <row r="522" spans="1:22" x14ac:dyDescent="0.25">
      <c r="A522" t="str">
        <f>IF(games!$A522="","",games!$A522)</f>
        <v>Nubby's Number Factory</v>
      </c>
      <c r="B522">
        <f>IF($A522="","",games!$B522)</f>
        <v>2024</v>
      </c>
      <c r="C522" t="str">
        <f>IF($A522="","",games!$C522)</f>
        <v>Strategy</v>
      </c>
      <c r="D522">
        <f>IF($A522="","",COUNTIF(connections!$A$2:$A$1460,$A522)+COUNTIF(connections!$B$2:$B$1460,$A522))</f>
        <v>6</v>
      </c>
      <c r="E522">
        <f t="shared" si="104"/>
        <v>2</v>
      </c>
      <c r="F522">
        <f t="shared" si="105"/>
        <v>12</v>
      </c>
      <c r="G522" t="e">
        <f t="shared" si="106"/>
        <v>#N/A</v>
      </c>
      <c r="H522" t="e">
        <f t="shared" si="107"/>
        <v>#N/A</v>
      </c>
      <c r="I522">
        <f t="shared" si="108"/>
        <v>2024</v>
      </c>
      <c r="J522">
        <f t="shared" si="109"/>
        <v>2.2759999999999998</v>
      </c>
      <c r="K522" t="e">
        <f t="shared" si="110"/>
        <v>#N/A</v>
      </c>
      <c r="L522" t="e">
        <f t="shared" si="111"/>
        <v>#N/A</v>
      </c>
      <c r="M522" t="e">
        <f t="shared" si="112"/>
        <v>#N/A</v>
      </c>
      <c r="N522" t="e">
        <f t="shared" si="113"/>
        <v>#N/A</v>
      </c>
      <c r="O522">
        <f t="shared" si="114"/>
        <v>6.0005220000000001</v>
      </c>
      <c r="P522" t="str">
        <f>IF(OR($A522="",games!$H522=""),"",games!$H522)</f>
        <v>Yes</v>
      </c>
      <c r="Q522">
        <f t="shared" si="115"/>
        <v>6.0005220000000001</v>
      </c>
      <c r="T522">
        <f>IF(connections!$A522="","",IFERROR(INDEX(games!$B$2:$B$950,MATCH(connections!$A522,games!$A$2:$A$950,0)),""))</f>
        <v>2019</v>
      </c>
      <c r="U522">
        <f>IF(connections!$A522="","",IFERROR(INDEX(games!$B$2:$B$950,MATCH(connections!$B522,games!$A$2:$A$950,0)),""))</f>
        <v>2026</v>
      </c>
      <c r="V522">
        <f t="shared" si="116"/>
        <v>7</v>
      </c>
    </row>
    <row r="523" spans="1:22" x14ac:dyDescent="0.25">
      <c r="A523" t="str">
        <f>IF(games!$A523="","",games!$A523)</f>
        <v>Nuclear Throne</v>
      </c>
      <c r="B523">
        <f>IF($A523="","",games!$B523)</f>
        <v>2015</v>
      </c>
      <c r="C523" t="str">
        <f>IF($A523="","",games!$C523)</f>
        <v>Action</v>
      </c>
      <c r="D523">
        <f>IF($A523="","",COUNTIF(connections!$A$2:$A$1460,$A523)+COUNTIF(connections!$B$2:$B$1460,$A523))</f>
        <v>30</v>
      </c>
      <c r="E523">
        <f t="shared" si="104"/>
        <v>1</v>
      </c>
      <c r="F523">
        <f t="shared" si="105"/>
        <v>13</v>
      </c>
      <c r="G523">
        <f t="shared" si="106"/>
        <v>2015</v>
      </c>
      <c r="H523">
        <f t="shared" si="107"/>
        <v>1.2989999999999999</v>
      </c>
      <c r="I523" t="e">
        <f t="shared" si="108"/>
        <v>#N/A</v>
      </c>
      <c r="J523" t="e">
        <f t="shared" si="109"/>
        <v>#N/A</v>
      </c>
      <c r="K523" t="e">
        <f t="shared" si="110"/>
        <v>#N/A</v>
      </c>
      <c r="L523" t="e">
        <f t="shared" si="111"/>
        <v>#N/A</v>
      </c>
      <c r="M523" t="e">
        <f t="shared" si="112"/>
        <v>#N/A</v>
      </c>
      <c r="N523" t="e">
        <f t="shared" si="113"/>
        <v>#N/A</v>
      </c>
      <c r="O523">
        <f t="shared" si="114"/>
        <v>30.000523000000001</v>
      </c>
      <c r="P523" t="str">
        <f>IF(OR($A523="",games!$H523=""),"",games!$H523)</f>
        <v>Yes</v>
      </c>
      <c r="Q523">
        <f t="shared" si="115"/>
        <v>30.000523000000001</v>
      </c>
      <c r="T523">
        <f>IF(connections!$A523="","",IFERROR(INDEX(games!$B$2:$B$950,MATCH(connections!$A523,games!$A$2:$A$950,0)),""))</f>
        <v>2019</v>
      </c>
      <c r="U523">
        <f>IF(connections!$A523="","",IFERROR(INDEX(games!$B$2:$B$950,MATCH(connections!$B523,games!$A$2:$A$950,0)),""))</f>
        <v>2023</v>
      </c>
      <c r="V523">
        <f t="shared" si="116"/>
        <v>4</v>
      </c>
    </row>
    <row r="524" spans="1:22" x14ac:dyDescent="0.25">
      <c r="A524" t="str">
        <f>IF(games!$A524="","",games!$A524)</f>
        <v>Nunholy</v>
      </c>
      <c r="B524">
        <f>IF($A524="","",games!$B524)</f>
        <v>2025</v>
      </c>
      <c r="C524" t="str">
        <f>IF($A524="","",games!$C524)</f>
        <v>Action</v>
      </c>
      <c r="D524">
        <f>IF($A524="","",COUNTIF(connections!$A$2:$A$1460,$A524)+COUNTIF(connections!$B$2:$B$1460,$A524))</f>
        <v>1</v>
      </c>
      <c r="E524">
        <f t="shared" si="104"/>
        <v>1</v>
      </c>
      <c r="F524">
        <f t="shared" si="105"/>
        <v>14</v>
      </c>
      <c r="G524">
        <f t="shared" si="106"/>
        <v>2025</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Yes</v>
      </c>
      <c r="Q524">
        <f t="shared" si="115"/>
        <v>1.000524</v>
      </c>
      <c r="T524">
        <f>IF(connections!$A524="","",IFERROR(INDEX(games!$B$2:$B$950,MATCH(connections!$A524,games!$A$2:$A$950,0)),""))</f>
        <v>2019</v>
      </c>
      <c r="U524">
        <f>IF(connections!$A524="","",IFERROR(INDEX(games!$B$2:$B$950,MATCH(connections!$B524,games!$A$2:$A$950,0)),""))</f>
        <v>2022</v>
      </c>
      <c r="V524">
        <f t="shared" si="116"/>
        <v>3</v>
      </c>
    </row>
    <row r="525" spans="1:22" x14ac:dyDescent="0.25">
      <c r="A525" t="str">
        <f>IF(games!$A525="","",games!$A525)</f>
        <v>Oaken Tower</v>
      </c>
      <c r="B525">
        <f>IF($A525="","",games!$B525)</f>
        <v>2026</v>
      </c>
      <c r="C525" t="str">
        <f>IF($A525="","",games!$C525)</f>
        <v>Strategy</v>
      </c>
      <c r="D525">
        <f>IF($A525="","",COUNTIF(connections!$A$2:$A$1460,$A525)+COUNTIF(connections!$B$2:$B$1460,$A525))</f>
        <v>4</v>
      </c>
      <c r="E525">
        <f t="shared" si="104"/>
        <v>2</v>
      </c>
      <c r="F525">
        <f t="shared" si="105"/>
        <v>15</v>
      </c>
      <c r="G525" t="e">
        <f t="shared" si="106"/>
        <v>#N/A</v>
      </c>
      <c r="H525" t="e">
        <f t="shared" si="107"/>
        <v>#N/A</v>
      </c>
      <c r="I525">
        <f t="shared" si="108"/>
        <v>2026</v>
      </c>
      <c r="J525">
        <f t="shared" si="109"/>
        <v>2.3449999999999998</v>
      </c>
      <c r="K525" t="e">
        <f t="shared" si="110"/>
        <v>#N/A</v>
      </c>
      <c r="L525" t="e">
        <f t="shared" si="111"/>
        <v>#N/A</v>
      </c>
      <c r="M525" t="e">
        <f t="shared" si="112"/>
        <v>#N/A</v>
      </c>
      <c r="N525" t="e">
        <f t="shared" si="113"/>
        <v>#N/A</v>
      </c>
      <c r="O525">
        <f t="shared" si="114"/>
        <v>4.0005249999999997</v>
      </c>
      <c r="P525" t="str">
        <f>IF(OR($A525="",games!$H525=""),"",games!$H525)</f>
        <v/>
      </c>
      <c r="Q525" t="str">
        <f t="shared" si="115"/>
        <v/>
      </c>
      <c r="T525">
        <f>IF(connections!$A525="","",IFERROR(INDEX(games!$B$2:$B$950,MATCH(connections!$A525,games!$A$2:$A$950,0)),""))</f>
        <v>2019</v>
      </c>
      <c r="U525">
        <f>IF(connections!$A525="","",IFERROR(INDEX(games!$B$2:$B$950,MATCH(connections!$B525,games!$A$2:$A$950,0)),""))</f>
        <v>2026</v>
      </c>
      <c r="V525">
        <f t="shared" si="116"/>
        <v>7</v>
      </c>
    </row>
    <row r="526" spans="1:22" x14ac:dyDescent="0.25">
      <c r="A526" t="str">
        <f>IF(games!$A526="","",games!$A526)</f>
        <v>Oblivion Override</v>
      </c>
      <c r="B526">
        <f>IF($A526="","",games!$B526)</f>
        <v>2023</v>
      </c>
      <c r="C526" t="str">
        <f>IF($A526="","",games!$C526)</f>
        <v>Action</v>
      </c>
      <c r="D526">
        <f>IF($A526="","",COUNTIF(connections!$A$2:$A$1460,$A526)+COUNTIF(connections!$B$2:$B$1460,$A526))</f>
        <v>1</v>
      </c>
      <c r="E526">
        <f t="shared" si="104"/>
        <v>1</v>
      </c>
      <c r="F526">
        <f t="shared" si="105"/>
        <v>16</v>
      </c>
      <c r="G526">
        <f t="shared" si="106"/>
        <v>2023</v>
      </c>
      <c r="H526">
        <f t="shared" si="107"/>
        <v>1.3679999999999999</v>
      </c>
      <c r="I526" t="e">
        <f t="shared" si="108"/>
        <v>#N/A</v>
      </c>
      <c r="J526" t="e">
        <f t="shared" si="109"/>
        <v>#N/A</v>
      </c>
      <c r="K526" t="e">
        <f t="shared" si="110"/>
        <v>#N/A</v>
      </c>
      <c r="L526" t="e">
        <f t="shared" si="111"/>
        <v>#N/A</v>
      </c>
      <c r="M526" t="e">
        <f t="shared" si="112"/>
        <v>#N/A</v>
      </c>
      <c r="N526" t="e">
        <f t="shared" si="113"/>
        <v>#N/A</v>
      </c>
      <c r="O526">
        <f t="shared" si="114"/>
        <v>1.000526</v>
      </c>
      <c r="P526" t="str">
        <f>IF(OR($A526="",games!$H526=""),"",games!$H526)</f>
        <v/>
      </c>
      <c r="Q526" t="str">
        <f t="shared" si="115"/>
        <v/>
      </c>
      <c r="T526">
        <f>IF(connections!$A526="","",IFERROR(INDEX(games!$B$2:$B$950,MATCH(connections!$A526,games!$A$2:$A$950,0)),""))</f>
        <v>2019</v>
      </c>
      <c r="U526">
        <f>IF(connections!$A526="","",IFERROR(INDEX(games!$B$2:$B$950,MATCH(connections!$B526,games!$A$2:$A$950,0)),""))</f>
        <v>2020</v>
      </c>
      <c r="V526">
        <f t="shared" si="116"/>
        <v>1</v>
      </c>
    </row>
    <row r="527" spans="1:22" x14ac:dyDescent="0.25">
      <c r="A527" t="str">
        <f>IF(games!$A527="","",games!$A527)</f>
        <v>Obsidian Prince</v>
      </c>
      <c r="B527">
        <f>IF($A527="","",games!$B527)</f>
        <v>2021</v>
      </c>
      <c r="C527" t="str">
        <f>IF($A527="","",games!$C527)</f>
        <v>Deckbuilder</v>
      </c>
      <c r="D527">
        <f>IF($A527="","",COUNTIF(connections!$A$2:$A$1460,$A527)+COUNTIF(connections!$B$2:$B$1460,$A527))</f>
        <v>2</v>
      </c>
      <c r="E527">
        <f t="shared" si="104"/>
        <v>3</v>
      </c>
      <c r="F527">
        <f t="shared" si="105"/>
        <v>17</v>
      </c>
      <c r="G527" t="e">
        <f t="shared" si="106"/>
        <v>#N/A</v>
      </c>
      <c r="H527" t="e">
        <f t="shared" si="107"/>
        <v>#N/A</v>
      </c>
      <c r="I527" t="e">
        <f t="shared" si="108"/>
        <v>#N/A</v>
      </c>
      <c r="J527" t="e">
        <f t="shared" si="109"/>
        <v>#N/A</v>
      </c>
      <c r="K527">
        <f t="shared" si="110"/>
        <v>2021</v>
      </c>
      <c r="L527">
        <f t="shared" si="111"/>
        <v>3.391</v>
      </c>
      <c r="M527" t="e">
        <f t="shared" si="112"/>
        <v>#N/A</v>
      </c>
      <c r="N527" t="e">
        <f t="shared" si="113"/>
        <v>#N/A</v>
      </c>
      <c r="O527">
        <f t="shared" si="114"/>
        <v>2.0005269999999999</v>
      </c>
      <c r="P527" t="str">
        <f>IF(OR($A527="",games!$H527=""),"",games!$H527)</f>
        <v>Yes</v>
      </c>
      <c r="Q527">
        <f t="shared" si="115"/>
        <v>2.0005269999999999</v>
      </c>
      <c r="T527">
        <f>IF(connections!$A527="","",IFERROR(INDEX(games!$B$2:$B$950,MATCH(connections!$A527,games!$A$2:$A$950,0)),""))</f>
        <v>2019</v>
      </c>
      <c r="U527">
        <f>IF(connections!$A527="","",IFERROR(INDEX(games!$B$2:$B$950,MATCH(connections!$B527,games!$A$2:$A$950,0)),""))</f>
        <v>2025</v>
      </c>
      <c r="V527">
        <f t="shared" si="116"/>
        <v>6</v>
      </c>
    </row>
    <row r="528" spans="1:22" x14ac:dyDescent="0.25">
      <c r="A528" t="str">
        <f>IF(games!$A528="","",games!$A528)</f>
        <v>Octogeddon</v>
      </c>
      <c r="B528">
        <f>IF($A528="","",games!$B528)</f>
        <v>2018</v>
      </c>
      <c r="C528" t="str">
        <f>IF($A528="","",games!$C528)</f>
        <v>Action</v>
      </c>
      <c r="D528">
        <f>IF($A528="","",COUNTIF(connections!$A$2:$A$1460,$A528)+COUNTIF(connections!$B$2:$B$1460,$A528))</f>
        <v>0</v>
      </c>
      <c r="E528">
        <f t="shared" si="104"/>
        <v>1</v>
      </c>
      <c r="F528">
        <f t="shared" si="105"/>
        <v>18</v>
      </c>
      <c r="G528">
        <f t="shared" si="106"/>
        <v>2018</v>
      </c>
      <c r="H528">
        <f t="shared" si="107"/>
        <v>1.4139999999999999</v>
      </c>
      <c r="I528" t="e">
        <f t="shared" si="108"/>
        <v>#N/A</v>
      </c>
      <c r="J528" t="e">
        <f t="shared" si="109"/>
        <v>#N/A</v>
      </c>
      <c r="K528" t="e">
        <f t="shared" si="110"/>
        <v>#N/A</v>
      </c>
      <c r="L528" t="e">
        <f t="shared" si="111"/>
        <v>#N/A</v>
      </c>
      <c r="M528" t="e">
        <f t="shared" si="112"/>
        <v>#N/A</v>
      </c>
      <c r="N528" t="e">
        <f t="shared" si="113"/>
        <v>#N/A</v>
      </c>
      <c r="O528">
        <f t="shared" si="114"/>
        <v>5.2800000000000004E-4</v>
      </c>
      <c r="P528" t="str">
        <f>IF(OR($A528="",games!$H528=""),"",games!$H528)</f>
        <v>Yes</v>
      </c>
      <c r="Q528">
        <f t="shared" si="115"/>
        <v>5.2800000000000004E-4</v>
      </c>
      <c r="T528">
        <f>IF(connections!$A528="","",IFERROR(INDEX(games!$B$2:$B$950,MATCH(connections!$A528,games!$A$2:$A$950,0)),""))</f>
        <v>2019</v>
      </c>
      <c r="U528">
        <f>IF(connections!$A528="","",IFERROR(INDEX(games!$B$2:$B$950,MATCH(connections!$B528,games!$A$2:$A$950,0)),""))</f>
        <v>2023</v>
      </c>
      <c r="V528">
        <f t="shared" si="116"/>
        <v>4</v>
      </c>
    </row>
    <row r="529" spans="1:22" x14ac:dyDescent="0.25">
      <c r="A529" t="str">
        <f>IF(games!$A529="","",games!$A529)</f>
        <v>Oddcore</v>
      </c>
      <c r="B529">
        <f>IF($A529="","",games!$B529)</f>
        <v>2026</v>
      </c>
      <c r="C529" t="str">
        <f>IF($A529="","",games!$C529)</f>
        <v>Action</v>
      </c>
      <c r="D529">
        <f>IF($A529="","",COUNTIF(connections!$A$2:$A$1460,$A529)+COUNTIF(connections!$B$2:$B$1460,$A529))</f>
        <v>1</v>
      </c>
      <c r="E529">
        <f t="shared" si="104"/>
        <v>1</v>
      </c>
      <c r="F529">
        <f t="shared" si="105"/>
        <v>19</v>
      </c>
      <c r="G529">
        <f t="shared" si="106"/>
        <v>2026</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2019</v>
      </c>
      <c r="U529">
        <f>IF(connections!$A529="","",IFERROR(INDEX(games!$B$2:$B$950,MATCH(connections!$B529,games!$A$2:$A$950,0)),""))</f>
        <v>2026</v>
      </c>
      <c r="V529">
        <f t="shared" si="116"/>
        <v>7</v>
      </c>
    </row>
    <row r="530" spans="1:22" x14ac:dyDescent="0.25">
      <c r="A530" t="str">
        <f>IF(games!$A530="","",games!$A530)</f>
        <v>Odinfall</v>
      </c>
      <c r="B530">
        <f>IF($A530="","",games!$B530)</f>
        <v>2025</v>
      </c>
      <c r="C530" t="str">
        <f>IF($A530="","",games!$C530)</f>
        <v>Action</v>
      </c>
      <c r="D530">
        <f>IF($A530="","",COUNTIF(connections!$A$2:$A$1460,$A530)+COUNTIF(connections!$B$2:$B$1460,$A530))</f>
        <v>2</v>
      </c>
      <c r="E530">
        <f t="shared" si="104"/>
        <v>1</v>
      </c>
      <c r="F530">
        <f t="shared" si="105"/>
        <v>20</v>
      </c>
      <c r="G530">
        <f t="shared" si="106"/>
        <v>2025</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
      </c>
      <c r="Q530" t="str">
        <f t="shared" si="115"/>
        <v/>
      </c>
      <c r="T530">
        <f>IF(connections!$A530="","",IFERROR(INDEX(games!$B$2:$B$950,MATCH(connections!$A530,games!$A$2:$A$950,0)),""))</f>
        <v>2019</v>
      </c>
      <c r="U530">
        <f>IF(connections!$A530="","",IFERROR(INDEX(games!$B$2:$B$950,MATCH(connections!$B530,games!$A$2:$A$950,0)),""))</f>
        <v>2020</v>
      </c>
      <c r="V530">
        <f t="shared" si="116"/>
        <v>1</v>
      </c>
    </row>
    <row r="531" spans="1:22" x14ac:dyDescent="0.25">
      <c r="A531" t="str">
        <f>IF(games!$A531="","",games!$A531)</f>
        <v>Ogre Chambers 2222</v>
      </c>
      <c r="B531">
        <f>IF($A531="","",games!$B531)</f>
        <v>2026</v>
      </c>
      <c r="C531" t="str">
        <f>IF($A531="","",games!$C531)</f>
        <v>Action</v>
      </c>
      <c r="D531">
        <f>IF($A531="","",COUNTIF(connections!$A$2:$A$1460,$A531)+COUNTIF(connections!$B$2:$B$1460,$A531))</f>
        <v>3</v>
      </c>
      <c r="E531">
        <f t="shared" si="104"/>
        <v>1</v>
      </c>
      <c r="F531">
        <f t="shared" si="105"/>
        <v>21</v>
      </c>
      <c r="G531">
        <f t="shared" si="106"/>
        <v>2026</v>
      </c>
      <c r="H531">
        <f t="shared" si="107"/>
        <v>1.4830000000000001</v>
      </c>
      <c r="I531" t="e">
        <f t="shared" si="108"/>
        <v>#N/A</v>
      </c>
      <c r="J531" t="e">
        <f t="shared" si="109"/>
        <v>#N/A</v>
      </c>
      <c r="K531" t="e">
        <f t="shared" si="110"/>
        <v>#N/A</v>
      </c>
      <c r="L531" t="e">
        <f t="shared" si="111"/>
        <v>#N/A</v>
      </c>
      <c r="M531" t="e">
        <f t="shared" si="112"/>
        <v>#N/A</v>
      </c>
      <c r="N531" t="e">
        <f t="shared" si="113"/>
        <v>#N/A</v>
      </c>
      <c r="O531">
        <f t="shared" si="114"/>
        <v>3.0005310000000001</v>
      </c>
      <c r="P531" t="str">
        <f>IF(OR($A531="",games!$H531=""),"",games!$H531)</f>
        <v/>
      </c>
      <c r="Q531" t="str">
        <f t="shared" si="115"/>
        <v/>
      </c>
      <c r="T531">
        <f>IF(connections!$A531="","",IFERROR(INDEX(games!$B$2:$B$950,MATCH(connections!$A531,games!$A$2:$A$950,0)),""))</f>
        <v>2019</v>
      </c>
      <c r="U531">
        <f>IF(connections!$A531="","",IFERROR(INDEX(games!$B$2:$B$950,MATCH(connections!$B531,games!$A$2:$A$950,0)),""))</f>
        <v>2025</v>
      </c>
      <c r="V531">
        <f t="shared" si="116"/>
        <v>6</v>
      </c>
    </row>
    <row r="532" spans="1:22" x14ac:dyDescent="0.25">
      <c r="A532" t="str">
        <f>IF(games!$A532="","",games!$A532)</f>
        <v>Omega</v>
      </c>
      <c r="B532">
        <f>IF($A532="","",games!$B532)</f>
        <v>1987</v>
      </c>
      <c r="C532" t="str">
        <f>IF($A532="","",games!$C532)</f>
        <v>Traditional</v>
      </c>
      <c r="D532">
        <f>IF($A532="","",COUNTIF(connections!$A$2:$A$1460,$A532)+COUNTIF(connections!$B$2:$B$1460,$A532))</f>
        <v>6</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1987</v>
      </c>
      <c r="N532">
        <f t="shared" si="113"/>
        <v>4.5060000000000002</v>
      </c>
      <c r="O532">
        <f t="shared" si="114"/>
        <v>6.0005319999999998</v>
      </c>
      <c r="P532" t="str">
        <f>IF(OR($A532="",games!$H532=""),"",games!$H532)</f>
        <v>Yes</v>
      </c>
      <c r="Q532">
        <f t="shared" si="115"/>
        <v>6.0005319999999998</v>
      </c>
      <c r="T532">
        <f>IF(connections!$A532="","",IFERROR(INDEX(games!$B$2:$B$950,MATCH(connections!$A532,games!$A$2:$A$950,0)),""))</f>
        <v>2019</v>
      </c>
      <c r="U532">
        <f>IF(connections!$A532="","",IFERROR(INDEX(games!$B$2:$B$950,MATCH(connections!$B532,games!$A$2:$A$950,0)),""))</f>
        <v>2022</v>
      </c>
      <c r="V532">
        <f t="shared" si="116"/>
        <v>3</v>
      </c>
    </row>
    <row r="533" spans="1:22" x14ac:dyDescent="0.25">
      <c r="A533" t="str">
        <f>IF(games!$A533="","",games!$A533)</f>
        <v>Omega Labyrinth</v>
      </c>
      <c r="B533">
        <f>IF($A533="","",games!$B533)</f>
        <v>2015</v>
      </c>
      <c r="C533" t="str">
        <f>IF($A533="","",games!$C533)</f>
        <v>Traditional</v>
      </c>
      <c r="D533">
        <f>IF($A533="","",COUNTIF(connections!$A$2:$A$1460,$A533)+COUNTIF(connections!$B$2:$B$1460,$A533))</f>
        <v>2</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2.0005329999999999</v>
      </c>
      <c r="P533" t="str">
        <f>IF(OR($A533="",games!$H533=""),"",games!$H533)</f>
        <v/>
      </c>
      <c r="Q533" t="str">
        <f t="shared" si="115"/>
        <v/>
      </c>
      <c r="T533">
        <f>IF(connections!$A533="","",IFERROR(INDEX(games!$B$2:$B$950,MATCH(connections!$A533,games!$A$2:$A$950,0)),""))</f>
        <v>2019</v>
      </c>
      <c r="U533">
        <f>IF(connections!$A533="","",IFERROR(INDEX(games!$B$2:$B$950,MATCH(connections!$B533,games!$A$2:$A$950,0)),""))</f>
        <v>2022</v>
      </c>
      <c r="V533">
        <f t="shared" si="116"/>
        <v>3</v>
      </c>
    </row>
    <row r="534" spans="1:22" x14ac:dyDescent="0.25">
      <c r="A534" t="str">
        <f>IF(games!$A534="","",games!$A534)</f>
        <v>Omega Labyrinth Life</v>
      </c>
      <c r="B534">
        <f>IF($A534="","",games!$B534)</f>
        <v>2019</v>
      </c>
      <c r="C534" t="str">
        <f>IF($A534="","",games!$C534)</f>
        <v>Traditional</v>
      </c>
      <c r="D534">
        <f>IF($A534="","",COUNTIF(connections!$A$2:$A$1460,$A534)+COUNTIF(connections!$B$2:$B$1460,$A534))</f>
        <v>1</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2019</v>
      </c>
      <c r="N534">
        <f t="shared" si="113"/>
        <v>4.5519999999999996</v>
      </c>
      <c r="O534">
        <f t="shared" si="114"/>
        <v>1.000534</v>
      </c>
      <c r="P534" t="str">
        <f>IF(OR($A534="",games!$H534=""),"",games!$H534)</f>
        <v>Yes</v>
      </c>
      <c r="Q534">
        <f t="shared" si="115"/>
        <v>1.000534</v>
      </c>
      <c r="T534">
        <f>IF(connections!$A534="","",IFERROR(INDEX(games!$B$2:$B$950,MATCH(connections!$A534,games!$A$2:$A$950,0)),""))</f>
        <v>2019</v>
      </c>
      <c r="U534">
        <f>IF(connections!$A534="","",IFERROR(INDEX(games!$B$2:$B$950,MATCH(connections!$B534,games!$A$2:$A$950,0)),""))</f>
        <v>2025</v>
      </c>
      <c r="V534">
        <f t="shared" si="116"/>
        <v>6</v>
      </c>
    </row>
    <row r="535" spans="1:22" x14ac:dyDescent="0.25">
      <c r="A535" t="str">
        <f>IF(games!$A535="","",games!$A535)</f>
        <v>Omega Labyrinth Z</v>
      </c>
      <c r="B535">
        <f>IF($A535="","",games!$B535)</f>
        <v>2017</v>
      </c>
      <c r="C535" t="str">
        <f>IF($A535="","",games!$C535)</f>
        <v>Traditional</v>
      </c>
      <c r="D535">
        <f>IF($A535="","",COUNTIF(connections!$A$2:$A$1460,$A535)+COUNTIF(connections!$B$2:$B$1460,$A535))</f>
        <v>2</v>
      </c>
      <c r="E535">
        <f t="shared" si="104"/>
        <v>4</v>
      </c>
      <c r="F535">
        <f t="shared" si="105"/>
        <v>25</v>
      </c>
      <c r="G535" t="e">
        <f t="shared" si="106"/>
        <v>#N/A</v>
      </c>
      <c r="H535" t="e">
        <f t="shared" si="107"/>
        <v>#N/A</v>
      </c>
      <c r="I535" t="e">
        <f t="shared" si="108"/>
        <v>#N/A</v>
      </c>
      <c r="J535" t="e">
        <f t="shared" si="109"/>
        <v>#N/A</v>
      </c>
      <c r="K535" t="e">
        <f t="shared" si="110"/>
        <v>#N/A</v>
      </c>
      <c r="L535" t="e">
        <f t="shared" si="111"/>
        <v>#N/A</v>
      </c>
      <c r="M535">
        <f t="shared" si="112"/>
        <v>2017</v>
      </c>
      <c r="N535">
        <f t="shared" si="113"/>
        <v>4.5750000000000002</v>
      </c>
      <c r="O535">
        <f t="shared" si="114"/>
        <v>2.0005350000000002</v>
      </c>
      <c r="P535" t="str">
        <f>IF(OR($A535="",games!$H535=""),"",games!$H535)</f>
        <v/>
      </c>
      <c r="Q535" t="str">
        <f t="shared" si="115"/>
        <v/>
      </c>
      <c r="T535">
        <f>IF(connections!$A535="","",IFERROR(INDEX(games!$B$2:$B$950,MATCH(connections!$A535,games!$A$2:$A$950,0)),""))</f>
        <v>2019</v>
      </c>
      <c r="U535">
        <f>IF(connections!$A535="","",IFERROR(INDEX(games!$B$2:$B$950,MATCH(connections!$B535,games!$A$2:$A$950,0)),""))</f>
        <v>2020</v>
      </c>
      <c r="V535">
        <f t="shared" si="116"/>
        <v>1</v>
      </c>
    </row>
    <row r="536" spans="1:22" x14ac:dyDescent="0.25">
      <c r="A536" t="str">
        <f>IF(games!$A536="","",games!$A536)</f>
        <v>Omelet You Cook</v>
      </c>
      <c r="B536">
        <f>IF($A536="","",games!$B536)</f>
        <v>2025</v>
      </c>
      <c r="C536" t="str">
        <f>IF($A536="","",games!$C536)</f>
        <v>Deckbuilder</v>
      </c>
      <c r="D536">
        <f>IF($A536="","",COUNTIF(connections!$A$2:$A$1460,$A536)+COUNTIF(connections!$B$2:$B$1460,$A536))</f>
        <v>3</v>
      </c>
      <c r="E536">
        <f t="shared" si="104"/>
        <v>3</v>
      </c>
      <c r="F536">
        <f t="shared" si="105"/>
        <v>26</v>
      </c>
      <c r="G536" t="e">
        <f t="shared" si="106"/>
        <v>#N/A</v>
      </c>
      <c r="H536" t="e">
        <f t="shared" si="107"/>
        <v>#N/A</v>
      </c>
      <c r="I536" t="e">
        <f t="shared" si="108"/>
        <v>#N/A</v>
      </c>
      <c r="J536" t="e">
        <f t="shared" si="109"/>
        <v>#N/A</v>
      </c>
      <c r="K536">
        <f t="shared" si="110"/>
        <v>2025</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2019</v>
      </c>
      <c r="U536">
        <f>IF(connections!$A536="","",IFERROR(INDEX(games!$B$2:$B$950,MATCH(connections!$B536,games!$A$2:$A$950,0)),""))</f>
        <v>2024</v>
      </c>
      <c r="V536">
        <f t="shared" si="116"/>
        <v>5</v>
      </c>
    </row>
    <row r="537" spans="1:22" x14ac:dyDescent="0.25">
      <c r="A537" t="str">
        <f>IF(games!$A537="","",games!$A537)</f>
        <v>One Step From Eden</v>
      </c>
      <c r="B537">
        <f>IF($A537="","",games!$B537)</f>
        <v>2020</v>
      </c>
      <c r="C537" t="str">
        <f>IF($A537="","",games!$C537)</f>
        <v>Action</v>
      </c>
      <c r="D537">
        <f>IF($A537="","",COUNTIF(connections!$A$2:$A$1460,$A537)+COUNTIF(connections!$B$2:$B$1460,$A537))</f>
        <v>3</v>
      </c>
      <c r="E537">
        <f t="shared" si="104"/>
        <v>1</v>
      </c>
      <c r="F537">
        <f t="shared" si="105"/>
        <v>27</v>
      </c>
      <c r="G537">
        <f t="shared" si="106"/>
        <v>2020</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2019</v>
      </c>
      <c r="U537">
        <f>IF(connections!$A537="","",IFERROR(INDEX(games!$B$2:$B$950,MATCH(connections!$B537,games!$A$2:$A$950,0)),""))</f>
        <v>2022</v>
      </c>
      <c r="V537">
        <f t="shared" si="116"/>
        <v>3</v>
      </c>
    </row>
    <row r="538" spans="1:22" x14ac:dyDescent="0.25">
      <c r="A538" t="str">
        <f>IF(games!$A538="","",games!$A538)</f>
        <v>One Way Heroics</v>
      </c>
      <c r="B538">
        <f>IF($A538="","",games!$B538)</f>
        <v>2014</v>
      </c>
      <c r="C538" t="str">
        <f>IF($A538="","",games!$C538)</f>
        <v>Traditional</v>
      </c>
      <c r="D538">
        <f>IF($A538="","",COUNTIF(connections!$A$2:$A$1460,$A538)+COUNTIF(connections!$B$2:$B$1460,$A538))</f>
        <v>3</v>
      </c>
      <c r="E538">
        <f t="shared" si="104"/>
        <v>4</v>
      </c>
      <c r="F538">
        <f t="shared" si="105"/>
        <v>28</v>
      </c>
      <c r="G538" t="e">
        <f t="shared" si="106"/>
        <v>#N/A</v>
      </c>
      <c r="H538" t="e">
        <f t="shared" si="107"/>
        <v>#N/A</v>
      </c>
      <c r="I538" t="e">
        <f t="shared" si="108"/>
        <v>#N/A</v>
      </c>
      <c r="J538" t="e">
        <f t="shared" si="109"/>
        <v>#N/A</v>
      </c>
      <c r="K538" t="e">
        <f t="shared" si="110"/>
        <v>#N/A</v>
      </c>
      <c r="L538" t="e">
        <f t="shared" si="111"/>
        <v>#N/A</v>
      </c>
      <c r="M538">
        <f t="shared" si="112"/>
        <v>2014</v>
      </c>
      <c r="N538">
        <f t="shared" si="113"/>
        <v>4.6440000000000001</v>
      </c>
      <c r="O538">
        <f t="shared" si="114"/>
        <v>3.0005380000000001</v>
      </c>
      <c r="P538" t="str">
        <f>IF(OR($A538="",games!$H538=""),"",games!$H538)</f>
        <v>Yes</v>
      </c>
      <c r="Q538">
        <f t="shared" si="115"/>
        <v>3.0005380000000001</v>
      </c>
      <c r="T538">
        <f>IF(connections!$A538="","",IFERROR(INDEX(games!$B$2:$B$950,MATCH(connections!$A538,games!$A$2:$A$950,0)),""))</f>
        <v>2019</v>
      </c>
      <c r="U538">
        <f>IF(connections!$A538="","",IFERROR(INDEX(games!$B$2:$B$950,MATCH(connections!$B538,games!$A$2:$A$950,0)),""))</f>
        <v>2025</v>
      </c>
      <c r="V538">
        <f t="shared" si="116"/>
        <v>6</v>
      </c>
    </row>
    <row r="539" spans="1:22" x14ac:dyDescent="0.25">
      <c r="A539" t="str">
        <f>IF(games!$A539="","",games!$A539)</f>
        <v>OneBit Adventure</v>
      </c>
      <c r="B539">
        <f>IF($A539="","",games!$B539)</f>
        <v>2019</v>
      </c>
      <c r="C539" t="str">
        <f>IF($A539="","",games!$C539)</f>
        <v>Traditional</v>
      </c>
      <c r="D539">
        <f>IF($A539="","",COUNTIF(connections!$A$2:$A$1460,$A539)+COUNTIF(connections!$B$2:$B$1460,$A539))</f>
        <v>1</v>
      </c>
      <c r="E539">
        <f t="shared" si="104"/>
        <v>4</v>
      </c>
      <c r="F539">
        <f t="shared" si="105"/>
        <v>29</v>
      </c>
      <c r="G539" t="e">
        <f t="shared" si="106"/>
        <v>#N/A</v>
      </c>
      <c r="H539" t="e">
        <f t="shared" si="107"/>
        <v>#N/A</v>
      </c>
      <c r="I539" t="e">
        <f t="shared" si="108"/>
        <v>#N/A</v>
      </c>
      <c r="J539" t="e">
        <f t="shared" si="109"/>
        <v>#N/A</v>
      </c>
      <c r="K539" t="e">
        <f t="shared" si="110"/>
        <v>#N/A</v>
      </c>
      <c r="L539" t="e">
        <f t="shared" si="111"/>
        <v>#N/A</v>
      </c>
      <c r="M539">
        <f t="shared" si="112"/>
        <v>2019</v>
      </c>
      <c r="N539">
        <f t="shared" si="113"/>
        <v>4.6669999999999998</v>
      </c>
      <c r="O539">
        <f t="shared" si="114"/>
        <v>1.0005390000000001</v>
      </c>
      <c r="P539" t="str">
        <f>IF(OR($A539="",games!$H539=""),"",games!$H539)</f>
        <v>Yes</v>
      </c>
      <c r="Q539">
        <f t="shared" si="115"/>
        <v>1.0005390000000001</v>
      </c>
      <c r="T539">
        <f>IF(connections!$A539="","",IFERROR(INDEX(games!$B$2:$B$950,MATCH(connections!$A539,games!$A$2:$A$950,0)),""))</f>
        <v>2019</v>
      </c>
      <c r="U539">
        <f>IF(connections!$A539="","",IFERROR(INDEX(games!$B$2:$B$950,MATCH(connections!$B539,games!$A$2:$A$950,0)),""))</f>
        <v>2026</v>
      </c>
      <c r="V539">
        <f t="shared" si="116"/>
        <v>7</v>
      </c>
    </row>
    <row r="540" spans="1:22" x14ac:dyDescent="0.25">
      <c r="A540" t="str">
        <f>IF(games!$A540="","",games!$A540)</f>
        <v>Order Automatica</v>
      </c>
      <c r="B540">
        <f>IF($A540="","",games!$B540)</f>
        <v>2026</v>
      </c>
      <c r="C540" t="str">
        <f>IF($A540="","",games!$C540)</f>
        <v>Deckbuilder</v>
      </c>
      <c r="D540">
        <f>IF($A540="","",COUNTIF(connections!$A$2:$A$1460,$A540)+COUNTIF(connections!$B$2:$B$1460,$A540))</f>
        <v>5</v>
      </c>
      <c r="E540">
        <f t="shared" si="104"/>
        <v>3</v>
      </c>
      <c r="F540">
        <f t="shared" si="105"/>
        <v>30</v>
      </c>
      <c r="G540" t="e">
        <f t="shared" si="106"/>
        <v>#N/A</v>
      </c>
      <c r="H540" t="e">
        <f t="shared" si="107"/>
        <v>#N/A</v>
      </c>
      <c r="I540" t="e">
        <f t="shared" si="108"/>
        <v>#N/A</v>
      </c>
      <c r="J540" t="e">
        <f t="shared" si="109"/>
        <v>#N/A</v>
      </c>
      <c r="K540">
        <f t="shared" si="110"/>
        <v>2026</v>
      </c>
      <c r="L540">
        <f t="shared" si="111"/>
        <v>3.69</v>
      </c>
      <c r="M540" t="e">
        <f t="shared" si="112"/>
        <v>#N/A</v>
      </c>
      <c r="N540" t="e">
        <f t="shared" si="113"/>
        <v>#N/A</v>
      </c>
      <c r="O540">
        <f t="shared" si="114"/>
        <v>5.00054</v>
      </c>
      <c r="P540" t="str">
        <f>IF(OR($A540="",games!$H540=""),"",games!$H540)</f>
        <v/>
      </c>
      <c r="Q540" t="str">
        <f t="shared" si="115"/>
        <v/>
      </c>
      <c r="T540">
        <f>IF(connections!$A540="","",IFERROR(INDEX(games!$B$2:$B$950,MATCH(connections!$A540,games!$A$2:$A$950,0)),""))</f>
        <v>2019</v>
      </c>
      <c r="U540">
        <f>IF(connections!$A540="","",IFERROR(INDEX(games!$B$2:$B$950,MATCH(connections!$B540,games!$A$2:$A$950,0)),""))</f>
        <v>2025</v>
      </c>
      <c r="V540">
        <f t="shared" si="116"/>
        <v>6</v>
      </c>
    </row>
    <row r="541" spans="1:22" x14ac:dyDescent="0.25">
      <c r="A541" t="str">
        <f>IF(games!$A541="","",games!$A541)</f>
        <v>OTXO</v>
      </c>
      <c r="B541">
        <f>IF($A541="","",games!$B541)</f>
        <v>2023</v>
      </c>
      <c r="C541" t="str">
        <f>IF($A541="","",games!$C541)</f>
        <v>Action</v>
      </c>
      <c r="D541">
        <f>IF($A541="","",COUNTIF(connections!$A$2:$A$1460,$A541)+COUNTIF(connections!$B$2:$B$1460,$A541))</f>
        <v>0</v>
      </c>
      <c r="E541">
        <f t="shared" si="104"/>
        <v>1</v>
      </c>
      <c r="F541">
        <f t="shared" si="105"/>
        <v>31</v>
      </c>
      <c r="G541">
        <f t="shared" si="106"/>
        <v>2023</v>
      </c>
      <c r="H541">
        <f t="shared" si="107"/>
        <v>1.7130000000000001</v>
      </c>
      <c r="I541" t="e">
        <f t="shared" si="108"/>
        <v>#N/A</v>
      </c>
      <c r="J541" t="e">
        <f t="shared" si="109"/>
        <v>#N/A</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2019</v>
      </c>
      <c r="U541">
        <f>IF(connections!$A541="","",IFERROR(INDEX(games!$B$2:$B$950,MATCH(connections!$B541,games!$A$2:$A$950,0)),""))</f>
        <v>2025</v>
      </c>
      <c r="V541">
        <f t="shared" si="116"/>
        <v>6</v>
      </c>
    </row>
    <row r="542" spans="1:22" x14ac:dyDescent="0.25">
      <c r="A542" t="str">
        <f>IF(games!$A542="","",games!$A542)</f>
        <v>Our Darker Purpose</v>
      </c>
      <c r="B542">
        <f>IF($A542="","",games!$B542)</f>
        <v>2014</v>
      </c>
      <c r="C542" t="str">
        <f>IF($A542="","",games!$C542)</f>
        <v>Action</v>
      </c>
      <c r="D542">
        <f>IF($A542="","",COUNTIF(connections!$A$2:$A$1460,$A542)+COUNTIF(connections!$B$2:$B$1460,$A542))</f>
        <v>4</v>
      </c>
      <c r="E542">
        <f t="shared" si="104"/>
        <v>1</v>
      </c>
      <c r="F542">
        <f t="shared" si="105"/>
        <v>32</v>
      </c>
      <c r="G542">
        <f t="shared" si="106"/>
        <v>2014</v>
      </c>
      <c r="H542">
        <f t="shared" si="107"/>
        <v>1.736</v>
      </c>
      <c r="I542" t="e">
        <f t="shared" si="108"/>
        <v>#N/A</v>
      </c>
      <c r="J542" t="e">
        <f t="shared" si="109"/>
        <v>#N/A</v>
      </c>
      <c r="K542" t="e">
        <f t="shared" si="110"/>
        <v>#N/A</v>
      </c>
      <c r="L542" t="e">
        <f t="shared" si="111"/>
        <v>#N/A</v>
      </c>
      <c r="M542" t="e">
        <f t="shared" si="112"/>
        <v>#N/A</v>
      </c>
      <c r="N542" t="e">
        <f t="shared" si="113"/>
        <v>#N/A</v>
      </c>
      <c r="O542">
        <f t="shared" si="114"/>
        <v>4.0005420000000003</v>
      </c>
      <c r="P542" t="str">
        <f>IF(OR($A542="",games!$H542=""),"",games!$H542)</f>
        <v/>
      </c>
      <c r="Q542" t="str">
        <f t="shared" si="115"/>
        <v/>
      </c>
      <c r="T542">
        <f>IF(connections!$A542="","",IFERROR(INDEX(games!$B$2:$B$950,MATCH(connections!$A542,games!$A$2:$A$950,0)),""))</f>
        <v>2019</v>
      </c>
      <c r="U542">
        <f>IF(connections!$A542="","",IFERROR(INDEX(games!$B$2:$B$950,MATCH(connections!$B542,games!$A$2:$A$950,0)),""))</f>
        <v>2025</v>
      </c>
      <c r="V542">
        <f t="shared" si="116"/>
        <v>6</v>
      </c>
    </row>
    <row r="543" spans="1:22" x14ac:dyDescent="0.25">
      <c r="A543" t="str">
        <f>IF(games!$A543="","",games!$A543)</f>
        <v>Overlooting</v>
      </c>
      <c r="B543">
        <f>IF($A543="","",games!$B543)</f>
        <v>2025</v>
      </c>
      <c r="C543" t="str">
        <f>IF($A543="","",games!$C543)</f>
        <v>Strategy</v>
      </c>
      <c r="D543">
        <f>IF($A543="","",COUNTIF(connections!$A$2:$A$1460,$A543)+COUNTIF(connections!$B$2:$B$1460,$A543))</f>
        <v>0</v>
      </c>
      <c r="E543">
        <f t="shared" si="104"/>
        <v>2</v>
      </c>
      <c r="F543">
        <f t="shared" si="105"/>
        <v>33</v>
      </c>
      <c r="G543" t="e">
        <f t="shared" si="106"/>
        <v>#N/A</v>
      </c>
      <c r="H543" t="e">
        <f t="shared" si="107"/>
        <v>#N/A</v>
      </c>
      <c r="I543">
        <f t="shared" si="108"/>
        <v>2025</v>
      </c>
      <c r="J543">
        <f t="shared" si="109"/>
        <v>2.7589999999999999</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IF(connections!$A543="","",IFERROR(INDEX(games!$B$2:$B$950,MATCH(connections!$A543,games!$A$2:$A$950,0)),""))</f>
        <v>2019</v>
      </c>
      <c r="U543">
        <f>IF(connections!$A543="","",IFERROR(INDEX(games!$B$2:$B$950,MATCH(connections!$B543,games!$A$2:$A$950,0)),""))</f>
        <v>2025</v>
      </c>
      <c r="V543">
        <f t="shared" si="116"/>
        <v>6</v>
      </c>
    </row>
    <row r="544" spans="1:22" x14ac:dyDescent="0.25">
      <c r="A544" t="str">
        <f>IF(games!$A544="","",games!$A544)</f>
        <v>Overworld</v>
      </c>
      <c r="B544">
        <f>IF($A544="","",games!$B544)</f>
        <v>2022</v>
      </c>
      <c r="C544" t="str">
        <f>IF($A544="","",games!$C544)</f>
        <v>Traditional</v>
      </c>
      <c r="D544">
        <f>IF($A544="","",COUNTIF(connections!$A$2:$A$1460,$A544)+COUNTIF(connections!$B$2:$B$1460,$A544))</f>
        <v>1</v>
      </c>
      <c r="E544">
        <f t="shared" si="104"/>
        <v>4</v>
      </c>
      <c r="F544">
        <f t="shared" si="105"/>
        <v>0</v>
      </c>
      <c r="G544" t="e">
        <f t="shared" si="106"/>
        <v>#N/A</v>
      </c>
      <c r="H544" t="e">
        <f t="shared" si="107"/>
        <v>#N/A</v>
      </c>
      <c r="I544" t="e">
        <f t="shared" si="108"/>
        <v>#N/A</v>
      </c>
      <c r="J544" t="e">
        <f t="shared" si="109"/>
        <v>#N/A</v>
      </c>
      <c r="K544" t="e">
        <f t="shared" si="110"/>
        <v>#N/A</v>
      </c>
      <c r="L544" t="e">
        <f t="shared" si="111"/>
        <v>#N/A</v>
      </c>
      <c r="M544">
        <f t="shared" si="112"/>
        <v>2022</v>
      </c>
      <c r="N544">
        <f t="shared" si="113"/>
        <v>4</v>
      </c>
      <c r="O544">
        <f t="shared" si="114"/>
        <v>1.0005440000000001</v>
      </c>
      <c r="P544" t="str">
        <f>IF(OR($A544="",games!$H544=""),"",games!$H544)</f>
        <v>Yes</v>
      </c>
      <c r="Q544">
        <f t="shared" si="115"/>
        <v>1.0005440000000001</v>
      </c>
      <c r="T544">
        <f>IF(connections!$A544="","",IFERROR(INDEX(games!$B$2:$B$950,MATCH(connections!$A544,games!$A$2:$A$950,0)),""))</f>
        <v>2019</v>
      </c>
      <c r="U544">
        <f>IF(connections!$A544="","",IFERROR(INDEX(games!$B$2:$B$950,MATCH(connections!$B544,games!$A$2:$A$950,0)),""))</f>
        <v>2021</v>
      </c>
      <c r="V544">
        <f t="shared" si="116"/>
        <v>2</v>
      </c>
    </row>
    <row r="545" spans="1:22" x14ac:dyDescent="0.25">
      <c r="A545" t="str">
        <f>IF(games!$A545="","",games!$A545)</f>
        <v>Pairs &amp; Perils</v>
      </c>
      <c r="B545">
        <f>IF($A545="","",games!$B545)</f>
        <v>2025</v>
      </c>
      <c r="C545" t="str">
        <f>IF($A545="","",games!$C545)</f>
        <v>Deckbuilder</v>
      </c>
      <c r="D545">
        <f>IF($A545="","",COUNTIF(connections!$A$2:$A$1460,$A545)+COUNTIF(connections!$B$2:$B$1460,$A545))</f>
        <v>1</v>
      </c>
      <c r="E545">
        <f t="shared" si="104"/>
        <v>3</v>
      </c>
      <c r="F545">
        <f t="shared" si="105"/>
        <v>1</v>
      </c>
      <c r="G545" t="e">
        <f t="shared" si="106"/>
        <v>#N/A</v>
      </c>
      <c r="H545" t="e">
        <f t="shared" si="107"/>
        <v>#N/A</v>
      </c>
      <c r="I545" t="e">
        <f t="shared" si="108"/>
        <v>#N/A</v>
      </c>
      <c r="J545" t="e">
        <f t="shared" si="109"/>
        <v>#N/A</v>
      </c>
      <c r="K545">
        <f t="shared" si="110"/>
        <v>2025</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2019</v>
      </c>
      <c r="U545" t="str">
        <f>IF(connections!$A545="","",IFERROR(INDEX(games!$B$2:$B$950,MATCH(connections!$B545,games!$A$2:$A$950,0)),""))</f>
        <v/>
      </c>
      <c r="V545" t="str">
        <f t="shared" si="116"/>
        <v/>
      </c>
    </row>
    <row r="546" spans="1:22" x14ac:dyDescent="0.25">
      <c r="A546" t="str">
        <f>IF(games!$A546="","",games!$A546)</f>
        <v>Paper Animal Adventure</v>
      </c>
      <c r="B546">
        <f>IF($A546="","",games!$B546)</f>
        <v>2025</v>
      </c>
      <c r="C546" t="str">
        <f>IF($A546="","",games!$C546)</f>
        <v>Traditional</v>
      </c>
      <c r="D546">
        <f>IF($A546="","",COUNTIF(connections!$A$2:$A$1460,$A546)+COUNTIF(connections!$B$2:$B$1460,$A546))</f>
        <v>1</v>
      </c>
      <c r="E546">
        <f t="shared" si="104"/>
        <v>4</v>
      </c>
      <c r="F546">
        <f t="shared" si="105"/>
        <v>2</v>
      </c>
      <c r="G546" t="e">
        <f t="shared" si="106"/>
        <v>#N/A</v>
      </c>
      <c r="H546" t="e">
        <f t="shared" si="107"/>
        <v>#N/A</v>
      </c>
      <c r="I546" t="e">
        <f t="shared" si="108"/>
        <v>#N/A</v>
      </c>
      <c r="J546" t="e">
        <f t="shared" si="109"/>
        <v>#N/A</v>
      </c>
      <c r="K546" t="e">
        <f t="shared" si="110"/>
        <v>#N/A</v>
      </c>
      <c r="L546" t="e">
        <f t="shared" si="111"/>
        <v>#N/A</v>
      </c>
      <c r="M546">
        <f t="shared" si="112"/>
        <v>2025</v>
      </c>
      <c r="N546">
        <f t="shared" si="113"/>
        <v>4.0460000000000003</v>
      </c>
      <c r="O546">
        <f t="shared" si="114"/>
        <v>1.0005459999999999</v>
      </c>
      <c r="P546" t="str">
        <f>IF(OR($A546="",games!$H546=""),"",games!$H546)</f>
        <v/>
      </c>
      <c r="Q546" t="str">
        <f t="shared" si="115"/>
        <v/>
      </c>
      <c r="T546">
        <f>IF(connections!$A546="","",IFERROR(INDEX(games!$B$2:$B$950,MATCH(connections!$A546,games!$A$2:$A$950,0)),""))</f>
        <v>2019</v>
      </c>
      <c r="U546">
        <f>IF(connections!$A546="","",IFERROR(INDEX(games!$B$2:$B$950,MATCH(connections!$B546,games!$A$2:$A$950,0)),""))</f>
        <v>2025</v>
      </c>
      <c r="V546">
        <f t="shared" si="116"/>
        <v>6</v>
      </c>
    </row>
    <row r="547" spans="1:22" x14ac:dyDescent="0.25">
      <c r="A547" t="str">
        <f>IF(games!$A547="","",games!$A547)</f>
        <v>Paper Planet</v>
      </c>
      <c r="B547">
        <f>IF($A547="","",games!$B547)</f>
        <v>2023</v>
      </c>
      <c r="C547" t="str">
        <f>IF($A547="","",games!$C547)</f>
        <v>Action</v>
      </c>
      <c r="D547">
        <f>IF($A547="","",COUNTIF(connections!$A$2:$A$1460,$A547)+COUNTIF(connections!$B$2:$B$1460,$A547))</f>
        <v>1</v>
      </c>
      <c r="E547">
        <f t="shared" si="104"/>
        <v>1</v>
      </c>
      <c r="F547">
        <f t="shared" si="105"/>
        <v>3</v>
      </c>
      <c r="G547">
        <f t="shared" si="106"/>
        <v>2023</v>
      </c>
      <c r="H547">
        <f t="shared" si="107"/>
        <v>1.069</v>
      </c>
      <c r="I547" t="e">
        <f t="shared" si="108"/>
        <v>#N/A</v>
      </c>
      <c r="J547" t="e">
        <f t="shared" si="109"/>
        <v>#N/A</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2019</v>
      </c>
      <c r="U547">
        <f>IF(connections!$A547="","",IFERROR(INDEX(games!$B$2:$B$950,MATCH(connections!$B547,games!$A$2:$A$950,0)),""))</f>
        <v>2021</v>
      </c>
      <c r="V547">
        <f t="shared" si="116"/>
        <v>2</v>
      </c>
    </row>
    <row r="548" spans="1:22" x14ac:dyDescent="0.25">
      <c r="A548" t="str">
        <f>IF(games!$A548="","",games!$A548)</f>
        <v>Pass the Fear</v>
      </c>
      <c r="B548">
        <f>IF($A548="","",games!$B548)</f>
        <v>2026</v>
      </c>
      <c r="C548" t="str">
        <f>IF($A548="","",games!$C548)</f>
        <v>Action</v>
      </c>
      <c r="D548">
        <f>IF($A548="","",COUNTIF(connections!$A$2:$A$1460,$A548)+COUNTIF(connections!$B$2:$B$1460,$A548))</f>
        <v>1</v>
      </c>
      <c r="E548">
        <f t="shared" si="104"/>
        <v>1</v>
      </c>
      <c r="F548">
        <f t="shared" si="105"/>
        <v>4</v>
      </c>
      <c r="G548">
        <f t="shared" si="106"/>
        <v>2026</v>
      </c>
      <c r="H548">
        <f t="shared" si="107"/>
        <v>1.0920000000000001</v>
      </c>
      <c r="I548" t="e">
        <f t="shared" si="108"/>
        <v>#N/A</v>
      </c>
      <c r="J548" t="e">
        <f t="shared" si="109"/>
        <v>#N/A</v>
      </c>
      <c r="K548" t="e">
        <f t="shared" si="110"/>
        <v>#N/A</v>
      </c>
      <c r="L548" t="e">
        <f t="shared" si="111"/>
        <v>#N/A</v>
      </c>
      <c r="M548" t="e">
        <f t="shared" si="112"/>
        <v>#N/A</v>
      </c>
      <c r="N548" t="e">
        <f t="shared" si="113"/>
        <v>#N/A</v>
      </c>
      <c r="O548">
        <f t="shared" si="114"/>
        <v>1.000548</v>
      </c>
      <c r="P548" t="str">
        <f>IF(OR($A548="",games!$H548=""),"",games!$H548)</f>
        <v/>
      </c>
      <c r="Q548" t="str">
        <f t="shared" si="115"/>
        <v/>
      </c>
      <c r="T548">
        <f>IF(connections!$A548="","",IFERROR(INDEX(games!$B$2:$B$950,MATCH(connections!$A548,games!$A$2:$A$950,0)),""))</f>
        <v>2019</v>
      </c>
      <c r="U548">
        <f>IF(connections!$A548="","",IFERROR(INDEX(games!$B$2:$B$950,MATCH(connections!$B548,games!$A$2:$A$950,0)),""))</f>
        <v>2025</v>
      </c>
      <c r="V548">
        <f t="shared" si="116"/>
        <v>6</v>
      </c>
    </row>
    <row r="549" spans="1:22" x14ac:dyDescent="0.25">
      <c r="A549" t="str">
        <f>IF(games!$A549="","",games!$A549)</f>
        <v>Passant: A Chess Roguelike</v>
      </c>
      <c r="B549">
        <f>IF($A549="","",games!$B549)</f>
        <v>2025</v>
      </c>
      <c r="C549" t="str">
        <f>IF($A549="","",games!$C549)</f>
        <v>Strategy</v>
      </c>
      <c r="D549">
        <f>IF($A549="","",COUNTIF(connections!$A$2:$A$1460,$A549)+COUNTIF(connections!$B$2:$B$1460,$A549))</f>
        <v>1</v>
      </c>
      <c r="E549">
        <f t="shared" si="104"/>
        <v>2</v>
      </c>
      <c r="F549">
        <f t="shared" si="105"/>
        <v>5</v>
      </c>
      <c r="G549" t="e">
        <f t="shared" si="106"/>
        <v>#N/A</v>
      </c>
      <c r="H549" t="e">
        <f t="shared" si="107"/>
        <v>#N/A</v>
      </c>
      <c r="I549">
        <f t="shared" si="108"/>
        <v>2025</v>
      </c>
      <c r="J549">
        <f t="shared" si="109"/>
        <v>2.1150000000000002</v>
      </c>
      <c r="K549" t="e">
        <f t="shared" si="110"/>
        <v>#N/A</v>
      </c>
      <c r="L549" t="e">
        <f t="shared" si="111"/>
        <v>#N/A</v>
      </c>
      <c r="M549" t="e">
        <f t="shared" si="112"/>
        <v>#N/A</v>
      </c>
      <c r="N549" t="e">
        <f t="shared" si="113"/>
        <v>#N/A</v>
      </c>
      <c r="O549">
        <f t="shared" si="114"/>
        <v>1.0005489999999999</v>
      </c>
      <c r="P549" t="str">
        <f>IF(OR($A549="",games!$H549=""),"",games!$H549)</f>
        <v/>
      </c>
      <c r="Q549" t="str">
        <f t="shared" si="115"/>
        <v/>
      </c>
      <c r="T549">
        <f>IF(connections!$A549="","",IFERROR(INDEX(games!$B$2:$B$950,MATCH(connections!$A549,games!$A$2:$A$950,0)),""))</f>
        <v>2019</v>
      </c>
      <c r="U549">
        <f>IF(connections!$A549="","",IFERROR(INDEX(games!$B$2:$B$950,MATCH(connections!$B549,games!$A$2:$A$950,0)),""))</f>
        <v>2022</v>
      </c>
      <c r="V549">
        <f t="shared" si="116"/>
        <v>3</v>
      </c>
    </row>
    <row r="550" spans="1:22" x14ac:dyDescent="0.25">
      <c r="A550" t="str">
        <f>IF(games!$A550="","",games!$A550)</f>
        <v>Patch Quest</v>
      </c>
      <c r="B550">
        <f>IF($A550="","",games!$B550)</f>
        <v>2021</v>
      </c>
      <c r="C550" t="str">
        <f>IF($A550="","",games!$C550)</f>
        <v>Action</v>
      </c>
      <c r="D550">
        <f>IF($A550="","",COUNTIF(connections!$A$2:$A$1460,$A550)+COUNTIF(connections!$B$2:$B$1460,$A550))</f>
        <v>3</v>
      </c>
      <c r="E550">
        <f t="shared" si="104"/>
        <v>1</v>
      </c>
      <c r="F550">
        <f t="shared" si="105"/>
        <v>6</v>
      </c>
      <c r="G550">
        <f t="shared" si="106"/>
        <v>2021</v>
      </c>
      <c r="H550">
        <f t="shared" si="107"/>
        <v>1.1379999999999999</v>
      </c>
      <c r="I550" t="e">
        <f t="shared" si="108"/>
        <v>#N/A</v>
      </c>
      <c r="J550" t="e">
        <f t="shared" si="109"/>
        <v>#N/A</v>
      </c>
      <c r="K550" t="e">
        <f t="shared" si="110"/>
        <v>#N/A</v>
      </c>
      <c r="L550" t="e">
        <f t="shared" si="111"/>
        <v>#N/A</v>
      </c>
      <c r="M550" t="e">
        <f t="shared" si="112"/>
        <v>#N/A</v>
      </c>
      <c r="N550" t="e">
        <f t="shared" si="113"/>
        <v>#N/A</v>
      </c>
      <c r="O550">
        <f t="shared" si="114"/>
        <v>3.0005500000000001</v>
      </c>
      <c r="P550" t="str">
        <f>IF(OR($A550="",games!$H550=""),"",games!$H550)</f>
        <v>Yes</v>
      </c>
      <c r="Q550">
        <f t="shared" si="115"/>
        <v>3.0005500000000001</v>
      </c>
      <c r="T550">
        <f>IF(connections!$A550="","",IFERROR(INDEX(games!$B$2:$B$950,MATCH(connections!$A550,games!$A$2:$A$950,0)),""))</f>
        <v>2019</v>
      </c>
      <c r="U550">
        <f>IF(connections!$A550="","",IFERROR(INDEX(games!$B$2:$B$950,MATCH(connections!$B550,games!$A$2:$A$950,0)),""))</f>
        <v>2024</v>
      </c>
      <c r="V550">
        <f t="shared" si="116"/>
        <v>5</v>
      </c>
    </row>
    <row r="551" spans="1:22" x14ac:dyDescent="0.25">
      <c r="A551" t="str">
        <f>IF(games!$A551="","",games!$A551)</f>
        <v>Path of Achra</v>
      </c>
      <c r="B551">
        <f>IF($A551="","",games!$B551)</f>
        <v>2023</v>
      </c>
      <c r="C551" t="str">
        <f>IF($A551="","",games!$C551)</f>
        <v>Traditional</v>
      </c>
      <c r="D551">
        <f>IF($A551="","",COUNTIF(connections!$A$2:$A$1460,$A551)+COUNTIF(connections!$B$2:$B$1460,$A551))</f>
        <v>3</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2023</v>
      </c>
      <c r="N551">
        <f t="shared" si="113"/>
        <v>4.1609999999999996</v>
      </c>
      <c r="O551">
        <f t="shared" si="114"/>
        <v>3.0005510000000002</v>
      </c>
      <c r="P551" t="str">
        <f>IF(OR($A551="",games!$H551=""),"",games!$H551)</f>
        <v>Yes</v>
      </c>
      <c r="Q551">
        <f t="shared" si="115"/>
        <v>3.0005510000000002</v>
      </c>
      <c r="T551">
        <f>IF(connections!$A551="","",IFERROR(INDEX(games!$B$2:$B$950,MATCH(connections!$A551,games!$A$2:$A$950,0)),""))</f>
        <v>2019</v>
      </c>
      <c r="U551">
        <f>IF(connections!$A551="","",IFERROR(INDEX(games!$B$2:$B$950,MATCH(connections!$B551,games!$A$2:$A$950,0)),""))</f>
        <v>2025</v>
      </c>
      <c r="V551">
        <f t="shared" si="116"/>
        <v>6</v>
      </c>
    </row>
    <row r="552" spans="1:22" x14ac:dyDescent="0.25">
      <c r="A552" t="str">
        <f>IF(games!$A552="","",games!$A552)</f>
        <v>Pathogenic</v>
      </c>
      <c r="B552">
        <f>IF($A552="","",games!$B552)</f>
        <v>2026</v>
      </c>
      <c r="C552" t="str">
        <f>IF($A552="","",games!$C552)</f>
        <v>Action</v>
      </c>
      <c r="D552">
        <f>IF($A552="","",COUNTIF(connections!$A$2:$A$1460,$A552)+COUNTIF(connections!$B$2:$B$1460,$A552))</f>
        <v>3</v>
      </c>
      <c r="E552">
        <f t="shared" si="104"/>
        <v>1</v>
      </c>
      <c r="F552">
        <f t="shared" si="105"/>
        <v>8</v>
      </c>
      <c r="G552">
        <f t="shared" si="106"/>
        <v>2026</v>
      </c>
      <c r="H552">
        <f t="shared" si="107"/>
        <v>1.1839999999999999</v>
      </c>
      <c r="I552" t="e">
        <f t="shared" si="108"/>
        <v>#N/A</v>
      </c>
      <c r="J552" t="e">
        <f t="shared" si="109"/>
        <v>#N/A</v>
      </c>
      <c r="K552" t="e">
        <f t="shared" si="110"/>
        <v>#N/A</v>
      </c>
      <c r="L552" t="e">
        <f t="shared" si="111"/>
        <v>#N/A</v>
      </c>
      <c r="M552" t="e">
        <f t="shared" si="112"/>
        <v>#N/A</v>
      </c>
      <c r="N552" t="e">
        <f t="shared" si="113"/>
        <v>#N/A</v>
      </c>
      <c r="O552">
        <f t="shared" si="114"/>
        <v>3.0005519999999999</v>
      </c>
      <c r="P552" t="str">
        <f>IF(OR($A552="",games!$H552=""),"",games!$H552)</f>
        <v/>
      </c>
      <c r="Q552" t="str">
        <f t="shared" si="115"/>
        <v/>
      </c>
      <c r="T552">
        <f>IF(connections!$A552="","",IFERROR(INDEX(games!$B$2:$B$950,MATCH(connections!$A552,games!$A$2:$A$950,0)),""))</f>
        <v>2019</v>
      </c>
      <c r="U552">
        <f>IF(connections!$A552="","",IFERROR(INDEX(games!$B$2:$B$950,MATCH(connections!$B552,games!$A$2:$A$950,0)),""))</f>
        <v>2024</v>
      </c>
      <c r="V552">
        <f t="shared" si="116"/>
        <v>5</v>
      </c>
    </row>
    <row r="553" spans="1:22" x14ac:dyDescent="0.25">
      <c r="A553" t="str">
        <f>IF(games!$A553="","",games!$A553)</f>
        <v>Pathos: Nethack Codex</v>
      </c>
      <c r="B553">
        <f>IF($A553="","",games!$B553)</f>
        <v>2015</v>
      </c>
      <c r="C553" t="str">
        <f>IF($A553="","",games!$C553)</f>
        <v>Traditional</v>
      </c>
      <c r="D553">
        <f>IF($A553="","",COUNTIF(connections!$A$2:$A$1460,$A553)+COUNTIF(connections!$B$2:$B$1460,$A553))</f>
        <v>1</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2015</v>
      </c>
      <c r="N553">
        <f t="shared" si="113"/>
        <v>4.2069999999999999</v>
      </c>
      <c r="O553">
        <f t="shared" si="114"/>
        <v>1.000553</v>
      </c>
      <c r="P553" t="str">
        <f>IF(OR($A553="",games!$H553=""),"",games!$H553)</f>
        <v>Yes</v>
      </c>
      <c r="Q553">
        <f t="shared" si="115"/>
        <v>1.000553</v>
      </c>
      <c r="T553">
        <f>IF(connections!$A553="","",IFERROR(INDEX(games!$B$2:$B$950,MATCH(connections!$A553,games!$A$2:$A$950,0)),""))</f>
        <v>2019</v>
      </c>
      <c r="U553">
        <f>IF(connections!$A553="","",IFERROR(INDEX(games!$B$2:$B$950,MATCH(connections!$B553,games!$A$2:$A$950,0)),""))</f>
        <v>2025</v>
      </c>
      <c r="V553">
        <f t="shared" si="116"/>
        <v>6</v>
      </c>
    </row>
    <row r="554" spans="1:22" x14ac:dyDescent="0.25">
      <c r="A554" t="str">
        <f>IF(games!$A554="","",games!$A554)</f>
        <v>Pawnbarian</v>
      </c>
      <c r="B554">
        <f>IF($A554="","",games!$B554)</f>
        <v>2021</v>
      </c>
      <c r="C554" t="str">
        <f>IF($A554="","",games!$C554)</f>
        <v>Strategy</v>
      </c>
      <c r="D554">
        <f>IF($A554="","",COUNTIF(connections!$A$2:$A$1460,$A554)+COUNTIF(connections!$B$2:$B$1460,$A554))</f>
        <v>3</v>
      </c>
      <c r="E554">
        <f t="shared" si="104"/>
        <v>2</v>
      </c>
      <c r="F554">
        <f t="shared" si="105"/>
        <v>10</v>
      </c>
      <c r="G554" t="e">
        <f t="shared" si="106"/>
        <v>#N/A</v>
      </c>
      <c r="H554" t="e">
        <f t="shared" si="107"/>
        <v>#N/A</v>
      </c>
      <c r="I554">
        <f t="shared" si="108"/>
        <v>2021</v>
      </c>
      <c r="J554">
        <f t="shared" si="109"/>
        <v>2.23</v>
      </c>
      <c r="K554" t="e">
        <f t="shared" si="110"/>
        <v>#N/A</v>
      </c>
      <c r="L554" t="e">
        <f t="shared" si="111"/>
        <v>#N/A</v>
      </c>
      <c r="M554" t="e">
        <f t="shared" si="112"/>
        <v>#N/A</v>
      </c>
      <c r="N554" t="e">
        <f t="shared" si="113"/>
        <v>#N/A</v>
      </c>
      <c r="O554">
        <f t="shared" si="114"/>
        <v>3.0005540000000002</v>
      </c>
      <c r="P554" t="str">
        <f>IF(OR($A554="",games!$H554=""),"",games!$H554)</f>
        <v>Yes</v>
      </c>
      <c r="Q554">
        <f t="shared" si="115"/>
        <v>3.0005540000000002</v>
      </c>
      <c r="T554">
        <f>IF(connections!$A554="","",IFERROR(INDEX(games!$B$2:$B$950,MATCH(connections!$A554,games!$A$2:$A$950,0)),""))</f>
        <v>2019</v>
      </c>
      <c r="U554">
        <f>IF(connections!$A554="","",IFERROR(INDEX(games!$B$2:$B$950,MATCH(connections!$B554,games!$A$2:$A$950,0)),""))</f>
        <v>2026</v>
      </c>
      <c r="V554">
        <f t="shared" si="116"/>
        <v>7</v>
      </c>
    </row>
    <row r="555" spans="1:22" x14ac:dyDescent="0.25">
      <c r="A555" t="str">
        <f>IF(games!$A555="","",games!$A555)</f>
        <v>Pebble Knights</v>
      </c>
      <c r="B555">
        <f>IF($A555="","",games!$B555)</f>
        <v>2026</v>
      </c>
      <c r="C555" t="str">
        <f>IF($A555="","",games!$C555)</f>
        <v>Action</v>
      </c>
      <c r="D555">
        <f>IF($A555="","",COUNTIF(connections!$A$2:$A$1460,$A555)+COUNTIF(connections!$B$2:$B$1460,$A555))</f>
        <v>2</v>
      </c>
      <c r="E555">
        <f t="shared" si="104"/>
        <v>1</v>
      </c>
      <c r="F555">
        <f t="shared" si="105"/>
        <v>11</v>
      </c>
      <c r="G555">
        <f t="shared" si="106"/>
        <v>2026</v>
      </c>
      <c r="H555">
        <f t="shared" si="107"/>
        <v>1.2530000000000001</v>
      </c>
      <c r="I555" t="e">
        <f t="shared" si="108"/>
        <v>#N/A</v>
      </c>
      <c r="J555" t="e">
        <f t="shared" si="109"/>
        <v>#N/A</v>
      </c>
      <c r="K555" t="e">
        <f t="shared" si="110"/>
        <v>#N/A</v>
      </c>
      <c r="L555" t="e">
        <f t="shared" si="111"/>
        <v>#N/A</v>
      </c>
      <c r="M555" t="e">
        <f t="shared" si="112"/>
        <v>#N/A</v>
      </c>
      <c r="N555" t="e">
        <f t="shared" si="113"/>
        <v>#N/A</v>
      </c>
      <c r="O555">
        <f t="shared" si="114"/>
        <v>2.0005549999999999</v>
      </c>
      <c r="P555" t="str">
        <f>IF(OR($A555="",games!$H555=""),"",games!$H555)</f>
        <v/>
      </c>
      <c r="Q555" t="str">
        <f t="shared" si="115"/>
        <v/>
      </c>
      <c r="T555">
        <f>IF(connections!$A555="","",IFERROR(INDEX(games!$B$2:$B$950,MATCH(connections!$A555,games!$A$2:$A$950,0)),""))</f>
        <v>2019</v>
      </c>
      <c r="U555">
        <f>IF(connections!$A555="","",IFERROR(INDEX(games!$B$2:$B$950,MATCH(connections!$B555,games!$A$2:$A$950,0)),""))</f>
        <v>2022</v>
      </c>
      <c r="V555">
        <f t="shared" si="116"/>
        <v>3</v>
      </c>
    </row>
    <row r="556" spans="1:22" x14ac:dyDescent="0.25">
      <c r="A556" t="str">
        <f>IF(games!$A556="","",games!$A556)</f>
        <v>Peglin</v>
      </c>
      <c r="B556">
        <f>IF($A556="","",games!$B556)</f>
        <v>2022</v>
      </c>
      <c r="C556" t="str">
        <f>IF($A556="","",games!$C556)</f>
        <v>Deckbuilder</v>
      </c>
      <c r="D556">
        <f>IF($A556="","",COUNTIF(connections!$A$2:$A$1460,$A556)+COUNTIF(connections!$B$2:$B$1460,$A556))</f>
        <v>10</v>
      </c>
      <c r="E556">
        <f t="shared" si="104"/>
        <v>3</v>
      </c>
      <c r="F556">
        <f t="shared" si="105"/>
        <v>12</v>
      </c>
      <c r="G556" t="e">
        <f t="shared" si="106"/>
        <v>#N/A</v>
      </c>
      <c r="H556" t="e">
        <f t="shared" si="107"/>
        <v>#N/A</v>
      </c>
      <c r="I556" t="e">
        <f t="shared" si="108"/>
        <v>#N/A</v>
      </c>
      <c r="J556" t="e">
        <f t="shared" si="109"/>
        <v>#N/A</v>
      </c>
      <c r="K556">
        <f t="shared" si="110"/>
        <v>2022</v>
      </c>
      <c r="L556">
        <f t="shared" si="111"/>
        <v>3.2759999999999998</v>
      </c>
      <c r="M556" t="e">
        <f t="shared" si="112"/>
        <v>#N/A</v>
      </c>
      <c r="N556" t="e">
        <f t="shared" si="113"/>
        <v>#N/A</v>
      </c>
      <c r="O556">
        <f t="shared" si="114"/>
        <v>10.000556</v>
      </c>
      <c r="P556" t="str">
        <f>IF(OR($A556="",games!$H556=""),"",games!$H556)</f>
        <v>Yes</v>
      </c>
      <c r="Q556">
        <f t="shared" si="115"/>
        <v>10.000556</v>
      </c>
      <c r="T556">
        <f>IF(connections!$A556="","",IFERROR(INDEX(games!$B$2:$B$950,MATCH(connections!$A556,games!$A$2:$A$950,0)),""))</f>
        <v>2019</v>
      </c>
      <c r="U556">
        <f>IF(connections!$A556="","",IFERROR(INDEX(games!$B$2:$B$950,MATCH(connections!$B556,games!$A$2:$A$950,0)),""))</f>
        <v>2022</v>
      </c>
      <c r="V556">
        <f t="shared" si="116"/>
        <v>3</v>
      </c>
    </row>
    <row r="557" spans="1:22" x14ac:dyDescent="0.25">
      <c r="A557" t="str">
        <f>IF(games!$A557="","",games!$A557)</f>
        <v>Pegs X Stickers</v>
      </c>
      <c r="B557">
        <f>IF($A557="","",games!$B557)</f>
        <v>2026</v>
      </c>
      <c r="C557" t="str">
        <f>IF($A557="","",games!$C557)</f>
        <v>Deckbuilder</v>
      </c>
      <c r="D557">
        <f>IF($A557="","",COUNTIF(connections!$A$2:$A$1460,$A557)+COUNTIF(connections!$B$2:$B$1460,$A557))</f>
        <v>3</v>
      </c>
      <c r="E557">
        <f t="shared" si="104"/>
        <v>3</v>
      </c>
      <c r="F557">
        <f t="shared" si="105"/>
        <v>13</v>
      </c>
      <c r="G557" t="e">
        <f t="shared" si="106"/>
        <v>#N/A</v>
      </c>
      <c r="H557" t="e">
        <f t="shared" si="107"/>
        <v>#N/A</v>
      </c>
      <c r="I557" t="e">
        <f t="shared" si="108"/>
        <v>#N/A</v>
      </c>
      <c r="J557" t="e">
        <f t="shared" si="109"/>
        <v>#N/A</v>
      </c>
      <c r="K557">
        <f t="shared" si="110"/>
        <v>2026</v>
      </c>
      <c r="L557">
        <f t="shared" si="111"/>
        <v>3.2989999999999999</v>
      </c>
      <c r="M557" t="e">
        <f t="shared" si="112"/>
        <v>#N/A</v>
      </c>
      <c r="N557" t="e">
        <f t="shared" si="113"/>
        <v>#N/A</v>
      </c>
      <c r="O557">
        <f t="shared" si="114"/>
        <v>3.0005570000000001</v>
      </c>
      <c r="P557" t="str">
        <f>IF(OR($A557="",games!$H557=""),"",games!$H557)</f>
        <v/>
      </c>
      <c r="Q557" t="str">
        <f t="shared" si="115"/>
        <v/>
      </c>
      <c r="T557">
        <f>IF(connections!$A557="","",IFERROR(INDEX(games!$B$2:$B$950,MATCH(connections!$A557,games!$A$2:$A$950,0)),""))</f>
        <v>2019</v>
      </c>
      <c r="U557">
        <f>IF(connections!$A557="","",IFERROR(INDEX(games!$B$2:$B$950,MATCH(connections!$B557,games!$A$2:$A$950,0)),""))</f>
        <v>2024</v>
      </c>
      <c r="V557">
        <f t="shared" si="116"/>
        <v>5</v>
      </c>
    </row>
    <row r="558" spans="1:22" x14ac:dyDescent="0.25">
      <c r="A558" t="str">
        <f>IF(games!$A558="","",games!$A558)</f>
        <v>PengPong</v>
      </c>
      <c r="B558">
        <f>IF($A558="","",games!$B558)</f>
        <v>2026</v>
      </c>
      <c r="C558" t="str">
        <f>IF($A558="","",games!$C558)</f>
        <v>Action</v>
      </c>
      <c r="D558">
        <f>IF($A558="","",COUNTIF(connections!$A$2:$A$1460,$A558)+COUNTIF(connections!$B$2:$B$1460,$A558))</f>
        <v>7</v>
      </c>
      <c r="E558">
        <f t="shared" si="104"/>
        <v>1</v>
      </c>
      <c r="F558">
        <f t="shared" si="105"/>
        <v>14</v>
      </c>
      <c r="G558">
        <f t="shared" si="106"/>
        <v>2026</v>
      </c>
      <c r="H558">
        <f t="shared" si="107"/>
        <v>1.3220000000000001</v>
      </c>
      <c r="I558" t="e">
        <f t="shared" si="108"/>
        <v>#N/A</v>
      </c>
      <c r="J558" t="e">
        <f t="shared" si="109"/>
        <v>#N/A</v>
      </c>
      <c r="K558" t="e">
        <f t="shared" si="110"/>
        <v>#N/A</v>
      </c>
      <c r="L558" t="e">
        <f t="shared" si="111"/>
        <v>#N/A</v>
      </c>
      <c r="M558" t="e">
        <f t="shared" si="112"/>
        <v>#N/A</v>
      </c>
      <c r="N558" t="e">
        <f t="shared" si="113"/>
        <v>#N/A</v>
      </c>
      <c r="O558">
        <f t="shared" si="114"/>
        <v>7.0005579999999998</v>
      </c>
      <c r="P558" t="str">
        <f>IF(OR($A558="",games!$H558=""),"",games!$H558)</f>
        <v/>
      </c>
      <c r="Q558" t="str">
        <f t="shared" si="115"/>
        <v/>
      </c>
      <c r="T558">
        <f>IF(connections!$A558="","",IFERROR(INDEX(games!$B$2:$B$950,MATCH(connections!$A558,games!$A$2:$A$950,0)),""))</f>
        <v>2019</v>
      </c>
      <c r="U558">
        <f>IF(connections!$A558="","",IFERROR(INDEX(games!$B$2:$B$950,MATCH(connections!$B558,games!$A$2:$A$950,0)),""))</f>
        <v>2023</v>
      </c>
      <c r="V558">
        <f t="shared" si="116"/>
        <v>4</v>
      </c>
    </row>
    <row r="559" spans="1:22" x14ac:dyDescent="0.25">
      <c r="A559" t="str">
        <f>IF(games!$A559="","",games!$A559)</f>
        <v>Pesticide Not Required</v>
      </c>
      <c r="B559">
        <f>IF($A559="","",games!$B559)</f>
        <v>2024</v>
      </c>
      <c r="C559" t="str">
        <f>IF($A559="","",games!$C559)</f>
        <v>Action</v>
      </c>
      <c r="D559">
        <f>IF($A559="","",COUNTIF(connections!$A$2:$A$1460,$A559)+COUNTIF(connections!$B$2:$B$1460,$A559))</f>
        <v>3</v>
      </c>
      <c r="E559">
        <f t="shared" si="104"/>
        <v>1</v>
      </c>
      <c r="F559">
        <f t="shared" si="105"/>
        <v>15</v>
      </c>
      <c r="G559">
        <f t="shared" si="106"/>
        <v>2024</v>
      </c>
      <c r="H559">
        <f t="shared" si="107"/>
        <v>1.345</v>
      </c>
      <c r="I559" t="e">
        <f t="shared" si="108"/>
        <v>#N/A</v>
      </c>
      <c r="J559" t="e">
        <f t="shared" si="109"/>
        <v>#N/A</v>
      </c>
      <c r="K559" t="e">
        <f t="shared" si="110"/>
        <v>#N/A</v>
      </c>
      <c r="L559" t="e">
        <f t="shared" si="111"/>
        <v>#N/A</v>
      </c>
      <c r="M559" t="e">
        <f t="shared" si="112"/>
        <v>#N/A</v>
      </c>
      <c r="N559" t="e">
        <f t="shared" si="113"/>
        <v>#N/A</v>
      </c>
      <c r="O559">
        <f t="shared" si="114"/>
        <v>3.000559</v>
      </c>
      <c r="P559" t="str">
        <f>IF(OR($A559="",games!$H559=""),"",games!$H559)</f>
        <v>Yes</v>
      </c>
      <c r="Q559">
        <f t="shared" si="115"/>
        <v>3.000559</v>
      </c>
      <c r="T559">
        <f>IF(connections!$A559="","",IFERROR(INDEX(games!$B$2:$B$950,MATCH(connections!$A559,games!$A$2:$A$950,0)),""))</f>
        <v>2019</v>
      </c>
      <c r="U559">
        <f>IF(connections!$A559="","",IFERROR(INDEX(games!$B$2:$B$950,MATCH(connections!$B559,games!$A$2:$A$950,0)),""))</f>
        <v>2025</v>
      </c>
      <c r="V559">
        <f t="shared" si="116"/>
        <v>6</v>
      </c>
    </row>
    <row r="560" spans="1:22" x14ac:dyDescent="0.25">
      <c r="A560" t="str">
        <f>IF(games!$A560="","",games!$A560)</f>
        <v>Picayune Dreams</v>
      </c>
      <c r="B560">
        <f>IF($A560="","",games!$B560)</f>
        <v>2023</v>
      </c>
      <c r="C560" t="str">
        <f>IF($A560="","",games!$C560)</f>
        <v>Action</v>
      </c>
      <c r="D560">
        <f>IF($A560="","",COUNTIF(connections!$A$2:$A$1460,$A560)+COUNTIF(connections!$B$2:$B$1460,$A560))</f>
        <v>2</v>
      </c>
      <c r="E560">
        <f t="shared" si="104"/>
        <v>1</v>
      </c>
      <c r="F560">
        <f t="shared" si="105"/>
        <v>16</v>
      </c>
      <c r="G560">
        <f t="shared" si="106"/>
        <v>2023</v>
      </c>
      <c r="H560">
        <f t="shared" si="107"/>
        <v>1.3679999999999999</v>
      </c>
      <c r="I560" t="e">
        <f t="shared" si="108"/>
        <v>#N/A</v>
      </c>
      <c r="J560" t="e">
        <f t="shared" si="109"/>
        <v>#N/A</v>
      </c>
      <c r="K560" t="e">
        <f t="shared" si="110"/>
        <v>#N/A</v>
      </c>
      <c r="L560" t="e">
        <f t="shared" si="111"/>
        <v>#N/A</v>
      </c>
      <c r="M560" t="e">
        <f t="shared" si="112"/>
        <v>#N/A</v>
      </c>
      <c r="N560" t="e">
        <f t="shared" si="113"/>
        <v>#N/A</v>
      </c>
      <c r="O560">
        <f t="shared" si="114"/>
        <v>2.0005600000000001</v>
      </c>
      <c r="P560" t="str">
        <f>IF(OR($A560="",games!$H560=""),"",games!$H560)</f>
        <v>Yes</v>
      </c>
      <c r="Q560">
        <f t="shared" si="115"/>
        <v>2.0005600000000001</v>
      </c>
      <c r="T560">
        <f>IF(connections!$A560="","",IFERROR(INDEX(games!$B$2:$B$950,MATCH(connections!$A560,games!$A$2:$A$950,0)),""))</f>
        <v>2019</v>
      </c>
      <c r="U560">
        <f>IF(connections!$A560="","",IFERROR(INDEX(games!$B$2:$B$950,MATCH(connections!$B560,games!$A$2:$A$950,0)),""))</f>
        <v>2025</v>
      </c>
      <c r="V560">
        <f t="shared" si="116"/>
        <v>6</v>
      </c>
    </row>
    <row r="561" spans="1:22" x14ac:dyDescent="0.25">
      <c r="A561" t="str">
        <f>IF(games!$A561="","",games!$A561)</f>
        <v>Pip My Dice</v>
      </c>
      <c r="B561">
        <f>IF($A561="","",games!$B561)</f>
        <v>2025</v>
      </c>
      <c r="C561" t="str">
        <f>IF($A561="","",games!$C561)</f>
        <v>Deckbuilder</v>
      </c>
      <c r="D561">
        <f>IF($A561="","",COUNTIF(connections!$A$2:$A$1460,$A561)+COUNTIF(connections!$B$2:$B$1460,$A561))</f>
        <v>1</v>
      </c>
      <c r="E561">
        <f t="shared" si="104"/>
        <v>3</v>
      </c>
      <c r="F561">
        <f t="shared" si="105"/>
        <v>17</v>
      </c>
      <c r="G561" t="e">
        <f t="shared" si="106"/>
        <v>#N/A</v>
      </c>
      <c r="H561" t="e">
        <f t="shared" si="107"/>
        <v>#N/A</v>
      </c>
      <c r="I561" t="e">
        <f t="shared" si="108"/>
        <v>#N/A</v>
      </c>
      <c r="J561" t="e">
        <f t="shared" si="109"/>
        <v>#N/A</v>
      </c>
      <c r="K561">
        <f t="shared" si="110"/>
        <v>2025</v>
      </c>
      <c r="L561">
        <f t="shared" si="111"/>
        <v>3.391</v>
      </c>
      <c r="M561" t="e">
        <f t="shared" si="112"/>
        <v>#N/A</v>
      </c>
      <c r="N561" t="e">
        <f t="shared" si="113"/>
        <v>#N/A</v>
      </c>
      <c r="O561">
        <f t="shared" si="114"/>
        <v>1.000561</v>
      </c>
      <c r="P561" t="str">
        <f>IF(OR($A561="",games!$H561=""),"",games!$H561)</f>
        <v>Yes</v>
      </c>
      <c r="Q561">
        <f t="shared" si="115"/>
        <v>1.000561</v>
      </c>
      <c r="T561">
        <f>IF(connections!$A561="","",IFERROR(INDEX(games!$B$2:$B$950,MATCH(connections!$A561,games!$A$2:$A$950,0)),""))</f>
        <v>2019</v>
      </c>
      <c r="U561">
        <f>IF(connections!$A561="","",IFERROR(INDEX(games!$B$2:$B$950,MATCH(connections!$B561,games!$A$2:$A$950,0)),""))</f>
        <v>2025</v>
      </c>
      <c r="V561">
        <f t="shared" si="116"/>
        <v>6</v>
      </c>
    </row>
    <row r="562" spans="1:22" x14ac:dyDescent="0.25">
      <c r="A562" t="str">
        <f>IF(games!$A562="","",games!$A562)</f>
        <v>Pixel Dungeon</v>
      </c>
      <c r="B562">
        <f>IF($A562="","",games!$B562)</f>
        <v>2012</v>
      </c>
      <c r="C562" t="str">
        <f>IF($A562="","",games!$C562)</f>
        <v>Traditional</v>
      </c>
      <c r="D562">
        <f>IF($A562="","",COUNTIF(connections!$A$2:$A$1460,$A562)+COUNTIF(connections!$B$2:$B$1460,$A562))</f>
        <v>3</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2012</v>
      </c>
      <c r="N562">
        <f t="shared" si="113"/>
        <v>4.4139999999999997</v>
      </c>
      <c r="O562">
        <f t="shared" si="114"/>
        <v>3.000562</v>
      </c>
      <c r="P562" t="str">
        <f>IF(OR($A562="",games!$H562=""),"",games!$H562)</f>
        <v>Yes</v>
      </c>
      <c r="Q562">
        <f t="shared" si="115"/>
        <v>3.000562</v>
      </c>
      <c r="T562">
        <f>IF(connections!$A562="","",IFERROR(INDEX(games!$B$2:$B$950,MATCH(connections!$A562,games!$A$2:$A$950,0)),""))</f>
        <v>2019</v>
      </c>
      <c r="U562">
        <f>IF(connections!$A562="","",IFERROR(INDEX(games!$B$2:$B$950,MATCH(connections!$B562,games!$A$2:$A$950,0)),""))</f>
        <v>2023</v>
      </c>
      <c r="V562">
        <f t="shared" si="116"/>
        <v>4</v>
      </c>
    </row>
    <row r="563" spans="1:22" x14ac:dyDescent="0.25">
      <c r="A563" t="str">
        <f>IF(games!$A563="","",games!$A563)</f>
        <v>PlateUp!</v>
      </c>
      <c r="B563">
        <f>IF($A563="","",games!$B563)</f>
        <v>2022</v>
      </c>
      <c r="C563" t="str">
        <f>IF($A563="","",games!$C563)</f>
        <v>Strategy</v>
      </c>
      <c r="D563">
        <f>IF($A563="","",COUNTIF(connections!$A$2:$A$1460,$A563)+COUNTIF(connections!$B$2:$B$1460,$A563))</f>
        <v>0</v>
      </c>
      <c r="E563">
        <f t="shared" si="104"/>
        <v>2</v>
      </c>
      <c r="F563">
        <f t="shared" si="105"/>
        <v>19</v>
      </c>
      <c r="G563" t="e">
        <f t="shared" si="106"/>
        <v>#N/A</v>
      </c>
      <c r="H563" t="e">
        <f t="shared" si="107"/>
        <v>#N/A</v>
      </c>
      <c r="I563">
        <f t="shared" si="108"/>
        <v>2022</v>
      </c>
      <c r="J563">
        <f t="shared" si="109"/>
        <v>2.4369999999999998</v>
      </c>
      <c r="K563" t="e">
        <f t="shared" si="110"/>
        <v>#N/A</v>
      </c>
      <c r="L563" t="e">
        <f t="shared" si="111"/>
        <v>#N/A</v>
      </c>
      <c r="M563" t="e">
        <f t="shared" si="112"/>
        <v>#N/A</v>
      </c>
      <c r="N563" t="e">
        <f t="shared" si="113"/>
        <v>#N/A</v>
      </c>
      <c r="O563">
        <f t="shared" si="114"/>
        <v>5.6300000000000002E-4</v>
      </c>
      <c r="P563" t="str">
        <f>IF(OR($A563="",games!$H563=""),"",games!$H563)</f>
        <v>Yes</v>
      </c>
      <c r="Q563">
        <f t="shared" si="115"/>
        <v>5.6300000000000002E-4</v>
      </c>
      <c r="T563">
        <f>IF(connections!$A563="","",IFERROR(INDEX(games!$B$2:$B$950,MATCH(connections!$A563,games!$A$2:$A$950,0)),""))</f>
        <v>2019</v>
      </c>
      <c r="U563">
        <f>IF(connections!$A563="","",IFERROR(INDEX(games!$B$2:$B$950,MATCH(connections!$B563,games!$A$2:$A$950,0)),""))</f>
        <v>2024</v>
      </c>
      <c r="V563">
        <f t="shared" si="116"/>
        <v>5</v>
      </c>
    </row>
    <row r="564" spans="1:22" x14ac:dyDescent="0.25">
      <c r="A564" t="str">
        <f>IF(games!$A564="","",games!$A564)</f>
        <v>Plinbo</v>
      </c>
      <c r="B564">
        <f>IF($A564="","",games!$B564)</f>
        <v>2026</v>
      </c>
      <c r="C564" t="str">
        <f>IF($A564="","",games!$C564)</f>
        <v>Deckbuilder</v>
      </c>
      <c r="D564">
        <f>IF($A564="","",COUNTIF(connections!$A$2:$A$1460,$A564)+COUNTIF(connections!$B$2:$B$1460,$A564))</f>
        <v>1</v>
      </c>
      <c r="E564">
        <f t="shared" si="104"/>
        <v>3</v>
      </c>
      <c r="F564">
        <f t="shared" si="105"/>
        <v>20</v>
      </c>
      <c r="G564" t="e">
        <f t="shared" si="106"/>
        <v>#N/A</v>
      </c>
      <c r="H564" t="e">
        <f t="shared" si="107"/>
        <v>#N/A</v>
      </c>
      <c r="I564" t="e">
        <f t="shared" si="108"/>
        <v>#N/A</v>
      </c>
      <c r="J564" t="e">
        <f t="shared" si="109"/>
        <v>#N/A</v>
      </c>
      <c r="K564">
        <f t="shared" si="110"/>
        <v>2026</v>
      </c>
      <c r="L564">
        <f t="shared" si="111"/>
        <v>3.46</v>
      </c>
      <c r="M564" t="e">
        <f t="shared" si="112"/>
        <v>#N/A</v>
      </c>
      <c r="N564" t="e">
        <f t="shared" si="113"/>
        <v>#N/A</v>
      </c>
      <c r="O564">
        <f t="shared" si="114"/>
        <v>1.000564</v>
      </c>
      <c r="P564" t="str">
        <f>IF(OR($A564="",games!$H564=""),"",games!$H564)</f>
        <v>Yes</v>
      </c>
      <c r="Q564">
        <f t="shared" si="115"/>
        <v>1.000564</v>
      </c>
      <c r="T564">
        <f>IF(connections!$A564="","",IFERROR(INDEX(games!$B$2:$B$950,MATCH(connections!$A564,games!$A$2:$A$950,0)),""))</f>
        <v>2019</v>
      </c>
      <c r="U564">
        <f>IF(connections!$A564="","",IFERROR(INDEX(games!$B$2:$B$950,MATCH(connections!$B564,games!$A$2:$A$950,0)),""))</f>
        <v>2022</v>
      </c>
      <c r="V564">
        <f t="shared" si="116"/>
        <v>3</v>
      </c>
    </row>
    <row r="565" spans="1:22" x14ac:dyDescent="0.25">
      <c r="A565" t="str">
        <f>IF(games!$A565="","",games!$A565)</f>
        <v>Plinko Panic!</v>
      </c>
      <c r="B565">
        <f>IF($A565="","",games!$B565)</f>
        <v>2021</v>
      </c>
      <c r="C565" t="str">
        <f>IF($A565="","",games!$C565)</f>
        <v>Deckbuilder</v>
      </c>
      <c r="D565">
        <f>IF($A565="","",COUNTIF(connections!$A$2:$A$1460,$A565)+COUNTIF(connections!$B$2:$B$1460,$A565))</f>
        <v>1</v>
      </c>
      <c r="E565">
        <f t="shared" si="104"/>
        <v>3</v>
      </c>
      <c r="F565">
        <f t="shared" si="105"/>
        <v>21</v>
      </c>
      <c r="G565" t="e">
        <f t="shared" si="106"/>
        <v>#N/A</v>
      </c>
      <c r="H565" t="e">
        <f t="shared" si="107"/>
        <v>#N/A</v>
      </c>
      <c r="I565" t="e">
        <f t="shared" si="108"/>
        <v>#N/A</v>
      </c>
      <c r="J565" t="e">
        <f t="shared" si="109"/>
        <v>#N/A</v>
      </c>
      <c r="K565">
        <f t="shared" si="110"/>
        <v>2021</v>
      </c>
      <c r="L565">
        <f t="shared" si="111"/>
        <v>3.4830000000000001</v>
      </c>
      <c r="M565" t="e">
        <f t="shared" si="112"/>
        <v>#N/A</v>
      </c>
      <c r="N565" t="e">
        <f t="shared" si="113"/>
        <v>#N/A</v>
      </c>
      <c r="O565">
        <f t="shared" si="114"/>
        <v>1.0005649999999999</v>
      </c>
      <c r="P565" t="str">
        <f>IF(OR($A565="",games!$H565=""),"",games!$H565)</f>
        <v/>
      </c>
      <c r="Q565" t="str">
        <f t="shared" si="115"/>
        <v/>
      </c>
      <c r="T565">
        <f>IF(connections!$A565="","",IFERROR(INDEX(games!$B$2:$B$950,MATCH(connections!$A565,games!$A$2:$A$950,0)),""))</f>
        <v>2019</v>
      </c>
      <c r="U565">
        <f>IF(connections!$A565="","",IFERROR(INDEX(games!$B$2:$B$950,MATCH(connections!$B565,games!$A$2:$A$950,0)),""))</f>
        <v>2022</v>
      </c>
      <c r="V565">
        <f t="shared" si="116"/>
        <v>3</v>
      </c>
    </row>
    <row r="566" spans="1:22" x14ac:dyDescent="0.25">
      <c r="A566" t="str">
        <f>IF(games!$A566="","",games!$A566)</f>
        <v>Pluto</v>
      </c>
      <c r="B566">
        <f>IF($A566="","",games!$B566)</f>
        <v>2026</v>
      </c>
      <c r="C566" t="str">
        <f>IF($A566="","",games!$C566)</f>
        <v>Deckbuilder</v>
      </c>
      <c r="D566">
        <f>IF($A566="","",COUNTIF(connections!$A$2:$A$1460,$A566)+COUNTIF(connections!$B$2:$B$1460,$A566))</f>
        <v>1</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1.0005660000000001</v>
      </c>
      <c r="P566" t="str">
        <f>IF(OR($A566="",games!$H566=""),"",games!$H566)</f>
        <v/>
      </c>
      <c r="Q566" t="str">
        <f t="shared" si="115"/>
        <v/>
      </c>
      <c r="T566">
        <f>IF(connections!$A566="","",IFERROR(INDEX(games!$B$2:$B$950,MATCH(connections!$A566,games!$A$2:$A$950,0)),""))</f>
        <v>2019</v>
      </c>
      <c r="U566">
        <f>IF(connections!$A566="","",IFERROR(INDEX(games!$B$2:$B$950,MATCH(connections!$B566,games!$A$2:$A$950,0)),""))</f>
        <v>2024</v>
      </c>
      <c r="V566">
        <f t="shared" si="116"/>
        <v>5</v>
      </c>
    </row>
    <row r="567" spans="1:22" x14ac:dyDescent="0.25">
      <c r="A567" t="str">
        <f>IF(games!$A567="","",games!$A567)</f>
        <v>Pocket Crystal League</v>
      </c>
      <c r="B567">
        <f>IF($A567="","",games!$B567)</f>
        <v>2022</v>
      </c>
      <c r="C567" t="str">
        <f>IF($A567="","",games!$C567)</f>
        <v>Deckbuilder</v>
      </c>
      <c r="D567">
        <f>IF($A567="","",COUNTIF(connections!$A$2:$A$1460,$A567)+COUNTIF(connections!$B$2:$B$1460,$A567))</f>
        <v>1</v>
      </c>
      <c r="E567">
        <f t="shared" si="104"/>
        <v>3</v>
      </c>
      <c r="F567">
        <f t="shared" si="105"/>
        <v>23</v>
      </c>
      <c r="G567" t="e">
        <f t="shared" si="106"/>
        <v>#N/A</v>
      </c>
      <c r="H567" t="e">
        <f t="shared" si="107"/>
        <v>#N/A</v>
      </c>
      <c r="I567" t="e">
        <f t="shared" si="108"/>
        <v>#N/A</v>
      </c>
      <c r="J567" t="e">
        <f t="shared" si="109"/>
        <v>#N/A</v>
      </c>
      <c r="K567">
        <f t="shared" si="110"/>
        <v>2022</v>
      </c>
      <c r="L567">
        <f t="shared" si="111"/>
        <v>3.5289999999999999</v>
      </c>
      <c r="M567" t="e">
        <f t="shared" si="112"/>
        <v>#N/A</v>
      </c>
      <c r="N567" t="e">
        <f t="shared" si="113"/>
        <v>#N/A</v>
      </c>
      <c r="O567">
        <f t="shared" si="114"/>
        <v>1.000567</v>
      </c>
      <c r="P567" t="str">
        <f>IF(OR($A567="",games!$H567=""),"",games!$H567)</f>
        <v>Yes</v>
      </c>
      <c r="Q567">
        <f t="shared" si="115"/>
        <v>1.000567</v>
      </c>
      <c r="T567">
        <f>IF(connections!$A567="","",IFERROR(INDEX(games!$B$2:$B$950,MATCH(connections!$A567,games!$A$2:$A$950,0)),""))</f>
        <v>2019</v>
      </c>
      <c r="U567">
        <f>IF(connections!$A567="","",IFERROR(INDEX(games!$B$2:$B$950,MATCH(connections!$B567,games!$A$2:$A$950,0)),""))</f>
        <v>2023</v>
      </c>
      <c r="V567">
        <f t="shared" si="116"/>
        <v>4</v>
      </c>
    </row>
    <row r="568" spans="1:22" x14ac:dyDescent="0.25">
      <c r="A568" t="str">
        <f>IF(games!$A568="","",games!$A568)</f>
        <v>Pogo Rogue</v>
      </c>
      <c r="B568">
        <f>IF($A568="","",games!$B568)</f>
        <v>2024</v>
      </c>
      <c r="C568" t="str">
        <f>IF($A568="","",games!$C568)</f>
        <v>Action</v>
      </c>
      <c r="D568">
        <f>IF($A568="","",COUNTIF(connections!$A$2:$A$1460,$A568)+COUNTIF(connections!$B$2:$B$1460,$A568))</f>
        <v>0</v>
      </c>
      <c r="E568">
        <f t="shared" si="104"/>
        <v>1</v>
      </c>
      <c r="F568">
        <f t="shared" si="105"/>
        <v>24</v>
      </c>
      <c r="G568">
        <f t="shared" si="106"/>
        <v>2024</v>
      </c>
      <c r="H568">
        <f t="shared" si="107"/>
        <v>1.552</v>
      </c>
      <c r="I568" t="e">
        <f t="shared" si="108"/>
        <v>#N/A</v>
      </c>
      <c r="J568" t="e">
        <f t="shared" si="109"/>
        <v>#N/A</v>
      </c>
      <c r="K568" t="e">
        <f t="shared" si="110"/>
        <v>#N/A</v>
      </c>
      <c r="L568" t="e">
        <f t="shared" si="111"/>
        <v>#N/A</v>
      </c>
      <c r="M568" t="e">
        <f t="shared" si="112"/>
        <v>#N/A</v>
      </c>
      <c r="N568" t="e">
        <f t="shared" si="113"/>
        <v>#N/A</v>
      </c>
      <c r="O568">
        <f t="shared" si="114"/>
        <v>5.6800000000000004E-4</v>
      </c>
      <c r="P568" t="str">
        <f>IF(OR($A568="",games!$H568=""),"",games!$H568)</f>
        <v>Yes</v>
      </c>
      <c r="Q568">
        <f t="shared" si="115"/>
        <v>5.6800000000000004E-4</v>
      </c>
      <c r="T568">
        <f>IF(connections!$A568="","",IFERROR(INDEX(games!$B$2:$B$950,MATCH(connections!$A568,games!$A$2:$A$950,0)),""))</f>
        <v>2019</v>
      </c>
      <c r="U568">
        <f>IF(connections!$A568="","",IFERROR(INDEX(games!$B$2:$B$950,MATCH(connections!$B568,games!$A$2:$A$950,0)),""))</f>
        <v>2025</v>
      </c>
      <c r="V568">
        <f t="shared" si="116"/>
        <v>6</v>
      </c>
    </row>
    <row r="569" spans="1:22" x14ac:dyDescent="0.25">
      <c r="A569" t="str">
        <f>IF(games!$A569="","",games!$A569)</f>
        <v>Pokelike</v>
      </c>
      <c r="B569">
        <f>IF($A569="","",games!$B569)</f>
        <v>2026</v>
      </c>
      <c r="C569" t="str">
        <f>IF($A569="","",games!$C569)</f>
        <v>Strategy</v>
      </c>
      <c r="D569">
        <f>IF($A569="","",COUNTIF(connections!$A$2:$A$1460,$A569)+COUNTIF(connections!$B$2:$B$1460,$A569))</f>
        <v>1</v>
      </c>
      <c r="E569">
        <f t="shared" si="104"/>
        <v>2</v>
      </c>
      <c r="F569">
        <f t="shared" si="105"/>
        <v>25</v>
      </c>
      <c r="G569" t="e">
        <f t="shared" si="106"/>
        <v>#N/A</v>
      </c>
      <c r="H569" t="e">
        <f t="shared" si="107"/>
        <v>#N/A</v>
      </c>
      <c r="I569">
        <f t="shared" si="108"/>
        <v>2026</v>
      </c>
      <c r="J569">
        <f t="shared" si="109"/>
        <v>2.5750000000000002</v>
      </c>
      <c r="K569" t="e">
        <f t="shared" si="110"/>
        <v>#N/A</v>
      </c>
      <c r="L569" t="e">
        <f t="shared" si="111"/>
        <v>#N/A</v>
      </c>
      <c r="M569" t="e">
        <f t="shared" si="112"/>
        <v>#N/A</v>
      </c>
      <c r="N569" t="e">
        <f t="shared" si="113"/>
        <v>#N/A</v>
      </c>
      <c r="O569">
        <f t="shared" si="114"/>
        <v>1.000569</v>
      </c>
      <c r="P569" t="str">
        <f>IF(OR($A569="",games!$H569=""),"",games!$H569)</f>
        <v>Yes</v>
      </c>
      <c r="Q569">
        <f t="shared" si="115"/>
        <v>1.000569</v>
      </c>
      <c r="T569">
        <f>IF(connections!$A569="","",IFERROR(INDEX(games!$B$2:$B$950,MATCH(connections!$A569,games!$A$2:$A$950,0)),""))</f>
        <v>2019</v>
      </c>
      <c r="U569">
        <f>IF(connections!$A569="","",IFERROR(INDEX(games!$B$2:$B$950,MATCH(connections!$B569,games!$A$2:$A$950,0)),""))</f>
        <v>2024</v>
      </c>
      <c r="V569">
        <f t="shared" si="116"/>
        <v>5</v>
      </c>
    </row>
    <row r="570" spans="1:22" x14ac:dyDescent="0.25">
      <c r="A570" t="str">
        <f>IF(games!$A570="","",games!$A570)</f>
        <v>Pokémon Auto Chess</v>
      </c>
      <c r="B570">
        <f>IF($A570="","",games!$B570)</f>
        <v>2021</v>
      </c>
      <c r="C570" t="str">
        <f>IF($A570="","",games!$C570)</f>
        <v>Strategy</v>
      </c>
      <c r="D570">
        <f>IF($A570="","",COUNTIF(connections!$A$2:$A$1460,$A570)+COUNTIF(connections!$B$2:$B$1460,$A570))</f>
        <v>2</v>
      </c>
      <c r="E570">
        <f t="shared" si="104"/>
        <v>2</v>
      </c>
      <c r="F570">
        <f t="shared" si="105"/>
        <v>26</v>
      </c>
      <c r="G570" t="e">
        <f t="shared" si="106"/>
        <v>#N/A</v>
      </c>
      <c r="H570" t="e">
        <f t="shared" si="107"/>
        <v>#N/A</v>
      </c>
      <c r="I570">
        <f t="shared" si="108"/>
        <v>2021</v>
      </c>
      <c r="J570">
        <f t="shared" si="109"/>
        <v>2.5979999999999999</v>
      </c>
      <c r="K570" t="e">
        <f t="shared" si="110"/>
        <v>#N/A</v>
      </c>
      <c r="L570" t="e">
        <f t="shared" si="111"/>
        <v>#N/A</v>
      </c>
      <c r="M570" t="e">
        <f t="shared" si="112"/>
        <v>#N/A</v>
      </c>
      <c r="N570" t="e">
        <f t="shared" si="113"/>
        <v>#N/A</v>
      </c>
      <c r="O570">
        <f t="shared" si="114"/>
        <v>2.0005700000000002</v>
      </c>
      <c r="P570" t="str">
        <f>IF(OR($A570="",games!$H570=""),"",games!$H570)</f>
        <v>Yes</v>
      </c>
      <c r="Q570">
        <f t="shared" si="115"/>
        <v>2.0005700000000002</v>
      </c>
      <c r="T570">
        <f>IF(connections!$A570="","",IFERROR(INDEX(games!$B$2:$B$950,MATCH(connections!$A570,games!$A$2:$A$950,0)),""))</f>
        <v>2023</v>
      </c>
      <c r="U570">
        <f>IF(connections!$A570="","",IFERROR(INDEX(games!$B$2:$B$950,MATCH(connections!$B570,games!$A$2:$A$950,0)),""))</f>
        <v>2024</v>
      </c>
      <c r="V570">
        <f t="shared" si="116"/>
        <v>1</v>
      </c>
    </row>
    <row r="571" spans="1:22" x14ac:dyDescent="0.25">
      <c r="A571" t="str">
        <f>IF(games!$A571="","",games!$A571)</f>
        <v>Pokémon Auto Spire</v>
      </c>
      <c r="B571">
        <f>IF($A571="","",games!$B571)</f>
        <v>2026</v>
      </c>
      <c r="C571" t="str">
        <f>IF($A571="","",games!$C571)</f>
        <v>Strategy</v>
      </c>
      <c r="D571">
        <f>IF($A571="","",COUNTIF(connections!$A$2:$A$1460,$A571)+COUNTIF(connections!$B$2:$B$1460,$A571))</f>
        <v>2</v>
      </c>
      <c r="E571">
        <f t="shared" si="104"/>
        <v>2</v>
      </c>
      <c r="F571">
        <f t="shared" si="105"/>
        <v>27</v>
      </c>
      <c r="G571" t="e">
        <f t="shared" si="106"/>
        <v>#N/A</v>
      </c>
      <c r="H571" t="e">
        <f t="shared" si="107"/>
        <v>#N/A</v>
      </c>
      <c r="I571">
        <f t="shared" si="108"/>
        <v>2026</v>
      </c>
      <c r="J571">
        <f t="shared" si="109"/>
        <v>2.621</v>
      </c>
      <c r="K571" t="e">
        <f t="shared" si="110"/>
        <v>#N/A</v>
      </c>
      <c r="L571" t="e">
        <f t="shared" si="111"/>
        <v>#N/A</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2023</v>
      </c>
      <c r="U571">
        <f>IF(connections!$A571="","",IFERROR(INDEX(games!$B$2:$B$950,MATCH(connections!$B571,games!$A$2:$A$950,0)),""))</f>
        <v>2026</v>
      </c>
      <c r="V571">
        <f t="shared" si="116"/>
        <v>3</v>
      </c>
    </row>
    <row r="572" spans="1:22" x14ac:dyDescent="0.25">
      <c r="A572" t="str">
        <f>IF(games!$A572="","",games!$A572)</f>
        <v>Pokémon Mystery Dungeon: Explorers of Sky</v>
      </c>
      <c r="B572">
        <f>IF($A572="","",games!$B572)</f>
        <v>2009</v>
      </c>
      <c r="C572" t="str">
        <f>IF($A572="","",games!$C572)</f>
        <v>Traditional</v>
      </c>
      <c r="D572">
        <f>IF($A572="","",COUNTIF(connections!$A$2:$A$1460,$A572)+COUNTIF(connections!$B$2:$B$1460,$A572))</f>
        <v>1</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2009</v>
      </c>
      <c r="N572">
        <f t="shared" si="113"/>
        <v>4.6440000000000001</v>
      </c>
      <c r="O572">
        <f t="shared" si="114"/>
        <v>1.000572</v>
      </c>
      <c r="P572" t="str">
        <f>IF(OR($A572="",games!$H572=""),"",games!$H572)</f>
        <v>Yes</v>
      </c>
      <c r="Q572">
        <f t="shared" si="115"/>
        <v>1.000572</v>
      </c>
      <c r="T572">
        <f>IF(connections!$A572="","",IFERROR(INDEX(games!$B$2:$B$950,MATCH(connections!$A572,games!$A$2:$A$950,0)),""))</f>
        <v>2023</v>
      </c>
      <c r="U572">
        <f>IF(connections!$A572="","",IFERROR(INDEX(games!$B$2:$B$950,MATCH(connections!$B572,games!$A$2:$A$950,0)),""))</f>
        <v>2025</v>
      </c>
      <c r="V572">
        <f t="shared" si="116"/>
        <v>2</v>
      </c>
    </row>
    <row r="573" spans="1:22" x14ac:dyDescent="0.25">
      <c r="A573" t="str">
        <f>IF(games!$A573="","",games!$A573)</f>
        <v>Pokémon Mystery Dungeon: Explorers of Time and Explorers of Darkness</v>
      </c>
      <c r="B573">
        <f>IF($A573="","",games!$B573)</f>
        <v>2007</v>
      </c>
      <c r="C573" t="str">
        <f>IF($A573="","",games!$C573)</f>
        <v>Traditional</v>
      </c>
      <c r="D573">
        <f>IF($A573="","",COUNTIF(connections!$A$2:$A$1460,$A573)+COUNTIF(connections!$B$2:$B$1460,$A573))</f>
        <v>2</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2007</v>
      </c>
      <c r="N573">
        <f t="shared" si="113"/>
        <v>4.6669999999999998</v>
      </c>
      <c r="O573">
        <f t="shared" si="114"/>
        <v>2.0005730000000002</v>
      </c>
      <c r="P573" t="str">
        <f>IF(OR($A573="",games!$H573=""),"",games!$H573)</f>
        <v>Yes</v>
      </c>
      <c r="Q573">
        <f t="shared" si="115"/>
        <v>2.0005730000000002</v>
      </c>
      <c r="T573">
        <f>IF(connections!$A573="","",IFERROR(INDEX(games!$B$2:$B$950,MATCH(connections!$A573,games!$A$2:$A$950,0)),""))</f>
        <v>2023</v>
      </c>
      <c r="U573">
        <f>IF(connections!$A573="","",IFERROR(INDEX(games!$B$2:$B$950,MATCH(connections!$B573,games!$A$2:$A$950,0)),""))</f>
        <v>2025</v>
      </c>
      <c r="V573">
        <f t="shared" si="116"/>
        <v>2</v>
      </c>
    </row>
    <row r="574" spans="1:22" x14ac:dyDescent="0.25">
      <c r="A574" t="str">
        <f>IF(games!$A574="","",games!$A574)</f>
        <v>Pokémon Mystery Dungeon: Gates to Infinity</v>
      </c>
      <c r="B574">
        <f>IF($A574="","",games!$B574)</f>
        <v>2012</v>
      </c>
      <c r="C574" t="str">
        <f>IF($A574="","",games!$C574)</f>
        <v>Traditional</v>
      </c>
      <c r="D574">
        <f>IF($A574="","",COUNTIF(connections!$A$2:$A$1460,$A574)+COUNTIF(connections!$B$2:$B$1460,$A574))</f>
        <v>1</v>
      </c>
      <c r="E574">
        <f t="shared" si="104"/>
        <v>4</v>
      </c>
      <c r="F574">
        <f t="shared" si="105"/>
        <v>30</v>
      </c>
      <c r="G574" t="e">
        <f t="shared" si="106"/>
        <v>#N/A</v>
      </c>
      <c r="H574" t="e">
        <f t="shared" si="107"/>
        <v>#N/A</v>
      </c>
      <c r="I574" t="e">
        <f t="shared" si="108"/>
        <v>#N/A</v>
      </c>
      <c r="J574" t="e">
        <f t="shared" si="109"/>
        <v>#N/A</v>
      </c>
      <c r="K574" t="e">
        <f t="shared" si="110"/>
        <v>#N/A</v>
      </c>
      <c r="L574" t="e">
        <f t="shared" si="111"/>
        <v>#N/A</v>
      </c>
      <c r="M574">
        <f t="shared" si="112"/>
        <v>2012</v>
      </c>
      <c r="N574">
        <f t="shared" si="113"/>
        <v>4.6899999999999995</v>
      </c>
      <c r="O574">
        <f t="shared" si="114"/>
        <v>1.0005740000000001</v>
      </c>
      <c r="P574" t="str">
        <f>IF(OR($A574="",games!$H574=""),"",games!$H574)</f>
        <v/>
      </c>
      <c r="Q574" t="str">
        <f t="shared" si="115"/>
        <v/>
      </c>
      <c r="T574">
        <f>IF(connections!$A574="","",IFERROR(INDEX(games!$B$2:$B$950,MATCH(connections!$A574,games!$A$2:$A$950,0)),""))</f>
        <v>2023</v>
      </c>
      <c r="U574">
        <f>IF(connections!$A574="","",IFERROR(INDEX(games!$B$2:$B$950,MATCH(connections!$B574,games!$A$2:$A$950,0)),""))</f>
        <v>2023</v>
      </c>
      <c r="V574">
        <f t="shared" si="116"/>
        <v>0</v>
      </c>
    </row>
    <row r="575" spans="1:22" x14ac:dyDescent="0.25">
      <c r="A575" t="str">
        <f>IF(games!$A575="","",games!$A575)</f>
        <v>Pokémon Mystery Dungeon: Red and Blue Rescue Team</v>
      </c>
      <c r="B575">
        <f>IF($A575="","",games!$B575)</f>
        <v>2005</v>
      </c>
      <c r="C575" t="str">
        <f>IF($A575="","",games!$C575)</f>
        <v>Traditional</v>
      </c>
      <c r="D575">
        <f>IF($A575="","",COUNTIF(connections!$A$2:$A$1460,$A575)+COUNTIF(connections!$B$2:$B$1460,$A575))</f>
        <v>6</v>
      </c>
      <c r="E575">
        <f t="shared" si="104"/>
        <v>4</v>
      </c>
      <c r="F575">
        <f t="shared" si="105"/>
        <v>31</v>
      </c>
      <c r="G575" t="e">
        <f t="shared" si="106"/>
        <v>#N/A</v>
      </c>
      <c r="H575" t="e">
        <f t="shared" si="107"/>
        <v>#N/A</v>
      </c>
      <c r="I575" t="e">
        <f t="shared" si="108"/>
        <v>#N/A</v>
      </c>
      <c r="J575" t="e">
        <f t="shared" si="109"/>
        <v>#N/A</v>
      </c>
      <c r="K575" t="e">
        <f t="shared" si="110"/>
        <v>#N/A</v>
      </c>
      <c r="L575" t="e">
        <f t="shared" si="111"/>
        <v>#N/A</v>
      </c>
      <c r="M575">
        <f t="shared" si="112"/>
        <v>2005</v>
      </c>
      <c r="N575">
        <f t="shared" si="113"/>
        <v>4.7130000000000001</v>
      </c>
      <c r="O575">
        <f t="shared" si="114"/>
        <v>6.0005750000000004</v>
      </c>
      <c r="P575" t="str">
        <f>IF(OR($A575="",games!$H575=""),"",games!$H575)</f>
        <v>Yes</v>
      </c>
      <c r="Q575">
        <f t="shared" si="115"/>
        <v>6.0005750000000004</v>
      </c>
      <c r="T575">
        <f>IF(connections!$A575="","",IFERROR(INDEX(games!$B$2:$B$950,MATCH(connections!$A575,games!$A$2:$A$950,0)),""))</f>
        <v>2014</v>
      </c>
      <c r="U575">
        <f>IF(connections!$A575="","",IFERROR(INDEX(games!$B$2:$B$950,MATCH(connections!$B575,games!$A$2:$A$950,0)),""))</f>
        <v>2017</v>
      </c>
      <c r="V575">
        <f t="shared" si="116"/>
        <v>3</v>
      </c>
    </row>
    <row r="576" spans="1:22" x14ac:dyDescent="0.25">
      <c r="A576" t="str">
        <f>IF(games!$A576="","",games!$A576)</f>
        <v>Pokémon Mystery Dungeon: Rescue Team DX</v>
      </c>
      <c r="B576">
        <f>IF($A576="","",games!$B576)</f>
        <v>2020</v>
      </c>
      <c r="C576" t="str">
        <f>IF($A576="","",games!$C576)</f>
        <v>Traditional</v>
      </c>
      <c r="D576">
        <f>IF($A576="","",COUNTIF(connections!$A$2:$A$1460,$A576)+COUNTIF(connections!$B$2:$B$1460,$A576))</f>
        <v>1</v>
      </c>
      <c r="E576">
        <f t="shared" si="104"/>
        <v>4</v>
      </c>
      <c r="F576">
        <f t="shared" si="105"/>
        <v>32</v>
      </c>
      <c r="G576" t="e">
        <f t="shared" si="106"/>
        <v>#N/A</v>
      </c>
      <c r="H576" t="e">
        <f t="shared" si="107"/>
        <v>#N/A</v>
      </c>
      <c r="I576" t="e">
        <f t="shared" si="108"/>
        <v>#N/A</v>
      </c>
      <c r="J576" t="e">
        <f t="shared" si="109"/>
        <v>#N/A</v>
      </c>
      <c r="K576" t="e">
        <f t="shared" si="110"/>
        <v>#N/A</v>
      </c>
      <c r="L576" t="e">
        <f t="shared" si="111"/>
        <v>#N/A</v>
      </c>
      <c r="M576">
        <f t="shared" si="112"/>
        <v>2020</v>
      </c>
      <c r="N576">
        <f t="shared" si="113"/>
        <v>4.7359999999999998</v>
      </c>
      <c r="O576">
        <f t="shared" si="114"/>
        <v>1.0005759999999999</v>
      </c>
      <c r="P576" t="str">
        <f>IF(OR($A576="",games!$H576=""),"",games!$H576)</f>
        <v/>
      </c>
      <c r="Q576" t="str">
        <f t="shared" si="115"/>
        <v/>
      </c>
      <c r="T576">
        <f>IF(connections!$A576="","",IFERROR(INDEX(games!$B$2:$B$950,MATCH(connections!$A576,games!$A$2:$A$950,0)),""))</f>
        <v>2014</v>
      </c>
      <c r="U576">
        <f>IF(connections!$A576="","",IFERROR(INDEX(games!$B$2:$B$950,MATCH(connections!$B576,games!$A$2:$A$950,0)),""))</f>
        <v>2026</v>
      </c>
      <c r="V576">
        <f t="shared" si="116"/>
        <v>12</v>
      </c>
    </row>
    <row r="577" spans="1:22" x14ac:dyDescent="0.25">
      <c r="A577" t="str">
        <f>IF(games!$A577="","",games!$A577)</f>
        <v>Pokémon Super Mystery Dungeon</v>
      </c>
      <c r="B577">
        <f>IF($A577="","",games!$B577)</f>
        <v>2015</v>
      </c>
      <c r="C577" t="str">
        <f>IF($A577="","",games!$C577)</f>
        <v>Traditional</v>
      </c>
      <c r="D577">
        <f>IF($A577="","",COUNTIF(connections!$A$2:$A$1460,$A577)+COUNTIF(connections!$B$2:$B$1460,$A577))</f>
        <v>1</v>
      </c>
      <c r="E577">
        <f t="shared" si="104"/>
        <v>4</v>
      </c>
      <c r="F577">
        <f t="shared" si="105"/>
        <v>33</v>
      </c>
      <c r="G577" t="e">
        <f t="shared" si="106"/>
        <v>#N/A</v>
      </c>
      <c r="H577" t="e">
        <f t="shared" si="107"/>
        <v>#N/A</v>
      </c>
      <c r="I577" t="e">
        <f t="shared" si="108"/>
        <v>#N/A</v>
      </c>
      <c r="J577" t="e">
        <f t="shared" si="109"/>
        <v>#N/A</v>
      </c>
      <c r="K577" t="e">
        <f t="shared" si="110"/>
        <v>#N/A</v>
      </c>
      <c r="L577" t="e">
        <f t="shared" si="111"/>
        <v>#N/A</v>
      </c>
      <c r="M577">
        <f t="shared" si="112"/>
        <v>2015</v>
      </c>
      <c r="N577">
        <f t="shared" si="113"/>
        <v>4.7590000000000003</v>
      </c>
      <c r="O577">
        <f t="shared" si="114"/>
        <v>1.000577</v>
      </c>
      <c r="P577" t="str">
        <f>IF(OR($A577="",games!$H577=""),"",games!$H577)</f>
        <v/>
      </c>
      <c r="Q577" t="str">
        <f t="shared" si="115"/>
        <v/>
      </c>
      <c r="T577">
        <f>IF(connections!$A577="","",IFERROR(INDEX(games!$B$2:$B$950,MATCH(connections!$A577,games!$A$2:$A$950,0)),""))</f>
        <v>2014</v>
      </c>
      <c r="U577">
        <f>IF(connections!$A577="","",IFERROR(INDEX(games!$B$2:$B$950,MATCH(connections!$B577,games!$A$2:$A$950,0)),""))</f>
        <v>2025</v>
      </c>
      <c r="V577">
        <f t="shared" si="116"/>
        <v>11</v>
      </c>
    </row>
    <row r="578" spans="1:22" x14ac:dyDescent="0.25">
      <c r="A578" t="str">
        <f>IF(games!$A578="","",games!$A578)</f>
        <v>Pokémon Survivor Burst</v>
      </c>
      <c r="B578">
        <f>IF($A578="","",games!$B578)</f>
        <v>2026</v>
      </c>
      <c r="C578" t="str">
        <f>IF($A578="","",games!$C578)</f>
        <v>Action</v>
      </c>
      <c r="D578">
        <f>IF($A578="","",COUNTIF(connections!$A$2:$A$1460,$A578)+COUNTIF(connections!$B$2:$B$1460,$A578))</f>
        <v>1</v>
      </c>
      <c r="E578">
        <f t="shared" ref="E578:E641" si="117">IF($A578="","",IFERROR(MATCH($C578,$R$2:$R$5,0),0))</f>
        <v>1</v>
      </c>
      <c r="F578">
        <f t="shared" ref="F578:F641" si="118">IF($A578="","",MOD(ROW(),34))</f>
        <v>0</v>
      </c>
      <c r="G578">
        <f t="shared" ref="G578:G641" si="119">IF($A578="",NA(),IF($C578="Action",$B578,NA()))</f>
        <v>2026</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2018</v>
      </c>
      <c r="U578">
        <f>IF(connections!$A578="","",IFERROR(INDEX(games!$B$2:$B$950,MATCH(connections!$B578,games!$A$2:$A$950,0)),""))</f>
        <v>2025</v>
      </c>
      <c r="V578">
        <f t="shared" ref="V578:V641" si="129">IF(OR($T578="",$U578=""),"",$U578-$T578)</f>
        <v>7</v>
      </c>
    </row>
    <row r="579" spans="1:22" x14ac:dyDescent="0.25">
      <c r="A579" t="str">
        <f>IF(games!$A579="","",games!$A579)</f>
        <v>PokéRogue</v>
      </c>
      <c r="B579">
        <f>IF($A579="","",games!$B579)</f>
        <v>2024</v>
      </c>
      <c r="C579" t="str">
        <f>IF($A579="","",games!$C579)</f>
        <v>Strategy</v>
      </c>
      <c r="D579">
        <f>IF($A579="","",COUNTIF(connections!$A$2:$A$1460,$A579)+COUNTIF(connections!$B$2:$B$1460,$A579))</f>
        <v>3</v>
      </c>
      <c r="E579">
        <f t="shared" si="117"/>
        <v>2</v>
      </c>
      <c r="F579">
        <f t="shared" si="118"/>
        <v>1</v>
      </c>
      <c r="G579" t="e">
        <f t="shared" si="119"/>
        <v>#N/A</v>
      </c>
      <c r="H579" t="e">
        <f t="shared" si="120"/>
        <v>#N/A</v>
      </c>
      <c r="I579">
        <f t="shared" si="121"/>
        <v>2024</v>
      </c>
      <c r="J579">
        <f t="shared" si="122"/>
        <v>2.0230000000000001</v>
      </c>
      <c r="K579" t="e">
        <f t="shared" si="123"/>
        <v>#N/A</v>
      </c>
      <c r="L579" t="e">
        <f t="shared" si="124"/>
        <v>#N/A</v>
      </c>
      <c r="M579" t="e">
        <f t="shared" si="125"/>
        <v>#N/A</v>
      </c>
      <c r="N579" t="e">
        <f t="shared" si="126"/>
        <v>#N/A</v>
      </c>
      <c r="O579">
        <f t="shared" si="127"/>
        <v>3.0005790000000001</v>
      </c>
      <c r="P579" t="str">
        <f>IF(OR($A579="",games!$H579=""),"",games!$H579)</f>
        <v/>
      </c>
      <c r="Q579" t="str">
        <f t="shared" si="128"/>
        <v/>
      </c>
      <c r="T579">
        <f>IF(connections!$A579="","",IFERROR(INDEX(games!$B$2:$B$950,MATCH(connections!$A579,games!$A$2:$A$950,0)),""))</f>
        <v>2018</v>
      </c>
      <c r="U579">
        <f>IF(connections!$A579="","",IFERROR(INDEX(games!$B$2:$B$950,MATCH(connections!$B579,games!$A$2:$A$950,0)),""))</f>
        <v>2025</v>
      </c>
      <c r="V579">
        <f t="shared" si="129"/>
        <v>7</v>
      </c>
    </row>
    <row r="580" spans="1:22" x14ac:dyDescent="0.25">
      <c r="A580" t="str">
        <f>IF(games!$A580="","",games!$A580)</f>
        <v>PokeVoid</v>
      </c>
      <c r="B580">
        <f>IF($A580="","",games!$B580)</f>
        <v>2025</v>
      </c>
      <c r="C580" t="str">
        <f>IF($A580="","",games!$C580)</f>
        <v>Strategy</v>
      </c>
      <c r="D580">
        <f>IF($A580="","",COUNTIF(connections!$A$2:$A$1460,$A580)+COUNTIF(connections!$B$2:$B$1460,$A580))</f>
        <v>3</v>
      </c>
      <c r="E580">
        <f t="shared" si="117"/>
        <v>2</v>
      </c>
      <c r="F580">
        <f t="shared" si="118"/>
        <v>2</v>
      </c>
      <c r="G580" t="e">
        <f t="shared" si="119"/>
        <v>#N/A</v>
      </c>
      <c r="H580" t="e">
        <f t="shared" si="120"/>
        <v>#N/A</v>
      </c>
      <c r="I580">
        <f t="shared" si="121"/>
        <v>2025</v>
      </c>
      <c r="J580">
        <f t="shared" si="122"/>
        <v>2.0459999999999998</v>
      </c>
      <c r="K580" t="e">
        <f t="shared" si="123"/>
        <v>#N/A</v>
      </c>
      <c r="L580" t="e">
        <f t="shared" si="124"/>
        <v>#N/A</v>
      </c>
      <c r="M580" t="e">
        <f t="shared" si="125"/>
        <v>#N/A</v>
      </c>
      <c r="N580" t="e">
        <f t="shared" si="126"/>
        <v>#N/A</v>
      </c>
      <c r="O580">
        <f t="shared" si="127"/>
        <v>3.0005799999999998</v>
      </c>
      <c r="P580" t="str">
        <f>IF(OR($A580="",games!$H580=""),"",games!$H580)</f>
        <v>Yes</v>
      </c>
      <c r="Q580">
        <f t="shared" si="128"/>
        <v>3.0005799999999998</v>
      </c>
      <c r="T580">
        <f>IF(connections!$A580="","",IFERROR(INDEX(games!$B$2:$B$950,MATCH(connections!$A580,games!$A$2:$A$950,0)),""))</f>
        <v>2018</v>
      </c>
      <c r="U580">
        <f>IF(connections!$A580="","",IFERROR(INDEX(games!$B$2:$B$950,MATCH(connections!$B580,games!$A$2:$A$950,0)),""))</f>
        <v>2024</v>
      </c>
      <c r="V580">
        <f t="shared" si="129"/>
        <v>6</v>
      </c>
    </row>
    <row r="581" spans="1:22" x14ac:dyDescent="0.25">
      <c r="A581" t="str">
        <f>IF(games!$A581="","",games!$A581)</f>
        <v>Popup Dungeon</v>
      </c>
      <c r="B581">
        <f>IF($A581="","",games!$B581)</f>
        <v>2020</v>
      </c>
      <c r="C581" t="str">
        <f>IF($A581="","",games!$C581)</f>
        <v>Strategy</v>
      </c>
      <c r="D581">
        <f>IF($A581="","",COUNTIF(connections!$A$2:$A$1460,$A581)+COUNTIF(connections!$B$2:$B$1460,$A581))</f>
        <v>1</v>
      </c>
      <c r="E581">
        <f t="shared" si="117"/>
        <v>2</v>
      </c>
      <c r="F581">
        <f t="shared" si="118"/>
        <v>3</v>
      </c>
      <c r="G581" t="e">
        <f t="shared" si="119"/>
        <v>#N/A</v>
      </c>
      <c r="H581" t="e">
        <f t="shared" si="120"/>
        <v>#N/A</v>
      </c>
      <c r="I581">
        <f t="shared" si="121"/>
        <v>2020</v>
      </c>
      <c r="J581">
        <f t="shared" si="122"/>
        <v>2.069</v>
      </c>
      <c r="K581" t="e">
        <f t="shared" si="123"/>
        <v>#N/A</v>
      </c>
      <c r="L581" t="e">
        <f t="shared" si="124"/>
        <v>#N/A</v>
      </c>
      <c r="M581" t="e">
        <f t="shared" si="125"/>
        <v>#N/A</v>
      </c>
      <c r="N581" t="e">
        <f t="shared" si="126"/>
        <v>#N/A</v>
      </c>
      <c r="O581">
        <f t="shared" si="127"/>
        <v>1.0005809999999999</v>
      </c>
      <c r="P581" t="str">
        <f>IF(OR($A581="",games!$H581=""),"",games!$H581)</f>
        <v/>
      </c>
      <c r="Q581" t="str">
        <f t="shared" si="128"/>
        <v/>
      </c>
      <c r="T581">
        <f>IF(connections!$A581="","",IFERROR(INDEX(games!$B$2:$B$950,MATCH(connections!$A581,games!$A$2:$A$950,0)),""))</f>
        <v>2013</v>
      </c>
      <c r="U581">
        <f>IF(connections!$A581="","",IFERROR(INDEX(games!$B$2:$B$950,MATCH(connections!$B581,games!$A$2:$A$950,0)),""))</f>
        <v>2012</v>
      </c>
      <c r="V581">
        <f t="shared" si="129"/>
        <v>-1</v>
      </c>
    </row>
    <row r="582" spans="1:22" x14ac:dyDescent="0.25">
      <c r="A582" t="str">
        <f>IF(games!$A582="","",games!$A582)</f>
        <v>Powder</v>
      </c>
      <c r="B582">
        <f>IF($A582="","",games!$B582)</f>
        <v>2003</v>
      </c>
      <c r="C582" t="str">
        <f>IF($A582="","",games!$C582)</f>
        <v>Traditional</v>
      </c>
      <c r="D582">
        <f>IF($A582="","",COUNTIF(connections!$A$2:$A$1460,$A582)+COUNTIF(connections!$B$2:$B$1460,$A582))</f>
        <v>11</v>
      </c>
      <c r="E582">
        <f t="shared" si="117"/>
        <v>4</v>
      </c>
      <c r="F582">
        <f t="shared" si="118"/>
        <v>4</v>
      </c>
      <c r="G582" t="e">
        <f t="shared" si="119"/>
        <v>#N/A</v>
      </c>
      <c r="H582" t="e">
        <f t="shared" si="120"/>
        <v>#N/A</v>
      </c>
      <c r="I582" t="e">
        <f t="shared" si="121"/>
        <v>#N/A</v>
      </c>
      <c r="J582" t="e">
        <f t="shared" si="122"/>
        <v>#N/A</v>
      </c>
      <c r="K582" t="e">
        <f t="shared" si="123"/>
        <v>#N/A</v>
      </c>
      <c r="L582" t="e">
        <f t="shared" si="124"/>
        <v>#N/A</v>
      </c>
      <c r="M582">
        <f t="shared" si="125"/>
        <v>2003</v>
      </c>
      <c r="N582">
        <f t="shared" si="126"/>
        <v>4.0919999999999996</v>
      </c>
      <c r="O582">
        <f t="shared" si="127"/>
        <v>11.000582</v>
      </c>
      <c r="P582" t="str">
        <f>IF(OR($A582="",games!$H582=""),"",games!$H582)</f>
        <v>Yes</v>
      </c>
      <c r="Q582">
        <f t="shared" si="128"/>
        <v>11.000582</v>
      </c>
      <c r="T582">
        <f>IF(connections!$A582="","",IFERROR(INDEX(games!$B$2:$B$950,MATCH(connections!$A582,games!$A$2:$A$950,0)),""))</f>
        <v>2013</v>
      </c>
      <c r="U582">
        <f>IF(connections!$A582="","",IFERROR(INDEX(games!$B$2:$B$950,MATCH(connections!$B582,games!$A$2:$A$950,0)),""))</f>
        <v>2018</v>
      </c>
      <c r="V582">
        <f t="shared" si="129"/>
        <v>5</v>
      </c>
    </row>
    <row r="583" spans="1:22" x14ac:dyDescent="0.25">
      <c r="A583" t="str">
        <f>IF(games!$A583="","",games!$A583)</f>
        <v>Primordialis</v>
      </c>
      <c r="B583">
        <f>IF($A583="","",games!$B583)</f>
        <v>2024</v>
      </c>
      <c r="C583" t="str">
        <f>IF($A583="","",games!$C583)</f>
        <v>Action</v>
      </c>
      <c r="D583">
        <f>IF($A583="","",COUNTIF(connections!$A$2:$A$1460,$A583)+COUNTIF(connections!$B$2:$B$1460,$A583))</f>
        <v>1</v>
      </c>
      <c r="E583">
        <f t="shared" si="117"/>
        <v>1</v>
      </c>
      <c r="F583">
        <f t="shared" si="118"/>
        <v>5</v>
      </c>
      <c r="G583">
        <f t="shared" si="119"/>
        <v>2024</v>
      </c>
      <c r="H583">
        <f t="shared" si="120"/>
        <v>1.115</v>
      </c>
      <c r="I583" t="e">
        <f t="shared" si="121"/>
        <v>#N/A</v>
      </c>
      <c r="J583" t="e">
        <f t="shared" si="122"/>
        <v>#N/A</v>
      </c>
      <c r="K583" t="e">
        <f t="shared" si="123"/>
        <v>#N/A</v>
      </c>
      <c r="L583" t="e">
        <f t="shared" si="124"/>
        <v>#N/A</v>
      </c>
      <c r="M583" t="e">
        <f t="shared" si="125"/>
        <v>#N/A</v>
      </c>
      <c r="N583" t="e">
        <f t="shared" si="126"/>
        <v>#N/A</v>
      </c>
      <c r="O583">
        <f t="shared" si="127"/>
        <v>1.000583</v>
      </c>
      <c r="P583" t="str">
        <f>IF(OR($A583="",games!$H583=""),"",games!$H583)</f>
        <v/>
      </c>
      <c r="Q583" t="str">
        <f t="shared" si="128"/>
        <v/>
      </c>
      <c r="T583">
        <f>IF(connections!$A583="","",IFERROR(INDEX(games!$B$2:$B$950,MATCH(connections!$A583,games!$A$2:$A$950,0)),""))</f>
        <v>2013</v>
      </c>
      <c r="U583">
        <f>IF(connections!$A583="","",IFERROR(INDEX(games!$B$2:$B$950,MATCH(connections!$B583,games!$A$2:$A$950,0)),""))</f>
        <v>2023</v>
      </c>
      <c r="V583">
        <f t="shared" si="129"/>
        <v>10</v>
      </c>
    </row>
    <row r="584" spans="1:22" x14ac:dyDescent="0.25">
      <c r="A584" t="str">
        <f>IF(games!$A584="","",games!$A584)</f>
        <v>Pronoun Palace</v>
      </c>
      <c r="B584">
        <f>IF($A584="","",games!$B584)</f>
        <v>2026</v>
      </c>
      <c r="C584" t="str">
        <f>IF($A584="","",games!$C584)</f>
        <v>Strategy</v>
      </c>
      <c r="D584">
        <f>IF($A584="","",COUNTIF(connections!$A$2:$A$1460,$A584)+COUNTIF(connections!$B$2:$B$1460,$A584))</f>
        <v>2</v>
      </c>
      <c r="E584">
        <f t="shared" si="117"/>
        <v>2</v>
      </c>
      <c r="F584">
        <f t="shared" si="118"/>
        <v>6</v>
      </c>
      <c r="G584" t="e">
        <f t="shared" si="119"/>
        <v>#N/A</v>
      </c>
      <c r="H584" t="e">
        <f t="shared" si="120"/>
        <v>#N/A</v>
      </c>
      <c r="I584">
        <f t="shared" si="121"/>
        <v>2026</v>
      </c>
      <c r="J584">
        <f t="shared" si="122"/>
        <v>2.1379999999999999</v>
      </c>
      <c r="K584" t="e">
        <f t="shared" si="123"/>
        <v>#N/A</v>
      </c>
      <c r="L584" t="e">
        <f t="shared" si="124"/>
        <v>#N/A</v>
      </c>
      <c r="M584" t="e">
        <f t="shared" si="125"/>
        <v>#N/A</v>
      </c>
      <c r="N584" t="e">
        <f t="shared" si="126"/>
        <v>#N/A</v>
      </c>
      <c r="O584">
        <f t="shared" si="127"/>
        <v>2.0005839999999999</v>
      </c>
      <c r="P584" t="str">
        <f>IF(OR($A584="",games!$H584=""),"",games!$H584)</f>
        <v/>
      </c>
      <c r="Q584" t="str">
        <f t="shared" si="128"/>
        <v/>
      </c>
      <c r="T584">
        <f>IF(connections!$A584="","",IFERROR(INDEX(games!$B$2:$B$950,MATCH(connections!$A584,games!$A$2:$A$950,0)),""))</f>
        <v>2013</v>
      </c>
      <c r="U584">
        <f>IF(connections!$A584="","",IFERROR(INDEX(games!$B$2:$B$950,MATCH(connections!$B584,games!$A$2:$A$950,0)),""))</f>
        <v>2023</v>
      </c>
      <c r="V584">
        <f t="shared" si="129"/>
        <v>10</v>
      </c>
    </row>
    <row r="585" spans="1:22" x14ac:dyDescent="0.25">
      <c r="A585" t="str">
        <f>IF(games!$A585="","",games!$A585)</f>
        <v>Putrid Shot Ultra</v>
      </c>
      <c r="B585">
        <f>IF($A585="","",games!$B585)</f>
        <v>2022</v>
      </c>
      <c r="C585" t="str">
        <f>IF($A585="","",games!$C585)</f>
        <v>Action</v>
      </c>
      <c r="D585">
        <f>IF($A585="","",COUNTIF(connections!$A$2:$A$1460,$A585)+COUNTIF(connections!$B$2:$B$1460,$A585))</f>
        <v>3</v>
      </c>
      <c r="E585">
        <f t="shared" si="117"/>
        <v>1</v>
      </c>
      <c r="F585">
        <f t="shared" si="118"/>
        <v>7</v>
      </c>
      <c r="G585">
        <f t="shared" si="119"/>
        <v>2022</v>
      </c>
      <c r="H585">
        <f t="shared" si="120"/>
        <v>1.161</v>
      </c>
      <c r="I585" t="e">
        <f t="shared" si="121"/>
        <v>#N/A</v>
      </c>
      <c r="J585" t="e">
        <f t="shared" si="122"/>
        <v>#N/A</v>
      </c>
      <c r="K585" t="e">
        <f t="shared" si="123"/>
        <v>#N/A</v>
      </c>
      <c r="L585" t="e">
        <f t="shared" si="124"/>
        <v>#N/A</v>
      </c>
      <c r="M585" t="e">
        <f t="shared" si="125"/>
        <v>#N/A</v>
      </c>
      <c r="N585" t="e">
        <f t="shared" si="126"/>
        <v>#N/A</v>
      </c>
      <c r="O585">
        <f t="shared" si="127"/>
        <v>3.0005850000000001</v>
      </c>
      <c r="P585" t="str">
        <f>IF(OR($A585="",games!$H585=""),"",games!$H585)</f>
        <v>Yes</v>
      </c>
      <c r="Q585">
        <f t="shared" si="128"/>
        <v>3.0005850000000001</v>
      </c>
      <c r="T585">
        <f>IF(connections!$A585="","",IFERROR(INDEX(games!$B$2:$B$950,MATCH(connections!$A585,games!$A$2:$A$950,0)),""))</f>
        <v>2007</v>
      </c>
      <c r="U585">
        <f>IF(connections!$A585="","",IFERROR(INDEX(games!$B$2:$B$950,MATCH(connections!$B585,games!$A$2:$A$950,0)),""))</f>
        <v>2014</v>
      </c>
      <c r="V585">
        <f t="shared" si="129"/>
        <v>7</v>
      </c>
    </row>
    <row r="586" spans="1:22" x14ac:dyDescent="0.25">
      <c r="A586" t="str">
        <f>IF(games!$A586="","",games!$A586)</f>
        <v>Pyrene</v>
      </c>
      <c r="B586">
        <f>IF($A586="","",games!$B586)</f>
        <v>2024</v>
      </c>
      <c r="C586" t="str">
        <f>IF($A586="","",games!$C586)</f>
        <v>Deckbuilder</v>
      </c>
      <c r="D586">
        <f>IF($A586="","",COUNTIF(connections!$A$2:$A$1460,$A586)+COUNTIF(connections!$B$2:$B$1460,$A586))</f>
        <v>1</v>
      </c>
      <c r="E586">
        <f t="shared" si="117"/>
        <v>3</v>
      </c>
      <c r="F586">
        <f t="shared" si="118"/>
        <v>8</v>
      </c>
      <c r="G586" t="e">
        <f t="shared" si="119"/>
        <v>#N/A</v>
      </c>
      <c r="H586" t="e">
        <f t="shared" si="120"/>
        <v>#N/A</v>
      </c>
      <c r="I586" t="e">
        <f t="shared" si="121"/>
        <v>#N/A</v>
      </c>
      <c r="J586" t="e">
        <f t="shared" si="122"/>
        <v>#N/A</v>
      </c>
      <c r="K586">
        <f t="shared" si="123"/>
        <v>2024</v>
      </c>
      <c r="L586">
        <f t="shared" si="124"/>
        <v>3.1840000000000002</v>
      </c>
      <c r="M586" t="e">
        <f t="shared" si="125"/>
        <v>#N/A</v>
      </c>
      <c r="N586" t="e">
        <f t="shared" si="126"/>
        <v>#N/A</v>
      </c>
      <c r="O586">
        <f t="shared" si="127"/>
        <v>1.000586</v>
      </c>
      <c r="P586" t="str">
        <f>IF(OR($A586="",games!$H586=""),"",games!$H586)</f>
        <v/>
      </c>
      <c r="Q586" t="str">
        <f t="shared" si="128"/>
        <v/>
      </c>
      <c r="T586">
        <f>IF(connections!$A586="","",IFERROR(INDEX(games!$B$2:$B$950,MATCH(connections!$A586,games!$A$2:$A$950,0)),""))</f>
        <v>2021</v>
      </c>
      <c r="U586">
        <f>IF(connections!$A586="","",IFERROR(INDEX(games!$B$2:$B$950,MATCH(connections!$B586,games!$A$2:$A$950,0)),""))</f>
        <v>2022</v>
      </c>
      <c r="V586">
        <f t="shared" si="129"/>
        <v>1</v>
      </c>
    </row>
    <row r="587" spans="1:22" x14ac:dyDescent="0.25">
      <c r="A587" t="str">
        <f>IF(games!$A587="","",games!$A587)</f>
        <v>Quasimorph</v>
      </c>
      <c r="B587">
        <f>IF($A587="","",games!$B587)</f>
        <v>2023</v>
      </c>
      <c r="C587" t="str">
        <f>IF($A587="","",games!$C587)</f>
        <v>Traditional</v>
      </c>
      <c r="D587">
        <f>IF($A587="","",COUNTIF(connections!$A$2:$A$1460,$A587)+COUNTIF(connections!$B$2:$B$1460,$A587))</f>
        <v>2</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2023</v>
      </c>
      <c r="N587">
        <f t="shared" si="126"/>
        <v>4.2069999999999999</v>
      </c>
      <c r="O587">
        <f t="shared" si="127"/>
        <v>2.0005869999999999</v>
      </c>
      <c r="P587" t="str">
        <f>IF(OR($A587="",games!$H587=""),"",games!$H587)</f>
        <v>Yes</v>
      </c>
      <c r="Q587">
        <f t="shared" si="128"/>
        <v>2.0005869999999999</v>
      </c>
      <c r="T587">
        <f>IF(connections!$A587="","",IFERROR(INDEX(games!$B$2:$B$950,MATCH(connections!$A587,games!$A$2:$A$950,0)),""))</f>
        <v>2021</v>
      </c>
      <c r="U587">
        <f>IF(connections!$A587="","",IFERROR(INDEX(games!$B$2:$B$950,MATCH(connections!$B587,games!$A$2:$A$950,0)),""))</f>
        <v>2026</v>
      </c>
      <c r="V587">
        <f t="shared" si="129"/>
        <v>5</v>
      </c>
    </row>
    <row r="588" spans="1:22" x14ac:dyDescent="0.25">
      <c r="A588" t="str">
        <f>IF(games!$A588="","",games!$A588)</f>
        <v>Quest of Dungeons</v>
      </c>
      <c r="B588">
        <f>IF($A588="","",games!$B588)</f>
        <v>2014</v>
      </c>
      <c r="C588" t="str">
        <f>IF($A588="","",games!$C588)</f>
        <v>Traditional</v>
      </c>
      <c r="D588">
        <f>IF($A588="","",COUNTIF(connections!$A$2:$A$1460,$A588)+COUNTIF(connections!$B$2:$B$1460,$A588))</f>
        <v>2</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2014</v>
      </c>
      <c r="N588">
        <f t="shared" si="126"/>
        <v>4.2300000000000004</v>
      </c>
      <c r="O588">
        <f t="shared" si="127"/>
        <v>2.000588</v>
      </c>
      <c r="P588" t="str">
        <f>IF(OR($A588="",games!$H588=""),"",games!$H588)</f>
        <v>Yes</v>
      </c>
      <c r="Q588">
        <f t="shared" si="128"/>
        <v>2.000588</v>
      </c>
      <c r="T588">
        <f>IF(connections!$A588="","",IFERROR(INDEX(games!$B$2:$B$950,MATCH(connections!$A588,games!$A$2:$A$950,0)),""))</f>
        <v>2021</v>
      </c>
      <c r="U588">
        <f>IF(connections!$A588="","",IFERROR(INDEX(games!$B$2:$B$950,MATCH(connections!$B588,games!$A$2:$A$950,0)),""))</f>
        <v>2023</v>
      </c>
      <c r="V588">
        <f t="shared" si="129"/>
        <v>2</v>
      </c>
    </row>
    <row r="589" spans="1:22" x14ac:dyDescent="0.25">
      <c r="A589" t="str">
        <f>IF(games!$A589="","",games!$A589)</f>
        <v>Rabbit and Steel</v>
      </c>
      <c r="B589">
        <f>IF($A589="","",games!$B589)</f>
        <v>2024</v>
      </c>
      <c r="C589" t="str">
        <f>IF($A589="","",games!$C589)</f>
        <v>Action</v>
      </c>
      <c r="D589">
        <f>IF($A589="","",COUNTIF(connections!$A$2:$A$1460,$A589)+COUNTIF(connections!$B$2:$B$1460,$A589))</f>
        <v>1</v>
      </c>
      <c r="E589">
        <f t="shared" si="117"/>
        <v>1</v>
      </c>
      <c r="F589">
        <f t="shared" si="118"/>
        <v>11</v>
      </c>
      <c r="G589">
        <f t="shared" si="119"/>
        <v>2024</v>
      </c>
      <c r="H589">
        <f t="shared" si="120"/>
        <v>1.2530000000000001</v>
      </c>
      <c r="I589" t="e">
        <f t="shared" si="121"/>
        <v>#N/A</v>
      </c>
      <c r="J589" t="e">
        <f t="shared" si="122"/>
        <v>#N/A</v>
      </c>
      <c r="K589" t="e">
        <f t="shared" si="123"/>
        <v>#N/A</v>
      </c>
      <c r="L589" t="e">
        <f t="shared" si="124"/>
        <v>#N/A</v>
      </c>
      <c r="M589" t="e">
        <f t="shared" si="125"/>
        <v>#N/A</v>
      </c>
      <c r="N589" t="e">
        <f t="shared" si="126"/>
        <v>#N/A</v>
      </c>
      <c r="O589">
        <f t="shared" si="127"/>
        <v>1.000589</v>
      </c>
      <c r="P589" t="str">
        <f>IF(OR($A589="",games!$H589=""),"",games!$H589)</f>
        <v>Yes</v>
      </c>
      <c r="Q589">
        <f t="shared" si="128"/>
        <v>1.000589</v>
      </c>
      <c r="T589">
        <f>IF(connections!$A589="","",IFERROR(INDEX(games!$B$2:$B$950,MATCH(connections!$A589,games!$A$2:$A$950,0)),""))</f>
        <v>2021</v>
      </c>
      <c r="U589">
        <f>IF(connections!$A589="","",IFERROR(INDEX(games!$B$2:$B$950,MATCH(connections!$B589,games!$A$2:$A$950,0)),""))</f>
        <v>2023</v>
      </c>
      <c r="V589">
        <f t="shared" si="129"/>
        <v>2</v>
      </c>
    </row>
    <row r="590" spans="1:22" x14ac:dyDescent="0.25">
      <c r="A590" t="str">
        <f>IF(games!$A590="","",games!$A590)</f>
        <v>Raccoin: Coin Pusher Roguelike</v>
      </c>
      <c r="B590">
        <f>IF($A590="","",games!$B590)</f>
        <v>2026</v>
      </c>
      <c r="C590" t="str">
        <f>IF($A590="","",games!$C590)</f>
        <v>Deckbuilder</v>
      </c>
      <c r="D590">
        <f>IF($A590="","",COUNTIF(connections!$A$2:$A$1460,$A590)+COUNTIF(connections!$B$2:$B$1460,$A590))</f>
        <v>2</v>
      </c>
      <c r="E590">
        <f t="shared" si="117"/>
        <v>3</v>
      </c>
      <c r="F590">
        <f t="shared" si="118"/>
        <v>12</v>
      </c>
      <c r="G590" t="e">
        <f t="shared" si="119"/>
        <v>#N/A</v>
      </c>
      <c r="H590" t="e">
        <f t="shared" si="120"/>
        <v>#N/A</v>
      </c>
      <c r="I590" t="e">
        <f t="shared" si="121"/>
        <v>#N/A</v>
      </c>
      <c r="J590" t="e">
        <f t="shared" si="122"/>
        <v>#N/A</v>
      </c>
      <c r="K590">
        <f t="shared" si="123"/>
        <v>2026</v>
      </c>
      <c r="L590">
        <f t="shared" si="124"/>
        <v>3.2759999999999998</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2021</v>
      </c>
      <c r="U590">
        <f>IF(connections!$A590="","",IFERROR(INDEX(games!$B$2:$B$950,MATCH(connections!$B590,games!$A$2:$A$950,0)),""))</f>
        <v>2026</v>
      </c>
      <c r="V590">
        <f t="shared" si="129"/>
        <v>5</v>
      </c>
    </row>
    <row r="591" spans="1:22" x14ac:dyDescent="0.25">
      <c r="A591" t="str">
        <f>IF(games!$A591="","",games!$A591)</f>
        <v>Rack and Slay</v>
      </c>
      <c r="B591">
        <f>IF($A591="","",games!$B591)</f>
        <v>2024</v>
      </c>
      <c r="C591" t="str">
        <f>IF($A591="","",games!$C591)</f>
        <v>Strategy</v>
      </c>
      <c r="D591">
        <f>IF($A591="","",COUNTIF(connections!$A$2:$A$1460,$A591)+COUNTIF(connections!$B$2:$B$1460,$A591))</f>
        <v>2</v>
      </c>
      <c r="E591">
        <f t="shared" si="117"/>
        <v>2</v>
      </c>
      <c r="F591">
        <f t="shared" si="118"/>
        <v>13</v>
      </c>
      <c r="G591" t="e">
        <f t="shared" si="119"/>
        <v>#N/A</v>
      </c>
      <c r="H591" t="e">
        <f t="shared" si="120"/>
        <v>#N/A</v>
      </c>
      <c r="I591">
        <f t="shared" si="121"/>
        <v>2024</v>
      </c>
      <c r="J591">
        <f t="shared" si="122"/>
        <v>2.2989999999999999</v>
      </c>
      <c r="K591" t="e">
        <f t="shared" si="123"/>
        <v>#N/A</v>
      </c>
      <c r="L591" t="e">
        <f t="shared" si="124"/>
        <v>#N/A</v>
      </c>
      <c r="M591" t="e">
        <f t="shared" si="125"/>
        <v>#N/A</v>
      </c>
      <c r="N591" t="e">
        <f t="shared" si="126"/>
        <v>#N/A</v>
      </c>
      <c r="O591">
        <f t="shared" si="127"/>
        <v>2.000591</v>
      </c>
      <c r="P591" t="str">
        <f>IF(OR($A591="",games!$H591=""),"",games!$H591)</f>
        <v>Yes</v>
      </c>
      <c r="Q591">
        <f t="shared" si="128"/>
        <v>2.000591</v>
      </c>
      <c r="T591">
        <f>IF(connections!$A591="","",IFERROR(INDEX(games!$B$2:$B$950,MATCH(connections!$A591,games!$A$2:$A$950,0)),""))</f>
        <v>2021</v>
      </c>
      <c r="U591">
        <f>IF(connections!$A591="","",IFERROR(INDEX(games!$B$2:$B$950,MATCH(connections!$B591,games!$A$2:$A$950,0)),""))</f>
        <v>2025</v>
      </c>
      <c r="V591">
        <f t="shared" si="129"/>
        <v>4</v>
      </c>
    </row>
    <row r="592" spans="1:22" x14ac:dyDescent="0.25">
      <c r="A592" t="str">
        <f>IF(games!$A592="","",games!$A592)</f>
        <v>Ragnarok</v>
      </c>
      <c r="B592">
        <f>IF($A592="","",games!$B592)</f>
        <v>1992</v>
      </c>
      <c r="C592" t="str">
        <f>IF($A592="","",games!$C592)</f>
        <v>Traditional</v>
      </c>
      <c r="D592">
        <f>IF($A592="","",COUNTIF(connections!$A$2:$A$1460,$A592)+COUNTIF(connections!$B$2:$B$1460,$A592))</f>
        <v>3</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1992</v>
      </c>
      <c r="N592">
        <f t="shared" si="126"/>
        <v>4.3220000000000001</v>
      </c>
      <c r="O592">
        <f t="shared" si="127"/>
        <v>3.0005920000000001</v>
      </c>
      <c r="P592" t="str">
        <f>IF(OR($A592="",games!$H592=""),"",games!$H592)</f>
        <v>Yes</v>
      </c>
      <c r="Q592">
        <f t="shared" si="128"/>
        <v>3.0005920000000001</v>
      </c>
      <c r="T592">
        <f>IF(connections!$A592="","",IFERROR(INDEX(games!$B$2:$B$950,MATCH(connections!$A592,games!$A$2:$A$950,0)),""))</f>
        <v>2021</v>
      </c>
      <c r="U592">
        <f>IF(connections!$A592="","",IFERROR(INDEX(games!$B$2:$B$950,MATCH(connections!$B592,games!$A$2:$A$950,0)),""))</f>
        <v>2025</v>
      </c>
      <c r="V592">
        <f t="shared" si="129"/>
        <v>4</v>
      </c>
    </row>
    <row r="593" spans="1:22" x14ac:dyDescent="0.25">
      <c r="A593" t="str">
        <f>IF(games!$A593="","",games!$A593)</f>
        <v>RAM: Random Access Mayhem</v>
      </c>
      <c r="B593">
        <f>IF($A593="","",games!$B593)</f>
        <v>2024</v>
      </c>
      <c r="C593" t="str">
        <f>IF($A593="","",games!$C593)</f>
        <v>Action</v>
      </c>
      <c r="D593">
        <f>IF($A593="","",COUNTIF(connections!$A$2:$A$1460,$A593)+COUNTIF(connections!$B$2:$B$1460,$A593))</f>
        <v>2</v>
      </c>
      <c r="E593">
        <f t="shared" si="117"/>
        <v>1</v>
      </c>
      <c r="F593">
        <f t="shared" si="118"/>
        <v>15</v>
      </c>
      <c r="G593">
        <f t="shared" si="119"/>
        <v>2024</v>
      </c>
      <c r="H593">
        <f t="shared" si="120"/>
        <v>1.345</v>
      </c>
      <c r="I593" t="e">
        <f t="shared" si="121"/>
        <v>#N/A</v>
      </c>
      <c r="J593" t="e">
        <f t="shared" si="122"/>
        <v>#N/A</v>
      </c>
      <c r="K593" t="e">
        <f t="shared" si="123"/>
        <v>#N/A</v>
      </c>
      <c r="L593" t="e">
        <f t="shared" si="124"/>
        <v>#N/A</v>
      </c>
      <c r="M593" t="e">
        <f t="shared" si="125"/>
        <v>#N/A</v>
      </c>
      <c r="N593" t="e">
        <f t="shared" si="126"/>
        <v>#N/A</v>
      </c>
      <c r="O593">
        <f t="shared" si="127"/>
        <v>2.0005929999999998</v>
      </c>
      <c r="P593" t="str">
        <f>IF(OR($A593="",games!$H593=""),"",games!$H593)</f>
        <v/>
      </c>
      <c r="Q593" t="str">
        <f t="shared" si="128"/>
        <v/>
      </c>
      <c r="T593">
        <f>IF(connections!$A593="","",IFERROR(INDEX(games!$B$2:$B$950,MATCH(connections!$A593,games!$A$2:$A$950,0)),""))</f>
        <v>2021</v>
      </c>
      <c r="U593">
        <f>IF(connections!$A593="","",IFERROR(INDEX(games!$B$2:$B$950,MATCH(connections!$B593,games!$A$2:$A$950,0)),""))</f>
        <v>2025</v>
      </c>
      <c r="V593">
        <f t="shared" si="129"/>
        <v>4</v>
      </c>
    </row>
    <row r="594" spans="1:22" x14ac:dyDescent="0.25">
      <c r="A594" t="str">
        <f>IF(games!$A594="","",games!$A594)</f>
        <v>Rampage Knights</v>
      </c>
      <c r="B594">
        <f>IF($A594="","",games!$B594)</f>
        <v>2015</v>
      </c>
      <c r="C594" t="str">
        <f>IF($A594="","",games!$C594)</f>
        <v>Action</v>
      </c>
      <c r="D594">
        <f>IF($A594="","",COUNTIF(connections!$A$2:$A$1460,$A594)+COUNTIF(connections!$B$2:$B$1460,$A594))</f>
        <v>1</v>
      </c>
      <c r="E594">
        <f t="shared" si="117"/>
        <v>1</v>
      </c>
      <c r="F594">
        <f t="shared" si="118"/>
        <v>16</v>
      </c>
      <c r="G594">
        <f t="shared" si="119"/>
        <v>2015</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1.000594</v>
      </c>
      <c r="P594" t="str">
        <f>IF(OR($A594="",games!$H594=""),"",games!$H594)</f>
        <v/>
      </c>
      <c r="Q594" t="str">
        <f t="shared" si="128"/>
        <v/>
      </c>
      <c r="T594">
        <f>IF(connections!$A594="","",IFERROR(INDEX(games!$B$2:$B$950,MATCH(connections!$A594,games!$A$2:$A$950,0)),""))</f>
        <v>2021</v>
      </c>
      <c r="U594">
        <f>IF(connections!$A594="","",IFERROR(INDEX(games!$B$2:$B$950,MATCH(connections!$B594,games!$A$2:$A$950,0)),""))</f>
        <v>2026</v>
      </c>
      <c r="V594">
        <f t="shared" si="129"/>
        <v>5</v>
      </c>
    </row>
    <row r="595" spans="1:22" x14ac:dyDescent="0.25">
      <c r="A595" t="str">
        <f>IF(games!$A595="","",games!$A595)</f>
        <v>Rangedrifter</v>
      </c>
      <c r="B595">
        <f>IF($A595="","",games!$B595)</f>
        <v>2026</v>
      </c>
      <c r="C595" t="str">
        <f>IF($A595="","",games!$C595)</f>
        <v>Traditional</v>
      </c>
      <c r="D595">
        <f>IF($A595="","",COUNTIF(connections!$A$2:$A$1460,$A595)+COUNTIF(connections!$B$2:$B$1460,$A595))</f>
        <v>1</v>
      </c>
      <c r="E595">
        <f t="shared" si="117"/>
        <v>4</v>
      </c>
      <c r="F595">
        <f t="shared" si="118"/>
        <v>17</v>
      </c>
      <c r="G595" t="e">
        <f t="shared" si="119"/>
        <v>#N/A</v>
      </c>
      <c r="H595" t="e">
        <f t="shared" si="120"/>
        <v>#N/A</v>
      </c>
      <c r="I595" t="e">
        <f t="shared" si="121"/>
        <v>#N/A</v>
      </c>
      <c r="J595" t="e">
        <f t="shared" si="122"/>
        <v>#N/A</v>
      </c>
      <c r="K595" t="e">
        <f t="shared" si="123"/>
        <v>#N/A</v>
      </c>
      <c r="L595" t="e">
        <f t="shared" si="124"/>
        <v>#N/A</v>
      </c>
      <c r="M595">
        <f t="shared" si="125"/>
        <v>2026</v>
      </c>
      <c r="N595">
        <f t="shared" si="126"/>
        <v>4.391</v>
      </c>
      <c r="O595">
        <f t="shared" si="127"/>
        <v>1.0005949999999999</v>
      </c>
      <c r="P595" t="str">
        <f>IF(OR($A595="",games!$H595=""),"",games!$H595)</f>
        <v/>
      </c>
      <c r="Q595" t="str">
        <f t="shared" si="128"/>
        <v/>
      </c>
      <c r="T595">
        <f>IF(connections!$A595="","",IFERROR(INDEX(games!$B$2:$B$950,MATCH(connections!$A595,games!$A$2:$A$950,0)),""))</f>
        <v>2021</v>
      </c>
      <c r="U595">
        <f>IF(connections!$A595="","",IFERROR(INDEX(games!$B$2:$B$950,MATCH(connections!$B595,games!$A$2:$A$950,0)),""))</f>
        <v>2026</v>
      </c>
      <c r="V595">
        <f t="shared" si="129"/>
        <v>5</v>
      </c>
    </row>
    <row r="596" spans="1:22" x14ac:dyDescent="0.25">
      <c r="A596" t="str">
        <f>IF(games!$A596="","",games!$A596)</f>
        <v>Ratropolis</v>
      </c>
      <c r="B596">
        <f>IF($A596="","",games!$B596)</f>
        <v>2019</v>
      </c>
      <c r="C596" t="str">
        <f>IF($A596="","",games!$C596)</f>
        <v>Deckbuilder</v>
      </c>
      <c r="D596">
        <f>IF($A596="","",COUNTIF(connections!$A$2:$A$1460,$A596)+COUNTIF(connections!$B$2:$B$1460,$A596))</f>
        <v>2</v>
      </c>
      <c r="E596">
        <f t="shared" si="117"/>
        <v>3</v>
      </c>
      <c r="F596">
        <f t="shared" si="118"/>
        <v>18</v>
      </c>
      <c r="G596" t="e">
        <f t="shared" si="119"/>
        <v>#N/A</v>
      </c>
      <c r="H596" t="e">
        <f t="shared" si="120"/>
        <v>#N/A</v>
      </c>
      <c r="I596" t="e">
        <f t="shared" si="121"/>
        <v>#N/A</v>
      </c>
      <c r="J596" t="e">
        <f t="shared" si="122"/>
        <v>#N/A</v>
      </c>
      <c r="K596">
        <f t="shared" si="123"/>
        <v>2019</v>
      </c>
      <c r="L596">
        <f t="shared" si="124"/>
        <v>3.4140000000000001</v>
      </c>
      <c r="M596" t="e">
        <f t="shared" si="125"/>
        <v>#N/A</v>
      </c>
      <c r="N596" t="e">
        <f t="shared" si="126"/>
        <v>#N/A</v>
      </c>
      <c r="O596">
        <f t="shared" si="127"/>
        <v>2.0005959999999998</v>
      </c>
      <c r="P596" t="str">
        <f>IF(OR($A596="",games!$H596=""),"",games!$H596)</f>
        <v>Yes</v>
      </c>
      <c r="Q596">
        <f t="shared" si="128"/>
        <v>2.0005959999999998</v>
      </c>
      <c r="T596">
        <f>IF(connections!$A596="","",IFERROR(INDEX(games!$B$2:$B$950,MATCH(connections!$A596,games!$A$2:$A$950,0)),""))</f>
        <v>2021</v>
      </c>
      <c r="U596">
        <f>IF(connections!$A596="","",IFERROR(INDEX(games!$B$2:$B$950,MATCH(connections!$B596,games!$A$2:$A$950,0)),""))</f>
        <v>2025</v>
      </c>
      <c r="V596">
        <f t="shared" si="129"/>
        <v>4</v>
      </c>
    </row>
    <row r="597" spans="1:22" x14ac:dyDescent="0.25">
      <c r="A597" t="str">
        <f>IF(games!$A597="","",games!$A597)</f>
        <v>Ravenswatch</v>
      </c>
      <c r="B597">
        <f>IF($A597="","",games!$B597)</f>
        <v>2023</v>
      </c>
      <c r="C597" t="str">
        <f>IF($A597="","",games!$C597)</f>
        <v>Action</v>
      </c>
      <c r="D597">
        <f>IF($A597="","",COUNTIF(connections!$A$2:$A$1460,$A597)+COUNTIF(connections!$B$2:$B$1460,$A597))</f>
        <v>2</v>
      </c>
      <c r="E597">
        <f t="shared" si="117"/>
        <v>1</v>
      </c>
      <c r="F597">
        <f t="shared" si="118"/>
        <v>19</v>
      </c>
      <c r="G597">
        <f t="shared" si="119"/>
        <v>2023</v>
      </c>
      <c r="H597">
        <f t="shared" si="120"/>
        <v>1.4370000000000001</v>
      </c>
      <c r="I597" t="e">
        <f t="shared" si="121"/>
        <v>#N/A</v>
      </c>
      <c r="J597" t="e">
        <f t="shared" si="122"/>
        <v>#N/A</v>
      </c>
      <c r="K597" t="e">
        <f t="shared" si="123"/>
        <v>#N/A</v>
      </c>
      <c r="L597" t="e">
        <f t="shared" si="124"/>
        <v>#N/A</v>
      </c>
      <c r="M597" t="e">
        <f t="shared" si="125"/>
        <v>#N/A</v>
      </c>
      <c r="N597" t="e">
        <f t="shared" si="126"/>
        <v>#N/A</v>
      </c>
      <c r="O597">
        <f t="shared" si="127"/>
        <v>2.000597</v>
      </c>
      <c r="P597" t="str">
        <f>IF(OR($A597="",games!$H597=""),"",games!$H597)</f>
        <v>Yes</v>
      </c>
      <c r="Q597">
        <f t="shared" si="128"/>
        <v>2.000597</v>
      </c>
      <c r="T597">
        <f>IF(connections!$A597="","",IFERROR(INDEX(games!$B$2:$B$950,MATCH(connections!$A597,games!$A$2:$A$950,0)),""))</f>
        <v>2021</v>
      </c>
      <c r="U597">
        <f>IF(connections!$A597="","",IFERROR(INDEX(games!$B$2:$B$950,MATCH(connections!$B597,games!$A$2:$A$950,0)),""))</f>
        <v>2022</v>
      </c>
      <c r="V597">
        <f t="shared" si="129"/>
        <v>1</v>
      </c>
    </row>
    <row r="598" spans="1:22" x14ac:dyDescent="0.25">
      <c r="A598" t="str">
        <f>IF(games!$A598="","",games!$A598)</f>
        <v>Reality Break</v>
      </c>
      <c r="B598">
        <f>IF($A598="","",games!$B598)</f>
        <v>2025</v>
      </c>
      <c r="C598" t="str">
        <f>IF($A598="","",games!$C598)</f>
        <v>Action</v>
      </c>
      <c r="D598">
        <f>IF($A598="","",COUNTIF(connections!$A$2:$A$1460,$A598)+COUNTIF(connections!$B$2:$B$1460,$A598))</f>
        <v>2</v>
      </c>
      <c r="E598">
        <f t="shared" si="117"/>
        <v>1</v>
      </c>
      <c r="F598">
        <f t="shared" si="118"/>
        <v>20</v>
      </c>
      <c r="G598">
        <f t="shared" si="119"/>
        <v>2025</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
      </c>
      <c r="Q598" t="str">
        <f t="shared" si="128"/>
        <v/>
      </c>
      <c r="T598">
        <f>IF(connections!$A598="","",IFERROR(INDEX(games!$B$2:$B$950,MATCH(connections!$A598,games!$A$2:$A$950,0)),""))</f>
        <v>2021</v>
      </c>
      <c r="U598">
        <f>IF(connections!$A598="","",IFERROR(INDEX(games!$B$2:$B$950,MATCH(connections!$B598,games!$A$2:$A$950,0)),""))</f>
        <v>2025</v>
      </c>
      <c r="V598">
        <f t="shared" si="129"/>
        <v>4</v>
      </c>
    </row>
    <row r="599" spans="1:22" x14ac:dyDescent="0.25">
      <c r="A599" t="str">
        <f>IF(games!$A599="","",games!$A599)</f>
        <v>Realm of Ink</v>
      </c>
      <c r="B599">
        <f>IF($A599="","",games!$B599)</f>
        <v>2024</v>
      </c>
      <c r="C599" t="str">
        <f>IF($A599="","",games!$C599)</f>
        <v>Action</v>
      </c>
      <c r="D599">
        <f>IF($A599="","",COUNTIF(connections!$A$2:$A$1460,$A599)+COUNTIF(connections!$B$2:$B$1460,$A599))</f>
        <v>2</v>
      </c>
      <c r="E599">
        <f t="shared" si="117"/>
        <v>1</v>
      </c>
      <c r="F599">
        <f t="shared" si="118"/>
        <v>21</v>
      </c>
      <c r="G599">
        <f t="shared" si="119"/>
        <v>2024</v>
      </c>
      <c r="H599">
        <f t="shared" si="120"/>
        <v>1.4830000000000001</v>
      </c>
      <c r="I599" t="e">
        <f t="shared" si="121"/>
        <v>#N/A</v>
      </c>
      <c r="J599" t="e">
        <f t="shared" si="122"/>
        <v>#N/A</v>
      </c>
      <c r="K599" t="e">
        <f t="shared" si="123"/>
        <v>#N/A</v>
      </c>
      <c r="L599" t="e">
        <f t="shared" si="124"/>
        <v>#N/A</v>
      </c>
      <c r="M599" t="e">
        <f t="shared" si="125"/>
        <v>#N/A</v>
      </c>
      <c r="N599" t="e">
        <f t="shared" si="126"/>
        <v>#N/A</v>
      </c>
      <c r="O599">
        <f t="shared" si="127"/>
        <v>2.0005989999999998</v>
      </c>
      <c r="P599" t="str">
        <f>IF(OR($A599="",games!$H599=""),"",games!$H599)</f>
        <v/>
      </c>
      <c r="Q599" t="str">
        <f t="shared" si="128"/>
        <v/>
      </c>
      <c r="T599">
        <f>IF(connections!$A599="","",IFERROR(INDEX(games!$B$2:$B$950,MATCH(connections!$A599,games!$A$2:$A$950,0)),""))</f>
        <v>2021</v>
      </c>
      <c r="U599">
        <f>IF(connections!$A599="","",IFERROR(INDEX(games!$B$2:$B$950,MATCH(connections!$B599,games!$A$2:$A$950,0)),""))</f>
        <v>2026</v>
      </c>
      <c r="V599">
        <f t="shared" si="129"/>
        <v>5</v>
      </c>
    </row>
    <row r="600" spans="1:22" x14ac:dyDescent="0.25">
      <c r="A600" t="str">
        <f>IF(games!$A600="","",games!$A600)</f>
        <v>Realm of the Mad God</v>
      </c>
      <c r="B600">
        <f>IF($A600="","",games!$B600)</f>
        <v>2010</v>
      </c>
      <c r="C600" t="str">
        <f>IF($A600="","",games!$C600)</f>
        <v>Action</v>
      </c>
      <c r="D600">
        <f>IF($A600="","",COUNTIF(connections!$A$2:$A$1460,$A600)+COUNTIF(connections!$B$2:$B$1460,$A600))</f>
        <v>4</v>
      </c>
      <c r="E600">
        <f t="shared" si="117"/>
        <v>1</v>
      </c>
      <c r="F600">
        <f t="shared" si="118"/>
        <v>22</v>
      </c>
      <c r="G600">
        <f t="shared" si="119"/>
        <v>2010</v>
      </c>
      <c r="H600">
        <f t="shared" si="120"/>
        <v>1.506</v>
      </c>
      <c r="I600" t="e">
        <f t="shared" si="121"/>
        <v>#N/A</v>
      </c>
      <c r="J600" t="e">
        <f t="shared" si="122"/>
        <v>#N/A</v>
      </c>
      <c r="K600" t="e">
        <f t="shared" si="123"/>
        <v>#N/A</v>
      </c>
      <c r="L600" t="e">
        <f t="shared" si="124"/>
        <v>#N/A</v>
      </c>
      <c r="M600" t="e">
        <f t="shared" si="125"/>
        <v>#N/A</v>
      </c>
      <c r="N600" t="e">
        <f t="shared" si="126"/>
        <v>#N/A</v>
      </c>
      <c r="O600">
        <f t="shared" si="127"/>
        <v>4.0006000000000004</v>
      </c>
      <c r="P600" t="str">
        <f>IF(OR($A600="",games!$H600=""),"",games!$H600)</f>
        <v>Yes</v>
      </c>
      <c r="Q600">
        <f t="shared" si="128"/>
        <v>4.0006000000000004</v>
      </c>
      <c r="T600">
        <f>IF(connections!$A600="","",IFERROR(INDEX(games!$B$2:$B$950,MATCH(connections!$A600,games!$A$2:$A$950,0)),""))</f>
        <v>2021</v>
      </c>
      <c r="U600">
        <f>IF(connections!$A600="","",IFERROR(INDEX(games!$B$2:$B$950,MATCH(connections!$B600,games!$A$2:$A$950,0)),""))</f>
        <v>2025</v>
      </c>
      <c r="V600">
        <f t="shared" si="129"/>
        <v>4</v>
      </c>
    </row>
    <row r="601" spans="1:22" x14ac:dyDescent="0.25">
      <c r="A601" t="str">
        <f>IF(games!$A601="","",games!$A601)</f>
        <v>Red Rogue</v>
      </c>
      <c r="B601">
        <f>IF($A601="","",games!$B601)</f>
        <v>2012</v>
      </c>
      <c r="C601" t="str">
        <f>IF($A601="","",games!$C601)</f>
        <v>Action</v>
      </c>
      <c r="D601">
        <f>IF($A601="","",COUNTIF(connections!$A$2:$A$1460,$A601)+COUNTIF(connections!$B$2:$B$1460,$A601))</f>
        <v>3</v>
      </c>
      <c r="E601">
        <f t="shared" si="117"/>
        <v>1</v>
      </c>
      <c r="F601">
        <f t="shared" si="118"/>
        <v>23</v>
      </c>
      <c r="G601">
        <f t="shared" si="119"/>
        <v>2012</v>
      </c>
      <c r="H601">
        <f t="shared" si="120"/>
        <v>1.5289999999999999</v>
      </c>
      <c r="I601" t="e">
        <f t="shared" si="121"/>
        <v>#N/A</v>
      </c>
      <c r="J601" t="e">
        <f t="shared" si="122"/>
        <v>#N/A</v>
      </c>
      <c r="K601" t="e">
        <f t="shared" si="123"/>
        <v>#N/A</v>
      </c>
      <c r="L601" t="e">
        <f t="shared" si="124"/>
        <v>#N/A</v>
      </c>
      <c r="M601" t="e">
        <f t="shared" si="125"/>
        <v>#N/A</v>
      </c>
      <c r="N601" t="e">
        <f t="shared" si="126"/>
        <v>#N/A</v>
      </c>
      <c r="O601">
        <f t="shared" si="127"/>
        <v>3.0006010000000001</v>
      </c>
      <c r="P601" t="str">
        <f>IF(OR($A601="",games!$H601=""),"",games!$H601)</f>
        <v>Yes</v>
      </c>
      <c r="Q601">
        <f t="shared" si="128"/>
        <v>3.0006010000000001</v>
      </c>
      <c r="T601">
        <f>IF(connections!$A601="","",IFERROR(INDEX(games!$B$2:$B$950,MATCH(connections!$A601,games!$A$2:$A$950,0)),""))</f>
        <v>2021</v>
      </c>
      <c r="U601">
        <f>IF(connections!$A601="","",IFERROR(INDEX(games!$B$2:$B$950,MATCH(connections!$B601,games!$A$2:$A$950,0)),""))</f>
        <v>2025</v>
      </c>
      <c r="V601">
        <f t="shared" si="129"/>
        <v>4</v>
      </c>
    </row>
    <row r="602" spans="1:22" x14ac:dyDescent="0.25">
      <c r="A602" t="str">
        <f>IF(games!$A602="","",games!$A602)</f>
        <v>Reignbreaker</v>
      </c>
      <c r="B602">
        <f>IF($A602="","",games!$B602)</f>
        <v>2025</v>
      </c>
      <c r="C602" t="str">
        <f>IF($A602="","",games!$C602)</f>
        <v>Action</v>
      </c>
      <c r="D602">
        <f>IF($A602="","",COUNTIF(connections!$A$2:$A$1460,$A602)+COUNTIF(connections!$B$2:$B$1460,$A602))</f>
        <v>2</v>
      </c>
      <c r="E602">
        <f t="shared" si="117"/>
        <v>1</v>
      </c>
      <c r="F602">
        <f t="shared" si="118"/>
        <v>24</v>
      </c>
      <c r="G602">
        <f t="shared" si="119"/>
        <v>2025</v>
      </c>
      <c r="H602">
        <f t="shared" si="120"/>
        <v>1.552</v>
      </c>
      <c r="I602" t="e">
        <f t="shared" si="121"/>
        <v>#N/A</v>
      </c>
      <c r="J602" t="e">
        <f t="shared" si="122"/>
        <v>#N/A</v>
      </c>
      <c r="K602" t="e">
        <f t="shared" si="123"/>
        <v>#N/A</v>
      </c>
      <c r="L602" t="e">
        <f t="shared" si="124"/>
        <v>#N/A</v>
      </c>
      <c r="M602" t="e">
        <f t="shared" si="125"/>
        <v>#N/A</v>
      </c>
      <c r="N602" t="e">
        <f t="shared" si="126"/>
        <v>#N/A</v>
      </c>
      <c r="O602">
        <f t="shared" si="127"/>
        <v>2.0006020000000002</v>
      </c>
      <c r="P602" t="str">
        <f>IF(OR($A602="",games!$H602=""),"",games!$H602)</f>
        <v>Yes</v>
      </c>
      <c r="Q602">
        <f t="shared" si="128"/>
        <v>2.0006020000000002</v>
      </c>
      <c r="T602">
        <f>IF(connections!$A602="","",IFERROR(INDEX(games!$B$2:$B$950,MATCH(connections!$A602,games!$A$2:$A$950,0)),""))</f>
        <v>2018</v>
      </c>
      <c r="U602">
        <f>IF(connections!$A602="","",IFERROR(INDEX(games!$B$2:$B$950,MATCH(connections!$B602,games!$A$2:$A$950,0)),""))</f>
        <v>2022</v>
      </c>
      <c r="V602">
        <f t="shared" si="129"/>
        <v>4</v>
      </c>
    </row>
    <row r="603" spans="1:22" x14ac:dyDescent="0.25">
      <c r="A603" t="str">
        <f>IF(games!$A603="","",games!$A603)</f>
        <v>Renowned Explorers: International Society</v>
      </c>
      <c r="B603">
        <f>IF($A603="","",games!$B603)</f>
        <v>2015</v>
      </c>
      <c r="C603" t="str">
        <f>IF($A603="","",games!$C603)</f>
        <v>Strategy</v>
      </c>
      <c r="D603">
        <f>IF($A603="","",COUNTIF(connections!$A$2:$A$1460,$A603)+COUNTIF(connections!$B$2:$B$1460,$A603))</f>
        <v>2</v>
      </c>
      <c r="E603">
        <f t="shared" si="117"/>
        <v>2</v>
      </c>
      <c r="F603">
        <f t="shared" si="118"/>
        <v>25</v>
      </c>
      <c r="G603" t="e">
        <f t="shared" si="119"/>
        <v>#N/A</v>
      </c>
      <c r="H603" t="e">
        <f t="shared" si="120"/>
        <v>#N/A</v>
      </c>
      <c r="I603">
        <f t="shared" si="121"/>
        <v>2015</v>
      </c>
      <c r="J603">
        <f t="shared" si="122"/>
        <v>2.5750000000000002</v>
      </c>
      <c r="K603" t="e">
        <f t="shared" si="123"/>
        <v>#N/A</v>
      </c>
      <c r="L603" t="e">
        <f t="shared" si="124"/>
        <v>#N/A</v>
      </c>
      <c r="M603" t="e">
        <f t="shared" si="125"/>
        <v>#N/A</v>
      </c>
      <c r="N603" t="e">
        <f t="shared" si="126"/>
        <v>#N/A</v>
      </c>
      <c r="O603">
        <f t="shared" si="127"/>
        <v>2.0006029999999999</v>
      </c>
      <c r="P603" t="str">
        <f>IF(OR($A603="",games!$H603=""),"",games!$H603)</f>
        <v>Yes</v>
      </c>
      <c r="Q603">
        <f t="shared" si="128"/>
        <v>2.0006029999999999</v>
      </c>
      <c r="T603">
        <f>IF(connections!$A603="","",IFERROR(INDEX(games!$B$2:$B$950,MATCH(connections!$A603,games!$A$2:$A$950,0)),""))</f>
        <v>2018</v>
      </c>
      <c r="U603">
        <f>IF(connections!$A603="","",IFERROR(INDEX(games!$B$2:$B$950,MATCH(connections!$B603,games!$A$2:$A$950,0)),""))</f>
        <v>2024</v>
      </c>
      <c r="V603">
        <f t="shared" si="129"/>
        <v>6</v>
      </c>
    </row>
    <row r="604" spans="1:22" x14ac:dyDescent="0.25">
      <c r="A604" t="str">
        <f>IF(games!$A604="","",games!$A604)</f>
        <v>Repetendium</v>
      </c>
      <c r="B604">
        <f>IF($A604="","",games!$B604)</f>
        <v>2022</v>
      </c>
      <c r="C604" t="str">
        <f>IF($A604="","",games!$C604)</f>
        <v>Action</v>
      </c>
      <c r="D604">
        <f>IF($A604="","",COUNTIF(connections!$A$2:$A$1460,$A604)+COUNTIF(connections!$B$2:$B$1460,$A604))</f>
        <v>1</v>
      </c>
      <c r="E604">
        <f t="shared" si="117"/>
        <v>1</v>
      </c>
      <c r="F604">
        <f t="shared" si="118"/>
        <v>26</v>
      </c>
      <c r="G604">
        <f t="shared" si="119"/>
        <v>2022</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1.000604</v>
      </c>
      <c r="P604" t="str">
        <f>IF(OR($A604="",games!$H604=""),"",games!$H604)</f>
        <v>Yes</v>
      </c>
      <c r="Q604">
        <f t="shared" si="128"/>
        <v>1.000604</v>
      </c>
      <c r="T604">
        <f>IF(connections!$A604="","",IFERROR(INDEX(games!$B$2:$B$950,MATCH(connections!$A604,games!$A$2:$A$950,0)),""))</f>
        <v>2018</v>
      </c>
      <c r="U604">
        <f>IF(connections!$A604="","",IFERROR(INDEX(games!$B$2:$B$950,MATCH(connections!$B604,games!$A$2:$A$950,0)),""))</f>
        <v>2024</v>
      </c>
      <c r="V604">
        <f t="shared" si="129"/>
        <v>6</v>
      </c>
    </row>
    <row r="605" spans="1:22" x14ac:dyDescent="0.25">
      <c r="A605" t="str">
        <f>IF(games!$A605="","",games!$A605)</f>
        <v>Replicat</v>
      </c>
      <c r="B605">
        <f>IF($A605="","",games!$B605)</f>
        <v>2025</v>
      </c>
      <c r="C605" t="str">
        <f>IF($A605="","",games!$C605)</f>
        <v>Deckbuilder</v>
      </c>
      <c r="D605">
        <f>IF($A605="","",COUNTIF(connections!$A$2:$A$1460,$A605)+COUNTIF(connections!$B$2:$B$1460,$A605))</f>
        <v>2</v>
      </c>
      <c r="E605">
        <f t="shared" si="117"/>
        <v>3</v>
      </c>
      <c r="F605">
        <f t="shared" si="118"/>
        <v>27</v>
      </c>
      <c r="G605" t="e">
        <f t="shared" si="119"/>
        <v>#N/A</v>
      </c>
      <c r="H605" t="e">
        <f t="shared" si="120"/>
        <v>#N/A</v>
      </c>
      <c r="I605" t="e">
        <f t="shared" si="121"/>
        <v>#N/A</v>
      </c>
      <c r="J605" t="e">
        <f t="shared" si="122"/>
        <v>#N/A</v>
      </c>
      <c r="K605">
        <f t="shared" si="123"/>
        <v>2025</v>
      </c>
      <c r="L605">
        <f t="shared" si="124"/>
        <v>3.621</v>
      </c>
      <c r="M605" t="e">
        <f t="shared" si="125"/>
        <v>#N/A</v>
      </c>
      <c r="N605" t="e">
        <f t="shared" si="126"/>
        <v>#N/A</v>
      </c>
      <c r="O605">
        <f t="shared" si="127"/>
        <v>2.0006050000000002</v>
      </c>
      <c r="P605" t="str">
        <f>IF(OR($A605="",games!$H605=""),"",games!$H605)</f>
        <v/>
      </c>
      <c r="Q605" t="str">
        <f t="shared" si="128"/>
        <v/>
      </c>
      <c r="T605">
        <f>IF(connections!$A605="","",IFERROR(INDEX(games!$B$2:$B$950,MATCH(connections!$A605,games!$A$2:$A$950,0)),""))</f>
        <v>2018</v>
      </c>
      <c r="U605">
        <f>IF(connections!$A605="","",IFERROR(INDEX(games!$B$2:$B$950,MATCH(connections!$B605,games!$A$2:$A$950,0)),""))</f>
        <v>2022</v>
      </c>
      <c r="V605">
        <f t="shared" si="129"/>
        <v>4</v>
      </c>
    </row>
    <row r="606" spans="1:22" x14ac:dyDescent="0.25">
      <c r="A606" t="str">
        <f>IF(games!$A606="","",games!$A606)</f>
        <v>Return to Abyss</v>
      </c>
      <c r="B606">
        <f>IF($A606="","",games!$B606)</f>
        <v>2023</v>
      </c>
      <c r="C606" t="str">
        <f>IF($A606="","",games!$C606)</f>
        <v>Action</v>
      </c>
      <c r="D606">
        <f>IF($A606="","",COUNTIF(connections!$A$2:$A$1460,$A606)+COUNTIF(connections!$B$2:$B$1460,$A606))</f>
        <v>1</v>
      </c>
      <c r="E606">
        <f t="shared" si="117"/>
        <v>1</v>
      </c>
      <c r="F606">
        <f t="shared" si="118"/>
        <v>28</v>
      </c>
      <c r="G606">
        <f t="shared" si="119"/>
        <v>2023</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2018</v>
      </c>
      <c r="U606">
        <f>IF(connections!$A606="","",IFERROR(INDEX(games!$B$2:$B$950,MATCH(connections!$B606,games!$A$2:$A$950,0)),""))</f>
        <v>2025</v>
      </c>
      <c r="V606">
        <f t="shared" si="129"/>
        <v>7</v>
      </c>
    </row>
    <row r="607" spans="1:22" x14ac:dyDescent="0.25">
      <c r="A607" t="str">
        <f>IF(games!$A607="","",games!$A607)</f>
        <v>Returnal</v>
      </c>
      <c r="B607">
        <f>IF($A607="","",games!$B607)</f>
        <v>2023</v>
      </c>
      <c r="C607" t="str">
        <f>IF($A607="","",games!$C607)</f>
        <v>Action</v>
      </c>
      <c r="D607">
        <f>IF($A607="","",COUNTIF(connections!$A$2:$A$1460,$A607)+COUNTIF(connections!$B$2:$B$1460,$A607))</f>
        <v>4</v>
      </c>
      <c r="E607">
        <f t="shared" si="117"/>
        <v>1</v>
      </c>
      <c r="F607">
        <f t="shared" si="118"/>
        <v>29</v>
      </c>
      <c r="G607">
        <f t="shared" si="119"/>
        <v>2023</v>
      </c>
      <c r="H607">
        <f t="shared" si="120"/>
        <v>1.667</v>
      </c>
      <c r="I607" t="e">
        <f t="shared" si="121"/>
        <v>#N/A</v>
      </c>
      <c r="J607" t="e">
        <f t="shared" si="122"/>
        <v>#N/A</v>
      </c>
      <c r="K607" t="e">
        <f t="shared" si="123"/>
        <v>#N/A</v>
      </c>
      <c r="L607" t="e">
        <f t="shared" si="124"/>
        <v>#N/A</v>
      </c>
      <c r="M607" t="e">
        <f t="shared" si="125"/>
        <v>#N/A</v>
      </c>
      <c r="N607" t="e">
        <f t="shared" si="126"/>
        <v>#N/A</v>
      </c>
      <c r="O607">
        <f t="shared" si="127"/>
        <v>4.0006069999999996</v>
      </c>
      <c r="P607" t="str">
        <f>IF(OR($A607="",games!$H607=""),"",games!$H607)</f>
        <v>Yes</v>
      </c>
      <c r="Q607">
        <f t="shared" si="128"/>
        <v>4.0006069999999996</v>
      </c>
      <c r="T607">
        <f>IF(connections!$A607="","",IFERROR(INDEX(games!$B$2:$B$950,MATCH(connections!$A607,games!$A$2:$A$950,0)),""))</f>
        <v>2018</v>
      </c>
      <c r="U607">
        <f>IF(connections!$A607="","",IFERROR(INDEX(games!$B$2:$B$950,MATCH(connections!$B607,games!$A$2:$A$950,0)),""))</f>
        <v>2026</v>
      </c>
      <c r="V607">
        <f t="shared" si="129"/>
        <v>8</v>
      </c>
    </row>
    <row r="608" spans="1:22" x14ac:dyDescent="0.25">
      <c r="A608" t="str">
        <f>IF(games!$A608="","",games!$A608)</f>
        <v>Revita</v>
      </c>
      <c r="B608">
        <f>IF($A608="","",games!$B608)</f>
        <v>2021</v>
      </c>
      <c r="C608" t="str">
        <f>IF($A608="","",games!$C608)</f>
        <v>Action</v>
      </c>
      <c r="D608">
        <f>IF($A608="","",COUNTIF(connections!$A$2:$A$1460,$A608)+COUNTIF(connections!$B$2:$B$1460,$A608))</f>
        <v>2</v>
      </c>
      <c r="E608">
        <f t="shared" si="117"/>
        <v>1</v>
      </c>
      <c r="F608">
        <f t="shared" si="118"/>
        <v>30</v>
      </c>
      <c r="G608">
        <f t="shared" si="119"/>
        <v>2021</v>
      </c>
      <c r="H608">
        <f t="shared" si="120"/>
        <v>1.69</v>
      </c>
      <c r="I608" t="e">
        <f t="shared" si="121"/>
        <v>#N/A</v>
      </c>
      <c r="J608" t="e">
        <f t="shared" si="122"/>
        <v>#N/A</v>
      </c>
      <c r="K608" t="e">
        <f t="shared" si="123"/>
        <v>#N/A</v>
      </c>
      <c r="L608" t="e">
        <f t="shared" si="124"/>
        <v>#N/A</v>
      </c>
      <c r="M608" t="e">
        <f t="shared" si="125"/>
        <v>#N/A</v>
      </c>
      <c r="N608" t="e">
        <f t="shared" si="126"/>
        <v>#N/A</v>
      </c>
      <c r="O608">
        <f t="shared" si="127"/>
        <v>2.0006080000000002</v>
      </c>
      <c r="P608" t="str">
        <f>IF(OR($A608="",games!$H608=""),"",games!$H608)</f>
        <v>Yes</v>
      </c>
      <c r="Q608">
        <f t="shared" si="128"/>
        <v>2.0006080000000002</v>
      </c>
      <c r="T608">
        <f>IF(connections!$A608="","",IFERROR(INDEX(games!$B$2:$B$950,MATCH(connections!$A608,games!$A$2:$A$950,0)),""))</f>
        <v>2018</v>
      </c>
      <c r="U608">
        <f>IF(connections!$A608="","",IFERROR(INDEX(games!$B$2:$B$950,MATCH(connections!$B608,games!$A$2:$A$950,0)),""))</f>
        <v>2026</v>
      </c>
      <c r="V608">
        <f t="shared" si="129"/>
        <v>8</v>
      </c>
    </row>
    <row r="609" spans="1:22" x14ac:dyDescent="0.25">
      <c r="A609" t="str">
        <f>IF(games!$A609="","",games!$A609)</f>
        <v>Rhythm Witch: Beat Death</v>
      </c>
      <c r="B609">
        <f>IF($A609="","",games!$B609)</f>
        <v>2025</v>
      </c>
      <c r="C609" t="str">
        <f>IF($A609="","",games!$C609)</f>
        <v>Action</v>
      </c>
      <c r="D609">
        <f>IF($A609="","",COUNTIF(connections!$A$2:$A$1460,$A609)+COUNTIF(connections!$B$2:$B$1460,$A609))</f>
        <v>2</v>
      </c>
      <c r="E609">
        <f t="shared" si="117"/>
        <v>1</v>
      </c>
      <c r="F609">
        <f t="shared" si="118"/>
        <v>31</v>
      </c>
      <c r="G609">
        <f t="shared" si="119"/>
        <v>2025</v>
      </c>
      <c r="H609">
        <f t="shared" si="120"/>
        <v>1.7130000000000001</v>
      </c>
      <c r="I609" t="e">
        <f t="shared" si="121"/>
        <v>#N/A</v>
      </c>
      <c r="J609" t="e">
        <f t="shared" si="122"/>
        <v>#N/A</v>
      </c>
      <c r="K609" t="e">
        <f t="shared" si="123"/>
        <v>#N/A</v>
      </c>
      <c r="L609" t="e">
        <f t="shared" si="124"/>
        <v>#N/A</v>
      </c>
      <c r="M609" t="e">
        <f t="shared" si="125"/>
        <v>#N/A</v>
      </c>
      <c r="N609" t="e">
        <f t="shared" si="126"/>
        <v>#N/A</v>
      </c>
      <c r="O609">
        <f t="shared" si="127"/>
        <v>2.0006089999999999</v>
      </c>
      <c r="P609" t="str">
        <f>IF(OR($A609="",games!$H609=""),"",games!$H609)</f>
        <v>Yes</v>
      </c>
      <c r="Q609">
        <f t="shared" si="128"/>
        <v>2.0006089999999999</v>
      </c>
      <c r="T609">
        <f>IF(connections!$A609="","",IFERROR(INDEX(games!$B$2:$B$950,MATCH(connections!$A609,games!$A$2:$A$950,0)),""))</f>
        <v>2018</v>
      </c>
      <c r="U609">
        <f>IF(connections!$A609="","",IFERROR(INDEX(games!$B$2:$B$950,MATCH(connections!$B609,games!$A$2:$A$950,0)),""))</f>
        <v>2023</v>
      </c>
      <c r="V609">
        <f t="shared" si="129"/>
        <v>5</v>
      </c>
    </row>
    <row r="610" spans="1:22" x14ac:dyDescent="0.25">
      <c r="A610" t="str">
        <f>IF(games!$A610="","",games!$A610)</f>
        <v>Rift Wizard</v>
      </c>
      <c r="B610">
        <f>IF($A610="","",games!$B610)</f>
        <v>2020</v>
      </c>
      <c r="C610" t="str">
        <f>IF($A610="","",games!$C610)</f>
        <v>Traditional</v>
      </c>
      <c r="D610">
        <f>IF($A610="","",COUNTIF(connections!$A$2:$A$1460,$A610)+COUNTIF(connections!$B$2:$B$1460,$A610))</f>
        <v>7</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2020</v>
      </c>
      <c r="N610">
        <f t="shared" si="126"/>
        <v>4.7359999999999998</v>
      </c>
      <c r="O610">
        <f t="shared" si="127"/>
        <v>7.00061</v>
      </c>
      <c r="P610" t="str">
        <f>IF(OR($A610="",games!$H610=""),"",games!$H610)</f>
        <v>Yes</v>
      </c>
      <c r="Q610">
        <f t="shared" si="128"/>
        <v>7.00061</v>
      </c>
      <c r="T610">
        <f>IF(connections!$A610="","",IFERROR(INDEX(games!$B$2:$B$950,MATCH(connections!$A610,games!$A$2:$A$950,0)),""))</f>
        <v>2018</v>
      </c>
      <c r="U610">
        <f>IF(connections!$A610="","",IFERROR(INDEX(games!$B$2:$B$950,MATCH(connections!$B610,games!$A$2:$A$950,0)),""))</f>
        <v>2024</v>
      </c>
      <c r="V610">
        <f t="shared" si="129"/>
        <v>6</v>
      </c>
    </row>
    <row r="611" spans="1:22" x14ac:dyDescent="0.25">
      <c r="A611" t="str">
        <f>IF(games!$A611="","",games!$A611)</f>
        <v>Rift Wizard 2</v>
      </c>
      <c r="B611">
        <f>IF($A611="","",games!$B611)</f>
        <v>2024</v>
      </c>
      <c r="C611" t="str">
        <f>IF($A611="","",games!$C611)</f>
        <v>Traditional</v>
      </c>
      <c r="D611">
        <f>IF($A611="","",COUNTIF(connections!$A$2:$A$1460,$A611)+COUNTIF(connections!$B$2:$B$1460,$A611))</f>
        <v>2</v>
      </c>
      <c r="E611">
        <f t="shared" si="117"/>
        <v>4</v>
      </c>
      <c r="F611">
        <f t="shared" si="118"/>
        <v>33</v>
      </c>
      <c r="G611" t="e">
        <f t="shared" si="119"/>
        <v>#N/A</v>
      </c>
      <c r="H611" t="e">
        <f t="shared" si="120"/>
        <v>#N/A</v>
      </c>
      <c r="I611" t="e">
        <f t="shared" si="121"/>
        <v>#N/A</v>
      </c>
      <c r="J611" t="e">
        <f t="shared" si="122"/>
        <v>#N/A</v>
      </c>
      <c r="K611" t="e">
        <f t="shared" si="123"/>
        <v>#N/A</v>
      </c>
      <c r="L611" t="e">
        <f t="shared" si="124"/>
        <v>#N/A</v>
      </c>
      <c r="M611">
        <f t="shared" si="125"/>
        <v>2024</v>
      </c>
      <c r="N611">
        <f t="shared" si="126"/>
        <v>4.7590000000000003</v>
      </c>
      <c r="O611">
        <f t="shared" si="127"/>
        <v>2.0006110000000001</v>
      </c>
      <c r="P611" t="str">
        <f>IF(OR($A611="",games!$H611=""),"",games!$H611)</f>
        <v>Yes</v>
      </c>
      <c r="Q611">
        <f t="shared" si="128"/>
        <v>2.0006110000000001</v>
      </c>
      <c r="T611">
        <f>IF(connections!$A611="","",IFERROR(INDEX(games!$B$2:$B$950,MATCH(connections!$A611,games!$A$2:$A$950,0)),""))</f>
        <v>2018</v>
      </c>
      <c r="U611">
        <f>IF(connections!$A611="","",IFERROR(INDEX(games!$B$2:$B$950,MATCH(connections!$B611,games!$A$2:$A$950,0)),""))</f>
        <v>2022</v>
      </c>
      <c r="V611">
        <f t="shared" si="129"/>
        <v>4</v>
      </c>
    </row>
    <row r="612" spans="1:22" x14ac:dyDescent="0.25">
      <c r="A612" t="str">
        <f>IF(games!$A612="","",games!$A612)</f>
        <v>Rift Wizard 3</v>
      </c>
      <c r="B612">
        <f>IF($A612="","",games!$B612)</f>
        <v>2026</v>
      </c>
      <c r="C612" t="str">
        <f>IF($A612="","",games!$C612)</f>
        <v>Traditional</v>
      </c>
      <c r="D612">
        <f>IF($A612="","",COUNTIF(connections!$A$2:$A$1460,$A612)+COUNTIF(connections!$B$2:$B$1460,$A612))</f>
        <v>1</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2026</v>
      </c>
      <c r="N612">
        <f t="shared" si="126"/>
        <v>4</v>
      </c>
      <c r="O612">
        <f t="shared" si="127"/>
        <v>1.0006120000000001</v>
      </c>
      <c r="P612" t="str">
        <f>IF(OR($A612="",games!$H612=""),"",games!$H612)</f>
        <v/>
      </c>
      <c r="Q612" t="str">
        <f t="shared" si="128"/>
        <v/>
      </c>
      <c r="T612">
        <f>IF(connections!$A612="","",IFERROR(INDEX(games!$B$2:$B$950,MATCH(connections!$A612,games!$A$2:$A$950,0)),""))</f>
        <v>2018</v>
      </c>
      <c r="U612">
        <f>IF(connections!$A612="","",IFERROR(INDEX(games!$B$2:$B$950,MATCH(connections!$B612,games!$A$2:$A$950,0)),""))</f>
        <v>2023</v>
      </c>
      <c r="V612">
        <f t="shared" si="129"/>
        <v>5</v>
      </c>
    </row>
    <row r="613" spans="1:22" x14ac:dyDescent="0.25">
      <c r="A613" t="str">
        <f>IF(games!$A613="","",games!$A613)</f>
        <v>Rig Riot</v>
      </c>
      <c r="B613">
        <f>IF($A613="","",games!$B613)</f>
        <v>2026</v>
      </c>
      <c r="C613" t="str">
        <f>IF($A613="","",games!$C613)</f>
        <v>Action</v>
      </c>
      <c r="D613">
        <f>IF($A613="","",COUNTIF(connections!$A$2:$A$1460,$A613)+COUNTIF(connections!$B$2:$B$1460,$A613))</f>
        <v>2</v>
      </c>
      <c r="E613">
        <f t="shared" si="117"/>
        <v>1</v>
      </c>
      <c r="F613">
        <f t="shared" si="118"/>
        <v>1</v>
      </c>
      <c r="G613">
        <f t="shared" si="119"/>
        <v>2026</v>
      </c>
      <c r="H613">
        <f t="shared" si="120"/>
        <v>1.0229999999999999</v>
      </c>
      <c r="I613" t="e">
        <f t="shared" si="121"/>
        <v>#N/A</v>
      </c>
      <c r="J613" t="e">
        <f t="shared" si="122"/>
        <v>#N/A</v>
      </c>
      <c r="K613" t="e">
        <f t="shared" si="123"/>
        <v>#N/A</v>
      </c>
      <c r="L613" t="e">
        <f t="shared" si="124"/>
        <v>#N/A</v>
      </c>
      <c r="M613" t="e">
        <f t="shared" si="125"/>
        <v>#N/A</v>
      </c>
      <c r="N613" t="e">
        <f t="shared" si="126"/>
        <v>#N/A</v>
      </c>
      <c r="O613">
        <f t="shared" si="127"/>
        <v>2.000613</v>
      </c>
      <c r="P613" t="str">
        <f>IF(OR($A613="",games!$H613=""),"",games!$H613)</f>
        <v/>
      </c>
      <c r="Q613" t="str">
        <f t="shared" si="128"/>
        <v/>
      </c>
      <c r="T613">
        <f>IF(connections!$A613="","",IFERROR(INDEX(games!$B$2:$B$950,MATCH(connections!$A613,games!$A$2:$A$950,0)),""))</f>
        <v>2018</v>
      </c>
      <c r="U613">
        <f>IF(connections!$A613="","",IFERROR(INDEX(games!$B$2:$B$950,MATCH(connections!$B613,games!$A$2:$A$950,0)),""))</f>
        <v>2021</v>
      </c>
      <c r="V613">
        <f t="shared" si="129"/>
        <v>3</v>
      </c>
    </row>
    <row r="614" spans="1:22" x14ac:dyDescent="0.25">
      <c r="A614" t="str">
        <f>IF(games!$A614="","",games!$A614)</f>
        <v>Right and Down</v>
      </c>
      <c r="B614">
        <f>IF($A614="","",games!$B614)</f>
        <v>2022</v>
      </c>
      <c r="C614" t="str">
        <f>IF($A614="","",games!$C614)</f>
        <v>Deckbuilder</v>
      </c>
      <c r="D614">
        <f>IF($A614="","",COUNTIF(connections!$A$2:$A$1460,$A614)+COUNTIF(connections!$B$2:$B$1460,$A614))</f>
        <v>1</v>
      </c>
      <c r="E614">
        <f t="shared" si="117"/>
        <v>3</v>
      </c>
      <c r="F614">
        <f t="shared" si="118"/>
        <v>2</v>
      </c>
      <c r="G614" t="e">
        <f t="shared" si="119"/>
        <v>#N/A</v>
      </c>
      <c r="H614" t="e">
        <f t="shared" si="120"/>
        <v>#N/A</v>
      </c>
      <c r="I614" t="e">
        <f t="shared" si="121"/>
        <v>#N/A</v>
      </c>
      <c r="J614" t="e">
        <f t="shared" si="122"/>
        <v>#N/A</v>
      </c>
      <c r="K614">
        <f t="shared" si="123"/>
        <v>2022</v>
      </c>
      <c r="L614">
        <f t="shared" si="124"/>
        <v>3.0459999999999998</v>
      </c>
      <c r="M614" t="e">
        <f t="shared" si="125"/>
        <v>#N/A</v>
      </c>
      <c r="N614" t="e">
        <f t="shared" si="126"/>
        <v>#N/A</v>
      </c>
      <c r="O614">
        <f t="shared" si="127"/>
        <v>1.0006139999999999</v>
      </c>
      <c r="P614" t="str">
        <f>IF(OR($A614="",games!$H614=""),"",games!$H614)</f>
        <v>Yes</v>
      </c>
      <c r="Q614">
        <f t="shared" si="128"/>
        <v>1.0006139999999999</v>
      </c>
      <c r="T614">
        <f>IF(connections!$A614="","",IFERROR(INDEX(games!$B$2:$B$950,MATCH(connections!$A614,games!$A$2:$A$950,0)),""))</f>
        <v>2018</v>
      </c>
      <c r="U614">
        <f>IF(connections!$A614="","",IFERROR(INDEX(games!$B$2:$B$950,MATCH(connections!$B614,games!$A$2:$A$950,0)),""))</f>
        <v>2026</v>
      </c>
      <c r="V614">
        <f t="shared" si="129"/>
        <v>8</v>
      </c>
    </row>
    <row r="615" spans="1:22" x14ac:dyDescent="0.25">
      <c r="A615" t="str">
        <f>IF(games!$A615="","",games!$A615)</f>
        <v>Ring of Pain</v>
      </c>
      <c r="B615">
        <f>IF($A615="","",games!$B615)</f>
        <v>2020</v>
      </c>
      <c r="C615" t="str">
        <f>IF($A615="","",games!$C615)</f>
        <v>Strategy</v>
      </c>
      <c r="D615">
        <f>IF($A615="","",COUNTIF(connections!$A$2:$A$1460,$A615)+COUNTIF(connections!$B$2:$B$1460,$A615))</f>
        <v>2</v>
      </c>
      <c r="E615">
        <f t="shared" si="117"/>
        <v>2</v>
      </c>
      <c r="F615">
        <f t="shared" si="118"/>
        <v>3</v>
      </c>
      <c r="G615" t="e">
        <f t="shared" si="119"/>
        <v>#N/A</v>
      </c>
      <c r="H615" t="e">
        <f t="shared" si="120"/>
        <v>#N/A</v>
      </c>
      <c r="I615">
        <f t="shared" si="121"/>
        <v>2020</v>
      </c>
      <c r="J615">
        <f t="shared" si="122"/>
        <v>2.069</v>
      </c>
      <c r="K615" t="e">
        <f t="shared" si="123"/>
        <v>#N/A</v>
      </c>
      <c r="L615" t="e">
        <f t="shared" si="124"/>
        <v>#N/A</v>
      </c>
      <c r="M615" t="e">
        <f t="shared" si="125"/>
        <v>#N/A</v>
      </c>
      <c r="N615" t="e">
        <f t="shared" si="126"/>
        <v>#N/A</v>
      </c>
      <c r="O615">
        <f t="shared" si="127"/>
        <v>2.0006149999999998</v>
      </c>
      <c r="P615" t="str">
        <f>IF(OR($A615="",games!$H615=""),"",games!$H615)</f>
        <v>Yes</v>
      </c>
      <c r="Q615">
        <f t="shared" si="128"/>
        <v>2.0006149999999998</v>
      </c>
      <c r="T615">
        <f>IF(connections!$A615="","",IFERROR(INDEX(games!$B$2:$B$950,MATCH(connections!$A615,games!$A$2:$A$950,0)),""))</f>
        <v>2018</v>
      </c>
      <c r="U615">
        <f>IF(connections!$A615="","",IFERROR(INDEX(games!$B$2:$B$950,MATCH(connections!$B615,games!$A$2:$A$950,0)),""))</f>
        <v>2023</v>
      </c>
      <c r="V615">
        <f t="shared" si="129"/>
        <v>5</v>
      </c>
    </row>
    <row r="616" spans="1:22" x14ac:dyDescent="0.25">
      <c r="A616" t="str">
        <f>IF(games!$A616="","",games!$A616)</f>
        <v>Ringer</v>
      </c>
      <c r="B616">
        <f>IF($A616="","",games!$B616)</f>
        <v>2025</v>
      </c>
      <c r="C616" t="str">
        <f>IF($A616="","",games!$C616)</f>
        <v>Deckbuilder</v>
      </c>
      <c r="D616">
        <f>IF($A616="","",COUNTIF(connections!$A$2:$A$1460,$A616)+COUNTIF(connections!$B$2:$B$1460,$A616))</f>
        <v>0</v>
      </c>
      <c r="E616">
        <f t="shared" si="117"/>
        <v>3</v>
      </c>
      <c r="F616">
        <f t="shared" si="118"/>
        <v>4</v>
      </c>
      <c r="G616" t="e">
        <f t="shared" si="119"/>
        <v>#N/A</v>
      </c>
      <c r="H616" t="e">
        <f t="shared" si="120"/>
        <v>#N/A</v>
      </c>
      <c r="I616" t="e">
        <f t="shared" si="121"/>
        <v>#N/A</v>
      </c>
      <c r="J616" t="e">
        <f t="shared" si="122"/>
        <v>#N/A</v>
      </c>
      <c r="K616">
        <f t="shared" si="123"/>
        <v>2025</v>
      </c>
      <c r="L616">
        <f t="shared" si="124"/>
        <v>3.0920000000000001</v>
      </c>
      <c r="M616" t="e">
        <f t="shared" si="125"/>
        <v>#N/A</v>
      </c>
      <c r="N616" t="e">
        <f t="shared" si="126"/>
        <v>#N/A</v>
      </c>
      <c r="O616">
        <f t="shared" si="127"/>
        <v>6.1600000000000001E-4</v>
      </c>
      <c r="P616" t="str">
        <f>IF(OR($A616="",games!$H616=""),"",games!$H616)</f>
        <v>Yes</v>
      </c>
      <c r="Q616">
        <f t="shared" si="128"/>
        <v>6.1600000000000001E-4</v>
      </c>
      <c r="T616">
        <f>IF(connections!$A616="","",IFERROR(INDEX(games!$B$2:$B$950,MATCH(connections!$A616,games!$A$2:$A$950,0)),""))</f>
        <v>2018</v>
      </c>
      <c r="U616">
        <f>IF(connections!$A616="","",IFERROR(INDEX(games!$B$2:$B$950,MATCH(connections!$B616,games!$A$2:$A$950,0)),""))</f>
        <v>2026</v>
      </c>
      <c r="V616">
        <f t="shared" si="129"/>
        <v>8</v>
      </c>
    </row>
    <row r="617" spans="1:22" x14ac:dyDescent="0.25">
      <c r="A617" t="str">
        <f>IF(games!$A617="","",games!$A617)</f>
        <v>Riptale</v>
      </c>
      <c r="B617">
        <f>IF($A617="","",games!$B617)</f>
        <v>2017</v>
      </c>
      <c r="C617" t="str">
        <f>IF($A617="","",games!$C617)</f>
        <v>Action</v>
      </c>
      <c r="D617">
        <f>IF($A617="","",COUNTIF(connections!$A$2:$A$1460,$A617)+COUNTIF(connections!$B$2:$B$1460,$A617))</f>
        <v>2</v>
      </c>
      <c r="E617">
        <f t="shared" si="117"/>
        <v>1</v>
      </c>
      <c r="F617">
        <f t="shared" si="118"/>
        <v>5</v>
      </c>
      <c r="G617">
        <f t="shared" si="119"/>
        <v>2017</v>
      </c>
      <c r="H617">
        <f t="shared" si="120"/>
        <v>1.115</v>
      </c>
      <c r="I617" t="e">
        <f t="shared" si="121"/>
        <v>#N/A</v>
      </c>
      <c r="J617" t="e">
        <f t="shared" si="122"/>
        <v>#N/A</v>
      </c>
      <c r="K617" t="e">
        <f t="shared" si="123"/>
        <v>#N/A</v>
      </c>
      <c r="L617" t="e">
        <f t="shared" si="124"/>
        <v>#N/A</v>
      </c>
      <c r="M617" t="e">
        <f t="shared" si="125"/>
        <v>#N/A</v>
      </c>
      <c r="N617" t="e">
        <f t="shared" si="126"/>
        <v>#N/A</v>
      </c>
      <c r="O617">
        <f t="shared" si="127"/>
        <v>2.0006170000000001</v>
      </c>
      <c r="P617" t="str">
        <f>IF(OR($A617="",games!$H617=""),"",games!$H617)</f>
        <v/>
      </c>
      <c r="Q617" t="str">
        <f t="shared" si="128"/>
        <v/>
      </c>
      <c r="T617">
        <f>IF(connections!$A617="","",IFERROR(INDEX(games!$B$2:$B$950,MATCH(connections!$A617,games!$A$2:$A$950,0)),""))</f>
        <v>2018</v>
      </c>
      <c r="U617">
        <f>IF(connections!$A617="","",IFERROR(INDEX(games!$B$2:$B$950,MATCH(connections!$B617,games!$A$2:$A$950,0)),""))</f>
        <v>2024</v>
      </c>
      <c r="V617">
        <f t="shared" si="129"/>
        <v>6</v>
      </c>
    </row>
    <row r="618" spans="1:22" x14ac:dyDescent="0.25">
      <c r="A618" t="str">
        <f>IF(games!$A618="","",games!$A618)</f>
        <v>Risk of Rain</v>
      </c>
      <c r="B618">
        <f>IF($A618="","",games!$B618)</f>
        <v>2013</v>
      </c>
      <c r="C618" t="str">
        <f>IF($A618="","",games!$C618)</f>
        <v>Action</v>
      </c>
      <c r="D618">
        <f>IF($A618="","",COUNTIF(connections!$A$2:$A$1460,$A618)+COUNTIF(connections!$B$2:$B$1460,$A618))</f>
        <v>8</v>
      </c>
      <c r="E618">
        <f t="shared" si="117"/>
        <v>1</v>
      </c>
      <c r="F618">
        <f t="shared" si="118"/>
        <v>6</v>
      </c>
      <c r="G618">
        <f t="shared" si="119"/>
        <v>2013</v>
      </c>
      <c r="H618">
        <f t="shared" si="120"/>
        <v>1.1379999999999999</v>
      </c>
      <c r="I618" t="e">
        <f t="shared" si="121"/>
        <v>#N/A</v>
      </c>
      <c r="J618" t="e">
        <f t="shared" si="122"/>
        <v>#N/A</v>
      </c>
      <c r="K618" t="e">
        <f t="shared" si="123"/>
        <v>#N/A</v>
      </c>
      <c r="L618" t="e">
        <f t="shared" si="124"/>
        <v>#N/A</v>
      </c>
      <c r="M618" t="e">
        <f t="shared" si="125"/>
        <v>#N/A</v>
      </c>
      <c r="N618" t="e">
        <f t="shared" si="126"/>
        <v>#N/A</v>
      </c>
      <c r="O618">
        <f t="shared" si="127"/>
        <v>8.0006179999999993</v>
      </c>
      <c r="P618" t="str">
        <f>IF(OR($A618="",games!$H618=""),"",games!$H618)</f>
        <v>Yes</v>
      </c>
      <c r="Q618">
        <f t="shared" si="128"/>
        <v>8.0006179999999993</v>
      </c>
      <c r="T618">
        <f>IF(connections!$A618="","",IFERROR(INDEX(games!$B$2:$B$950,MATCH(connections!$A618,games!$A$2:$A$950,0)),""))</f>
        <v>2018</v>
      </c>
      <c r="U618">
        <f>IF(connections!$A618="","",IFERROR(INDEX(games!$B$2:$B$950,MATCH(connections!$B618,games!$A$2:$A$950,0)),""))</f>
        <v>2021</v>
      </c>
      <c r="V618">
        <f t="shared" si="129"/>
        <v>3</v>
      </c>
    </row>
    <row r="619" spans="1:22" x14ac:dyDescent="0.25">
      <c r="A619" t="str">
        <f>IF(games!$A619="","",games!$A619)</f>
        <v>Risk of Rain 2</v>
      </c>
      <c r="B619">
        <f>IF($A619="","",games!$B619)</f>
        <v>2020</v>
      </c>
      <c r="C619" t="str">
        <f>IF($A619="","",games!$C619)</f>
        <v>Action</v>
      </c>
      <c r="D619">
        <f>IF($A619="","",COUNTIF(connections!$A$2:$A$1460,$A619)+COUNTIF(connections!$B$2:$B$1460,$A619))</f>
        <v>20</v>
      </c>
      <c r="E619">
        <f t="shared" si="117"/>
        <v>1</v>
      </c>
      <c r="F619">
        <f t="shared" si="118"/>
        <v>7</v>
      </c>
      <c r="G619">
        <f t="shared" si="119"/>
        <v>2020</v>
      </c>
      <c r="H619">
        <f t="shared" si="120"/>
        <v>1.161</v>
      </c>
      <c r="I619" t="e">
        <f t="shared" si="121"/>
        <v>#N/A</v>
      </c>
      <c r="J619" t="e">
        <f t="shared" si="122"/>
        <v>#N/A</v>
      </c>
      <c r="K619" t="e">
        <f t="shared" si="123"/>
        <v>#N/A</v>
      </c>
      <c r="L619" t="e">
        <f t="shared" si="124"/>
        <v>#N/A</v>
      </c>
      <c r="M619" t="e">
        <f t="shared" si="125"/>
        <v>#N/A</v>
      </c>
      <c r="N619" t="e">
        <f t="shared" si="126"/>
        <v>#N/A</v>
      </c>
      <c r="O619">
        <f t="shared" si="127"/>
        <v>20.000619</v>
      </c>
      <c r="P619" t="str">
        <f>IF(OR($A619="",games!$H619=""),"",games!$H619)</f>
        <v>Yes</v>
      </c>
      <c r="Q619">
        <f t="shared" si="128"/>
        <v>20.000619</v>
      </c>
      <c r="T619">
        <f>IF(connections!$A619="","",IFERROR(INDEX(games!$B$2:$B$950,MATCH(connections!$A619,games!$A$2:$A$950,0)),""))</f>
        <v>2018</v>
      </c>
      <c r="U619">
        <f>IF(connections!$A619="","",IFERROR(INDEX(games!$B$2:$B$950,MATCH(connections!$B619,games!$A$2:$A$950,0)),""))</f>
        <v>2024</v>
      </c>
      <c r="V619">
        <f t="shared" si="129"/>
        <v>6</v>
      </c>
    </row>
    <row r="620" spans="1:22" x14ac:dyDescent="0.25">
      <c r="A620" t="str">
        <f>IF(games!$A620="","",games!$A620)</f>
        <v>Risk of Rain Returns</v>
      </c>
      <c r="B620">
        <f>IF($A620="","",games!$B620)</f>
        <v>2023</v>
      </c>
      <c r="C620" t="str">
        <f>IF($A620="","",games!$C620)</f>
        <v>Action</v>
      </c>
      <c r="D620">
        <f>IF($A620="","",COUNTIF(connections!$A$2:$A$1460,$A620)+COUNTIF(connections!$B$2:$B$1460,$A620))</f>
        <v>1</v>
      </c>
      <c r="E620">
        <f t="shared" si="117"/>
        <v>1</v>
      </c>
      <c r="F620">
        <f t="shared" si="118"/>
        <v>8</v>
      </c>
      <c r="G620">
        <f t="shared" si="119"/>
        <v>2023</v>
      </c>
      <c r="H620">
        <f t="shared" si="120"/>
        <v>1.1839999999999999</v>
      </c>
      <c r="I620" t="e">
        <f t="shared" si="121"/>
        <v>#N/A</v>
      </c>
      <c r="J620" t="e">
        <f t="shared" si="122"/>
        <v>#N/A</v>
      </c>
      <c r="K620" t="e">
        <f t="shared" si="123"/>
        <v>#N/A</v>
      </c>
      <c r="L620" t="e">
        <f t="shared" si="124"/>
        <v>#N/A</v>
      </c>
      <c r="M620" t="e">
        <f t="shared" si="125"/>
        <v>#N/A</v>
      </c>
      <c r="N620" t="e">
        <f t="shared" si="126"/>
        <v>#N/A</v>
      </c>
      <c r="O620">
        <f t="shared" si="127"/>
        <v>1.0006200000000001</v>
      </c>
      <c r="P620" t="str">
        <f>IF(OR($A620="",games!$H620=""),"",games!$H620)</f>
        <v>Yes</v>
      </c>
      <c r="Q620">
        <f t="shared" si="128"/>
        <v>1.0006200000000001</v>
      </c>
      <c r="T620">
        <f>IF(connections!$A620="","",IFERROR(INDEX(games!$B$2:$B$950,MATCH(connections!$A620,games!$A$2:$A$950,0)),""))</f>
        <v>2018</v>
      </c>
      <c r="U620">
        <f>IF(connections!$A620="","",IFERROR(INDEX(games!$B$2:$B$950,MATCH(connections!$B620,games!$A$2:$A$950,0)),""))</f>
        <v>2023</v>
      </c>
      <c r="V620">
        <f t="shared" si="129"/>
        <v>5</v>
      </c>
    </row>
    <row r="621" spans="1:22" x14ac:dyDescent="0.25">
      <c r="A621" t="str">
        <f>IF(games!$A621="","",games!$A621)</f>
        <v>Road Not Taken</v>
      </c>
      <c r="B621">
        <f>IF($A621="","",games!$B621)</f>
        <v>2014</v>
      </c>
      <c r="C621" t="str">
        <f>IF($A621="","",games!$C621)</f>
        <v>Strategy</v>
      </c>
      <c r="D621">
        <f>IF($A621="","",COUNTIF(connections!$A$2:$A$1460,$A621)+COUNTIF(connections!$B$2:$B$1460,$A621))</f>
        <v>2</v>
      </c>
      <c r="E621">
        <f t="shared" si="117"/>
        <v>2</v>
      </c>
      <c r="F621">
        <f t="shared" si="118"/>
        <v>9</v>
      </c>
      <c r="G621" t="e">
        <f t="shared" si="119"/>
        <v>#N/A</v>
      </c>
      <c r="H621" t="e">
        <f t="shared" si="120"/>
        <v>#N/A</v>
      </c>
      <c r="I621">
        <f t="shared" si="121"/>
        <v>2014</v>
      </c>
      <c r="J621">
        <f t="shared" si="122"/>
        <v>2.2069999999999999</v>
      </c>
      <c r="K621" t="e">
        <f t="shared" si="123"/>
        <v>#N/A</v>
      </c>
      <c r="L621" t="e">
        <f t="shared" si="124"/>
        <v>#N/A</v>
      </c>
      <c r="M621" t="e">
        <f t="shared" si="125"/>
        <v>#N/A</v>
      </c>
      <c r="N621" t="e">
        <f t="shared" si="126"/>
        <v>#N/A</v>
      </c>
      <c r="O621">
        <f t="shared" si="127"/>
        <v>2.0006210000000002</v>
      </c>
      <c r="P621" t="str">
        <f>IF(OR($A621="",games!$H621=""),"",games!$H621)</f>
        <v/>
      </c>
      <c r="Q621" t="str">
        <f t="shared" si="128"/>
        <v/>
      </c>
      <c r="T621">
        <f>IF(connections!$A621="","",IFERROR(INDEX(games!$B$2:$B$950,MATCH(connections!$A621,games!$A$2:$A$950,0)),""))</f>
        <v>2018</v>
      </c>
      <c r="U621">
        <f>IF(connections!$A621="","",IFERROR(INDEX(games!$B$2:$B$950,MATCH(connections!$B621,games!$A$2:$A$950,0)),""))</f>
        <v>2023</v>
      </c>
      <c r="V621">
        <f t="shared" si="129"/>
        <v>5</v>
      </c>
    </row>
    <row r="622" spans="1:22" x14ac:dyDescent="0.25">
      <c r="A622" t="str">
        <f>IF(games!$A622="","",games!$A622)</f>
        <v>Roboquest</v>
      </c>
      <c r="B622">
        <f>IF($A622="","",games!$B622)</f>
        <v>2020</v>
      </c>
      <c r="C622" t="str">
        <f>IF($A622="","",games!$C622)</f>
        <v>Action</v>
      </c>
      <c r="D622">
        <f>IF($A622="","",COUNTIF(connections!$A$2:$A$1460,$A622)+COUNTIF(connections!$B$2:$B$1460,$A622))</f>
        <v>9</v>
      </c>
      <c r="E622">
        <f t="shared" si="117"/>
        <v>1</v>
      </c>
      <c r="F622">
        <f t="shared" si="118"/>
        <v>10</v>
      </c>
      <c r="G622">
        <f t="shared" si="119"/>
        <v>2020</v>
      </c>
      <c r="H622">
        <f t="shared" si="120"/>
        <v>1.23</v>
      </c>
      <c r="I622" t="e">
        <f t="shared" si="121"/>
        <v>#N/A</v>
      </c>
      <c r="J622" t="e">
        <f t="shared" si="122"/>
        <v>#N/A</v>
      </c>
      <c r="K622" t="e">
        <f t="shared" si="123"/>
        <v>#N/A</v>
      </c>
      <c r="L622" t="e">
        <f t="shared" si="124"/>
        <v>#N/A</v>
      </c>
      <c r="M622" t="e">
        <f t="shared" si="125"/>
        <v>#N/A</v>
      </c>
      <c r="N622" t="e">
        <f t="shared" si="126"/>
        <v>#N/A</v>
      </c>
      <c r="O622">
        <f t="shared" si="127"/>
        <v>9.0006219999999999</v>
      </c>
      <c r="P622" t="str">
        <f>IF(OR($A622="",games!$H622=""),"",games!$H622)</f>
        <v>Yes</v>
      </c>
      <c r="Q622">
        <f t="shared" si="128"/>
        <v>9.0006219999999999</v>
      </c>
      <c r="T622">
        <f>IF(connections!$A622="","",IFERROR(INDEX(games!$B$2:$B$950,MATCH(connections!$A622,games!$A$2:$A$950,0)),""))</f>
        <v>2018</v>
      </c>
      <c r="U622">
        <f>IF(connections!$A622="","",IFERROR(INDEX(games!$B$2:$B$950,MATCH(connections!$B622,games!$A$2:$A$950,0)),""))</f>
        <v>2020</v>
      </c>
      <c r="V622">
        <f t="shared" si="129"/>
        <v>2</v>
      </c>
    </row>
    <row r="623" spans="1:22" x14ac:dyDescent="0.25">
      <c r="A623" t="str">
        <f>IF(games!$A623="","",games!$A623)</f>
        <v>Rocket Rats</v>
      </c>
      <c r="B623">
        <f>IF($A623="","",games!$B623)</f>
        <v>2024</v>
      </c>
      <c r="C623" t="str">
        <f>IF($A623="","",games!$C623)</f>
        <v>Action</v>
      </c>
      <c r="D623">
        <f>IF($A623="","",COUNTIF(connections!$A$2:$A$1460,$A623)+COUNTIF(connections!$B$2:$B$1460,$A623))</f>
        <v>1</v>
      </c>
      <c r="E623">
        <f t="shared" si="117"/>
        <v>1</v>
      </c>
      <c r="F623">
        <f t="shared" si="118"/>
        <v>11</v>
      </c>
      <c r="G623">
        <f t="shared" si="119"/>
        <v>2024</v>
      </c>
      <c r="H623">
        <f t="shared" si="120"/>
        <v>1.2530000000000001</v>
      </c>
      <c r="I623" t="e">
        <f t="shared" si="121"/>
        <v>#N/A</v>
      </c>
      <c r="J623" t="e">
        <f t="shared" si="122"/>
        <v>#N/A</v>
      </c>
      <c r="K623" t="e">
        <f t="shared" si="123"/>
        <v>#N/A</v>
      </c>
      <c r="L623" t="e">
        <f t="shared" si="124"/>
        <v>#N/A</v>
      </c>
      <c r="M623" t="e">
        <f t="shared" si="125"/>
        <v>#N/A</v>
      </c>
      <c r="N623" t="e">
        <f t="shared" si="126"/>
        <v>#N/A</v>
      </c>
      <c r="O623">
        <f t="shared" si="127"/>
        <v>1.000623</v>
      </c>
      <c r="P623" t="str">
        <f>IF(OR($A623="",games!$H623=""),"",games!$H623)</f>
        <v>Yes</v>
      </c>
      <c r="Q623">
        <f t="shared" si="128"/>
        <v>1.000623</v>
      </c>
      <c r="T623">
        <f>IF(connections!$A623="","",IFERROR(INDEX(games!$B$2:$B$950,MATCH(connections!$A623,games!$A$2:$A$950,0)),""))</f>
        <v>2018</v>
      </c>
      <c r="U623">
        <f>IF(connections!$A623="","",IFERROR(INDEX(games!$B$2:$B$950,MATCH(connections!$B623,games!$A$2:$A$950,0)),""))</f>
        <v>2022</v>
      </c>
      <c r="V623">
        <f t="shared" si="129"/>
        <v>4</v>
      </c>
    </row>
    <row r="624" spans="1:22" x14ac:dyDescent="0.25">
      <c r="A624" t="str">
        <f>IF(games!$A624="","",games!$A624)</f>
        <v>Rogue</v>
      </c>
      <c r="B624">
        <f>IF($A624="","",games!$B624)</f>
        <v>1980</v>
      </c>
      <c r="C624" t="str">
        <f>IF($A624="","",games!$C624)</f>
        <v>Traditional</v>
      </c>
      <c r="D624">
        <f>IF($A624="","",COUNTIF(connections!$A$2:$A$1460,$A624)+COUNTIF(connections!$B$2:$B$1460,$A624))</f>
        <v>29</v>
      </c>
      <c r="E624">
        <f t="shared" si="117"/>
        <v>4</v>
      </c>
      <c r="F624">
        <f t="shared" si="118"/>
        <v>12</v>
      </c>
      <c r="G624" t="e">
        <f t="shared" si="119"/>
        <v>#N/A</v>
      </c>
      <c r="H624" t="e">
        <f t="shared" si="120"/>
        <v>#N/A</v>
      </c>
      <c r="I624" t="e">
        <f t="shared" si="121"/>
        <v>#N/A</v>
      </c>
      <c r="J624" t="e">
        <f t="shared" si="122"/>
        <v>#N/A</v>
      </c>
      <c r="K624" t="e">
        <f t="shared" si="123"/>
        <v>#N/A</v>
      </c>
      <c r="L624" t="e">
        <f t="shared" si="124"/>
        <v>#N/A</v>
      </c>
      <c r="M624">
        <f t="shared" si="125"/>
        <v>1980</v>
      </c>
      <c r="N624">
        <f t="shared" si="126"/>
        <v>4.2759999999999998</v>
      </c>
      <c r="O624">
        <f t="shared" si="127"/>
        <v>29.000623999999998</v>
      </c>
      <c r="P624" t="str">
        <f>IF(OR($A624="",games!$H624=""),"",games!$H624)</f>
        <v>Yes</v>
      </c>
      <c r="Q624">
        <f t="shared" si="128"/>
        <v>29.000623999999998</v>
      </c>
      <c r="T624">
        <f>IF(connections!$A624="","",IFERROR(INDEX(games!$B$2:$B$950,MATCH(connections!$A624,games!$A$2:$A$950,0)),""))</f>
        <v>2018</v>
      </c>
      <c r="U624">
        <f>IF(connections!$A624="","",IFERROR(INDEX(games!$B$2:$B$950,MATCH(connections!$B624,games!$A$2:$A$950,0)),""))</f>
        <v>2021</v>
      </c>
      <c r="V624">
        <f t="shared" si="129"/>
        <v>3</v>
      </c>
    </row>
    <row r="625" spans="1:22" x14ac:dyDescent="0.25">
      <c r="A625" t="str">
        <f>IF(games!$A625="","",games!$A625)</f>
        <v>Rogue Command</v>
      </c>
      <c r="B625">
        <f>IF($A625="","",games!$B625)</f>
        <v>2024</v>
      </c>
      <c r="C625" t="str">
        <f>IF($A625="","",games!$C625)</f>
        <v>Strategy</v>
      </c>
      <c r="D625">
        <f>IF($A625="","",COUNTIF(connections!$A$2:$A$1460,$A625)+COUNTIF(connections!$B$2:$B$1460,$A625))</f>
        <v>3</v>
      </c>
      <c r="E625">
        <f t="shared" si="117"/>
        <v>2</v>
      </c>
      <c r="F625">
        <f t="shared" si="118"/>
        <v>13</v>
      </c>
      <c r="G625" t="e">
        <f t="shared" si="119"/>
        <v>#N/A</v>
      </c>
      <c r="H625" t="e">
        <f t="shared" si="120"/>
        <v>#N/A</v>
      </c>
      <c r="I625">
        <f t="shared" si="121"/>
        <v>2024</v>
      </c>
      <c r="J625">
        <f t="shared" si="122"/>
        <v>2.2989999999999999</v>
      </c>
      <c r="K625" t="e">
        <f t="shared" si="123"/>
        <v>#N/A</v>
      </c>
      <c r="L625" t="e">
        <f t="shared" si="124"/>
        <v>#N/A</v>
      </c>
      <c r="M625" t="e">
        <f t="shared" si="125"/>
        <v>#N/A</v>
      </c>
      <c r="N625" t="e">
        <f t="shared" si="126"/>
        <v>#N/A</v>
      </c>
      <c r="O625">
        <f t="shared" si="127"/>
        <v>3.0006249999999999</v>
      </c>
      <c r="P625" t="str">
        <f>IF(OR($A625="",games!$H625=""),"",games!$H625)</f>
        <v/>
      </c>
      <c r="Q625" t="str">
        <f t="shared" si="128"/>
        <v/>
      </c>
      <c r="T625">
        <f>IF(connections!$A625="","",IFERROR(INDEX(games!$B$2:$B$950,MATCH(connections!$A625,games!$A$2:$A$950,0)),""))</f>
        <v>2018</v>
      </c>
      <c r="U625">
        <f>IF(connections!$A625="","",IFERROR(INDEX(games!$B$2:$B$950,MATCH(connections!$B625,games!$A$2:$A$950,0)),""))</f>
        <v>2023</v>
      </c>
      <c r="V625">
        <f t="shared" si="129"/>
        <v>5</v>
      </c>
    </row>
    <row r="626" spans="1:22" x14ac:dyDescent="0.25">
      <c r="A626" t="str">
        <f>IF(games!$A626="","",games!$A626)</f>
        <v>Rogue Empire</v>
      </c>
      <c r="B626">
        <f>IF($A626="","",games!$B626)</f>
        <v>2019</v>
      </c>
      <c r="C626" t="str">
        <f>IF($A626="","",games!$C626)</f>
        <v>Traditional</v>
      </c>
      <c r="D626">
        <f>IF($A626="","",COUNTIF(connections!$A$2:$A$1460,$A626)+COUNTIF(connections!$B$2:$B$1460,$A626))</f>
        <v>2</v>
      </c>
      <c r="E626">
        <f t="shared" si="117"/>
        <v>4</v>
      </c>
      <c r="F626">
        <f t="shared" si="118"/>
        <v>14</v>
      </c>
      <c r="G626" t="e">
        <f t="shared" si="119"/>
        <v>#N/A</v>
      </c>
      <c r="H626" t="e">
        <f t="shared" si="120"/>
        <v>#N/A</v>
      </c>
      <c r="I626" t="e">
        <f t="shared" si="121"/>
        <v>#N/A</v>
      </c>
      <c r="J626" t="e">
        <f t="shared" si="122"/>
        <v>#N/A</v>
      </c>
      <c r="K626" t="e">
        <f t="shared" si="123"/>
        <v>#N/A</v>
      </c>
      <c r="L626" t="e">
        <f t="shared" si="124"/>
        <v>#N/A</v>
      </c>
      <c r="M626">
        <f t="shared" si="125"/>
        <v>2019</v>
      </c>
      <c r="N626">
        <f t="shared" si="126"/>
        <v>4.3220000000000001</v>
      </c>
      <c r="O626">
        <f t="shared" si="127"/>
        <v>2.000626</v>
      </c>
      <c r="P626" t="str">
        <f>IF(OR($A626="",games!$H626=""),"",games!$H626)</f>
        <v/>
      </c>
      <c r="Q626" t="str">
        <f t="shared" si="128"/>
        <v/>
      </c>
      <c r="T626">
        <f>IF(connections!$A626="","",IFERROR(INDEX(games!$B$2:$B$950,MATCH(connections!$A626,games!$A$2:$A$950,0)),""))</f>
        <v>2018</v>
      </c>
      <c r="U626">
        <f>IF(connections!$A626="","",IFERROR(INDEX(games!$B$2:$B$950,MATCH(connections!$B626,games!$A$2:$A$950,0)),""))</f>
        <v>2024</v>
      </c>
      <c r="V626">
        <f t="shared" si="129"/>
        <v>6</v>
      </c>
    </row>
    <row r="627" spans="1:22" x14ac:dyDescent="0.25">
      <c r="A627" t="str">
        <f>IF(games!$A627="","",games!$A627)</f>
        <v>Rogue Factory</v>
      </c>
      <c r="B627">
        <f>IF($A627="","",games!$B627)</f>
        <v>2026</v>
      </c>
      <c r="C627" t="str">
        <f>IF($A627="","",games!$C627)</f>
        <v>Action</v>
      </c>
      <c r="D627">
        <f>IF($A627="","",COUNTIF(connections!$A$2:$A$1460,$A627)+COUNTIF(connections!$B$2:$B$1460,$A627))</f>
        <v>2</v>
      </c>
      <c r="E627">
        <f t="shared" si="117"/>
        <v>1</v>
      </c>
      <c r="F627">
        <f t="shared" si="118"/>
        <v>15</v>
      </c>
      <c r="G627">
        <f t="shared" si="119"/>
        <v>2026</v>
      </c>
      <c r="H627">
        <f t="shared" si="120"/>
        <v>1.345</v>
      </c>
      <c r="I627" t="e">
        <f t="shared" si="121"/>
        <v>#N/A</v>
      </c>
      <c r="J627" t="e">
        <f t="shared" si="122"/>
        <v>#N/A</v>
      </c>
      <c r="K627" t="e">
        <f t="shared" si="123"/>
        <v>#N/A</v>
      </c>
      <c r="L627" t="e">
        <f t="shared" si="124"/>
        <v>#N/A</v>
      </c>
      <c r="M627" t="e">
        <f t="shared" si="125"/>
        <v>#N/A</v>
      </c>
      <c r="N627" t="e">
        <f t="shared" si="126"/>
        <v>#N/A</v>
      </c>
      <c r="O627">
        <f t="shared" si="127"/>
        <v>2.0006270000000002</v>
      </c>
      <c r="P627" t="str">
        <f>IF(OR($A627="",games!$H627=""),"",games!$H627)</f>
        <v/>
      </c>
      <c r="Q627" t="str">
        <f t="shared" si="128"/>
        <v/>
      </c>
      <c r="T627">
        <f>IF(connections!$A627="","",IFERROR(INDEX(games!$B$2:$B$950,MATCH(connections!$A627,games!$A$2:$A$950,0)),""))</f>
        <v>2001</v>
      </c>
      <c r="U627">
        <f>IF(connections!$A627="","",IFERROR(INDEX(games!$B$2:$B$950,MATCH(connections!$B627,games!$A$2:$A$950,0)),""))</f>
        <v>2015</v>
      </c>
      <c r="V627">
        <f t="shared" si="129"/>
        <v>14</v>
      </c>
    </row>
    <row r="628" spans="1:22" x14ac:dyDescent="0.25">
      <c r="A628" t="str">
        <f>IF(games!$A628="","",games!$A628)</f>
        <v>Rogue Flight</v>
      </c>
      <c r="B628">
        <f>IF($A628="","",games!$B628)</f>
        <v>2024</v>
      </c>
      <c r="C628" t="str">
        <f>IF($A628="","",games!$C628)</f>
        <v>Action</v>
      </c>
      <c r="D628">
        <f>IF($A628="","",COUNTIF(connections!$A$2:$A$1460,$A628)+COUNTIF(connections!$B$2:$B$1460,$A628))</f>
        <v>0</v>
      </c>
      <c r="E628">
        <f t="shared" si="117"/>
        <v>1</v>
      </c>
      <c r="F628">
        <f t="shared" si="118"/>
        <v>16</v>
      </c>
      <c r="G628">
        <f t="shared" si="119"/>
        <v>2024</v>
      </c>
      <c r="H628">
        <f t="shared" si="120"/>
        <v>1.3679999999999999</v>
      </c>
      <c r="I628" t="e">
        <f t="shared" si="121"/>
        <v>#N/A</v>
      </c>
      <c r="J628" t="e">
        <f t="shared" si="122"/>
        <v>#N/A</v>
      </c>
      <c r="K628" t="e">
        <f t="shared" si="123"/>
        <v>#N/A</v>
      </c>
      <c r="L628" t="e">
        <f t="shared" si="124"/>
        <v>#N/A</v>
      </c>
      <c r="M628" t="e">
        <f t="shared" si="125"/>
        <v>#N/A</v>
      </c>
      <c r="N628" t="e">
        <f t="shared" si="126"/>
        <v>#N/A</v>
      </c>
      <c r="O628">
        <f t="shared" si="127"/>
        <v>6.2799999999999998E-4</v>
      </c>
      <c r="P628" t="str">
        <f>IF(OR($A628="",games!$H628=""),"",games!$H628)</f>
        <v/>
      </c>
      <c r="Q628" t="str">
        <f t="shared" si="128"/>
        <v/>
      </c>
      <c r="T628">
        <f>IF(connections!$A628="","",IFERROR(INDEX(games!$B$2:$B$950,MATCH(connections!$A628,games!$A$2:$A$950,0)),""))</f>
        <v>2001</v>
      </c>
      <c r="U628">
        <f>IF(connections!$A628="","",IFERROR(INDEX(games!$B$2:$B$950,MATCH(connections!$B628,games!$A$2:$A$950,0)),""))</f>
        <v>2024</v>
      </c>
      <c r="V628">
        <f t="shared" si="129"/>
        <v>23</v>
      </c>
    </row>
    <row r="629" spans="1:22" x14ac:dyDescent="0.25">
      <c r="A629" t="str">
        <f>IF(games!$A629="","",games!$A629)</f>
        <v>Rogue Hearts Dungeon</v>
      </c>
      <c r="B629">
        <f>IF($A629="","",games!$B629)</f>
        <v>2007</v>
      </c>
      <c r="C629" t="str">
        <f>IF($A629="","",games!$C629)</f>
        <v>Traditional</v>
      </c>
      <c r="D629">
        <f>IF($A629="","",COUNTIF(connections!$A$2:$A$1460,$A629)+COUNTIF(connections!$B$2:$B$1460,$A629))</f>
        <v>2</v>
      </c>
      <c r="E629">
        <f t="shared" si="117"/>
        <v>4</v>
      </c>
      <c r="F629">
        <f t="shared" si="118"/>
        <v>17</v>
      </c>
      <c r="G629" t="e">
        <f t="shared" si="119"/>
        <v>#N/A</v>
      </c>
      <c r="H629" t="e">
        <f t="shared" si="120"/>
        <v>#N/A</v>
      </c>
      <c r="I629" t="e">
        <f t="shared" si="121"/>
        <v>#N/A</v>
      </c>
      <c r="J629" t="e">
        <f t="shared" si="122"/>
        <v>#N/A</v>
      </c>
      <c r="K629" t="e">
        <f t="shared" si="123"/>
        <v>#N/A</v>
      </c>
      <c r="L629" t="e">
        <f t="shared" si="124"/>
        <v>#N/A</v>
      </c>
      <c r="M629">
        <f t="shared" si="125"/>
        <v>2007</v>
      </c>
      <c r="N629">
        <f t="shared" si="126"/>
        <v>4.391</v>
      </c>
      <c r="O629">
        <f t="shared" si="127"/>
        <v>2.000629</v>
      </c>
      <c r="P629" t="str">
        <f>IF(OR($A629="",games!$H629=""),"",games!$H629)</f>
        <v>Yes</v>
      </c>
      <c r="Q629">
        <f t="shared" si="128"/>
        <v>2.000629</v>
      </c>
      <c r="T629">
        <f>IF(connections!$A629="","",IFERROR(INDEX(games!$B$2:$B$950,MATCH(connections!$A629,games!$A$2:$A$950,0)),""))</f>
        <v>2006</v>
      </c>
      <c r="U629">
        <f>IF(connections!$A629="","",IFERROR(INDEX(games!$B$2:$B$950,MATCH(connections!$B629,games!$A$2:$A$950,0)),""))</f>
        <v>2007</v>
      </c>
      <c r="V629">
        <f t="shared" si="129"/>
        <v>1</v>
      </c>
    </row>
    <row r="630" spans="1:22" x14ac:dyDescent="0.25">
      <c r="A630" t="str">
        <f>IF(games!$A630="","",games!$A630)</f>
        <v>Rogue Heroes: Ruins of Tasos</v>
      </c>
      <c r="B630">
        <f>IF($A630="","",games!$B630)</f>
        <v>2021</v>
      </c>
      <c r="C630" t="str">
        <f>IF($A630="","",games!$C630)</f>
        <v>Action</v>
      </c>
      <c r="D630">
        <f>IF($A630="","",COUNTIF(connections!$A$2:$A$1460,$A630)+COUNTIF(connections!$B$2:$B$1460,$A630))</f>
        <v>1</v>
      </c>
      <c r="E630">
        <f t="shared" si="117"/>
        <v>1</v>
      </c>
      <c r="F630">
        <f t="shared" si="118"/>
        <v>18</v>
      </c>
      <c r="G630">
        <f t="shared" si="119"/>
        <v>2021</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Yes</v>
      </c>
      <c r="Q630">
        <f t="shared" si="128"/>
        <v>1.0006299999999999</v>
      </c>
      <c r="T630">
        <f>IF(connections!$A630="","",IFERROR(INDEX(games!$B$2:$B$950,MATCH(connections!$A630,games!$A$2:$A$950,0)),""))</f>
        <v>2016</v>
      </c>
      <c r="U630">
        <f>IF(connections!$A630="","",IFERROR(INDEX(games!$B$2:$B$950,MATCH(connections!$B630,games!$A$2:$A$950,0)),""))</f>
        <v>2022</v>
      </c>
      <c r="V630">
        <f t="shared" si="129"/>
        <v>6</v>
      </c>
    </row>
    <row r="631" spans="1:22" x14ac:dyDescent="0.25">
      <c r="A631" t="str">
        <f>IF(games!$A631="","",games!$A631)</f>
        <v>Rogue Legacy</v>
      </c>
      <c r="B631">
        <f>IF($A631="","",games!$B631)</f>
        <v>2013</v>
      </c>
      <c r="C631" t="str">
        <f>IF($A631="","",games!$C631)</f>
        <v>Action</v>
      </c>
      <c r="D631">
        <f>IF($A631="","",COUNTIF(connections!$A$2:$A$1460,$A631)+COUNTIF(connections!$B$2:$B$1460,$A631))</f>
        <v>19</v>
      </c>
      <c r="E631">
        <f t="shared" si="117"/>
        <v>1</v>
      </c>
      <c r="F631">
        <f t="shared" si="118"/>
        <v>19</v>
      </c>
      <c r="G631">
        <f t="shared" si="119"/>
        <v>2013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19.000630999999998</v>
      </c>
      <c r="P631" t="str">
        <f>IF(OR($A631="",games!$H631=""),"",games!$H631)</f>
        <v>Yes</v>
      </c>
      <c r="Q631">
        <f t="shared" si="128"/>
        <v>19.000630999999998</v>
      </c>
      <c r="T631">
        <f>IF(connections!$A631="","",IFERROR(INDEX(games!$B$2:$B$950,MATCH(connections!$A631,games!$A$2:$A$950,0)),""))</f>
        <v>2016</v>
      </c>
      <c r="U631">
        <f>IF(connections!$A631="","",IFERROR(INDEX(games!$B$2:$B$950,MATCH(connections!$B631,games!$A$2:$A$950,0)),""))</f>
        <v>2024</v>
      </c>
      <c r="V631">
        <f t="shared" si="129"/>
        <v>8</v>
      </c>
    </row>
    <row r="632" spans="1:22" x14ac:dyDescent="0.25">
      <c r="A632" t="str">
        <f>IF(games!$A632="","",games!$A632)</f>
        <v>Rogue Legacy 2</v>
      </c>
      <c r="B632">
        <f>IF($A632="","",games!$B632)</f>
        <v>2020</v>
      </c>
      <c r="C632" t="str">
        <f>IF($A632="","",games!$C632)</f>
        <v>Action</v>
      </c>
      <c r="D632">
        <f>IF($A632="","",COUNTIF(connections!$A$2:$A$1460,$A632)+COUNTIF(connections!$B$2:$B$1460,$A632))</f>
        <v>1</v>
      </c>
      <c r="E632">
        <f t="shared" si="117"/>
        <v>1</v>
      </c>
      <c r="F632">
        <f t="shared" si="118"/>
        <v>20</v>
      </c>
      <c r="G632">
        <f t="shared" si="119"/>
        <v>2020</v>
      </c>
      <c r="H632">
        <f t="shared" si="120"/>
        <v>1.46</v>
      </c>
      <c r="I632" t="e">
        <f t="shared" si="121"/>
        <v>#N/A</v>
      </c>
      <c r="J632" t="e">
        <f t="shared" si="122"/>
        <v>#N/A</v>
      </c>
      <c r="K632" t="e">
        <f t="shared" si="123"/>
        <v>#N/A</v>
      </c>
      <c r="L632" t="e">
        <f t="shared" si="124"/>
        <v>#N/A</v>
      </c>
      <c r="M632" t="e">
        <f t="shared" si="125"/>
        <v>#N/A</v>
      </c>
      <c r="N632" t="e">
        <f t="shared" si="126"/>
        <v>#N/A</v>
      </c>
      <c r="O632">
        <f t="shared" si="127"/>
        <v>1.000632</v>
      </c>
      <c r="P632" t="str">
        <f>IF(OR($A632="",games!$H632=""),"",games!$H632)</f>
        <v>Yes</v>
      </c>
      <c r="Q632">
        <f t="shared" si="128"/>
        <v>1.000632</v>
      </c>
      <c r="T632">
        <f>IF(connections!$A632="","",IFERROR(INDEX(games!$B$2:$B$950,MATCH(connections!$A632,games!$A$2:$A$950,0)),""))</f>
        <v>2016</v>
      </c>
      <c r="U632">
        <f>IF(connections!$A632="","",IFERROR(INDEX(games!$B$2:$B$950,MATCH(connections!$B632,games!$A$2:$A$950,0)),""))</f>
        <v>2019</v>
      </c>
      <c r="V632">
        <f t="shared" si="129"/>
        <v>3</v>
      </c>
    </row>
    <row r="633" spans="1:22" x14ac:dyDescent="0.25">
      <c r="A633" t="str">
        <f>IF(games!$A633="","",games!$A633)</f>
        <v>Rogue Lords</v>
      </c>
      <c r="B633">
        <f>IF($A633="","",games!$B633)</f>
        <v>2021</v>
      </c>
      <c r="C633" t="str">
        <f>IF($A633="","",games!$C633)</f>
        <v>Strategy</v>
      </c>
      <c r="D633">
        <f>IF($A633="","",COUNTIF(connections!$A$2:$A$1460,$A633)+COUNTIF(connections!$B$2:$B$1460,$A633))</f>
        <v>1</v>
      </c>
      <c r="E633">
        <f t="shared" si="117"/>
        <v>2</v>
      </c>
      <c r="F633">
        <f t="shared" si="118"/>
        <v>21</v>
      </c>
      <c r="G633" t="e">
        <f t="shared" si="119"/>
        <v>#N/A</v>
      </c>
      <c r="H633" t="e">
        <f t="shared" si="120"/>
        <v>#N/A</v>
      </c>
      <c r="I633">
        <f t="shared" si="121"/>
        <v>2021</v>
      </c>
      <c r="J633">
        <f t="shared" si="122"/>
        <v>2.4830000000000001</v>
      </c>
      <c r="K633" t="e">
        <f t="shared" si="123"/>
        <v>#N/A</v>
      </c>
      <c r="L633" t="e">
        <f t="shared" si="124"/>
        <v>#N/A</v>
      </c>
      <c r="M633" t="e">
        <f t="shared" si="125"/>
        <v>#N/A</v>
      </c>
      <c r="N633" t="e">
        <f t="shared" si="126"/>
        <v>#N/A</v>
      </c>
      <c r="O633">
        <f t="shared" si="127"/>
        <v>1.0006330000000001</v>
      </c>
      <c r="P633" t="str">
        <f>IF(OR($A633="",games!$H633=""),"",games!$H633)</f>
        <v>Yes</v>
      </c>
      <c r="Q633">
        <f t="shared" si="128"/>
        <v>1.0006330000000001</v>
      </c>
      <c r="T633">
        <f>IF(connections!$A633="","",IFERROR(INDEX(games!$B$2:$B$950,MATCH(connections!$A633,games!$A$2:$A$950,0)),""))</f>
        <v>2024</v>
      </c>
      <c r="U633">
        <f>IF(connections!$A633="","",IFERROR(INDEX(games!$B$2:$B$950,MATCH(connections!$B633,games!$A$2:$A$950,0)),""))</f>
        <v>2026</v>
      </c>
      <c r="V633">
        <f t="shared" si="129"/>
        <v>2</v>
      </c>
    </row>
    <row r="634" spans="1:22" x14ac:dyDescent="0.25">
      <c r="A634" t="str">
        <f>IF(games!$A634="","",games!$A634)</f>
        <v>Rogue Tower</v>
      </c>
      <c r="B634">
        <f>IF($A634="","",games!$B634)</f>
        <v>2022</v>
      </c>
      <c r="C634" t="str">
        <f>IF($A634="","",games!$C634)</f>
        <v>Strategy</v>
      </c>
      <c r="D634">
        <f>IF($A634="","",COUNTIF(connections!$A$2:$A$1460,$A634)+COUNTIF(connections!$B$2:$B$1460,$A634))</f>
        <v>2</v>
      </c>
      <c r="E634">
        <f t="shared" si="117"/>
        <v>2</v>
      </c>
      <c r="F634">
        <f t="shared" si="118"/>
        <v>22</v>
      </c>
      <c r="G634" t="e">
        <f t="shared" si="119"/>
        <v>#N/A</v>
      </c>
      <c r="H634" t="e">
        <f t="shared" si="120"/>
        <v>#N/A</v>
      </c>
      <c r="I634">
        <f t="shared" si="121"/>
        <v>2022</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1986</v>
      </c>
      <c r="U634">
        <f>IF(connections!$A634="","",IFERROR(INDEX(games!$B$2:$B$950,MATCH(connections!$B634,games!$A$2:$A$950,0)),""))</f>
        <v>1994</v>
      </c>
      <c r="V634">
        <f t="shared" si="129"/>
        <v>8</v>
      </c>
    </row>
    <row r="635" spans="1:22" x14ac:dyDescent="0.25">
      <c r="A635" t="str">
        <f>IF(games!$A635="","",games!$A635)</f>
        <v>Rogue Voltage</v>
      </c>
      <c r="B635">
        <f>IF($A635="","",games!$B635)</f>
        <v>2024</v>
      </c>
      <c r="C635" t="str">
        <f>IF($A635="","",games!$C635)</f>
        <v>Deckbuilder</v>
      </c>
      <c r="D635">
        <f>IF($A635="","",COUNTIF(connections!$A$2:$A$1460,$A635)+COUNTIF(connections!$B$2:$B$1460,$A635))</f>
        <v>6</v>
      </c>
      <c r="E635">
        <f t="shared" si="117"/>
        <v>3</v>
      </c>
      <c r="F635">
        <f t="shared" si="118"/>
        <v>23</v>
      </c>
      <c r="G635" t="e">
        <f t="shared" si="119"/>
        <v>#N/A</v>
      </c>
      <c r="H635" t="e">
        <f t="shared" si="120"/>
        <v>#N/A</v>
      </c>
      <c r="I635" t="e">
        <f t="shared" si="121"/>
        <v>#N/A</v>
      </c>
      <c r="J635" t="e">
        <f t="shared" si="122"/>
        <v>#N/A</v>
      </c>
      <c r="K635">
        <f t="shared" si="123"/>
        <v>2024</v>
      </c>
      <c r="L635">
        <f t="shared" si="124"/>
        <v>3.5289999999999999</v>
      </c>
      <c r="M635" t="e">
        <f t="shared" si="125"/>
        <v>#N/A</v>
      </c>
      <c r="N635" t="e">
        <f t="shared" si="126"/>
        <v>#N/A</v>
      </c>
      <c r="O635">
        <f t="shared" si="127"/>
        <v>6.0006349999999999</v>
      </c>
      <c r="P635" t="str">
        <f>IF(OR($A635="",games!$H635=""),"",games!$H635)</f>
        <v/>
      </c>
      <c r="Q635" t="str">
        <f t="shared" si="128"/>
        <v/>
      </c>
      <c r="T635">
        <f>IF(connections!$A635="","",IFERROR(INDEX(games!$B$2:$B$950,MATCH(connections!$A635,games!$A$2:$A$950,0)),""))</f>
        <v>1995</v>
      </c>
      <c r="U635">
        <f>IF(connections!$A635="","",IFERROR(INDEX(games!$B$2:$B$950,MATCH(connections!$B635,games!$A$2:$A$950,0)),""))</f>
        <v>2006</v>
      </c>
      <c r="V635">
        <f t="shared" si="129"/>
        <v>11</v>
      </c>
    </row>
    <row r="636" spans="1:22" x14ac:dyDescent="0.25">
      <c r="A636" t="str">
        <f>IF(games!$A636="","",games!$A636)</f>
        <v>Rogue Wizards</v>
      </c>
      <c r="B636">
        <f>IF($A636="","",games!$B636)</f>
        <v>2016</v>
      </c>
      <c r="C636" t="str">
        <f>IF($A636="","",games!$C636)</f>
        <v>Strategy</v>
      </c>
      <c r="D636">
        <f>IF($A636="","",COUNTIF(connections!$A$2:$A$1460,$A636)+COUNTIF(connections!$B$2:$B$1460,$A636))</f>
        <v>2</v>
      </c>
      <c r="E636">
        <f t="shared" si="117"/>
        <v>2</v>
      </c>
      <c r="F636">
        <f t="shared" si="118"/>
        <v>24</v>
      </c>
      <c r="G636" t="e">
        <f t="shared" si="119"/>
        <v>#N/A</v>
      </c>
      <c r="H636" t="e">
        <f t="shared" si="120"/>
        <v>#N/A</v>
      </c>
      <c r="I636">
        <f t="shared" si="121"/>
        <v>2016</v>
      </c>
      <c r="J636">
        <f t="shared" si="122"/>
        <v>2.552</v>
      </c>
      <c r="K636" t="e">
        <f t="shared" si="123"/>
        <v>#N/A</v>
      </c>
      <c r="L636" t="e">
        <f t="shared" si="124"/>
        <v>#N/A</v>
      </c>
      <c r="M636" t="e">
        <f t="shared" si="125"/>
        <v>#N/A</v>
      </c>
      <c r="N636" t="e">
        <f t="shared" si="126"/>
        <v>#N/A</v>
      </c>
      <c r="O636">
        <f t="shared" si="127"/>
        <v>2.0006360000000001</v>
      </c>
      <c r="P636" t="str">
        <f>IF(OR($A636="",games!$H636=""),"",games!$H636)</f>
        <v/>
      </c>
      <c r="Q636" t="str">
        <f t="shared" si="128"/>
        <v/>
      </c>
      <c r="T636">
        <f>IF(connections!$A636="","",IFERROR(INDEX(games!$B$2:$B$950,MATCH(connections!$A636,games!$A$2:$A$950,0)),""))</f>
        <v>1995</v>
      </c>
      <c r="U636">
        <f>IF(connections!$A636="","",IFERROR(INDEX(games!$B$2:$B$950,MATCH(connections!$B636,games!$A$2:$A$950,0)),""))</f>
        <v>2006</v>
      </c>
      <c r="V636">
        <f t="shared" si="129"/>
        <v>11</v>
      </c>
    </row>
    <row r="637" spans="1:22" x14ac:dyDescent="0.25">
      <c r="A637" t="str">
        <f>IF(games!$A637="","",games!$A637)</f>
        <v>Rogue: Genesia</v>
      </c>
      <c r="B637">
        <f>IF($A637="","",games!$B637)</f>
        <v>2022</v>
      </c>
      <c r="C637" t="str">
        <f>IF($A637="","",games!$C637)</f>
        <v>Action</v>
      </c>
      <c r="D637">
        <f>IF($A637="","",COUNTIF(connections!$A$2:$A$1460,$A637)+COUNTIF(connections!$B$2:$B$1460,$A637))</f>
        <v>3</v>
      </c>
      <c r="E637">
        <f t="shared" si="117"/>
        <v>1</v>
      </c>
      <c r="F637">
        <f t="shared" si="118"/>
        <v>25</v>
      </c>
      <c r="G637">
        <f t="shared" si="119"/>
        <v>2022</v>
      </c>
      <c r="H637">
        <f t="shared" si="120"/>
        <v>1.575</v>
      </c>
      <c r="I637" t="e">
        <f t="shared" si="121"/>
        <v>#N/A</v>
      </c>
      <c r="J637" t="e">
        <f t="shared" si="122"/>
        <v>#N/A</v>
      </c>
      <c r="K637" t="e">
        <f t="shared" si="123"/>
        <v>#N/A</v>
      </c>
      <c r="L637" t="e">
        <f t="shared" si="124"/>
        <v>#N/A</v>
      </c>
      <c r="M637" t="e">
        <f t="shared" si="125"/>
        <v>#N/A</v>
      </c>
      <c r="N637" t="e">
        <f t="shared" si="126"/>
        <v>#N/A</v>
      </c>
      <c r="O637">
        <f t="shared" si="127"/>
        <v>3.0006370000000002</v>
      </c>
      <c r="P637" t="str">
        <f>IF(OR($A637="",games!$H637=""),"",games!$H637)</f>
        <v>Yes</v>
      </c>
      <c r="Q637">
        <f t="shared" si="128"/>
        <v>3.0006370000000002</v>
      </c>
      <c r="T637">
        <f>IF(connections!$A637="","",IFERROR(INDEX(games!$B$2:$B$950,MATCH(connections!$A637,games!$A$2:$A$950,0)),""))</f>
        <v>1995</v>
      </c>
      <c r="U637">
        <f>IF(connections!$A637="","",IFERROR(INDEX(games!$B$2:$B$950,MATCH(connections!$B637,games!$A$2:$A$950,0)),""))</f>
        <v>2003</v>
      </c>
      <c r="V637">
        <f t="shared" si="129"/>
        <v>8</v>
      </c>
    </row>
    <row r="638" spans="1:22" x14ac:dyDescent="0.25">
      <c r="A638" t="str">
        <f>IF(games!$A638="","",games!$A638)</f>
        <v>Roguebook</v>
      </c>
      <c r="B638">
        <f>IF($A638="","",games!$B638)</f>
        <v>2021</v>
      </c>
      <c r="C638" t="str">
        <f>IF($A638="","",games!$C638)</f>
        <v>Deckbuilder</v>
      </c>
      <c r="D638">
        <f>IF($A638="","",COUNTIF(connections!$A$2:$A$1460,$A638)+COUNTIF(connections!$B$2:$B$1460,$A638))</f>
        <v>3</v>
      </c>
      <c r="E638">
        <f t="shared" si="117"/>
        <v>3</v>
      </c>
      <c r="F638">
        <f t="shared" si="118"/>
        <v>26</v>
      </c>
      <c r="G638" t="e">
        <f t="shared" si="119"/>
        <v>#N/A</v>
      </c>
      <c r="H638" t="e">
        <f t="shared" si="120"/>
        <v>#N/A</v>
      </c>
      <c r="I638" t="e">
        <f t="shared" si="121"/>
        <v>#N/A</v>
      </c>
      <c r="J638" t="e">
        <f t="shared" si="122"/>
        <v>#N/A</v>
      </c>
      <c r="K638">
        <f t="shared" si="123"/>
        <v>2021</v>
      </c>
      <c r="L638">
        <f t="shared" si="124"/>
        <v>3.5979999999999999</v>
      </c>
      <c r="M638" t="e">
        <f t="shared" si="125"/>
        <v>#N/A</v>
      </c>
      <c r="N638" t="e">
        <f t="shared" si="126"/>
        <v>#N/A</v>
      </c>
      <c r="O638">
        <f t="shared" si="127"/>
        <v>3.0006379999999999</v>
      </c>
      <c r="P638" t="str">
        <f>IF(OR($A638="",games!$H638=""),"",games!$H638)</f>
        <v>Yes</v>
      </c>
      <c r="Q638">
        <f t="shared" si="128"/>
        <v>3.0006379999999999</v>
      </c>
      <c r="T638">
        <f>IF(connections!$A638="","",IFERROR(INDEX(games!$B$2:$B$950,MATCH(connections!$A638,games!$A$2:$A$950,0)),""))</f>
        <v>1995</v>
      </c>
      <c r="U638">
        <f>IF(connections!$A638="","",IFERROR(INDEX(games!$B$2:$B$950,MATCH(connections!$B638,games!$A$2:$A$950,0)),""))</f>
        <v>2002</v>
      </c>
      <c r="V638">
        <f t="shared" si="129"/>
        <v>7</v>
      </c>
    </row>
    <row r="639" spans="1:22" x14ac:dyDescent="0.25">
      <c r="A639" t="str">
        <f>IF(games!$A639="","",games!$A639)</f>
        <v>Rogue-Fp</v>
      </c>
      <c r="B639">
        <f>IF($A639="","",games!$B639)</f>
        <v>2023</v>
      </c>
      <c r="C639" t="str">
        <f>IF($A639="","",games!$C639)</f>
        <v>Traditional</v>
      </c>
      <c r="D639">
        <f>IF($A639="","",COUNTIF(connections!$A$2:$A$1460,$A639)+COUNTIF(connections!$B$2:$B$1460,$A639))</f>
        <v>2</v>
      </c>
      <c r="E639">
        <f t="shared" si="117"/>
        <v>4</v>
      </c>
      <c r="F639">
        <f t="shared" si="118"/>
        <v>27</v>
      </c>
      <c r="G639" t="e">
        <f t="shared" si="119"/>
        <v>#N/A</v>
      </c>
      <c r="H639" t="e">
        <f t="shared" si="120"/>
        <v>#N/A</v>
      </c>
      <c r="I639" t="e">
        <f t="shared" si="121"/>
        <v>#N/A</v>
      </c>
      <c r="J639" t="e">
        <f t="shared" si="122"/>
        <v>#N/A</v>
      </c>
      <c r="K639" t="e">
        <f t="shared" si="123"/>
        <v>#N/A</v>
      </c>
      <c r="L639" t="e">
        <f t="shared" si="124"/>
        <v>#N/A</v>
      </c>
      <c r="M639">
        <f t="shared" si="125"/>
        <v>2023</v>
      </c>
      <c r="N639">
        <f t="shared" si="126"/>
        <v>4.6210000000000004</v>
      </c>
      <c r="O639">
        <f t="shared" si="127"/>
        <v>2.0006390000000001</v>
      </c>
      <c r="P639" t="str">
        <f>IF(OR($A639="",games!$H639=""),"",games!$H639)</f>
        <v/>
      </c>
      <c r="Q639" t="str">
        <f t="shared" si="128"/>
        <v/>
      </c>
      <c r="T639">
        <f>IF(connections!$A639="","",IFERROR(INDEX(games!$B$2:$B$950,MATCH(connections!$A639,games!$A$2:$A$950,0)),""))</f>
        <v>2021</v>
      </c>
      <c r="U639">
        <f>IF(connections!$A639="","",IFERROR(INDEX(games!$B$2:$B$950,MATCH(connections!$B639,games!$A$2:$A$950,0)),""))</f>
        <v>2025</v>
      </c>
      <c r="V639">
        <f t="shared" si="129"/>
        <v>4</v>
      </c>
    </row>
    <row r="640" spans="1:22" x14ac:dyDescent="0.25">
      <c r="A640" t="str">
        <f>IF(games!$A640="","",games!$A640)</f>
        <v>RogueJack21</v>
      </c>
      <c r="B640">
        <f>IF($A640="","",games!$B640)</f>
        <v>2026</v>
      </c>
      <c r="C640" t="str">
        <f>IF($A640="","",games!$C640)</f>
        <v>Deckbuilder</v>
      </c>
      <c r="D640">
        <f>IF($A640="","",COUNTIF(connections!$A$2:$A$1460,$A640)+COUNTIF(connections!$B$2:$B$1460,$A640))</f>
        <v>2</v>
      </c>
      <c r="E640">
        <f t="shared" si="117"/>
        <v>3</v>
      </c>
      <c r="F640">
        <f t="shared" si="118"/>
        <v>28</v>
      </c>
      <c r="G640" t="e">
        <f t="shared" si="119"/>
        <v>#N/A</v>
      </c>
      <c r="H640" t="e">
        <f t="shared" si="120"/>
        <v>#N/A</v>
      </c>
      <c r="I640" t="e">
        <f t="shared" si="121"/>
        <v>#N/A</v>
      </c>
      <c r="J640" t="e">
        <f t="shared" si="122"/>
        <v>#N/A</v>
      </c>
      <c r="K640">
        <f t="shared" si="123"/>
        <v>2026</v>
      </c>
      <c r="L640">
        <f t="shared" si="124"/>
        <v>3.6440000000000001</v>
      </c>
      <c r="M640" t="e">
        <f t="shared" si="125"/>
        <v>#N/A</v>
      </c>
      <c r="N640" t="e">
        <f t="shared" si="126"/>
        <v>#N/A</v>
      </c>
      <c r="O640">
        <f t="shared" si="127"/>
        <v>2.0006400000000002</v>
      </c>
      <c r="P640" t="str">
        <f>IF(OR($A640="",games!$H640=""),"",games!$H640)</f>
        <v/>
      </c>
      <c r="Q640" t="str">
        <f t="shared" si="128"/>
        <v/>
      </c>
      <c r="T640">
        <f>IF(connections!$A640="","",IFERROR(INDEX(games!$B$2:$B$950,MATCH(connections!$A640,games!$A$2:$A$950,0)),""))</f>
        <v>2021</v>
      </c>
      <c r="U640">
        <f>IF(connections!$A640="","",IFERROR(INDEX(games!$B$2:$B$950,MATCH(connections!$B640,games!$A$2:$A$950,0)),""))</f>
        <v>2023</v>
      </c>
      <c r="V640">
        <f t="shared" si="129"/>
        <v>2</v>
      </c>
    </row>
    <row r="641" spans="1:22" x14ac:dyDescent="0.25">
      <c r="A641" t="str">
        <f>IF(games!$A641="","",games!$A641)</f>
        <v>Rogue's Tale</v>
      </c>
      <c r="B641">
        <f>IF($A641="","",games!$B641)</f>
        <v>2014</v>
      </c>
      <c r="C641" t="str">
        <f>IF($A641="","",games!$C641)</f>
        <v>Traditional</v>
      </c>
      <c r="D641">
        <f>IF($A641="","",COUNTIF(connections!$A$2:$A$1460,$A641)+COUNTIF(connections!$B$2:$B$1460,$A641))</f>
        <v>1</v>
      </c>
      <c r="E641">
        <f t="shared" si="117"/>
        <v>4</v>
      </c>
      <c r="F641">
        <f t="shared" si="118"/>
        <v>29</v>
      </c>
      <c r="G641" t="e">
        <f t="shared" si="119"/>
        <v>#N/A</v>
      </c>
      <c r="H641" t="e">
        <f t="shared" si="120"/>
        <v>#N/A</v>
      </c>
      <c r="I641" t="e">
        <f t="shared" si="121"/>
        <v>#N/A</v>
      </c>
      <c r="J641" t="e">
        <f t="shared" si="122"/>
        <v>#N/A</v>
      </c>
      <c r="K641" t="e">
        <f t="shared" si="123"/>
        <v>#N/A</v>
      </c>
      <c r="L641" t="e">
        <f t="shared" si="124"/>
        <v>#N/A</v>
      </c>
      <c r="M641">
        <f t="shared" si="125"/>
        <v>2014</v>
      </c>
      <c r="N641">
        <f t="shared" si="126"/>
        <v>4.6669999999999998</v>
      </c>
      <c r="O641">
        <f t="shared" si="127"/>
        <v>1.0006409999999999</v>
      </c>
      <c r="P641" t="str">
        <f>IF(OR($A641="",games!$H641=""),"",games!$H641)</f>
        <v/>
      </c>
      <c r="Q641" t="str">
        <f t="shared" si="128"/>
        <v/>
      </c>
      <c r="T641">
        <f>IF(connections!$A641="","",IFERROR(INDEX(games!$B$2:$B$950,MATCH(connections!$A641,games!$A$2:$A$950,0)),""))</f>
        <v>2021</v>
      </c>
      <c r="U641">
        <f>IF(connections!$A641="","",IFERROR(INDEX(games!$B$2:$B$950,MATCH(connections!$B641,games!$A$2:$A$950,0)),""))</f>
        <v>2025</v>
      </c>
      <c r="V641">
        <f t="shared" si="129"/>
        <v>4</v>
      </c>
    </row>
    <row r="642" spans="1:22" x14ac:dyDescent="0.25">
      <c r="A642" t="str">
        <f>IF(games!$A642="","",games!$A642)</f>
        <v>RogueSlide</v>
      </c>
      <c r="B642">
        <f>IF($A642="","",games!$B642)</f>
        <v>2022</v>
      </c>
      <c r="C642" t="str">
        <f>IF($A642="","",games!$C642)</f>
        <v>Strategy</v>
      </c>
      <c r="D642">
        <f>IF($A642="","",COUNTIF(connections!$A$2:$A$1460,$A642)+COUNTIF(connections!$B$2:$B$1460,$A642))</f>
        <v>0</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2022</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6.4199999999999999E-4</v>
      </c>
      <c r="P642" t="str">
        <f>IF(OR($A642="",games!$H642=""),"",games!$H642)</f>
        <v>Yes</v>
      </c>
      <c r="Q642">
        <f t="shared" ref="Q642:Q705" si="141">IF(OR($A642="",$P642&lt;&gt;"Yes"),"",$D642+ROW()/1000000)</f>
        <v>6.4199999999999999E-4</v>
      </c>
      <c r="T642">
        <f>IF(connections!$A642="","",IFERROR(INDEX(games!$B$2:$B$950,MATCH(connections!$A642,games!$A$2:$A$950,0)),""))</f>
        <v>2021</v>
      </c>
      <c r="U642">
        <f>IF(connections!$A642="","",IFERROR(INDEX(games!$B$2:$B$950,MATCH(connections!$B642,games!$A$2:$A$950,0)),""))</f>
        <v>2026</v>
      </c>
      <c r="V642">
        <f t="shared" ref="V642:V705" si="142">IF(OR($T642="",$U642=""),"",$U642-$T642)</f>
        <v>5</v>
      </c>
    </row>
    <row r="643" spans="1:22" x14ac:dyDescent="0.25">
      <c r="A643" t="str">
        <f>IF(games!$A643="","",games!$A643)</f>
        <v>Roll</v>
      </c>
      <c r="B643">
        <f>IF($A643="","",games!$B643)</f>
        <v>2021</v>
      </c>
      <c r="C643" t="str">
        <f>IF($A643="","",games!$C643)</f>
        <v>Strategy</v>
      </c>
      <c r="D643">
        <f>IF($A643="","",COUNTIF(connections!$A$2:$A$1460,$A643)+COUNTIF(connections!$B$2:$B$1460,$A643))</f>
        <v>1</v>
      </c>
      <c r="E643">
        <f t="shared" si="130"/>
        <v>2</v>
      </c>
      <c r="F643">
        <f t="shared" si="131"/>
        <v>31</v>
      </c>
      <c r="G643" t="e">
        <f t="shared" si="132"/>
        <v>#N/A</v>
      </c>
      <c r="H643" t="e">
        <f t="shared" si="133"/>
        <v>#N/A</v>
      </c>
      <c r="I643">
        <f t="shared" si="134"/>
        <v>2021</v>
      </c>
      <c r="J643">
        <f t="shared" si="135"/>
        <v>2.7130000000000001</v>
      </c>
      <c r="K643" t="e">
        <f t="shared" si="136"/>
        <v>#N/A</v>
      </c>
      <c r="L643" t="e">
        <f t="shared" si="137"/>
        <v>#N/A</v>
      </c>
      <c r="M643" t="e">
        <f t="shared" si="138"/>
        <v>#N/A</v>
      </c>
      <c r="N643" t="e">
        <f t="shared" si="139"/>
        <v>#N/A</v>
      </c>
      <c r="O643">
        <f t="shared" si="140"/>
        <v>1.0006429999999999</v>
      </c>
      <c r="P643" t="str">
        <f>IF(OR($A643="",games!$H643=""),"",games!$H643)</f>
        <v>Yes</v>
      </c>
      <c r="Q643">
        <f t="shared" si="141"/>
        <v>1.0006429999999999</v>
      </c>
      <c r="T643">
        <f>IF(connections!$A643="","",IFERROR(INDEX(games!$B$2:$B$950,MATCH(connections!$A643,games!$A$2:$A$950,0)),""))</f>
        <v>2017</v>
      </c>
      <c r="U643">
        <f>IF(connections!$A643="","",IFERROR(INDEX(games!$B$2:$B$950,MATCH(connections!$B643,games!$A$2:$A$950,0)),""))</f>
        <v>2026</v>
      </c>
      <c r="V643">
        <f t="shared" si="142"/>
        <v>9</v>
      </c>
    </row>
    <row r="644" spans="1:22" x14ac:dyDescent="0.25">
      <c r="A644" t="str">
        <f>IF(games!$A644="","",games!$A644)</f>
        <v>RollScape</v>
      </c>
      <c r="B644">
        <f>IF($A644="","",games!$B644)</f>
        <v>2024</v>
      </c>
      <c r="C644" t="str">
        <f>IF($A644="","",games!$C644)</f>
        <v>Strategy</v>
      </c>
      <c r="D644">
        <f>IF($A644="","",COUNTIF(connections!$A$2:$A$1460,$A644)+COUNTIF(connections!$B$2:$B$1460,$A644))</f>
        <v>2</v>
      </c>
      <c r="E644">
        <f t="shared" si="130"/>
        <v>2</v>
      </c>
      <c r="F644">
        <f t="shared" si="131"/>
        <v>32</v>
      </c>
      <c r="G644" t="e">
        <f t="shared" si="132"/>
        <v>#N/A</v>
      </c>
      <c r="H644" t="e">
        <f t="shared" si="133"/>
        <v>#N/A</v>
      </c>
      <c r="I644">
        <f t="shared" si="134"/>
        <v>2024</v>
      </c>
      <c r="J644">
        <f t="shared" si="135"/>
        <v>2.7359999999999998</v>
      </c>
      <c r="K644" t="e">
        <f t="shared" si="136"/>
        <v>#N/A</v>
      </c>
      <c r="L644" t="e">
        <f t="shared" si="137"/>
        <v>#N/A</v>
      </c>
      <c r="M644" t="e">
        <f t="shared" si="138"/>
        <v>#N/A</v>
      </c>
      <c r="N644" t="e">
        <f t="shared" si="139"/>
        <v>#N/A</v>
      </c>
      <c r="O644">
        <f t="shared" si="140"/>
        <v>2.0006439999999999</v>
      </c>
      <c r="P644" t="str">
        <f>IF(OR($A644="",games!$H644=""),"",games!$H644)</f>
        <v>Yes</v>
      </c>
      <c r="Q644">
        <f t="shared" si="141"/>
        <v>2.0006439999999999</v>
      </c>
      <c r="T644">
        <f>IF(connections!$A644="","",IFERROR(INDEX(games!$B$2:$B$950,MATCH(connections!$A644,games!$A$2:$A$950,0)),""))</f>
        <v>2023</v>
      </c>
      <c r="U644">
        <f>IF(connections!$A644="","",IFERROR(INDEX(games!$B$2:$B$950,MATCH(connections!$B644,games!$A$2:$A$950,0)),""))</f>
        <v>2025</v>
      </c>
      <c r="V644">
        <f t="shared" si="142"/>
        <v>2</v>
      </c>
    </row>
    <row r="645" spans="1:22" x14ac:dyDescent="0.25">
      <c r="A645" t="str">
        <f>IF(games!$A645="","",games!$A645)</f>
        <v>Roulette Dungeon</v>
      </c>
      <c r="B645">
        <f>IF($A645="","",games!$B645)</f>
        <v>2026</v>
      </c>
      <c r="C645" t="str">
        <f>IF($A645="","",games!$C645)</f>
        <v>Deckbuilder</v>
      </c>
      <c r="D645">
        <f>IF($A645="","",COUNTIF(connections!$A$2:$A$1460,$A645)+COUNTIF(connections!$B$2:$B$1460,$A645))</f>
        <v>1</v>
      </c>
      <c r="E645">
        <f t="shared" si="130"/>
        <v>3</v>
      </c>
      <c r="F645">
        <f t="shared" si="131"/>
        <v>33</v>
      </c>
      <c r="G645" t="e">
        <f t="shared" si="132"/>
        <v>#N/A</v>
      </c>
      <c r="H645" t="e">
        <f t="shared" si="133"/>
        <v>#N/A</v>
      </c>
      <c r="I645" t="e">
        <f t="shared" si="134"/>
        <v>#N/A</v>
      </c>
      <c r="J645" t="e">
        <f t="shared" si="135"/>
        <v>#N/A</v>
      </c>
      <c r="K645">
        <f t="shared" si="136"/>
        <v>2026</v>
      </c>
      <c r="L645">
        <f t="shared" si="137"/>
        <v>3.7589999999999999</v>
      </c>
      <c r="M645" t="e">
        <f t="shared" si="138"/>
        <v>#N/A</v>
      </c>
      <c r="N645" t="e">
        <f t="shared" si="139"/>
        <v>#N/A</v>
      </c>
      <c r="O645">
        <f t="shared" si="140"/>
        <v>1.000645</v>
      </c>
      <c r="P645" t="str">
        <f>IF(OR($A645="",games!$H645=""),"",games!$H645)</f>
        <v/>
      </c>
      <c r="Q645" t="str">
        <f t="shared" si="141"/>
        <v/>
      </c>
      <c r="T645">
        <f>IF(connections!$A645="","",IFERROR(INDEX(games!$B$2:$B$950,MATCH(connections!$A645,games!$A$2:$A$950,0)),""))</f>
        <v>2001</v>
      </c>
      <c r="U645">
        <f>IF(connections!$A645="","",IFERROR(INDEX(games!$B$2:$B$950,MATCH(connections!$B645,games!$A$2:$A$950,0)),""))</f>
        <v>2017</v>
      </c>
      <c r="V645">
        <f t="shared" si="142"/>
        <v>16</v>
      </c>
    </row>
    <row r="646" spans="1:22" x14ac:dyDescent="0.25">
      <c r="A646" t="str">
        <f>IF(games!$A646="","",games!$A646)</f>
        <v>Roulette Hero</v>
      </c>
      <c r="B646">
        <f>IF($A646="","",games!$B646)</f>
        <v>2025</v>
      </c>
      <c r="C646" t="str">
        <f>IF($A646="","",games!$C646)</f>
        <v>Deckbuilder</v>
      </c>
      <c r="D646">
        <f>IF($A646="","",COUNTIF(connections!$A$2:$A$1460,$A646)+COUNTIF(connections!$B$2:$B$1460,$A646))</f>
        <v>4</v>
      </c>
      <c r="E646">
        <f t="shared" si="130"/>
        <v>3</v>
      </c>
      <c r="F646">
        <f t="shared" si="131"/>
        <v>0</v>
      </c>
      <c r="G646" t="e">
        <f t="shared" si="132"/>
        <v>#N/A</v>
      </c>
      <c r="H646" t="e">
        <f t="shared" si="133"/>
        <v>#N/A</v>
      </c>
      <c r="I646" t="e">
        <f t="shared" si="134"/>
        <v>#N/A</v>
      </c>
      <c r="J646" t="e">
        <f t="shared" si="135"/>
        <v>#N/A</v>
      </c>
      <c r="K646">
        <f t="shared" si="136"/>
        <v>2025</v>
      </c>
      <c r="L646">
        <f t="shared" si="137"/>
        <v>3</v>
      </c>
      <c r="M646" t="e">
        <f t="shared" si="138"/>
        <v>#N/A</v>
      </c>
      <c r="N646" t="e">
        <f t="shared" si="139"/>
        <v>#N/A</v>
      </c>
      <c r="O646">
        <f t="shared" si="140"/>
        <v>4.0006459999999997</v>
      </c>
      <c r="P646" t="str">
        <f>IF(OR($A646="",games!$H646=""),"",games!$H646)</f>
        <v/>
      </c>
      <c r="Q646" t="str">
        <f t="shared" si="141"/>
        <v/>
      </c>
      <c r="T646">
        <f>IF(connections!$A646="","",IFERROR(INDEX(games!$B$2:$B$950,MATCH(connections!$A646,games!$A$2:$A$950,0)),""))</f>
        <v>2021</v>
      </c>
      <c r="U646">
        <f>IF(connections!$A646="","",IFERROR(INDEX(games!$B$2:$B$950,MATCH(connections!$B646,games!$A$2:$A$950,0)),""))</f>
        <v>2024</v>
      </c>
      <c r="V646">
        <f t="shared" si="142"/>
        <v>3</v>
      </c>
    </row>
    <row r="647" spans="1:22" x14ac:dyDescent="0.25">
      <c r="A647" t="str">
        <f>IF(games!$A647="","",games!$A647)</f>
        <v>Rounds</v>
      </c>
      <c r="B647">
        <f>IF($A647="","",games!$B647)</f>
        <v>2021</v>
      </c>
      <c r="C647" t="str">
        <f>IF($A647="","",games!$C647)</f>
        <v>Action</v>
      </c>
      <c r="D647">
        <f>IF($A647="","",COUNTIF(connections!$A$2:$A$1460,$A647)+COUNTIF(connections!$B$2:$B$1460,$A647))</f>
        <v>1</v>
      </c>
      <c r="E647">
        <f t="shared" si="130"/>
        <v>1</v>
      </c>
      <c r="F647">
        <f t="shared" si="131"/>
        <v>1</v>
      </c>
      <c r="G647">
        <f t="shared" si="132"/>
        <v>2021</v>
      </c>
      <c r="H647">
        <f t="shared" si="133"/>
        <v>1.0229999999999999</v>
      </c>
      <c r="I647" t="e">
        <f t="shared" si="134"/>
        <v>#N/A</v>
      </c>
      <c r="J647" t="e">
        <f t="shared" si="135"/>
        <v>#N/A</v>
      </c>
      <c r="K647" t="e">
        <f t="shared" si="136"/>
        <v>#N/A</v>
      </c>
      <c r="L647" t="e">
        <f t="shared" si="137"/>
        <v>#N/A</v>
      </c>
      <c r="M647" t="e">
        <f t="shared" si="138"/>
        <v>#N/A</v>
      </c>
      <c r="N647" t="e">
        <f t="shared" si="139"/>
        <v>#N/A</v>
      </c>
      <c r="O647">
        <f t="shared" si="140"/>
        <v>1.0006470000000001</v>
      </c>
      <c r="P647" t="str">
        <f>IF(OR($A647="",games!$H647=""),"",games!$H647)</f>
        <v>Yes</v>
      </c>
      <c r="Q647">
        <f t="shared" si="141"/>
        <v>1.0006470000000001</v>
      </c>
      <c r="T647">
        <f>IF(connections!$A647="","",IFERROR(INDEX(games!$B$2:$B$950,MATCH(connections!$A647,games!$A$2:$A$950,0)),""))</f>
        <v>2021</v>
      </c>
      <c r="U647">
        <f>IF(connections!$A647="","",IFERROR(INDEX(games!$B$2:$B$950,MATCH(connections!$B647,games!$A$2:$A$950,0)),""))</f>
        <v>2022</v>
      </c>
      <c r="V647">
        <f t="shared" si="142"/>
        <v>1</v>
      </c>
    </row>
    <row r="648" spans="1:22" x14ac:dyDescent="0.25">
      <c r="A648" t="str">
        <f>IF(games!$A648="","",games!$A648)</f>
        <v>Rune Dice</v>
      </c>
      <c r="B648">
        <f>IF($A648="","",games!$B648)</f>
        <v>2026</v>
      </c>
      <c r="C648" t="str">
        <f>IF($A648="","",games!$C648)</f>
        <v>Deckbuilder</v>
      </c>
      <c r="D648">
        <f>IF($A648="","",COUNTIF(connections!$A$2:$A$1460,$A648)+COUNTIF(connections!$B$2:$B$1460,$A648))</f>
        <v>1</v>
      </c>
      <c r="E648">
        <f t="shared" si="130"/>
        <v>3</v>
      </c>
      <c r="F648">
        <f t="shared" si="131"/>
        <v>2</v>
      </c>
      <c r="G648" t="e">
        <f t="shared" si="132"/>
        <v>#N/A</v>
      </c>
      <c r="H648" t="e">
        <f t="shared" si="133"/>
        <v>#N/A</v>
      </c>
      <c r="I648" t="e">
        <f t="shared" si="134"/>
        <v>#N/A</v>
      </c>
      <c r="J648" t="e">
        <f t="shared" si="135"/>
        <v>#N/A</v>
      </c>
      <c r="K648">
        <f t="shared" si="136"/>
        <v>2026</v>
      </c>
      <c r="L648">
        <f t="shared" si="137"/>
        <v>3.0459999999999998</v>
      </c>
      <c r="M648" t="e">
        <f t="shared" si="138"/>
        <v>#N/A</v>
      </c>
      <c r="N648" t="e">
        <f t="shared" si="139"/>
        <v>#N/A</v>
      </c>
      <c r="O648">
        <f t="shared" si="140"/>
        <v>1.000648</v>
      </c>
      <c r="P648" t="str">
        <f>IF(OR($A648="",games!$H648=""),"",games!$H648)</f>
        <v/>
      </c>
      <c r="Q648" t="str">
        <f t="shared" si="141"/>
        <v/>
      </c>
      <c r="T648">
        <f>IF(connections!$A648="","",IFERROR(INDEX(games!$B$2:$B$950,MATCH(connections!$A648,games!$A$2:$A$950,0)),""))</f>
        <v>2021</v>
      </c>
      <c r="U648">
        <f>IF(connections!$A648="","",IFERROR(INDEX(games!$B$2:$B$950,MATCH(connections!$B648,games!$A$2:$A$950,0)),""))</f>
        <v>2023</v>
      </c>
      <c r="V648">
        <f t="shared" si="142"/>
        <v>2</v>
      </c>
    </row>
    <row r="649" spans="1:22" x14ac:dyDescent="0.25">
      <c r="A649" t="str">
        <f>IF(games!$A649="","",games!$A649)</f>
        <v>Runeborn</v>
      </c>
      <c r="B649">
        <f>IF($A649="","",games!$B649)</f>
        <v>2025</v>
      </c>
      <c r="C649" t="str">
        <f>IF($A649="","",games!$C649)</f>
        <v>Deckbuilder</v>
      </c>
      <c r="D649">
        <f>IF($A649="","",COUNTIF(connections!$A$2:$A$1460,$A649)+COUNTIF(connections!$B$2:$B$1460,$A649))</f>
        <v>2</v>
      </c>
      <c r="E649">
        <f t="shared" si="130"/>
        <v>3</v>
      </c>
      <c r="F649">
        <f t="shared" si="131"/>
        <v>3</v>
      </c>
      <c r="G649" t="e">
        <f t="shared" si="132"/>
        <v>#N/A</v>
      </c>
      <c r="H649" t="e">
        <f t="shared" si="133"/>
        <v>#N/A</v>
      </c>
      <c r="I649" t="e">
        <f t="shared" si="134"/>
        <v>#N/A</v>
      </c>
      <c r="J649" t="e">
        <f t="shared" si="135"/>
        <v>#N/A</v>
      </c>
      <c r="K649">
        <f t="shared" si="136"/>
        <v>2025</v>
      </c>
      <c r="L649">
        <f t="shared" si="137"/>
        <v>3.069</v>
      </c>
      <c r="M649" t="e">
        <f t="shared" si="138"/>
        <v>#N/A</v>
      </c>
      <c r="N649" t="e">
        <f t="shared" si="139"/>
        <v>#N/A</v>
      </c>
      <c r="O649">
        <f t="shared" si="140"/>
        <v>2.0006490000000001</v>
      </c>
      <c r="P649" t="str">
        <f>IF(OR($A649="",games!$H649=""),"",games!$H649)</f>
        <v>Yes</v>
      </c>
      <c r="Q649">
        <f t="shared" si="141"/>
        <v>2.0006490000000001</v>
      </c>
      <c r="T649">
        <f>IF(connections!$A649="","",IFERROR(INDEX(games!$B$2:$B$950,MATCH(connections!$A649,games!$A$2:$A$950,0)),""))</f>
        <v>2021</v>
      </c>
      <c r="U649">
        <f>IF(connections!$A649="","",IFERROR(INDEX(games!$B$2:$B$950,MATCH(connections!$B649,games!$A$2:$A$950,0)),""))</f>
        <v>2024</v>
      </c>
      <c r="V649">
        <f t="shared" si="142"/>
        <v>3</v>
      </c>
    </row>
    <row r="650" spans="1:22" x14ac:dyDescent="0.25">
      <c r="A650" t="str">
        <f>IF(games!$A650="","",games!$A650)</f>
        <v>Runeveil</v>
      </c>
      <c r="B650">
        <f>IF($A650="","",games!$B650)</f>
        <v>2026</v>
      </c>
      <c r="C650" t="str">
        <f>IF($A650="","",games!$C650)</f>
        <v>Deckbuilder</v>
      </c>
      <c r="D650">
        <f>IF($A650="","",COUNTIF(connections!$A$2:$A$1460,$A650)+COUNTIF(connections!$B$2:$B$1460,$A650))</f>
        <v>2</v>
      </c>
      <c r="E650">
        <f t="shared" si="130"/>
        <v>3</v>
      </c>
      <c r="F650">
        <f t="shared" si="131"/>
        <v>4</v>
      </c>
      <c r="G650" t="e">
        <f t="shared" si="132"/>
        <v>#N/A</v>
      </c>
      <c r="H650" t="e">
        <f t="shared" si="133"/>
        <v>#N/A</v>
      </c>
      <c r="I650" t="e">
        <f t="shared" si="134"/>
        <v>#N/A</v>
      </c>
      <c r="J650" t="e">
        <f t="shared" si="135"/>
        <v>#N/A</v>
      </c>
      <c r="K650">
        <f t="shared" si="136"/>
        <v>2026</v>
      </c>
      <c r="L650">
        <f t="shared" si="137"/>
        <v>3.0920000000000001</v>
      </c>
      <c r="M650" t="e">
        <f t="shared" si="138"/>
        <v>#N/A</v>
      </c>
      <c r="N650" t="e">
        <f t="shared" si="139"/>
        <v>#N/A</v>
      </c>
      <c r="O650">
        <f t="shared" si="140"/>
        <v>2.0006499999999998</v>
      </c>
      <c r="P650" t="str">
        <f>IF(OR($A650="",games!$H650=""),"",games!$H650)</f>
        <v/>
      </c>
      <c r="Q650" t="str">
        <f t="shared" si="141"/>
        <v/>
      </c>
      <c r="T650">
        <f>IF(connections!$A650="","",IFERROR(INDEX(games!$B$2:$B$950,MATCH(connections!$A650,games!$A$2:$A$950,0)),""))</f>
        <v>2021</v>
      </c>
      <c r="U650">
        <f>IF(connections!$A650="","",IFERROR(INDEX(games!$B$2:$B$950,MATCH(connections!$B650,games!$A$2:$A$950,0)),""))</f>
        <v>2024</v>
      </c>
      <c r="V650">
        <f t="shared" si="142"/>
        <v>3</v>
      </c>
    </row>
    <row r="651" spans="1:22" x14ac:dyDescent="0.25">
      <c r="A651" t="str">
        <f>IF(games!$A651="","",games!$A651)</f>
        <v>Rungore</v>
      </c>
      <c r="B651">
        <f>IF($A651="","",games!$B651)</f>
        <v>2023</v>
      </c>
      <c r="C651" t="str">
        <f>IF($A651="","",games!$C651)</f>
        <v>Deckbuilder</v>
      </c>
      <c r="D651">
        <f>IF($A651="","",COUNTIF(connections!$A$2:$A$1460,$A651)+COUNTIF(connections!$B$2:$B$1460,$A651))</f>
        <v>2</v>
      </c>
      <c r="E651">
        <f t="shared" si="130"/>
        <v>3</v>
      </c>
      <c r="F651">
        <f t="shared" si="131"/>
        <v>5</v>
      </c>
      <c r="G651" t="e">
        <f t="shared" si="132"/>
        <v>#N/A</v>
      </c>
      <c r="H651" t="e">
        <f t="shared" si="133"/>
        <v>#N/A</v>
      </c>
      <c r="I651" t="e">
        <f t="shared" si="134"/>
        <v>#N/A</v>
      </c>
      <c r="J651" t="e">
        <f t="shared" si="135"/>
        <v>#N/A</v>
      </c>
      <c r="K651">
        <f t="shared" si="136"/>
        <v>2023</v>
      </c>
      <c r="L651">
        <f t="shared" si="137"/>
        <v>3.1150000000000002</v>
      </c>
      <c r="M651" t="e">
        <f t="shared" si="138"/>
        <v>#N/A</v>
      </c>
      <c r="N651" t="e">
        <f t="shared" si="139"/>
        <v>#N/A</v>
      </c>
      <c r="O651">
        <f t="shared" si="140"/>
        <v>2.000651</v>
      </c>
      <c r="P651" t="str">
        <f>IF(OR($A651="",games!$H651=""),"",games!$H651)</f>
        <v/>
      </c>
      <c r="Q651" t="str">
        <f t="shared" si="141"/>
        <v/>
      </c>
      <c r="T651">
        <f>IF(connections!$A651="","",IFERROR(INDEX(games!$B$2:$B$950,MATCH(connections!$A651,games!$A$2:$A$950,0)),""))</f>
        <v>2021</v>
      </c>
      <c r="U651">
        <f>IF(connections!$A651="","",IFERROR(INDEX(games!$B$2:$B$950,MATCH(connections!$B651,games!$A$2:$A$950,0)),""))</f>
        <v>2026</v>
      </c>
      <c r="V651">
        <f t="shared" si="142"/>
        <v>5</v>
      </c>
    </row>
    <row r="652" spans="1:22" x14ac:dyDescent="0.25">
      <c r="A652" t="str">
        <f>IF(games!$A652="","",games!$A652)</f>
        <v>Runic Survivor</v>
      </c>
      <c r="B652">
        <f>IF($A652="","",games!$B652)</f>
        <v>2022</v>
      </c>
      <c r="C652" t="str">
        <f>IF($A652="","",games!$C652)</f>
        <v>Action</v>
      </c>
      <c r="D652">
        <f>IF($A652="","",COUNTIF(connections!$A$2:$A$1460,$A652)+COUNTIF(connections!$B$2:$B$1460,$A652))</f>
        <v>2</v>
      </c>
      <c r="E652">
        <f t="shared" si="130"/>
        <v>1</v>
      </c>
      <c r="F652">
        <f t="shared" si="131"/>
        <v>6</v>
      </c>
      <c r="G652">
        <f t="shared" si="132"/>
        <v>2022</v>
      </c>
      <c r="H652">
        <f t="shared" si="133"/>
        <v>1.1379999999999999</v>
      </c>
      <c r="I652" t="e">
        <f t="shared" si="134"/>
        <v>#N/A</v>
      </c>
      <c r="J652" t="e">
        <f t="shared" si="135"/>
        <v>#N/A</v>
      </c>
      <c r="K652" t="e">
        <f t="shared" si="136"/>
        <v>#N/A</v>
      </c>
      <c r="L652" t="e">
        <f t="shared" si="137"/>
        <v>#N/A</v>
      </c>
      <c r="M652" t="e">
        <f t="shared" si="138"/>
        <v>#N/A</v>
      </c>
      <c r="N652" t="e">
        <f t="shared" si="139"/>
        <v>#N/A</v>
      </c>
      <c r="O652">
        <f t="shared" si="140"/>
        <v>2.0006520000000001</v>
      </c>
      <c r="P652" t="str">
        <f>IF(OR($A652="",games!$H652=""),"",games!$H652)</f>
        <v>Yes</v>
      </c>
      <c r="Q652">
        <f t="shared" si="141"/>
        <v>2.0006520000000001</v>
      </c>
      <c r="T652">
        <f>IF(connections!$A652="","",IFERROR(INDEX(games!$B$2:$B$950,MATCH(connections!$A652,games!$A$2:$A$950,0)),""))</f>
        <v>2021</v>
      </c>
      <c r="U652">
        <f>IF(connections!$A652="","",IFERROR(INDEX(games!$B$2:$B$950,MATCH(connections!$B652,games!$A$2:$A$950,0)),""))</f>
        <v>2024</v>
      </c>
      <c r="V652">
        <f t="shared" si="142"/>
        <v>3</v>
      </c>
    </row>
    <row r="653" spans="1:22" x14ac:dyDescent="0.25">
      <c r="A653" t="str">
        <f>IF(games!$A653="","",games!$A653)</f>
        <v>Sanae no Chou Tokkyuu: The Express Trial</v>
      </c>
      <c r="B653">
        <f>IF($A653="","",games!$B653)</f>
        <v>2010</v>
      </c>
      <c r="C653" t="str">
        <f>IF($A653="","",games!$C653)</f>
        <v>Traditional</v>
      </c>
      <c r="D653">
        <f>IF($A653="","",COUNTIF(connections!$A$2:$A$1460,$A653)+COUNTIF(connections!$B$2:$B$1460,$A653))</f>
        <v>1</v>
      </c>
      <c r="E653">
        <f t="shared" si="130"/>
        <v>4</v>
      </c>
      <c r="F653">
        <f t="shared" si="131"/>
        <v>7</v>
      </c>
      <c r="G653" t="e">
        <f t="shared" si="132"/>
        <v>#N/A</v>
      </c>
      <c r="H653" t="e">
        <f t="shared" si="133"/>
        <v>#N/A</v>
      </c>
      <c r="I653" t="e">
        <f t="shared" si="134"/>
        <v>#N/A</v>
      </c>
      <c r="J653" t="e">
        <f t="shared" si="135"/>
        <v>#N/A</v>
      </c>
      <c r="K653" t="e">
        <f t="shared" si="136"/>
        <v>#N/A</v>
      </c>
      <c r="L653" t="e">
        <f t="shared" si="137"/>
        <v>#N/A</v>
      </c>
      <c r="M653">
        <f t="shared" si="138"/>
        <v>2010</v>
      </c>
      <c r="N653">
        <f t="shared" si="139"/>
        <v>4.1609999999999996</v>
      </c>
      <c r="O653">
        <f t="shared" si="140"/>
        <v>1.000653</v>
      </c>
      <c r="P653" t="str">
        <f>IF(OR($A653="",games!$H653=""),"",games!$H653)</f>
        <v/>
      </c>
      <c r="Q653" t="str">
        <f t="shared" si="141"/>
        <v/>
      </c>
      <c r="T653">
        <f>IF(connections!$A653="","",IFERROR(INDEX(games!$B$2:$B$950,MATCH(connections!$A653,games!$A$2:$A$950,0)),""))</f>
        <v>2021</v>
      </c>
      <c r="U653">
        <f>IF(connections!$A653="","",IFERROR(INDEX(games!$B$2:$B$950,MATCH(connections!$B653,games!$A$2:$A$950,0)),""))</f>
        <v>2026</v>
      </c>
      <c r="V653">
        <f t="shared" si="142"/>
        <v>5</v>
      </c>
    </row>
    <row r="654" spans="1:22" x14ac:dyDescent="0.25">
      <c r="A654" t="str">
        <f>IF(games!$A654="","",games!$A654)</f>
        <v>Sandwalkers</v>
      </c>
      <c r="B654">
        <f>IF($A654="","",games!$B654)</f>
        <v>2024</v>
      </c>
      <c r="C654" t="str">
        <f>IF($A654="","",games!$C654)</f>
        <v>Action</v>
      </c>
      <c r="D654">
        <f>IF($A654="","",COUNTIF(connections!$A$2:$A$1460,$A654)+COUNTIF(connections!$B$2:$B$1460,$A654))</f>
        <v>3</v>
      </c>
      <c r="E654">
        <f t="shared" si="130"/>
        <v>1</v>
      </c>
      <c r="F654">
        <f t="shared" si="131"/>
        <v>8</v>
      </c>
      <c r="G654">
        <f t="shared" si="132"/>
        <v>2024</v>
      </c>
      <c r="H654">
        <f t="shared" si="133"/>
        <v>1.1839999999999999</v>
      </c>
      <c r="I654" t="e">
        <f t="shared" si="134"/>
        <v>#N/A</v>
      </c>
      <c r="J654" t="e">
        <f t="shared" si="135"/>
        <v>#N/A</v>
      </c>
      <c r="K654" t="e">
        <f t="shared" si="136"/>
        <v>#N/A</v>
      </c>
      <c r="L654" t="e">
        <f t="shared" si="137"/>
        <v>#N/A</v>
      </c>
      <c r="M654" t="e">
        <f t="shared" si="138"/>
        <v>#N/A</v>
      </c>
      <c r="N654" t="e">
        <f t="shared" si="139"/>
        <v>#N/A</v>
      </c>
      <c r="O654">
        <f t="shared" si="140"/>
        <v>3.0006539999999999</v>
      </c>
      <c r="P654" t="str">
        <f>IF(OR($A654="",games!$H654=""),"",games!$H654)</f>
        <v>Yes</v>
      </c>
      <c r="Q654">
        <f t="shared" si="141"/>
        <v>3.0006539999999999</v>
      </c>
      <c r="T654">
        <f>IF(connections!$A654="","",IFERROR(INDEX(games!$B$2:$B$950,MATCH(connections!$A654,games!$A$2:$A$950,0)),""))</f>
        <v>2021</v>
      </c>
      <c r="U654">
        <f>IF(connections!$A654="","",IFERROR(INDEX(games!$B$2:$B$950,MATCH(connections!$B654,games!$A$2:$A$950,0)),""))</f>
        <v>2026</v>
      </c>
      <c r="V654">
        <f t="shared" si="142"/>
        <v>5</v>
      </c>
    </row>
    <row r="655" spans="1:22" x14ac:dyDescent="0.25">
      <c r="A655" t="str">
        <f>IF(games!$A655="","",games!$A655)</f>
        <v>Scarlet Tower</v>
      </c>
      <c r="B655">
        <f>IF($A655="","",games!$B655)</f>
        <v>2022</v>
      </c>
      <c r="C655" t="str">
        <f>IF($A655="","",games!$C655)</f>
        <v>Action</v>
      </c>
      <c r="D655">
        <f>IF($A655="","",COUNTIF(connections!$A$2:$A$1460,$A655)+COUNTIF(connections!$B$2:$B$1460,$A655))</f>
        <v>1</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Yes</v>
      </c>
      <c r="Q655">
        <f t="shared" si="141"/>
        <v>1.0006550000000001</v>
      </c>
      <c r="T655">
        <f>IF(connections!$A655="","",IFERROR(INDEX(games!$B$2:$B$950,MATCH(connections!$A655,games!$A$2:$A$950,0)),""))</f>
        <v>2021</v>
      </c>
      <c r="U655">
        <f>IF(connections!$A655="","",IFERROR(INDEX(games!$B$2:$B$950,MATCH(connections!$B655,games!$A$2:$A$950,0)),""))</f>
        <v>2023</v>
      </c>
      <c r="V655">
        <f t="shared" si="142"/>
        <v>2</v>
      </c>
    </row>
    <row r="656" spans="1:22" x14ac:dyDescent="0.25">
      <c r="A656" t="str">
        <f>IF(games!$A656="","",games!$A656)</f>
        <v>Schism</v>
      </c>
      <c r="B656">
        <f>IF($A656="","",games!$B656)</f>
        <v>2023</v>
      </c>
      <c r="C656" t="str">
        <f>IF($A656="","",games!$C656)</f>
        <v>Action</v>
      </c>
      <c r="D656">
        <f>IF($A656="","",COUNTIF(connections!$A$2:$A$1460,$A656)+COUNTIF(connections!$B$2:$B$1460,$A656))</f>
        <v>2</v>
      </c>
      <c r="E656">
        <f t="shared" si="130"/>
        <v>1</v>
      </c>
      <c r="F656">
        <f t="shared" si="131"/>
        <v>10</v>
      </c>
      <c r="G656">
        <f t="shared" si="132"/>
        <v>2023</v>
      </c>
      <c r="H656">
        <f t="shared" si="133"/>
        <v>1.23</v>
      </c>
      <c r="I656" t="e">
        <f t="shared" si="134"/>
        <v>#N/A</v>
      </c>
      <c r="J656" t="e">
        <f t="shared" si="135"/>
        <v>#N/A</v>
      </c>
      <c r="K656" t="e">
        <f t="shared" si="136"/>
        <v>#N/A</v>
      </c>
      <c r="L656" t="e">
        <f t="shared" si="137"/>
        <v>#N/A</v>
      </c>
      <c r="M656" t="e">
        <f t="shared" si="138"/>
        <v>#N/A</v>
      </c>
      <c r="N656" t="e">
        <f t="shared" si="139"/>
        <v>#N/A</v>
      </c>
      <c r="O656">
        <f t="shared" si="140"/>
        <v>2.0006560000000002</v>
      </c>
      <c r="P656" t="str">
        <f>IF(OR($A656="",games!$H656=""),"",games!$H656)</f>
        <v/>
      </c>
      <c r="Q656" t="str">
        <f t="shared" si="141"/>
        <v/>
      </c>
      <c r="T656">
        <f>IF(connections!$A656="","",IFERROR(INDEX(games!$B$2:$B$950,MATCH(connections!$A656,games!$A$2:$A$950,0)),""))</f>
        <v>2021</v>
      </c>
      <c r="U656">
        <f>IF(connections!$A656="","",IFERROR(INDEX(games!$B$2:$B$950,MATCH(connections!$B656,games!$A$2:$A$950,0)),""))</f>
        <v>2024</v>
      </c>
      <c r="V656">
        <f t="shared" si="142"/>
        <v>3</v>
      </c>
    </row>
    <row r="657" spans="1:22" x14ac:dyDescent="0.25">
      <c r="A657" t="str">
        <f>IF(games!$A657="","",games!$A657)</f>
        <v>Scourgebringer</v>
      </c>
      <c r="B657">
        <f>IF($A657="","",games!$B657)</f>
        <v>2020</v>
      </c>
      <c r="C657" t="str">
        <f>IF($A657="","",games!$C657)</f>
        <v>Action</v>
      </c>
      <c r="D657">
        <f>IF($A657="","",COUNTIF(connections!$A$2:$A$1460,$A657)+COUNTIF(connections!$B$2:$B$1460,$A657))</f>
        <v>7</v>
      </c>
      <c r="E657">
        <f t="shared" si="130"/>
        <v>1</v>
      </c>
      <c r="F657">
        <f t="shared" si="131"/>
        <v>11</v>
      </c>
      <c r="G657">
        <f t="shared" si="132"/>
        <v>2020</v>
      </c>
      <c r="H657">
        <f t="shared" si="133"/>
        <v>1.2530000000000001</v>
      </c>
      <c r="I657" t="e">
        <f t="shared" si="134"/>
        <v>#N/A</v>
      </c>
      <c r="J657" t="e">
        <f t="shared" si="135"/>
        <v>#N/A</v>
      </c>
      <c r="K657" t="e">
        <f t="shared" si="136"/>
        <v>#N/A</v>
      </c>
      <c r="L657" t="e">
        <f t="shared" si="137"/>
        <v>#N/A</v>
      </c>
      <c r="M657" t="e">
        <f t="shared" si="138"/>
        <v>#N/A</v>
      </c>
      <c r="N657" t="e">
        <f t="shared" si="139"/>
        <v>#N/A</v>
      </c>
      <c r="O657">
        <f t="shared" si="140"/>
        <v>7.0006570000000004</v>
      </c>
      <c r="P657" t="str">
        <f>IF(OR($A657="",games!$H657=""),"",games!$H657)</f>
        <v>Yes</v>
      </c>
      <c r="Q657">
        <f t="shared" si="141"/>
        <v>7.0006570000000004</v>
      </c>
      <c r="T657">
        <f>IF(connections!$A657="","",IFERROR(INDEX(games!$B$2:$B$950,MATCH(connections!$A657,games!$A$2:$A$950,0)),""))</f>
        <v>2021</v>
      </c>
      <c r="U657">
        <f>IF(connections!$A657="","",IFERROR(INDEX(games!$B$2:$B$950,MATCH(connections!$B657,games!$A$2:$A$950,0)),""))</f>
        <v>2026</v>
      </c>
      <c r="V657">
        <f t="shared" si="142"/>
        <v>5</v>
      </c>
    </row>
    <row r="658" spans="1:22" x14ac:dyDescent="0.25">
      <c r="A658" t="str">
        <f>IF(games!$A658="","",games!$A658)</f>
        <v>Sea of Survivors</v>
      </c>
      <c r="B658">
        <f>IF($A658="","",games!$B658)</f>
        <v>2023</v>
      </c>
      <c r="C658" t="str">
        <f>IF($A658="","",games!$C658)</f>
        <v>Action</v>
      </c>
      <c r="D658">
        <f>IF($A658="","",COUNTIF(connections!$A$2:$A$1460,$A658)+COUNTIF(connections!$B$2:$B$1460,$A658))</f>
        <v>1</v>
      </c>
      <c r="E658">
        <f t="shared" si="130"/>
        <v>1</v>
      </c>
      <c r="F658">
        <f t="shared" si="131"/>
        <v>12</v>
      </c>
      <c r="G658">
        <f t="shared" si="132"/>
        <v>2023</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2021</v>
      </c>
      <c r="U658">
        <f>IF(connections!$A658="","",IFERROR(INDEX(games!$B$2:$B$950,MATCH(connections!$B658,games!$A$2:$A$950,0)),""))</f>
        <v>2024</v>
      </c>
      <c r="V658">
        <f t="shared" si="142"/>
        <v>3</v>
      </c>
    </row>
    <row r="659" spans="1:22" x14ac:dyDescent="0.25">
      <c r="A659" t="str">
        <f>IF(games!$A659="","",games!$A659)</f>
        <v>Section 13</v>
      </c>
      <c r="B659">
        <f>IF($A659="","",games!$B659)</f>
        <v>2023</v>
      </c>
      <c r="C659" t="str">
        <f>IF($A659="","",games!$C659)</f>
        <v>Action</v>
      </c>
      <c r="D659">
        <f>IF($A659="","",COUNTIF(connections!$A$2:$A$1460,$A659)+COUNTIF(connections!$B$2:$B$1460,$A659))</f>
        <v>1</v>
      </c>
      <c r="E659">
        <f t="shared" si="130"/>
        <v>1</v>
      </c>
      <c r="F659">
        <f t="shared" si="131"/>
        <v>13</v>
      </c>
      <c r="G659">
        <f t="shared" si="132"/>
        <v>2023</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Yes</v>
      </c>
      <c r="Q659">
        <f t="shared" si="141"/>
        <v>1.000659</v>
      </c>
      <c r="T659">
        <f>IF(connections!$A659="","",IFERROR(INDEX(games!$B$2:$B$950,MATCH(connections!$A659,games!$A$2:$A$950,0)),""))</f>
        <v>2021</v>
      </c>
      <c r="U659">
        <f>IF(connections!$A659="","",IFERROR(INDEX(games!$B$2:$B$950,MATCH(connections!$B659,games!$A$2:$A$950,0)),""))</f>
        <v>2024</v>
      </c>
      <c r="V659">
        <f t="shared" si="142"/>
        <v>3</v>
      </c>
    </row>
    <row r="660" spans="1:22" x14ac:dyDescent="0.25">
      <c r="A660" t="str">
        <f>IF(games!$A660="","",games!$A660)</f>
        <v>Seedborne Soldiers</v>
      </c>
      <c r="B660">
        <f>IF($A660="","",games!$B660)</f>
        <v>2025</v>
      </c>
      <c r="C660" t="str">
        <f>IF($A660="","",games!$C660)</f>
        <v>Strategy</v>
      </c>
      <c r="D660">
        <f>IF($A660="","",COUNTIF(connections!$A$2:$A$1460,$A660)+COUNTIF(connections!$B$2:$B$1460,$A660))</f>
        <v>2</v>
      </c>
      <c r="E660">
        <f t="shared" si="130"/>
        <v>2</v>
      </c>
      <c r="F660">
        <f t="shared" si="131"/>
        <v>14</v>
      </c>
      <c r="G660" t="e">
        <f t="shared" si="132"/>
        <v>#N/A</v>
      </c>
      <c r="H660" t="e">
        <f t="shared" si="133"/>
        <v>#N/A</v>
      </c>
      <c r="I660">
        <f t="shared" si="134"/>
        <v>2025</v>
      </c>
      <c r="J660">
        <f t="shared" si="135"/>
        <v>2.3220000000000001</v>
      </c>
      <c r="K660" t="e">
        <f t="shared" si="136"/>
        <v>#N/A</v>
      </c>
      <c r="L660" t="e">
        <f t="shared" si="137"/>
        <v>#N/A</v>
      </c>
      <c r="M660" t="e">
        <f t="shared" si="138"/>
        <v>#N/A</v>
      </c>
      <c r="N660" t="e">
        <f t="shared" si="139"/>
        <v>#N/A</v>
      </c>
      <c r="O660">
        <f t="shared" si="140"/>
        <v>2.0006599999999999</v>
      </c>
      <c r="P660" t="str">
        <f>IF(OR($A660="",games!$H660=""),"",games!$H660)</f>
        <v/>
      </c>
      <c r="Q660" t="str">
        <f t="shared" si="141"/>
        <v/>
      </c>
      <c r="T660">
        <f>IF(connections!$A660="","",IFERROR(INDEX(games!$B$2:$B$950,MATCH(connections!$A660,games!$A$2:$A$950,0)),""))</f>
        <v>2021</v>
      </c>
      <c r="U660">
        <f>IF(connections!$A660="","",IFERROR(INDEX(games!$B$2:$B$950,MATCH(connections!$B660,games!$A$2:$A$950,0)),""))</f>
        <v>2023</v>
      </c>
      <c r="V660">
        <f t="shared" si="142"/>
        <v>2</v>
      </c>
    </row>
    <row r="661" spans="1:22" x14ac:dyDescent="0.25">
      <c r="A661" t="str">
        <f>IF(games!$A661="","",games!$A661)</f>
        <v>Sephiria</v>
      </c>
      <c r="B661">
        <f>IF($A661="","",games!$B661)</f>
        <v>2025</v>
      </c>
      <c r="C661" t="str">
        <f>IF($A661="","",games!$C661)</f>
        <v>Action</v>
      </c>
      <c r="D661">
        <f>IF($A661="","",COUNTIF(connections!$A$2:$A$1460,$A661)+COUNTIF(connections!$B$2:$B$1460,$A661))</f>
        <v>2</v>
      </c>
      <c r="E661">
        <f t="shared" si="130"/>
        <v>1</v>
      </c>
      <c r="F661">
        <f t="shared" si="131"/>
        <v>15</v>
      </c>
      <c r="G661">
        <f t="shared" si="132"/>
        <v>2025</v>
      </c>
      <c r="H661">
        <f t="shared" si="133"/>
        <v>1.345</v>
      </c>
      <c r="I661" t="e">
        <f t="shared" si="134"/>
        <v>#N/A</v>
      </c>
      <c r="J661" t="e">
        <f t="shared" si="135"/>
        <v>#N/A</v>
      </c>
      <c r="K661" t="e">
        <f t="shared" si="136"/>
        <v>#N/A</v>
      </c>
      <c r="L661" t="e">
        <f t="shared" si="137"/>
        <v>#N/A</v>
      </c>
      <c r="M661" t="e">
        <f t="shared" si="138"/>
        <v>#N/A</v>
      </c>
      <c r="N661" t="e">
        <f t="shared" si="139"/>
        <v>#N/A</v>
      </c>
      <c r="O661">
        <f t="shared" si="140"/>
        <v>2.000661</v>
      </c>
      <c r="P661" t="str">
        <f>IF(OR($A661="",games!$H661=""),"",games!$H661)</f>
        <v/>
      </c>
      <c r="Q661" t="str">
        <f t="shared" si="141"/>
        <v/>
      </c>
      <c r="T661">
        <f>IF(connections!$A661="","",IFERROR(INDEX(games!$B$2:$B$950,MATCH(connections!$A661,games!$A$2:$A$950,0)),""))</f>
        <v>2021</v>
      </c>
      <c r="U661">
        <f>IF(connections!$A661="","",IFERROR(INDEX(games!$B$2:$B$950,MATCH(connections!$B661,games!$A$2:$A$950,0)),""))</f>
        <v>2023</v>
      </c>
      <c r="V661">
        <f t="shared" si="142"/>
        <v>2</v>
      </c>
    </row>
    <row r="662" spans="1:22" x14ac:dyDescent="0.25">
      <c r="A662" t="str">
        <f>IF(games!$A662="","",games!$A662)</f>
        <v>Seraph's Last Stand</v>
      </c>
      <c r="B662">
        <f>IF($A662="","",games!$B662)</f>
        <v>2022</v>
      </c>
      <c r="C662" t="str">
        <f>IF($A662="","",games!$C662)</f>
        <v>Action</v>
      </c>
      <c r="D662">
        <f>IF($A662="","",COUNTIF(connections!$A$2:$A$1460,$A662)+COUNTIF(connections!$B$2:$B$1460,$A662))</f>
        <v>1</v>
      </c>
      <c r="E662">
        <f t="shared" si="130"/>
        <v>1</v>
      </c>
      <c r="F662">
        <f t="shared" si="131"/>
        <v>16</v>
      </c>
      <c r="G662">
        <f t="shared" si="132"/>
        <v>2022</v>
      </c>
      <c r="H662">
        <f t="shared" si="133"/>
        <v>1.3679999999999999</v>
      </c>
      <c r="I662" t="e">
        <f t="shared" si="134"/>
        <v>#N/A</v>
      </c>
      <c r="J662" t="e">
        <f t="shared" si="135"/>
        <v>#N/A</v>
      </c>
      <c r="K662" t="e">
        <f t="shared" si="136"/>
        <v>#N/A</v>
      </c>
      <c r="L662" t="e">
        <f t="shared" si="137"/>
        <v>#N/A</v>
      </c>
      <c r="M662" t="e">
        <f t="shared" si="138"/>
        <v>#N/A</v>
      </c>
      <c r="N662" t="e">
        <f t="shared" si="139"/>
        <v>#N/A</v>
      </c>
      <c r="O662">
        <f t="shared" si="140"/>
        <v>1.0006619999999999</v>
      </c>
      <c r="P662" t="str">
        <f>IF(OR($A662="",games!$H662=""),"",games!$H662)</f>
        <v>Yes</v>
      </c>
      <c r="Q662">
        <f t="shared" si="141"/>
        <v>1.0006619999999999</v>
      </c>
      <c r="T662">
        <f>IF(connections!$A662="","",IFERROR(INDEX(games!$B$2:$B$950,MATCH(connections!$A662,games!$A$2:$A$950,0)),""))</f>
        <v>2021</v>
      </c>
      <c r="U662">
        <f>IF(connections!$A662="","",IFERROR(INDEX(games!$B$2:$B$950,MATCH(connections!$B662,games!$A$2:$A$950,0)),""))</f>
        <v>2025</v>
      </c>
      <c r="V662">
        <f t="shared" si="142"/>
        <v>4</v>
      </c>
    </row>
    <row r="663" spans="1:22" x14ac:dyDescent="0.25">
      <c r="A663" t="str">
        <f>IF(games!$A663="","",games!$A663)</f>
        <v>Serpent's Gaze</v>
      </c>
      <c r="B663">
        <f>IF($A663="","",games!$B663)</f>
        <v>2026</v>
      </c>
      <c r="C663" t="str">
        <f>IF($A663="","",games!$C663)</f>
        <v>Action</v>
      </c>
      <c r="D663">
        <f>IF($A663="","",COUNTIF(connections!$A$2:$A$1460,$A663)+COUNTIF(connections!$B$2:$B$1460,$A663))</f>
        <v>3</v>
      </c>
      <c r="E663">
        <f t="shared" si="130"/>
        <v>1</v>
      </c>
      <c r="F663">
        <f t="shared" si="131"/>
        <v>17</v>
      </c>
      <c r="G663">
        <f t="shared" si="132"/>
        <v>2026</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
      </c>
      <c r="Q663" t="str">
        <f t="shared" si="141"/>
        <v/>
      </c>
      <c r="T663">
        <f>IF(connections!$A663="","",IFERROR(INDEX(games!$B$2:$B$950,MATCH(connections!$A663,games!$A$2:$A$950,0)),""))</f>
        <v>2021</v>
      </c>
      <c r="U663">
        <f>IF(connections!$A663="","",IFERROR(INDEX(games!$B$2:$B$950,MATCH(connections!$B663,games!$A$2:$A$950,0)),""))</f>
        <v>2026</v>
      </c>
      <c r="V663">
        <f t="shared" si="142"/>
        <v>5</v>
      </c>
    </row>
    <row r="664" spans="1:22" x14ac:dyDescent="0.25">
      <c r="A664" t="str">
        <f>IF(games!$A664="","",games!$A664)</f>
        <v>Shadow of the Wyrm</v>
      </c>
      <c r="B664">
        <f>IF($A664="","",games!$B664)</f>
        <v>2015</v>
      </c>
      <c r="C664" t="str">
        <f>IF($A664="","",games!$C664)</f>
        <v>Traditional</v>
      </c>
      <c r="D664">
        <f>IF($A664="","",COUNTIF(connections!$A$2:$A$1460,$A664)+COUNTIF(connections!$B$2:$B$1460,$A664))</f>
        <v>2</v>
      </c>
      <c r="E664">
        <f t="shared" si="130"/>
        <v>4</v>
      </c>
      <c r="F664">
        <f t="shared" si="131"/>
        <v>18</v>
      </c>
      <c r="G664" t="e">
        <f t="shared" si="132"/>
        <v>#N/A</v>
      </c>
      <c r="H664" t="e">
        <f t="shared" si="133"/>
        <v>#N/A</v>
      </c>
      <c r="I664" t="e">
        <f t="shared" si="134"/>
        <v>#N/A</v>
      </c>
      <c r="J664" t="e">
        <f t="shared" si="135"/>
        <v>#N/A</v>
      </c>
      <c r="K664" t="e">
        <f t="shared" si="136"/>
        <v>#N/A</v>
      </c>
      <c r="L664" t="e">
        <f t="shared" si="137"/>
        <v>#N/A</v>
      </c>
      <c r="M664">
        <f t="shared" si="138"/>
        <v>2015</v>
      </c>
      <c r="N664">
        <f t="shared" si="139"/>
        <v>4.4139999999999997</v>
      </c>
      <c r="O664">
        <f t="shared" si="140"/>
        <v>2.000664</v>
      </c>
      <c r="P664" t="str">
        <f>IF(OR($A664="",games!$H664=""),"",games!$H664)</f>
        <v>Yes</v>
      </c>
      <c r="Q664">
        <f t="shared" si="141"/>
        <v>2.000664</v>
      </c>
      <c r="T664">
        <f>IF(connections!$A664="","",IFERROR(INDEX(games!$B$2:$B$950,MATCH(connections!$A664,games!$A$2:$A$950,0)),""))</f>
        <v>2021</v>
      </c>
      <c r="U664">
        <f>IF(connections!$A664="","",IFERROR(INDEX(games!$B$2:$B$950,MATCH(connections!$B664,games!$A$2:$A$950,0)),""))</f>
        <v>2025</v>
      </c>
      <c r="V664">
        <f t="shared" si="142"/>
        <v>4</v>
      </c>
    </row>
    <row r="665" spans="1:22" x14ac:dyDescent="0.25">
      <c r="A665" t="str">
        <f>IF(games!$A665="","",games!$A665)</f>
        <v>Shadowveil: Legend of The Five Rings</v>
      </c>
      <c r="B665">
        <f>IF($A665="","",games!$B665)</f>
        <v>2025</v>
      </c>
      <c r="C665" t="str">
        <f>IF($A665="","",games!$C665)</f>
        <v>Strategy</v>
      </c>
      <c r="D665">
        <f>IF($A665="","",COUNTIF(connections!$A$2:$A$1460,$A665)+COUNTIF(connections!$B$2:$B$1460,$A665))</f>
        <v>3</v>
      </c>
      <c r="E665">
        <f t="shared" si="130"/>
        <v>2</v>
      </c>
      <c r="F665">
        <f t="shared" si="131"/>
        <v>19</v>
      </c>
      <c r="G665" t="e">
        <f t="shared" si="132"/>
        <v>#N/A</v>
      </c>
      <c r="H665" t="e">
        <f t="shared" si="133"/>
        <v>#N/A</v>
      </c>
      <c r="I665">
        <f t="shared" si="134"/>
        <v>2025</v>
      </c>
      <c r="J665">
        <f t="shared" si="135"/>
        <v>2.4369999999999998</v>
      </c>
      <c r="K665" t="e">
        <f t="shared" si="136"/>
        <v>#N/A</v>
      </c>
      <c r="L665" t="e">
        <f t="shared" si="137"/>
        <v>#N/A</v>
      </c>
      <c r="M665" t="e">
        <f t="shared" si="138"/>
        <v>#N/A</v>
      </c>
      <c r="N665" t="e">
        <f t="shared" si="139"/>
        <v>#N/A</v>
      </c>
      <c r="O665">
        <f t="shared" si="140"/>
        <v>3.0006650000000001</v>
      </c>
      <c r="P665" t="str">
        <f>IF(OR($A665="",games!$H665=""),"",games!$H665)</f>
        <v/>
      </c>
      <c r="Q665" t="str">
        <f t="shared" si="141"/>
        <v/>
      </c>
      <c r="T665">
        <f>IF(connections!$A665="","",IFERROR(INDEX(games!$B$2:$B$950,MATCH(connections!$A665,games!$A$2:$A$950,0)),""))</f>
        <v>2021</v>
      </c>
      <c r="U665">
        <f>IF(connections!$A665="","",IFERROR(INDEX(games!$B$2:$B$950,MATCH(connections!$B665,games!$A$2:$A$950,0)),""))</f>
        <v>2021</v>
      </c>
      <c r="V665">
        <f t="shared" si="142"/>
        <v>0</v>
      </c>
    </row>
    <row r="666" spans="1:22" x14ac:dyDescent="0.25">
      <c r="A666" t="str">
        <f>IF(games!$A666="","",games!$A666)</f>
        <v>Shape of Dreams</v>
      </c>
      <c r="B666">
        <f>IF($A666="","",games!$B666)</f>
        <v>2025</v>
      </c>
      <c r="C666" t="str">
        <f>IF($A666="","",games!$C666)</f>
        <v>Action</v>
      </c>
      <c r="D666">
        <f>IF($A666="","",COUNTIF(connections!$A$2:$A$1460,$A666)+COUNTIF(connections!$B$2:$B$1460,$A666))</f>
        <v>3</v>
      </c>
      <c r="E666">
        <f t="shared" si="130"/>
        <v>1</v>
      </c>
      <c r="F666">
        <f t="shared" si="131"/>
        <v>20</v>
      </c>
      <c r="G666">
        <f t="shared" si="132"/>
        <v>2025</v>
      </c>
      <c r="H666">
        <f t="shared" si="133"/>
        <v>1.46</v>
      </c>
      <c r="I666" t="e">
        <f t="shared" si="134"/>
        <v>#N/A</v>
      </c>
      <c r="J666" t="e">
        <f t="shared" si="135"/>
        <v>#N/A</v>
      </c>
      <c r="K666" t="e">
        <f t="shared" si="136"/>
        <v>#N/A</v>
      </c>
      <c r="L666" t="e">
        <f t="shared" si="137"/>
        <v>#N/A</v>
      </c>
      <c r="M666" t="e">
        <f t="shared" si="138"/>
        <v>#N/A</v>
      </c>
      <c r="N666" t="e">
        <f t="shared" si="139"/>
        <v>#N/A</v>
      </c>
      <c r="O666">
        <f t="shared" si="140"/>
        <v>3.0006659999999998</v>
      </c>
      <c r="P666" t="str">
        <f>IF(OR($A666="",games!$H666=""),"",games!$H666)</f>
        <v>Yes</v>
      </c>
      <c r="Q666">
        <f t="shared" si="141"/>
        <v>3.0006659999999998</v>
      </c>
      <c r="T666">
        <f>IF(connections!$A666="","",IFERROR(INDEX(games!$B$2:$B$950,MATCH(connections!$A666,games!$A$2:$A$950,0)),""))</f>
        <v>2021</v>
      </c>
      <c r="U666">
        <f>IF(connections!$A666="","",IFERROR(INDEX(games!$B$2:$B$950,MATCH(connections!$B666,games!$A$2:$A$950,0)),""))</f>
        <v>2025</v>
      </c>
      <c r="V666">
        <f t="shared" si="142"/>
        <v>4</v>
      </c>
    </row>
    <row r="667" spans="1:22" x14ac:dyDescent="0.25">
      <c r="A667" t="str">
        <f>IF(games!$A667="","",games!$A667)</f>
        <v>Shape Shifter: Formations</v>
      </c>
      <c r="B667">
        <f>IF($A667="","",games!$B667)</f>
        <v>2023</v>
      </c>
      <c r="C667" t="str">
        <f>IF($A667="","",games!$C667)</f>
        <v>Action</v>
      </c>
      <c r="D667">
        <f>IF($A667="","",COUNTIF(connections!$A$2:$A$1460,$A667)+COUNTIF(connections!$B$2:$B$1460,$A667))</f>
        <v>2</v>
      </c>
      <c r="E667">
        <f t="shared" si="130"/>
        <v>1</v>
      </c>
      <c r="F667">
        <f t="shared" si="131"/>
        <v>21</v>
      </c>
      <c r="G667">
        <f t="shared" si="132"/>
        <v>2023</v>
      </c>
      <c r="H667">
        <f t="shared" si="133"/>
        <v>1.4830000000000001</v>
      </c>
      <c r="I667" t="e">
        <f t="shared" si="134"/>
        <v>#N/A</v>
      </c>
      <c r="J667" t="e">
        <f t="shared" si="135"/>
        <v>#N/A</v>
      </c>
      <c r="K667" t="e">
        <f t="shared" si="136"/>
        <v>#N/A</v>
      </c>
      <c r="L667" t="e">
        <f t="shared" si="137"/>
        <v>#N/A</v>
      </c>
      <c r="M667" t="e">
        <f t="shared" si="138"/>
        <v>#N/A</v>
      </c>
      <c r="N667" t="e">
        <f t="shared" si="139"/>
        <v>#N/A</v>
      </c>
      <c r="O667">
        <f t="shared" si="140"/>
        <v>2.000667</v>
      </c>
      <c r="P667" t="str">
        <f>IF(OR($A667="",games!$H667=""),"",games!$H667)</f>
        <v/>
      </c>
      <c r="Q667" t="str">
        <f t="shared" si="141"/>
        <v/>
      </c>
      <c r="T667">
        <f>IF(connections!$A667="","",IFERROR(INDEX(games!$B$2:$B$950,MATCH(connections!$A667,games!$A$2:$A$950,0)),""))</f>
        <v>2021</v>
      </c>
      <c r="U667">
        <f>IF(connections!$A667="","",IFERROR(INDEX(games!$B$2:$B$950,MATCH(connections!$B667,games!$A$2:$A$950,0)),""))</f>
        <v>2025</v>
      </c>
      <c r="V667">
        <f t="shared" si="142"/>
        <v>4</v>
      </c>
    </row>
    <row r="668" spans="1:22" x14ac:dyDescent="0.25">
      <c r="A668" t="str">
        <f>IF(games!$A668="","",games!$A668)</f>
        <v>Shard Squad</v>
      </c>
      <c r="B668">
        <f>IF($A668="","",games!$B668)</f>
        <v>2025</v>
      </c>
      <c r="C668" t="str">
        <f>IF($A668="","",games!$C668)</f>
        <v>Action</v>
      </c>
      <c r="D668">
        <f>IF($A668="","",COUNTIF(connections!$A$2:$A$1460,$A668)+COUNTIF(connections!$B$2:$B$1460,$A668))</f>
        <v>1</v>
      </c>
      <c r="E668">
        <f t="shared" si="130"/>
        <v>1</v>
      </c>
      <c r="F668">
        <f t="shared" si="131"/>
        <v>22</v>
      </c>
      <c r="G668">
        <f t="shared" si="132"/>
        <v>2025</v>
      </c>
      <c r="H668">
        <f t="shared" si="133"/>
        <v>1.506</v>
      </c>
      <c r="I668" t="e">
        <f t="shared" si="134"/>
        <v>#N/A</v>
      </c>
      <c r="J668" t="e">
        <f t="shared" si="135"/>
        <v>#N/A</v>
      </c>
      <c r="K668" t="e">
        <f t="shared" si="136"/>
        <v>#N/A</v>
      </c>
      <c r="L668" t="e">
        <f t="shared" si="137"/>
        <v>#N/A</v>
      </c>
      <c r="M668" t="e">
        <f t="shared" si="138"/>
        <v>#N/A</v>
      </c>
      <c r="N668" t="e">
        <f t="shared" si="139"/>
        <v>#N/A</v>
      </c>
      <c r="O668">
        <f t="shared" si="140"/>
        <v>1.0006679999999999</v>
      </c>
      <c r="P668" t="str">
        <f>IF(OR($A668="",games!$H668=""),"",games!$H668)</f>
        <v/>
      </c>
      <c r="Q668" t="str">
        <f t="shared" si="141"/>
        <v/>
      </c>
      <c r="T668">
        <f>IF(connections!$A668="","",IFERROR(INDEX(games!$B$2:$B$950,MATCH(connections!$A668,games!$A$2:$A$950,0)),""))</f>
        <v>2021</v>
      </c>
      <c r="U668">
        <f>IF(connections!$A668="","",IFERROR(INDEX(games!$B$2:$B$950,MATCH(connections!$B668,games!$A$2:$A$950,0)),""))</f>
        <v>2025</v>
      </c>
      <c r="V668">
        <f t="shared" si="142"/>
        <v>4</v>
      </c>
    </row>
    <row r="669" spans="1:22" x14ac:dyDescent="0.25">
      <c r="A669" t="str">
        <f>IF(games!$A669="","",games!$A669)</f>
        <v>Shattered Pixel Dungeon</v>
      </c>
      <c r="B669">
        <f>IF($A669="","",games!$B669)</f>
        <v>2014</v>
      </c>
      <c r="C669" t="str">
        <f>IF($A669="","",games!$C669)</f>
        <v>Traditional</v>
      </c>
      <c r="D669">
        <f>IF($A669="","",COUNTIF(connections!$A$2:$A$1460,$A669)+COUNTIF(connections!$B$2:$B$1460,$A669))</f>
        <v>2</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2014</v>
      </c>
      <c r="N669">
        <f t="shared" si="139"/>
        <v>4.5289999999999999</v>
      </c>
      <c r="O669">
        <f t="shared" si="140"/>
        <v>2.0006689999999998</v>
      </c>
      <c r="P669" t="str">
        <f>IF(OR($A669="",games!$H669=""),"",games!$H669)</f>
        <v/>
      </c>
      <c r="Q669" t="str">
        <f t="shared" si="141"/>
        <v/>
      </c>
      <c r="T669">
        <f>IF(connections!$A669="","",IFERROR(INDEX(games!$B$2:$B$950,MATCH(connections!$A669,games!$A$2:$A$950,0)),""))</f>
        <v>2021</v>
      </c>
      <c r="U669">
        <f>IF(connections!$A669="","",IFERROR(INDEX(games!$B$2:$B$950,MATCH(connections!$B669,games!$A$2:$A$950,0)),""))</f>
        <v>2024</v>
      </c>
      <c r="V669">
        <f t="shared" si="142"/>
        <v>3</v>
      </c>
    </row>
    <row r="670" spans="1:22" x14ac:dyDescent="0.25">
      <c r="A670" t="str">
        <f>IF(games!$A670="","",games!$A670)</f>
        <v>Ship of Fools</v>
      </c>
      <c r="B670">
        <f>IF($A670="","",games!$B670)</f>
        <v>2022</v>
      </c>
      <c r="C670" t="str">
        <f>IF($A670="","",games!$C670)</f>
        <v>Action</v>
      </c>
      <c r="D670">
        <f>IF($A670="","",COUNTIF(connections!$A$2:$A$1460,$A670)+COUNTIF(connections!$B$2:$B$1460,$A670))</f>
        <v>3</v>
      </c>
      <c r="E670">
        <f t="shared" si="130"/>
        <v>1</v>
      </c>
      <c r="F670">
        <f t="shared" si="131"/>
        <v>24</v>
      </c>
      <c r="G670">
        <f t="shared" si="132"/>
        <v>2022</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2021</v>
      </c>
      <c r="U670">
        <f>IF(connections!$A670="","",IFERROR(INDEX(games!$B$2:$B$950,MATCH(connections!$B670,games!$A$2:$A$950,0)),""))</f>
        <v>2025</v>
      </c>
      <c r="V670">
        <f t="shared" si="142"/>
        <v>4</v>
      </c>
    </row>
    <row r="671" spans="1:22" x14ac:dyDescent="0.25">
      <c r="A671" t="str">
        <f>IF(games!$A671="","",games!$A671)</f>
        <v>Shiren the Wanderer (2008)</v>
      </c>
      <c r="B671">
        <f>IF($A671="","",games!$B671)</f>
        <v>2008</v>
      </c>
      <c r="C671" t="str">
        <f>IF($A671="","",games!$C671)</f>
        <v>Traditional</v>
      </c>
      <c r="D671">
        <f>IF($A671="","",COUNTIF(connections!$A$2:$A$1460,$A671)+COUNTIF(connections!$B$2:$B$1460,$A671))</f>
        <v>2</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2008</v>
      </c>
      <c r="N671">
        <f t="shared" si="139"/>
        <v>4.5750000000000002</v>
      </c>
      <c r="O671">
        <f t="shared" si="140"/>
        <v>2.0006710000000001</v>
      </c>
      <c r="P671" t="str">
        <f>IF(OR($A671="",games!$H671=""),"",games!$H671)</f>
        <v>Yes</v>
      </c>
      <c r="Q671">
        <f t="shared" si="141"/>
        <v>2.0006710000000001</v>
      </c>
      <c r="T671">
        <f>IF(connections!$A671="","",IFERROR(INDEX(games!$B$2:$B$950,MATCH(connections!$A671,games!$A$2:$A$950,0)),""))</f>
        <v>2021</v>
      </c>
      <c r="U671">
        <f>IF(connections!$A671="","",IFERROR(INDEX(games!$B$2:$B$950,MATCH(connections!$B671,games!$A$2:$A$950,0)),""))</f>
        <v>2025</v>
      </c>
      <c r="V671">
        <f t="shared" si="142"/>
        <v>4</v>
      </c>
    </row>
    <row r="672" spans="1:22" x14ac:dyDescent="0.25">
      <c r="A672" t="str">
        <f>IF(games!$A672="","",games!$A672)</f>
        <v>Shiren the Wanderer 2: Shiren's Castle and the Oni Invasion</v>
      </c>
      <c r="B672">
        <f>IF($A672="","",games!$B672)</f>
        <v>2000</v>
      </c>
      <c r="C672" t="str">
        <f>IF($A672="","",games!$C672)</f>
        <v>Traditional</v>
      </c>
      <c r="D672">
        <f>IF($A672="","",COUNTIF(connections!$A$2:$A$1460,$A672)+COUNTIF(connections!$B$2:$B$1460,$A672))</f>
        <v>3</v>
      </c>
      <c r="E672">
        <f t="shared" si="130"/>
        <v>4</v>
      </c>
      <c r="F672">
        <f t="shared" si="131"/>
        <v>26</v>
      </c>
      <c r="G672" t="e">
        <f t="shared" si="132"/>
        <v>#N/A</v>
      </c>
      <c r="H672" t="e">
        <f t="shared" si="133"/>
        <v>#N/A</v>
      </c>
      <c r="I672" t="e">
        <f t="shared" si="134"/>
        <v>#N/A</v>
      </c>
      <c r="J672" t="e">
        <f t="shared" si="135"/>
        <v>#N/A</v>
      </c>
      <c r="K672" t="e">
        <f t="shared" si="136"/>
        <v>#N/A</v>
      </c>
      <c r="L672" t="e">
        <f t="shared" si="137"/>
        <v>#N/A</v>
      </c>
      <c r="M672">
        <f t="shared" si="138"/>
        <v>2000</v>
      </c>
      <c r="N672">
        <f t="shared" si="139"/>
        <v>4.5979999999999999</v>
      </c>
      <c r="O672">
        <f t="shared" si="140"/>
        <v>3.0006719999999998</v>
      </c>
      <c r="P672" t="str">
        <f>IF(OR($A672="",games!$H672=""),"",games!$H672)</f>
        <v>Yes</v>
      </c>
      <c r="Q672">
        <f t="shared" si="141"/>
        <v>3.0006719999999998</v>
      </c>
      <c r="T672">
        <f>IF(connections!$A672="","",IFERROR(INDEX(games!$B$2:$B$950,MATCH(connections!$A672,games!$A$2:$A$950,0)),""))</f>
        <v>2019</v>
      </c>
      <c r="U672">
        <f>IF(connections!$A672="","",IFERROR(INDEX(games!$B$2:$B$950,MATCH(connections!$B672,games!$A$2:$A$950,0)),""))</f>
        <v>2023</v>
      </c>
      <c r="V672">
        <f t="shared" si="142"/>
        <v>4</v>
      </c>
    </row>
    <row r="673" spans="1:22" x14ac:dyDescent="0.25">
      <c r="A673" t="str">
        <f>IF(games!$A673="","",games!$A673)</f>
        <v>Shiren the Wanderer 4: The Eye of God and the Devil's Navel</v>
      </c>
      <c r="B673">
        <f>IF($A673="","",games!$B673)</f>
        <v>2010</v>
      </c>
      <c r="C673" t="str">
        <f>IF($A673="","",games!$C673)</f>
        <v>Traditional</v>
      </c>
      <c r="D673">
        <f>IF($A673="","",COUNTIF(connections!$A$2:$A$1460,$A673)+COUNTIF(connections!$B$2:$B$1460,$A673))</f>
        <v>2</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2010</v>
      </c>
      <c r="N673">
        <f t="shared" si="139"/>
        <v>4.6210000000000004</v>
      </c>
      <c r="O673">
        <f t="shared" si="140"/>
        <v>2.0006729999999999</v>
      </c>
      <c r="P673" t="str">
        <f>IF(OR($A673="",games!$H673=""),"",games!$H673)</f>
        <v>Yes</v>
      </c>
      <c r="Q673">
        <f t="shared" si="141"/>
        <v>2.0006729999999999</v>
      </c>
      <c r="T673">
        <f>IF(connections!$A673="","",IFERROR(INDEX(games!$B$2:$B$950,MATCH(connections!$A673,games!$A$2:$A$950,0)),""))</f>
        <v>2019</v>
      </c>
      <c r="U673">
        <f>IF(connections!$A673="","",IFERROR(INDEX(games!$B$2:$B$950,MATCH(connections!$B673,games!$A$2:$A$950,0)),""))</f>
        <v>2022</v>
      </c>
      <c r="V673">
        <f t="shared" si="142"/>
        <v>3</v>
      </c>
    </row>
    <row r="674" spans="1:22" x14ac:dyDescent="0.25">
      <c r="A674" t="str">
        <f>IF(games!$A674="","",games!$A674)</f>
        <v>Shiren the Wanderer Gaiden: Asuka the Swordswoman</v>
      </c>
      <c r="B674">
        <f>IF($A674="","",games!$B674)</f>
        <v>2002</v>
      </c>
      <c r="C674" t="str">
        <f>IF($A674="","",games!$C674)</f>
        <v>Traditional</v>
      </c>
      <c r="D674">
        <f>IF($A674="","",COUNTIF(connections!$A$2:$A$1460,$A674)+COUNTIF(connections!$B$2:$B$1460,$A674))</f>
        <v>1</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2002</v>
      </c>
      <c r="N674">
        <f t="shared" si="139"/>
        <v>4.6440000000000001</v>
      </c>
      <c r="O674">
        <f t="shared" si="140"/>
        <v>1.0006740000000001</v>
      </c>
      <c r="P674" t="str">
        <f>IF(OR($A674="",games!$H674=""),"",games!$H674)</f>
        <v>Yes</v>
      </c>
      <c r="Q674">
        <f t="shared" si="141"/>
        <v>1.0006740000000001</v>
      </c>
      <c r="T674">
        <f>IF(connections!$A674="","",IFERROR(INDEX(games!$B$2:$B$950,MATCH(connections!$A674,games!$A$2:$A$950,0)),""))</f>
        <v>2019</v>
      </c>
      <c r="U674">
        <f>IF(connections!$A674="","",IFERROR(INDEX(games!$B$2:$B$950,MATCH(connections!$B674,games!$A$2:$A$950,0)),""))</f>
        <v>2021</v>
      </c>
      <c r="V674">
        <f t="shared" si="142"/>
        <v>2</v>
      </c>
    </row>
    <row r="675" spans="1:22" x14ac:dyDescent="0.25">
      <c r="A675" t="str">
        <f>IF(games!$A675="","",games!$A675)</f>
        <v>Shiren the Wanderer GB: Monster of Moonlight Village</v>
      </c>
      <c r="B675">
        <f>IF($A675="","",games!$B675)</f>
        <v>1996</v>
      </c>
      <c r="C675" t="str">
        <f>IF($A675="","",games!$C675)</f>
        <v>Traditional</v>
      </c>
      <c r="D675">
        <f>IF($A675="","",COUNTIF(connections!$A$2:$A$1460,$A675)+COUNTIF(connections!$B$2:$B$1460,$A675))</f>
        <v>2</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1996</v>
      </c>
      <c r="N675">
        <f t="shared" si="139"/>
        <v>4.6669999999999998</v>
      </c>
      <c r="O675">
        <f t="shared" si="140"/>
        <v>2.0006750000000002</v>
      </c>
      <c r="P675" t="str">
        <f>IF(OR($A675="",games!$H675=""),"",games!$H675)</f>
        <v>Yes</v>
      </c>
      <c r="Q675">
        <f t="shared" si="141"/>
        <v>2.0006750000000002</v>
      </c>
      <c r="T675">
        <f>IF(connections!$A675="","",IFERROR(INDEX(games!$B$2:$B$950,MATCH(connections!$A675,games!$A$2:$A$950,0)),""))</f>
        <v>2023</v>
      </c>
      <c r="U675">
        <f>IF(connections!$A675="","",IFERROR(INDEX(games!$B$2:$B$950,MATCH(connections!$B675,games!$A$2:$A$950,0)),""))</f>
        <v>2025</v>
      </c>
      <c r="V675">
        <f t="shared" si="142"/>
        <v>2</v>
      </c>
    </row>
    <row r="676" spans="1:22" x14ac:dyDescent="0.25">
      <c r="A676" t="str">
        <f>IF(games!$A676="","",games!$A676)</f>
        <v>Shiren the Wanderer GB2: Magic Castle of the Desert</v>
      </c>
      <c r="B676">
        <f>IF($A676="","",games!$B676)</f>
        <v>2001</v>
      </c>
      <c r="C676" t="str">
        <f>IF($A676="","",games!$C676)</f>
        <v>Traditional</v>
      </c>
      <c r="D676">
        <f>IF($A676="","",COUNTIF(connections!$A$2:$A$1460,$A676)+COUNTIF(connections!$B$2:$B$1460,$A676))</f>
        <v>1</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2001</v>
      </c>
      <c r="N676">
        <f t="shared" si="139"/>
        <v>4.6899999999999995</v>
      </c>
      <c r="O676">
        <f t="shared" si="140"/>
        <v>1.0006759999999999</v>
      </c>
      <c r="P676" t="str">
        <f>IF(OR($A676="",games!$H676=""),"",games!$H676)</f>
        <v>Yes</v>
      </c>
      <c r="Q676">
        <f t="shared" si="141"/>
        <v>1.0006759999999999</v>
      </c>
      <c r="T676">
        <f>IF(connections!$A676="","",IFERROR(INDEX(games!$B$2:$B$950,MATCH(connections!$A676,games!$A$2:$A$950,0)),""))</f>
        <v>2025</v>
      </c>
      <c r="U676">
        <f>IF(connections!$A676="","",IFERROR(INDEX(games!$B$2:$B$950,MATCH(connections!$B676,games!$A$2:$A$950,0)),""))</f>
        <v>2026</v>
      </c>
      <c r="V676">
        <f t="shared" si="142"/>
        <v>1</v>
      </c>
    </row>
    <row r="677" spans="1:22" x14ac:dyDescent="0.25">
      <c r="A677" t="str">
        <f>IF(games!$A677="","",games!$A677)</f>
        <v>Shiren the Wanderer: The Mystery Dungeon of Serpentcoil Island</v>
      </c>
      <c r="B677">
        <f>IF($A677="","",games!$B677)</f>
        <v>2024</v>
      </c>
      <c r="C677" t="str">
        <f>IF($A677="","",games!$C677)</f>
        <v>Traditional</v>
      </c>
      <c r="D677">
        <f>IF($A677="","",COUNTIF(connections!$A$2:$A$1460,$A677)+COUNTIF(connections!$B$2:$B$1460,$A677))</f>
        <v>1</v>
      </c>
      <c r="E677">
        <f t="shared" si="130"/>
        <v>4</v>
      </c>
      <c r="F677">
        <f t="shared" si="131"/>
        <v>31</v>
      </c>
      <c r="G677" t="e">
        <f t="shared" si="132"/>
        <v>#N/A</v>
      </c>
      <c r="H677" t="e">
        <f t="shared" si="133"/>
        <v>#N/A</v>
      </c>
      <c r="I677" t="e">
        <f t="shared" si="134"/>
        <v>#N/A</v>
      </c>
      <c r="J677" t="e">
        <f t="shared" si="135"/>
        <v>#N/A</v>
      </c>
      <c r="K677" t="e">
        <f t="shared" si="136"/>
        <v>#N/A</v>
      </c>
      <c r="L677" t="e">
        <f t="shared" si="137"/>
        <v>#N/A</v>
      </c>
      <c r="M677">
        <f t="shared" si="138"/>
        <v>2024</v>
      </c>
      <c r="N677">
        <f t="shared" si="139"/>
        <v>4.7130000000000001</v>
      </c>
      <c r="O677">
        <f t="shared" si="140"/>
        <v>1.000677</v>
      </c>
      <c r="P677" t="str">
        <f>IF(OR($A677="",games!$H677=""),"",games!$H677)</f>
        <v>Yes</v>
      </c>
      <c r="Q677">
        <f t="shared" si="141"/>
        <v>1.000677</v>
      </c>
      <c r="T677">
        <f>IF(connections!$A677="","",IFERROR(INDEX(games!$B$2:$B$950,MATCH(connections!$A677,games!$A$2:$A$950,0)),""))</f>
        <v>2024</v>
      </c>
      <c r="U677">
        <f>IF(connections!$A677="","",IFERROR(INDEX(games!$B$2:$B$950,MATCH(connections!$B677,games!$A$2:$A$950,0)),""))</f>
        <v>2026</v>
      </c>
      <c r="V677">
        <f t="shared" si="142"/>
        <v>2</v>
      </c>
    </row>
    <row r="678" spans="1:22" x14ac:dyDescent="0.25">
      <c r="A678" t="str">
        <f>IF(games!$A678="","",games!$A678)</f>
        <v>Shiren the Wanderer: The Tower of Fortune and the Dice of Fate</v>
      </c>
      <c r="B678">
        <f>IF($A678="","",games!$B678)</f>
        <v>2010</v>
      </c>
      <c r="C678" t="str">
        <f>IF($A678="","",games!$C678)</f>
        <v>Traditional</v>
      </c>
      <c r="D678">
        <f>IF($A678="","",COUNTIF(connections!$A$2:$A$1460,$A678)+COUNTIF(connections!$B$2:$B$1460,$A678))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2010</v>
      </c>
      <c r="N678">
        <f t="shared" si="139"/>
        <v>4.7359999999999998</v>
      </c>
      <c r="O678">
        <f t="shared" si="140"/>
        <v>2.0006780000000002</v>
      </c>
      <c r="P678" t="str">
        <f>IF(OR($A678="",games!$H678=""),"",games!$H678)</f>
        <v>Yes</v>
      </c>
      <c r="Q678">
        <f t="shared" si="141"/>
        <v>2.0006780000000002</v>
      </c>
      <c r="T678">
        <f>IF(connections!$A678="","",IFERROR(INDEX(games!$B$2:$B$950,MATCH(connections!$A678,games!$A$2:$A$950,0)),""))</f>
        <v>2012</v>
      </c>
      <c r="U678">
        <f>IF(connections!$A678="","",IFERROR(INDEX(games!$B$2:$B$950,MATCH(connections!$B678,games!$A$2:$A$950,0)),""))</f>
        <v>2021</v>
      </c>
      <c r="V678">
        <f t="shared" si="142"/>
        <v>9</v>
      </c>
    </row>
    <row r="679" spans="1:22" x14ac:dyDescent="0.25">
      <c r="A679" t="str">
        <f>IF(games!$A679="","",games!$A679)</f>
        <v>Shogun Showdown</v>
      </c>
      <c r="B679">
        <f>IF($A679="","",games!$B679)</f>
        <v>2023</v>
      </c>
      <c r="C679" t="str">
        <f>IF($A679="","",games!$C679)</f>
        <v>Strategy</v>
      </c>
      <c r="D679">
        <f>IF($A679="","",COUNTIF(connections!$A$2:$A$1460,$A679)+COUNTIF(connections!$B$2:$B$1460,$A679))</f>
        <v>5</v>
      </c>
      <c r="E679">
        <f t="shared" si="130"/>
        <v>2</v>
      </c>
      <c r="F679">
        <f t="shared" si="131"/>
        <v>33</v>
      </c>
      <c r="G679" t="e">
        <f t="shared" si="132"/>
        <v>#N/A</v>
      </c>
      <c r="H679" t="e">
        <f t="shared" si="133"/>
        <v>#N/A</v>
      </c>
      <c r="I679">
        <f t="shared" si="134"/>
        <v>2023</v>
      </c>
      <c r="J679">
        <f t="shared" si="135"/>
        <v>2.7589999999999999</v>
      </c>
      <c r="K679" t="e">
        <f t="shared" si="136"/>
        <v>#N/A</v>
      </c>
      <c r="L679" t="e">
        <f t="shared" si="137"/>
        <v>#N/A</v>
      </c>
      <c r="M679" t="e">
        <f t="shared" si="138"/>
        <v>#N/A</v>
      </c>
      <c r="N679" t="e">
        <f t="shared" si="139"/>
        <v>#N/A</v>
      </c>
      <c r="O679">
        <f t="shared" si="140"/>
        <v>5.0006789999999999</v>
      </c>
      <c r="P679" t="str">
        <f>IF(OR($A679="",games!$H679=""),"",games!$H679)</f>
        <v>Yes</v>
      </c>
      <c r="Q679">
        <f t="shared" si="141"/>
        <v>5.0006789999999999</v>
      </c>
      <c r="T679">
        <f>IF(connections!$A679="","",IFERROR(INDEX(games!$B$2:$B$950,MATCH(connections!$A679,games!$A$2:$A$950,0)),""))</f>
        <v>2011</v>
      </c>
      <c r="U679">
        <f>IF(connections!$A679="","",IFERROR(INDEX(games!$B$2:$B$950,MATCH(connections!$B679,games!$A$2:$A$950,0)),""))</f>
        <v>2014</v>
      </c>
      <c r="V679">
        <f t="shared" si="142"/>
        <v>3</v>
      </c>
    </row>
    <row r="680" spans="1:22" x14ac:dyDescent="0.25">
      <c r="A680" t="str">
        <f>IF(games!$A680="","",games!$A680)</f>
        <v>Shoot First</v>
      </c>
      <c r="B680">
        <f>IF($A680="","",games!$B680)</f>
        <v>2010</v>
      </c>
      <c r="C680" t="str">
        <f>IF($A680="","",games!$C680)</f>
        <v>Action</v>
      </c>
      <c r="D680">
        <f>IF($A680="","",COUNTIF(connections!$A$2:$A$1460,$A680)+COUNTIF(connections!$B$2:$B$1460,$A680))</f>
        <v>1</v>
      </c>
      <c r="E680">
        <f t="shared" si="130"/>
        <v>1</v>
      </c>
      <c r="F680">
        <f t="shared" si="131"/>
        <v>0</v>
      </c>
      <c r="G680">
        <f t="shared" si="132"/>
        <v>2010</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2011</v>
      </c>
      <c r="U680">
        <f>IF(connections!$A680="","",IFERROR(INDEX(games!$B$2:$B$950,MATCH(connections!$B680,games!$A$2:$A$950,0)),""))</f>
        <v>2012</v>
      </c>
      <c r="V680">
        <f t="shared" si="142"/>
        <v>1</v>
      </c>
    </row>
    <row r="681" spans="1:22" x14ac:dyDescent="0.25">
      <c r="A681" t="str">
        <f>IF(games!$A681="","",games!$A681)</f>
        <v>Shotgun King: The Final Checkmate</v>
      </c>
      <c r="B681">
        <f>IF($A681="","",games!$B681)</f>
        <v>2022</v>
      </c>
      <c r="C681" t="str">
        <f>IF($A681="","",games!$C681)</f>
        <v>Strategy</v>
      </c>
      <c r="D681">
        <f>IF($A681="","",COUNTIF(connections!$A$2:$A$1460,$A681)+COUNTIF(connections!$B$2:$B$1460,$A681))</f>
        <v>4</v>
      </c>
      <c r="E681">
        <f t="shared" si="130"/>
        <v>2</v>
      </c>
      <c r="F681">
        <f t="shared" si="131"/>
        <v>1</v>
      </c>
      <c r="G681" t="e">
        <f t="shared" si="132"/>
        <v>#N/A</v>
      </c>
      <c r="H681" t="e">
        <f t="shared" si="133"/>
        <v>#N/A</v>
      </c>
      <c r="I681">
        <f t="shared" si="134"/>
        <v>2022</v>
      </c>
      <c r="J681">
        <f t="shared" si="135"/>
        <v>2.0230000000000001</v>
      </c>
      <c r="K681" t="e">
        <f t="shared" si="136"/>
        <v>#N/A</v>
      </c>
      <c r="L681" t="e">
        <f t="shared" si="137"/>
        <v>#N/A</v>
      </c>
      <c r="M681" t="e">
        <f t="shared" si="138"/>
        <v>#N/A</v>
      </c>
      <c r="N681" t="e">
        <f t="shared" si="139"/>
        <v>#N/A</v>
      </c>
      <c r="O681">
        <f t="shared" si="140"/>
        <v>4.0006810000000002</v>
      </c>
      <c r="P681" t="str">
        <f>IF(OR($A681="",games!$H681=""),"",games!$H681)</f>
        <v>Yes</v>
      </c>
      <c r="Q681">
        <f t="shared" si="141"/>
        <v>4.0006810000000002</v>
      </c>
      <c r="T681">
        <f>IF(connections!$A681="","",IFERROR(INDEX(games!$B$2:$B$950,MATCH(connections!$A681,games!$A$2:$A$950,0)),""))</f>
        <v>2002</v>
      </c>
      <c r="U681">
        <f>IF(connections!$A681="","",IFERROR(INDEX(games!$B$2:$B$950,MATCH(connections!$B681,games!$A$2:$A$950,0)),""))</f>
        <v>2023</v>
      </c>
      <c r="V681">
        <f t="shared" si="142"/>
        <v>21</v>
      </c>
    </row>
    <row r="682" spans="1:22" x14ac:dyDescent="0.25">
      <c r="A682" t="str">
        <f>IF(games!$A682="","",games!$A682)</f>
        <v>Shovel Knight Dig</v>
      </c>
      <c r="B682">
        <f>IF($A682="","",games!$B682)</f>
        <v>2022</v>
      </c>
      <c r="C682" t="str">
        <f>IF($A682="","",games!$C682)</f>
        <v>Action</v>
      </c>
      <c r="D682">
        <f>IF($A682="","",COUNTIF(connections!$A$2:$A$1460,$A682)+COUNTIF(connections!$B$2:$B$1460,$A682))</f>
        <v>2</v>
      </c>
      <c r="E682">
        <f t="shared" si="130"/>
        <v>1</v>
      </c>
      <c r="F682">
        <f t="shared" si="131"/>
        <v>2</v>
      </c>
      <c r="G682">
        <f t="shared" si="132"/>
        <v>2022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
      </c>
      <c r="Q682" t="str">
        <f t="shared" si="141"/>
        <v/>
      </c>
      <c r="T682">
        <f>IF(connections!$A682="","",IFERROR(INDEX(games!$B$2:$B$950,MATCH(connections!$A682,games!$A$2:$A$950,0)),""))</f>
        <v>2002</v>
      </c>
      <c r="U682">
        <f>IF(connections!$A682="","",IFERROR(INDEX(games!$B$2:$B$950,MATCH(connections!$B682,games!$A$2:$A$950,0)),""))</f>
        <v>2003</v>
      </c>
      <c r="V682">
        <f t="shared" si="142"/>
        <v>1</v>
      </c>
    </row>
    <row r="683" spans="1:22" x14ac:dyDescent="0.25">
      <c r="A683" t="str">
        <f>IF(games!$A683="","",games!$A683)</f>
        <v>Shroom and Gloom</v>
      </c>
      <c r="B683">
        <f>IF($A683="","",games!$B683)</f>
        <v>2026</v>
      </c>
      <c r="C683" t="str">
        <f>IF($A683="","",games!$C683)</f>
        <v>Deckbuilder</v>
      </c>
      <c r="D683">
        <f>IF($A683="","",COUNTIF(connections!$A$2:$A$1460,$A683)+COUNTIF(connections!$B$2:$B$1460,$A683))</f>
        <v>2</v>
      </c>
      <c r="E683">
        <f t="shared" si="130"/>
        <v>3</v>
      </c>
      <c r="F683">
        <f t="shared" si="131"/>
        <v>3</v>
      </c>
      <c r="G683" t="e">
        <f t="shared" si="132"/>
        <v>#N/A</v>
      </c>
      <c r="H683" t="e">
        <f t="shared" si="133"/>
        <v>#N/A</v>
      </c>
      <c r="I683" t="e">
        <f t="shared" si="134"/>
        <v>#N/A</v>
      </c>
      <c r="J683" t="e">
        <f t="shared" si="135"/>
        <v>#N/A</v>
      </c>
      <c r="K683">
        <f t="shared" si="136"/>
        <v>2026</v>
      </c>
      <c r="L683">
        <f t="shared" si="137"/>
        <v>3.069</v>
      </c>
      <c r="M683" t="e">
        <f t="shared" si="138"/>
        <v>#N/A</v>
      </c>
      <c r="N683" t="e">
        <f t="shared" si="139"/>
        <v>#N/A</v>
      </c>
      <c r="O683">
        <f t="shared" si="140"/>
        <v>2.000683</v>
      </c>
      <c r="P683" t="str">
        <f>IF(OR($A683="",games!$H683=""),"",games!$H683)</f>
        <v/>
      </c>
      <c r="Q683" t="str">
        <f t="shared" si="141"/>
        <v/>
      </c>
      <c r="T683">
        <f>IF(connections!$A683="","",IFERROR(INDEX(games!$B$2:$B$950,MATCH(connections!$A683,games!$A$2:$A$950,0)),""))</f>
        <v>2020</v>
      </c>
      <c r="U683">
        <f>IF(connections!$A683="","",IFERROR(INDEX(games!$B$2:$B$950,MATCH(connections!$B683,games!$A$2:$A$950,0)),""))</f>
        <v>2022</v>
      </c>
      <c r="V683">
        <f t="shared" si="142"/>
        <v>2</v>
      </c>
    </row>
    <row r="684" spans="1:22" x14ac:dyDescent="0.25">
      <c r="A684" t="str">
        <f>IF(games!$A684="","",games!$A684)</f>
        <v>Sil</v>
      </c>
      <c r="B684">
        <f>IF($A684="","",games!$B684)</f>
        <v>2012</v>
      </c>
      <c r="C684" t="str">
        <f>IF($A684="","",games!$C684)</f>
        <v>Traditional</v>
      </c>
      <c r="D684">
        <f>IF($A684="","",COUNTIF(connections!$A$2:$A$1460,$A684)+COUNTIF(connections!$B$2:$B$1460,$A684))</f>
        <v>1</v>
      </c>
      <c r="E684">
        <f t="shared" si="130"/>
        <v>4</v>
      </c>
      <c r="F684">
        <f t="shared" si="131"/>
        <v>4</v>
      </c>
      <c r="G684" t="e">
        <f t="shared" si="132"/>
        <v>#N/A</v>
      </c>
      <c r="H684" t="e">
        <f t="shared" si="133"/>
        <v>#N/A</v>
      </c>
      <c r="I684" t="e">
        <f t="shared" si="134"/>
        <v>#N/A</v>
      </c>
      <c r="J684" t="e">
        <f t="shared" si="135"/>
        <v>#N/A</v>
      </c>
      <c r="K684" t="e">
        <f t="shared" si="136"/>
        <v>#N/A</v>
      </c>
      <c r="L684" t="e">
        <f t="shared" si="137"/>
        <v>#N/A</v>
      </c>
      <c r="M684">
        <f t="shared" si="138"/>
        <v>2012</v>
      </c>
      <c r="N684">
        <f t="shared" si="139"/>
        <v>4.0919999999999996</v>
      </c>
      <c r="O684">
        <f t="shared" si="140"/>
        <v>1.0006839999999999</v>
      </c>
      <c r="P684" t="str">
        <f>IF(OR($A684="",games!$H684=""),"",games!$H684)</f>
        <v/>
      </c>
      <c r="Q684" t="str">
        <f t="shared" si="141"/>
        <v/>
      </c>
      <c r="T684">
        <f>IF(connections!$A684="","",IFERROR(INDEX(games!$B$2:$B$950,MATCH(connections!$A684,games!$A$2:$A$950,0)),""))</f>
        <v>2017</v>
      </c>
      <c r="U684">
        <f>IF(connections!$A684="","",IFERROR(INDEX(games!$B$2:$B$950,MATCH(connections!$B684,games!$A$2:$A$950,0)),""))</f>
        <v>2019</v>
      </c>
      <c r="V684">
        <f t="shared" si="142"/>
        <v>2</v>
      </c>
    </row>
    <row r="685" spans="1:22" x14ac:dyDescent="0.25">
      <c r="A685" t="str">
        <f>IF(games!$A685="","",games!$A685)</f>
        <v>Sir, We Have an Orc Problem</v>
      </c>
      <c r="B685">
        <f>IF($A685="","",games!$B685)</f>
        <v>2026</v>
      </c>
      <c r="C685" t="str">
        <f>IF($A685="","",games!$C685)</f>
        <v>Strategy</v>
      </c>
      <c r="D685">
        <f>IF($A685="","",COUNTIF(connections!$A$2:$A$1460,$A685)+COUNTIF(connections!$B$2:$B$1460,$A685))</f>
        <v>1</v>
      </c>
      <c r="E685">
        <f t="shared" si="130"/>
        <v>2</v>
      </c>
      <c r="F685">
        <f t="shared" si="131"/>
        <v>5</v>
      </c>
      <c r="G685" t="e">
        <f t="shared" si="132"/>
        <v>#N/A</v>
      </c>
      <c r="H685" t="e">
        <f t="shared" si="133"/>
        <v>#N/A</v>
      </c>
      <c r="I685">
        <f t="shared" si="134"/>
        <v>2026</v>
      </c>
      <c r="J685">
        <f t="shared" si="135"/>
        <v>2.1150000000000002</v>
      </c>
      <c r="K685" t="e">
        <f t="shared" si="136"/>
        <v>#N/A</v>
      </c>
      <c r="L685" t="e">
        <f t="shared" si="137"/>
        <v>#N/A</v>
      </c>
      <c r="M685" t="e">
        <f t="shared" si="138"/>
        <v>#N/A</v>
      </c>
      <c r="N685" t="e">
        <f t="shared" si="139"/>
        <v>#N/A</v>
      </c>
      <c r="O685">
        <f t="shared" si="140"/>
        <v>1.000685</v>
      </c>
      <c r="P685" t="str">
        <f>IF(OR($A685="",games!$H685=""),"",games!$H685)</f>
        <v/>
      </c>
      <c r="Q685" t="str">
        <f t="shared" si="141"/>
        <v/>
      </c>
      <c r="T685">
        <f>IF(connections!$A685="","",IFERROR(INDEX(games!$B$2:$B$950,MATCH(connections!$A685,games!$A$2:$A$950,0)),""))</f>
        <v>2020</v>
      </c>
      <c r="U685">
        <f>IF(connections!$A685="","",IFERROR(INDEX(games!$B$2:$B$950,MATCH(connections!$B685,games!$A$2:$A$950,0)),""))</f>
        <v>2024</v>
      </c>
      <c r="V685">
        <f t="shared" si="142"/>
        <v>4</v>
      </c>
    </row>
    <row r="686" spans="1:22" x14ac:dyDescent="0.25">
      <c r="A686" t="str">
        <f>IF(games!$A686="","",games!$A686)</f>
        <v>Skul: The Hero Slayer</v>
      </c>
      <c r="B686">
        <f>IF($A686="","",games!$B686)</f>
        <v>2020</v>
      </c>
      <c r="C686" t="str">
        <f>IF($A686="","",games!$C686)</f>
        <v>Action</v>
      </c>
      <c r="D686">
        <f>IF($A686="","",COUNTIF(connections!$A$2:$A$1460,$A686)+COUNTIF(connections!$B$2:$B$1460,$A686))</f>
        <v>1</v>
      </c>
      <c r="E686">
        <f t="shared" si="130"/>
        <v>1</v>
      </c>
      <c r="F686">
        <f t="shared" si="131"/>
        <v>6</v>
      </c>
      <c r="G686">
        <f t="shared" si="132"/>
        <v>2020</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2020</v>
      </c>
      <c r="U686">
        <f>IF(connections!$A686="","",IFERROR(INDEX(games!$B$2:$B$950,MATCH(connections!$B686,games!$A$2:$A$950,0)),""))</f>
        <v>2023</v>
      </c>
      <c r="V686">
        <f t="shared" si="142"/>
        <v>3</v>
      </c>
    </row>
    <row r="687" spans="1:22" x14ac:dyDescent="0.25">
      <c r="A687" t="str">
        <f>IF(games!$A687="","",games!$A687)</f>
        <v>Skull Horde</v>
      </c>
      <c r="B687">
        <f>IF($A687="","",games!$B687)</f>
        <v>2026</v>
      </c>
      <c r="C687" t="str">
        <f>IF($A687="","",games!$C687)</f>
        <v>Action</v>
      </c>
      <c r="D687">
        <f>IF($A687="","",COUNTIF(connections!$A$2:$A$1460,$A687)+COUNTIF(connections!$B$2:$B$1460,$A687))</f>
        <v>3</v>
      </c>
      <c r="E687">
        <f t="shared" si="130"/>
        <v>1</v>
      </c>
      <c r="F687">
        <f t="shared" si="131"/>
        <v>7</v>
      </c>
      <c r="G687">
        <f t="shared" si="132"/>
        <v>2026</v>
      </c>
      <c r="H687">
        <f t="shared" si="133"/>
        <v>1.161</v>
      </c>
      <c r="I687" t="e">
        <f t="shared" si="134"/>
        <v>#N/A</v>
      </c>
      <c r="J687" t="e">
        <f t="shared" si="135"/>
        <v>#N/A</v>
      </c>
      <c r="K687" t="e">
        <f t="shared" si="136"/>
        <v>#N/A</v>
      </c>
      <c r="L687" t="e">
        <f t="shared" si="137"/>
        <v>#N/A</v>
      </c>
      <c r="M687" t="e">
        <f t="shared" si="138"/>
        <v>#N/A</v>
      </c>
      <c r="N687" t="e">
        <f t="shared" si="139"/>
        <v>#N/A</v>
      </c>
      <c r="O687">
        <f t="shared" si="140"/>
        <v>3.0006870000000001</v>
      </c>
      <c r="P687" t="str">
        <f>IF(OR($A687="",games!$H687=""),"",games!$H687)</f>
        <v>Yes</v>
      </c>
      <c r="Q687">
        <f t="shared" si="141"/>
        <v>3.0006870000000001</v>
      </c>
      <c r="T687">
        <f>IF(connections!$A687="","",IFERROR(INDEX(games!$B$2:$B$950,MATCH(connections!$A687,games!$A$2:$A$950,0)),""))</f>
        <v>2020</v>
      </c>
      <c r="U687">
        <f>IF(connections!$A687="","",IFERROR(INDEX(games!$B$2:$B$950,MATCH(connections!$B687,games!$A$2:$A$950,0)),""))</f>
        <v>2025</v>
      </c>
      <c r="V687">
        <f t="shared" si="142"/>
        <v>5</v>
      </c>
    </row>
    <row r="688" spans="1:22" x14ac:dyDescent="0.25">
      <c r="A688" t="str">
        <f>IF(games!$A688="","",games!$A688)</f>
        <v>Sky Rogue</v>
      </c>
      <c r="B688">
        <f>IF($A688="","",games!$B688)</f>
        <v>2014</v>
      </c>
      <c r="C688" t="str">
        <f>IF($A688="","",games!$C688)</f>
        <v>Action</v>
      </c>
      <c r="D688">
        <f>IF($A688="","",COUNTIF(connections!$A$2:$A$1460,$A688)+COUNTIF(connections!$B$2:$B$1460,$A688))</f>
        <v>1</v>
      </c>
      <c r="E688">
        <f t="shared" si="130"/>
        <v>1</v>
      </c>
      <c r="F688">
        <f t="shared" si="131"/>
        <v>8</v>
      </c>
      <c r="G688">
        <f t="shared" si="132"/>
        <v>2014</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2020</v>
      </c>
      <c r="U688">
        <f>IF(connections!$A688="","",IFERROR(INDEX(games!$B$2:$B$950,MATCH(connections!$B688,games!$A$2:$A$950,0)),""))</f>
        <v>2024</v>
      </c>
      <c r="V688">
        <f t="shared" si="142"/>
        <v>4</v>
      </c>
    </row>
    <row r="689" spans="1:22" x14ac:dyDescent="0.25">
      <c r="A689" t="str">
        <f>IF(games!$A689="","",games!$A689)</f>
        <v>Sky's The Limit MAH-JONG</v>
      </c>
      <c r="B689">
        <f>IF($A689="","",games!$B689)</f>
        <v>2024</v>
      </c>
      <c r="C689" t="str">
        <f>IF($A689="","",games!$C689)</f>
        <v>Deckbuilder</v>
      </c>
      <c r="D689">
        <f>IF($A689="","",COUNTIF(connections!$A$2:$A$1460,$A689)+COUNTIF(connections!$B$2:$B$1460,$A689))</f>
        <v>1</v>
      </c>
      <c r="E689">
        <f t="shared" si="130"/>
        <v>3</v>
      </c>
      <c r="F689">
        <f t="shared" si="131"/>
        <v>9</v>
      </c>
      <c r="G689" t="e">
        <f t="shared" si="132"/>
        <v>#N/A</v>
      </c>
      <c r="H689" t="e">
        <f t="shared" si="133"/>
        <v>#N/A</v>
      </c>
      <c r="I689" t="e">
        <f t="shared" si="134"/>
        <v>#N/A</v>
      </c>
      <c r="J689" t="e">
        <f t="shared" si="135"/>
        <v>#N/A</v>
      </c>
      <c r="K689">
        <f t="shared" si="136"/>
        <v>2024</v>
      </c>
      <c r="L689">
        <f t="shared" si="137"/>
        <v>3.2069999999999999</v>
      </c>
      <c r="M689" t="e">
        <f t="shared" si="138"/>
        <v>#N/A</v>
      </c>
      <c r="N689" t="e">
        <f t="shared" si="139"/>
        <v>#N/A</v>
      </c>
      <c r="O689">
        <f t="shared" si="140"/>
        <v>1.0006889999999999</v>
      </c>
      <c r="P689" t="str">
        <f>IF(OR($A689="",games!$H689=""),"",games!$H689)</f>
        <v>Yes</v>
      </c>
      <c r="Q689">
        <f t="shared" si="141"/>
        <v>1.0006889999999999</v>
      </c>
      <c r="T689">
        <f>IF(connections!$A689="","",IFERROR(INDEX(games!$B$2:$B$950,MATCH(connections!$A689,games!$A$2:$A$950,0)),""))</f>
        <v>2020</v>
      </c>
      <c r="U689">
        <f>IF(connections!$A689="","",IFERROR(INDEX(games!$B$2:$B$950,MATCH(connections!$B689,games!$A$2:$A$950,0)),""))</f>
        <v>2023</v>
      </c>
      <c r="V689">
        <f t="shared" si="142"/>
        <v>3</v>
      </c>
    </row>
    <row r="690" spans="1:22" x14ac:dyDescent="0.25">
      <c r="A690" t="str">
        <f>IF(games!$A690="","",games!$A690)</f>
        <v>Slash'EM</v>
      </c>
      <c r="B690">
        <f>IF($A690="","",games!$B690)</f>
        <v>2006</v>
      </c>
      <c r="C690" t="str">
        <f>IF($A690="","",games!$C690)</f>
        <v>Traditional</v>
      </c>
      <c r="D690">
        <f>IF($A690="","",COUNTIF(connections!$A$2:$A$1460,$A690)+COUNTIF(connections!$B$2:$B$1460,$A690))</f>
        <v>2</v>
      </c>
      <c r="E690">
        <f t="shared" si="130"/>
        <v>4</v>
      </c>
      <c r="F690">
        <f t="shared" si="131"/>
        <v>10</v>
      </c>
      <c r="G690" t="e">
        <f t="shared" si="132"/>
        <v>#N/A</v>
      </c>
      <c r="H690" t="e">
        <f t="shared" si="133"/>
        <v>#N/A</v>
      </c>
      <c r="I690" t="e">
        <f t="shared" si="134"/>
        <v>#N/A</v>
      </c>
      <c r="J690" t="e">
        <f t="shared" si="135"/>
        <v>#N/A</v>
      </c>
      <c r="K690" t="e">
        <f t="shared" si="136"/>
        <v>#N/A</v>
      </c>
      <c r="L690" t="e">
        <f t="shared" si="137"/>
        <v>#N/A</v>
      </c>
      <c r="M690">
        <f t="shared" si="138"/>
        <v>2006</v>
      </c>
      <c r="N690">
        <f t="shared" si="139"/>
        <v>4.2300000000000004</v>
      </c>
      <c r="O690">
        <f t="shared" si="140"/>
        <v>2.0006900000000001</v>
      </c>
      <c r="P690" t="str">
        <f>IF(OR($A690="",games!$H690=""),"",games!$H690)</f>
        <v>Yes</v>
      </c>
      <c r="Q690">
        <f t="shared" si="141"/>
        <v>2.0006900000000001</v>
      </c>
      <c r="T690">
        <f>IF(connections!$A690="","",IFERROR(INDEX(games!$B$2:$B$950,MATCH(connections!$A690,games!$A$2:$A$950,0)),""))</f>
        <v>2020</v>
      </c>
      <c r="U690">
        <f>IF(connections!$A690="","",IFERROR(INDEX(games!$B$2:$B$950,MATCH(connections!$B690,games!$A$2:$A$950,0)),""))</f>
        <v>2021</v>
      </c>
      <c r="V690">
        <f t="shared" si="142"/>
        <v>1</v>
      </c>
    </row>
    <row r="691" spans="1:22" x14ac:dyDescent="0.25">
      <c r="A691" t="str">
        <f>IF(games!$A691="","",games!$A691)</f>
        <v>Slasher's Keep</v>
      </c>
      <c r="B691">
        <f>IF($A691="","",games!$B691)</f>
        <v>2018</v>
      </c>
      <c r="C691" t="str">
        <f>IF($A691="","",games!$C691)</f>
        <v>Action</v>
      </c>
      <c r="D691">
        <f>IF($A691="","",COUNTIF(connections!$A$2:$A$1460,$A691)+COUNTIF(connections!$B$2:$B$1460,$A691))</f>
        <v>0</v>
      </c>
      <c r="E691">
        <f t="shared" si="130"/>
        <v>1</v>
      </c>
      <c r="F691">
        <f t="shared" si="131"/>
        <v>11</v>
      </c>
      <c r="G691">
        <f t="shared" si="132"/>
        <v>2018</v>
      </c>
      <c r="H691">
        <f t="shared" si="133"/>
        <v>1.2530000000000001</v>
      </c>
      <c r="I691" t="e">
        <f t="shared" si="134"/>
        <v>#N/A</v>
      </c>
      <c r="J691" t="e">
        <f t="shared" si="135"/>
        <v>#N/A</v>
      </c>
      <c r="K691" t="e">
        <f t="shared" si="136"/>
        <v>#N/A</v>
      </c>
      <c r="L691" t="e">
        <f t="shared" si="137"/>
        <v>#N/A</v>
      </c>
      <c r="M691" t="e">
        <f t="shared" si="138"/>
        <v>#N/A</v>
      </c>
      <c r="N691" t="e">
        <f t="shared" si="139"/>
        <v>#N/A</v>
      </c>
      <c r="O691">
        <f t="shared" si="140"/>
        <v>6.9099999999999999E-4</v>
      </c>
      <c r="P691" t="str">
        <f>IF(OR($A691="",games!$H691=""),"",games!$H691)</f>
        <v>Yes</v>
      </c>
      <c r="Q691">
        <f t="shared" si="141"/>
        <v>6.9099999999999999E-4</v>
      </c>
      <c r="T691">
        <f>IF(connections!$A691="","",IFERROR(INDEX(games!$B$2:$B$950,MATCH(connections!$A691,games!$A$2:$A$950,0)),""))</f>
        <v>2020</v>
      </c>
      <c r="U691">
        <f>IF(connections!$A691="","",IFERROR(INDEX(games!$B$2:$B$950,MATCH(connections!$B691,games!$A$2:$A$950,0)),""))</f>
        <v>2026</v>
      </c>
      <c r="V691">
        <f t="shared" si="142"/>
        <v>6</v>
      </c>
    </row>
    <row r="692" spans="1:22" x14ac:dyDescent="0.25">
      <c r="A692" t="str">
        <f>IF(games!$A692="","",games!$A692)</f>
        <v>Slay the Spire</v>
      </c>
      <c r="B692">
        <f>IF($A692="","",games!$B692)</f>
        <v>2017</v>
      </c>
      <c r="C692" t="str">
        <f>IF($A692="","",games!$C692)</f>
        <v>Deckbuilder</v>
      </c>
      <c r="D692">
        <f>IF($A692="","",COUNTIF(connections!$A$2:$A$1460,$A692)+COUNTIF(connections!$B$2:$B$1460,$A692))</f>
        <v>156</v>
      </c>
      <c r="E692">
        <f t="shared" si="130"/>
        <v>3</v>
      </c>
      <c r="F692">
        <f t="shared" si="131"/>
        <v>12</v>
      </c>
      <c r="G692" t="e">
        <f t="shared" si="132"/>
        <v>#N/A</v>
      </c>
      <c r="H692" t="e">
        <f t="shared" si="133"/>
        <v>#N/A</v>
      </c>
      <c r="I692" t="e">
        <f t="shared" si="134"/>
        <v>#N/A</v>
      </c>
      <c r="J692" t="e">
        <f t="shared" si="135"/>
        <v>#N/A</v>
      </c>
      <c r="K692">
        <f t="shared" si="136"/>
        <v>2017</v>
      </c>
      <c r="L692">
        <f t="shared" si="137"/>
        <v>3.2759999999999998</v>
      </c>
      <c r="M692" t="e">
        <f t="shared" si="138"/>
        <v>#N/A</v>
      </c>
      <c r="N692" t="e">
        <f t="shared" si="139"/>
        <v>#N/A</v>
      </c>
      <c r="O692">
        <f t="shared" si="140"/>
        <v>156.00069199999999</v>
      </c>
      <c r="P692" t="str">
        <f>IF(OR($A692="",games!$H692=""),"",games!$H692)</f>
        <v>Yes</v>
      </c>
      <c r="Q692">
        <f t="shared" si="141"/>
        <v>156.00069199999999</v>
      </c>
      <c r="T692">
        <f>IF(connections!$A692="","",IFERROR(INDEX(games!$B$2:$B$950,MATCH(connections!$A692,games!$A$2:$A$950,0)),""))</f>
        <v>2020</v>
      </c>
      <c r="U692">
        <f>IF(connections!$A692="","",IFERROR(INDEX(games!$B$2:$B$950,MATCH(connections!$B692,games!$A$2:$A$950,0)),""))</f>
        <v>2025</v>
      </c>
      <c r="V692">
        <f t="shared" si="142"/>
        <v>5</v>
      </c>
    </row>
    <row r="693" spans="1:22" x14ac:dyDescent="0.25">
      <c r="A693" t="str">
        <f>IF(games!$A693="","",games!$A693)</f>
        <v>Slay the Spire 2</v>
      </c>
      <c r="B693">
        <f>IF($A693="","",games!$B693)</f>
        <v>2026</v>
      </c>
      <c r="C693" t="str">
        <f>IF($A693="","",games!$C693)</f>
        <v>Deckbuilder</v>
      </c>
      <c r="D693">
        <f>IF($A693="","",COUNTIF(connections!$A$2:$A$1460,$A693)+COUNTIF(connections!$B$2:$B$1460,$A693))</f>
        <v>1</v>
      </c>
      <c r="E693">
        <f t="shared" si="130"/>
        <v>3</v>
      </c>
      <c r="F693">
        <f t="shared" si="131"/>
        <v>13</v>
      </c>
      <c r="G693" t="e">
        <f t="shared" si="132"/>
        <v>#N/A</v>
      </c>
      <c r="H693" t="e">
        <f t="shared" si="133"/>
        <v>#N/A</v>
      </c>
      <c r="I693" t="e">
        <f t="shared" si="134"/>
        <v>#N/A</v>
      </c>
      <c r="J693" t="e">
        <f t="shared" si="135"/>
        <v>#N/A</v>
      </c>
      <c r="K693">
        <f t="shared" si="136"/>
        <v>2026</v>
      </c>
      <c r="L693">
        <f t="shared" si="137"/>
        <v>3.2989999999999999</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2020</v>
      </c>
      <c r="U693">
        <f>IF(connections!$A693="","",IFERROR(INDEX(games!$B$2:$B$950,MATCH(connections!$B693,games!$A$2:$A$950,0)),""))</f>
        <v>2024</v>
      </c>
      <c r="V693">
        <f t="shared" si="142"/>
        <v>4</v>
      </c>
    </row>
    <row r="694" spans="1:22" x14ac:dyDescent="0.25">
      <c r="A694" t="str">
        <f>IF(games!$A694="","",games!$A694)</f>
        <v>Slice &amp; Dice</v>
      </c>
      <c r="B694">
        <f>IF($A694="","",games!$B694)</f>
        <v>2018</v>
      </c>
      <c r="C694" t="str">
        <f>IF($A694="","",games!$C694)</f>
        <v>Strategy</v>
      </c>
      <c r="D694">
        <f>IF($A694="","",COUNTIF(connections!$A$2:$A$1460,$A694)+COUNTIF(connections!$B$2:$B$1460,$A694))</f>
        <v>5</v>
      </c>
      <c r="E694">
        <f t="shared" si="130"/>
        <v>2</v>
      </c>
      <c r="F694">
        <f t="shared" si="131"/>
        <v>14</v>
      </c>
      <c r="G694" t="e">
        <f t="shared" si="132"/>
        <v>#N/A</v>
      </c>
      <c r="H694" t="e">
        <f t="shared" si="133"/>
        <v>#N/A</v>
      </c>
      <c r="I694">
        <f t="shared" si="134"/>
        <v>2018</v>
      </c>
      <c r="J694">
        <f t="shared" si="135"/>
        <v>2.3220000000000001</v>
      </c>
      <c r="K694" t="e">
        <f t="shared" si="136"/>
        <v>#N/A</v>
      </c>
      <c r="L694" t="e">
        <f t="shared" si="137"/>
        <v>#N/A</v>
      </c>
      <c r="M694" t="e">
        <f t="shared" si="138"/>
        <v>#N/A</v>
      </c>
      <c r="N694" t="e">
        <f t="shared" si="139"/>
        <v>#N/A</v>
      </c>
      <c r="O694">
        <f t="shared" si="140"/>
        <v>5.0006940000000002</v>
      </c>
      <c r="P694" t="str">
        <f>IF(OR($A694="",games!$H694=""),"",games!$H694)</f>
        <v>Yes</v>
      </c>
      <c r="Q694">
        <f t="shared" si="141"/>
        <v>5.0006940000000002</v>
      </c>
      <c r="T694">
        <f>IF(connections!$A694="","",IFERROR(INDEX(games!$B$2:$B$950,MATCH(connections!$A694,games!$A$2:$A$950,0)),""))</f>
        <v>2020</v>
      </c>
      <c r="U694">
        <f>IF(connections!$A694="","",IFERROR(INDEX(games!$B$2:$B$950,MATCH(connections!$B694,games!$A$2:$A$950,0)),""))</f>
        <v>2022</v>
      </c>
      <c r="V694">
        <f t="shared" si="142"/>
        <v>2</v>
      </c>
    </row>
    <row r="695" spans="1:22" x14ac:dyDescent="0.25">
      <c r="A695" t="str">
        <f>IF(games!$A695="","",games!$A695)</f>
        <v>Slime 3k: Demake</v>
      </c>
      <c r="B695">
        <f>IF($A695="","",games!$B695)</f>
        <v>2024</v>
      </c>
      <c r="C695" t="str">
        <f>IF($A695="","",games!$C695)</f>
        <v>Action</v>
      </c>
      <c r="D695">
        <f>IF($A695="","",COUNTIF(connections!$A$2:$A$1460,$A695)+COUNTIF(connections!$B$2:$B$1460,$A695))</f>
        <v>1</v>
      </c>
      <c r="E695">
        <f t="shared" si="130"/>
        <v>1</v>
      </c>
      <c r="F695">
        <f t="shared" si="131"/>
        <v>15</v>
      </c>
      <c r="G695">
        <f t="shared" si="132"/>
        <v>2024</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2020</v>
      </c>
      <c r="U695">
        <f>IF(connections!$A695="","",IFERROR(INDEX(games!$B$2:$B$950,MATCH(connections!$B695,games!$A$2:$A$950,0)),""))</f>
        <v>2025</v>
      </c>
      <c r="V695">
        <f t="shared" si="142"/>
        <v>5</v>
      </c>
    </row>
    <row r="696" spans="1:22" x14ac:dyDescent="0.25">
      <c r="A696" t="str">
        <f>IF(games!$A696="","",games!$A696)</f>
        <v>Slime 3K: Rise Against Despot</v>
      </c>
      <c r="B696">
        <f>IF($A696="","",games!$B696)</f>
        <v>2023</v>
      </c>
      <c r="C696" t="str">
        <f>IF($A696="","",games!$C696)</f>
        <v>Action</v>
      </c>
      <c r="D696">
        <f>IF($A696="","",COUNTIF(connections!$A$2:$A$1460,$A696)+COUNTIF(connections!$B$2:$B$1460,$A696))</f>
        <v>9</v>
      </c>
      <c r="E696">
        <f t="shared" si="130"/>
        <v>1</v>
      </c>
      <c r="F696">
        <f t="shared" si="131"/>
        <v>16</v>
      </c>
      <c r="G696">
        <f t="shared" si="132"/>
        <v>2023</v>
      </c>
      <c r="H696">
        <f t="shared" si="133"/>
        <v>1.3679999999999999</v>
      </c>
      <c r="I696" t="e">
        <f t="shared" si="134"/>
        <v>#N/A</v>
      </c>
      <c r="J696" t="e">
        <f t="shared" si="135"/>
        <v>#N/A</v>
      </c>
      <c r="K696" t="e">
        <f t="shared" si="136"/>
        <v>#N/A</v>
      </c>
      <c r="L696" t="e">
        <f t="shared" si="137"/>
        <v>#N/A</v>
      </c>
      <c r="M696" t="e">
        <f t="shared" si="138"/>
        <v>#N/A</v>
      </c>
      <c r="N696" t="e">
        <f t="shared" si="139"/>
        <v>#N/A</v>
      </c>
      <c r="O696">
        <f t="shared" si="140"/>
        <v>9.0006959999999996</v>
      </c>
      <c r="P696" t="str">
        <f>IF(OR($A696="",games!$H696=""),"",games!$H696)</f>
        <v>Yes</v>
      </c>
      <c r="Q696">
        <f t="shared" si="141"/>
        <v>9.0006959999999996</v>
      </c>
      <c r="T696">
        <f>IF(connections!$A696="","",IFERROR(INDEX(games!$B$2:$B$950,MATCH(connections!$A696,games!$A$2:$A$950,0)),""))</f>
        <v>2020</v>
      </c>
      <c r="U696">
        <f>IF(connections!$A696="","",IFERROR(INDEX(games!$B$2:$B$950,MATCH(connections!$B696,games!$A$2:$A$950,0)),""))</f>
        <v>2023</v>
      </c>
      <c r="V696">
        <f t="shared" si="142"/>
        <v>3</v>
      </c>
    </row>
    <row r="697" spans="1:22" x14ac:dyDescent="0.25">
      <c r="A697" t="str">
        <f>IF(games!$A697="","",games!$A697)</f>
        <v>Slot &amp; Dungeons</v>
      </c>
      <c r="B697">
        <f>IF($A697="","",games!$B697)</f>
        <v>2025</v>
      </c>
      <c r="C697" t="str">
        <f>IF($A697="","",games!$C697)</f>
        <v>Deckbuilder</v>
      </c>
      <c r="D697">
        <f>IF($A697="","",COUNTIF(connections!$A$2:$A$1460,$A697)+COUNTIF(connections!$B$2:$B$1460,$A697))</f>
        <v>4</v>
      </c>
      <c r="E697">
        <f t="shared" si="130"/>
        <v>3</v>
      </c>
      <c r="F697">
        <f t="shared" si="131"/>
        <v>17</v>
      </c>
      <c r="G697" t="e">
        <f t="shared" si="132"/>
        <v>#N/A</v>
      </c>
      <c r="H697" t="e">
        <f t="shared" si="133"/>
        <v>#N/A</v>
      </c>
      <c r="I697" t="e">
        <f t="shared" si="134"/>
        <v>#N/A</v>
      </c>
      <c r="J697" t="e">
        <f t="shared" si="135"/>
        <v>#N/A</v>
      </c>
      <c r="K697">
        <f t="shared" si="136"/>
        <v>2025</v>
      </c>
      <c r="L697">
        <f t="shared" si="137"/>
        <v>3.391</v>
      </c>
      <c r="M697" t="e">
        <f t="shared" si="138"/>
        <v>#N/A</v>
      </c>
      <c r="N697" t="e">
        <f t="shared" si="139"/>
        <v>#N/A</v>
      </c>
      <c r="O697">
        <f t="shared" si="140"/>
        <v>4.0006969999999997</v>
      </c>
      <c r="P697" t="str">
        <f>IF(OR($A697="",games!$H697=""),"",games!$H697)</f>
        <v/>
      </c>
      <c r="Q697" t="str">
        <f t="shared" si="141"/>
        <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Slot or Not</v>
      </c>
      <c r="B698">
        <f>IF($A698="","",games!$B698)</f>
        <v>2026</v>
      </c>
      <c r="C698" t="str">
        <f>IF($A698="","",games!$C698)</f>
        <v>Deckbuilder</v>
      </c>
      <c r="D698">
        <f>IF($A698="","",COUNTIF(connections!$A$2:$A$1460,$A698)+COUNTIF(connections!$B$2:$B$1460,$A698))</f>
        <v>2</v>
      </c>
      <c r="E698">
        <f t="shared" si="130"/>
        <v>3</v>
      </c>
      <c r="F698">
        <f t="shared" si="131"/>
        <v>18</v>
      </c>
      <c r="G698" t="e">
        <f t="shared" si="132"/>
        <v>#N/A</v>
      </c>
      <c r="H698" t="e">
        <f t="shared" si="133"/>
        <v>#N/A</v>
      </c>
      <c r="I698" t="e">
        <f t="shared" si="134"/>
        <v>#N/A</v>
      </c>
      <c r="J698" t="e">
        <f t="shared" si="135"/>
        <v>#N/A</v>
      </c>
      <c r="K698">
        <f t="shared" si="136"/>
        <v>2026</v>
      </c>
      <c r="L698">
        <f t="shared" si="137"/>
        <v>3.4140000000000001</v>
      </c>
      <c r="M698" t="e">
        <f t="shared" si="138"/>
        <v>#N/A</v>
      </c>
      <c r="N698" t="e">
        <f t="shared" si="139"/>
        <v>#N/A</v>
      </c>
      <c r="O698">
        <f t="shared" si="140"/>
        <v>2.0006979999999999</v>
      </c>
      <c r="P698" t="str">
        <f>IF(OR($A698="",games!$H698=""),"",games!$H698)</f>
        <v/>
      </c>
      <c r="Q698" t="str">
        <f t="shared" si="141"/>
        <v/>
      </c>
      <c r="T698">
        <f>IF(connections!$A698="","",IFERROR(INDEX(games!$B$2:$B$950,MATCH(connections!$A698,games!$A$2:$A$950,0)),""))</f>
        <v>2016</v>
      </c>
      <c r="U698">
        <f>IF(connections!$A698="","",IFERROR(INDEX(games!$B$2:$B$950,MATCH(connections!$B698,games!$A$2:$A$950,0)),""))</f>
        <v>2021</v>
      </c>
      <c r="V698">
        <f t="shared" si="142"/>
        <v>5</v>
      </c>
    </row>
    <row r="699" spans="1:22" x14ac:dyDescent="0.25">
      <c r="A699" t="str">
        <f>IF(games!$A699="","",games!$A699)</f>
        <v>Slots &amp; Daggers</v>
      </c>
      <c r="B699">
        <f>IF($A699="","",games!$B699)</f>
        <v>2025</v>
      </c>
      <c r="C699" t="str">
        <f>IF($A699="","",games!$C699)</f>
        <v>Deckbuilder</v>
      </c>
      <c r="D699">
        <f>IF($A699="","",COUNTIF(connections!$A$2:$A$1460,$A699)+COUNTIF(connections!$B$2:$B$1460,$A699))</f>
        <v>0</v>
      </c>
      <c r="E699">
        <f t="shared" si="130"/>
        <v>3</v>
      </c>
      <c r="F699">
        <f t="shared" si="131"/>
        <v>19</v>
      </c>
      <c r="G699" t="e">
        <f t="shared" si="132"/>
        <v>#N/A</v>
      </c>
      <c r="H699" t="e">
        <f t="shared" si="133"/>
        <v>#N/A</v>
      </c>
      <c r="I699" t="e">
        <f t="shared" si="134"/>
        <v>#N/A</v>
      </c>
      <c r="J699" t="e">
        <f t="shared" si="135"/>
        <v>#N/A</v>
      </c>
      <c r="K699">
        <f t="shared" si="136"/>
        <v>2025</v>
      </c>
      <c r="L699">
        <f t="shared" si="137"/>
        <v>3.4369999999999998</v>
      </c>
      <c r="M699" t="e">
        <f t="shared" si="138"/>
        <v>#N/A</v>
      </c>
      <c r="N699" t="e">
        <f t="shared" si="139"/>
        <v>#N/A</v>
      </c>
      <c r="O699">
        <f t="shared" si="140"/>
        <v>6.9899999999999997E-4</v>
      </c>
      <c r="P699" t="str">
        <f>IF(OR($A699="",games!$H699=""),"",games!$H699)</f>
        <v>Yes</v>
      </c>
      <c r="Q699">
        <f t="shared" si="141"/>
        <v>6.9899999999999997E-4</v>
      </c>
      <c r="T699">
        <f>IF(connections!$A699="","",IFERROR(INDEX(games!$B$2:$B$950,MATCH(connections!$A699,games!$A$2:$A$950,0)),""))</f>
        <v>2018</v>
      </c>
      <c r="U699">
        <f>IF(connections!$A699="","",IFERROR(INDEX(games!$B$2:$B$950,MATCH(connections!$B699,games!$A$2:$A$950,0)),""))</f>
        <v>2025</v>
      </c>
      <c r="V699">
        <f t="shared" si="142"/>
        <v>7</v>
      </c>
    </row>
    <row r="700" spans="1:22" x14ac:dyDescent="0.25">
      <c r="A700" t="str">
        <f>IF(games!$A700="","",games!$A700)</f>
        <v>SNKRX</v>
      </c>
      <c r="B700">
        <f>IF($A700="","",games!$B700)</f>
        <v>2021</v>
      </c>
      <c r="C700" t="str">
        <f>IF($A700="","",games!$C700)</f>
        <v>Action</v>
      </c>
      <c r="D700">
        <f>IF($A700="","",COUNTIF(connections!$A$2:$A$1460,$A700)+COUNTIF(connections!$B$2:$B$1460,$A700))</f>
        <v>7</v>
      </c>
      <c r="E700">
        <f t="shared" si="130"/>
        <v>1</v>
      </c>
      <c r="F700">
        <f t="shared" si="131"/>
        <v>20</v>
      </c>
      <c r="G700">
        <f t="shared" si="132"/>
        <v>2021</v>
      </c>
      <c r="H700">
        <f t="shared" si="133"/>
        <v>1.46</v>
      </c>
      <c r="I700" t="e">
        <f t="shared" si="134"/>
        <v>#N/A</v>
      </c>
      <c r="J700" t="e">
        <f t="shared" si="135"/>
        <v>#N/A</v>
      </c>
      <c r="K700" t="e">
        <f t="shared" si="136"/>
        <v>#N/A</v>
      </c>
      <c r="L700" t="e">
        <f t="shared" si="137"/>
        <v>#N/A</v>
      </c>
      <c r="M700" t="e">
        <f t="shared" si="138"/>
        <v>#N/A</v>
      </c>
      <c r="N700" t="e">
        <f t="shared" si="139"/>
        <v>#N/A</v>
      </c>
      <c r="O700">
        <f t="shared" si="140"/>
        <v>7.0007000000000001</v>
      </c>
      <c r="P700" t="str">
        <f>IF(OR($A700="",games!$H700=""),"",games!$H700)</f>
        <v>Yes</v>
      </c>
      <c r="Q700">
        <f t="shared" si="141"/>
        <v>7.0007000000000001</v>
      </c>
      <c r="T700">
        <f>IF(connections!$A700="","",IFERROR(INDEX(games!$B$2:$B$950,MATCH(connections!$A700,games!$A$2:$A$950,0)),""))</f>
        <v>2018</v>
      </c>
      <c r="U700">
        <f>IF(connections!$A700="","",IFERROR(INDEX(games!$B$2:$B$950,MATCH(connections!$B700,games!$A$2:$A$950,0)),""))</f>
        <v>2025</v>
      </c>
      <c r="V700">
        <f t="shared" si="142"/>
        <v>7</v>
      </c>
    </row>
    <row r="701" spans="1:22" x14ac:dyDescent="0.25">
      <c r="A701" t="str">
        <f>IF(games!$A701="","",games!$A701)</f>
        <v>Sodaman</v>
      </c>
      <c r="B701">
        <f>IF($A701="","",games!$B701)</f>
        <v>2025</v>
      </c>
      <c r="C701" t="str">
        <f>IF($A701="","",games!$C701)</f>
        <v>Action</v>
      </c>
      <c r="D701">
        <f>IF($A701="","",COUNTIF(connections!$A$2:$A$1460,$A701)+COUNTIF(connections!$B$2:$B$1460,$A701))</f>
        <v>3</v>
      </c>
      <c r="E701">
        <f t="shared" si="130"/>
        <v>1</v>
      </c>
      <c r="F701">
        <f t="shared" si="131"/>
        <v>21</v>
      </c>
      <c r="G701">
        <f t="shared" si="132"/>
        <v>2025</v>
      </c>
      <c r="H701">
        <f t="shared" si="133"/>
        <v>1.4830000000000001</v>
      </c>
      <c r="I701" t="e">
        <f t="shared" si="134"/>
        <v>#N/A</v>
      </c>
      <c r="J701" t="e">
        <f t="shared" si="135"/>
        <v>#N/A</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1983</v>
      </c>
      <c r="U701">
        <f>IF(connections!$A701="","",IFERROR(INDEX(games!$B$2:$B$950,MATCH(connections!$B701,games!$A$2:$A$950,0)),""))</f>
        <v>1990</v>
      </c>
      <c r="V701">
        <f t="shared" si="142"/>
        <v>7</v>
      </c>
    </row>
    <row r="702" spans="1:22" x14ac:dyDescent="0.25">
      <c r="A702" t="str">
        <f>IF(games!$A702="","",games!$A702)</f>
        <v>Sol Cesto</v>
      </c>
      <c r="B702">
        <f>IF($A702="","",games!$B702)</f>
        <v>2025</v>
      </c>
      <c r="C702" t="str">
        <f>IF($A702="","",games!$C702)</f>
        <v>Strategy</v>
      </c>
      <c r="D702">
        <f>IF($A702="","",COUNTIF(connections!$A$2:$A$1460,$A702)+COUNTIF(connections!$B$2:$B$1460,$A702))</f>
        <v>3</v>
      </c>
      <c r="E702">
        <f t="shared" si="130"/>
        <v>2</v>
      </c>
      <c r="F702">
        <f t="shared" si="131"/>
        <v>22</v>
      </c>
      <c r="G702" t="e">
        <f t="shared" si="132"/>
        <v>#N/A</v>
      </c>
      <c r="H702" t="e">
        <f t="shared" si="133"/>
        <v>#N/A</v>
      </c>
      <c r="I702">
        <f t="shared" si="134"/>
        <v>2025</v>
      </c>
      <c r="J702">
        <f t="shared" si="135"/>
        <v>2.5060000000000002</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1983</v>
      </c>
      <c r="U702">
        <f>IF(connections!$A702="","",IFERROR(INDEX(games!$B$2:$B$950,MATCH(connections!$B702,games!$A$2:$A$950,0)),""))</f>
        <v>1996</v>
      </c>
      <c r="V702">
        <f t="shared" si="142"/>
        <v>13</v>
      </c>
    </row>
    <row r="703" spans="1:22" x14ac:dyDescent="0.25">
      <c r="A703" t="str">
        <f>IF(games!$A703="","",games!$A703)</f>
        <v>Solitairica</v>
      </c>
      <c r="B703">
        <f>IF($A703="","",games!$B703)</f>
        <v>2016</v>
      </c>
      <c r="C703" t="str">
        <f>IF($A703="","",games!$C703)</f>
        <v>Deckbuilder</v>
      </c>
      <c r="D703">
        <f>IF($A703="","",COUNTIF(connections!$A$2:$A$1460,$A703)+COUNTIF(connections!$B$2:$B$1460,$A703))</f>
        <v>1</v>
      </c>
      <c r="E703">
        <f t="shared" si="130"/>
        <v>3</v>
      </c>
      <c r="F703">
        <f t="shared" si="131"/>
        <v>23</v>
      </c>
      <c r="G703" t="e">
        <f t="shared" si="132"/>
        <v>#N/A</v>
      </c>
      <c r="H703" t="e">
        <f t="shared" si="133"/>
        <v>#N/A</v>
      </c>
      <c r="I703" t="e">
        <f t="shared" si="134"/>
        <v>#N/A</v>
      </c>
      <c r="J703" t="e">
        <f t="shared" si="135"/>
        <v>#N/A</v>
      </c>
      <c r="K703">
        <f t="shared" si="136"/>
        <v>2016</v>
      </c>
      <c r="L703">
        <f t="shared" si="137"/>
        <v>3.5289999999999999</v>
      </c>
      <c r="M703" t="e">
        <f t="shared" si="138"/>
        <v>#N/A</v>
      </c>
      <c r="N703" t="e">
        <f t="shared" si="139"/>
        <v>#N/A</v>
      </c>
      <c r="O703">
        <f t="shared" si="140"/>
        <v>1.0007029999999999</v>
      </c>
      <c r="P703" t="str">
        <f>IF(OR($A703="",games!$H703=""),"",games!$H703)</f>
        <v>Yes</v>
      </c>
      <c r="Q703">
        <f t="shared" si="141"/>
        <v>1.0007029999999999</v>
      </c>
      <c r="T703">
        <f>IF(connections!$A703="","",IFERROR(INDEX(games!$B$2:$B$950,MATCH(connections!$A703,games!$A$2:$A$950,0)),""))</f>
        <v>1983</v>
      </c>
      <c r="U703">
        <f>IF(connections!$A703="","",IFERROR(INDEX(games!$B$2:$B$950,MATCH(connections!$B703,games!$A$2:$A$950,0)),""))</f>
        <v>2003</v>
      </c>
      <c r="V703">
        <f t="shared" si="142"/>
        <v>20</v>
      </c>
    </row>
    <row r="704" spans="1:22" x14ac:dyDescent="0.25">
      <c r="A704" t="str">
        <f>IF(games!$A704="","",games!$A704)</f>
        <v>Soulash</v>
      </c>
      <c r="B704">
        <f>IF($A704="","",games!$B704)</f>
        <v>2022</v>
      </c>
      <c r="C704" t="str">
        <f>IF($A704="","",games!$C704)</f>
        <v>Traditional</v>
      </c>
      <c r="D704">
        <f>IF($A704="","",COUNTIF(connections!$A$2:$A$1460,$A704)+COUNTIF(connections!$B$2:$B$1460,$A704))</f>
        <v>3</v>
      </c>
      <c r="E704">
        <f t="shared" si="130"/>
        <v>4</v>
      </c>
      <c r="F704">
        <f t="shared" si="131"/>
        <v>24</v>
      </c>
      <c r="G704" t="e">
        <f t="shared" si="132"/>
        <v>#N/A</v>
      </c>
      <c r="H704" t="e">
        <f t="shared" si="133"/>
        <v>#N/A</v>
      </c>
      <c r="I704" t="e">
        <f t="shared" si="134"/>
        <v>#N/A</v>
      </c>
      <c r="J704" t="e">
        <f t="shared" si="135"/>
        <v>#N/A</v>
      </c>
      <c r="K704" t="e">
        <f t="shared" si="136"/>
        <v>#N/A</v>
      </c>
      <c r="L704" t="e">
        <f t="shared" si="137"/>
        <v>#N/A</v>
      </c>
      <c r="M704">
        <f t="shared" si="138"/>
        <v>2022</v>
      </c>
      <c r="N704">
        <f t="shared" si="139"/>
        <v>4.5519999999999996</v>
      </c>
      <c r="O704">
        <f t="shared" si="140"/>
        <v>3.0007039999999998</v>
      </c>
      <c r="P704" t="str">
        <f>IF(OR($A704="",games!$H704=""),"",games!$H704)</f>
        <v/>
      </c>
      <c r="Q704" t="str">
        <f t="shared" si="141"/>
        <v/>
      </c>
      <c r="T704">
        <f>IF(connections!$A704="","",IFERROR(INDEX(games!$B$2:$B$950,MATCH(connections!$A704,games!$A$2:$A$950,0)),""))</f>
        <v>2018</v>
      </c>
      <c r="U704">
        <f>IF(connections!$A704="","",IFERROR(INDEX(games!$B$2:$B$950,MATCH(connections!$B704,games!$A$2:$A$950,0)),""))</f>
        <v>2022</v>
      </c>
      <c r="V704">
        <f t="shared" si="142"/>
        <v>4</v>
      </c>
    </row>
    <row r="705" spans="1:22" x14ac:dyDescent="0.25">
      <c r="A705" t="str">
        <f>IF(games!$A705="","",games!$A705)</f>
        <v>Soulash 2</v>
      </c>
      <c r="B705">
        <f>IF($A705="","",games!$B705)</f>
        <v>2023</v>
      </c>
      <c r="C705" t="str">
        <f>IF($A705="","",games!$C705)</f>
        <v>Traditional</v>
      </c>
      <c r="D705">
        <f>IF($A705="","",COUNTIF(connections!$A$2:$A$1460,$A705)+COUNTIF(connections!$B$2:$B$1460,$A705))</f>
        <v>2</v>
      </c>
      <c r="E705">
        <f t="shared" si="130"/>
        <v>4</v>
      </c>
      <c r="F705">
        <f t="shared" si="131"/>
        <v>25</v>
      </c>
      <c r="G705" t="e">
        <f t="shared" si="132"/>
        <v>#N/A</v>
      </c>
      <c r="H705" t="e">
        <f t="shared" si="133"/>
        <v>#N/A</v>
      </c>
      <c r="I705" t="e">
        <f t="shared" si="134"/>
        <v>#N/A</v>
      </c>
      <c r="J705" t="e">
        <f t="shared" si="135"/>
        <v>#N/A</v>
      </c>
      <c r="K705" t="e">
        <f t="shared" si="136"/>
        <v>#N/A</v>
      </c>
      <c r="L705" t="e">
        <f t="shared" si="137"/>
        <v>#N/A</v>
      </c>
      <c r="M705">
        <f t="shared" si="138"/>
        <v>2023</v>
      </c>
      <c r="N705">
        <f t="shared" si="139"/>
        <v>4.5750000000000002</v>
      </c>
      <c r="O705">
        <f t="shared" si="140"/>
        <v>2.000705</v>
      </c>
      <c r="P705" t="str">
        <f>IF(OR($A705="",games!$H705=""),"",games!$H705)</f>
        <v/>
      </c>
      <c r="Q705" t="str">
        <f t="shared" si="141"/>
        <v/>
      </c>
      <c r="T705">
        <f>IF(connections!$A705="","",IFERROR(INDEX(games!$B$2:$B$950,MATCH(connections!$A705,games!$A$2:$A$950,0)),""))</f>
        <v>2011</v>
      </c>
      <c r="U705">
        <f>IF(connections!$A705="","",IFERROR(INDEX(games!$B$2:$B$950,MATCH(connections!$B705,games!$A$2:$A$950,0)),""))</f>
        <v>2014</v>
      </c>
      <c r="V705">
        <f t="shared" si="142"/>
        <v>3</v>
      </c>
    </row>
    <row r="706" spans="1:22" x14ac:dyDescent="0.25">
      <c r="A706" t="str">
        <f>IF(games!$A706="","",games!$A706)</f>
        <v>Soulstone Survivors</v>
      </c>
      <c r="B706">
        <f>IF($A706="","",games!$B706)</f>
        <v>2022</v>
      </c>
      <c r="C706" t="str">
        <f>IF($A706="","",games!$C706)</f>
        <v>Action</v>
      </c>
      <c r="D706">
        <f>IF($A706="","",COUNTIF(connections!$A$2:$A$1460,$A706)+COUNTIF(connections!$B$2:$B$1460,$A706))</f>
        <v>6</v>
      </c>
      <c r="E706">
        <f t="shared" ref="E706:E769" si="143">IF($A706="","",IFERROR(MATCH($C706,$R$2:$R$5,0),0))</f>
        <v>1</v>
      </c>
      <c r="F706">
        <f t="shared" ref="F706:F769" si="144">IF($A706="","",MOD(ROW(),34))</f>
        <v>26</v>
      </c>
      <c r="G706">
        <f t="shared" ref="G706:G769" si="145">IF($A706="",NA(),IF($C706="Action",$B706,NA()))</f>
        <v>2022</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6.0007060000000001</v>
      </c>
      <c r="P706" t="str">
        <f>IF(OR($A706="",games!$H706=""),"",games!$H706)</f>
        <v>Yes</v>
      </c>
      <c r="Q706">
        <f t="shared" ref="Q706:Q769" si="154">IF(OR($A706="",$P706&lt;&gt;"Yes"),"",$D706+ROW()/1000000)</f>
        <v>6.0007060000000001</v>
      </c>
      <c r="T706">
        <f>IF(connections!$A706="","",IFERROR(INDEX(games!$B$2:$B$950,MATCH(connections!$A706,games!$A$2:$A$950,0)),""))</f>
        <v>2021</v>
      </c>
      <c r="U706">
        <f>IF(connections!$A706="","",IFERROR(INDEX(games!$B$2:$B$950,MATCH(connections!$B706,games!$A$2:$A$950,0)),""))</f>
        <v>2026</v>
      </c>
      <c r="V706">
        <f t="shared" ref="V706:V769" si="155">IF(OR($T706="",$U706=""),"",$U706-$T706)</f>
        <v>5</v>
      </c>
    </row>
    <row r="707" spans="1:22" x14ac:dyDescent="0.25">
      <c r="A707" t="str">
        <f>IF(games!$A707="","",games!$A707)</f>
        <v>Space Beast Terror Fright</v>
      </c>
      <c r="B707">
        <f>IF($A707="","",games!$B707)</f>
        <v>2015</v>
      </c>
      <c r="C707" t="str">
        <f>IF($A707="","",games!$C707)</f>
        <v>Action</v>
      </c>
      <c r="D707">
        <f>IF($A707="","",COUNTIF(connections!$A$2:$A$1460,$A707)+COUNTIF(connections!$B$2:$B$1460,$A707))</f>
        <v>0</v>
      </c>
      <c r="E707">
        <f t="shared" si="143"/>
        <v>1</v>
      </c>
      <c r="F707">
        <f t="shared" si="144"/>
        <v>27</v>
      </c>
      <c r="G707">
        <f t="shared" si="145"/>
        <v>2015</v>
      </c>
      <c r="H707">
        <f t="shared" si="146"/>
        <v>1.621</v>
      </c>
      <c r="I707" t="e">
        <f t="shared" si="147"/>
        <v>#N/A</v>
      </c>
      <c r="J707" t="e">
        <f t="shared" si="148"/>
        <v>#N/A</v>
      </c>
      <c r="K707" t="e">
        <f t="shared" si="149"/>
        <v>#N/A</v>
      </c>
      <c r="L707" t="e">
        <f t="shared" si="150"/>
        <v>#N/A</v>
      </c>
      <c r="M707" t="e">
        <f t="shared" si="151"/>
        <v>#N/A</v>
      </c>
      <c r="N707" t="e">
        <f t="shared" si="152"/>
        <v>#N/A</v>
      </c>
      <c r="O707">
        <f t="shared" si="153"/>
        <v>7.0699999999999995E-4</v>
      </c>
      <c r="P707" t="str">
        <f>IF(OR($A707="",games!$H707=""),"",games!$H707)</f>
        <v/>
      </c>
      <c r="Q707" t="str">
        <f t="shared" si="154"/>
        <v/>
      </c>
      <c r="T707">
        <f>IF(connections!$A707="","",IFERROR(INDEX(games!$B$2:$B$950,MATCH(connections!$A707,games!$A$2:$A$950,0)),""))</f>
        <v>2021</v>
      </c>
      <c r="U707">
        <f>IF(connections!$A707="","",IFERROR(INDEX(games!$B$2:$B$950,MATCH(connections!$B707,games!$A$2:$A$950,0)),""))</f>
        <v>2025</v>
      </c>
      <c r="V707">
        <f t="shared" si="155"/>
        <v>4</v>
      </c>
    </row>
    <row r="708" spans="1:22" x14ac:dyDescent="0.25">
      <c r="A708" t="str">
        <f>IF(games!$A708="","",games!$A708)</f>
        <v>Space Gladiators</v>
      </c>
      <c r="B708">
        <f>IF($A708="","",games!$B708)</f>
        <v>2019</v>
      </c>
      <c r="C708" t="str">
        <f>IF($A708="","",games!$C708)</f>
        <v>Action</v>
      </c>
      <c r="D708">
        <f>IF($A708="","",COUNTIF(connections!$A$2:$A$1460,$A708)+COUNTIF(connections!$B$2:$B$1460,$A708))</f>
        <v>4</v>
      </c>
      <c r="E708">
        <f t="shared" si="143"/>
        <v>1</v>
      </c>
      <c r="F708">
        <f t="shared" si="144"/>
        <v>28</v>
      </c>
      <c r="G708">
        <f t="shared" si="145"/>
        <v>2019</v>
      </c>
      <c r="H708">
        <f t="shared" si="146"/>
        <v>1.6440000000000001</v>
      </c>
      <c r="I708" t="e">
        <f t="shared" si="147"/>
        <v>#N/A</v>
      </c>
      <c r="J708" t="e">
        <f t="shared" si="148"/>
        <v>#N/A</v>
      </c>
      <c r="K708" t="e">
        <f t="shared" si="149"/>
        <v>#N/A</v>
      </c>
      <c r="L708" t="e">
        <f t="shared" si="150"/>
        <v>#N/A</v>
      </c>
      <c r="M708" t="e">
        <f t="shared" si="151"/>
        <v>#N/A</v>
      </c>
      <c r="N708" t="e">
        <f t="shared" si="152"/>
        <v>#N/A</v>
      </c>
      <c r="O708">
        <f t="shared" si="153"/>
        <v>4.0007080000000004</v>
      </c>
      <c r="P708" t="str">
        <f>IF(OR($A708="",games!$H708=""),"",games!$H708)</f>
        <v/>
      </c>
      <c r="Q708" t="str">
        <f t="shared" si="154"/>
        <v/>
      </c>
      <c r="T708">
        <f>IF(connections!$A708="","",IFERROR(INDEX(games!$B$2:$B$950,MATCH(connections!$A708,games!$A$2:$A$950,0)),""))</f>
        <v>1995</v>
      </c>
      <c r="U708">
        <f>IF(connections!$A708="","",IFERROR(INDEX(games!$B$2:$B$950,MATCH(connections!$B708,games!$A$2:$A$950,0)),""))</f>
        <v>2010</v>
      </c>
      <c r="V708">
        <f t="shared" si="155"/>
        <v>15</v>
      </c>
    </row>
    <row r="709" spans="1:22" x14ac:dyDescent="0.25">
      <c r="A709" t="str">
        <f>IF(games!$A709="","",games!$A709)</f>
        <v>Space Grunts</v>
      </c>
      <c r="B709">
        <f>IF($A709="","",games!$B709)</f>
        <v>2016</v>
      </c>
      <c r="C709" t="str">
        <f>IF($A709="","",games!$C709)</f>
        <v>Traditional</v>
      </c>
      <c r="D709">
        <f>IF($A709="","",COUNTIF(connections!$A$2:$A$1460,$A709)+COUNTIF(connections!$B$2:$B$1460,$A709))</f>
        <v>2</v>
      </c>
      <c r="E709">
        <f t="shared" si="143"/>
        <v>4</v>
      </c>
      <c r="F709">
        <f t="shared" si="144"/>
        <v>29</v>
      </c>
      <c r="G709" t="e">
        <f t="shared" si="145"/>
        <v>#N/A</v>
      </c>
      <c r="H709" t="e">
        <f t="shared" si="146"/>
        <v>#N/A</v>
      </c>
      <c r="I709" t="e">
        <f t="shared" si="147"/>
        <v>#N/A</v>
      </c>
      <c r="J709" t="e">
        <f t="shared" si="148"/>
        <v>#N/A</v>
      </c>
      <c r="K709" t="e">
        <f t="shared" si="149"/>
        <v>#N/A</v>
      </c>
      <c r="L709" t="e">
        <f t="shared" si="150"/>
        <v>#N/A</v>
      </c>
      <c r="M709">
        <f t="shared" si="151"/>
        <v>2016</v>
      </c>
      <c r="N709">
        <f t="shared" si="152"/>
        <v>4.6669999999999998</v>
      </c>
      <c r="O709">
        <f t="shared" si="153"/>
        <v>2.0007090000000001</v>
      </c>
      <c r="P709" t="str">
        <f>IF(OR($A709="",games!$H709=""),"",games!$H709)</f>
        <v>Yes</v>
      </c>
      <c r="Q709">
        <f t="shared" si="154"/>
        <v>2.0007090000000001</v>
      </c>
      <c r="T709">
        <f>IF(connections!$A709="","",IFERROR(INDEX(games!$B$2:$B$950,MATCH(connections!$A709,games!$A$2:$A$950,0)),""))</f>
        <v>1995</v>
      </c>
      <c r="U709">
        <f>IF(connections!$A709="","",IFERROR(INDEX(games!$B$2:$B$950,MATCH(connections!$B709,games!$A$2:$A$950,0)),""))</f>
        <v>2020</v>
      </c>
      <c r="V709">
        <f t="shared" si="155"/>
        <v>25</v>
      </c>
    </row>
    <row r="710" spans="1:22" x14ac:dyDescent="0.25">
      <c r="A710" t="str">
        <f>IF(games!$A710="","",games!$A710)</f>
        <v>Space Prison</v>
      </c>
      <c r="B710">
        <f>IF($A710="","",games!$B710)</f>
        <v>2024</v>
      </c>
      <c r="C710" t="str">
        <f>IF($A710="","",games!$C710)</f>
        <v>Strategy</v>
      </c>
      <c r="D710">
        <f>IF($A710="","",COUNTIF(connections!$A$2:$A$1460,$A710)+COUNTIF(connections!$B$2:$B$1460,$A710))</f>
        <v>4</v>
      </c>
      <c r="E710">
        <f t="shared" si="143"/>
        <v>2</v>
      </c>
      <c r="F710">
        <f t="shared" si="144"/>
        <v>30</v>
      </c>
      <c r="G710" t="e">
        <f t="shared" si="145"/>
        <v>#N/A</v>
      </c>
      <c r="H710" t="e">
        <f t="shared" si="146"/>
        <v>#N/A</v>
      </c>
      <c r="I710">
        <f t="shared" si="147"/>
        <v>2024</v>
      </c>
      <c r="J710">
        <f t="shared" si="148"/>
        <v>2.69</v>
      </c>
      <c r="K710" t="e">
        <f t="shared" si="149"/>
        <v>#N/A</v>
      </c>
      <c r="L710" t="e">
        <f t="shared" si="150"/>
        <v>#N/A</v>
      </c>
      <c r="M710" t="e">
        <f t="shared" si="151"/>
        <v>#N/A</v>
      </c>
      <c r="N710" t="e">
        <f t="shared" si="152"/>
        <v>#N/A</v>
      </c>
      <c r="O710">
        <f t="shared" si="153"/>
        <v>4.0007099999999998</v>
      </c>
      <c r="P710" t="str">
        <f>IF(OR($A710="",games!$H710=""),"",games!$H710)</f>
        <v>Yes</v>
      </c>
      <c r="Q710">
        <f t="shared" si="154"/>
        <v>4.0007099999999998</v>
      </c>
      <c r="T710">
        <f>IF(connections!$A710="","",IFERROR(INDEX(games!$B$2:$B$950,MATCH(connections!$A710,games!$A$2:$A$950,0)),""))</f>
        <v>1995</v>
      </c>
      <c r="U710">
        <f>IF(connections!$A710="","",IFERROR(INDEX(games!$B$2:$B$950,MATCH(connections!$B710,games!$A$2:$A$950,0)),""))</f>
        <v>2023</v>
      </c>
      <c r="V710">
        <f t="shared" si="155"/>
        <v>28</v>
      </c>
    </row>
    <row r="711" spans="1:22" x14ac:dyDescent="0.25">
      <c r="A711" t="str">
        <f>IF(games!$A711="","",games!$A711)</f>
        <v>Sparklite</v>
      </c>
      <c r="B711">
        <f>IF($A711="","",games!$B711)</f>
        <v>2019</v>
      </c>
      <c r="C711" t="str">
        <f>IF($A711="","",games!$C711)</f>
        <v>Action</v>
      </c>
      <c r="D711">
        <f>IF($A711="","",COUNTIF(connections!$A$2:$A$1460,$A711)+COUNTIF(connections!$B$2:$B$1460,$A711))</f>
        <v>3</v>
      </c>
      <c r="E711">
        <f t="shared" si="143"/>
        <v>1</v>
      </c>
      <c r="F711">
        <f t="shared" si="144"/>
        <v>31</v>
      </c>
      <c r="G711">
        <f t="shared" si="145"/>
        <v>2019</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IF(connections!$A711="","",IFERROR(INDEX(games!$B$2:$B$950,MATCH(connections!$A711,games!$A$2:$A$950,0)),""))</f>
        <v>1995</v>
      </c>
      <c r="U711">
        <f>IF(connections!$A711="","",IFERROR(INDEX(games!$B$2:$B$950,MATCH(connections!$B711,games!$A$2:$A$950,0)),""))</f>
        <v>2025</v>
      </c>
      <c r="V711">
        <f t="shared" si="155"/>
        <v>30</v>
      </c>
    </row>
    <row r="712" spans="1:22" x14ac:dyDescent="0.25">
      <c r="A712" t="str">
        <f>IF(games!$A712="","",games!$A712)</f>
        <v>Spellbook Demonslayers</v>
      </c>
      <c r="B712">
        <f>IF($A712="","",games!$B712)</f>
        <v>2022</v>
      </c>
      <c r="C712" t="str">
        <f>IF($A712="","",games!$C712)</f>
        <v>Action</v>
      </c>
      <c r="D712">
        <f>IF($A712="","",COUNTIF(connections!$A$2:$A$1460,$A712)+COUNTIF(connections!$B$2:$B$1460,$A712))</f>
        <v>2</v>
      </c>
      <c r="E712">
        <f t="shared" si="143"/>
        <v>1</v>
      </c>
      <c r="F712">
        <f t="shared" si="144"/>
        <v>32</v>
      </c>
      <c r="G712">
        <f t="shared" si="145"/>
        <v>2022</v>
      </c>
      <c r="H712">
        <f t="shared" si="146"/>
        <v>1.736</v>
      </c>
      <c r="I712" t="e">
        <f t="shared" si="147"/>
        <v>#N/A</v>
      </c>
      <c r="J712" t="e">
        <f t="shared" si="148"/>
        <v>#N/A</v>
      </c>
      <c r="K712" t="e">
        <f t="shared" si="149"/>
        <v>#N/A</v>
      </c>
      <c r="L712" t="e">
        <f t="shared" si="150"/>
        <v>#N/A</v>
      </c>
      <c r="M712" t="e">
        <f t="shared" si="151"/>
        <v>#N/A</v>
      </c>
      <c r="N712" t="e">
        <f t="shared" si="152"/>
        <v>#N/A</v>
      </c>
      <c r="O712">
        <f t="shared" si="153"/>
        <v>2.000712</v>
      </c>
      <c r="P712" t="str">
        <f>IF(OR($A712="",games!$H712=""),"",games!$H712)</f>
        <v>Yes</v>
      </c>
      <c r="Q712">
        <f t="shared" si="154"/>
        <v>2.000712</v>
      </c>
      <c r="T712">
        <f>IF(connections!$A712="","",IFERROR(INDEX(games!$B$2:$B$950,MATCH(connections!$A712,games!$A$2:$A$950,0)),""))</f>
        <v>1995</v>
      </c>
      <c r="U712">
        <f>IF(connections!$A712="","",IFERROR(INDEX(games!$B$2:$B$950,MATCH(connections!$B712,games!$A$2:$A$950,0)),""))</f>
        <v>2025</v>
      </c>
      <c r="V712">
        <f t="shared" si="155"/>
        <v>30</v>
      </c>
    </row>
    <row r="713" spans="1:22" x14ac:dyDescent="0.25">
      <c r="A713" t="str">
        <f>IF(games!$A713="","",games!$A713)</f>
        <v>Spellmasons</v>
      </c>
      <c r="B713">
        <f>IF($A713="","",games!$B713)</f>
        <v>2023</v>
      </c>
      <c r="C713" t="str">
        <f>IF($A713="","",games!$C713)</f>
        <v>Strategy</v>
      </c>
      <c r="D713">
        <f>IF($A713="","",COUNTIF(connections!$A$2:$A$1460,$A713)+COUNTIF(connections!$B$2:$B$1460,$A713))</f>
        <v>3</v>
      </c>
      <c r="E713">
        <f t="shared" si="143"/>
        <v>2</v>
      </c>
      <c r="F713">
        <f t="shared" si="144"/>
        <v>33</v>
      </c>
      <c r="G713" t="e">
        <f t="shared" si="145"/>
        <v>#N/A</v>
      </c>
      <c r="H713" t="e">
        <f t="shared" si="146"/>
        <v>#N/A</v>
      </c>
      <c r="I713">
        <f t="shared" si="147"/>
        <v>2023</v>
      </c>
      <c r="J713">
        <f t="shared" si="148"/>
        <v>2.7589999999999999</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1995</v>
      </c>
      <c r="U713">
        <f>IF(connections!$A713="","",IFERROR(INDEX(games!$B$2:$B$950,MATCH(connections!$B713,games!$A$2:$A$950,0)),""))</f>
        <v>2014</v>
      </c>
      <c r="V713">
        <f t="shared" si="155"/>
        <v>19</v>
      </c>
    </row>
    <row r="714" spans="1:22" x14ac:dyDescent="0.25">
      <c r="A714" t="str">
        <f>IF(games!$A714="","",games!$A714)</f>
        <v>SpellRogue</v>
      </c>
      <c r="B714">
        <f>IF($A714="","",games!$B714)</f>
        <v>2024</v>
      </c>
      <c r="C714" t="str">
        <f>IF($A714="","",games!$C714)</f>
        <v>Deckbuilder</v>
      </c>
      <c r="D714">
        <f>IF($A714="","",COUNTIF(connections!$A$2:$A$1460,$A714)+COUNTIF(connections!$B$2:$B$1460,$A714))</f>
        <v>2</v>
      </c>
      <c r="E714">
        <f t="shared" si="143"/>
        <v>3</v>
      </c>
      <c r="F714">
        <f t="shared" si="144"/>
        <v>0</v>
      </c>
      <c r="G714" t="e">
        <f t="shared" si="145"/>
        <v>#N/A</v>
      </c>
      <c r="H714" t="e">
        <f t="shared" si="146"/>
        <v>#N/A</v>
      </c>
      <c r="I714" t="e">
        <f t="shared" si="147"/>
        <v>#N/A</v>
      </c>
      <c r="J714" t="e">
        <f t="shared" si="148"/>
        <v>#N/A</v>
      </c>
      <c r="K714">
        <f t="shared" si="149"/>
        <v>2024</v>
      </c>
      <c r="L714">
        <f t="shared" si="150"/>
        <v>3</v>
      </c>
      <c r="M714" t="e">
        <f t="shared" si="151"/>
        <v>#N/A</v>
      </c>
      <c r="N714" t="e">
        <f t="shared" si="152"/>
        <v>#N/A</v>
      </c>
      <c r="O714">
        <f t="shared" si="153"/>
        <v>2.0007139999999999</v>
      </c>
      <c r="P714" t="str">
        <f>IF(OR($A714="",games!$H714=""),"",games!$H714)</f>
        <v>Yes</v>
      </c>
      <c r="Q714">
        <f t="shared" si="154"/>
        <v>2.0007139999999999</v>
      </c>
      <c r="T714">
        <f>IF(connections!$A714="","",IFERROR(INDEX(games!$B$2:$B$950,MATCH(connections!$A714,games!$A$2:$A$950,0)),""))</f>
        <v>1995</v>
      </c>
      <c r="U714">
        <f>IF(connections!$A714="","",IFERROR(INDEX(games!$B$2:$B$950,MATCH(connections!$B714,games!$A$2:$A$950,0)),""))</f>
        <v>2000</v>
      </c>
      <c r="V714">
        <f t="shared" si="155"/>
        <v>5</v>
      </c>
    </row>
    <row r="715" spans="1:22" x14ac:dyDescent="0.25">
      <c r="A715" t="str">
        <f>IF(games!$A715="","",games!$A715)</f>
        <v>Spelunky</v>
      </c>
      <c r="B715">
        <f>IF($A715="","",games!$B715)</f>
        <v>2012</v>
      </c>
      <c r="C715" t="str">
        <f>IF($A715="","",games!$C715)</f>
        <v>Action</v>
      </c>
      <c r="D715">
        <f>IF($A715="","",COUNTIF(connections!$A$2:$A$1460,$A715)+COUNTIF(connections!$B$2:$B$1460,$A715))</f>
        <v>2</v>
      </c>
      <c r="E715">
        <f t="shared" si="143"/>
        <v>1</v>
      </c>
      <c r="F715">
        <f t="shared" si="144"/>
        <v>1</v>
      </c>
      <c r="G715">
        <f t="shared" si="145"/>
        <v>2012</v>
      </c>
      <c r="H715">
        <f t="shared" si="146"/>
        <v>1.0229999999999999</v>
      </c>
      <c r="I715" t="e">
        <f t="shared" si="147"/>
        <v>#N/A</v>
      </c>
      <c r="J715" t="e">
        <f t="shared" si="148"/>
        <v>#N/A</v>
      </c>
      <c r="K715" t="e">
        <f t="shared" si="149"/>
        <v>#N/A</v>
      </c>
      <c r="L715" t="e">
        <f t="shared" si="150"/>
        <v>#N/A</v>
      </c>
      <c r="M715" t="e">
        <f t="shared" si="151"/>
        <v>#N/A</v>
      </c>
      <c r="N715" t="e">
        <f t="shared" si="152"/>
        <v>#N/A</v>
      </c>
      <c r="O715">
        <f t="shared" si="153"/>
        <v>2.000715</v>
      </c>
      <c r="P715" t="str">
        <f>IF(OR($A715="",games!$H715=""),"",games!$H715)</f>
        <v>Yes</v>
      </c>
      <c r="Q715">
        <f t="shared" si="154"/>
        <v>2.000715</v>
      </c>
      <c r="T715">
        <f>IF(connections!$A715="","",IFERROR(INDEX(games!$B$2:$B$950,MATCH(connections!$A715,games!$A$2:$A$950,0)),""))</f>
        <v>1995</v>
      </c>
      <c r="U715">
        <f>IF(connections!$A715="","",IFERROR(INDEX(games!$B$2:$B$950,MATCH(connections!$B715,games!$A$2:$A$950,0)),""))</f>
        <v>1996</v>
      </c>
      <c r="V715">
        <f t="shared" si="155"/>
        <v>1</v>
      </c>
    </row>
    <row r="716" spans="1:22" x14ac:dyDescent="0.25">
      <c r="A716" t="str">
        <f>IF(games!$A716="","",games!$A716)</f>
        <v>Spelunky 2</v>
      </c>
      <c r="B716">
        <f>IF($A716="","",games!$B716)</f>
        <v>2020</v>
      </c>
      <c r="C716" t="str">
        <f>IF($A716="","",games!$C716)</f>
        <v>Action</v>
      </c>
      <c r="D716">
        <f>IF($A716="","",COUNTIF(connections!$A$2:$A$1460,$A716)+COUNTIF(connections!$B$2:$B$1460,$A716))</f>
        <v>1</v>
      </c>
      <c r="E716">
        <f t="shared" si="143"/>
        <v>1</v>
      </c>
      <c r="F716">
        <f t="shared" si="144"/>
        <v>2</v>
      </c>
      <c r="G716">
        <f t="shared" si="145"/>
        <v>2020</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Yes</v>
      </c>
      <c r="Q716">
        <f t="shared" si="154"/>
        <v>1.0007159999999999</v>
      </c>
      <c r="T716">
        <f>IF(connections!$A716="","",IFERROR(INDEX(games!$B$2:$B$950,MATCH(connections!$A716,games!$A$2:$A$950,0)),""))</f>
        <v>1995</v>
      </c>
      <c r="U716">
        <f>IF(connections!$A716="","",IFERROR(INDEX(games!$B$2:$B$950,MATCH(connections!$B716,games!$A$2:$A$950,0)),""))</f>
        <v>2025</v>
      </c>
      <c r="V716">
        <f t="shared" si="155"/>
        <v>30</v>
      </c>
    </row>
    <row r="717" spans="1:22" x14ac:dyDescent="0.25">
      <c r="A717" t="str">
        <f>IF(games!$A717="","",games!$A717)</f>
        <v>Spelunky Classic</v>
      </c>
      <c r="B717">
        <f>IF($A717="","",games!$B717)</f>
        <v>2008</v>
      </c>
      <c r="C717" t="str">
        <f>IF($A717="","",games!$C717)</f>
        <v>Action</v>
      </c>
      <c r="D717">
        <f>IF($A717="","",COUNTIF(connections!$A$2:$A$1460,$A717)+COUNTIF(connections!$B$2:$B$1460,$A717))</f>
        <v>45</v>
      </c>
      <c r="E717">
        <f t="shared" si="143"/>
        <v>1</v>
      </c>
      <c r="F717">
        <f t="shared" si="144"/>
        <v>3</v>
      </c>
      <c r="G717">
        <f t="shared" si="145"/>
        <v>2008</v>
      </c>
      <c r="H717">
        <f t="shared" si="146"/>
        <v>1.069</v>
      </c>
      <c r="I717" t="e">
        <f t="shared" si="147"/>
        <v>#N/A</v>
      </c>
      <c r="J717" t="e">
        <f t="shared" si="148"/>
        <v>#N/A</v>
      </c>
      <c r="K717" t="e">
        <f t="shared" si="149"/>
        <v>#N/A</v>
      </c>
      <c r="L717" t="e">
        <f t="shared" si="150"/>
        <v>#N/A</v>
      </c>
      <c r="M717" t="e">
        <f t="shared" si="151"/>
        <v>#N/A</v>
      </c>
      <c r="N717" t="e">
        <f t="shared" si="152"/>
        <v>#N/A</v>
      </c>
      <c r="O717">
        <f t="shared" si="153"/>
        <v>45.000717000000002</v>
      </c>
      <c r="P717" t="str">
        <f>IF(OR($A717="",games!$H717=""),"",games!$H717)</f>
        <v>Yes</v>
      </c>
      <c r="Q717">
        <f t="shared" si="154"/>
        <v>45.000717000000002</v>
      </c>
      <c r="T717">
        <f>IF(connections!$A717="","",IFERROR(INDEX(games!$B$2:$B$950,MATCH(connections!$A717,games!$A$2:$A$950,0)),""))</f>
        <v>1995</v>
      </c>
      <c r="U717">
        <f>IF(connections!$A717="","",IFERROR(INDEX(games!$B$2:$B$950,MATCH(connections!$B717,games!$A$2:$A$950,0)),""))</f>
        <v>2017</v>
      </c>
      <c r="V717">
        <f t="shared" si="155"/>
        <v>22</v>
      </c>
    </row>
    <row r="718" spans="1:22" x14ac:dyDescent="0.25">
      <c r="A718" t="str">
        <f>IF(games!$A718="","",games!$A718)</f>
        <v>Spin Hero</v>
      </c>
      <c r="B718">
        <f>IF($A718="","",games!$B718)</f>
        <v>2024</v>
      </c>
      <c r="C718" t="str">
        <f>IF($A718="","",games!$C718)</f>
        <v>Deckbuilder</v>
      </c>
      <c r="D718">
        <f>IF($A718="","",COUNTIF(connections!$A$2:$A$1460,$A718)+COUNTIF(connections!$B$2:$B$1460,$A718))</f>
        <v>3</v>
      </c>
      <c r="E718">
        <f t="shared" si="143"/>
        <v>3</v>
      </c>
      <c r="F718">
        <f t="shared" si="144"/>
        <v>4</v>
      </c>
      <c r="G718" t="e">
        <f t="shared" si="145"/>
        <v>#N/A</v>
      </c>
      <c r="H718" t="e">
        <f t="shared" si="146"/>
        <v>#N/A</v>
      </c>
      <c r="I718" t="e">
        <f t="shared" si="147"/>
        <v>#N/A</v>
      </c>
      <c r="J718" t="e">
        <f t="shared" si="148"/>
        <v>#N/A</v>
      </c>
      <c r="K718">
        <f t="shared" si="149"/>
        <v>2024</v>
      </c>
      <c r="L718">
        <f t="shared" si="150"/>
        <v>3.0920000000000001</v>
      </c>
      <c r="M718" t="e">
        <f t="shared" si="151"/>
        <v>#N/A</v>
      </c>
      <c r="N718" t="e">
        <f t="shared" si="152"/>
        <v>#N/A</v>
      </c>
      <c r="O718">
        <f t="shared" si="153"/>
        <v>3.000718</v>
      </c>
      <c r="P718" t="str">
        <f>IF(OR($A718="",games!$H718=""),"",games!$H718)</f>
        <v>Yes</v>
      </c>
      <c r="Q718">
        <f t="shared" si="154"/>
        <v>3.000718</v>
      </c>
      <c r="T718">
        <f>IF(connections!$A718="","",IFERROR(INDEX(games!$B$2:$B$950,MATCH(connections!$A718,games!$A$2:$A$950,0)),""))</f>
        <v>2022</v>
      </c>
      <c r="U718">
        <f>IF(connections!$A718="","",IFERROR(INDEX(games!$B$2:$B$950,MATCH(connections!$B718,games!$A$2:$A$950,0)),""))</f>
        <v>2024</v>
      </c>
      <c r="V718">
        <f t="shared" si="155"/>
        <v>2</v>
      </c>
    </row>
    <row r="719" spans="1:22" x14ac:dyDescent="0.25">
      <c r="A719" t="str">
        <f>IF(games!$A719="","",games!$A719)</f>
        <v>Spirit Hunters: Infinite Horde</v>
      </c>
      <c r="B719">
        <f>IF($A719="","",games!$B719)</f>
        <v>2022</v>
      </c>
      <c r="C719" t="str">
        <f>IF($A719="","",games!$C719)</f>
        <v>Action</v>
      </c>
      <c r="D719">
        <f>IF($A719="","",COUNTIF(connections!$A$2:$A$1460,$A719)+COUNTIF(connections!$B$2:$B$1460,$A719))</f>
        <v>2</v>
      </c>
      <c r="E719">
        <f t="shared" si="143"/>
        <v>1</v>
      </c>
      <c r="F719">
        <f t="shared" si="144"/>
        <v>5</v>
      </c>
      <c r="G719">
        <f t="shared" si="145"/>
        <v>2022</v>
      </c>
      <c r="H719">
        <f t="shared" si="146"/>
        <v>1.115</v>
      </c>
      <c r="I719" t="e">
        <f t="shared" si="147"/>
        <v>#N/A</v>
      </c>
      <c r="J719" t="e">
        <f t="shared" si="148"/>
        <v>#N/A</v>
      </c>
      <c r="K719" t="e">
        <f t="shared" si="149"/>
        <v>#N/A</v>
      </c>
      <c r="L719" t="e">
        <f t="shared" si="150"/>
        <v>#N/A</v>
      </c>
      <c r="M719" t="e">
        <f t="shared" si="151"/>
        <v>#N/A</v>
      </c>
      <c r="N719" t="e">
        <f t="shared" si="152"/>
        <v>#N/A</v>
      </c>
      <c r="O719">
        <f t="shared" si="153"/>
        <v>2.0007190000000001</v>
      </c>
      <c r="P719" t="str">
        <f>IF(OR($A719="",games!$H719=""),"",games!$H719)</f>
        <v>Yes</v>
      </c>
      <c r="Q719">
        <f t="shared" si="154"/>
        <v>2.0007190000000001</v>
      </c>
      <c r="T719">
        <f>IF(connections!$A719="","",IFERROR(INDEX(games!$B$2:$B$950,MATCH(connections!$A719,games!$A$2:$A$950,0)),""))</f>
        <v>2022</v>
      </c>
      <c r="U719">
        <f>IF(connections!$A719="","",IFERROR(INDEX(games!$B$2:$B$950,MATCH(connections!$B719,games!$A$2:$A$950,0)),""))</f>
        <v>2024</v>
      </c>
      <c r="V719">
        <f t="shared" si="155"/>
        <v>2</v>
      </c>
    </row>
    <row r="720" spans="1:22" x14ac:dyDescent="0.25">
      <c r="A720" t="str">
        <f>IF(games!$A720="","",games!$A720)</f>
        <v>Spiritfall</v>
      </c>
      <c r="B720">
        <f>IF($A720="","",games!$B720)</f>
        <v>2023</v>
      </c>
      <c r="C720" t="str">
        <f>IF($A720="","",games!$C720)</f>
        <v>Action</v>
      </c>
      <c r="D720">
        <f>IF($A720="","",COUNTIF(connections!$A$2:$A$1460,$A720)+COUNTIF(connections!$B$2:$B$1460,$A720))</f>
        <v>2</v>
      </c>
      <c r="E720">
        <f t="shared" si="143"/>
        <v>1</v>
      </c>
      <c r="F720">
        <f t="shared" si="144"/>
        <v>6</v>
      </c>
      <c r="G720">
        <f t="shared" si="145"/>
        <v>2023</v>
      </c>
      <c r="H720">
        <f t="shared" si="146"/>
        <v>1.1379999999999999</v>
      </c>
      <c r="I720" t="e">
        <f t="shared" si="147"/>
        <v>#N/A</v>
      </c>
      <c r="J720" t="e">
        <f t="shared" si="148"/>
        <v>#N/A</v>
      </c>
      <c r="K720" t="e">
        <f t="shared" si="149"/>
        <v>#N/A</v>
      </c>
      <c r="L720" t="e">
        <f t="shared" si="150"/>
        <v>#N/A</v>
      </c>
      <c r="M720" t="e">
        <f t="shared" si="151"/>
        <v>#N/A</v>
      </c>
      <c r="N720" t="e">
        <f t="shared" si="152"/>
        <v>#N/A</v>
      </c>
      <c r="O720">
        <f t="shared" si="153"/>
        <v>2.0007199999999998</v>
      </c>
      <c r="P720" t="str">
        <f>IF(OR($A720="",games!$H720=""),"",games!$H720)</f>
        <v>Yes</v>
      </c>
      <c r="Q720">
        <f t="shared" si="154"/>
        <v>2.0007199999999998</v>
      </c>
      <c r="T720">
        <f>IF(connections!$A720="","",IFERROR(INDEX(games!$B$2:$B$950,MATCH(connections!$A720,games!$A$2:$A$950,0)),""))</f>
        <v>2019</v>
      </c>
      <c r="U720">
        <f>IF(connections!$A720="","",IFERROR(INDEX(games!$B$2:$B$950,MATCH(connections!$B720,games!$A$2:$A$950,0)),""))</f>
        <v>2025</v>
      </c>
      <c r="V720">
        <f t="shared" si="155"/>
        <v>6</v>
      </c>
    </row>
    <row r="721" spans="1:22" x14ac:dyDescent="0.25">
      <c r="A721" t="str">
        <f>IF(games!$A721="","",games!$A721)</f>
        <v>Spirits Abyss</v>
      </c>
      <c r="B721">
        <f>IF($A721="","",games!$B721)</f>
        <v>2019</v>
      </c>
      <c r="C721" t="str">
        <f>IF($A721="","",games!$C721)</f>
        <v>Action</v>
      </c>
      <c r="D721">
        <f>IF($A721="","",COUNTIF(connections!$A$2:$A$1460,$A721)+COUNTIF(connections!$B$2:$B$1460,$A721))</f>
        <v>2</v>
      </c>
      <c r="E721">
        <f t="shared" si="143"/>
        <v>1</v>
      </c>
      <c r="F721">
        <f t="shared" si="144"/>
        <v>7</v>
      </c>
      <c r="G721">
        <f t="shared" si="145"/>
        <v>2019</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1987</v>
      </c>
      <c r="U721">
        <f>IF(connections!$A721="","",IFERROR(INDEX(games!$B$2:$B$950,MATCH(connections!$B721,games!$A$2:$A$950,0)),""))</f>
        <v>1994</v>
      </c>
      <c r="V721">
        <f t="shared" si="155"/>
        <v>7</v>
      </c>
    </row>
    <row r="722" spans="1:22" x14ac:dyDescent="0.25">
      <c r="A722" t="str">
        <f>IF(games!$A722="","",games!$A722)</f>
        <v>Sproggiwood</v>
      </c>
      <c r="B722">
        <f>IF($A722="","",games!$B722)</f>
        <v>2014</v>
      </c>
      <c r="C722" t="str">
        <f>IF($A722="","",games!$C722)</f>
        <v>Traditional</v>
      </c>
      <c r="D722">
        <f>IF($A722="","",COUNTIF(connections!$A$2:$A$1460,$A722)+COUNTIF(connections!$B$2:$B$1460,$A722))</f>
        <v>3</v>
      </c>
      <c r="E722">
        <f t="shared" si="143"/>
        <v>4</v>
      </c>
      <c r="F722">
        <f t="shared" si="144"/>
        <v>8</v>
      </c>
      <c r="G722" t="e">
        <f t="shared" si="145"/>
        <v>#N/A</v>
      </c>
      <c r="H722" t="e">
        <f t="shared" si="146"/>
        <v>#N/A</v>
      </c>
      <c r="I722" t="e">
        <f t="shared" si="147"/>
        <v>#N/A</v>
      </c>
      <c r="J722" t="e">
        <f t="shared" si="148"/>
        <v>#N/A</v>
      </c>
      <c r="K722" t="e">
        <f t="shared" si="149"/>
        <v>#N/A</v>
      </c>
      <c r="L722" t="e">
        <f t="shared" si="150"/>
        <v>#N/A</v>
      </c>
      <c r="M722">
        <f t="shared" si="151"/>
        <v>2014</v>
      </c>
      <c r="N722">
        <f t="shared" si="152"/>
        <v>4.1840000000000002</v>
      </c>
      <c r="O722">
        <f t="shared" si="153"/>
        <v>3.0007220000000001</v>
      </c>
      <c r="P722" t="str">
        <f>IF(OR($A722="",games!$H722=""),"",games!$H722)</f>
        <v>Yes</v>
      </c>
      <c r="Q722">
        <f t="shared" si="154"/>
        <v>3.0007220000000001</v>
      </c>
      <c r="T722">
        <f>IF(connections!$A722="","",IFERROR(INDEX(games!$B$2:$B$950,MATCH(connections!$A722,games!$A$2:$A$950,0)),""))</f>
        <v>1987</v>
      </c>
      <c r="U722">
        <f>IF(connections!$A722="","",IFERROR(INDEX(games!$B$2:$B$950,MATCH(connections!$B722,games!$A$2:$A$950,0)),""))</f>
        <v>2015</v>
      </c>
      <c r="V722">
        <f t="shared" si="155"/>
        <v>28</v>
      </c>
    </row>
    <row r="723" spans="1:22" x14ac:dyDescent="0.25">
      <c r="A723" t="str">
        <f>IF(games!$A723="","",games!$A723)</f>
        <v>Squeaky Squad</v>
      </c>
      <c r="B723">
        <f>IF($A723="","",games!$B723)</f>
        <v>2024</v>
      </c>
      <c r="C723" t="str">
        <f>IF($A723="","",games!$C723)</f>
        <v>Action</v>
      </c>
      <c r="D723">
        <f>IF($A723="","",COUNTIF(connections!$A$2:$A$1460,$A723)+COUNTIF(connections!$B$2:$B$1460,$A723))</f>
        <v>0</v>
      </c>
      <c r="E723">
        <f t="shared" si="143"/>
        <v>1</v>
      </c>
      <c r="F723">
        <f t="shared" si="144"/>
        <v>9</v>
      </c>
      <c r="G723">
        <f t="shared" si="145"/>
        <v>2024</v>
      </c>
      <c r="H723">
        <f t="shared" si="146"/>
        <v>1.2070000000000001</v>
      </c>
      <c r="I723" t="e">
        <f t="shared" si="147"/>
        <v>#N/A</v>
      </c>
      <c r="J723" t="e">
        <f t="shared" si="148"/>
        <v>#N/A</v>
      </c>
      <c r="K723" t="e">
        <f t="shared" si="149"/>
        <v>#N/A</v>
      </c>
      <c r="L723" t="e">
        <f t="shared" si="150"/>
        <v>#N/A</v>
      </c>
      <c r="M723" t="e">
        <f t="shared" si="151"/>
        <v>#N/A</v>
      </c>
      <c r="N723" t="e">
        <f t="shared" si="152"/>
        <v>#N/A</v>
      </c>
      <c r="O723">
        <f t="shared" si="153"/>
        <v>7.2300000000000001E-4</v>
      </c>
      <c r="P723" t="str">
        <f>IF(OR($A723="",games!$H723=""),"",games!$H723)</f>
        <v>Yes</v>
      </c>
      <c r="Q723">
        <f t="shared" si="154"/>
        <v>7.2300000000000001E-4</v>
      </c>
      <c r="T723">
        <f>IF(connections!$A723="","",IFERROR(INDEX(games!$B$2:$B$950,MATCH(connections!$A723,games!$A$2:$A$950,0)),""))</f>
        <v>1987</v>
      </c>
      <c r="U723">
        <f>IF(connections!$A723="","",IFERROR(INDEX(games!$B$2:$B$950,MATCH(connections!$B723,games!$A$2:$A$950,0)),""))</f>
        <v>1994</v>
      </c>
      <c r="V723">
        <f t="shared" si="155"/>
        <v>7</v>
      </c>
    </row>
    <row r="724" spans="1:22" x14ac:dyDescent="0.25">
      <c r="A724" t="str">
        <f>IF(games!$A724="","",games!$A724)</f>
        <v>Stackflow</v>
      </c>
      <c r="B724">
        <f>IF($A724="","",games!$B724)</f>
        <v>2025</v>
      </c>
      <c r="C724" t="str">
        <f>IF($A724="","",games!$C724)</f>
        <v>Deckbuilder</v>
      </c>
      <c r="D724">
        <f>IF($A724="","",COUNTIF(connections!$A$2:$A$1460,$A724)+COUNTIF(connections!$B$2:$B$1460,$A724))</f>
        <v>2</v>
      </c>
      <c r="E724">
        <f t="shared" si="143"/>
        <v>3</v>
      </c>
      <c r="F724">
        <f t="shared" si="144"/>
        <v>10</v>
      </c>
      <c r="G724" t="e">
        <f t="shared" si="145"/>
        <v>#N/A</v>
      </c>
      <c r="H724" t="e">
        <f t="shared" si="146"/>
        <v>#N/A</v>
      </c>
      <c r="I724" t="e">
        <f t="shared" si="147"/>
        <v>#N/A</v>
      </c>
      <c r="J724" t="e">
        <f t="shared" si="148"/>
        <v>#N/A</v>
      </c>
      <c r="K724">
        <f t="shared" si="149"/>
        <v>2025</v>
      </c>
      <c r="L724">
        <f t="shared" si="150"/>
        <v>3.23</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1987</v>
      </c>
      <c r="U724">
        <f>IF(connections!$A724="","",IFERROR(INDEX(games!$B$2:$B$950,MATCH(connections!$B724,games!$A$2:$A$950,0)),""))</f>
        <v>2014</v>
      </c>
      <c r="V724">
        <f t="shared" si="155"/>
        <v>27</v>
      </c>
    </row>
    <row r="725" spans="1:22" x14ac:dyDescent="0.25">
      <c r="A725" t="str">
        <f>IF(games!$A725="","",games!$A725)</f>
        <v>Star of Providence</v>
      </c>
      <c r="B725">
        <f>IF($A725="","",games!$B725)</f>
        <v>2017</v>
      </c>
      <c r="C725" t="str">
        <f>IF($A725="","",games!$C725)</f>
        <v>Action</v>
      </c>
      <c r="D725">
        <f>IF($A725="","",COUNTIF(connections!$A$2:$A$1460,$A725)+COUNTIF(connections!$B$2:$B$1460,$A725))</f>
        <v>2</v>
      </c>
      <c r="E725">
        <f t="shared" si="143"/>
        <v>1</v>
      </c>
      <c r="F725">
        <f t="shared" si="144"/>
        <v>11</v>
      </c>
      <c r="G725">
        <f t="shared" si="145"/>
        <v>2017</v>
      </c>
      <c r="H725">
        <f t="shared" si="146"/>
        <v>1.2530000000000001</v>
      </c>
      <c r="I725" t="e">
        <f t="shared" si="147"/>
        <v>#N/A</v>
      </c>
      <c r="J725" t="e">
        <f t="shared" si="148"/>
        <v>#N/A</v>
      </c>
      <c r="K725" t="e">
        <f t="shared" si="149"/>
        <v>#N/A</v>
      </c>
      <c r="L725" t="e">
        <f t="shared" si="150"/>
        <v>#N/A</v>
      </c>
      <c r="M725" t="e">
        <f t="shared" si="151"/>
        <v>#N/A</v>
      </c>
      <c r="N725" t="e">
        <f t="shared" si="152"/>
        <v>#N/A</v>
      </c>
      <c r="O725">
        <f t="shared" si="153"/>
        <v>2.0007250000000001</v>
      </c>
      <c r="P725" t="str">
        <f>IF(OR($A725="",games!$H725=""),"",games!$H725)</f>
        <v>Yes</v>
      </c>
      <c r="Q725">
        <f t="shared" si="154"/>
        <v>2.0007250000000001</v>
      </c>
      <c r="T725">
        <f>IF(connections!$A725="","",IFERROR(INDEX(games!$B$2:$B$950,MATCH(connections!$A725,games!$A$2:$A$950,0)),""))</f>
        <v>1987</v>
      </c>
      <c r="U725">
        <f>IF(connections!$A725="","",IFERROR(INDEX(games!$B$2:$B$950,MATCH(connections!$B725,games!$A$2:$A$950,0)),""))</f>
        <v>2012</v>
      </c>
      <c r="V725">
        <f t="shared" si="155"/>
        <v>25</v>
      </c>
    </row>
    <row r="726" spans="1:22" x14ac:dyDescent="0.25">
      <c r="A726" t="str">
        <f>IF(games!$A726="","",games!$A726)</f>
        <v>Star Renegades</v>
      </c>
      <c r="B726">
        <f>IF($A726="","",games!$B726)</f>
        <v>2020</v>
      </c>
      <c r="C726" t="str">
        <f>IF($A726="","",games!$C726)</f>
        <v>Strategy</v>
      </c>
      <c r="D726">
        <f>IF($A726="","",COUNTIF(connections!$A$2:$A$1460,$A726)+COUNTIF(connections!$B$2:$B$1460,$A726))</f>
        <v>3</v>
      </c>
      <c r="E726">
        <f t="shared" si="143"/>
        <v>2</v>
      </c>
      <c r="F726">
        <f t="shared" si="144"/>
        <v>12</v>
      </c>
      <c r="G726" t="e">
        <f t="shared" si="145"/>
        <v>#N/A</v>
      </c>
      <c r="H726" t="e">
        <f t="shared" si="146"/>
        <v>#N/A</v>
      </c>
      <c r="I726">
        <f t="shared" si="147"/>
        <v>2020</v>
      </c>
      <c r="J726">
        <f t="shared" si="148"/>
        <v>2.2759999999999998</v>
      </c>
      <c r="K726" t="e">
        <f t="shared" si="149"/>
        <v>#N/A</v>
      </c>
      <c r="L726" t="e">
        <f t="shared" si="150"/>
        <v>#N/A</v>
      </c>
      <c r="M726" t="e">
        <f t="shared" si="151"/>
        <v>#N/A</v>
      </c>
      <c r="N726" t="e">
        <f t="shared" si="152"/>
        <v>#N/A</v>
      </c>
      <c r="O726">
        <f t="shared" si="153"/>
        <v>3.0007259999999998</v>
      </c>
      <c r="P726" t="str">
        <f>IF(OR($A726="",games!$H726=""),"",games!$H726)</f>
        <v>Yes</v>
      </c>
      <c r="Q726">
        <f t="shared" si="154"/>
        <v>3.0007259999999998</v>
      </c>
      <c r="T726">
        <f>IF(connections!$A726="","",IFERROR(INDEX(games!$B$2:$B$950,MATCH(connections!$A726,games!$A$2:$A$950,0)),""))</f>
        <v>1987</v>
      </c>
      <c r="U726">
        <f>IF(connections!$A726="","",IFERROR(INDEX(games!$B$2:$B$950,MATCH(connections!$B726,games!$A$2:$A$950,0)),""))</f>
        <v>1996</v>
      </c>
      <c r="V726">
        <f t="shared" si="155"/>
        <v>9</v>
      </c>
    </row>
    <row r="727" spans="1:22" x14ac:dyDescent="0.25">
      <c r="A727" t="str">
        <f>IF(games!$A727="","",games!$A727)</f>
        <v>Star Survivor</v>
      </c>
      <c r="B727">
        <f>IF($A727="","",games!$B727)</f>
        <v>2023</v>
      </c>
      <c r="C727" t="str">
        <f>IF($A727="","",games!$C727)</f>
        <v>Action</v>
      </c>
      <c r="D727">
        <f>IF($A727="","",COUNTIF(connections!$A$2:$A$1460,$A727)+COUNTIF(connections!$B$2:$B$1460,$A727))</f>
        <v>10</v>
      </c>
      <c r="E727">
        <f t="shared" si="143"/>
        <v>1</v>
      </c>
      <c r="F727">
        <f t="shared" si="144"/>
        <v>13</v>
      </c>
      <c r="G727">
        <f t="shared" si="145"/>
        <v>2023</v>
      </c>
      <c r="H727">
        <f t="shared" si="146"/>
        <v>1.2989999999999999</v>
      </c>
      <c r="I727" t="e">
        <f t="shared" si="147"/>
        <v>#N/A</v>
      </c>
      <c r="J727" t="e">
        <f t="shared" si="148"/>
        <v>#N/A</v>
      </c>
      <c r="K727" t="e">
        <f t="shared" si="149"/>
        <v>#N/A</v>
      </c>
      <c r="L727" t="e">
        <f t="shared" si="150"/>
        <v>#N/A</v>
      </c>
      <c r="M727" t="e">
        <f t="shared" si="151"/>
        <v>#N/A</v>
      </c>
      <c r="N727" t="e">
        <f t="shared" si="152"/>
        <v>#N/A</v>
      </c>
      <c r="O727">
        <f t="shared" si="153"/>
        <v>10.000726999999999</v>
      </c>
      <c r="P727" t="str">
        <f>IF(OR($A727="",games!$H727=""),"",games!$H727)</f>
        <v>Yes</v>
      </c>
      <c r="Q727">
        <f t="shared" si="154"/>
        <v>10.000726999999999</v>
      </c>
      <c r="T727">
        <f>IF(connections!$A727="","",IFERROR(INDEX(games!$B$2:$B$950,MATCH(connections!$A727,games!$A$2:$A$950,0)),""))</f>
        <v>1987</v>
      </c>
      <c r="U727">
        <f>IF(connections!$A727="","",IFERROR(INDEX(games!$B$2:$B$950,MATCH(connections!$B727,games!$A$2:$A$950,0)),""))</f>
        <v>2003</v>
      </c>
      <c r="V727">
        <f t="shared" si="155"/>
        <v>16</v>
      </c>
    </row>
    <row r="728" spans="1:22" x14ac:dyDescent="0.25">
      <c r="A728" t="str">
        <f>IF(games!$A728="","",games!$A728)</f>
        <v>Starlight Revolver</v>
      </c>
      <c r="B728">
        <f>IF($A728="","",games!$B728)</f>
        <v>2025</v>
      </c>
      <c r="C728" t="str">
        <f>IF($A728="","",games!$C728)</f>
        <v>Action</v>
      </c>
      <c r="D728">
        <f>IF($A728="","",COUNTIF(connections!$A$2:$A$1460,$A728)+COUNTIF(connections!$B$2:$B$1460,$A728))</f>
        <v>1</v>
      </c>
      <c r="E728">
        <f t="shared" si="143"/>
        <v>1</v>
      </c>
      <c r="F728">
        <f t="shared" si="144"/>
        <v>14</v>
      </c>
      <c r="G728">
        <f t="shared" si="145"/>
        <v>2025</v>
      </c>
      <c r="H728">
        <f t="shared" si="146"/>
        <v>1.3220000000000001</v>
      </c>
      <c r="I728" t="e">
        <f t="shared" si="147"/>
        <v>#N/A</v>
      </c>
      <c r="J728" t="e">
        <f t="shared" si="148"/>
        <v>#N/A</v>
      </c>
      <c r="K728" t="e">
        <f t="shared" si="149"/>
        <v>#N/A</v>
      </c>
      <c r="L728" t="e">
        <f t="shared" si="150"/>
        <v>#N/A</v>
      </c>
      <c r="M728" t="e">
        <f t="shared" si="151"/>
        <v>#N/A</v>
      </c>
      <c r="N728" t="e">
        <f t="shared" si="152"/>
        <v>#N/A</v>
      </c>
      <c r="O728">
        <f t="shared" si="153"/>
        <v>1.0007280000000001</v>
      </c>
      <c r="P728" t="str">
        <f>IF(OR($A728="",games!$H728=""),"",games!$H728)</f>
        <v>Yes</v>
      </c>
      <c r="Q728">
        <f t="shared" si="154"/>
        <v>1.0007280000000001</v>
      </c>
      <c r="T728">
        <f>IF(connections!$A728="","",IFERROR(INDEX(games!$B$2:$B$950,MATCH(connections!$A728,games!$A$2:$A$950,0)),""))</f>
        <v>1987</v>
      </c>
      <c r="U728">
        <f>IF(connections!$A728="","",IFERROR(INDEX(games!$B$2:$B$950,MATCH(connections!$B728,games!$A$2:$A$950,0)),""))</f>
        <v>2011</v>
      </c>
      <c r="V728">
        <f t="shared" si="155"/>
        <v>24</v>
      </c>
    </row>
    <row r="729" spans="1:22" x14ac:dyDescent="0.25">
      <c r="A729" t="str">
        <f>IF(games!$A729="","",games!$A729)</f>
        <v>StarVaders</v>
      </c>
      <c r="B729">
        <f>IF($A729="","",games!$B729)</f>
        <v>2025</v>
      </c>
      <c r="C729" t="str">
        <f>IF($A729="","",games!$C729)</f>
        <v>Deckbuilder</v>
      </c>
      <c r="D729">
        <f>IF($A729="","",COUNTIF(connections!$A$2:$A$1460,$A729)+COUNTIF(connections!$B$2:$B$1460,$A729))</f>
        <v>2</v>
      </c>
      <c r="E729">
        <f t="shared" si="143"/>
        <v>3</v>
      </c>
      <c r="F729">
        <f t="shared" si="144"/>
        <v>15</v>
      </c>
      <c r="G729" t="e">
        <f t="shared" si="145"/>
        <v>#N/A</v>
      </c>
      <c r="H729" t="e">
        <f t="shared" si="146"/>
        <v>#N/A</v>
      </c>
      <c r="I729" t="e">
        <f t="shared" si="147"/>
        <v>#N/A</v>
      </c>
      <c r="J729" t="e">
        <f t="shared" si="148"/>
        <v>#N/A</v>
      </c>
      <c r="K729">
        <f t="shared" si="149"/>
        <v>2025</v>
      </c>
      <c r="L729">
        <f t="shared" si="150"/>
        <v>3.3449999999999998</v>
      </c>
      <c r="M729" t="e">
        <f t="shared" si="151"/>
        <v>#N/A</v>
      </c>
      <c r="N729" t="e">
        <f t="shared" si="152"/>
        <v>#N/A</v>
      </c>
      <c r="O729">
        <f t="shared" si="153"/>
        <v>2.0007290000000002</v>
      </c>
      <c r="P729" t="str">
        <f>IF(OR($A729="",games!$H729=""),"",games!$H729)</f>
        <v>Yes</v>
      </c>
      <c r="Q729">
        <f t="shared" si="154"/>
        <v>2.0007290000000002</v>
      </c>
      <c r="T729">
        <f>IF(connections!$A729="","",IFERROR(INDEX(games!$B$2:$B$950,MATCH(connections!$A729,games!$A$2:$A$950,0)),""))</f>
        <v>1987</v>
      </c>
      <c r="U729">
        <f>IF(connections!$A729="","",IFERROR(INDEX(games!$B$2:$B$950,MATCH(connections!$B729,games!$A$2:$A$950,0)),""))</f>
        <v>2008</v>
      </c>
      <c r="V729">
        <f t="shared" si="155"/>
        <v>21</v>
      </c>
    </row>
    <row r="730" spans="1:22" x14ac:dyDescent="0.25">
      <c r="A730" t="str">
        <f>IF(games!$A730="","",games!$A730)</f>
        <v>Steve's Warehouse: Physics. Roguelike. Chaos.</v>
      </c>
      <c r="B730">
        <f>IF($A730="","",games!$B730)</f>
        <v>2025</v>
      </c>
      <c r="C730" t="str">
        <f>IF($A730="","",games!$C730)</f>
        <v>Deckbuilder</v>
      </c>
      <c r="D730">
        <f>IF($A730="","",COUNTIF(connections!$A$2:$A$1460,$A730)+COUNTIF(connections!$B$2:$B$1460,$A730))</f>
        <v>3</v>
      </c>
      <c r="E730">
        <f t="shared" si="143"/>
        <v>3</v>
      </c>
      <c r="F730">
        <f t="shared" si="144"/>
        <v>16</v>
      </c>
      <c r="G730" t="e">
        <f t="shared" si="145"/>
        <v>#N/A</v>
      </c>
      <c r="H730" t="e">
        <f t="shared" si="146"/>
        <v>#N/A</v>
      </c>
      <c r="I730" t="e">
        <f t="shared" si="147"/>
        <v>#N/A</v>
      </c>
      <c r="J730" t="e">
        <f t="shared" si="148"/>
        <v>#N/A</v>
      </c>
      <c r="K730">
        <f t="shared" si="149"/>
        <v>2025</v>
      </c>
      <c r="L730">
        <f t="shared" si="150"/>
        <v>3.3679999999999999</v>
      </c>
      <c r="M730" t="e">
        <f t="shared" si="151"/>
        <v>#N/A</v>
      </c>
      <c r="N730" t="e">
        <f t="shared" si="152"/>
        <v>#N/A</v>
      </c>
      <c r="O730">
        <f t="shared" si="153"/>
        <v>3.0007299999999999</v>
      </c>
      <c r="P730" t="str">
        <f>IF(OR($A730="",games!$H730=""),"",games!$H730)</f>
        <v/>
      </c>
      <c r="Q730" t="str">
        <f t="shared" si="154"/>
        <v/>
      </c>
      <c r="T730">
        <f>IF(connections!$A730="","",IFERROR(INDEX(games!$B$2:$B$950,MATCH(connections!$A730,games!$A$2:$A$950,0)),""))</f>
        <v>1987</v>
      </c>
      <c r="U730">
        <f>IF(connections!$A730="","",IFERROR(INDEX(games!$B$2:$B$950,MATCH(connections!$B730,games!$A$2:$A$950,0)),""))</f>
        <v>2018</v>
      </c>
      <c r="V730">
        <f t="shared" si="155"/>
        <v>31</v>
      </c>
    </row>
    <row r="731" spans="1:22" x14ac:dyDescent="0.25">
      <c r="A731" t="str">
        <f>IF(games!$A731="","",games!$A731)</f>
        <v>Stick It to the Stickman</v>
      </c>
      <c r="B731">
        <f>IF($A731="","",games!$B731)</f>
        <v>2025</v>
      </c>
      <c r="C731" t="str">
        <f>IF($A731="","",games!$C731)</f>
        <v>Action</v>
      </c>
      <c r="D731">
        <f>IF($A731="","",COUNTIF(connections!$A$2:$A$1460,$A731)+COUNTIF(connections!$B$2:$B$1460,$A731))</f>
        <v>0</v>
      </c>
      <c r="E731">
        <f t="shared" si="143"/>
        <v>1</v>
      </c>
      <c r="F731">
        <f t="shared" si="144"/>
        <v>17</v>
      </c>
      <c r="G731">
        <f t="shared" si="145"/>
        <v>2025</v>
      </c>
      <c r="H731">
        <f t="shared" si="146"/>
        <v>1.391</v>
      </c>
      <c r="I731" t="e">
        <f t="shared" si="147"/>
        <v>#N/A</v>
      </c>
      <c r="J731" t="e">
        <f t="shared" si="148"/>
        <v>#N/A</v>
      </c>
      <c r="K731" t="e">
        <f t="shared" si="149"/>
        <v>#N/A</v>
      </c>
      <c r="L731" t="e">
        <f t="shared" si="150"/>
        <v>#N/A</v>
      </c>
      <c r="M731" t="e">
        <f t="shared" si="151"/>
        <v>#N/A</v>
      </c>
      <c r="N731" t="e">
        <f t="shared" si="152"/>
        <v>#N/A</v>
      </c>
      <c r="O731">
        <f t="shared" si="153"/>
        <v>7.3099999999999999E-4</v>
      </c>
      <c r="P731" t="str">
        <f>IF(OR($A731="",games!$H731=""),"",games!$H731)</f>
        <v>Yes</v>
      </c>
      <c r="Q731">
        <f t="shared" si="154"/>
        <v>7.3099999999999999E-4</v>
      </c>
      <c r="T731">
        <f>IF(connections!$A731="","",IFERROR(INDEX(games!$B$2:$B$950,MATCH(connections!$A731,games!$A$2:$A$950,0)),""))</f>
        <v>1987</v>
      </c>
      <c r="U731">
        <f>IF(connections!$A731="","",IFERROR(INDEX(games!$B$2:$B$950,MATCH(connections!$B731,games!$A$2:$A$950,0)),""))</f>
        <v>2006</v>
      </c>
      <c r="V731">
        <f t="shared" si="155"/>
        <v>19</v>
      </c>
    </row>
    <row r="732" spans="1:22" x14ac:dyDescent="0.25">
      <c r="A732" t="str">
        <f>IF(games!$A732="","",games!$A732)</f>
        <v>Stolen Realm Survivors</v>
      </c>
      <c r="B732">
        <f>IF($A732="","",games!$B732)</f>
        <v>2026</v>
      </c>
      <c r="C732" t="str">
        <f>IF($A732="","",games!$C732)</f>
        <v>Action</v>
      </c>
      <c r="D732">
        <f>IF($A732="","",COUNTIF(connections!$A$2:$A$1460,$A732)+COUNTIF(connections!$B$2:$B$1460,$A732))</f>
        <v>3</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3.0007320000000002</v>
      </c>
      <c r="P732" t="str">
        <f>IF(OR($A732="",games!$H732=""),"",games!$H732)</f>
        <v/>
      </c>
      <c r="Q732" t="str">
        <f t="shared" si="154"/>
        <v/>
      </c>
      <c r="T732">
        <f>IF(connections!$A732="","",IFERROR(INDEX(games!$B$2:$B$950,MATCH(connections!$A732,games!$A$2:$A$950,0)),""))</f>
        <v>1987</v>
      </c>
      <c r="U732">
        <f>IF(connections!$A732="","",IFERROR(INDEX(games!$B$2:$B$950,MATCH(connections!$B732,games!$A$2:$A$950,0)),""))</f>
        <v>2020</v>
      </c>
      <c r="V732">
        <f t="shared" si="155"/>
        <v>33</v>
      </c>
    </row>
    <row r="733" spans="1:22" x14ac:dyDescent="0.25">
      <c r="A733" t="str">
        <f>IF(games!$A733="","",games!$A733)</f>
        <v>Stoneshard</v>
      </c>
      <c r="B733">
        <f>IF($A733="","",games!$B733)</f>
        <v>2020</v>
      </c>
      <c r="C733" t="str">
        <f>IF($A733="","",games!$C733)</f>
        <v>Traditional</v>
      </c>
      <c r="D733">
        <f>IF($A733="","",COUNTIF(connections!$A$2:$A$1460,$A733)+COUNTIF(connections!$B$2:$B$1460,$A733))</f>
        <v>4</v>
      </c>
      <c r="E733">
        <f t="shared" si="143"/>
        <v>4</v>
      </c>
      <c r="F733">
        <f t="shared" si="144"/>
        <v>19</v>
      </c>
      <c r="G733" t="e">
        <f t="shared" si="145"/>
        <v>#N/A</v>
      </c>
      <c r="H733" t="e">
        <f t="shared" si="146"/>
        <v>#N/A</v>
      </c>
      <c r="I733" t="e">
        <f t="shared" si="147"/>
        <v>#N/A</v>
      </c>
      <c r="J733" t="e">
        <f t="shared" si="148"/>
        <v>#N/A</v>
      </c>
      <c r="K733" t="e">
        <f t="shared" si="149"/>
        <v>#N/A</v>
      </c>
      <c r="L733" t="e">
        <f t="shared" si="150"/>
        <v>#N/A</v>
      </c>
      <c r="M733">
        <f t="shared" si="151"/>
        <v>2020</v>
      </c>
      <c r="N733">
        <f t="shared" si="152"/>
        <v>4.4370000000000003</v>
      </c>
      <c r="O733">
        <f t="shared" si="153"/>
        <v>4.0007330000000003</v>
      </c>
      <c r="P733" t="str">
        <f>IF(OR($A733="",games!$H733=""),"",games!$H733)</f>
        <v/>
      </c>
      <c r="Q733" t="str">
        <f t="shared" si="154"/>
        <v/>
      </c>
      <c r="T733">
        <f>IF(connections!$A733="","",IFERROR(INDEX(games!$B$2:$B$950,MATCH(connections!$A733,games!$A$2:$A$950,0)),""))</f>
        <v>1987</v>
      </c>
      <c r="U733">
        <f>IF(connections!$A733="","",IFERROR(INDEX(games!$B$2:$B$950,MATCH(connections!$B733,games!$A$2:$A$950,0)),""))</f>
        <v>2017</v>
      </c>
      <c r="V733">
        <f t="shared" si="155"/>
        <v>30</v>
      </c>
    </row>
    <row r="734" spans="1:22" x14ac:dyDescent="0.25">
      <c r="A734" t="str">
        <f>IF(games!$A734="","",games!$A734)</f>
        <v>Stories from the Outbreak</v>
      </c>
      <c r="B734">
        <f>IF($A734="","",games!$B734)</f>
        <v>2023</v>
      </c>
      <c r="C734" t="str">
        <f>IF($A734="","",games!$C734)</f>
        <v>Strategy</v>
      </c>
      <c r="D734">
        <f>IF($A734="","",COUNTIF(connections!$A$2:$A$1460,$A734)+COUNTIF(connections!$B$2:$B$1460,$A734))</f>
        <v>0</v>
      </c>
      <c r="E734">
        <f t="shared" si="143"/>
        <v>2</v>
      </c>
      <c r="F734">
        <f t="shared" si="144"/>
        <v>20</v>
      </c>
      <c r="G734" t="e">
        <f t="shared" si="145"/>
        <v>#N/A</v>
      </c>
      <c r="H734" t="e">
        <f t="shared" si="146"/>
        <v>#N/A</v>
      </c>
      <c r="I734">
        <f t="shared" si="147"/>
        <v>2023</v>
      </c>
      <c r="J734">
        <f t="shared" si="148"/>
        <v>2.46</v>
      </c>
      <c r="K734" t="e">
        <f t="shared" si="149"/>
        <v>#N/A</v>
      </c>
      <c r="L734" t="e">
        <f t="shared" si="150"/>
        <v>#N/A</v>
      </c>
      <c r="M734" t="e">
        <f t="shared" si="151"/>
        <v>#N/A</v>
      </c>
      <c r="N734" t="e">
        <f t="shared" si="152"/>
        <v>#N/A</v>
      </c>
      <c r="O734">
        <f t="shared" si="153"/>
        <v>7.3399999999999995E-4</v>
      </c>
      <c r="P734" t="str">
        <f>IF(OR($A734="",games!$H734=""),"",games!$H734)</f>
        <v>Yes</v>
      </c>
      <c r="Q734">
        <f t="shared" si="154"/>
        <v>7.3399999999999995E-4</v>
      </c>
      <c r="T734">
        <f>IF(connections!$A734="","",IFERROR(INDEX(games!$B$2:$B$950,MATCH(connections!$A734,games!$A$2:$A$950,0)),""))</f>
        <v>1987</v>
      </c>
      <c r="U734">
        <f>IF(connections!$A734="","",IFERROR(INDEX(games!$B$2:$B$950,MATCH(connections!$B734,games!$A$2:$A$950,0)),""))</f>
        <v>2012</v>
      </c>
      <c r="V734">
        <f t="shared" si="155"/>
        <v>25</v>
      </c>
    </row>
    <row r="735" spans="1:22" x14ac:dyDescent="0.25">
      <c r="A735" t="str">
        <f>IF(games!$A735="","",games!$A735)</f>
        <v>Strafe</v>
      </c>
      <c r="B735">
        <f>IF($A735="","",games!$B735)</f>
        <v>2017</v>
      </c>
      <c r="C735" t="str">
        <f>IF($A735="","",games!$C735)</f>
        <v>Action</v>
      </c>
      <c r="D735">
        <f>IF($A735="","",COUNTIF(connections!$A$2:$A$1460,$A735)+COUNTIF(connections!$B$2:$B$1460,$A735))</f>
        <v>1</v>
      </c>
      <c r="E735">
        <f t="shared" si="143"/>
        <v>1</v>
      </c>
      <c r="F735">
        <f t="shared" si="144"/>
        <v>21</v>
      </c>
      <c r="G735">
        <f t="shared" si="145"/>
        <v>2017</v>
      </c>
      <c r="H735">
        <f t="shared" si="146"/>
        <v>1.4830000000000001</v>
      </c>
      <c r="I735" t="e">
        <f t="shared" si="147"/>
        <v>#N/A</v>
      </c>
      <c r="J735" t="e">
        <f t="shared" si="148"/>
        <v>#N/A</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1987</v>
      </c>
      <c r="U735">
        <f>IF(connections!$A735="","",IFERROR(INDEX(games!$B$2:$B$950,MATCH(connections!$B735,games!$A$2:$A$950,0)),""))</f>
        <v>2007</v>
      </c>
      <c r="V735">
        <f t="shared" si="155"/>
        <v>20</v>
      </c>
    </row>
    <row r="736" spans="1:22" x14ac:dyDescent="0.25">
      <c r="A736" t="str">
        <f>IF(games!$A736="","",games!$A736)</f>
        <v>Strange Adventures in Infinite Space</v>
      </c>
      <c r="B736">
        <f>IF($A736="","",games!$B736)</f>
        <v>2002</v>
      </c>
      <c r="C736" t="str">
        <f>IF($A736="","",games!$C736)</f>
        <v>Strategy</v>
      </c>
      <c r="D736">
        <f>IF($A736="","",COUNTIF(connections!$A$2:$A$1460,$A736)+COUNTIF(connections!$B$2:$B$1460,$A736))</f>
        <v>3</v>
      </c>
      <c r="E736">
        <f t="shared" si="143"/>
        <v>2</v>
      </c>
      <c r="F736">
        <f t="shared" si="144"/>
        <v>22</v>
      </c>
      <c r="G736" t="e">
        <f t="shared" si="145"/>
        <v>#N/A</v>
      </c>
      <c r="H736" t="e">
        <f t="shared" si="146"/>
        <v>#N/A</v>
      </c>
      <c r="I736">
        <f t="shared" si="147"/>
        <v>2002</v>
      </c>
      <c r="J736">
        <f t="shared" si="148"/>
        <v>2.5060000000000002</v>
      </c>
      <c r="K736" t="e">
        <f t="shared" si="149"/>
        <v>#N/A</v>
      </c>
      <c r="L736" t="e">
        <f t="shared" si="150"/>
        <v>#N/A</v>
      </c>
      <c r="M736" t="e">
        <f t="shared" si="151"/>
        <v>#N/A</v>
      </c>
      <c r="N736" t="e">
        <f t="shared" si="152"/>
        <v>#N/A</v>
      </c>
      <c r="O736">
        <f t="shared" si="153"/>
        <v>3.0007359999999998</v>
      </c>
      <c r="P736" t="str">
        <f>IF(OR($A736="",games!$H736=""),"",games!$H736)</f>
        <v>Yes</v>
      </c>
      <c r="Q736">
        <f t="shared" si="154"/>
        <v>3.0007359999999998</v>
      </c>
      <c r="T736">
        <f>IF(connections!$A736="","",IFERROR(INDEX(games!$B$2:$B$950,MATCH(connections!$A736,games!$A$2:$A$950,0)),""))</f>
        <v>1987</v>
      </c>
      <c r="U736">
        <f>IF(connections!$A736="","",IFERROR(INDEX(games!$B$2:$B$950,MATCH(connections!$B736,games!$A$2:$A$950,0)),""))</f>
        <v>2001</v>
      </c>
      <c r="V736">
        <f t="shared" si="155"/>
        <v>14</v>
      </c>
    </row>
    <row r="737" spans="1:22" x14ac:dyDescent="0.25">
      <c r="A737" t="str">
        <f>IF(games!$A737="","",games!$A737)</f>
        <v>Streets of Rogue</v>
      </c>
      <c r="B737">
        <f>IF($A737="","",games!$B737)</f>
        <v>2019</v>
      </c>
      <c r="C737" t="str">
        <f>IF($A737="","",games!$C737)</f>
        <v>Action</v>
      </c>
      <c r="D737">
        <f>IF($A737="","",COUNTIF(connections!$A$2:$A$1460,$A737)+COUNTIF(connections!$B$2:$B$1460,$A737))</f>
        <v>3</v>
      </c>
      <c r="E737">
        <f t="shared" si="143"/>
        <v>1</v>
      </c>
      <c r="F737">
        <f t="shared" si="144"/>
        <v>23</v>
      </c>
      <c r="G737">
        <f t="shared" si="145"/>
        <v>2019</v>
      </c>
      <c r="H737">
        <f t="shared" si="146"/>
        <v>1.5289999999999999</v>
      </c>
      <c r="I737" t="e">
        <f t="shared" si="147"/>
        <v>#N/A</v>
      </c>
      <c r="J737" t="e">
        <f t="shared" si="148"/>
        <v>#N/A</v>
      </c>
      <c r="K737" t="e">
        <f t="shared" si="149"/>
        <v>#N/A</v>
      </c>
      <c r="L737" t="e">
        <f t="shared" si="150"/>
        <v>#N/A</v>
      </c>
      <c r="M737" t="e">
        <f t="shared" si="151"/>
        <v>#N/A</v>
      </c>
      <c r="N737" t="e">
        <f t="shared" si="152"/>
        <v>#N/A</v>
      </c>
      <c r="O737">
        <f t="shared" si="153"/>
        <v>3.000737</v>
      </c>
      <c r="P737" t="str">
        <f>IF(OR($A737="",games!$H737=""),"",games!$H737)</f>
        <v>Yes</v>
      </c>
      <c r="Q737">
        <f t="shared" si="154"/>
        <v>3.000737</v>
      </c>
      <c r="T737">
        <f>IF(connections!$A737="","",IFERROR(INDEX(games!$B$2:$B$950,MATCH(connections!$A737,games!$A$2:$A$950,0)),""))</f>
        <v>1987</v>
      </c>
      <c r="U737">
        <f>IF(connections!$A737="","",IFERROR(INDEX(games!$B$2:$B$950,MATCH(connections!$B737,games!$A$2:$A$950,0)),""))</f>
        <v>2015</v>
      </c>
      <c r="V737">
        <f t="shared" si="155"/>
        <v>28</v>
      </c>
    </row>
    <row r="738" spans="1:22" x14ac:dyDescent="0.25">
      <c r="A738" t="str">
        <f>IF(games!$A738="","",games!$A738)</f>
        <v>SULFUR</v>
      </c>
      <c r="B738">
        <f>IF($A738="","",games!$B738)</f>
        <v>2024</v>
      </c>
      <c r="C738" t="str">
        <f>IF($A738="","",games!$C738)</f>
        <v>Action</v>
      </c>
      <c r="D738">
        <f>IF($A738="","",COUNTIF(connections!$A$2:$A$1460,$A738)+COUNTIF(connections!$B$2:$B$1460,$A738))</f>
        <v>3</v>
      </c>
      <c r="E738">
        <f t="shared" si="143"/>
        <v>1</v>
      </c>
      <c r="F738">
        <f t="shared" si="144"/>
        <v>24</v>
      </c>
      <c r="G738">
        <f t="shared" si="145"/>
        <v>2024</v>
      </c>
      <c r="H738">
        <f t="shared" si="146"/>
        <v>1.552</v>
      </c>
      <c r="I738" t="e">
        <f t="shared" si="147"/>
        <v>#N/A</v>
      </c>
      <c r="J738" t="e">
        <f t="shared" si="148"/>
        <v>#N/A</v>
      </c>
      <c r="K738" t="e">
        <f t="shared" si="149"/>
        <v>#N/A</v>
      </c>
      <c r="L738" t="e">
        <f t="shared" si="150"/>
        <v>#N/A</v>
      </c>
      <c r="M738" t="e">
        <f t="shared" si="151"/>
        <v>#N/A</v>
      </c>
      <c r="N738" t="e">
        <f t="shared" si="152"/>
        <v>#N/A</v>
      </c>
      <c r="O738">
        <f t="shared" si="153"/>
        <v>3.0007380000000001</v>
      </c>
      <c r="P738" t="str">
        <f>IF(OR($A738="",games!$H738=""),"",games!$H738)</f>
        <v/>
      </c>
      <c r="Q738" t="str">
        <f t="shared" si="154"/>
        <v/>
      </c>
      <c r="T738">
        <f>IF(connections!$A738="","",IFERROR(INDEX(games!$B$2:$B$950,MATCH(connections!$A738,games!$A$2:$A$950,0)),""))</f>
        <v>1987</v>
      </c>
      <c r="U738">
        <f>IF(connections!$A738="","",IFERROR(INDEX(games!$B$2:$B$950,MATCH(connections!$B738,games!$A$2:$A$950,0)),""))</f>
        <v>2006</v>
      </c>
      <c r="V738">
        <f t="shared" si="155"/>
        <v>19</v>
      </c>
    </row>
    <row r="739" spans="1:22" x14ac:dyDescent="0.25">
      <c r="A739" t="str">
        <f>IF(games!$A739="","",games!$A739)</f>
        <v>Sundered</v>
      </c>
      <c r="B739">
        <f>IF($A739="","",games!$B739)</f>
        <v>2017</v>
      </c>
      <c r="C739" t="str">
        <f>IF($A739="","",games!$C739)</f>
        <v>Action</v>
      </c>
      <c r="D739">
        <f>IF($A739="","",COUNTIF(connections!$A$2:$A$1460,$A739)+COUNTIF(connections!$B$2:$B$1460,$A739))</f>
        <v>2</v>
      </c>
      <c r="E739">
        <f t="shared" si="143"/>
        <v>1</v>
      </c>
      <c r="F739">
        <f t="shared" si="144"/>
        <v>25</v>
      </c>
      <c r="G739">
        <f t="shared" si="145"/>
        <v>2017</v>
      </c>
      <c r="H739">
        <f t="shared" si="146"/>
        <v>1.575</v>
      </c>
      <c r="I739" t="e">
        <f t="shared" si="147"/>
        <v>#N/A</v>
      </c>
      <c r="J739" t="e">
        <f t="shared" si="148"/>
        <v>#N/A</v>
      </c>
      <c r="K739" t="e">
        <f t="shared" si="149"/>
        <v>#N/A</v>
      </c>
      <c r="L739" t="e">
        <f t="shared" si="150"/>
        <v>#N/A</v>
      </c>
      <c r="M739" t="e">
        <f t="shared" si="151"/>
        <v>#N/A</v>
      </c>
      <c r="N739" t="e">
        <f t="shared" si="152"/>
        <v>#N/A</v>
      </c>
      <c r="O739">
        <f t="shared" si="153"/>
        <v>2.0007389999999998</v>
      </c>
      <c r="P739" t="str">
        <f>IF(OR($A739="",games!$H739=""),"",games!$H739)</f>
        <v>Yes</v>
      </c>
      <c r="Q739">
        <f t="shared" si="154"/>
        <v>2.0007389999999998</v>
      </c>
      <c r="T739">
        <f>IF(connections!$A739="","",IFERROR(INDEX(games!$B$2:$B$950,MATCH(connections!$A739,games!$A$2:$A$950,0)),""))</f>
        <v>1987</v>
      </c>
      <c r="U739">
        <f>IF(connections!$A739="","",IFERROR(INDEX(games!$B$2:$B$950,MATCH(connections!$B739,games!$A$2:$A$950,0)),""))</f>
        <v>1995</v>
      </c>
      <c r="V739">
        <f t="shared" si="155"/>
        <v>8</v>
      </c>
    </row>
    <row r="740" spans="1:22" x14ac:dyDescent="0.25">
      <c r="A740" t="str">
        <f>IF(games!$A740="","",games!$A740)</f>
        <v>Sunless Sea</v>
      </c>
      <c r="B740">
        <f>IF($A740="","",games!$B740)</f>
        <v>2015</v>
      </c>
      <c r="C740" t="str">
        <f>IF($A740="","",games!$C740)</f>
        <v>Strategy</v>
      </c>
      <c r="D740">
        <f>IF($A740="","",COUNTIF(connections!$A$2:$A$1460,$A740)+COUNTIF(connections!$B$2:$B$1460,$A740))</f>
        <v>3</v>
      </c>
      <c r="E740">
        <f t="shared" si="143"/>
        <v>2</v>
      </c>
      <c r="F740">
        <f t="shared" si="144"/>
        <v>26</v>
      </c>
      <c r="G740" t="e">
        <f t="shared" si="145"/>
        <v>#N/A</v>
      </c>
      <c r="H740" t="e">
        <f t="shared" si="146"/>
        <v>#N/A</v>
      </c>
      <c r="I740">
        <f t="shared" si="147"/>
        <v>2015</v>
      </c>
      <c r="J740">
        <f t="shared" si="148"/>
        <v>2.5979999999999999</v>
      </c>
      <c r="K740" t="e">
        <f t="shared" si="149"/>
        <v>#N/A</v>
      </c>
      <c r="L740" t="e">
        <f t="shared" si="150"/>
        <v>#N/A</v>
      </c>
      <c r="M740" t="e">
        <f t="shared" si="151"/>
        <v>#N/A</v>
      </c>
      <c r="N740" t="e">
        <f t="shared" si="152"/>
        <v>#N/A</v>
      </c>
      <c r="O740">
        <f t="shared" si="153"/>
        <v>3.00074</v>
      </c>
      <c r="P740" t="str">
        <f>IF(OR($A740="",games!$H740=""),"",games!$H740)</f>
        <v>Yes</v>
      </c>
      <c r="Q740">
        <f t="shared" si="154"/>
        <v>3.00074</v>
      </c>
      <c r="T740">
        <f>IF(connections!$A740="","",IFERROR(INDEX(games!$B$2:$B$950,MATCH(connections!$A740,games!$A$2:$A$950,0)),""))</f>
        <v>1987</v>
      </c>
      <c r="U740">
        <f>IF(connections!$A740="","",IFERROR(INDEX(games!$B$2:$B$950,MATCH(connections!$B740,games!$A$2:$A$950,0)),""))</f>
        <v>2019</v>
      </c>
      <c r="V740">
        <f t="shared" si="155"/>
        <v>32</v>
      </c>
    </row>
    <row r="741" spans="1:22" x14ac:dyDescent="0.25">
      <c r="A741" t="str">
        <f>IF(games!$A741="","",games!$A741)</f>
        <v>Super Auto Pets</v>
      </c>
      <c r="B741">
        <f>IF($A741="","",games!$B741)</f>
        <v>2021</v>
      </c>
      <c r="C741" t="str">
        <f>IF($A741="","",games!$C741)</f>
        <v>Strategy</v>
      </c>
      <c r="D741">
        <f>IF($A741="","",COUNTIF(connections!$A$2:$A$1460,$A741)+COUNTIF(connections!$B$2:$B$1460,$A741))</f>
        <v>14</v>
      </c>
      <c r="E741">
        <f t="shared" si="143"/>
        <v>2</v>
      </c>
      <c r="F741">
        <f t="shared" si="144"/>
        <v>27</v>
      </c>
      <c r="G741" t="e">
        <f t="shared" si="145"/>
        <v>#N/A</v>
      </c>
      <c r="H741" t="e">
        <f t="shared" si="146"/>
        <v>#N/A</v>
      </c>
      <c r="I741">
        <f t="shared" si="147"/>
        <v>2021</v>
      </c>
      <c r="J741">
        <f t="shared" si="148"/>
        <v>2.621</v>
      </c>
      <c r="K741" t="e">
        <f t="shared" si="149"/>
        <v>#N/A</v>
      </c>
      <c r="L741" t="e">
        <f t="shared" si="150"/>
        <v>#N/A</v>
      </c>
      <c r="M741" t="e">
        <f t="shared" si="151"/>
        <v>#N/A</v>
      </c>
      <c r="N741" t="e">
        <f t="shared" si="152"/>
        <v>#N/A</v>
      </c>
      <c r="O741">
        <f t="shared" si="153"/>
        <v>14.000741</v>
      </c>
      <c r="P741" t="str">
        <f>IF(OR($A741="",games!$H741=""),"",games!$H741)</f>
        <v>Yes</v>
      </c>
      <c r="Q741">
        <f t="shared" si="154"/>
        <v>14.000741</v>
      </c>
      <c r="T741">
        <f>IF(connections!$A741="","",IFERROR(INDEX(games!$B$2:$B$950,MATCH(connections!$A741,games!$A$2:$A$950,0)),""))</f>
        <v>1987</v>
      </c>
      <c r="U741">
        <f>IF(connections!$A741="","",IFERROR(INDEX(games!$B$2:$B$950,MATCH(connections!$B741,games!$A$2:$A$950,0)),""))</f>
        <v>2023</v>
      </c>
      <c r="V741">
        <f t="shared" si="155"/>
        <v>36</v>
      </c>
    </row>
    <row r="742" spans="1:22" x14ac:dyDescent="0.25">
      <c r="A742" t="str">
        <f>IF(games!$A742="","",games!$A742)</f>
        <v>Super Bullet Break</v>
      </c>
      <c r="B742">
        <f>IF($A742="","",games!$B742)</f>
        <v>2022</v>
      </c>
      <c r="C742" t="str">
        <f>IF($A742="","",games!$C742)</f>
        <v>Deckbuilder</v>
      </c>
      <c r="D742">
        <f>IF($A742="","",COUNTIF(connections!$A$2:$A$1460,$A742)+COUNTIF(connections!$B$2:$B$1460,$A742))</f>
        <v>1</v>
      </c>
      <c r="E742">
        <f t="shared" si="143"/>
        <v>3</v>
      </c>
      <c r="F742">
        <f t="shared" si="144"/>
        <v>28</v>
      </c>
      <c r="G742" t="e">
        <f t="shared" si="145"/>
        <v>#N/A</v>
      </c>
      <c r="H742" t="e">
        <f t="shared" si="146"/>
        <v>#N/A</v>
      </c>
      <c r="I742" t="e">
        <f t="shared" si="147"/>
        <v>#N/A</v>
      </c>
      <c r="J742" t="e">
        <f t="shared" si="148"/>
        <v>#N/A</v>
      </c>
      <c r="K742">
        <f t="shared" si="149"/>
        <v>2022</v>
      </c>
      <c r="L742">
        <f t="shared" si="150"/>
        <v>3.6440000000000001</v>
      </c>
      <c r="M742" t="e">
        <f t="shared" si="151"/>
        <v>#N/A</v>
      </c>
      <c r="N742" t="e">
        <f t="shared" si="152"/>
        <v>#N/A</v>
      </c>
      <c r="O742">
        <f t="shared" si="153"/>
        <v>1.000742</v>
      </c>
      <c r="P742" t="str">
        <f>IF(OR($A742="",games!$H742=""),"",games!$H742)</f>
        <v>Yes</v>
      </c>
      <c r="Q742">
        <f t="shared" si="154"/>
        <v>1.000742</v>
      </c>
      <c r="T742">
        <f>IF(connections!$A742="","",IFERROR(INDEX(games!$B$2:$B$950,MATCH(connections!$A742,games!$A$2:$A$950,0)),""))</f>
        <v>1987</v>
      </c>
      <c r="U742">
        <f>IF(connections!$A742="","",IFERROR(INDEX(games!$B$2:$B$950,MATCH(connections!$B742,games!$A$2:$A$950,0)),""))</f>
        <v>2022</v>
      </c>
      <c r="V742">
        <f t="shared" si="155"/>
        <v>35</v>
      </c>
    </row>
    <row r="743" spans="1:22" x14ac:dyDescent="0.25">
      <c r="A743" t="str">
        <f>IF(games!$A743="","",games!$A743)</f>
        <v>Super Fantasy Kingdom</v>
      </c>
      <c r="B743">
        <f>IF($A743="","",games!$B743)</f>
        <v>2025</v>
      </c>
      <c r="C743" t="str">
        <f>IF($A743="","",games!$C743)</f>
        <v>Strategy</v>
      </c>
      <c r="D743">
        <f>IF($A743="","",COUNTIF(connections!$A$2:$A$1460,$A743)+COUNTIF(connections!$B$2:$B$1460,$A743))</f>
        <v>3</v>
      </c>
      <c r="E743">
        <f t="shared" si="143"/>
        <v>2</v>
      </c>
      <c r="F743">
        <f t="shared" si="144"/>
        <v>29</v>
      </c>
      <c r="G743" t="e">
        <f t="shared" si="145"/>
        <v>#N/A</v>
      </c>
      <c r="H743" t="e">
        <f t="shared" si="146"/>
        <v>#N/A</v>
      </c>
      <c r="I743">
        <f t="shared" si="147"/>
        <v>2025</v>
      </c>
      <c r="J743">
        <f t="shared" si="148"/>
        <v>2.6669999999999998</v>
      </c>
      <c r="K743" t="e">
        <f t="shared" si="149"/>
        <v>#N/A</v>
      </c>
      <c r="L743" t="e">
        <f t="shared" si="150"/>
        <v>#N/A</v>
      </c>
      <c r="M743" t="e">
        <f t="shared" si="151"/>
        <v>#N/A</v>
      </c>
      <c r="N743" t="e">
        <f t="shared" si="152"/>
        <v>#N/A</v>
      </c>
      <c r="O743">
        <f t="shared" si="153"/>
        <v>3.0007429999999999</v>
      </c>
      <c r="P743" t="str">
        <f>IF(OR($A743="",games!$H743=""),"",games!$H743)</f>
        <v>Yes</v>
      </c>
      <c r="Q743">
        <f t="shared" si="154"/>
        <v>3.0007429999999999</v>
      </c>
      <c r="T743">
        <f>IF(connections!$A743="","",IFERROR(INDEX(games!$B$2:$B$950,MATCH(connections!$A743,games!$A$2:$A$950,0)),""))</f>
        <v>1987</v>
      </c>
      <c r="U743">
        <f>IF(connections!$A743="","",IFERROR(INDEX(games!$B$2:$B$950,MATCH(connections!$B743,games!$A$2:$A$950,0)),""))</f>
        <v>2015</v>
      </c>
      <c r="V743">
        <f t="shared" si="155"/>
        <v>28</v>
      </c>
    </row>
    <row r="744" spans="1:22" x14ac:dyDescent="0.25">
      <c r="A744" t="str">
        <f>IF(games!$A744="","",games!$A744)</f>
        <v>Super House of Dead Ninjas</v>
      </c>
      <c r="B744">
        <f>IF($A744="","",games!$B744)</f>
        <v>2013</v>
      </c>
      <c r="C744" t="str">
        <f>IF($A744="","",games!$C744)</f>
        <v>Action</v>
      </c>
      <c r="D744">
        <f>IF($A744="","",COUNTIF(connections!$A$2:$A$1460,$A744)+COUNTIF(connections!$B$2:$B$1460,$A744))</f>
        <v>1</v>
      </c>
      <c r="E744">
        <f t="shared" si="143"/>
        <v>1</v>
      </c>
      <c r="F744">
        <f t="shared" si="144"/>
        <v>30</v>
      </c>
      <c r="G744">
        <f t="shared" si="145"/>
        <v>2013</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1987</v>
      </c>
      <c r="U744">
        <f>IF(connections!$A744="","",IFERROR(INDEX(games!$B$2:$B$950,MATCH(connections!$B744,games!$A$2:$A$950,0)),""))</f>
        <v>2003</v>
      </c>
      <c r="V744">
        <f t="shared" si="155"/>
        <v>16</v>
      </c>
    </row>
    <row r="745" spans="1:22" x14ac:dyDescent="0.25">
      <c r="A745" t="str">
        <f>IF(games!$A745="","",games!$A745)</f>
        <v>Super Tax City</v>
      </c>
      <c r="B745">
        <f>IF($A745="","",games!$B745)</f>
        <v>2025</v>
      </c>
      <c r="C745" t="str">
        <f>IF($A745="","",games!$C745)</f>
        <v>Deckbuilder</v>
      </c>
      <c r="D745">
        <f>IF($A745="","",COUNTIF(connections!$A$2:$A$1460,$A745)+COUNTIF(connections!$B$2:$B$1460,$A745))</f>
        <v>2</v>
      </c>
      <c r="E745">
        <f t="shared" si="143"/>
        <v>3</v>
      </c>
      <c r="F745">
        <f t="shared" si="144"/>
        <v>31</v>
      </c>
      <c r="G745" t="e">
        <f t="shared" si="145"/>
        <v>#N/A</v>
      </c>
      <c r="H745" t="e">
        <f t="shared" si="146"/>
        <v>#N/A</v>
      </c>
      <c r="I745" t="e">
        <f t="shared" si="147"/>
        <v>#N/A</v>
      </c>
      <c r="J745" t="e">
        <f t="shared" si="148"/>
        <v>#N/A</v>
      </c>
      <c r="K745">
        <f t="shared" si="149"/>
        <v>2025</v>
      </c>
      <c r="L745">
        <f t="shared" si="150"/>
        <v>3.7130000000000001</v>
      </c>
      <c r="M745" t="e">
        <f t="shared" si="151"/>
        <v>#N/A</v>
      </c>
      <c r="N745" t="e">
        <f t="shared" si="152"/>
        <v>#N/A</v>
      </c>
      <c r="O745">
        <f t="shared" si="153"/>
        <v>2.0007450000000002</v>
      </c>
      <c r="P745" t="str">
        <f>IF(OR($A745="",games!$H745=""),"",games!$H745)</f>
        <v>Yes</v>
      </c>
      <c r="Q745">
        <f t="shared" si="154"/>
        <v>2.0007450000000002</v>
      </c>
      <c r="T745">
        <f>IF(connections!$A745="","",IFERROR(INDEX(games!$B$2:$B$950,MATCH(connections!$A745,games!$A$2:$A$950,0)),""))</f>
        <v>1987</v>
      </c>
      <c r="U745">
        <f>IF(connections!$A745="","",IFERROR(INDEX(games!$B$2:$B$950,MATCH(connections!$B745,games!$A$2:$A$950,0)),""))</f>
        <v>1992</v>
      </c>
      <c r="V745">
        <f t="shared" si="155"/>
        <v>5</v>
      </c>
    </row>
    <row r="746" spans="1:22" x14ac:dyDescent="0.25">
      <c r="A746" t="str">
        <f>IF(games!$A746="","",games!$A746)</f>
        <v>Swapmeat</v>
      </c>
      <c r="B746">
        <f>IF($A746="","",games!$B746)</f>
        <v>2025</v>
      </c>
      <c r="C746" t="str">
        <f>IF($A746="","",games!$C746)</f>
        <v>Action</v>
      </c>
      <c r="D746">
        <f>IF($A746="","",COUNTIF(connections!$A$2:$A$1460,$A746)+COUNTIF(connections!$B$2:$B$1460,$A746))</f>
        <v>3</v>
      </c>
      <c r="E746">
        <f t="shared" si="143"/>
        <v>1</v>
      </c>
      <c r="F746">
        <f t="shared" si="144"/>
        <v>32</v>
      </c>
      <c r="G746">
        <f t="shared" si="145"/>
        <v>2025</v>
      </c>
      <c r="H746">
        <f t="shared" si="146"/>
        <v>1.736</v>
      </c>
      <c r="I746" t="e">
        <f t="shared" si="147"/>
        <v>#N/A</v>
      </c>
      <c r="J746" t="e">
        <f t="shared" si="148"/>
        <v>#N/A</v>
      </c>
      <c r="K746" t="e">
        <f t="shared" si="149"/>
        <v>#N/A</v>
      </c>
      <c r="L746" t="e">
        <f t="shared" si="150"/>
        <v>#N/A</v>
      </c>
      <c r="M746" t="e">
        <f t="shared" si="151"/>
        <v>#N/A</v>
      </c>
      <c r="N746" t="e">
        <f t="shared" si="152"/>
        <v>#N/A</v>
      </c>
      <c r="O746">
        <f t="shared" si="153"/>
        <v>3.0007459999999999</v>
      </c>
      <c r="P746" t="str">
        <f>IF(OR($A746="",games!$H746=""),"",games!$H746)</f>
        <v/>
      </c>
      <c r="Q746" t="str">
        <f t="shared" si="154"/>
        <v/>
      </c>
      <c r="T746">
        <f>IF(connections!$A746="","",IFERROR(INDEX(games!$B$2:$B$950,MATCH(connections!$A746,games!$A$2:$A$950,0)),""))</f>
        <v>1987</v>
      </c>
      <c r="U746">
        <f>IF(connections!$A746="","",IFERROR(INDEX(games!$B$2:$B$950,MATCH(connections!$B746,games!$A$2:$A$950,0)),""))</f>
        <v>2010</v>
      </c>
      <c r="V746">
        <f t="shared" si="155"/>
        <v>23</v>
      </c>
    </row>
    <row r="747" spans="1:22" x14ac:dyDescent="0.25">
      <c r="A747" t="str">
        <f>IF(games!$A747="","",games!$A747)</f>
        <v>Swarm Grinder</v>
      </c>
      <c r="B747">
        <f>IF($A747="","",games!$B747)</f>
        <v>2023</v>
      </c>
      <c r="C747" t="str">
        <f>IF($A747="","",games!$C747)</f>
        <v>Action</v>
      </c>
      <c r="D747">
        <f>IF($A747="","",COUNTIF(connections!$A$2:$A$1460,$A747)+COUNTIF(connections!$B$2:$B$1460,$A747))</f>
        <v>1</v>
      </c>
      <c r="E747">
        <f t="shared" si="143"/>
        <v>1</v>
      </c>
      <c r="F747">
        <f t="shared" si="144"/>
        <v>33</v>
      </c>
      <c r="G747">
        <f t="shared" si="145"/>
        <v>2023</v>
      </c>
      <c r="H747">
        <f t="shared" si="146"/>
        <v>1.7589999999999999</v>
      </c>
      <c r="I747" t="e">
        <f t="shared" si="147"/>
        <v>#N/A</v>
      </c>
      <c r="J747" t="e">
        <f t="shared" si="148"/>
        <v>#N/A</v>
      </c>
      <c r="K747" t="e">
        <f t="shared" si="149"/>
        <v>#N/A</v>
      </c>
      <c r="L747" t="e">
        <f t="shared" si="150"/>
        <v>#N/A</v>
      </c>
      <c r="M747" t="e">
        <f t="shared" si="151"/>
        <v>#N/A</v>
      </c>
      <c r="N747" t="e">
        <f t="shared" si="152"/>
        <v>#N/A</v>
      </c>
      <c r="O747">
        <f t="shared" si="153"/>
        <v>1.0007470000000001</v>
      </c>
      <c r="P747" t="str">
        <f>IF(OR($A747="",games!$H747=""),"",games!$H747)</f>
        <v>Yes</v>
      </c>
      <c r="Q747">
        <f t="shared" si="154"/>
        <v>1.0007470000000001</v>
      </c>
      <c r="T747">
        <f>IF(connections!$A747="","",IFERROR(INDEX(games!$B$2:$B$950,MATCH(connections!$A747,games!$A$2:$A$950,0)),""))</f>
        <v>1987</v>
      </c>
      <c r="U747">
        <f>IF(connections!$A747="","",IFERROR(INDEX(games!$B$2:$B$950,MATCH(connections!$B747,games!$A$2:$A$950,0)),""))</f>
        <v>2020</v>
      </c>
      <c r="V747">
        <f t="shared" si="155"/>
        <v>33</v>
      </c>
    </row>
    <row r="748" spans="1:22" x14ac:dyDescent="0.25">
      <c r="A748" t="str">
        <f>IF(games!$A748="","",games!$A748)</f>
        <v>Switchcars</v>
      </c>
      <c r="B748">
        <f>IF($A748="","",games!$B748)</f>
        <v>2016</v>
      </c>
      <c r="C748" t="str">
        <f>IF($A748="","",games!$C748)</f>
        <v>Action</v>
      </c>
      <c r="D748">
        <f>IF($A748="","",COUNTIF(connections!$A$2:$A$1460,$A748)+COUNTIF(connections!$B$2:$B$1460,$A748))</f>
        <v>3</v>
      </c>
      <c r="E748">
        <f t="shared" si="143"/>
        <v>1</v>
      </c>
      <c r="F748">
        <f t="shared" si="144"/>
        <v>0</v>
      </c>
      <c r="G748">
        <f t="shared" si="145"/>
        <v>2016</v>
      </c>
      <c r="H748">
        <f t="shared" si="146"/>
        <v>1</v>
      </c>
      <c r="I748" t="e">
        <f t="shared" si="147"/>
        <v>#N/A</v>
      </c>
      <c r="J748" t="e">
        <f t="shared" si="148"/>
        <v>#N/A</v>
      </c>
      <c r="K748" t="e">
        <f t="shared" si="149"/>
        <v>#N/A</v>
      </c>
      <c r="L748" t="e">
        <f t="shared" si="150"/>
        <v>#N/A</v>
      </c>
      <c r="M748" t="e">
        <f t="shared" si="151"/>
        <v>#N/A</v>
      </c>
      <c r="N748" t="e">
        <f t="shared" si="152"/>
        <v>#N/A</v>
      </c>
      <c r="O748">
        <f t="shared" si="153"/>
        <v>3.0007480000000002</v>
      </c>
      <c r="P748" t="str">
        <f>IF(OR($A748="",games!$H748=""),"",games!$H748)</f>
        <v>Yes</v>
      </c>
      <c r="Q748">
        <f t="shared" si="154"/>
        <v>3.0007480000000002</v>
      </c>
      <c r="T748">
        <f>IF(connections!$A748="","",IFERROR(INDEX(games!$B$2:$B$950,MATCH(connections!$A748,games!$A$2:$A$950,0)),""))</f>
        <v>1987</v>
      </c>
      <c r="U748">
        <f>IF(connections!$A748="","",IFERROR(INDEX(games!$B$2:$B$950,MATCH(connections!$B748,games!$A$2:$A$950,0)),""))</f>
        <v>2006</v>
      </c>
      <c r="V748">
        <f t="shared" si="155"/>
        <v>19</v>
      </c>
    </row>
    <row r="749" spans="1:22" x14ac:dyDescent="0.25">
      <c r="A749" t="str">
        <f>IF(games!$A749="","",games!$A749)</f>
        <v>Sword of Fargoal</v>
      </c>
      <c r="B749">
        <f>IF($A749="","",games!$B749)</f>
        <v>1982</v>
      </c>
      <c r="C749" t="str">
        <f>IF($A749="","",games!$C749)</f>
        <v>Traditional</v>
      </c>
      <c r="D749">
        <f>IF($A749="","",COUNTIF(connections!$A$2:$A$1460,$A749)+COUNTIF(connections!$B$2:$B$1460,$A749))</f>
        <v>1</v>
      </c>
      <c r="E749">
        <f t="shared" si="143"/>
        <v>4</v>
      </c>
      <c r="F749">
        <f t="shared" si="144"/>
        <v>1</v>
      </c>
      <c r="G749" t="e">
        <f t="shared" si="145"/>
        <v>#N/A</v>
      </c>
      <c r="H749" t="e">
        <f t="shared" si="146"/>
        <v>#N/A</v>
      </c>
      <c r="I749" t="e">
        <f t="shared" si="147"/>
        <v>#N/A</v>
      </c>
      <c r="J749" t="e">
        <f t="shared" si="148"/>
        <v>#N/A</v>
      </c>
      <c r="K749" t="e">
        <f t="shared" si="149"/>
        <v>#N/A</v>
      </c>
      <c r="L749" t="e">
        <f t="shared" si="150"/>
        <v>#N/A</v>
      </c>
      <c r="M749">
        <f t="shared" si="151"/>
        <v>1982</v>
      </c>
      <c r="N749">
        <f t="shared" si="152"/>
        <v>4.0229999999999997</v>
      </c>
      <c r="O749">
        <f t="shared" si="153"/>
        <v>1.0007490000000001</v>
      </c>
      <c r="P749" t="str">
        <f>IF(OR($A749="",games!$H749=""),"",games!$H749)</f>
        <v/>
      </c>
      <c r="Q749" t="str">
        <f t="shared" si="154"/>
        <v/>
      </c>
      <c r="T749">
        <f>IF(connections!$A749="","",IFERROR(INDEX(games!$B$2:$B$950,MATCH(connections!$A749,games!$A$2:$A$950,0)),""))</f>
        <v>1987</v>
      </c>
      <c r="U749">
        <f>IF(connections!$A749="","",IFERROR(INDEX(games!$B$2:$B$950,MATCH(connections!$B749,games!$A$2:$A$950,0)),""))</f>
        <v>2008</v>
      </c>
      <c r="V749">
        <f t="shared" si="155"/>
        <v>21</v>
      </c>
    </row>
    <row r="750" spans="1:22" x14ac:dyDescent="0.25">
      <c r="A750" t="str">
        <f>IF(games!$A750="","",games!$A750)</f>
        <v>Sword of the Necromancer</v>
      </c>
      <c r="B750">
        <f>IF($A750="","",games!$B750)</f>
        <v>2021</v>
      </c>
      <c r="C750" t="str">
        <f>IF($A750="","",games!$C750)</f>
        <v>Action</v>
      </c>
      <c r="D750">
        <f>IF($A750="","",COUNTIF(connections!$A$2:$A$1460,$A750)+COUNTIF(connections!$B$2:$B$1460,$A750))</f>
        <v>3</v>
      </c>
      <c r="E750">
        <f t="shared" si="143"/>
        <v>1</v>
      </c>
      <c r="F750">
        <f t="shared" si="144"/>
        <v>2</v>
      </c>
      <c r="G750">
        <f t="shared" si="145"/>
        <v>2021</v>
      </c>
      <c r="H750">
        <f t="shared" si="146"/>
        <v>1.046</v>
      </c>
      <c r="I750" t="e">
        <f t="shared" si="147"/>
        <v>#N/A</v>
      </c>
      <c r="J750" t="e">
        <f t="shared" si="148"/>
        <v>#N/A</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1987</v>
      </c>
      <c r="U750">
        <f>IF(connections!$A750="","",IFERROR(INDEX(games!$B$2:$B$950,MATCH(connections!$B750,games!$A$2:$A$950,0)),""))</f>
        <v>2002</v>
      </c>
      <c r="V750">
        <f t="shared" si="155"/>
        <v>15</v>
      </c>
    </row>
    <row r="751" spans="1:22" x14ac:dyDescent="0.25">
      <c r="A751" t="str">
        <f>IF(games!$A751="","",games!$A751)</f>
        <v>Sword of the Necromancer: Resurrection</v>
      </c>
      <c r="B751">
        <f>IF($A751="","",games!$B751)</f>
        <v>2025</v>
      </c>
      <c r="C751" t="str">
        <f>IF($A751="","",games!$C751)</f>
        <v>Action</v>
      </c>
      <c r="D751">
        <f>IF($A751="","",COUNTIF(connections!$A$2:$A$1460,$A751)+COUNTIF(connections!$B$2:$B$1460,$A751))</f>
        <v>1</v>
      </c>
      <c r="E751">
        <f t="shared" si="143"/>
        <v>1</v>
      </c>
      <c r="F751">
        <f t="shared" si="144"/>
        <v>3</v>
      </c>
      <c r="G751">
        <f t="shared" si="145"/>
        <v>2025</v>
      </c>
      <c r="H751">
        <f t="shared" si="146"/>
        <v>1.069</v>
      </c>
      <c r="I751" t="e">
        <f t="shared" si="147"/>
        <v>#N/A</v>
      </c>
      <c r="J751" t="e">
        <f t="shared" si="148"/>
        <v>#N/A</v>
      </c>
      <c r="K751" t="e">
        <f t="shared" si="149"/>
        <v>#N/A</v>
      </c>
      <c r="L751" t="e">
        <f t="shared" si="150"/>
        <v>#N/A</v>
      </c>
      <c r="M751" t="e">
        <f t="shared" si="151"/>
        <v>#N/A</v>
      </c>
      <c r="N751" t="e">
        <f t="shared" si="152"/>
        <v>#N/A</v>
      </c>
      <c r="O751">
        <f t="shared" si="153"/>
        <v>1.0007509999999999</v>
      </c>
      <c r="P751" t="str">
        <f>IF(OR($A751="",games!$H751=""),"",games!$H751)</f>
        <v/>
      </c>
      <c r="Q751" t="str">
        <f t="shared" si="154"/>
        <v/>
      </c>
      <c r="T751">
        <f>IF(connections!$A751="","",IFERROR(INDEX(games!$B$2:$B$950,MATCH(connections!$A751,games!$A$2:$A$950,0)),""))</f>
        <v>1987</v>
      </c>
      <c r="U751">
        <f>IF(connections!$A751="","",IFERROR(INDEX(games!$B$2:$B$950,MATCH(connections!$B751,games!$A$2:$A$950,0)),""))</f>
        <v>2013</v>
      </c>
      <c r="V751">
        <f t="shared" si="155"/>
        <v>26</v>
      </c>
    </row>
    <row r="752" spans="1:22" x14ac:dyDescent="0.25">
      <c r="A752" t="str">
        <f>IF(games!$A752="","",games!$A752)</f>
        <v>Sword of the Stars: The Pit</v>
      </c>
      <c r="B752">
        <f>IF($A752="","",games!$B752)</f>
        <v>2013</v>
      </c>
      <c r="C752" t="str">
        <f>IF($A752="","",games!$C752)</f>
        <v>Traditional</v>
      </c>
      <c r="D752">
        <f>IF($A752="","",COUNTIF(connections!$A$2:$A$1460,$A752)+COUNTIF(connections!$B$2:$B$1460,$A752))</f>
        <v>3</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2013</v>
      </c>
      <c r="N752">
        <f t="shared" si="152"/>
        <v>4.0919999999999996</v>
      </c>
      <c r="O752">
        <f t="shared" si="153"/>
        <v>3.0007519999999999</v>
      </c>
      <c r="P752" t="str">
        <f>IF(OR($A752="",games!$H752=""),"",games!$H752)</f>
        <v/>
      </c>
      <c r="Q752" t="str">
        <f t="shared" si="154"/>
        <v/>
      </c>
      <c r="T752">
        <f>IF(connections!$A752="","",IFERROR(INDEX(games!$B$2:$B$950,MATCH(connections!$A752,games!$A$2:$A$950,0)),""))</f>
        <v>1987</v>
      </c>
      <c r="U752">
        <f>IF(connections!$A752="","",IFERROR(INDEX(games!$B$2:$B$950,MATCH(connections!$B752,games!$A$2:$A$950,0)),""))</f>
        <v>2017</v>
      </c>
      <c r="V752">
        <f t="shared" si="155"/>
        <v>30</v>
      </c>
    </row>
    <row r="753" spans="1:22" x14ac:dyDescent="0.25">
      <c r="A753" t="str">
        <f>IF(games!$A753="","",games!$A753)</f>
        <v>Swordship</v>
      </c>
      <c r="B753">
        <f>IF($A753="","",games!$B753)</f>
        <v>2022</v>
      </c>
      <c r="C753" t="str">
        <f>IF($A753="","",games!$C753)</f>
        <v>Action</v>
      </c>
      <c r="D753">
        <f>IF($A753="","",COUNTIF(connections!$A$2:$A$1460,$A753)+COUNTIF(connections!$B$2:$B$1460,$A753))</f>
        <v>1</v>
      </c>
      <c r="E753">
        <f t="shared" si="143"/>
        <v>1</v>
      </c>
      <c r="F753">
        <f t="shared" si="144"/>
        <v>5</v>
      </c>
      <c r="G753">
        <f t="shared" si="145"/>
        <v>2022</v>
      </c>
      <c r="H753">
        <f t="shared" si="146"/>
        <v>1.115</v>
      </c>
      <c r="I753" t="e">
        <f t="shared" si="147"/>
        <v>#N/A</v>
      </c>
      <c r="J753" t="e">
        <f t="shared" si="148"/>
        <v>#N/A</v>
      </c>
      <c r="K753" t="e">
        <f t="shared" si="149"/>
        <v>#N/A</v>
      </c>
      <c r="L753" t="e">
        <f t="shared" si="150"/>
        <v>#N/A</v>
      </c>
      <c r="M753" t="e">
        <f t="shared" si="151"/>
        <v>#N/A</v>
      </c>
      <c r="N753" t="e">
        <f t="shared" si="152"/>
        <v>#N/A</v>
      </c>
      <c r="O753">
        <f t="shared" si="153"/>
        <v>1.000753</v>
      </c>
      <c r="P753" t="str">
        <f>IF(OR($A753="",games!$H753=""),"",games!$H753)</f>
        <v>Yes</v>
      </c>
      <c r="Q753">
        <f t="shared" si="154"/>
        <v>1.000753</v>
      </c>
      <c r="T753">
        <f>IF(connections!$A753="","",IFERROR(INDEX(games!$B$2:$B$950,MATCH(connections!$A753,games!$A$2:$A$950,0)),""))</f>
        <v>1987</v>
      </c>
      <c r="U753">
        <f>IF(connections!$A753="","",IFERROR(INDEX(games!$B$2:$B$950,MATCH(connections!$B753,games!$A$2:$A$950,0)),""))</f>
        <v>1992</v>
      </c>
      <c r="V753">
        <f t="shared" si="155"/>
        <v>5</v>
      </c>
    </row>
    <row r="754" spans="1:22" x14ac:dyDescent="0.25">
      <c r="A754" t="str">
        <f>IF(games!$A754="","",games!$A754)</f>
        <v>Sworn</v>
      </c>
      <c r="B754">
        <f>IF($A754="","",games!$B754)</f>
        <v>2025</v>
      </c>
      <c r="C754" t="str">
        <f>IF($A754="","",games!$C754)</f>
        <v>Action</v>
      </c>
      <c r="D754">
        <f>IF($A754="","",COUNTIF(connections!$A$2:$A$1460,$A754)+COUNTIF(connections!$B$2:$B$1460,$A754))</f>
        <v>1</v>
      </c>
      <c r="E754">
        <f t="shared" si="143"/>
        <v>1</v>
      </c>
      <c r="F754">
        <f t="shared" si="144"/>
        <v>6</v>
      </c>
      <c r="G754">
        <f t="shared" si="145"/>
        <v>2025</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1987</v>
      </c>
      <c r="U754">
        <f>IF(connections!$A754="","",IFERROR(INDEX(games!$B$2:$B$950,MATCH(connections!$B754,games!$A$2:$A$950,0)),""))</f>
        <v>2012</v>
      </c>
      <c r="V754">
        <f t="shared" si="155"/>
        <v>25</v>
      </c>
    </row>
    <row r="755" spans="1:22" x14ac:dyDescent="0.25">
      <c r="A755" t="str">
        <f>IF(games!$A755="","",games!$A755)</f>
        <v>Synthetik 2</v>
      </c>
      <c r="B755">
        <f>IF($A755="","",games!$B755)</f>
        <v>2021</v>
      </c>
      <c r="C755" t="str">
        <f>IF($A755="","",games!$C755)</f>
        <v>Action</v>
      </c>
      <c r="D755">
        <f>IF($A755="","",COUNTIF(connections!$A$2:$A$1460,$A755)+COUNTIF(connections!$B$2:$B$1460,$A755))</f>
        <v>1</v>
      </c>
      <c r="E755">
        <f t="shared" si="143"/>
        <v>1</v>
      </c>
      <c r="F755">
        <f t="shared" si="144"/>
        <v>7</v>
      </c>
      <c r="G755">
        <f t="shared" si="145"/>
        <v>2021</v>
      </c>
      <c r="H755">
        <f t="shared" si="146"/>
        <v>1.161</v>
      </c>
      <c r="I755" t="e">
        <f t="shared" si="147"/>
        <v>#N/A</v>
      </c>
      <c r="J755" t="e">
        <f t="shared" si="148"/>
        <v>#N/A</v>
      </c>
      <c r="K755" t="e">
        <f t="shared" si="149"/>
        <v>#N/A</v>
      </c>
      <c r="L755" t="e">
        <f t="shared" si="150"/>
        <v>#N/A</v>
      </c>
      <c r="M755" t="e">
        <f t="shared" si="151"/>
        <v>#N/A</v>
      </c>
      <c r="N755" t="e">
        <f t="shared" si="152"/>
        <v>#N/A</v>
      </c>
      <c r="O755">
        <f t="shared" si="153"/>
        <v>1.0007550000000001</v>
      </c>
      <c r="P755" t="str">
        <f>IF(OR($A755="",games!$H755=""),"",games!$H755)</f>
        <v/>
      </c>
      <c r="Q755" t="str">
        <f t="shared" si="154"/>
        <v/>
      </c>
      <c r="T755">
        <f>IF(connections!$A755="","",IFERROR(INDEX(games!$B$2:$B$950,MATCH(connections!$A755,games!$A$2:$A$950,0)),""))</f>
        <v>2024</v>
      </c>
      <c r="U755">
        <f>IF(connections!$A755="","",IFERROR(INDEX(games!$B$2:$B$950,MATCH(connections!$B755,games!$A$2:$A$950,0)),""))</f>
        <v>2026</v>
      </c>
      <c r="V755">
        <f t="shared" si="155"/>
        <v>2</v>
      </c>
    </row>
    <row r="756" spans="1:22" x14ac:dyDescent="0.25">
      <c r="A756" t="str">
        <f>IF(games!$A756="","",games!$A756)</f>
        <v>Synthetik: Legion Rising</v>
      </c>
      <c r="B756">
        <f>IF($A756="","",games!$B756)</f>
        <v>2018</v>
      </c>
      <c r="C756" t="str">
        <f>IF($A756="","",games!$C756)</f>
        <v>Action</v>
      </c>
      <c r="D756">
        <f>IF($A756="","",COUNTIF(connections!$A$2:$A$1460,$A756)+COUNTIF(connections!$B$2:$B$1460,$A756))</f>
        <v>2</v>
      </c>
      <c r="E756">
        <f t="shared" si="143"/>
        <v>1</v>
      </c>
      <c r="F756">
        <f t="shared" si="144"/>
        <v>8</v>
      </c>
      <c r="G756">
        <f t="shared" si="145"/>
        <v>2018</v>
      </c>
      <c r="H756">
        <f t="shared" si="146"/>
        <v>1.1839999999999999</v>
      </c>
      <c r="I756" t="e">
        <f t="shared" si="147"/>
        <v>#N/A</v>
      </c>
      <c r="J756" t="e">
        <f t="shared" si="148"/>
        <v>#N/A</v>
      </c>
      <c r="K756" t="e">
        <f t="shared" si="149"/>
        <v>#N/A</v>
      </c>
      <c r="L756" t="e">
        <f t="shared" si="150"/>
        <v>#N/A</v>
      </c>
      <c r="M756" t="e">
        <f t="shared" si="151"/>
        <v>#N/A</v>
      </c>
      <c r="N756" t="e">
        <f t="shared" si="152"/>
        <v>#N/A</v>
      </c>
      <c r="O756">
        <f t="shared" si="153"/>
        <v>2.000756</v>
      </c>
      <c r="P756" t="str">
        <f>IF(OR($A756="",games!$H756=""),"",games!$H756)</f>
        <v>Yes</v>
      </c>
      <c r="Q756">
        <f t="shared" si="154"/>
        <v>2.000756</v>
      </c>
      <c r="T756">
        <f>IF(connections!$A756="","",IFERROR(INDEX(games!$B$2:$B$950,MATCH(connections!$A756,games!$A$2:$A$950,0)),""))</f>
        <v>2019</v>
      </c>
      <c r="U756">
        <f>IF(connections!$A756="","",IFERROR(INDEX(games!$B$2:$B$950,MATCH(connections!$B756,games!$A$2:$A$950,0)),""))</f>
        <v>2025</v>
      </c>
      <c r="V756">
        <f t="shared" si="155"/>
        <v>6</v>
      </c>
    </row>
    <row r="757" spans="1:22" x14ac:dyDescent="0.25">
      <c r="A757" t="str">
        <f>IF(games!$A757="","",games!$A757)</f>
        <v>Tabletop Tavern</v>
      </c>
      <c r="B757">
        <f>IF($A757="","",games!$B757)</f>
        <v>2026</v>
      </c>
      <c r="C757" t="str">
        <f>IF($A757="","",games!$C757)</f>
        <v>Strategy</v>
      </c>
      <c r="D757">
        <f>IF($A757="","",COUNTIF(connections!$A$2:$A$1460,$A757)+COUNTIF(connections!$B$2:$B$1460,$A757))</f>
        <v>2</v>
      </c>
      <c r="E757">
        <f t="shared" si="143"/>
        <v>2</v>
      </c>
      <c r="F757">
        <f t="shared" si="144"/>
        <v>9</v>
      </c>
      <c r="G757" t="e">
        <f t="shared" si="145"/>
        <v>#N/A</v>
      </c>
      <c r="H757" t="e">
        <f t="shared" si="146"/>
        <v>#N/A</v>
      </c>
      <c r="I757">
        <f t="shared" si="147"/>
        <v>2026</v>
      </c>
      <c r="J757">
        <f t="shared" si="148"/>
        <v>2.2069999999999999</v>
      </c>
      <c r="K757" t="e">
        <f t="shared" si="149"/>
        <v>#N/A</v>
      </c>
      <c r="L757" t="e">
        <f t="shared" si="150"/>
        <v>#N/A</v>
      </c>
      <c r="M757" t="e">
        <f t="shared" si="151"/>
        <v>#N/A</v>
      </c>
      <c r="N757" t="e">
        <f t="shared" si="152"/>
        <v>#N/A</v>
      </c>
      <c r="O757">
        <f t="shared" si="153"/>
        <v>2.0007570000000001</v>
      </c>
      <c r="P757" t="str">
        <f>IF(OR($A757="",games!$H757=""),"",games!$H757)</f>
        <v/>
      </c>
      <c r="Q757" t="str">
        <f t="shared" si="154"/>
        <v/>
      </c>
      <c r="T757">
        <f>IF(connections!$A757="","",IFERROR(INDEX(games!$B$2:$B$950,MATCH(connections!$A757,games!$A$2:$A$950,0)),""))</f>
        <v>2019</v>
      </c>
      <c r="U757">
        <f>IF(connections!$A757="","",IFERROR(INDEX(games!$B$2:$B$950,MATCH(connections!$B757,games!$A$2:$A$950,0)),""))</f>
        <v>2023</v>
      </c>
      <c r="V757">
        <f t="shared" si="155"/>
        <v>4</v>
      </c>
    </row>
    <row r="758" spans="1:22" x14ac:dyDescent="0.25">
      <c r="A758" t="str">
        <f>IF(games!$A758="","",games!$A758)</f>
        <v>Tainted Grail: Conquest</v>
      </c>
      <c r="B758">
        <f>IF($A758="","",games!$B758)</f>
        <v>2020</v>
      </c>
      <c r="C758" t="str">
        <f>IF($A758="","",games!$C758)</f>
        <v>Deckbuilder</v>
      </c>
      <c r="D758">
        <f>IF($A758="","",COUNTIF(connections!$A$2:$A$1460,$A758)+COUNTIF(connections!$B$2:$B$1460,$A758))</f>
        <v>1</v>
      </c>
      <c r="E758">
        <f t="shared" si="143"/>
        <v>3</v>
      </c>
      <c r="F758">
        <f t="shared" si="144"/>
        <v>10</v>
      </c>
      <c r="G758" t="e">
        <f t="shared" si="145"/>
        <v>#N/A</v>
      </c>
      <c r="H758" t="e">
        <f t="shared" si="146"/>
        <v>#N/A</v>
      </c>
      <c r="I758" t="e">
        <f t="shared" si="147"/>
        <v>#N/A</v>
      </c>
      <c r="J758" t="e">
        <f t="shared" si="148"/>
        <v>#N/A</v>
      </c>
      <c r="K758">
        <f t="shared" si="149"/>
        <v>2020</v>
      </c>
      <c r="L758">
        <f t="shared" si="150"/>
        <v>3.23</v>
      </c>
      <c r="M758" t="e">
        <f t="shared" si="151"/>
        <v>#N/A</v>
      </c>
      <c r="N758" t="e">
        <f t="shared" si="152"/>
        <v>#N/A</v>
      </c>
      <c r="O758">
        <f t="shared" si="153"/>
        <v>1.000758</v>
      </c>
      <c r="P758" t="str">
        <f>IF(OR($A758="",games!$H758=""),"",games!$H758)</f>
        <v>Yes</v>
      </c>
      <c r="Q758">
        <f t="shared" si="154"/>
        <v>1.000758</v>
      </c>
      <c r="T758">
        <f>IF(connections!$A758="","",IFERROR(INDEX(games!$B$2:$B$950,MATCH(connections!$A758,games!$A$2:$A$950,0)),""))</f>
        <v>2019</v>
      </c>
      <c r="U758">
        <f>IF(connections!$A758="","",IFERROR(INDEX(games!$B$2:$B$950,MATCH(connections!$B758,games!$A$2:$A$950,0)),""))</f>
        <v>2023</v>
      </c>
      <c r="V758">
        <f t="shared" si="155"/>
        <v>4</v>
      </c>
    </row>
    <row r="759" spans="1:22" x14ac:dyDescent="0.25">
      <c r="A759" t="str">
        <f>IF(games!$A759="","",games!$A759)</f>
        <v>Talented</v>
      </c>
      <c r="B759">
        <f>IF($A759="","",games!$B759)</f>
        <v>2023</v>
      </c>
      <c r="C759" t="str">
        <f>IF($A759="","",games!$C759)</f>
        <v>Action</v>
      </c>
      <c r="D759">
        <f>IF($A759="","",COUNTIF(connections!$A$2:$A$1460,$A759)+COUNTIF(connections!$B$2:$B$1460,$A759))</f>
        <v>3</v>
      </c>
      <c r="E759">
        <f t="shared" si="143"/>
        <v>1</v>
      </c>
      <c r="F759">
        <f t="shared" si="144"/>
        <v>11</v>
      </c>
      <c r="G759">
        <f t="shared" si="145"/>
        <v>2023</v>
      </c>
      <c r="H759">
        <f t="shared" si="146"/>
        <v>1.2530000000000001</v>
      </c>
      <c r="I759" t="e">
        <f t="shared" si="147"/>
        <v>#N/A</v>
      </c>
      <c r="J759" t="e">
        <f t="shared" si="148"/>
        <v>#N/A</v>
      </c>
      <c r="K759" t="e">
        <f t="shared" si="149"/>
        <v>#N/A</v>
      </c>
      <c r="L759" t="e">
        <f t="shared" si="150"/>
        <v>#N/A</v>
      </c>
      <c r="M759" t="e">
        <f t="shared" si="151"/>
        <v>#N/A</v>
      </c>
      <c r="N759" t="e">
        <f t="shared" si="152"/>
        <v>#N/A</v>
      </c>
      <c r="O759">
        <f t="shared" si="153"/>
        <v>3.000759</v>
      </c>
      <c r="P759" t="str">
        <f>IF(OR($A759="",games!$H759=""),"",games!$H759)</f>
        <v>Yes</v>
      </c>
      <c r="Q759">
        <f t="shared" si="154"/>
        <v>3.000759</v>
      </c>
      <c r="T759">
        <f>IF(connections!$A759="","",IFERROR(INDEX(games!$B$2:$B$950,MATCH(connections!$A759,games!$A$2:$A$950,0)),""))</f>
        <v>2019</v>
      </c>
      <c r="U759">
        <f>IF(connections!$A759="","",IFERROR(INDEX(games!$B$2:$B$950,MATCH(connections!$B759,games!$A$2:$A$950,0)),""))</f>
        <v>2026</v>
      </c>
      <c r="V759">
        <f t="shared" si="155"/>
        <v>7</v>
      </c>
    </row>
    <row r="760" spans="1:22" x14ac:dyDescent="0.25">
      <c r="A760" t="str">
        <f>IF(games!$A760="","",games!$A760)</f>
        <v>Tales of Maj'Eyal</v>
      </c>
      <c r="B760">
        <f>IF($A760="","",games!$B760)</f>
        <v>1998</v>
      </c>
      <c r="C760" t="str">
        <f>IF($A760="","",games!$C760)</f>
        <v>Traditional</v>
      </c>
      <c r="D760">
        <f>IF($A760="","",COUNTIF(connections!$A$2:$A$1460,$A760)+COUNTIF(connections!$B$2:$B$1460,$A760))</f>
        <v>9</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1998</v>
      </c>
      <c r="N760">
        <f t="shared" si="152"/>
        <v>4.2759999999999998</v>
      </c>
      <c r="O760">
        <f t="shared" si="153"/>
        <v>9.0007599999999996</v>
      </c>
      <c r="P760" t="str">
        <f>IF(OR($A760="",games!$H760=""),"",games!$H760)</f>
        <v>Yes</v>
      </c>
      <c r="Q760">
        <f t="shared" si="154"/>
        <v>9.0007599999999996</v>
      </c>
      <c r="T760">
        <f>IF(connections!$A760="","",IFERROR(INDEX(games!$B$2:$B$950,MATCH(connections!$A760,games!$A$2:$A$950,0)),""))</f>
        <v>2019</v>
      </c>
      <c r="U760">
        <f>IF(connections!$A760="","",IFERROR(INDEX(games!$B$2:$B$950,MATCH(connections!$B760,games!$A$2:$A$950,0)),""))</f>
        <v>2024</v>
      </c>
      <c r="V760">
        <f t="shared" si="155"/>
        <v>5</v>
      </c>
    </row>
    <row r="761" spans="1:22" x14ac:dyDescent="0.25">
      <c r="A761" t="str">
        <f>IF(games!$A761="","",games!$A761)</f>
        <v>Talespinner</v>
      </c>
      <c r="B761">
        <f>IF($A761="","",games!$B761)</f>
        <v>2026</v>
      </c>
      <c r="C761" t="str">
        <f>IF($A761="","",games!$C761)</f>
        <v>Deckbuilder</v>
      </c>
      <c r="D761">
        <f>IF($A761="","",COUNTIF(connections!$A$2:$A$1460,$A761)+COUNTIF(connections!$B$2:$B$1460,$A761))</f>
        <v>1</v>
      </c>
      <c r="E761">
        <f t="shared" si="143"/>
        <v>3</v>
      </c>
      <c r="F761">
        <f t="shared" si="144"/>
        <v>13</v>
      </c>
      <c r="G761" t="e">
        <f t="shared" si="145"/>
        <v>#N/A</v>
      </c>
      <c r="H761" t="e">
        <f t="shared" si="146"/>
        <v>#N/A</v>
      </c>
      <c r="I761" t="e">
        <f t="shared" si="147"/>
        <v>#N/A</v>
      </c>
      <c r="J761" t="e">
        <f t="shared" si="148"/>
        <v>#N/A</v>
      </c>
      <c r="K761">
        <f t="shared" si="149"/>
        <v>2026</v>
      </c>
      <c r="L761">
        <f t="shared" si="150"/>
        <v>3.2989999999999999</v>
      </c>
      <c r="M761" t="e">
        <f t="shared" si="151"/>
        <v>#N/A</v>
      </c>
      <c r="N761" t="e">
        <f t="shared" si="152"/>
        <v>#N/A</v>
      </c>
      <c r="O761">
        <f t="shared" si="153"/>
        <v>1.000761</v>
      </c>
      <c r="P761" t="str">
        <f>IF(OR($A761="",games!$H761=""),"",games!$H761)</f>
        <v/>
      </c>
      <c r="Q761" t="str">
        <f t="shared" si="154"/>
        <v/>
      </c>
      <c r="T761">
        <f>IF(connections!$A761="","",IFERROR(INDEX(games!$B$2:$B$950,MATCH(connections!$A761,games!$A$2:$A$950,0)),""))</f>
        <v>2019</v>
      </c>
      <c r="U761">
        <f>IF(connections!$A761="","",IFERROR(INDEX(games!$B$2:$B$950,MATCH(connections!$B761,games!$A$2:$A$950,0)),""))</f>
        <v>2024</v>
      </c>
      <c r="V761">
        <f t="shared" si="155"/>
        <v>5</v>
      </c>
    </row>
    <row r="762" spans="1:22" x14ac:dyDescent="0.25">
      <c r="A762" t="str">
        <f>IF(games!$A762="","",games!$A762)</f>
        <v>Tangledeep</v>
      </c>
      <c r="B762">
        <f>IF($A762="","",games!$B762)</f>
        <v>2017</v>
      </c>
      <c r="C762" t="str">
        <f>IF($A762="","",games!$C762)</f>
        <v>Traditional</v>
      </c>
      <c r="D762">
        <f>IF($A762="","",COUNTIF(connections!$A$2:$A$1460,$A762)+COUNTIF(connections!$B$2:$B$1460,$A762))</f>
        <v>4</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2017</v>
      </c>
      <c r="N762">
        <f t="shared" si="152"/>
        <v>4.3220000000000001</v>
      </c>
      <c r="O762">
        <f t="shared" si="153"/>
        <v>4.0007619999999999</v>
      </c>
      <c r="P762" t="str">
        <f>IF(OR($A762="",games!$H762=""),"",games!$H762)</f>
        <v>Yes</v>
      </c>
      <c r="Q762">
        <f t="shared" si="154"/>
        <v>4.0007619999999999</v>
      </c>
      <c r="T762">
        <f>IF(connections!$A762="","",IFERROR(INDEX(games!$B$2:$B$950,MATCH(connections!$A762,games!$A$2:$A$950,0)),""))</f>
        <v>2019</v>
      </c>
      <c r="U762">
        <f>IF(connections!$A762="","",IFERROR(INDEX(games!$B$2:$B$950,MATCH(connections!$B762,games!$A$2:$A$950,0)),""))</f>
        <v>2026</v>
      </c>
      <c r="V762">
        <f t="shared" si="155"/>
        <v>7</v>
      </c>
    </row>
    <row r="763" spans="1:22" x14ac:dyDescent="0.25">
      <c r="A763" t="str">
        <f>IF(games!$A763="","",games!$A763)</f>
        <v>Tangy TD</v>
      </c>
      <c r="B763">
        <f>IF($A763="","",games!$B763)</f>
        <v>2026</v>
      </c>
      <c r="C763" t="str">
        <f>IF($A763="","",games!$C763)</f>
        <v>Strategy</v>
      </c>
      <c r="D763">
        <f>IF($A763="","",COUNTIF(connections!$A$2:$A$1460,$A763)+COUNTIF(connections!$B$2:$B$1460,$A763))</f>
        <v>0</v>
      </c>
      <c r="E763">
        <f t="shared" si="143"/>
        <v>2</v>
      </c>
      <c r="F763">
        <f t="shared" si="144"/>
        <v>15</v>
      </c>
      <c r="G763" t="e">
        <f t="shared" si="145"/>
        <v>#N/A</v>
      </c>
      <c r="H763" t="e">
        <f t="shared" si="146"/>
        <v>#N/A</v>
      </c>
      <c r="I763">
        <f t="shared" si="147"/>
        <v>2026</v>
      </c>
      <c r="J763">
        <f t="shared" si="148"/>
        <v>2.3449999999999998</v>
      </c>
      <c r="K763" t="e">
        <f t="shared" si="149"/>
        <v>#N/A</v>
      </c>
      <c r="L763" t="e">
        <f t="shared" si="150"/>
        <v>#N/A</v>
      </c>
      <c r="M763" t="e">
        <f t="shared" si="151"/>
        <v>#N/A</v>
      </c>
      <c r="N763" t="e">
        <f t="shared" si="152"/>
        <v>#N/A</v>
      </c>
      <c r="O763">
        <f t="shared" si="153"/>
        <v>7.6300000000000001E-4</v>
      </c>
      <c r="P763" t="str">
        <f>IF(OR($A763="",games!$H763=""),"",games!$H763)</f>
        <v>Yes</v>
      </c>
      <c r="Q763">
        <f t="shared" si="154"/>
        <v>7.6300000000000001E-4</v>
      </c>
      <c r="T763">
        <f>IF(connections!$A763="","",IFERROR(INDEX(games!$B$2:$B$950,MATCH(connections!$A763,games!$A$2:$A$950,0)),""))</f>
        <v>2019</v>
      </c>
      <c r="U763">
        <f>IF(connections!$A763="","",IFERROR(INDEX(games!$B$2:$B$950,MATCH(connections!$B763,games!$A$2:$A$950,0)),""))</f>
        <v>2023</v>
      </c>
      <c r="V763">
        <f t="shared" si="155"/>
        <v>4</v>
      </c>
    </row>
    <row r="764" spans="1:22" x14ac:dyDescent="0.25">
      <c r="A764" t="str">
        <f>IF(games!$A764="","",games!$A764)</f>
        <v>Tao's Adventure: Curse of the Demon Seal</v>
      </c>
      <c r="B764">
        <f>IF($A764="","",games!$B764)</f>
        <v>2006</v>
      </c>
      <c r="C764" t="str">
        <f>IF($A764="","",games!$C764)</f>
        <v>Traditional</v>
      </c>
      <c r="D764">
        <f>IF($A764="","",COUNTIF(connections!$A$2:$A$1460,$A764)+COUNTIF(connections!$B$2:$B$1460,$A764))</f>
        <v>1</v>
      </c>
      <c r="E764">
        <f t="shared" si="143"/>
        <v>4</v>
      </c>
      <c r="F764">
        <f t="shared" si="144"/>
        <v>16</v>
      </c>
      <c r="G764" t="e">
        <f t="shared" si="145"/>
        <v>#N/A</v>
      </c>
      <c r="H764" t="e">
        <f t="shared" si="146"/>
        <v>#N/A</v>
      </c>
      <c r="I764" t="e">
        <f t="shared" si="147"/>
        <v>#N/A</v>
      </c>
      <c r="J764" t="e">
        <f t="shared" si="148"/>
        <v>#N/A</v>
      </c>
      <c r="K764" t="e">
        <f t="shared" si="149"/>
        <v>#N/A</v>
      </c>
      <c r="L764" t="e">
        <f t="shared" si="150"/>
        <v>#N/A</v>
      </c>
      <c r="M764">
        <f t="shared" si="151"/>
        <v>2006</v>
      </c>
      <c r="N764">
        <f t="shared" si="152"/>
        <v>4.3680000000000003</v>
      </c>
      <c r="O764">
        <f t="shared" si="153"/>
        <v>1.000764</v>
      </c>
      <c r="P764" t="str">
        <f>IF(OR($A764="",games!$H764=""),"",games!$H764)</f>
        <v>Yes</v>
      </c>
      <c r="Q764">
        <f t="shared" si="154"/>
        <v>1.000764</v>
      </c>
      <c r="T764">
        <f>IF(connections!$A764="","",IFERROR(INDEX(games!$B$2:$B$950,MATCH(connections!$A764,games!$A$2:$A$950,0)),""))</f>
        <v>2024</v>
      </c>
      <c r="U764">
        <f>IF(connections!$A764="","",IFERROR(INDEX(games!$B$2:$B$950,MATCH(connections!$B764,games!$A$2:$A$950,0)),""))</f>
        <v>2026</v>
      </c>
      <c r="V764">
        <f t="shared" si="155"/>
        <v>2</v>
      </c>
    </row>
    <row r="765" spans="1:22" x14ac:dyDescent="0.25">
      <c r="A765" t="str">
        <f>IF(games!$A765="","",games!$A765)</f>
        <v>Tape to Tape</v>
      </c>
      <c r="B765">
        <f>IF($A765="","",games!$B765)</f>
        <v>2023</v>
      </c>
      <c r="C765" t="str">
        <f>IF($A765="","",games!$C765)</f>
        <v>Action</v>
      </c>
      <c r="D765">
        <f>IF($A765="","",COUNTIF(connections!$A$2:$A$1460,$A765)+COUNTIF(connections!$B$2:$B$1460,$A765))</f>
        <v>2</v>
      </c>
      <c r="E765">
        <f t="shared" si="143"/>
        <v>1</v>
      </c>
      <c r="F765">
        <f t="shared" si="144"/>
        <v>17</v>
      </c>
      <c r="G765">
        <f t="shared" si="145"/>
        <v>2023</v>
      </c>
      <c r="H765">
        <f t="shared" si="146"/>
        <v>1.391</v>
      </c>
      <c r="I765" t="e">
        <f t="shared" si="147"/>
        <v>#N/A</v>
      </c>
      <c r="J765" t="e">
        <f t="shared" si="148"/>
        <v>#N/A</v>
      </c>
      <c r="K765" t="e">
        <f t="shared" si="149"/>
        <v>#N/A</v>
      </c>
      <c r="L765" t="e">
        <f t="shared" si="150"/>
        <v>#N/A</v>
      </c>
      <c r="M765" t="e">
        <f t="shared" si="151"/>
        <v>#N/A</v>
      </c>
      <c r="N765" t="e">
        <f t="shared" si="152"/>
        <v>#N/A</v>
      </c>
      <c r="O765">
        <f t="shared" si="153"/>
        <v>2.0007649999999999</v>
      </c>
      <c r="P765" t="str">
        <f>IF(OR($A765="",games!$H765=""),"",games!$H765)</f>
        <v>Yes</v>
      </c>
      <c r="Q765">
        <f t="shared" si="154"/>
        <v>2.0007649999999999</v>
      </c>
      <c r="T765">
        <f>IF(connections!$A765="","",IFERROR(INDEX(games!$B$2:$B$950,MATCH(connections!$A765,games!$A$2:$A$950,0)),""))</f>
        <v>2024</v>
      </c>
      <c r="U765">
        <f>IF(connections!$A765="","",IFERROR(INDEX(games!$B$2:$B$950,MATCH(connections!$B765,games!$A$2:$A$950,0)),""))</f>
        <v>2026</v>
      </c>
      <c r="V765">
        <f t="shared" si="155"/>
        <v>2</v>
      </c>
    </row>
    <row r="766" spans="1:22" x14ac:dyDescent="0.25">
      <c r="A766" t="str">
        <f>IF(games!$A766="","",games!$A766)</f>
        <v>Teamfight Tactics</v>
      </c>
      <c r="B766">
        <f>IF($A766="","",games!$B766)</f>
        <v>2019</v>
      </c>
      <c r="C766" t="str">
        <f>IF($A766="","",games!$C766)</f>
        <v>Strategy</v>
      </c>
      <c r="D766">
        <f>IF($A766="","",COUNTIF(connections!$A$2:$A$1460,$A766)+COUNTIF(connections!$B$2:$B$1460,$A766))</f>
        <v>7</v>
      </c>
      <c r="E766">
        <f t="shared" si="143"/>
        <v>2</v>
      </c>
      <c r="F766">
        <f t="shared" si="144"/>
        <v>18</v>
      </c>
      <c r="G766" t="e">
        <f t="shared" si="145"/>
        <v>#N/A</v>
      </c>
      <c r="H766" t="e">
        <f t="shared" si="146"/>
        <v>#N/A</v>
      </c>
      <c r="I766">
        <f t="shared" si="147"/>
        <v>2019</v>
      </c>
      <c r="J766">
        <f t="shared" si="148"/>
        <v>2.4140000000000001</v>
      </c>
      <c r="K766" t="e">
        <f t="shared" si="149"/>
        <v>#N/A</v>
      </c>
      <c r="L766" t="e">
        <f t="shared" si="150"/>
        <v>#N/A</v>
      </c>
      <c r="M766" t="e">
        <f t="shared" si="151"/>
        <v>#N/A</v>
      </c>
      <c r="N766" t="e">
        <f t="shared" si="152"/>
        <v>#N/A</v>
      </c>
      <c r="O766">
        <f t="shared" si="153"/>
        <v>7.0007659999999996</v>
      </c>
      <c r="P766" t="str">
        <f>IF(OR($A766="",games!$H766=""),"",games!$H766)</f>
        <v/>
      </c>
      <c r="Q766" t="str">
        <f t="shared" si="154"/>
        <v/>
      </c>
      <c r="T766">
        <f>IF(connections!$A766="","",IFERROR(INDEX(games!$B$2:$B$950,MATCH(connections!$A766,games!$A$2:$A$950,0)),""))</f>
        <v>2024</v>
      </c>
      <c r="U766">
        <f>IF(connections!$A766="","",IFERROR(INDEX(games!$B$2:$B$950,MATCH(connections!$B766,games!$A$2:$A$950,0)),""))</f>
        <v>2026</v>
      </c>
      <c r="V766">
        <f t="shared" si="155"/>
        <v>2</v>
      </c>
    </row>
    <row r="767" spans="1:22" x14ac:dyDescent="0.25">
      <c r="A767" t="str">
        <f>IF(games!$A767="","",games!$A767)</f>
        <v>Tears of Metal</v>
      </c>
      <c r="B767">
        <f>IF($A767="","",games!$B767)</f>
        <v>2026</v>
      </c>
      <c r="C767" t="str">
        <f>IF($A767="","",games!$C767)</f>
        <v>Action</v>
      </c>
      <c r="D767">
        <f>IF($A767="","",COUNTIF(connections!$A$2:$A$1460,$A767)+COUNTIF(connections!$B$2:$B$1460,$A767))</f>
        <v>1</v>
      </c>
      <c r="E767">
        <f t="shared" si="143"/>
        <v>1</v>
      </c>
      <c r="F767">
        <f t="shared" si="144"/>
        <v>19</v>
      </c>
      <c r="G767">
        <f t="shared" si="145"/>
        <v>2026</v>
      </c>
      <c r="H767">
        <f t="shared" si="146"/>
        <v>1.4370000000000001</v>
      </c>
      <c r="I767" t="e">
        <f t="shared" si="147"/>
        <v>#N/A</v>
      </c>
      <c r="J767" t="e">
        <f t="shared" si="148"/>
        <v>#N/A</v>
      </c>
      <c r="K767" t="e">
        <f t="shared" si="149"/>
        <v>#N/A</v>
      </c>
      <c r="L767" t="e">
        <f t="shared" si="150"/>
        <v>#N/A</v>
      </c>
      <c r="M767" t="e">
        <f t="shared" si="151"/>
        <v>#N/A</v>
      </c>
      <c r="N767" t="e">
        <f t="shared" si="152"/>
        <v>#N/A</v>
      </c>
      <c r="O767">
        <f t="shared" si="153"/>
        <v>1.000767</v>
      </c>
      <c r="P767" t="str">
        <f>IF(OR($A767="",games!$H767=""),"",games!$H767)</f>
        <v/>
      </c>
      <c r="Q767" t="str">
        <f t="shared" si="154"/>
        <v/>
      </c>
      <c r="T767">
        <f>IF(connections!$A767="","",IFERROR(INDEX(games!$B$2:$B$950,MATCH(connections!$A767,games!$A$2:$A$950,0)),""))</f>
        <v>2015</v>
      </c>
      <c r="U767">
        <f>IF(connections!$A767="","",IFERROR(INDEX(games!$B$2:$B$950,MATCH(connections!$B767,games!$A$2:$A$950,0)),""))</f>
        <v>2025</v>
      </c>
      <c r="V767">
        <f t="shared" si="155"/>
        <v>10</v>
      </c>
    </row>
    <row r="768" spans="1:22" x14ac:dyDescent="0.25">
      <c r="A768" t="str">
        <f>IF(games!$A768="","",games!$A768)</f>
        <v>Teenage Mutant Ninja Turtles: Splintered Fate</v>
      </c>
      <c r="B768">
        <f>IF($A768="","",games!$B768)</f>
        <v>2024</v>
      </c>
      <c r="C768" t="str">
        <f>IF($A768="","",games!$C768)</f>
        <v>Action</v>
      </c>
      <c r="D768">
        <f>IF($A768="","",COUNTIF(connections!$A$2:$A$1460,$A768)+COUNTIF(connections!$B$2:$B$1460,$A768))</f>
        <v>3</v>
      </c>
      <c r="E768">
        <f t="shared" si="143"/>
        <v>1</v>
      </c>
      <c r="F768">
        <f t="shared" si="144"/>
        <v>20</v>
      </c>
      <c r="G768">
        <f t="shared" si="145"/>
        <v>2024</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2015</v>
      </c>
      <c r="U768">
        <f>IF(connections!$A768="","",IFERROR(INDEX(games!$B$2:$B$950,MATCH(connections!$B768,games!$A$2:$A$950,0)),""))</f>
        <v>2023</v>
      </c>
      <c r="V768">
        <f t="shared" si="155"/>
        <v>8</v>
      </c>
    </row>
    <row r="769" spans="1:22" x14ac:dyDescent="0.25">
      <c r="A769" t="str">
        <f>IF(games!$A769="","",games!$A769)</f>
        <v>Temtem: Swarm</v>
      </c>
      <c r="B769">
        <f>IF($A769="","",games!$B769)</f>
        <v>2024</v>
      </c>
      <c r="C769" t="str">
        <f>IF($A769="","",games!$C769)</f>
        <v>Action</v>
      </c>
      <c r="D769">
        <f>IF($A769="","",COUNTIF(connections!$A$2:$A$1460,$A769)+COUNTIF(connections!$B$2:$B$1460,$A769))</f>
        <v>1</v>
      </c>
      <c r="E769">
        <f t="shared" si="143"/>
        <v>1</v>
      </c>
      <c r="F769">
        <f t="shared" si="144"/>
        <v>21</v>
      </c>
      <c r="G769">
        <f t="shared" si="145"/>
        <v>2024</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2015</v>
      </c>
      <c r="U769">
        <f>IF(connections!$A769="","",IFERROR(INDEX(games!$B$2:$B$950,MATCH(connections!$B769,games!$A$2:$A$950,0)),""))</f>
        <v>2025</v>
      </c>
      <c r="V769">
        <f t="shared" si="155"/>
        <v>10</v>
      </c>
    </row>
    <row r="770" spans="1:22" x14ac:dyDescent="0.25">
      <c r="A770" t="str">
        <f>IF(games!$A770="","",games!$A770)</f>
        <v>Terraformers</v>
      </c>
      <c r="B770">
        <f>IF($A770="","",games!$B770)</f>
        <v>2022</v>
      </c>
      <c r="C770" t="str">
        <f>IF($A770="","",games!$C770)</f>
        <v>Strategy</v>
      </c>
      <c r="D770">
        <f>IF($A770="","",COUNTIF(connections!$A$2:$A$1460,$A770)+COUNTIF(connections!$B$2:$B$1460,$A770))</f>
        <v>1</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2022</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IF(connections!$A770="","",IFERROR(INDEX(games!$B$2:$B$950,MATCH(connections!$A770,games!$A$2:$A$950,0)),""))</f>
        <v>2015</v>
      </c>
      <c r="U770">
        <f>IF(connections!$A770="","",IFERROR(INDEX(games!$B$2:$B$950,MATCH(connections!$B770,games!$A$2:$A$950,0)),""))</f>
        <v>2020</v>
      </c>
      <c r="V770">
        <f t="shared" ref="V770:V833" si="168">IF(OR($T770="",$U770=""),"",$U770-$T770)</f>
        <v>5</v>
      </c>
    </row>
    <row r="771" spans="1:22" x14ac:dyDescent="0.25">
      <c r="A771" t="str">
        <f>IF(games!$A771="","",games!$A771)</f>
        <v>TerraTech Legion</v>
      </c>
      <c r="B771">
        <f>IF($A771="","",games!$B771)</f>
        <v>2026</v>
      </c>
      <c r="C771" t="str">
        <f>IF($A771="","",games!$C771)</f>
        <v>Action</v>
      </c>
      <c r="D771">
        <f>IF($A771="","",COUNTIF(connections!$A$2:$A$1460,$A771)+COUNTIF(connections!$B$2:$B$1460,$A771))</f>
        <v>1</v>
      </c>
      <c r="E771">
        <f t="shared" si="156"/>
        <v>1</v>
      </c>
      <c r="F771">
        <f t="shared" si="157"/>
        <v>23</v>
      </c>
      <c r="G771">
        <f t="shared" si="158"/>
        <v>2026</v>
      </c>
      <c r="H771">
        <f t="shared" si="159"/>
        <v>1.5289999999999999</v>
      </c>
      <c r="I771" t="e">
        <f t="shared" si="160"/>
        <v>#N/A</v>
      </c>
      <c r="J771" t="e">
        <f t="shared" si="161"/>
        <v>#N/A</v>
      </c>
      <c r="K771" t="e">
        <f t="shared" si="162"/>
        <v>#N/A</v>
      </c>
      <c r="L771" t="e">
        <f t="shared" si="163"/>
        <v>#N/A</v>
      </c>
      <c r="M771" t="e">
        <f t="shared" si="164"/>
        <v>#N/A</v>
      </c>
      <c r="N771" t="e">
        <f t="shared" si="165"/>
        <v>#N/A</v>
      </c>
      <c r="O771">
        <f t="shared" si="166"/>
        <v>1.0007710000000001</v>
      </c>
      <c r="P771" t="str">
        <f>IF(OR($A771="",games!$H771=""),"",games!$H771)</f>
        <v/>
      </c>
      <c r="Q771" t="str">
        <f t="shared" si="167"/>
        <v/>
      </c>
      <c r="T771">
        <f>IF(connections!$A771="","",IFERROR(INDEX(games!$B$2:$B$950,MATCH(connections!$A771,games!$A$2:$A$950,0)),""))</f>
        <v>2015</v>
      </c>
      <c r="U771">
        <f>IF(connections!$A771="","",IFERROR(INDEX(games!$B$2:$B$950,MATCH(connections!$B771,games!$A$2:$A$950,0)),""))</f>
        <v>2019</v>
      </c>
      <c r="V771">
        <f t="shared" si="168"/>
        <v>4</v>
      </c>
    </row>
    <row r="772" spans="1:22" x14ac:dyDescent="0.25">
      <c r="A772" t="str">
        <f>IF(games!$A772="","",games!$A772)</f>
        <v>TerRoguelike</v>
      </c>
      <c r="B772">
        <f>IF($A772="","",games!$B772)</f>
        <v>2024</v>
      </c>
      <c r="C772" t="str">
        <f>IF($A772="","",games!$C772)</f>
        <v>Action</v>
      </c>
      <c r="D772">
        <f>IF($A772="","",COUNTIF(connections!$A$2:$A$1460,$A772)+COUNTIF(connections!$B$2:$B$1460,$A772))</f>
        <v>1</v>
      </c>
      <c r="E772">
        <f t="shared" si="156"/>
        <v>1</v>
      </c>
      <c r="F772">
        <f t="shared" si="157"/>
        <v>24</v>
      </c>
      <c r="G772">
        <f t="shared" si="158"/>
        <v>2024</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
      </c>
      <c r="Q772" t="str">
        <f t="shared" si="167"/>
        <v/>
      </c>
      <c r="T772">
        <f>IF(connections!$A772="","",IFERROR(INDEX(games!$B$2:$B$950,MATCH(connections!$A772,games!$A$2:$A$950,0)),""))</f>
        <v>2015</v>
      </c>
      <c r="U772">
        <f>IF(connections!$A772="","",IFERROR(INDEX(games!$B$2:$B$950,MATCH(connections!$B772,games!$A$2:$A$950,0)),""))</f>
        <v>2019</v>
      </c>
      <c r="V772">
        <f t="shared" si="168"/>
        <v>4</v>
      </c>
    </row>
    <row r="773" spans="1:22" x14ac:dyDescent="0.25">
      <c r="A773" t="str">
        <f>IF(games!$A773="","",games!$A773)</f>
        <v>The Bazaar</v>
      </c>
      <c r="B773">
        <f>IF($A773="","",games!$B773)</f>
        <v>2025</v>
      </c>
      <c r="C773" t="str">
        <f>IF($A773="","",games!$C773)</f>
        <v>Strategy</v>
      </c>
      <c r="D773">
        <f>IF($A773="","",COUNTIF(connections!$A$2:$A$1460,$A773)+COUNTIF(connections!$B$2:$B$1460,$A773))</f>
        <v>5</v>
      </c>
      <c r="E773">
        <f t="shared" si="156"/>
        <v>2</v>
      </c>
      <c r="F773">
        <f t="shared" si="157"/>
        <v>25</v>
      </c>
      <c r="G773" t="e">
        <f t="shared" si="158"/>
        <v>#N/A</v>
      </c>
      <c r="H773" t="e">
        <f t="shared" si="159"/>
        <v>#N/A</v>
      </c>
      <c r="I773">
        <f t="shared" si="160"/>
        <v>2025</v>
      </c>
      <c r="J773">
        <f t="shared" si="161"/>
        <v>2.5750000000000002</v>
      </c>
      <c r="K773" t="e">
        <f t="shared" si="162"/>
        <v>#N/A</v>
      </c>
      <c r="L773" t="e">
        <f t="shared" si="163"/>
        <v>#N/A</v>
      </c>
      <c r="M773" t="e">
        <f t="shared" si="164"/>
        <v>#N/A</v>
      </c>
      <c r="N773" t="e">
        <f t="shared" si="165"/>
        <v>#N/A</v>
      </c>
      <c r="O773">
        <f t="shared" si="166"/>
        <v>5.0007729999999997</v>
      </c>
      <c r="P773" t="str">
        <f>IF(OR($A773="",games!$H773=""),"",games!$H773)</f>
        <v/>
      </c>
      <c r="Q773" t="str">
        <f t="shared" si="167"/>
        <v/>
      </c>
      <c r="T773">
        <f>IF(connections!$A773="","",IFERROR(INDEX(games!$B$2:$B$950,MATCH(connections!$A773,games!$A$2:$A$950,0)),""))</f>
        <v>2015</v>
      </c>
      <c r="U773">
        <f>IF(connections!$A773="","",IFERROR(INDEX(games!$B$2:$B$950,MATCH(connections!$B773,games!$A$2:$A$950,0)),""))</f>
        <v>2020</v>
      </c>
      <c r="V773">
        <f t="shared" si="168"/>
        <v>5</v>
      </c>
    </row>
    <row r="774" spans="1:22" x14ac:dyDescent="0.25">
      <c r="A774" t="str">
        <f>IF(games!$A774="","",games!$A774)</f>
        <v>The Binding of Isaac</v>
      </c>
      <c r="B774">
        <f>IF($A774="","",games!$B774)</f>
        <v>2011</v>
      </c>
      <c r="C774" t="str">
        <f>IF($A774="","",games!$C774)</f>
        <v>Action</v>
      </c>
      <c r="D774">
        <f>IF($A774="","",COUNTIF(connections!$A$2:$A$1460,$A774)+COUNTIF(connections!$B$2:$B$1460,$A774))</f>
        <v>77</v>
      </c>
      <c r="E774">
        <f t="shared" si="156"/>
        <v>1</v>
      </c>
      <c r="F774">
        <f t="shared" si="157"/>
        <v>26</v>
      </c>
      <c r="G774">
        <f t="shared" si="158"/>
        <v>2011</v>
      </c>
      <c r="H774">
        <f t="shared" si="159"/>
        <v>1.5979999999999999</v>
      </c>
      <c r="I774" t="e">
        <f t="shared" si="160"/>
        <v>#N/A</v>
      </c>
      <c r="J774" t="e">
        <f t="shared" si="161"/>
        <v>#N/A</v>
      </c>
      <c r="K774" t="e">
        <f t="shared" si="162"/>
        <v>#N/A</v>
      </c>
      <c r="L774" t="e">
        <f t="shared" si="163"/>
        <v>#N/A</v>
      </c>
      <c r="M774" t="e">
        <f t="shared" si="164"/>
        <v>#N/A</v>
      </c>
      <c r="N774" t="e">
        <f t="shared" si="165"/>
        <v>#N/A</v>
      </c>
      <c r="O774">
        <f t="shared" si="166"/>
        <v>77.000774000000007</v>
      </c>
      <c r="P774" t="str">
        <f>IF(OR($A774="",games!$H774=""),"",games!$H774)</f>
        <v>Yes</v>
      </c>
      <c r="Q774">
        <f t="shared" si="167"/>
        <v>77.000774000000007</v>
      </c>
      <c r="T774">
        <f>IF(connections!$A774="","",IFERROR(INDEX(games!$B$2:$B$950,MATCH(connections!$A774,games!$A$2:$A$950,0)),""))</f>
        <v>2015</v>
      </c>
      <c r="U774">
        <f>IF(connections!$A774="","",IFERROR(INDEX(games!$B$2:$B$950,MATCH(connections!$B774,games!$A$2:$A$950,0)),""))</f>
        <v>2020</v>
      </c>
      <c r="V774">
        <f t="shared" si="168"/>
        <v>5</v>
      </c>
    </row>
    <row r="775" spans="1:22" x14ac:dyDescent="0.25">
      <c r="A775" t="str">
        <f>IF(games!$A775="","",games!$A775)</f>
        <v>The Binding of Isaac: Rebirth</v>
      </c>
      <c r="B775">
        <f>IF($A775="","",games!$B775)</f>
        <v>2014</v>
      </c>
      <c r="C775" t="str">
        <f>IF($A775="","",games!$C775)</f>
        <v>Action</v>
      </c>
      <c r="D775">
        <f>IF($A775="","",COUNTIF(connections!$A$2:$A$1460,$A775)+COUNTIF(connections!$B$2:$B$1460,$A775))</f>
        <v>1</v>
      </c>
      <c r="E775">
        <f t="shared" si="156"/>
        <v>1</v>
      </c>
      <c r="F775">
        <f t="shared" si="157"/>
        <v>27</v>
      </c>
      <c r="G775">
        <f t="shared" si="158"/>
        <v>2014</v>
      </c>
      <c r="H775">
        <f t="shared" si="159"/>
        <v>1.621</v>
      </c>
      <c r="I775" t="e">
        <f t="shared" si="160"/>
        <v>#N/A</v>
      </c>
      <c r="J775" t="e">
        <f t="shared" si="161"/>
        <v>#N/A</v>
      </c>
      <c r="K775" t="e">
        <f t="shared" si="162"/>
        <v>#N/A</v>
      </c>
      <c r="L775" t="e">
        <f t="shared" si="163"/>
        <v>#N/A</v>
      </c>
      <c r="M775" t="e">
        <f t="shared" si="164"/>
        <v>#N/A</v>
      </c>
      <c r="N775" t="e">
        <f t="shared" si="165"/>
        <v>#N/A</v>
      </c>
      <c r="O775">
        <f t="shared" si="166"/>
        <v>1.000775</v>
      </c>
      <c r="P775" t="str">
        <f>IF(OR($A775="",games!$H775=""),"",games!$H775)</f>
        <v>Yes</v>
      </c>
      <c r="Q775">
        <f t="shared" si="167"/>
        <v>1.000775</v>
      </c>
      <c r="T775">
        <f>IF(connections!$A775="","",IFERROR(INDEX(games!$B$2:$B$950,MATCH(connections!$A775,games!$A$2:$A$950,0)),""))</f>
        <v>2015</v>
      </c>
      <c r="U775">
        <f>IF(connections!$A775="","",IFERROR(INDEX(games!$B$2:$B$950,MATCH(connections!$B775,games!$A$2:$A$950,0)),""))</f>
        <v>2016</v>
      </c>
      <c r="V775">
        <f t="shared" si="168"/>
        <v>1</v>
      </c>
    </row>
    <row r="776" spans="1:22" x14ac:dyDescent="0.25">
      <c r="A776" t="str">
        <f>IF(games!$A776="","",games!$A776)</f>
        <v>The Doors of Trithius</v>
      </c>
      <c r="B776">
        <f>IF($A776="","",games!$B776)</f>
        <v>2021</v>
      </c>
      <c r="C776" t="str">
        <f>IF($A776="","",games!$C776)</f>
        <v>Traditional</v>
      </c>
      <c r="D776">
        <f>IF($A776="","",COUNTIF(connections!$A$2:$A$1460,$A776)+COUNTIF(connections!$B$2:$B$1460,$A776))</f>
        <v>3</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3.0007760000000001</v>
      </c>
      <c r="P776" t="str">
        <f>IF(OR($A776="",games!$H776=""),"",games!$H776)</f>
        <v/>
      </c>
      <c r="Q776" t="str">
        <f t="shared" si="167"/>
        <v/>
      </c>
      <c r="T776">
        <f>IF(connections!$A776="","",IFERROR(INDEX(games!$B$2:$B$950,MATCH(connections!$A776,games!$A$2:$A$950,0)),""))</f>
        <v>2015</v>
      </c>
      <c r="U776">
        <f>IF(connections!$A776="","",IFERROR(INDEX(games!$B$2:$B$950,MATCH(connections!$B776,games!$A$2:$A$950,0)),""))</f>
        <v>2016</v>
      </c>
      <c r="V776">
        <f t="shared" si="168"/>
        <v>1</v>
      </c>
    </row>
    <row r="777" spans="1:22" x14ac:dyDescent="0.25">
      <c r="A777" t="str">
        <f>IF(games!$A777="","",games!$A777)</f>
        <v>The Dungeon RPG</v>
      </c>
      <c r="B777">
        <f>IF($A777="","",games!$B777)</f>
        <v>2000</v>
      </c>
      <c r="C777" t="str">
        <f>IF($A777="","",games!$C777)</f>
        <v>Traditional</v>
      </c>
      <c r="D777">
        <f>IF($A777="","",COUNTIF(connections!$A$2:$A$1460,$A777)+COUNTIF(connections!$B$2:$B$1460,$A777))</f>
        <v>4</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2000</v>
      </c>
      <c r="N777">
        <f t="shared" si="165"/>
        <v>4.6669999999999998</v>
      </c>
      <c r="O777">
        <f t="shared" si="166"/>
        <v>4.0007770000000002</v>
      </c>
      <c r="P777" t="str">
        <f>IF(OR($A777="",games!$H777=""),"",games!$H777)</f>
        <v>Yes</v>
      </c>
      <c r="Q777">
        <f t="shared" si="167"/>
        <v>4.0007770000000002</v>
      </c>
      <c r="T777">
        <f>IF(connections!$A777="","",IFERROR(INDEX(games!$B$2:$B$950,MATCH(connections!$A777,games!$A$2:$A$950,0)),""))</f>
        <v>2015</v>
      </c>
      <c r="U777">
        <f>IF(connections!$A777="","",IFERROR(INDEX(games!$B$2:$B$950,MATCH(connections!$B777,games!$A$2:$A$950,0)),""))</f>
        <v>2016</v>
      </c>
      <c r="V777">
        <f t="shared" si="168"/>
        <v>1</v>
      </c>
    </row>
    <row r="778" spans="1:22" x14ac:dyDescent="0.25">
      <c r="A778" t="str">
        <f>IF(games!$A778="","",games!$A778)</f>
        <v>The Fable: Manga Build Roguelike</v>
      </c>
      <c r="B778">
        <f>IF($A778="","",games!$B778)</f>
        <v>2025</v>
      </c>
      <c r="C778" t="str">
        <f>IF($A778="","",games!$C778)</f>
        <v>Deckbuilder</v>
      </c>
      <c r="D778">
        <f>IF($A778="","",COUNTIF(connections!$A$2:$A$1460,$A778)+COUNTIF(connections!$B$2:$B$1460,$A778))</f>
        <v>0</v>
      </c>
      <c r="E778">
        <f t="shared" si="156"/>
        <v>3</v>
      </c>
      <c r="F778">
        <f t="shared" si="157"/>
        <v>30</v>
      </c>
      <c r="G778" t="e">
        <f t="shared" si="158"/>
        <v>#N/A</v>
      </c>
      <c r="H778" t="e">
        <f t="shared" si="159"/>
        <v>#N/A</v>
      </c>
      <c r="I778" t="e">
        <f t="shared" si="160"/>
        <v>#N/A</v>
      </c>
      <c r="J778" t="e">
        <f t="shared" si="161"/>
        <v>#N/A</v>
      </c>
      <c r="K778">
        <f t="shared" si="162"/>
        <v>2025</v>
      </c>
      <c r="L778">
        <f t="shared" si="163"/>
        <v>3.69</v>
      </c>
      <c r="M778" t="e">
        <f t="shared" si="164"/>
        <v>#N/A</v>
      </c>
      <c r="N778" t="e">
        <f t="shared" si="165"/>
        <v>#N/A</v>
      </c>
      <c r="O778">
        <f t="shared" si="166"/>
        <v>7.7800000000000005E-4</v>
      </c>
      <c r="P778" t="str">
        <f>IF(OR($A778="",games!$H778=""),"",games!$H778)</f>
        <v/>
      </c>
      <c r="Q778" t="str">
        <f t="shared" si="167"/>
        <v/>
      </c>
      <c r="T778">
        <f>IF(connections!$A778="","",IFERROR(INDEX(games!$B$2:$B$950,MATCH(connections!$A778,games!$A$2:$A$950,0)),""))</f>
        <v>2015</v>
      </c>
      <c r="U778">
        <f>IF(connections!$A778="","",IFERROR(INDEX(games!$B$2:$B$950,MATCH(connections!$B778,games!$A$2:$A$950,0)),""))</f>
        <v>2025</v>
      </c>
      <c r="V778">
        <f t="shared" si="168"/>
        <v>10</v>
      </c>
    </row>
    <row r="779" spans="1:22" x14ac:dyDescent="0.25">
      <c r="A779" t="str">
        <f>IF(games!$A779="","",games!$A779)</f>
        <v>The Flame in the Flood</v>
      </c>
      <c r="B779">
        <f>IF($A779="","",games!$B779)</f>
        <v>2016</v>
      </c>
      <c r="C779" t="str">
        <f>IF($A779="","",games!$C779)</f>
        <v>Action</v>
      </c>
      <c r="D779">
        <f>IF($A779="","",COUNTIF(connections!$A$2:$A$1460,$A779)+COUNTIF(connections!$B$2:$B$1460,$A779))</f>
        <v>1</v>
      </c>
      <c r="E779">
        <f t="shared" si="156"/>
        <v>1</v>
      </c>
      <c r="F779">
        <f t="shared" si="157"/>
        <v>31</v>
      </c>
      <c r="G779">
        <f t="shared" si="158"/>
        <v>2016</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IF(connections!$A779="","",IFERROR(INDEX(games!$B$2:$B$950,MATCH(connections!$A779,games!$A$2:$A$950,0)),""))</f>
        <v>2015</v>
      </c>
      <c r="U779">
        <f>IF(connections!$A779="","",IFERROR(INDEX(games!$B$2:$B$950,MATCH(connections!$B779,games!$A$2:$A$950,0)),""))</f>
        <v>2017</v>
      </c>
      <c r="V779">
        <f t="shared" si="168"/>
        <v>2</v>
      </c>
    </row>
    <row r="780" spans="1:22" x14ac:dyDescent="0.25">
      <c r="A780" t="str">
        <f>IF(games!$A780="","",games!$A780)</f>
        <v>The Ground Gives Way</v>
      </c>
      <c r="B780">
        <f>IF($A780="","",games!$B780)</f>
        <v>2014</v>
      </c>
      <c r="C780" t="str">
        <f>IF($A780="","",games!$C780)</f>
        <v>Traditional</v>
      </c>
      <c r="D780">
        <f>IF($A780="","",COUNTIF(connections!$A$2:$A$1460,$A780)+COUNTIF(connections!$B$2:$B$1460,$A780))</f>
        <v>4</v>
      </c>
      <c r="E780">
        <f t="shared" si="156"/>
        <v>4</v>
      </c>
      <c r="F780">
        <f t="shared" si="157"/>
        <v>32</v>
      </c>
      <c r="G780" t="e">
        <f t="shared" si="158"/>
        <v>#N/A</v>
      </c>
      <c r="H780" t="e">
        <f t="shared" si="159"/>
        <v>#N/A</v>
      </c>
      <c r="I780" t="e">
        <f t="shared" si="160"/>
        <v>#N/A</v>
      </c>
      <c r="J780" t="e">
        <f t="shared" si="161"/>
        <v>#N/A</v>
      </c>
      <c r="K780" t="e">
        <f t="shared" si="162"/>
        <v>#N/A</v>
      </c>
      <c r="L780" t="e">
        <f t="shared" si="163"/>
        <v>#N/A</v>
      </c>
      <c r="M780">
        <f t="shared" si="164"/>
        <v>2014</v>
      </c>
      <c r="N780">
        <f t="shared" si="165"/>
        <v>4.7359999999999998</v>
      </c>
      <c r="O780">
        <f t="shared" si="166"/>
        <v>4.0007799999999998</v>
      </c>
      <c r="P780" t="str">
        <f>IF(OR($A780="",games!$H780=""),"",games!$H780)</f>
        <v>Yes</v>
      </c>
      <c r="Q780">
        <f t="shared" si="167"/>
        <v>4.0007799999999998</v>
      </c>
      <c r="T780">
        <f>IF(connections!$A780="","",IFERROR(INDEX(games!$B$2:$B$950,MATCH(connections!$A780,games!$A$2:$A$950,0)),""))</f>
        <v>2015</v>
      </c>
      <c r="U780">
        <f>IF(connections!$A780="","",IFERROR(INDEX(games!$B$2:$B$950,MATCH(connections!$B780,games!$A$2:$A$950,0)),""))</f>
        <v>2023</v>
      </c>
      <c r="V780">
        <f t="shared" si="168"/>
        <v>8</v>
      </c>
    </row>
    <row r="781" spans="1:22" x14ac:dyDescent="0.25">
      <c r="A781" t="str">
        <f>IF(games!$A781="","",games!$A781)</f>
        <v>The Guided Fate Paradox</v>
      </c>
      <c r="B781">
        <f>IF($A781="","",games!$B781)</f>
        <v>2013</v>
      </c>
      <c r="C781" t="str">
        <f>IF($A781="","",games!$C781)</f>
        <v>Traditional</v>
      </c>
      <c r="D781">
        <f>IF($A781="","",COUNTIF(connections!$A$2:$A$1460,$A781)+COUNTIF(connections!$B$2:$B$1460,$A781))</f>
        <v>1</v>
      </c>
      <c r="E781">
        <f t="shared" si="156"/>
        <v>4</v>
      </c>
      <c r="F781">
        <f t="shared" si="157"/>
        <v>33</v>
      </c>
      <c r="G781" t="e">
        <f t="shared" si="158"/>
        <v>#N/A</v>
      </c>
      <c r="H781" t="e">
        <f t="shared" si="159"/>
        <v>#N/A</v>
      </c>
      <c r="I781" t="e">
        <f t="shared" si="160"/>
        <v>#N/A</v>
      </c>
      <c r="J781" t="e">
        <f t="shared" si="161"/>
        <v>#N/A</v>
      </c>
      <c r="K781" t="e">
        <f t="shared" si="162"/>
        <v>#N/A</v>
      </c>
      <c r="L781" t="e">
        <f t="shared" si="163"/>
        <v>#N/A</v>
      </c>
      <c r="M781">
        <f t="shared" si="164"/>
        <v>2013</v>
      </c>
      <c r="N781">
        <f t="shared" si="165"/>
        <v>4.7590000000000003</v>
      </c>
      <c r="O781">
        <f t="shared" si="166"/>
        <v>1.0007809999999999</v>
      </c>
      <c r="P781" t="str">
        <f>IF(OR($A781="",games!$H781=""),"",games!$H781)</f>
        <v/>
      </c>
      <c r="Q781" t="str">
        <f t="shared" si="167"/>
        <v/>
      </c>
      <c r="T781">
        <f>IF(connections!$A781="","",IFERROR(INDEX(games!$B$2:$B$950,MATCH(connections!$A781,games!$A$2:$A$950,0)),""))</f>
        <v>2015</v>
      </c>
      <c r="U781">
        <f>IF(connections!$A781="","",IFERROR(INDEX(games!$B$2:$B$950,MATCH(connections!$B781,games!$A$2:$A$950,0)),""))</f>
        <v>2022</v>
      </c>
      <c r="V781">
        <f t="shared" si="168"/>
        <v>7</v>
      </c>
    </row>
    <row r="782" spans="1:22" x14ac:dyDescent="0.25">
      <c r="A782" t="str">
        <f>IF(games!$A782="","",games!$A782)</f>
        <v>The King is Watching</v>
      </c>
      <c r="B782">
        <f>IF($A782="","",games!$B782)</f>
        <v>2025</v>
      </c>
      <c r="C782" t="str">
        <f>IF($A782="","",games!$C782)</f>
        <v>Strategy</v>
      </c>
      <c r="D782">
        <f>IF($A782="","",COUNTIF(connections!$A$2:$A$1460,$A782)+COUNTIF(connections!$B$2:$B$1460,$A782))</f>
        <v>0</v>
      </c>
      <c r="E782">
        <f t="shared" si="156"/>
        <v>2</v>
      </c>
      <c r="F782">
        <f t="shared" si="157"/>
        <v>0</v>
      </c>
      <c r="G782" t="e">
        <f t="shared" si="158"/>
        <v>#N/A</v>
      </c>
      <c r="H782" t="e">
        <f t="shared" si="159"/>
        <v>#N/A</v>
      </c>
      <c r="I782">
        <f t="shared" si="160"/>
        <v>2025</v>
      </c>
      <c r="J782">
        <f t="shared" si="161"/>
        <v>2</v>
      </c>
      <c r="K782" t="e">
        <f t="shared" si="162"/>
        <v>#N/A</v>
      </c>
      <c r="L782" t="e">
        <f t="shared" si="163"/>
        <v>#N/A</v>
      </c>
      <c r="M782" t="e">
        <f t="shared" si="164"/>
        <v>#N/A</v>
      </c>
      <c r="N782" t="e">
        <f t="shared" si="165"/>
        <v>#N/A</v>
      </c>
      <c r="O782">
        <f t="shared" si="166"/>
        <v>7.8200000000000003E-4</v>
      </c>
      <c r="P782" t="str">
        <f>IF(OR($A782="",games!$H782=""),"",games!$H782)</f>
        <v>Yes</v>
      </c>
      <c r="Q782">
        <f t="shared" si="167"/>
        <v>7.8200000000000003E-4</v>
      </c>
      <c r="T782">
        <f>IF(connections!$A782="","",IFERROR(INDEX(games!$B$2:$B$950,MATCH(connections!$A782,games!$A$2:$A$950,0)),""))</f>
        <v>2015</v>
      </c>
      <c r="U782">
        <f>IF(connections!$A782="","",IFERROR(INDEX(games!$B$2:$B$950,MATCH(connections!$B782,games!$A$2:$A$950,0)),""))</f>
        <v>2025</v>
      </c>
      <c r="V782">
        <f t="shared" si="168"/>
        <v>10</v>
      </c>
    </row>
    <row r="783" spans="1:22" x14ac:dyDescent="0.25">
      <c r="A783" t="str">
        <f>IF(games!$A783="","",games!$A783)</f>
        <v>The Last Flame</v>
      </c>
      <c r="B783">
        <f>IF($A783="","",games!$B783)</f>
        <v>2024</v>
      </c>
      <c r="C783" t="str">
        <f>IF($A783="","",games!$C783)</f>
        <v>Strategy</v>
      </c>
      <c r="D783">
        <f>IF($A783="","",COUNTIF(connections!$A$2:$A$1460,$A783)+COUNTIF(connections!$B$2:$B$1460,$A783))</f>
        <v>2</v>
      </c>
      <c r="E783">
        <f t="shared" si="156"/>
        <v>2</v>
      </c>
      <c r="F783">
        <f t="shared" si="157"/>
        <v>1</v>
      </c>
      <c r="G783" t="e">
        <f t="shared" si="158"/>
        <v>#N/A</v>
      </c>
      <c r="H783" t="e">
        <f t="shared" si="159"/>
        <v>#N/A</v>
      </c>
      <c r="I783">
        <f t="shared" si="160"/>
        <v>2024</v>
      </c>
      <c r="J783">
        <f t="shared" si="161"/>
        <v>2.0230000000000001</v>
      </c>
      <c r="K783" t="e">
        <f t="shared" si="162"/>
        <v>#N/A</v>
      </c>
      <c r="L783" t="e">
        <f t="shared" si="163"/>
        <v>#N/A</v>
      </c>
      <c r="M783" t="e">
        <f t="shared" si="164"/>
        <v>#N/A</v>
      </c>
      <c r="N783" t="e">
        <f t="shared" si="165"/>
        <v>#N/A</v>
      </c>
      <c r="O783">
        <f t="shared" si="166"/>
        <v>2.0007830000000002</v>
      </c>
      <c r="P783" t="str">
        <f>IF(OR($A783="",games!$H783=""),"",games!$H783)</f>
        <v/>
      </c>
      <c r="Q783" t="str">
        <f t="shared" si="167"/>
        <v/>
      </c>
      <c r="T783">
        <f>IF(connections!$A783="","",IFERROR(INDEX(games!$B$2:$B$950,MATCH(connections!$A783,games!$A$2:$A$950,0)),""))</f>
        <v>2015</v>
      </c>
      <c r="U783">
        <f>IF(connections!$A783="","",IFERROR(INDEX(games!$B$2:$B$950,MATCH(connections!$B783,games!$A$2:$A$950,0)),""))</f>
        <v>2026</v>
      </c>
      <c r="V783">
        <f t="shared" si="168"/>
        <v>11</v>
      </c>
    </row>
    <row r="784" spans="1:22" x14ac:dyDescent="0.25">
      <c r="A784" t="str">
        <f>IF(games!$A784="","",games!$A784)</f>
        <v>The Last Game</v>
      </c>
      <c r="B784">
        <f>IF($A784="","",games!$B784)</f>
        <v>2023</v>
      </c>
      <c r="C784" t="str">
        <f>IF($A784="","",games!$C784)</f>
        <v>Action</v>
      </c>
      <c r="D784">
        <f>IF($A784="","",COUNTIF(connections!$A$2:$A$1460,$A784)+COUNTIF(connections!$B$2:$B$1460,$A784))</f>
        <v>2</v>
      </c>
      <c r="E784">
        <f t="shared" si="156"/>
        <v>1</v>
      </c>
      <c r="F784">
        <f t="shared" si="157"/>
        <v>2</v>
      </c>
      <c r="G784">
        <f t="shared" si="158"/>
        <v>2023</v>
      </c>
      <c r="H784">
        <f t="shared" si="159"/>
        <v>1.046</v>
      </c>
      <c r="I784" t="e">
        <f t="shared" si="160"/>
        <v>#N/A</v>
      </c>
      <c r="J784" t="e">
        <f t="shared" si="161"/>
        <v>#N/A</v>
      </c>
      <c r="K784" t="e">
        <f t="shared" si="162"/>
        <v>#N/A</v>
      </c>
      <c r="L784" t="e">
        <f t="shared" si="163"/>
        <v>#N/A</v>
      </c>
      <c r="M784" t="e">
        <f t="shared" si="164"/>
        <v>#N/A</v>
      </c>
      <c r="N784" t="e">
        <f t="shared" si="165"/>
        <v>#N/A</v>
      </c>
      <c r="O784">
        <f t="shared" si="166"/>
        <v>2.0007839999999999</v>
      </c>
      <c r="P784" t="str">
        <f>IF(OR($A784="",games!$H784=""),"",games!$H784)</f>
        <v>Yes</v>
      </c>
      <c r="Q784">
        <f t="shared" si="167"/>
        <v>2.0007839999999999</v>
      </c>
      <c r="T784">
        <f>IF(connections!$A784="","",IFERROR(INDEX(games!$B$2:$B$950,MATCH(connections!$A784,games!$A$2:$A$950,0)),""))</f>
        <v>2015</v>
      </c>
      <c r="U784">
        <f>IF(connections!$A784="","",IFERROR(INDEX(games!$B$2:$B$950,MATCH(connections!$B784,games!$A$2:$A$950,0)),""))</f>
        <v>2020</v>
      </c>
      <c r="V784">
        <f t="shared" si="168"/>
        <v>5</v>
      </c>
    </row>
    <row r="785" spans="1:22" x14ac:dyDescent="0.25">
      <c r="A785" t="str">
        <f>IF(games!$A785="","",games!$A785)</f>
        <v>The Last Spell</v>
      </c>
      <c r="B785">
        <f>IF($A785="","",games!$B785)</f>
        <v>2021</v>
      </c>
      <c r="C785" t="str">
        <f>IF($A785="","",games!$C785)</f>
        <v>Strategy</v>
      </c>
      <c r="D785">
        <f>IF($A785="","",COUNTIF(connections!$A$2:$A$1460,$A785)+COUNTIF(connections!$B$2:$B$1460,$A785))</f>
        <v>4</v>
      </c>
      <c r="E785">
        <f t="shared" si="156"/>
        <v>2</v>
      </c>
      <c r="F785">
        <f t="shared" si="157"/>
        <v>3</v>
      </c>
      <c r="G785" t="e">
        <f t="shared" si="158"/>
        <v>#N/A</v>
      </c>
      <c r="H785" t="e">
        <f t="shared" si="159"/>
        <v>#N/A</v>
      </c>
      <c r="I785">
        <f t="shared" si="160"/>
        <v>2021</v>
      </c>
      <c r="J785">
        <f t="shared" si="161"/>
        <v>2.069</v>
      </c>
      <c r="K785" t="e">
        <f t="shared" si="162"/>
        <v>#N/A</v>
      </c>
      <c r="L785" t="e">
        <f t="shared" si="163"/>
        <v>#N/A</v>
      </c>
      <c r="M785" t="e">
        <f t="shared" si="164"/>
        <v>#N/A</v>
      </c>
      <c r="N785" t="e">
        <f t="shared" si="165"/>
        <v>#N/A</v>
      </c>
      <c r="O785">
        <f t="shared" si="166"/>
        <v>4.0007849999999996</v>
      </c>
      <c r="P785" t="str">
        <f>IF(OR($A785="",games!$H785=""),"",games!$H785)</f>
        <v>Yes</v>
      </c>
      <c r="Q785">
        <f t="shared" si="167"/>
        <v>4.0007849999999996</v>
      </c>
      <c r="T785">
        <f>IF(connections!$A785="","",IFERROR(INDEX(games!$B$2:$B$950,MATCH(connections!$A785,games!$A$2:$A$950,0)),""))</f>
        <v>2015</v>
      </c>
      <c r="U785">
        <f>IF(connections!$A785="","",IFERROR(INDEX(games!$B$2:$B$950,MATCH(connections!$B785,games!$A$2:$A$950,0)),""))</f>
        <v>2024</v>
      </c>
      <c r="V785">
        <f t="shared" si="168"/>
        <v>9</v>
      </c>
    </row>
    <row r="786" spans="1:22" x14ac:dyDescent="0.25">
      <c r="A786" t="str">
        <f>IF(games!$A786="","",games!$A786)</f>
        <v>The Legend of Bum-Bo</v>
      </c>
      <c r="B786">
        <f>IF($A786="","",games!$B786)</f>
        <v>2019</v>
      </c>
      <c r="C786" t="str">
        <f>IF($A786="","",games!$C786)</f>
        <v>Strategy</v>
      </c>
      <c r="D786">
        <f>IF($A786="","",COUNTIF(connections!$A$2:$A$1460,$A786)+COUNTIF(connections!$B$2:$B$1460,$A786))</f>
        <v>3</v>
      </c>
      <c r="E786">
        <f t="shared" si="156"/>
        <v>2</v>
      </c>
      <c r="F786">
        <f t="shared" si="157"/>
        <v>4</v>
      </c>
      <c r="G786" t="e">
        <f t="shared" si="158"/>
        <v>#N/A</v>
      </c>
      <c r="H786" t="e">
        <f t="shared" si="159"/>
        <v>#N/A</v>
      </c>
      <c r="I786">
        <f t="shared" si="160"/>
        <v>2019</v>
      </c>
      <c r="J786">
        <f t="shared" si="161"/>
        <v>2.0920000000000001</v>
      </c>
      <c r="K786" t="e">
        <f t="shared" si="162"/>
        <v>#N/A</v>
      </c>
      <c r="L786" t="e">
        <f t="shared" si="163"/>
        <v>#N/A</v>
      </c>
      <c r="M786" t="e">
        <f t="shared" si="164"/>
        <v>#N/A</v>
      </c>
      <c r="N786" t="e">
        <f t="shared" si="165"/>
        <v>#N/A</v>
      </c>
      <c r="O786">
        <f t="shared" si="166"/>
        <v>3.0007860000000002</v>
      </c>
      <c r="P786" t="str">
        <f>IF(OR($A786="",games!$H786=""),"",games!$H786)</f>
        <v>Yes</v>
      </c>
      <c r="Q786">
        <f t="shared" si="167"/>
        <v>3.0007860000000002</v>
      </c>
      <c r="T786">
        <f>IF(connections!$A786="","",IFERROR(INDEX(games!$B$2:$B$950,MATCH(connections!$A786,games!$A$2:$A$950,0)),""))</f>
        <v>2015</v>
      </c>
      <c r="U786">
        <f>IF(connections!$A786="","",IFERROR(INDEX(games!$B$2:$B$950,MATCH(connections!$B786,games!$A$2:$A$950,0)),""))</f>
        <v>2022</v>
      </c>
      <c r="V786">
        <f t="shared" si="168"/>
        <v>7</v>
      </c>
    </row>
    <row r="787" spans="1:22" x14ac:dyDescent="0.25">
      <c r="A787" t="str">
        <f>IF(games!$A787="","",games!$A787)</f>
        <v>The Loopler</v>
      </c>
      <c r="B787">
        <f>IF($A787="","",games!$B787)</f>
        <v>2026</v>
      </c>
      <c r="C787" t="str">
        <f>IF($A787="","",games!$C787)</f>
        <v>Deckbuilder</v>
      </c>
      <c r="D787">
        <f>IF($A787="","",COUNTIF(connections!$A$2:$A$1460,$A787)+COUNTIF(connections!$B$2:$B$1460,$A787))</f>
        <v>1</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2015</v>
      </c>
      <c r="U787">
        <f>IF(connections!$A787="","",IFERROR(INDEX(games!$B$2:$B$950,MATCH(connections!$B787,games!$A$2:$A$950,0)),""))</f>
        <v>2020</v>
      </c>
      <c r="V787">
        <f t="shared" si="168"/>
        <v>5</v>
      </c>
    </row>
    <row r="788" spans="1:22" x14ac:dyDescent="0.25">
      <c r="A788" t="str">
        <f>IF(games!$A788="","",games!$A788)</f>
        <v>The Magus Circle</v>
      </c>
      <c r="B788">
        <f>IF($A788="","",games!$B788)</f>
        <v>2026</v>
      </c>
      <c r="C788" t="str">
        <f>IF($A788="","",games!$C788)</f>
        <v>Action</v>
      </c>
      <c r="D788">
        <f>IF($A788="","",COUNTIF(connections!$A$2:$A$1460,$A788)+COUNTIF(connections!$B$2:$B$1460,$A788))</f>
        <v>1</v>
      </c>
      <c r="E788">
        <f t="shared" si="156"/>
        <v>1</v>
      </c>
      <c r="F788">
        <f t="shared" si="157"/>
        <v>6</v>
      </c>
      <c r="G788">
        <f t="shared" si="158"/>
        <v>2026</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2015</v>
      </c>
      <c r="U788">
        <f>IF(connections!$A788="","",IFERROR(INDEX(games!$B$2:$B$950,MATCH(connections!$B788,games!$A$2:$A$950,0)),""))</f>
        <v>2024</v>
      </c>
      <c r="V788">
        <f t="shared" si="168"/>
        <v>9</v>
      </c>
    </row>
    <row r="789" spans="1:22" x14ac:dyDescent="0.25">
      <c r="A789" t="str">
        <f>IF(games!$A789="","",games!$A789)</f>
        <v>The Nightmare of Druaga</v>
      </c>
      <c r="B789">
        <f>IF($A789="","",games!$B789)</f>
        <v>2004</v>
      </c>
      <c r="C789" t="str">
        <f>IF($A789="","",games!$C789)</f>
        <v>Traditional</v>
      </c>
      <c r="D789">
        <f>IF($A789="","",COUNTIF(connections!$A$2:$A$1460,$A789)+COUNTIF(connections!$B$2:$B$1460,$A789))</f>
        <v>1</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2004</v>
      </c>
      <c r="N789">
        <f t="shared" si="165"/>
        <v>4.1609999999999996</v>
      </c>
      <c r="O789">
        <f t="shared" si="166"/>
        <v>1.0007889999999999</v>
      </c>
      <c r="P789" t="str">
        <f>IF(OR($A789="",games!$H789=""),"",games!$H789)</f>
        <v>Yes</v>
      </c>
      <c r="Q789">
        <f t="shared" si="167"/>
        <v>1.0007889999999999</v>
      </c>
      <c r="T789">
        <f>IF(connections!$A789="","",IFERROR(INDEX(games!$B$2:$B$950,MATCH(connections!$A789,games!$A$2:$A$950,0)),""))</f>
        <v>2015</v>
      </c>
      <c r="U789">
        <f>IF(connections!$A789="","",IFERROR(INDEX(games!$B$2:$B$950,MATCH(connections!$B789,games!$A$2:$A$950,0)),""))</f>
        <v>2023</v>
      </c>
      <c r="V789">
        <f t="shared" si="168"/>
        <v>8</v>
      </c>
    </row>
    <row r="790" spans="1:22" x14ac:dyDescent="0.25">
      <c r="A790" t="str">
        <f>IF(games!$A790="","",games!$A790)</f>
        <v>The Ouroboros King</v>
      </c>
      <c r="B790">
        <f>IF($A790="","",games!$B790)</f>
        <v>2023</v>
      </c>
      <c r="C790" t="str">
        <f>IF($A790="","",games!$C790)</f>
        <v>Strategy</v>
      </c>
      <c r="D790">
        <f>IF($A790="","",COUNTIF(connections!$A$2:$A$1460,$A790)+COUNTIF(connections!$B$2:$B$1460,$A790))</f>
        <v>4</v>
      </c>
      <c r="E790">
        <f t="shared" si="156"/>
        <v>2</v>
      </c>
      <c r="F790">
        <f t="shared" si="157"/>
        <v>8</v>
      </c>
      <c r="G790" t="e">
        <f t="shared" si="158"/>
        <v>#N/A</v>
      </c>
      <c r="H790" t="e">
        <f t="shared" si="159"/>
        <v>#N/A</v>
      </c>
      <c r="I790">
        <f t="shared" si="160"/>
        <v>2023</v>
      </c>
      <c r="J790">
        <f t="shared" si="161"/>
        <v>2.1840000000000002</v>
      </c>
      <c r="K790" t="e">
        <f t="shared" si="162"/>
        <v>#N/A</v>
      </c>
      <c r="L790" t="e">
        <f t="shared" si="163"/>
        <v>#N/A</v>
      </c>
      <c r="M790" t="e">
        <f t="shared" si="164"/>
        <v>#N/A</v>
      </c>
      <c r="N790" t="e">
        <f t="shared" si="165"/>
        <v>#N/A</v>
      </c>
      <c r="O790">
        <f t="shared" si="166"/>
        <v>4.0007900000000003</v>
      </c>
      <c r="P790" t="str">
        <f>IF(OR($A790="",games!$H790=""),"",games!$H790)</f>
        <v>Yes</v>
      </c>
      <c r="Q790">
        <f t="shared" si="167"/>
        <v>4.0007900000000003</v>
      </c>
      <c r="T790">
        <f>IF(connections!$A790="","",IFERROR(INDEX(games!$B$2:$B$950,MATCH(connections!$A790,games!$A$2:$A$950,0)),""))</f>
        <v>2015</v>
      </c>
      <c r="U790">
        <f>IF(connections!$A790="","",IFERROR(INDEX(games!$B$2:$B$950,MATCH(connections!$B790,games!$A$2:$A$950,0)),""))</f>
        <v>2019</v>
      </c>
      <c r="V790">
        <f t="shared" si="168"/>
        <v>4</v>
      </c>
    </row>
    <row r="791" spans="1:22" x14ac:dyDescent="0.25">
      <c r="A791" t="str">
        <f>IF(games!$A791="","",games!$A791)</f>
        <v>The Rogue Prince of Persia</v>
      </c>
      <c r="B791">
        <f>IF($A791="","",games!$B791)</f>
        <v>2024</v>
      </c>
      <c r="C791" t="str">
        <f>IF($A791="","",games!$C791)</f>
        <v>Action</v>
      </c>
      <c r="D791">
        <f>IF($A791="","",COUNTIF(connections!$A$2:$A$1460,$A791)+COUNTIF(connections!$B$2:$B$1460,$A791))</f>
        <v>1</v>
      </c>
      <c r="E791">
        <f t="shared" si="156"/>
        <v>1</v>
      </c>
      <c r="F791">
        <f t="shared" si="157"/>
        <v>9</v>
      </c>
      <c r="G791">
        <f t="shared" si="158"/>
        <v>2024</v>
      </c>
      <c r="H791">
        <f t="shared" si="159"/>
        <v>1.2070000000000001</v>
      </c>
      <c r="I791" t="e">
        <f t="shared" si="160"/>
        <v>#N/A</v>
      </c>
      <c r="J791" t="e">
        <f t="shared" si="161"/>
        <v>#N/A</v>
      </c>
      <c r="K791" t="e">
        <f t="shared" si="162"/>
        <v>#N/A</v>
      </c>
      <c r="L791" t="e">
        <f t="shared" si="163"/>
        <v>#N/A</v>
      </c>
      <c r="M791" t="e">
        <f t="shared" si="164"/>
        <v>#N/A</v>
      </c>
      <c r="N791" t="e">
        <f t="shared" si="165"/>
        <v>#N/A</v>
      </c>
      <c r="O791">
        <f t="shared" si="166"/>
        <v>1.000791</v>
      </c>
      <c r="P791" t="str">
        <f>IF(OR($A791="",games!$H791=""),"",games!$H791)</f>
        <v>Yes</v>
      </c>
      <c r="Q791">
        <f t="shared" si="167"/>
        <v>1.000791</v>
      </c>
      <c r="T791">
        <f>IF(connections!$A791="","",IFERROR(INDEX(games!$B$2:$B$950,MATCH(connections!$A791,games!$A$2:$A$950,0)),""))</f>
        <v>2015</v>
      </c>
      <c r="U791">
        <f>IF(connections!$A791="","",IFERROR(INDEX(games!$B$2:$B$950,MATCH(connections!$B791,games!$A$2:$A$950,0)),""))</f>
        <v>2022</v>
      </c>
      <c r="V791">
        <f t="shared" si="168"/>
        <v>7</v>
      </c>
    </row>
    <row r="792" spans="1:22" x14ac:dyDescent="0.25">
      <c r="A792" t="str">
        <f>IF(games!$A792="","",games!$A792)</f>
        <v>The Royal Writ</v>
      </c>
      <c r="B792">
        <f>IF($A792="","",games!$B792)</f>
        <v>2025</v>
      </c>
      <c r="C792" t="str">
        <f>IF($A792="","",games!$C792)</f>
        <v>Deckbuilder</v>
      </c>
      <c r="D792">
        <f>IF($A792="","",COUNTIF(connections!$A$2:$A$1460,$A792)+COUNTIF(connections!$B$2:$B$1460,$A792))</f>
        <v>5</v>
      </c>
      <c r="E792">
        <f t="shared" si="156"/>
        <v>3</v>
      </c>
      <c r="F792">
        <f t="shared" si="157"/>
        <v>10</v>
      </c>
      <c r="G792" t="e">
        <f t="shared" si="158"/>
        <v>#N/A</v>
      </c>
      <c r="H792" t="e">
        <f t="shared" si="159"/>
        <v>#N/A</v>
      </c>
      <c r="I792" t="e">
        <f t="shared" si="160"/>
        <v>#N/A</v>
      </c>
      <c r="J792" t="e">
        <f t="shared" si="161"/>
        <v>#N/A</v>
      </c>
      <c r="K792">
        <f t="shared" si="162"/>
        <v>2025</v>
      </c>
      <c r="L792">
        <f t="shared" si="163"/>
        <v>3.23</v>
      </c>
      <c r="M792" t="e">
        <f t="shared" si="164"/>
        <v>#N/A</v>
      </c>
      <c r="N792" t="e">
        <f t="shared" si="165"/>
        <v>#N/A</v>
      </c>
      <c r="O792">
        <f t="shared" si="166"/>
        <v>5.0007919999999997</v>
      </c>
      <c r="P792" t="str">
        <f>IF(OR($A792="",games!$H792=""),"",games!$H792)</f>
        <v>Yes</v>
      </c>
      <c r="Q792">
        <f t="shared" si="167"/>
        <v>5.0007919999999997</v>
      </c>
      <c r="T792">
        <f>IF(connections!$A792="","",IFERROR(INDEX(games!$B$2:$B$950,MATCH(connections!$A792,games!$A$2:$A$950,0)),""))</f>
        <v>2015</v>
      </c>
      <c r="U792">
        <f>IF(connections!$A792="","",IFERROR(INDEX(games!$B$2:$B$950,MATCH(connections!$B792,games!$A$2:$A$950,0)),""))</f>
        <v>2023</v>
      </c>
      <c r="V792">
        <f t="shared" si="168"/>
        <v>8</v>
      </c>
    </row>
    <row r="793" spans="1:22" x14ac:dyDescent="0.25">
      <c r="A793" t="str">
        <f>IF(games!$A793="","",games!$A793)</f>
        <v>The Spell Brigade</v>
      </c>
      <c r="B793">
        <f>IF($A793="","",games!$B793)</f>
        <v>2024</v>
      </c>
      <c r="C793" t="str">
        <f>IF($A793="","",games!$C793)</f>
        <v>Action</v>
      </c>
      <c r="D793">
        <f>IF($A793="","",COUNTIF(connections!$A$2:$A$1460,$A793)+COUNTIF(connections!$B$2:$B$1460,$A793))</f>
        <v>3</v>
      </c>
      <c r="E793">
        <f t="shared" si="156"/>
        <v>1</v>
      </c>
      <c r="F793">
        <f t="shared" si="157"/>
        <v>11</v>
      </c>
      <c r="G793">
        <f t="shared" si="158"/>
        <v>2024</v>
      </c>
      <c r="H793">
        <f t="shared" si="159"/>
        <v>1.2530000000000001</v>
      </c>
      <c r="I793" t="e">
        <f t="shared" si="160"/>
        <v>#N/A</v>
      </c>
      <c r="J793" t="e">
        <f t="shared" si="161"/>
        <v>#N/A</v>
      </c>
      <c r="K793" t="e">
        <f t="shared" si="162"/>
        <v>#N/A</v>
      </c>
      <c r="L793" t="e">
        <f t="shared" si="163"/>
        <v>#N/A</v>
      </c>
      <c r="M793" t="e">
        <f t="shared" si="164"/>
        <v>#N/A</v>
      </c>
      <c r="N793" t="e">
        <f t="shared" si="165"/>
        <v>#N/A</v>
      </c>
      <c r="O793">
        <f t="shared" si="166"/>
        <v>3.0007929999999998</v>
      </c>
      <c r="P793" t="str">
        <f>IF(OR($A793="",games!$H793=""),"",games!$H793)</f>
        <v/>
      </c>
      <c r="Q793" t="str">
        <f t="shared" si="167"/>
        <v/>
      </c>
      <c r="T793">
        <f>IF(connections!$A793="","",IFERROR(INDEX(games!$B$2:$B$950,MATCH(connections!$A793,games!$A$2:$A$950,0)),""))</f>
        <v>2026</v>
      </c>
      <c r="U793">
        <f>IF(connections!$A793="","",IFERROR(INDEX(games!$B$2:$B$950,MATCH(connections!$B793,games!$A$2:$A$950,0)),""))</f>
        <v>2026</v>
      </c>
      <c r="V793">
        <f t="shared" si="168"/>
        <v>0</v>
      </c>
    </row>
    <row r="794" spans="1:22" x14ac:dyDescent="0.25">
      <c r="A794" t="str">
        <f>IF(games!$A794="","",games!$A794)</f>
        <v>The Spirit Lift</v>
      </c>
      <c r="B794">
        <f>IF($A794="","",games!$B794)</f>
        <v>2026</v>
      </c>
      <c r="C794" t="str">
        <f>IF($A794="","",games!$C794)</f>
        <v>Deckbuilder</v>
      </c>
      <c r="D794">
        <f>IF($A794="","",COUNTIF(connections!$A$2:$A$1460,$A794)+COUNTIF(connections!$B$2:$B$1460,$A794))</f>
        <v>2</v>
      </c>
      <c r="E794">
        <f t="shared" si="156"/>
        <v>3</v>
      </c>
      <c r="F794">
        <f t="shared" si="157"/>
        <v>12</v>
      </c>
      <c r="G794" t="e">
        <f t="shared" si="158"/>
        <v>#N/A</v>
      </c>
      <c r="H794" t="e">
        <f t="shared" si="159"/>
        <v>#N/A</v>
      </c>
      <c r="I794" t="e">
        <f t="shared" si="160"/>
        <v>#N/A</v>
      </c>
      <c r="J794" t="e">
        <f t="shared" si="161"/>
        <v>#N/A</v>
      </c>
      <c r="K794">
        <f t="shared" si="162"/>
        <v>2026</v>
      </c>
      <c r="L794">
        <f t="shared" si="163"/>
        <v>3.2759999999999998</v>
      </c>
      <c r="M794" t="e">
        <f t="shared" si="164"/>
        <v>#N/A</v>
      </c>
      <c r="N794" t="e">
        <f t="shared" si="165"/>
        <v>#N/A</v>
      </c>
      <c r="O794">
        <f t="shared" si="166"/>
        <v>2.000794</v>
      </c>
      <c r="P794" t="str">
        <f>IF(OR($A794="",games!$H794=""),"",games!$H794)</f>
        <v>Yes</v>
      </c>
      <c r="Q794">
        <f t="shared" si="167"/>
        <v>2.000794</v>
      </c>
      <c r="T794">
        <f>IF(connections!$A794="","",IFERROR(INDEX(games!$B$2:$B$950,MATCH(connections!$A794,games!$A$2:$A$950,0)),""))</f>
        <v>1987</v>
      </c>
      <c r="U794">
        <f>IF(connections!$A794="","",IFERROR(INDEX(games!$B$2:$B$950,MATCH(connections!$B794,games!$A$2:$A$950,0)),""))</f>
        <v>1994</v>
      </c>
      <c r="V794">
        <f t="shared" si="168"/>
        <v>7</v>
      </c>
    </row>
    <row r="795" spans="1:22" x14ac:dyDescent="0.25">
      <c r="A795" t="str">
        <f>IF(games!$A795="","",games!$A795)</f>
        <v>The Unliving</v>
      </c>
      <c r="B795">
        <f>IF($A795="","",games!$B795)</f>
        <v>2022</v>
      </c>
      <c r="C795" t="str">
        <f>IF($A795="","",games!$C795)</f>
        <v>Action</v>
      </c>
      <c r="D795">
        <f>IF($A795="","",COUNTIF(connections!$A$2:$A$1460,$A795)+COUNTIF(connections!$B$2:$B$1460,$A795))</f>
        <v>3</v>
      </c>
      <c r="E795">
        <f t="shared" si="156"/>
        <v>1</v>
      </c>
      <c r="F795">
        <f t="shared" si="157"/>
        <v>13</v>
      </c>
      <c r="G795">
        <f t="shared" si="158"/>
        <v>2022</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Yes</v>
      </c>
      <c r="Q795">
        <f t="shared" si="167"/>
        <v>3.0007950000000001</v>
      </c>
      <c r="T795">
        <f>IF(connections!$A795="","",IFERROR(INDEX(games!$B$2:$B$950,MATCH(connections!$A795,games!$A$2:$A$950,0)),""))</f>
        <v>1987</v>
      </c>
      <c r="U795">
        <f>IF(connections!$A795="","",IFERROR(INDEX(games!$B$2:$B$950,MATCH(connections!$B795,games!$A$2:$A$950,0)),""))</f>
        <v>2010</v>
      </c>
      <c r="V795">
        <f t="shared" si="168"/>
        <v>23</v>
      </c>
    </row>
    <row r="796" spans="1:22" x14ac:dyDescent="0.25">
      <c r="A796" t="str">
        <f>IF(games!$A796="","",games!$A796)</f>
        <v>The Void Rains Upon Her Heart</v>
      </c>
      <c r="B796">
        <f>IF($A796="","",games!$B796)</f>
        <v>2018</v>
      </c>
      <c r="C796" t="str">
        <f>IF($A796="","",games!$C796)</f>
        <v>Action</v>
      </c>
      <c r="D796">
        <f>IF($A796="","",COUNTIF(connections!$A$2:$A$1460,$A796)+COUNTIF(connections!$B$2:$B$1460,$A796))</f>
        <v>1</v>
      </c>
      <c r="E796">
        <f t="shared" si="156"/>
        <v>1</v>
      </c>
      <c r="F796">
        <f t="shared" si="157"/>
        <v>14</v>
      </c>
      <c r="G796">
        <f t="shared" si="158"/>
        <v>2018</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1987</v>
      </c>
      <c r="U796">
        <f>IF(connections!$A796="","",IFERROR(INDEX(games!$B$2:$B$950,MATCH(connections!$B796,games!$A$2:$A$950,0)),""))</f>
        <v>2007</v>
      </c>
      <c r="V796">
        <f t="shared" si="168"/>
        <v>20</v>
      </c>
    </row>
    <row r="797" spans="1:22" x14ac:dyDescent="0.25">
      <c r="A797" t="str">
        <f>IF(games!$A797="","",games!$A797)</f>
        <v>The World is Your Weapon</v>
      </c>
      <c r="B797">
        <f>IF($A797="","",games!$B797)</f>
        <v>2014</v>
      </c>
      <c r="C797" t="str">
        <f>IF($A797="","",games!$C797)</f>
        <v>Traditional</v>
      </c>
      <c r="D797">
        <f>IF($A797="","",COUNTIF(connections!$A$2:$A$1460,$A797)+COUNTIF(connections!$B$2:$B$1460,$A797))</f>
        <v>1</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2014</v>
      </c>
      <c r="N797">
        <f t="shared" si="165"/>
        <v>4.3449999999999998</v>
      </c>
      <c r="O797">
        <f t="shared" si="166"/>
        <v>1.0007969999999999</v>
      </c>
      <c r="P797" t="str">
        <f>IF(OR($A797="",games!$H797=""),"",games!$H797)</f>
        <v/>
      </c>
      <c r="Q797" t="str">
        <f t="shared" si="167"/>
        <v/>
      </c>
      <c r="T797">
        <f>IF(connections!$A797="","",IFERROR(INDEX(games!$B$2:$B$950,MATCH(connections!$A797,games!$A$2:$A$950,0)),""))</f>
        <v>1987</v>
      </c>
      <c r="U797">
        <f>IF(connections!$A797="","",IFERROR(INDEX(games!$B$2:$B$950,MATCH(connections!$B797,games!$A$2:$A$950,0)),""))</f>
        <v>2015</v>
      </c>
      <c r="V797">
        <f t="shared" si="168"/>
        <v>28</v>
      </c>
    </row>
    <row r="798" spans="1:22" x14ac:dyDescent="0.25">
      <c r="A798" t="str">
        <f>IF(games!$A798="","",games!$A798)</f>
        <v>There Are No Orcs</v>
      </c>
      <c r="B798">
        <f>IF($A798="","",games!$B798)</f>
        <v>2025</v>
      </c>
      <c r="C798" t="str">
        <f>IF($A798="","",games!$C798)</f>
        <v>Strategy</v>
      </c>
      <c r="D798">
        <f>IF($A798="","",COUNTIF(connections!$A$2:$A$1460,$A798)+COUNTIF(connections!$B$2:$B$1460,$A798))</f>
        <v>0</v>
      </c>
      <c r="E798">
        <f t="shared" si="156"/>
        <v>2</v>
      </c>
      <c r="F798">
        <f t="shared" si="157"/>
        <v>16</v>
      </c>
      <c r="G798" t="e">
        <f t="shared" si="158"/>
        <v>#N/A</v>
      </c>
      <c r="H798" t="e">
        <f t="shared" si="159"/>
        <v>#N/A</v>
      </c>
      <c r="I798">
        <f t="shared" si="160"/>
        <v>2025</v>
      </c>
      <c r="J798">
        <f t="shared" si="161"/>
        <v>2.3679999999999999</v>
      </c>
      <c r="K798" t="e">
        <f t="shared" si="162"/>
        <v>#N/A</v>
      </c>
      <c r="L798" t="e">
        <f t="shared" si="163"/>
        <v>#N/A</v>
      </c>
      <c r="M798" t="e">
        <f t="shared" si="164"/>
        <v>#N/A</v>
      </c>
      <c r="N798" t="e">
        <f t="shared" si="165"/>
        <v>#N/A</v>
      </c>
      <c r="O798">
        <f t="shared" si="166"/>
        <v>7.9799999999999999E-4</v>
      </c>
      <c r="P798" t="str">
        <f>IF(OR($A798="",games!$H798=""),"",games!$H798)</f>
        <v/>
      </c>
      <c r="Q798" t="str">
        <f t="shared" si="167"/>
        <v/>
      </c>
      <c r="T798">
        <f>IF(connections!$A798="","",IFERROR(INDEX(games!$B$2:$B$950,MATCH(connections!$A798,games!$A$2:$A$950,0)),""))</f>
        <v>1987</v>
      </c>
      <c r="U798">
        <f>IF(connections!$A798="","",IFERROR(INDEX(games!$B$2:$B$950,MATCH(connections!$B798,games!$A$2:$A$950,0)),""))</f>
        <v>1992</v>
      </c>
      <c r="V798">
        <f t="shared" si="168"/>
        <v>5</v>
      </c>
    </row>
    <row r="799" spans="1:22" x14ac:dyDescent="0.25">
      <c r="A799" t="str">
        <f>IF(games!$A799="","",games!$A799)</f>
        <v>Tic Tactic</v>
      </c>
      <c r="B799">
        <f>IF($A799="","",games!$B799)</f>
        <v>2025</v>
      </c>
      <c r="C799" t="str">
        <f>IF($A799="","",games!$C799)</f>
        <v>Deckbuilder</v>
      </c>
      <c r="D799">
        <f>IF($A799="","",COUNTIF(connections!$A$2:$A$1460,$A799)+COUNTIF(connections!$B$2:$B$1460,$A799))</f>
        <v>3</v>
      </c>
      <c r="E799">
        <f t="shared" si="156"/>
        <v>3</v>
      </c>
      <c r="F799">
        <f t="shared" si="157"/>
        <v>17</v>
      </c>
      <c r="G799" t="e">
        <f t="shared" si="158"/>
        <v>#N/A</v>
      </c>
      <c r="H799" t="e">
        <f t="shared" si="159"/>
        <v>#N/A</v>
      </c>
      <c r="I799" t="e">
        <f t="shared" si="160"/>
        <v>#N/A</v>
      </c>
      <c r="J799" t="e">
        <f t="shared" si="161"/>
        <v>#N/A</v>
      </c>
      <c r="K799">
        <f t="shared" si="162"/>
        <v>2025</v>
      </c>
      <c r="L799">
        <f t="shared" si="163"/>
        <v>3.391</v>
      </c>
      <c r="M799" t="e">
        <f t="shared" si="164"/>
        <v>#N/A</v>
      </c>
      <c r="N799" t="e">
        <f t="shared" si="165"/>
        <v>#N/A</v>
      </c>
      <c r="O799">
        <f t="shared" si="166"/>
        <v>3.0007990000000002</v>
      </c>
      <c r="P799" t="str">
        <f>IF(OR($A799="",games!$H799=""),"",games!$H799)</f>
        <v/>
      </c>
      <c r="Q799" t="str">
        <f t="shared" si="167"/>
        <v/>
      </c>
      <c r="T799">
        <f>IF(connections!$A799="","",IFERROR(INDEX(games!$B$2:$B$950,MATCH(connections!$A799,games!$A$2:$A$950,0)),""))</f>
        <v>2015</v>
      </c>
      <c r="U799">
        <f>IF(connections!$A799="","",IFERROR(INDEX(games!$B$2:$B$950,MATCH(connections!$B799,games!$A$2:$A$950,0)),""))</f>
        <v>2017</v>
      </c>
      <c r="V799">
        <f t="shared" si="168"/>
        <v>2</v>
      </c>
    </row>
    <row r="800" spans="1:22" x14ac:dyDescent="0.25">
      <c r="A800" t="str">
        <f>IF(games!$A800="","",games!$A800)</f>
        <v>Time Survivors</v>
      </c>
      <c r="B800">
        <f>IF($A800="","",games!$B800)</f>
        <v>2023</v>
      </c>
      <c r="C800" t="str">
        <f>IF($A800="","",games!$C800)</f>
        <v>Action</v>
      </c>
      <c r="D800">
        <f>IF($A800="","",COUNTIF(connections!$A$2:$A$1460,$A800)+COUNTIF(connections!$B$2:$B$1460,$A800))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
      </c>
      <c r="Q800" t="str">
        <f t="shared" si="167"/>
        <v/>
      </c>
      <c r="T800">
        <f>IF(connections!$A800="","",IFERROR(INDEX(games!$B$2:$B$950,MATCH(connections!$A800,games!$A$2:$A$950,0)),""))</f>
        <v>2017</v>
      </c>
      <c r="U800">
        <f>IF(connections!$A800="","",IFERROR(INDEX(games!$B$2:$B$950,MATCH(connections!$B800,games!$A$2:$A$950,0)),""))</f>
        <v>2019</v>
      </c>
      <c r="V800">
        <f t="shared" si="168"/>
        <v>2</v>
      </c>
    </row>
    <row r="801" spans="1:22" x14ac:dyDescent="0.25">
      <c r="A801" t="str">
        <f>IF(games!$A801="","",games!$A801)</f>
        <v>Time Wasters</v>
      </c>
      <c r="B801">
        <f>IF($A801="","",games!$B801)</f>
        <v>2023</v>
      </c>
      <c r="C801" t="str">
        <f>IF($A801="","",games!$C801)</f>
        <v>Action</v>
      </c>
      <c r="D801">
        <f>IF($A801="","",COUNTIF(connections!$A$2:$A$1460,$A801)+COUNTIF(connections!$B$2:$B$1460,$A801))</f>
        <v>1</v>
      </c>
      <c r="E801">
        <f t="shared" si="156"/>
        <v>1</v>
      </c>
      <c r="F801">
        <f t="shared" si="157"/>
        <v>19</v>
      </c>
      <c r="G801">
        <f t="shared" si="158"/>
        <v>2023</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Yes</v>
      </c>
      <c r="Q801">
        <f t="shared" si="167"/>
        <v>1.0008010000000001</v>
      </c>
      <c r="T801">
        <f>IF(connections!$A801="","",IFERROR(INDEX(games!$B$2:$B$950,MATCH(connections!$A801,games!$A$2:$A$950,0)),""))</f>
        <v>2014</v>
      </c>
      <c r="U801">
        <f>IF(connections!$A801="","",IFERROR(INDEX(games!$B$2:$B$950,MATCH(connections!$B801,games!$A$2:$A$950,0)),""))</f>
        <v>2016</v>
      </c>
      <c r="V801">
        <f t="shared" si="168"/>
        <v>2</v>
      </c>
    </row>
    <row r="802" spans="1:22" x14ac:dyDescent="0.25">
      <c r="A802" t="str">
        <f>IF(games!$A802="","",games!$A802)</f>
        <v>Tinker Shot</v>
      </c>
      <c r="B802">
        <f>IF($A802="","",games!$B802)</f>
        <v>2026</v>
      </c>
      <c r="C802" t="str">
        <f>IF($A802="","",games!$C802)</f>
        <v>Deckbuilder</v>
      </c>
      <c r="D802">
        <f>IF($A802="","",COUNTIF(connections!$A$2:$A$1460,$A802)+COUNTIF(connections!$B$2:$B$1460,$A802))</f>
        <v>2</v>
      </c>
      <c r="E802">
        <f t="shared" si="156"/>
        <v>3</v>
      </c>
      <c r="F802">
        <f t="shared" si="157"/>
        <v>20</v>
      </c>
      <c r="G802" t="e">
        <f t="shared" si="158"/>
        <v>#N/A</v>
      </c>
      <c r="H802" t="e">
        <f t="shared" si="159"/>
        <v>#N/A</v>
      </c>
      <c r="I802" t="e">
        <f t="shared" si="160"/>
        <v>#N/A</v>
      </c>
      <c r="J802" t="e">
        <f t="shared" si="161"/>
        <v>#N/A</v>
      </c>
      <c r="K802">
        <f t="shared" si="162"/>
        <v>2026</v>
      </c>
      <c r="L802">
        <f t="shared" si="163"/>
        <v>3.46</v>
      </c>
      <c r="M802" t="e">
        <f t="shared" si="164"/>
        <v>#N/A</v>
      </c>
      <c r="N802" t="e">
        <f t="shared" si="165"/>
        <v>#N/A</v>
      </c>
      <c r="O802">
        <f t="shared" si="166"/>
        <v>2.0008020000000002</v>
      </c>
      <c r="P802" t="str">
        <f>IF(OR($A802="",games!$H802=""),"",games!$H802)</f>
        <v/>
      </c>
      <c r="Q802" t="str">
        <f t="shared" si="167"/>
        <v/>
      </c>
      <c r="T802">
        <f>IF(connections!$A802="","",IFERROR(INDEX(games!$B$2:$B$950,MATCH(connections!$A802,games!$A$2:$A$950,0)),""))</f>
        <v>2021</v>
      </c>
      <c r="U802">
        <f>IF(connections!$A802="","",IFERROR(INDEX(games!$B$2:$B$950,MATCH(connections!$B802,games!$A$2:$A$950,0)),""))</f>
        <v>2024</v>
      </c>
      <c r="V802">
        <f t="shared" si="168"/>
        <v>3</v>
      </c>
    </row>
    <row r="803" spans="1:22" x14ac:dyDescent="0.25">
      <c r="A803" t="str">
        <f>IF(games!$A803="","",games!$A803)</f>
        <v>Tiny Auto Knights</v>
      </c>
      <c r="B803">
        <f>IF($A803="","",games!$B803)</f>
        <v>2025</v>
      </c>
      <c r="C803" t="str">
        <f>IF($A803="","",games!$C803)</f>
        <v>Deckbuilder</v>
      </c>
      <c r="D803">
        <f>IF($A803="","",COUNTIF(connections!$A$2:$A$1460,$A803)+COUNTIF(connections!$B$2:$B$1460,$A803))</f>
        <v>5</v>
      </c>
      <c r="E803">
        <f t="shared" si="156"/>
        <v>3</v>
      </c>
      <c r="F803">
        <f t="shared" si="157"/>
        <v>21</v>
      </c>
      <c r="G803" t="e">
        <f t="shared" si="158"/>
        <v>#N/A</v>
      </c>
      <c r="H803" t="e">
        <f t="shared" si="159"/>
        <v>#N/A</v>
      </c>
      <c r="I803" t="e">
        <f t="shared" si="160"/>
        <v>#N/A</v>
      </c>
      <c r="J803" t="e">
        <f t="shared" si="161"/>
        <v>#N/A</v>
      </c>
      <c r="K803">
        <f t="shared" si="162"/>
        <v>2025</v>
      </c>
      <c r="L803">
        <f t="shared" si="163"/>
        <v>3.4830000000000001</v>
      </c>
      <c r="M803" t="e">
        <f t="shared" si="164"/>
        <v>#N/A</v>
      </c>
      <c r="N803" t="e">
        <f t="shared" si="165"/>
        <v>#N/A</v>
      </c>
      <c r="O803">
        <f t="shared" si="166"/>
        <v>5.0008030000000003</v>
      </c>
      <c r="P803" t="str">
        <f>IF(OR($A803="",games!$H803=""),"",games!$H803)</f>
        <v/>
      </c>
      <c r="Q803" t="str">
        <f t="shared" si="167"/>
        <v/>
      </c>
      <c r="T803">
        <f>IF(connections!$A803="","",IFERROR(INDEX(games!$B$2:$B$950,MATCH(connections!$A803,games!$A$2:$A$950,0)),""))</f>
        <v>2021</v>
      </c>
      <c r="U803">
        <f>IF(connections!$A803="","",IFERROR(INDEX(games!$B$2:$B$950,MATCH(connections!$B803,games!$A$2:$A$950,0)),""))</f>
        <v>2023</v>
      </c>
      <c r="V803">
        <f t="shared" si="168"/>
        <v>2</v>
      </c>
    </row>
    <row r="804" spans="1:22" x14ac:dyDescent="0.25">
      <c r="A804" t="str">
        <f>IF(games!$A804="","",games!$A804)</f>
        <v>Tiny Rogues</v>
      </c>
      <c r="B804">
        <f>IF($A804="","",games!$B804)</f>
        <v>2022</v>
      </c>
      <c r="C804" t="str">
        <f>IF($A804="","",games!$C804)</f>
        <v>Action</v>
      </c>
      <c r="D804">
        <f>IF($A804="","",COUNTIF(connections!$A$2:$A$1460,$A804)+COUNTIF(connections!$B$2:$B$1460,$A804))</f>
        <v>8</v>
      </c>
      <c r="E804">
        <f t="shared" si="156"/>
        <v>1</v>
      </c>
      <c r="F804">
        <f t="shared" si="157"/>
        <v>22</v>
      </c>
      <c r="G804">
        <f t="shared" si="158"/>
        <v>2022</v>
      </c>
      <c r="H804">
        <f t="shared" si="159"/>
        <v>1.506</v>
      </c>
      <c r="I804" t="e">
        <f t="shared" si="160"/>
        <v>#N/A</v>
      </c>
      <c r="J804" t="e">
        <f t="shared" si="161"/>
        <v>#N/A</v>
      </c>
      <c r="K804" t="e">
        <f t="shared" si="162"/>
        <v>#N/A</v>
      </c>
      <c r="L804" t="e">
        <f t="shared" si="163"/>
        <v>#N/A</v>
      </c>
      <c r="M804" t="e">
        <f t="shared" si="164"/>
        <v>#N/A</v>
      </c>
      <c r="N804" t="e">
        <f t="shared" si="165"/>
        <v>#N/A</v>
      </c>
      <c r="O804">
        <f t="shared" si="166"/>
        <v>8.0008040000000005</v>
      </c>
      <c r="P804" t="str">
        <f>IF(OR($A804="",games!$H804=""),"",games!$H804)</f>
        <v>Yes</v>
      </c>
      <c r="Q804">
        <f t="shared" si="167"/>
        <v>8.0008040000000005</v>
      </c>
      <c r="T804">
        <f>IF(connections!$A804="","",IFERROR(INDEX(games!$B$2:$B$950,MATCH(connections!$A804,games!$A$2:$A$950,0)),""))</f>
        <v>2022</v>
      </c>
      <c r="U804">
        <f>IF(connections!$A804="","",IFERROR(INDEX(games!$B$2:$B$950,MATCH(connections!$B804,games!$A$2:$A$950,0)),""))</f>
        <v>2025</v>
      </c>
      <c r="V804">
        <f t="shared" si="168"/>
        <v>3</v>
      </c>
    </row>
    <row r="805" spans="1:22" x14ac:dyDescent="0.25">
      <c r="A805" t="str">
        <f>IF(games!$A805="","",games!$A805)</f>
        <v>Tinyfolks</v>
      </c>
      <c r="B805">
        <f>IF($A805="","",games!$B805)</f>
        <v>2022</v>
      </c>
      <c r="C805" t="str">
        <f>IF($A805="","",games!$C805)</f>
        <v>Strategy</v>
      </c>
      <c r="D805">
        <f>IF($A805="","",COUNTIF(connections!$A$2:$A$1460,$A805)+COUNTIF(connections!$B$2:$B$1460,$A805))</f>
        <v>1</v>
      </c>
      <c r="E805">
        <f t="shared" si="156"/>
        <v>2</v>
      </c>
      <c r="F805">
        <f t="shared" si="157"/>
        <v>23</v>
      </c>
      <c r="G805" t="e">
        <f t="shared" si="158"/>
        <v>#N/A</v>
      </c>
      <c r="H805" t="e">
        <f t="shared" si="159"/>
        <v>#N/A</v>
      </c>
      <c r="I805">
        <f t="shared" si="160"/>
        <v>2022</v>
      </c>
      <c r="J805">
        <f t="shared" si="161"/>
        <v>2.5289999999999999</v>
      </c>
      <c r="K805" t="e">
        <f t="shared" si="162"/>
        <v>#N/A</v>
      </c>
      <c r="L805" t="e">
        <f t="shared" si="163"/>
        <v>#N/A</v>
      </c>
      <c r="M805" t="e">
        <f t="shared" si="164"/>
        <v>#N/A</v>
      </c>
      <c r="N805" t="e">
        <f t="shared" si="165"/>
        <v>#N/A</v>
      </c>
      <c r="O805">
        <f t="shared" si="166"/>
        <v>1.0008049999999999</v>
      </c>
      <c r="P805" t="str">
        <f>IF(OR($A805="",games!$H805=""),"",games!$H805)</f>
        <v>Yes</v>
      </c>
      <c r="Q805">
        <f t="shared" si="167"/>
        <v>1.0008049999999999</v>
      </c>
      <c r="T805">
        <f>IF(connections!$A805="","",IFERROR(INDEX(games!$B$2:$B$950,MATCH(connections!$A805,games!$A$2:$A$950,0)),""))</f>
        <v>2022</v>
      </c>
      <c r="U805">
        <f>IF(connections!$A805="","",IFERROR(INDEX(games!$B$2:$B$950,MATCH(connections!$B805,games!$A$2:$A$950,0)),""))</f>
        <v>2026</v>
      </c>
      <c r="V805">
        <f t="shared" si="168"/>
        <v>4</v>
      </c>
    </row>
    <row r="806" spans="1:22" x14ac:dyDescent="0.25">
      <c r="A806" t="str">
        <f>IF(games!$A806="","",games!$A806)</f>
        <v>ToeJam &amp; Earl</v>
      </c>
      <c r="B806">
        <f>IF($A806="","",games!$B806)</f>
        <v>1991</v>
      </c>
      <c r="C806" t="str">
        <f>IF($A806="","",games!$C806)</f>
        <v>Action</v>
      </c>
      <c r="D806">
        <f>IF($A806="","",COUNTIF(connections!$A$2:$A$1460,$A806)+COUNTIF(connections!$B$2:$B$1460,$A806))</f>
        <v>3</v>
      </c>
      <c r="E806">
        <f t="shared" si="156"/>
        <v>1</v>
      </c>
      <c r="F806">
        <f t="shared" si="157"/>
        <v>24</v>
      </c>
      <c r="G806">
        <f t="shared" si="158"/>
        <v>1991</v>
      </c>
      <c r="H806">
        <f t="shared" si="159"/>
        <v>1.552</v>
      </c>
      <c r="I806" t="e">
        <f t="shared" si="160"/>
        <v>#N/A</v>
      </c>
      <c r="J806" t="e">
        <f t="shared" si="161"/>
        <v>#N/A</v>
      </c>
      <c r="K806" t="e">
        <f t="shared" si="162"/>
        <v>#N/A</v>
      </c>
      <c r="L806" t="e">
        <f t="shared" si="163"/>
        <v>#N/A</v>
      </c>
      <c r="M806" t="e">
        <f t="shared" si="164"/>
        <v>#N/A</v>
      </c>
      <c r="N806" t="e">
        <f t="shared" si="165"/>
        <v>#N/A</v>
      </c>
      <c r="O806">
        <f t="shared" si="166"/>
        <v>3.0008059999999999</v>
      </c>
      <c r="P806" t="str">
        <f>IF(OR($A806="",games!$H806=""),"",games!$H806)</f>
        <v>Yes</v>
      </c>
      <c r="Q806">
        <f t="shared" si="167"/>
        <v>3.0008059999999999</v>
      </c>
      <c r="T806">
        <f>IF(connections!$A806="","",IFERROR(INDEX(games!$B$2:$B$950,MATCH(connections!$A806,games!$A$2:$A$950,0)),""))</f>
        <v>2022</v>
      </c>
      <c r="U806">
        <f>IF(connections!$A806="","",IFERROR(INDEX(games!$B$2:$B$950,MATCH(connections!$B806,games!$A$2:$A$950,0)),""))</f>
        <v>2024</v>
      </c>
      <c r="V806">
        <f t="shared" si="168"/>
        <v>2</v>
      </c>
    </row>
    <row r="807" spans="1:22" x14ac:dyDescent="0.25">
      <c r="A807" t="str">
        <f>IF(games!$A807="","",games!$A807)</f>
        <v>ToeJam &amp; Earl: Back in the Groove!</v>
      </c>
      <c r="B807">
        <f>IF($A807="","",games!$B807)</f>
        <v>2019</v>
      </c>
      <c r="C807" t="str">
        <f>IF($A807="","",games!$C807)</f>
        <v>Action</v>
      </c>
      <c r="D807">
        <f>IF($A807="","",COUNTIF(connections!$A$2:$A$1460,$A807)+COUNTIF(connections!$B$2:$B$1460,$A807))</f>
        <v>1</v>
      </c>
      <c r="E807">
        <f t="shared" si="156"/>
        <v>1</v>
      </c>
      <c r="F807">
        <f t="shared" si="157"/>
        <v>25</v>
      </c>
      <c r="G807">
        <f t="shared" si="158"/>
        <v>2019</v>
      </c>
      <c r="H807">
        <f t="shared" si="159"/>
        <v>1.575</v>
      </c>
      <c r="I807" t="e">
        <f t="shared" si="160"/>
        <v>#N/A</v>
      </c>
      <c r="J807" t="e">
        <f t="shared" si="161"/>
        <v>#N/A</v>
      </c>
      <c r="K807" t="e">
        <f t="shared" si="162"/>
        <v>#N/A</v>
      </c>
      <c r="L807" t="e">
        <f t="shared" si="163"/>
        <v>#N/A</v>
      </c>
      <c r="M807" t="e">
        <f t="shared" si="164"/>
        <v>#N/A</v>
      </c>
      <c r="N807" t="e">
        <f t="shared" si="165"/>
        <v>#N/A</v>
      </c>
      <c r="O807">
        <f t="shared" si="166"/>
        <v>1.000807</v>
      </c>
      <c r="P807" t="str">
        <f>IF(OR($A807="",games!$H807=""),"",games!$H807)</f>
        <v/>
      </c>
      <c r="Q807" t="str">
        <f t="shared" si="167"/>
        <v/>
      </c>
      <c r="T807">
        <f>IF(connections!$A807="","",IFERROR(INDEX(games!$B$2:$B$950,MATCH(connections!$A807,games!$A$2:$A$950,0)),""))</f>
        <v>2022</v>
      </c>
      <c r="U807">
        <f>IF(connections!$A807="","",IFERROR(INDEX(games!$B$2:$B$950,MATCH(connections!$B807,games!$A$2:$A$950,0)),""))</f>
        <v>2024</v>
      </c>
      <c r="V807">
        <f t="shared" si="168"/>
        <v>2</v>
      </c>
    </row>
    <row r="808" spans="1:22" x14ac:dyDescent="0.25">
      <c r="A808" t="str">
        <f>IF(games!$A808="","",games!$A808)</f>
        <v>TombStar</v>
      </c>
      <c r="B808">
        <f>IF($A808="","",games!$B808)</f>
        <v>2022</v>
      </c>
      <c r="C808" t="str">
        <f>IF($A808="","",games!$C808)</f>
        <v>Action</v>
      </c>
      <c r="D808">
        <f>IF($A808="","",COUNTIF(connections!$A$2:$A$1460,$A808)+COUNTIF(connections!$B$2:$B$1460,$A808))</f>
        <v>2</v>
      </c>
      <c r="E808">
        <f t="shared" si="156"/>
        <v>1</v>
      </c>
      <c r="F808">
        <f t="shared" si="157"/>
        <v>26</v>
      </c>
      <c r="G808">
        <f t="shared" si="158"/>
        <v>2022</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2022</v>
      </c>
      <c r="U808">
        <f>IF(connections!$A808="","",IFERROR(INDEX(games!$B$2:$B$950,MATCH(connections!$B808,games!$A$2:$A$950,0)),""))</f>
        <v>2025</v>
      </c>
      <c r="V808">
        <f t="shared" si="168"/>
        <v>3</v>
      </c>
    </row>
    <row r="809" spans="1:22" x14ac:dyDescent="0.25">
      <c r="A809" t="str">
        <f>IF(games!$A809="","",games!$A809)</f>
        <v>Torneko: The Last Hope</v>
      </c>
      <c r="B809">
        <f>IF($A809="","",games!$B809)</f>
        <v>1999</v>
      </c>
      <c r="C809" t="str">
        <f>IF($A809="","",games!$C809)</f>
        <v>Traditional</v>
      </c>
      <c r="D809">
        <f>IF($A809="","",COUNTIF(connections!$A$2:$A$1460,$A809)+COUNTIF(connections!$B$2:$B$1460,$A809))</f>
        <v>3</v>
      </c>
      <c r="E809">
        <f t="shared" si="156"/>
        <v>4</v>
      </c>
      <c r="F809">
        <f t="shared" si="157"/>
        <v>27</v>
      </c>
      <c r="G809" t="e">
        <f t="shared" si="158"/>
        <v>#N/A</v>
      </c>
      <c r="H809" t="e">
        <f t="shared" si="159"/>
        <v>#N/A</v>
      </c>
      <c r="I809" t="e">
        <f t="shared" si="160"/>
        <v>#N/A</v>
      </c>
      <c r="J809" t="e">
        <f t="shared" si="161"/>
        <v>#N/A</v>
      </c>
      <c r="K809" t="e">
        <f t="shared" si="162"/>
        <v>#N/A</v>
      </c>
      <c r="L809" t="e">
        <f t="shared" si="163"/>
        <v>#N/A</v>
      </c>
      <c r="M809">
        <f t="shared" si="164"/>
        <v>1999</v>
      </c>
      <c r="N809">
        <f t="shared" si="165"/>
        <v>4.6210000000000004</v>
      </c>
      <c r="O809">
        <f t="shared" si="166"/>
        <v>3.0008089999999998</v>
      </c>
      <c r="P809" t="str">
        <f>IF(OR($A809="",games!$H809=""),"",games!$H809)</f>
        <v>Yes</v>
      </c>
      <c r="Q809">
        <f t="shared" si="167"/>
        <v>3.0008089999999998</v>
      </c>
      <c r="T809">
        <f>IF(connections!$A809="","",IFERROR(INDEX(games!$B$2:$B$950,MATCH(connections!$A809,games!$A$2:$A$950,0)),""))</f>
        <v>2022</v>
      </c>
      <c r="U809">
        <f>IF(connections!$A809="","",IFERROR(INDEX(games!$B$2:$B$950,MATCH(connections!$B809,games!$A$2:$A$950,0)),""))</f>
        <v>2026</v>
      </c>
      <c r="V809">
        <f t="shared" si="168"/>
        <v>4</v>
      </c>
    </row>
    <row r="810" spans="1:22" x14ac:dyDescent="0.25">
      <c r="A810" t="str">
        <f>IF(games!$A810="","",games!$A810)</f>
        <v>Torneko's Great Adventure 3</v>
      </c>
      <c r="B810">
        <f>IF($A810="","",games!$B810)</f>
        <v>2002</v>
      </c>
      <c r="C810" t="str">
        <f>IF($A810="","",games!$C810)</f>
        <v>Traditional</v>
      </c>
      <c r="D810">
        <f>IF($A810="","",COUNTIF(connections!$A$2:$A$1460,$A810)+COUNTIF(connections!$B$2:$B$1460,$A810))</f>
        <v>1</v>
      </c>
      <c r="E810">
        <f t="shared" si="156"/>
        <v>4</v>
      </c>
      <c r="F810">
        <f t="shared" si="157"/>
        <v>28</v>
      </c>
      <c r="G810" t="e">
        <f t="shared" si="158"/>
        <v>#N/A</v>
      </c>
      <c r="H810" t="e">
        <f t="shared" si="159"/>
        <v>#N/A</v>
      </c>
      <c r="I810" t="e">
        <f t="shared" si="160"/>
        <v>#N/A</v>
      </c>
      <c r="J810" t="e">
        <f t="shared" si="161"/>
        <v>#N/A</v>
      </c>
      <c r="K810" t="e">
        <f t="shared" si="162"/>
        <v>#N/A</v>
      </c>
      <c r="L810" t="e">
        <f t="shared" si="163"/>
        <v>#N/A</v>
      </c>
      <c r="M810">
        <f t="shared" si="164"/>
        <v>2002</v>
      </c>
      <c r="N810">
        <f t="shared" si="165"/>
        <v>4.6440000000000001</v>
      </c>
      <c r="O810">
        <f t="shared" si="166"/>
        <v>1.00081</v>
      </c>
      <c r="P810" t="str">
        <f>IF(OR($A810="",games!$H810=""),"",games!$H810)</f>
        <v>Yes</v>
      </c>
      <c r="Q810">
        <f t="shared" si="167"/>
        <v>1.00081</v>
      </c>
      <c r="T810">
        <f>IF(connections!$A810="","",IFERROR(INDEX(games!$B$2:$B$950,MATCH(connections!$A810,games!$A$2:$A$950,0)),""))</f>
        <v>2022</v>
      </c>
      <c r="U810">
        <f>IF(connections!$A810="","",IFERROR(INDEX(games!$B$2:$B$950,MATCH(connections!$B810,games!$A$2:$A$950,0)),""))</f>
        <v>2024</v>
      </c>
      <c r="V810">
        <f t="shared" si="168"/>
        <v>2</v>
      </c>
    </row>
    <row r="811" spans="1:22" x14ac:dyDescent="0.25">
      <c r="A811" t="str">
        <f>IF(games!$A811="","",games!$A811)</f>
        <v>Torneko's Great Adventure: Mystery Dungeon</v>
      </c>
      <c r="B811">
        <f>IF($A811="","",games!$B811)</f>
        <v>1993</v>
      </c>
      <c r="C811" t="str">
        <f>IF($A811="","",games!$C811)</f>
        <v>Traditional</v>
      </c>
      <c r="D811">
        <f>IF($A811="","",COUNTIF(connections!$A$2:$A$1460,$A811)+COUNTIF(connections!$B$2:$B$1460,$A811))</f>
        <v>27</v>
      </c>
      <c r="E811">
        <f t="shared" si="156"/>
        <v>4</v>
      </c>
      <c r="F811">
        <f t="shared" si="157"/>
        <v>29</v>
      </c>
      <c r="G811" t="e">
        <f t="shared" si="158"/>
        <v>#N/A</v>
      </c>
      <c r="H811" t="e">
        <f t="shared" si="159"/>
        <v>#N/A</v>
      </c>
      <c r="I811" t="e">
        <f t="shared" si="160"/>
        <v>#N/A</v>
      </c>
      <c r="J811" t="e">
        <f t="shared" si="161"/>
        <v>#N/A</v>
      </c>
      <c r="K811" t="e">
        <f t="shared" si="162"/>
        <v>#N/A</v>
      </c>
      <c r="L811" t="e">
        <f t="shared" si="163"/>
        <v>#N/A</v>
      </c>
      <c r="M811">
        <f t="shared" si="164"/>
        <v>1993</v>
      </c>
      <c r="N811">
        <f t="shared" si="165"/>
        <v>4.6669999999999998</v>
      </c>
      <c r="O811">
        <f t="shared" si="166"/>
        <v>27.000810999999999</v>
      </c>
      <c r="P811" t="str">
        <f>IF(OR($A811="",games!$H811=""),"",games!$H811)</f>
        <v>Yes</v>
      </c>
      <c r="Q811">
        <f t="shared" si="167"/>
        <v>27.000810999999999</v>
      </c>
      <c r="T811">
        <f>IF(connections!$A811="","",IFERROR(INDEX(games!$B$2:$B$950,MATCH(connections!$A811,games!$A$2:$A$950,0)),""))</f>
        <v>2022</v>
      </c>
      <c r="U811">
        <f>IF(connections!$A811="","",IFERROR(INDEX(games!$B$2:$B$950,MATCH(connections!$B811,games!$A$2:$A$950,0)),""))</f>
        <v>2026</v>
      </c>
      <c r="V811">
        <f t="shared" si="168"/>
        <v>4</v>
      </c>
    </row>
    <row r="812" spans="1:22" x14ac:dyDescent="0.25">
      <c r="A812" t="str">
        <f>IF(games!$A812="","",games!$A812)</f>
        <v>Touhou Crawl</v>
      </c>
      <c r="B812">
        <f>IF($A812="","",games!$B812)</f>
        <v>2025</v>
      </c>
      <c r="C812" t="str">
        <f>IF($A812="","",games!$C812)</f>
        <v>Traditional</v>
      </c>
      <c r="D812">
        <f>IF($A812="","",COUNTIF(connections!$A$2:$A$1460,$A812)+COUNTIF(connections!$B$2:$B$1460,$A812))</f>
        <v>1</v>
      </c>
      <c r="E812">
        <f t="shared" si="156"/>
        <v>4</v>
      </c>
      <c r="F812">
        <f t="shared" si="157"/>
        <v>30</v>
      </c>
      <c r="G812" t="e">
        <f t="shared" si="158"/>
        <v>#N/A</v>
      </c>
      <c r="H812" t="e">
        <f t="shared" si="159"/>
        <v>#N/A</v>
      </c>
      <c r="I812" t="e">
        <f t="shared" si="160"/>
        <v>#N/A</v>
      </c>
      <c r="J812" t="e">
        <f t="shared" si="161"/>
        <v>#N/A</v>
      </c>
      <c r="K812" t="e">
        <f t="shared" si="162"/>
        <v>#N/A</v>
      </c>
      <c r="L812" t="e">
        <f t="shared" si="163"/>
        <v>#N/A</v>
      </c>
      <c r="M812">
        <f t="shared" si="164"/>
        <v>2025</v>
      </c>
      <c r="N812">
        <f t="shared" si="165"/>
        <v>4.6899999999999995</v>
      </c>
      <c r="O812">
        <f t="shared" si="166"/>
        <v>1.000812</v>
      </c>
      <c r="P812" t="str">
        <f>IF(OR($A812="",games!$H812=""),"",games!$H812)</f>
        <v>Yes</v>
      </c>
      <c r="Q812">
        <f t="shared" si="167"/>
        <v>1.000812</v>
      </c>
      <c r="T812">
        <f>IF(connections!$A812="","",IFERROR(INDEX(games!$B$2:$B$950,MATCH(connections!$A812,games!$A$2:$A$950,0)),""))</f>
        <v>2022</v>
      </c>
      <c r="U812">
        <f>IF(connections!$A812="","",IFERROR(INDEX(games!$B$2:$B$950,MATCH(connections!$B812,games!$A$2:$A$950,0)),""))</f>
        <v>2025</v>
      </c>
      <c r="V812">
        <f t="shared" si="168"/>
        <v>3</v>
      </c>
    </row>
    <row r="813" spans="1:22" x14ac:dyDescent="0.25">
      <c r="A813" t="str">
        <f>IF(games!$A813="","",games!$A813)</f>
        <v>Touhou Genso Wanderer: Foresight</v>
      </c>
      <c r="B813">
        <f>IF($A813="","",games!$B813)</f>
        <v>2024</v>
      </c>
      <c r="C813" t="str">
        <f>IF($A813="","",games!$C813)</f>
        <v>Traditional</v>
      </c>
      <c r="D813">
        <f>IF($A813="","",COUNTIF(connections!$A$2:$A$1460,$A813)+COUNTIF(connections!$B$2:$B$1460,$A813))</f>
        <v>1</v>
      </c>
      <c r="E813">
        <f t="shared" si="156"/>
        <v>4</v>
      </c>
      <c r="F813">
        <f t="shared" si="157"/>
        <v>31</v>
      </c>
      <c r="G813" t="e">
        <f t="shared" si="158"/>
        <v>#N/A</v>
      </c>
      <c r="H813" t="e">
        <f t="shared" si="159"/>
        <v>#N/A</v>
      </c>
      <c r="I813" t="e">
        <f t="shared" si="160"/>
        <v>#N/A</v>
      </c>
      <c r="J813" t="e">
        <f t="shared" si="161"/>
        <v>#N/A</v>
      </c>
      <c r="K813" t="e">
        <f t="shared" si="162"/>
        <v>#N/A</v>
      </c>
      <c r="L813" t="e">
        <f t="shared" si="163"/>
        <v>#N/A</v>
      </c>
      <c r="M813">
        <f t="shared" si="164"/>
        <v>2024</v>
      </c>
      <c r="N813">
        <f t="shared" si="165"/>
        <v>4.7130000000000001</v>
      </c>
      <c r="O813">
        <f t="shared" si="166"/>
        <v>1.000813</v>
      </c>
      <c r="P813" t="str">
        <f>IF(OR($A813="",games!$H813=""),"",games!$H813)</f>
        <v/>
      </c>
      <c r="Q813" t="str">
        <f t="shared" si="167"/>
        <v/>
      </c>
      <c r="T813">
        <f>IF(connections!$A813="","",IFERROR(INDEX(games!$B$2:$B$950,MATCH(connections!$A813,games!$A$2:$A$950,0)),""))</f>
        <v>2012</v>
      </c>
      <c r="U813">
        <f>IF(connections!$A813="","",IFERROR(INDEX(games!$B$2:$B$950,MATCH(connections!$B813,games!$A$2:$A$950,0)),""))</f>
        <v>2019</v>
      </c>
      <c r="V813">
        <f t="shared" si="168"/>
        <v>7</v>
      </c>
    </row>
    <row r="814" spans="1:22" x14ac:dyDescent="0.25">
      <c r="A814" t="str">
        <f>IF(games!$A814="","",games!$A814)</f>
        <v>Touhou Genso Wanderer: Lotus Labyrinth R</v>
      </c>
      <c r="B814">
        <f>IF($A814="","",games!$B814)</f>
        <v>2021</v>
      </c>
      <c r="C814" t="str">
        <f>IF($A814="","",games!$C814)</f>
        <v>Traditional</v>
      </c>
      <c r="D814">
        <f>IF($A814="","",COUNTIF(connections!$A$2:$A$1460,$A814)+COUNTIF(connections!$B$2:$B$1460,$A814))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2021</v>
      </c>
      <c r="N814">
        <f t="shared" si="165"/>
        <v>4.7359999999999998</v>
      </c>
      <c r="O814">
        <f t="shared" si="166"/>
        <v>1.0008140000000001</v>
      </c>
      <c r="P814" t="str">
        <f>IF(OR($A814="",games!$H814=""),"",games!$H814)</f>
        <v/>
      </c>
      <c r="Q814" t="str">
        <f t="shared" si="167"/>
        <v/>
      </c>
      <c r="T814">
        <f>IF(connections!$A814="","",IFERROR(INDEX(games!$B$2:$B$950,MATCH(connections!$A814,games!$A$2:$A$950,0)),""))</f>
        <v>2012</v>
      </c>
      <c r="U814">
        <f>IF(connections!$A814="","",IFERROR(INDEX(games!$B$2:$B$950,MATCH(connections!$B814,games!$A$2:$A$950,0)),""))</f>
        <v>2014</v>
      </c>
      <c r="V814">
        <f t="shared" si="168"/>
        <v>2</v>
      </c>
    </row>
    <row r="815" spans="1:22" x14ac:dyDescent="0.25">
      <c r="A815" t="str">
        <f>IF(games!$A815="","",games!$A815)</f>
        <v>Touhou: Lost Branch of Legend</v>
      </c>
      <c r="B815">
        <f>IF($A815="","",games!$B815)</f>
        <v>2022</v>
      </c>
      <c r="C815" t="str">
        <f>IF($A815="","",games!$C815)</f>
        <v>Deckbuilder</v>
      </c>
      <c r="D815">
        <f>IF($A815="","",COUNTIF(connections!$A$2:$A$1460,$A815)+COUNTIF(connections!$B$2:$B$1460,$A815))</f>
        <v>1</v>
      </c>
      <c r="E815">
        <f t="shared" si="156"/>
        <v>3</v>
      </c>
      <c r="F815">
        <f t="shared" si="157"/>
        <v>33</v>
      </c>
      <c r="G815" t="e">
        <f t="shared" si="158"/>
        <v>#N/A</v>
      </c>
      <c r="H815" t="e">
        <f t="shared" si="159"/>
        <v>#N/A</v>
      </c>
      <c r="I815" t="e">
        <f t="shared" si="160"/>
        <v>#N/A</v>
      </c>
      <c r="J815" t="e">
        <f t="shared" si="161"/>
        <v>#N/A</v>
      </c>
      <c r="K815">
        <f t="shared" si="162"/>
        <v>2022</v>
      </c>
      <c r="L815">
        <f t="shared" si="163"/>
        <v>3.7589999999999999</v>
      </c>
      <c r="M815" t="e">
        <f t="shared" si="164"/>
        <v>#N/A</v>
      </c>
      <c r="N815" t="e">
        <f t="shared" si="165"/>
        <v>#N/A</v>
      </c>
      <c r="O815">
        <f t="shared" si="166"/>
        <v>1.000815</v>
      </c>
      <c r="P815" t="str">
        <f>IF(OR($A815="",games!$H815=""),"",games!$H815)</f>
        <v/>
      </c>
      <c r="Q815" t="str">
        <f t="shared" si="167"/>
        <v/>
      </c>
      <c r="T815">
        <f>IF(connections!$A815="","",IFERROR(INDEX(games!$B$2:$B$950,MATCH(connections!$A815,games!$A$2:$A$950,0)),""))</f>
        <v>2021</v>
      </c>
      <c r="U815">
        <f>IF(connections!$A815="","",IFERROR(INDEX(games!$B$2:$B$950,MATCH(connections!$B815,games!$A$2:$A$950,0)),""))</f>
        <v>2026</v>
      </c>
      <c r="V815">
        <f t="shared" si="168"/>
        <v>5</v>
      </c>
    </row>
    <row r="816" spans="1:22" x14ac:dyDescent="0.25">
      <c r="A816" t="str">
        <f>IF(games!$A816="","",games!$A816)</f>
        <v>Tower Dominion</v>
      </c>
      <c r="B816">
        <f>IF($A816="","",games!$B816)</f>
        <v>2025</v>
      </c>
      <c r="C816" t="str">
        <f>IF($A816="","",games!$C816)</f>
        <v>Strategy</v>
      </c>
      <c r="D816">
        <f>IF($A816="","",COUNTIF(connections!$A$2:$A$1460,$A816)+COUNTIF(connections!$B$2:$B$1460,$A816))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2007</v>
      </c>
      <c r="U816">
        <f>IF(connections!$A816="","",IFERROR(INDEX(games!$B$2:$B$950,MATCH(connections!$B816,games!$A$2:$A$950,0)),""))</f>
        <v>2009</v>
      </c>
      <c r="V816">
        <f t="shared" si="168"/>
        <v>2</v>
      </c>
    </row>
    <row r="817" spans="1:22" x14ac:dyDescent="0.25">
      <c r="A817" t="str">
        <f>IF(games!$A817="","",games!$A817)</f>
        <v>Tower Escape</v>
      </c>
      <c r="B817">
        <f>IF($A817="","",games!$B817)</f>
        <v>2023</v>
      </c>
      <c r="C817" t="str">
        <f>IF($A817="","",games!$C817)</f>
        <v>Deckbuilder</v>
      </c>
      <c r="D817">
        <f>IF($A817="","",COUNTIF(connections!$A$2:$A$1460,$A817)+COUNTIF(connections!$B$2:$B$1460,$A817))</f>
        <v>2</v>
      </c>
      <c r="E817">
        <f t="shared" si="156"/>
        <v>3</v>
      </c>
      <c r="F817">
        <f t="shared" si="157"/>
        <v>1</v>
      </c>
      <c r="G817" t="e">
        <f t="shared" si="158"/>
        <v>#N/A</v>
      </c>
      <c r="H817" t="e">
        <f t="shared" si="159"/>
        <v>#N/A</v>
      </c>
      <c r="I817" t="e">
        <f t="shared" si="160"/>
        <v>#N/A</v>
      </c>
      <c r="J817" t="e">
        <f t="shared" si="161"/>
        <v>#N/A</v>
      </c>
      <c r="K817">
        <f t="shared" si="162"/>
        <v>2023</v>
      </c>
      <c r="L817">
        <f t="shared" si="163"/>
        <v>3.0230000000000001</v>
      </c>
      <c r="M817" t="e">
        <f t="shared" si="164"/>
        <v>#N/A</v>
      </c>
      <c r="N817" t="e">
        <f t="shared" si="165"/>
        <v>#N/A</v>
      </c>
      <c r="O817">
        <f t="shared" si="166"/>
        <v>2.0008170000000001</v>
      </c>
      <c r="P817" t="str">
        <f>IF(OR($A817="",games!$H817=""),"",games!$H817)</f>
        <v>Yes</v>
      </c>
      <c r="Q817">
        <f t="shared" si="167"/>
        <v>2.0008170000000001</v>
      </c>
      <c r="T817">
        <f>IF(connections!$A817="","",IFERROR(INDEX(games!$B$2:$B$950,MATCH(connections!$A817,games!$A$2:$A$950,0)),""))</f>
        <v>2005</v>
      </c>
      <c r="U817">
        <f>IF(connections!$A817="","",IFERROR(INDEX(games!$B$2:$B$950,MATCH(connections!$B817,games!$A$2:$A$950,0)),""))</f>
        <v>2025</v>
      </c>
      <c r="V817">
        <f t="shared" si="168"/>
        <v>20</v>
      </c>
    </row>
    <row r="818" spans="1:22" x14ac:dyDescent="0.25">
      <c r="A818" t="str">
        <f>IF(games!$A818="","",games!$A818)</f>
        <v>Tower Factory</v>
      </c>
      <c r="B818">
        <f>IF($A818="","",games!$B818)</f>
        <v>2024</v>
      </c>
      <c r="C818" t="str">
        <f>IF($A818="","",games!$C818)</f>
        <v>Strategy</v>
      </c>
      <c r="D818">
        <f>IF($A818="","",COUNTIF(connections!$A$2:$A$1460,$A818)+COUNTIF(connections!$B$2:$B$1460,$A818))</f>
        <v>2</v>
      </c>
      <c r="E818">
        <f t="shared" si="156"/>
        <v>2</v>
      </c>
      <c r="F818">
        <f t="shared" si="157"/>
        <v>2</v>
      </c>
      <c r="G818" t="e">
        <f t="shared" si="158"/>
        <v>#N/A</v>
      </c>
      <c r="H818" t="e">
        <f t="shared" si="159"/>
        <v>#N/A</v>
      </c>
      <c r="I818">
        <f t="shared" si="160"/>
        <v>2024</v>
      </c>
      <c r="J818">
        <f t="shared" si="161"/>
        <v>2.0459999999999998</v>
      </c>
      <c r="K818" t="e">
        <f t="shared" si="162"/>
        <v>#N/A</v>
      </c>
      <c r="L818" t="e">
        <f t="shared" si="163"/>
        <v>#N/A</v>
      </c>
      <c r="M818" t="e">
        <f t="shared" si="164"/>
        <v>#N/A</v>
      </c>
      <c r="N818" t="e">
        <f t="shared" si="165"/>
        <v>#N/A</v>
      </c>
      <c r="O818">
        <f t="shared" si="166"/>
        <v>2.0008180000000002</v>
      </c>
      <c r="P818" t="str">
        <f>IF(OR($A818="",games!$H818=""),"",games!$H818)</f>
        <v/>
      </c>
      <c r="Q818" t="str">
        <f t="shared" si="167"/>
        <v/>
      </c>
      <c r="T818">
        <f>IF(connections!$A818="","",IFERROR(INDEX(games!$B$2:$B$950,MATCH(connections!$A818,games!$A$2:$A$950,0)),""))</f>
        <v>2005</v>
      </c>
      <c r="U818">
        <f>IF(connections!$A818="","",IFERROR(INDEX(games!$B$2:$B$950,MATCH(connections!$B818,games!$A$2:$A$950,0)),""))</f>
        <v>2007</v>
      </c>
      <c r="V818">
        <f t="shared" si="168"/>
        <v>2</v>
      </c>
    </row>
    <row r="819" spans="1:22" x14ac:dyDescent="0.25">
      <c r="A819" t="str">
        <f>IF(games!$A819="","",games!$A819)</f>
        <v>Tower Fortress</v>
      </c>
      <c r="B819">
        <f>IF($A819="","",games!$B819)</f>
        <v>2017</v>
      </c>
      <c r="C819" t="str">
        <f>IF($A819="","",games!$C819)</f>
        <v>Action</v>
      </c>
      <c r="D819">
        <f>IF($A819="","",COUNTIF(connections!$A$2:$A$1460,$A819)+COUNTIF(connections!$B$2:$B$1460,$A819))</f>
        <v>1</v>
      </c>
      <c r="E819">
        <f t="shared" si="156"/>
        <v>1</v>
      </c>
      <c r="F819">
        <f t="shared" si="157"/>
        <v>3</v>
      </c>
      <c r="G819">
        <f t="shared" si="158"/>
        <v>2017</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2005</v>
      </c>
      <c r="U819">
        <f>IF(connections!$A819="","",IFERROR(INDEX(games!$B$2:$B$950,MATCH(connections!$B819,games!$A$2:$A$950,0)),""))</f>
        <v>2012</v>
      </c>
      <c r="V819">
        <f t="shared" si="168"/>
        <v>7</v>
      </c>
    </row>
    <row r="820" spans="1:22" x14ac:dyDescent="0.25">
      <c r="A820" t="str">
        <f>IF(games!$A820="","",games!$A820)</f>
        <v>Tower of Guns</v>
      </c>
      <c r="B820">
        <f>IF($A820="","",games!$B820)</f>
        <v>2014</v>
      </c>
      <c r="C820" t="str">
        <f>IF($A820="","",games!$C820)</f>
        <v>Action</v>
      </c>
      <c r="D820">
        <f>IF($A820="","",COUNTIF(connections!$A$2:$A$1460,$A820)+COUNTIF(connections!$B$2:$B$1460,$A820))</f>
        <v>2</v>
      </c>
      <c r="E820">
        <f t="shared" si="156"/>
        <v>1</v>
      </c>
      <c r="F820">
        <f t="shared" si="157"/>
        <v>4</v>
      </c>
      <c r="G820">
        <f t="shared" si="158"/>
        <v>2014</v>
      </c>
      <c r="H820">
        <f t="shared" si="159"/>
        <v>1.0920000000000001</v>
      </c>
      <c r="I820" t="e">
        <f t="shared" si="160"/>
        <v>#N/A</v>
      </c>
      <c r="J820" t="e">
        <f t="shared" si="161"/>
        <v>#N/A</v>
      </c>
      <c r="K820" t="e">
        <f t="shared" si="162"/>
        <v>#N/A</v>
      </c>
      <c r="L820" t="e">
        <f t="shared" si="163"/>
        <v>#N/A</v>
      </c>
      <c r="M820" t="e">
        <f t="shared" si="164"/>
        <v>#N/A</v>
      </c>
      <c r="N820" t="e">
        <f t="shared" si="165"/>
        <v>#N/A</v>
      </c>
      <c r="O820">
        <f t="shared" si="166"/>
        <v>2.00082</v>
      </c>
      <c r="P820" t="str">
        <f>IF(OR($A820="",games!$H820=""),"",games!$H820)</f>
        <v>Yes</v>
      </c>
      <c r="Q820">
        <f t="shared" si="167"/>
        <v>2.00082</v>
      </c>
      <c r="T820">
        <f>IF(connections!$A820="","",IFERROR(INDEX(games!$B$2:$B$950,MATCH(connections!$A820,games!$A$2:$A$950,0)),""))</f>
        <v>2005</v>
      </c>
      <c r="U820">
        <f>IF(connections!$A820="","",IFERROR(INDEX(games!$B$2:$B$950,MATCH(connections!$B820,games!$A$2:$A$950,0)),""))</f>
        <v>2020</v>
      </c>
      <c r="V820">
        <f t="shared" si="168"/>
        <v>15</v>
      </c>
    </row>
    <row r="821" spans="1:22" x14ac:dyDescent="0.25">
      <c r="A821" t="str">
        <f>IF(games!$A821="","",games!$A821)</f>
        <v>Tower Tactics: Liberation</v>
      </c>
      <c r="B821">
        <f>IF($A821="","",games!$B821)</f>
        <v>2021</v>
      </c>
      <c r="C821" t="str">
        <f>IF($A821="","",games!$C821)</f>
        <v>Deckbuilder</v>
      </c>
      <c r="D821">
        <f>IF($A821="","",COUNTIF(connections!$A$2:$A$1460,$A821)+COUNTIF(connections!$B$2:$B$1460,$A821))</f>
        <v>3</v>
      </c>
      <c r="E821">
        <f t="shared" si="156"/>
        <v>3</v>
      </c>
      <c r="F821">
        <f t="shared" si="157"/>
        <v>5</v>
      </c>
      <c r="G821" t="e">
        <f t="shared" si="158"/>
        <v>#N/A</v>
      </c>
      <c r="H821" t="e">
        <f t="shared" si="159"/>
        <v>#N/A</v>
      </c>
      <c r="I821" t="e">
        <f t="shared" si="160"/>
        <v>#N/A</v>
      </c>
      <c r="J821" t="e">
        <f t="shared" si="161"/>
        <v>#N/A</v>
      </c>
      <c r="K821">
        <f t="shared" si="162"/>
        <v>2021</v>
      </c>
      <c r="L821">
        <f t="shared" si="163"/>
        <v>3.1150000000000002</v>
      </c>
      <c r="M821" t="e">
        <f t="shared" si="164"/>
        <v>#N/A</v>
      </c>
      <c r="N821" t="e">
        <f t="shared" si="165"/>
        <v>#N/A</v>
      </c>
      <c r="O821">
        <f t="shared" si="166"/>
        <v>3.0008210000000002</v>
      </c>
      <c r="P821" t="str">
        <f>IF(OR($A821="",games!$H821=""),"",games!$H821)</f>
        <v>Yes</v>
      </c>
      <c r="Q821">
        <f t="shared" si="167"/>
        <v>3.0008210000000002</v>
      </c>
      <c r="T821">
        <f>IF(connections!$A821="","",IFERROR(INDEX(games!$B$2:$B$950,MATCH(connections!$A821,games!$A$2:$A$950,0)),""))</f>
        <v>2005</v>
      </c>
      <c r="U821">
        <f>IF(connections!$A821="","",IFERROR(INDEX(games!$B$2:$B$950,MATCH(connections!$B821,games!$A$2:$A$950,0)),""))</f>
        <v>2015</v>
      </c>
      <c r="V821">
        <f t="shared" si="168"/>
        <v>10</v>
      </c>
    </row>
    <row r="822" spans="1:22" x14ac:dyDescent="0.25">
      <c r="A822" t="str">
        <f>IF(games!$A822="","",games!$A822)</f>
        <v>Toy Smash Kaboom!</v>
      </c>
      <c r="B822">
        <f>IF($A822="","",games!$B822)</f>
        <v>2025</v>
      </c>
      <c r="C822" t="str">
        <f>IF($A822="","",games!$C822)</f>
        <v>Deckbuilder</v>
      </c>
      <c r="D822">
        <f>IF($A822="","",COUNTIF(connections!$A$2:$A$1460,$A822)+COUNTIF(connections!$B$2:$B$1460,$A822))</f>
        <v>1</v>
      </c>
      <c r="E822">
        <f t="shared" si="156"/>
        <v>3</v>
      </c>
      <c r="F822">
        <f t="shared" si="157"/>
        <v>6</v>
      </c>
      <c r="G822" t="e">
        <f t="shared" si="158"/>
        <v>#N/A</v>
      </c>
      <c r="H822" t="e">
        <f t="shared" si="159"/>
        <v>#N/A</v>
      </c>
      <c r="I822" t="e">
        <f t="shared" si="160"/>
        <v>#N/A</v>
      </c>
      <c r="J822" t="e">
        <f t="shared" si="161"/>
        <v>#N/A</v>
      </c>
      <c r="K822">
        <f t="shared" si="162"/>
        <v>2025</v>
      </c>
      <c r="L822">
        <f t="shared" si="163"/>
        <v>3.1379999999999999</v>
      </c>
      <c r="M822" t="e">
        <f t="shared" si="164"/>
        <v>#N/A</v>
      </c>
      <c r="N822" t="e">
        <f t="shared" si="165"/>
        <v>#N/A</v>
      </c>
      <c r="O822">
        <f t="shared" si="166"/>
        <v>1.0008220000000001</v>
      </c>
      <c r="P822" t="str">
        <f>IF(OR($A822="",games!$H822=""),"",games!$H822)</f>
        <v/>
      </c>
      <c r="Q822" t="str">
        <f t="shared" si="167"/>
        <v/>
      </c>
      <c r="T822">
        <f>IF(connections!$A822="","",IFERROR(INDEX(games!$B$2:$B$950,MATCH(connections!$A822,games!$A$2:$A$950,0)),""))</f>
        <v>2024</v>
      </c>
      <c r="U822">
        <f>IF(connections!$A822="","",IFERROR(INDEX(games!$B$2:$B$950,MATCH(connections!$B822,games!$A$2:$A$950,0)),""))</f>
        <v>2026</v>
      </c>
      <c r="V822">
        <f t="shared" si="168"/>
        <v>2</v>
      </c>
    </row>
    <row r="823" spans="1:22" x14ac:dyDescent="0.25">
      <c r="A823" t="str">
        <f>IF(games!$A823="","",games!$A823)</f>
        <v>Trash of the Titans</v>
      </c>
      <c r="B823">
        <f>IF($A823="","",games!$B823)</f>
        <v>2024</v>
      </c>
      <c r="C823" t="str">
        <f>IF($A823="","",games!$C823)</f>
        <v>Strategy</v>
      </c>
      <c r="D823">
        <f>IF($A823="","",COUNTIF(connections!$A$2:$A$1460,$A823)+COUNTIF(connections!$B$2:$B$1460,$A823))</f>
        <v>1</v>
      </c>
      <c r="E823">
        <f t="shared" si="156"/>
        <v>2</v>
      </c>
      <c r="F823">
        <f t="shared" si="157"/>
        <v>7</v>
      </c>
      <c r="G823" t="e">
        <f t="shared" si="158"/>
        <v>#N/A</v>
      </c>
      <c r="H823" t="e">
        <f t="shared" si="159"/>
        <v>#N/A</v>
      </c>
      <c r="I823">
        <f t="shared" si="160"/>
        <v>2024</v>
      </c>
      <c r="J823">
        <f t="shared" si="161"/>
        <v>2.161</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2024</v>
      </c>
      <c r="U823">
        <f>IF(connections!$A823="","",IFERROR(INDEX(games!$B$2:$B$950,MATCH(connections!$B823,games!$A$2:$A$950,0)),""))</f>
        <v>2025</v>
      </c>
      <c r="V823">
        <f t="shared" si="168"/>
        <v>1</v>
      </c>
    </row>
    <row r="824" spans="1:22" x14ac:dyDescent="0.25">
      <c r="A824" t="str">
        <f>IF(games!$A824="","",games!$A824)</f>
        <v>Trials of Fire</v>
      </c>
      <c r="B824">
        <f>IF($A824="","",games!$B824)</f>
        <v>2019</v>
      </c>
      <c r="C824" t="str">
        <f>IF($A824="","",games!$C824)</f>
        <v>Deckbuilder</v>
      </c>
      <c r="D824">
        <f>IF($A824="","",COUNTIF(connections!$A$2:$A$1460,$A824)+COUNTIF(connections!$B$2:$B$1460,$A824))</f>
        <v>1</v>
      </c>
      <c r="E824">
        <f t="shared" si="156"/>
        <v>3</v>
      </c>
      <c r="F824">
        <f t="shared" si="157"/>
        <v>8</v>
      </c>
      <c r="G824" t="e">
        <f t="shared" si="158"/>
        <v>#N/A</v>
      </c>
      <c r="H824" t="e">
        <f t="shared" si="159"/>
        <v>#N/A</v>
      </c>
      <c r="I824" t="e">
        <f t="shared" si="160"/>
        <v>#N/A</v>
      </c>
      <c r="J824" t="e">
        <f t="shared" si="161"/>
        <v>#N/A</v>
      </c>
      <c r="K824">
        <f t="shared" si="162"/>
        <v>2019</v>
      </c>
      <c r="L824">
        <f t="shared" si="163"/>
        <v>3.1840000000000002</v>
      </c>
      <c r="M824" t="e">
        <f t="shared" si="164"/>
        <v>#N/A</v>
      </c>
      <c r="N824" t="e">
        <f t="shared" si="165"/>
        <v>#N/A</v>
      </c>
      <c r="O824">
        <f t="shared" si="166"/>
        <v>1.0008239999999999</v>
      </c>
      <c r="P824" t="str">
        <f>IF(OR($A824="",games!$H824=""),"",games!$H824)</f>
        <v>Yes</v>
      </c>
      <c r="Q824">
        <f t="shared" si="167"/>
        <v>1.0008239999999999</v>
      </c>
      <c r="T824">
        <f>IF(connections!$A824="","",IFERROR(INDEX(games!$B$2:$B$950,MATCH(connections!$A824,games!$A$2:$A$950,0)),""))</f>
        <v>2020</v>
      </c>
      <c r="U824">
        <f>IF(connections!$A824="","",IFERROR(INDEX(games!$B$2:$B$950,MATCH(connections!$B824,games!$A$2:$A$950,0)),""))</f>
        <v>2023</v>
      </c>
      <c r="V824">
        <f t="shared" si="168"/>
        <v>3</v>
      </c>
    </row>
    <row r="825" spans="1:22" x14ac:dyDescent="0.25">
      <c r="A825" t="str">
        <f>IF(games!$A825="","",games!$A825)</f>
        <v>TumbleSeed</v>
      </c>
      <c r="B825">
        <f>IF($A825="","",games!$B825)</f>
        <v>2017</v>
      </c>
      <c r="C825" t="str">
        <f>IF($A825="","",games!$C825)</f>
        <v>Action</v>
      </c>
      <c r="D825">
        <f>IF($A825="","",COUNTIF(connections!$A$2:$A$1460,$A825)+COUNTIF(connections!$B$2:$B$1460,$A825))</f>
        <v>3</v>
      </c>
      <c r="E825">
        <f t="shared" si="156"/>
        <v>1</v>
      </c>
      <c r="F825">
        <f t="shared" si="157"/>
        <v>9</v>
      </c>
      <c r="G825">
        <f t="shared" si="158"/>
        <v>2017</v>
      </c>
      <c r="H825">
        <f t="shared" si="159"/>
        <v>1.2070000000000001</v>
      </c>
      <c r="I825" t="e">
        <f t="shared" si="160"/>
        <v>#N/A</v>
      </c>
      <c r="J825" t="e">
        <f t="shared" si="161"/>
        <v>#N/A</v>
      </c>
      <c r="K825" t="e">
        <f t="shared" si="162"/>
        <v>#N/A</v>
      </c>
      <c r="L825" t="e">
        <f t="shared" si="163"/>
        <v>#N/A</v>
      </c>
      <c r="M825" t="e">
        <f t="shared" si="164"/>
        <v>#N/A</v>
      </c>
      <c r="N825" t="e">
        <f t="shared" si="165"/>
        <v>#N/A</v>
      </c>
      <c r="O825">
        <f t="shared" si="166"/>
        <v>3.0008249999999999</v>
      </c>
      <c r="P825" t="str">
        <f>IF(OR($A825="",games!$H825=""),"",games!$H825)</f>
        <v/>
      </c>
      <c r="Q825" t="str">
        <f t="shared" si="167"/>
        <v/>
      </c>
      <c r="T825">
        <f>IF(connections!$A825="","",IFERROR(INDEX(games!$B$2:$B$950,MATCH(connections!$A825,games!$A$2:$A$950,0)),""))</f>
        <v>2003</v>
      </c>
      <c r="U825">
        <f>IF(connections!$A825="","",IFERROR(INDEX(games!$B$2:$B$950,MATCH(connections!$B825,games!$A$2:$A$950,0)),""))</f>
        <v>2010</v>
      </c>
      <c r="V825">
        <f t="shared" si="168"/>
        <v>7</v>
      </c>
    </row>
    <row r="826" spans="1:22" x14ac:dyDescent="0.25">
      <c r="A826" t="str">
        <f>IF(games!$A826="","",games!$A826)</f>
        <v>Turnbound</v>
      </c>
      <c r="B826">
        <f>IF($A826="","",games!$B826)</f>
        <v>2026</v>
      </c>
      <c r="C826" t="str">
        <f>IF($A826="","",games!$C826)</f>
        <v>Deckbuilder</v>
      </c>
      <c r="D826">
        <f>IF($A826="","",COUNTIF(connections!$A$2:$A$1460,$A826)+COUNTIF(connections!$B$2:$B$1460,$A826))</f>
        <v>2</v>
      </c>
      <c r="E826">
        <f t="shared" si="156"/>
        <v>3</v>
      </c>
      <c r="F826">
        <f t="shared" si="157"/>
        <v>10</v>
      </c>
      <c r="G826" t="e">
        <f t="shared" si="158"/>
        <v>#N/A</v>
      </c>
      <c r="H826" t="e">
        <f t="shared" si="159"/>
        <v>#N/A</v>
      </c>
      <c r="I826" t="e">
        <f t="shared" si="160"/>
        <v>#N/A</v>
      </c>
      <c r="J826" t="e">
        <f t="shared" si="161"/>
        <v>#N/A</v>
      </c>
      <c r="K826">
        <f t="shared" si="162"/>
        <v>2026</v>
      </c>
      <c r="L826">
        <f t="shared" si="163"/>
        <v>3.23</v>
      </c>
      <c r="M826" t="e">
        <f t="shared" si="164"/>
        <v>#N/A</v>
      </c>
      <c r="N826" t="e">
        <f t="shared" si="165"/>
        <v>#N/A</v>
      </c>
      <c r="O826">
        <f t="shared" si="166"/>
        <v>2.000826</v>
      </c>
      <c r="P826" t="str">
        <f>IF(OR($A826="",games!$H826=""),"",games!$H826)</f>
        <v>Yes</v>
      </c>
      <c r="Q826">
        <f t="shared" si="167"/>
        <v>2.000826</v>
      </c>
      <c r="T826">
        <f>IF(connections!$A826="","",IFERROR(INDEX(games!$B$2:$B$950,MATCH(connections!$A826,games!$A$2:$A$950,0)),""))</f>
        <v>2003</v>
      </c>
      <c r="U826">
        <f>IF(connections!$A826="","",IFERROR(INDEX(games!$B$2:$B$950,MATCH(connections!$B826,games!$A$2:$A$950,0)),""))</f>
        <v>2015</v>
      </c>
      <c r="V826">
        <f t="shared" si="168"/>
        <v>12</v>
      </c>
    </row>
    <row r="827" spans="1:22" x14ac:dyDescent="0.25">
      <c r="A827" t="str">
        <f>IF(games!$A827="","",games!$A827)</f>
        <v>Tyrant's Realm</v>
      </c>
      <c r="B827">
        <f>IF($A827="","",games!$B827)</f>
        <v>2025</v>
      </c>
      <c r="C827" t="str">
        <f>IF($A827="","",games!$C827)</f>
        <v>Action</v>
      </c>
      <c r="D827">
        <f>IF($A827="","",COUNTIF(connections!$A$2:$A$1460,$A827)+COUNTIF(connections!$B$2:$B$1460,$A827))</f>
        <v>1</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IF(connections!$A827="","",IFERROR(INDEX(games!$B$2:$B$950,MATCH(connections!$A827,games!$A$2:$A$950,0)),""))</f>
        <v>2003</v>
      </c>
      <c r="U827">
        <f>IF(connections!$A827="","",IFERROR(INDEX(games!$B$2:$B$950,MATCH(connections!$B827,games!$A$2:$A$950,0)),""))</f>
        <v>2017</v>
      </c>
      <c r="V827">
        <f t="shared" si="168"/>
        <v>14</v>
      </c>
    </row>
    <row r="828" spans="1:22" x14ac:dyDescent="0.25">
      <c r="A828" t="str">
        <f>IF(games!$A828="","",games!$A828)</f>
        <v>Ultima Ratio Regum</v>
      </c>
      <c r="B828">
        <f>IF($A828="","",games!$B828)</f>
        <v>2012</v>
      </c>
      <c r="C828" t="str">
        <f>IF($A828="","",games!$C828)</f>
        <v>Traditional</v>
      </c>
      <c r="D828">
        <f>IF($A828="","",COUNTIF(connections!$A$2:$A$1460,$A828)+COUNTIF(connections!$B$2:$B$1460,$A828))</f>
        <v>2</v>
      </c>
      <c r="E828">
        <f t="shared" si="156"/>
        <v>4</v>
      </c>
      <c r="F828">
        <f t="shared" si="157"/>
        <v>12</v>
      </c>
      <c r="G828" t="e">
        <f t="shared" si="158"/>
        <v>#N/A</v>
      </c>
      <c r="H828" t="e">
        <f t="shared" si="159"/>
        <v>#N/A</v>
      </c>
      <c r="I828" t="e">
        <f t="shared" si="160"/>
        <v>#N/A</v>
      </c>
      <c r="J828" t="e">
        <f t="shared" si="161"/>
        <v>#N/A</v>
      </c>
      <c r="K828" t="e">
        <f t="shared" si="162"/>
        <v>#N/A</v>
      </c>
      <c r="L828" t="e">
        <f t="shared" si="163"/>
        <v>#N/A</v>
      </c>
      <c r="M828">
        <f t="shared" si="164"/>
        <v>2012</v>
      </c>
      <c r="N828">
        <f t="shared" si="165"/>
        <v>4.2759999999999998</v>
      </c>
      <c r="O828">
        <f t="shared" si="166"/>
        <v>2.0008279999999998</v>
      </c>
      <c r="P828" t="str">
        <f>IF(OR($A828="",games!$H828=""),"",games!$H828)</f>
        <v/>
      </c>
      <c r="Q828" t="str">
        <f t="shared" si="167"/>
        <v/>
      </c>
      <c r="T828">
        <f>IF(connections!$A828="","",IFERROR(INDEX(games!$B$2:$B$950,MATCH(connections!$A828,games!$A$2:$A$950,0)),""))</f>
        <v>2003</v>
      </c>
      <c r="U828">
        <f>IF(connections!$A828="","",IFERROR(INDEX(games!$B$2:$B$950,MATCH(connections!$B828,games!$A$2:$A$950,0)),""))</f>
        <v>2014</v>
      </c>
      <c r="V828">
        <f t="shared" si="168"/>
        <v>11</v>
      </c>
    </row>
    <row r="829" spans="1:22" x14ac:dyDescent="0.25">
      <c r="A829" t="str">
        <f>IF(games!$A829="","",games!$A829)</f>
        <v>Ultimate ADOM</v>
      </c>
      <c r="B829">
        <f>IF($A829="","",games!$B829)</f>
        <v>2021</v>
      </c>
      <c r="C829" t="str">
        <f>IF($A829="","",games!$C829)</f>
        <v>Traditional</v>
      </c>
      <c r="D829">
        <f>IF($A829="","",COUNTIF(connections!$A$2:$A$1460,$A829)+COUNTIF(connections!$B$2:$B$1460,$A829))</f>
        <v>1</v>
      </c>
      <c r="E829">
        <f t="shared" si="156"/>
        <v>4</v>
      </c>
      <c r="F829">
        <f t="shared" si="157"/>
        <v>13</v>
      </c>
      <c r="G829" t="e">
        <f t="shared" si="158"/>
        <v>#N/A</v>
      </c>
      <c r="H829" t="e">
        <f t="shared" si="159"/>
        <v>#N/A</v>
      </c>
      <c r="I829" t="e">
        <f t="shared" si="160"/>
        <v>#N/A</v>
      </c>
      <c r="J829" t="e">
        <f t="shared" si="161"/>
        <v>#N/A</v>
      </c>
      <c r="K829" t="e">
        <f t="shared" si="162"/>
        <v>#N/A</v>
      </c>
      <c r="L829" t="e">
        <f t="shared" si="163"/>
        <v>#N/A</v>
      </c>
      <c r="M829">
        <f t="shared" si="164"/>
        <v>2021</v>
      </c>
      <c r="N829">
        <f t="shared" si="165"/>
        <v>4.2990000000000004</v>
      </c>
      <c r="O829">
        <f t="shared" si="166"/>
        <v>1.000829</v>
      </c>
      <c r="P829" t="str">
        <f>IF(OR($A829="",games!$H829=""),"",games!$H829)</f>
        <v>Yes</v>
      </c>
      <c r="Q829">
        <f t="shared" si="167"/>
        <v>1.000829</v>
      </c>
      <c r="T829">
        <f>IF(connections!$A829="","",IFERROR(INDEX(games!$B$2:$B$950,MATCH(connections!$A829,games!$A$2:$A$950,0)),""))</f>
        <v>2003</v>
      </c>
      <c r="U829">
        <f>IF(connections!$A829="","",IFERROR(INDEX(games!$B$2:$B$950,MATCH(connections!$B829,games!$A$2:$A$950,0)),""))</f>
        <v>2011</v>
      </c>
      <c r="V829">
        <f t="shared" si="168"/>
        <v>8</v>
      </c>
    </row>
    <row r="830" spans="1:22" x14ac:dyDescent="0.25">
      <c r="A830" t="str">
        <f>IF(games!$A830="","",games!$A830)</f>
        <v>Ultrapool</v>
      </c>
      <c r="B830">
        <f>IF($A830="","",games!$B830)</f>
        <v>2026</v>
      </c>
      <c r="C830" t="str">
        <f>IF($A830="","",games!$C830)</f>
        <v>Deckbuilder</v>
      </c>
      <c r="D830">
        <f>IF($A830="","",COUNTIF(connections!$A$2:$A$1460,$A830)+COUNTIF(connections!$B$2:$B$1460,$A830))</f>
        <v>2</v>
      </c>
      <c r="E830">
        <f t="shared" si="156"/>
        <v>3</v>
      </c>
      <c r="F830">
        <f t="shared" si="157"/>
        <v>14</v>
      </c>
      <c r="G830" t="e">
        <f t="shared" si="158"/>
        <v>#N/A</v>
      </c>
      <c r="H830" t="e">
        <f t="shared" si="159"/>
        <v>#N/A</v>
      </c>
      <c r="I830" t="e">
        <f t="shared" si="160"/>
        <v>#N/A</v>
      </c>
      <c r="J830" t="e">
        <f t="shared" si="161"/>
        <v>#N/A</v>
      </c>
      <c r="K830">
        <f t="shared" si="162"/>
        <v>2026</v>
      </c>
      <c r="L830">
        <f t="shared" si="163"/>
        <v>3.3220000000000001</v>
      </c>
      <c r="M830" t="e">
        <f t="shared" si="164"/>
        <v>#N/A</v>
      </c>
      <c r="N830" t="e">
        <f t="shared" si="165"/>
        <v>#N/A</v>
      </c>
      <c r="O830">
        <f t="shared" si="166"/>
        <v>2.0008300000000001</v>
      </c>
      <c r="P830" t="str">
        <f>IF(OR($A830="",games!$H830=""),"",games!$H830)</f>
        <v/>
      </c>
      <c r="Q830" t="str">
        <f t="shared" si="167"/>
        <v/>
      </c>
      <c r="T830">
        <f>IF(connections!$A830="","",IFERROR(INDEX(games!$B$2:$B$950,MATCH(connections!$A830,games!$A$2:$A$950,0)),""))</f>
        <v>1992</v>
      </c>
      <c r="U830">
        <f>IF(connections!$A830="","",IFERROR(INDEX(games!$B$2:$B$950,MATCH(connections!$B830,games!$A$2:$A$950,0)),""))</f>
        <v>2012</v>
      </c>
      <c r="V830">
        <f t="shared" si="168"/>
        <v>20</v>
      </c>
    </row>
    <row r="831" spans="1:22" x14ac:dyDescent="0.25">
      <c r="A831" t="str">
        <f>IF(games!$A831="","",games!$A831)</f>
        <v>Uma Musume: Pretty Derby</v>
      </c>
      <c r="B831">
        <f>IF($A831="","",games!$B831)</f>
        <v>2021</v>
      </c>
      <c r="C831" t="str">
        <f>IF($A831="","",games!$C831)</f>
        <v>Strategy</v>
      </c>
      <c r="D831">
        <f>IF($A831="","",COUNTIF(connections!$A$2:$A$1460,$A831)+COUNTIF(connections!$B$2:$B$1460,$A831))</f>
        <v>1</v>
      </c>
      <c r="E831">
        <f t="shared" si="156"/>
        <v>2</v>
      </c>
      <c r="F831">
        <f t="shared" si="157"/>
        <v>15</v>
      </c>
      <c r="G831" t="e">
        <f t="shared" si="158"/>
        <v>#N/A</v>
      </c>
      <c r="H831" t="e">
        <f t="shared" si="159"/>
        <v>#N/A</v>
      </c>
      <c r="I831">
        <f t="shared" si="160"/>
        <v>2021</v>
      </c>
      <c r="J831">
        <f t="shared" si="161"/>
        <v>2.3449999999999998</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IF(connections!$A831="","",IFERROR(INDEX(games!$B$2:$B$950,MATCH(connections!$A831,games!$A$2:$A$950,0)),""))</f>
        <v>2023</v>
      </c>
      <c r="U831">
        <f>IF(connections!$A831="","",IFERROR(INDEX(games!$B$2:$B$950,MATCH(connections!$B831,games!$A$2:$A$950,0)),""))</f>
        <v>2025</v>
      </c>
      <c r="V831">
        <f t="shared" si="168"/>
        <v>2</v>
      </c>
    </row>
    <row r="832" spans="1:22" x14ac:dyDescent="0.25">
      <c r="A832" t="str">
        <f>IF(games!$A832="","",games!$A832)</f>
        <v>Underdogs</v>
      </c>
      <c r="B832">
        <f>IF($A832="","",games!$B832)</f>
        <v>2024</v>
      </c>
      <c r="C832" t="str">
        <f>IF($A832="","",games!$C832)</f>
        <v>Action</v>
      </c>
      <c r="D832">
        <f>IF($A832="","",COUNTIF(connections!$A$2:$A$1460,$A832)+COUNTIF(connections!$B$2:$B$1460,$A832))</f>
        <v>0</v>
      </c>
      <c r="E832">
        <f t="shared" si="156"/>
        <v>1</v>
      </c>
      <c r="F832">
        <f t="shared" si="157"/>
        <v>16</v>
      </c>
      <c r="G832">
        <f t="shared" si="158"/>
        <v>2024</v>
      </c>
      <c r="H832">
        <f t="shared" si="159"/>
        <v>1.3679999999999999</v>
      </c>
      <c r="I832" t="e">
        <f t="shared" si="160"/>
        <v>#N/A</v>
      </c>
      <c r="J832" t="e">
        <f t="shared" si="161"/>
        <v>#N/A</v>
      </c>
      <c r="K832" t="e">
        <f t="shared" si="162"/>
        <v>#N/A</v>
      </c>
      <c r="L832" t="e">
        <f t="shared" si="163"/>
        <v>#N/A</v>
      </c>
      <c r="M832" t="e">
        <f t="shared" si="164"/>
        <v>#N/A</v>
      </c>
      <c r="N832" t="e">
        <f t="shared" si="165"/>
        <v>#N/A</v>
      </c>
      <c r="O832">
        <f t="shared" si="166"/>
        <v>8.3199999999999995E-4</v>
      </c>
      <c r="P832" t="str">
        <f>IF(OR($A832="",games!$H832=""),"",games!$H832)</f>
        <v/>
      </c>
      <c r="Q832" t="str">
        <f t="shared" si="167"/>
        <v/>
      </c>
      <c r="T832">
        <f>IF(connections!$A832="","",IFERROR(INDEX(games!$B$2:$B$950,MATCH(connections!$A832,games!$A$2:$A$950,0)),""))</f>
        <v>2010</v>
      </c>
      <c r="U832">
        <f>IF(connections!$A832="","",IFERROR(INDEX(games!$B$2:$B$950,MATCH(connections!$B832,games!$A$2:$A$950,0)),""))</f>
        <v>2026</v>
      </c>
      <c r="V832">
        <f t="shared" si="168"/>
        <v>16</v>
      </c>
    </row>
    <row r="833" spans="1:22" x14ac:dyDescent="0.25">
      <c r="A833" t="str">
        <f>IF(games!$A833="","",games!$A833)</f>
        <v>UnderMine</v>
      </c>
      <c r="B833">
        <f>IF($A833="","",games!$B833)</f>
        <v>2019</v>
      </c>
      <c r="C833" t="str">
        <f>IF($A833="","",games!$C833)</f>
        <v>Action</v>
      </c>
      <c r="D833">
        <f>IF($A833="","",COUNTIF(connections!$A$2:$A$1460,$A833)+COUNTIF(connections!$B$2:$B$1460,$A833))</f>
        <v>6</v>
      </c>
      <c r="E833">
        <f t="shared" si="156"/>
        <v>1</v>
      </c>
      <c r="F833">
        <f t="shared" si="157"/>
        <v>17</v>
      </c>
      <c r="G833">
        <f t="shared" si="158"/>
        <v>2019</v>
      </c>
      <c r="H833">
        <f t="shared" si="159"/>
        <v>1.391</v>
      </c>
      <c r="I833" t="e">
        <f t="shared" si="160"/>
        <v>#N/A</v>
      </c>
      <c r="J833" t="e">
        <f t="shared" si="161"/>
        <v>#N/A</v>
      </c>
      <c r="K833" t="e">
        <f t="shared" si="162"/>
        <v>#N/A</v>
      </c>
      <c r="L833" t="e">
        <f t="shared" si="163"/>
        <v>#N/A</v>
      </c>
      <c r="M833" t="e">
        <f t="shared" si="164"/>
        <v>#N/A</v>
      </c>
      <c r="N833" t="e">
        <f t="shared" si="165"/>
        <v>#N/A</v>
      </c>
      <c r="O833">
        <f t="shared" si="166"/>
        <v>6.0008330000000001</v>
      </c>
      <c r="P833" t="str">
        <f>IF(OR($A833="",games!$H833=""),"",games!$H833)</f>
        <v>Yes</v>
      </c>
      <c r="Q833">
        <f t="shared" si="167"/>
        <v>6.0008330000000001</v>
      </c>
      <c r="T833">
        <f>IF(connections!$A833="","",IFERROR(INDEX(games!$B$2:$B$950,MATCH(connections!$A833,games!$A$2:$A$950,0)),""))</f>
        <v>2010</v>
      </c>
      <c r="U833">
        <f>IF(connections!$A833="","",IFERROR(INDEX(games!$B$2:$B$950,MATCH(connections!$B833,games!$A$2:$A$950,0)),""))</f>
        <v>2023</v>
      </c>
      <c r="V833">
        <f t="shared" si="168"/>
        <v>13</v>
      </c>
    </row>
    <row r="834" spans="1:22" x14ac:dyDescent="0.25">
      <c r="A834" t="str">
        <f>IF(games!$A834="","",games!$A834)</f>
        <v>UnderMine 2</v>
      </c>
      <c r="B834">
        <f>IF($A834="","",games!$B834)</f>
        <v>2025</v>
      </c>
      <c r="C834" t="str">
        <f>IF($A834="","",games!$C834)</f>
        <v>Action</v>
      </c>
      <c r="D834">
        <f>IF($A834="","",COUNTIF(connections!$A$2:$A$1460,$A834)+COUNTIF(connections!$B$2:$B$1460,$A834))</f>
        <v>1</v>
      </c>
      <c r="E834">
        <f t="shared" ref="E834:E897" si="169">IF($A834="","",IFERROR(MATCH($C834,$R$2:$R$5,0),0))</f>
        <v>1</v>
      </c>
      <c r="F834">
        <f t="shared" ref="F834:F897" si="170">IF($A834="","",MOD(ROW(),34))</f>
        <v>18</v>
      </c>
      <c r="G834">
        <f t="shared" ref="G834:G897" si="171">IF($A834="",NA(),IF($C834="Action",$B834,NA()))</f>
        <v>2025</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2015</v>
      </c>
      <c r="U834">
        <f>IF(connections!$A834="","",IFERROR(INDEX(games!$B$2:$B$950,MATCH(connections!$B834,games!$A$2:$A$950,0)),""))</f>
        <v>2026</v>
      </c>
      <c r="V834">
        <f t="shared" ref="V834:V897" si="181">IF(OR($T834="",$U834=""),"",$U834-$T834)</f>
        <v>11</v>
      </c>
    </row>
    <row r="835" spans="1:22" x14ac:dyDescent="0.25">
      <c r="A835" t="str">
        <f>IF(games!$A835="","",games!$A835)</f>
        <v>Unexplored</v>
      </c>
      <c r="B835">
        <f>IF($A835="","",games!$B835)</f>
        <v>2017</v>
      </c>
      <c r="C835" t="str">
        <f>IF($A835="","",games!$C835)</f>
        <v>Action</v>
      </c>
      <c r="D835">
        <f>IF($A835="","",COUNTIF(connections!$A$2:$A$1460,$A835)+COUNTIF(connections!$B$2:$B$1460,$A835))</f>
        <v>5</v>
      </c>
      <c r="E835">
        <f t="shared" si="169"/>
        <v>1</v>
      </c>
      <c r="F835">
        <f t="shared" si="170"/>
        <v>19</v>
      </c>
      <c r="G835">
        <f t="shared" si="171"/>
        <v>2017</v>
      </c>
      <c r="H835">
        <f t="shared" si="172"/>
        <v>1.4370000000000001</v>
      </c>
      <c r="I835" t="e">
        <f t="shared" si="173"/>
        <v>#N/A</v>
      </c>
      <c r="J835" t="e">
        <f t="shared" si="174"/>
        <v>#N/A</v>
      </c>
      <c r="K835" t="e">
        <f t="shared" si="175"/>
        <v>#N/A</v>
      </c>
      <c r="L835" t="e">
        <f t="shared" si="176"/>
        <v>#N/A</v>
      </c>
      <c r="M835" t="e">
        <f t="shared" si="177"/>
        <v>#N/A</v>
      </c>
      <c r="N835" t="e">
        <f t="shared" si="178"/>
        <v>#N/A</v>
      </c>
      <c r="O835">
        <f t="shared" si="179"/>
        <v>5.0008350000000004</v>
      </c>
      <c r="P835" t="str">
        <f>IF(OR($A835="",games!$H835=""),"",games!$H835)</f>
        <v/>
      </c>
      <c r="Q835" t="str">
        <f t="shared" si="180"/>
        <v/>
      </c>
      <c r="T835">
        <f>IF(connections!$A835="","",IFERROR(INDEX(games!$B$2:$B$950,MATCH(connections!$A835,games!$A$2:$A$950,0)),""))</f>
        <v>2023</v>
      </c>
      <c r="U835">
        <f>IF(connections!$A835="","",IFERROR(INDEX(games!$B$2:$B$950,MATCH(connections!$B835,games!$A$2:$A$950,0)),""))</f>
        <v>2026</v>
      </c>
      <c r="V835">
        <f t="shared" si="181"/>
        <v>3</v>
      </c>
    </row>
    <row r="836" spans="1:22" x14ac:dyDescent="0.25">
      <c r="A836" t="str">
        <f>IF(games!$A836="","",games!$A836)</f>
        <v>Unexplored 2: The Wayfarer's Legacy</v>
      </c>
      <c r="B836">
        <f>IF($A836="","",games!$B836)</f>
        <v>2022</v>
      </c>
      <c r="C836" t="str">
        <f>IF($A836="","",games!$C836)</f>
        <v>Action</v>
      </c>
      <c r="D836">
        <f>IF($A836="","",COUNTIF(connections!$A$2:$A$1460,$A836)+COUNTIF(connections!$B$2:$B$1460,$A836))</f>
        <v>1</v>
      </c>
      <c r="E836">
        <f t="shared" si="169"/>
        <v>1</v>
      </c>
      <c r="F836">
        <f t="shared" si="170"/>
        <v>20</v>
      </c>
      <c r="G836">
        <f t="shared" si="171"/>
        <v>2022</v>
      </c>
      <c r="H836">
        <f t="shared" si="172"/>
        <v>1.46</v>
      </c>
      <c r="I836" t="e">
        <f t="shared" si="173"/>
        <v>#N/A</v>
      </c>
      <c r="J836" t="e">
        <f t="shared" si="174"/>
        <v>#N/A</v>
      </c>
      <c r="K836" t="e">
        <f t="shared" si="175"/>
        <v>#N/A</v>
      </c>
      <c r="L836" t="e">
        <f t="shared" si="176"/>
        <v>#N/A</v>
      </c>
      <c r="M836" t="e">
        <f t="shared" si="177"/>
        <v>#N/A</v>
      </c>
      <c r="N836" t="e">
        <f t="shared" si="178"/>
        <v>#N/A</v>
      </c>
      <c r="O836">
        <f t="shared" si="179"/>
        <v>1.0008360000000001</v>
      </c>
      <c r="P836" t="str">
        <f>IF(OR($A836="",games!$H836=""),"",games!$H836)</f>
        <v/>
      </c>
      <c r="Q836" t="str">
        <f t="shared" si="180"/>
        <v/>
      </c>
      <c r="T836">
        <f>IF(connections!$A836="","",IFERROR(INDEX(games!$B$2:$B$950,MATCH(connections!$A836,games!$A$2:$A$950,0)),""))</f>
        <v>2023</v>
      </c>
      <c r="U836">
        <f>IF(connections!$A836="","",IFERROR(INDEX(games!$B$2:$B$950,MATCH(connections!$B836,games!$A$2:$A$950,0)),""))</f>
        <v>2026</v>
      </c>
      <c r="V836">
        <f t="shared" si="181"/>
        <v>3</v>
      </c>
    </row>
    <row r="837" spans="1:22" x14ac:dyDescent="0.25">
      <c r="A837" t="str">
        <f>IF(games!$A837="","",games!$A837)</f>
        <v>UnReal World</v>
      </c>
      <c r="B837">
        <f>IF($A837="","",games!$B837)</f>
        <v>1992</v>
      </c>
      <c r="C837" t="str">
        <f>IF($A837="","",games!$C837)</f>
        <v>Traditional</v>
      </c>
      <c r="D837">
        <f>IF($A837="","",COUNTIF(connections!$A$2:$A$1460,$A837)+COUNTIF(connections!$B$2:$B$1460,$A837))</f>
        <v>3</v>
      </c>
      <c r="E837">
        <f t="shared" si="169"/>
        <v>4</v>
      </c>
      <c r="F837">
        <f t="shared" si="170"/>
        <v>21</v>
      </c>
      <c r="G837" t="e">
        <f t="shared" si="171"/>
        <v>#N/A</v>
      </c>
      <c r="H837" t="e">
        <f t="shared" si="172"/>
        <v>#N/A</v>
      </c>
      <c r="I837" t="e">
        <f t="shared" si="173"/>
        <v>#N/A</v>
      </c>
      <c r="J837" t="e">
        <f t="shared" si="174"/>
        <v>#N/A</v>
      </c>
      <c r="K837" t="e">
        <f t="shared" si="175"/>
        <v>#N/A</v>
      </c>
      <c r="L837" t="e">
        <f t="shared" si="176"/>
        <v>#N/A</v>
      </c>
      <c r="M837">
        <f t="shared" si="177"/>
        <v>1992</v>
      </c>
      <c r="N837">
        <f t="shared" si="178"/>
        <v>4.4829999999999997</v>
      </c>
      <c r="O837">
        <f t="shared" si="179"/>
        <v>3.0008370000000002</v>
      </c>
      <c r="P837" t="str">
        <f>IF(OR($A837="",games!$H837=""),"",games!$H837)</f>
        <v>Yes</v>
      </c>
      <c r="Q837">
        <f t="shared" si="180"/>
        <v>3.0008370000000002</v>
      </c>
      <c r="T837">
        <f>IF(connections!$A837="","",IFERROR(INDEX(games!$B$2:$B$950,MATCH(connections!$A837,games!$A$2:$A$950,0)),""))</f>
        <v>2023</v>
      </c>
      <c r="U837">
        <f>IF(connections!$A837="","",IFERROR(INDEX(games!$B$2:$B$950,MATCH(connections!$B837,games!$A$2:$A$950,0)),""))</f>
        <v>2024</v>
      </c>
      <c r="V837">
        <f t="shared" si="181"/>
        <v>1</v>
      </c>
    </row>
    <row r="838" spans="1:22" x14ac:dyDescent="0.25">
      <c r="A838" t="str">
        <f>IF(games!$A838="","",games!$A838)</f>
        <v>Vagante</v>
      </c>
      <c r="B838">
        <f>IF($A838="","",games!$B838)</f>
        <v>2018</v>
      </c>
      <c r="C838" t="str">
        <f>IF($A838="","",games!$C838)</f>
        <v>Action</v>
      </c>
      <c r="D838">
        <f>IF($A838="","",COUNTIF(connections!$A$2:$A$1460,$A838)+COUNTIF(connections!$B$2:$B$1460,$A838))</f>
        <v>3</v>
      </c>
      <c r="E838">
        <f t="shared" si="169"/>
        <v>1</v>
      </c>
      <c r="F838">
        <f t="shared" si="170"/>
        <v>22</v>
      </c>
      <c r="G838">
        <f t="shared" si="171"/>
        <v>2018</v>
      </c>
      <c r="H838">
        <f t="shared" si="172"/>
        <v>1.506</v>
      </c>
      <c r="I838" t="e">
        <f t="shared" si="173"/>
        <v>#N/A</v>
      </c>
      <c r="J838" t="e">
        <f t="shared" si="174"/>
        <v>#N/A</v>
      </c>
      <c r="K838" t="e">
        <f t="shared" si="175"/>
        <v>#N/A</v>
      </c>
      <c r="L838" t="e">
        <f t="shared" si="176"/>
        <v>#N/A</v>
      </c>
      <c r="M838" t="e">
        <f t="shared" si="177"/>
        <v>#N/A</v>
      </c>
      <c r="N838" t="e">
        <f t="shared" si="178"/>
        <v>#N/A</v>
      </c>
      <c r="O838">
        <f t="shared" si="179"/>
        <v>3.0008379999999999</v>
      </c>
      <c r="P838" t="str">
        <f>IF(OR($A838="",games!$H838=""),"",games!$H838)</f>
        <v/>
      </c>
      <c r="Q838" t="str">
        <f t="shared" si="180"/>
        <v/>
      </c>
      <c r="T838">
        <f>IF(connections!$A838="","",IFERROR(INDEX(games!$B$2:$B$950,MATCH(connections!$A838,games!$A$2:$A$950,0)),""))</f>
        <v>2023</v>
      </c>
      <c r="U838">
        <f>IF(connections!$A838="","",IFERROR(INDEX(games!$B$2:$B$950,MATCH(connections!$B838,games!$A$2:$A$950,0)),""))</f>
        <v>2025</v>
      </c>
      <c r="V838">
        <f t="shared" si="181"/>
        <v>2</v>
      </c>
    </row>
    <row r="839" spans="1:22" x14ac:dyDescent="0.25">
      <c r="A839" t="str">
        <f>IF(games!$A839="","",games!$A839)</f>
        <v>Vampire Crawlers</v>
      </c>
      <c r="B839">
        <f>IF($A839="","",games!$B839)</f>
        <v>2026</v>
      </c>
      <c r="C839" t="str">
        <f>IF($A839="","",games!$C839)</f>
        <v>Deckbuilder</v>
      </c>
      <c r="D839">
        <f>IF($A839="","",COUNTIF(connections!$A$2:$A$1460,$A839)+COUNTIF(connections!$B$2:$B$1460,$A839))</f>
        <v>1</v>
      </c>
      <c r="E839">
        <f t="shared" si="169"/>
        <v>3</v>
      </c>
      <c r="F839">
        <f t="shared" si="170"/>
        <v>23</v>
      </c>
      <c r="G839" t="e">
        <f t="shared" si="171"/>
        <v>#N/A</v>
      </c>
      <c r="H839" t="e">
        <f t="shared" si="172"/>
        <v>#N/A</v>
      </c>
      <c r="I839" t="e">
        <f t="shared" si="173"/>
        <v>#N/A</v>
      </c>
      <c r="J839" t="e">
        <f t="shared" si="174"/>
        <v>#N/A</v>
      </c>
      <c r="K839">
        <f t="shared" si="175"/>
        <v>2026</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2021</v>
      </c>
      <c r="U839">
        <f>IF(connections!$A839="","",IFERROR(INDEX(games!$B$2:$B$950,MATCH(connections!$B839,games!$A$2:$A$950,0)),""))</f>
        <v>2022</v>
      </c>
      <c r="V839">
        <f t="shared" si="181"/>
        <v>1</v>
      </c>
    </row>
    <row r="840" spans="1:22" x14ac:dyDescent="0.25">
      <c r="A840" t="str">
        <f>IF(games!$A840="","",games!$A840)</f>
        <v>Vampire Hunters</v>
      </c>
      <c r="B840">
        <f>IF($A840="","",games!$B840)</f>
        <v>2023</v>
      </c>
      <c r="C840" t="str">
        <f>IF($A840="","",games!$C840)</f>
        <v>Action</v>
      </c>
      <c r="D840">
        <f>IF($A840="","",COUNTIF(connections!$A$2:$A$1460,$A840)+COUNTIF(connections!$B$2:$B$1460,$A840))</f>
        <v>3</v>
      </c>
      <c r="E840">
        <f t="shared" si="169"/>
        <v>1</v>
      </c>
      <c r="F840">
        <f t="shared" si="170"/>
        <v>24</v>
      </c>
      <c r="G840">
        <f t="shared" si="171"/>
        <v>2023</v>
      </c>
      <c r="H840">
        <f t="shared" si="172"/>
        <v>1.552</v>
      </c>
      <c r="I840" t="e">
        <f t="shared" si="173"/>
        <v>#N/A</v>
      </c>
      <c r="J840" t="e">
        <f t="shared" si="174"/>
        <v>#N/A</v>
      </c>
      <c r="K840" t="e">
        <f t="shared" si="175"/>
        <v>#N/A</v>
      </c>
      <c r="L840" t="e">
        <f t="shared" si="176"/>
        <v>#N/A</v>
      </c>
      <c r="M840" t="e">
        <f t="shared" si="177"/>
        <v>#N/A</v>
      </c>
      <c r="N840" t="e">
        <f t="shared" si="178"/>
        <v>#N/A</v>
      </c>
      <c r="O840">
        <f t="shared" si="179"/>
        <v>3.0008400000000002</v>
      </c>
      <c r="P840" t="str">
        <f>IF(OR($A840="",games!$H840=""),"",games!$H840)</f>
        <v>Yes</v>
      </c>
      <c r="Q840">
        <f t="shared" si="180"/>
        <v>3.0008400000000002</v>
      </c>
      <c r="T840">
        <f>IF(connections!$A840="","",IFERROR(INDEX(games!$B$2:$B$950,MATCH(connections!$A840,games!$A$2:$A$950,0)),""))</f>
        <v>2020</v>
      </c>
      <c r="U840">
        <f>IF(connections!$A840="","",IFERROR(INDEX(games!$B$2:$B$950,MATCH(connections!$B840,games!$A$2:$A$950,0)),""))</f>
        <v>2023</v>
      </c>
      <c r="V840">
        <f t="shared" si="181"/>
        <v>3</v>
      </c>
    </row>
    <row r="841" spans="1:22" x14ac:dyDescent="0.25">
      <c r="A841" t="str">
        <f>IF(games!$A841="","",games!$A841)</f>
        <v>Vampire Survivors</v>
      </c>
      <c r="B841">
        <f>IF($A841="","",games!$B841)</f>
        <v>2021</v>
      </c>
      <c r="C841" t="str">
        <f>IF($A841="","",games!$C841)</f>
        <v>Action</v>
      </c>
      <c r="D841">
        <f>IF($A841="","",COUNTIF(connections!$A$2:$A$1460,$A841)+COUNTIF(connections!$B$2:$B$1460,$A841))</f>
        <v>96</v>
      </c>
      <c r="E841">
        <f t="shared" si="169"/>
        <v>1</v>
      </c>
      <c r="F841">
        <f t="shared" si="170"/>
        <v>25</v>
      </c>
      <c r="G841">
        <f t="shared" si="171"/>
        <v>2021</v>
      </c>
      <c r="H841">
        <f t="shared" si="172"/>
        <v>1.575</v>
      </c>
      <c r="I841" t="e">
        <f t="shared" si="173"/>
        <v>#N/A</v>
      </c>
      <c r="J841" t="e">
        <f t="shared" si="174"/>
        <v>#N/A</v>
      </c>
      <c r="K841" t="e">
        <f t="shared" si="175"/>
        <v>#N/A</v>
      </c>
      <c r="L841" t="e">
        <f t="shared" si="176"/>
        <v>#N/A</v>
      </c>
      <c r="M841" t="e">
        <f t="shared" si="177"/>
        <v>#N/A</v>
      </c>
      <c r="N841" t="e">
        <f t="shared" si="178"/>
        <v>#N/A</v>
      </c>
      <c r="O841">
        <f t="shared" si="179"/>
        <v>96.000840999999994</v>
      </c>
      <c r="P841" t="str">
        <f>IF(OR($A841="",games!$H841=""),"",games!$H841)</f>
        <v>Yes</v>
      </c>
      <c r="Q841">
        <f t="shared" si="180"/>
        <v>96.000840999999994</v>
      </c>
      <c r="T841">
        <f>IF(connections!$A841="","",IFERROR(INDEX(games!$B$2:$B$950,MATCH(connections!$A841,games!$A$2:$A$950,0)),""))</f>
        <v>2020</v>
      </c>
      <c r="U841">
        <f>IF(connections!$A841="","",IFERROR(INDEX(games!$B$2:$B$950,MATCH(connections!$B841,games!$A$2:$A$950,0)),""))</f>
        <v>2024</v>
      </c>
      <c r="V841">
        <f t="shared" si="181"/>
        <v>4</v>
      </c>
    </row>
    <row r="842" spans="1:22" x14ac:dyDescent="0.25">
      <c r="A842" t="str">
        <f>IF(games!$A842="","",games!$A842)</f>
        <v>Vault of the Void</v>
      </c>
      <c r="B842">
        <f>IF($A842="","",games!$B842)</f>
        <v>2020</v>
      </c>
      <c r="C842" t="str">
        <f>IF($A842="","",games!$C842)</f>
        <v>Deckbuilder</v>
      </c>
      <c r="D842">
        <f>IF($A842="","",COUNTIF(connections!$A$2:$A$1460,$A842)+COUNTIF(connections!$B$2:$B$1460,$A842))</f>
        <v>1</v>
      </c>
      <c r="E842">
        <f t="shared" si="169"/>
        <v>3</v>
      </c>
      <c r="F842">
        <f t="shared" si="170"/>
        <v>26</v>
      </c>
      <c r="G842" t="e">
        <f t="shared" si="171"/>
        <v>#N/A</v>
      </c>
      <c r="H842" t="e">
        <f t="shared" si="172"/>
        <v>#N/A</v>
      </c>
      <c r="I842" t="e">
        <f t="shared" si="173"/>
        <v>#N/A</v>
      </c>
      <c r="J842" t="e">
        <f t="shared" si="174"/>
        <v>#N/A</v>
      </c>
      <c r="K842">
        <f t="shared" si="175"/>
        <v>2020</v>
      </c>
      <c r="L842">
        <f t="shared" si="176"/>
        <v>3.5979999999999999</v>
      </c>
      <c r="M842" t="e">
        <f t="shared" si="177"/>
        <v>#N/A</v>
      </c>
      <c r="N842" t="e">
        <f t="shared" si="178"/>
        <v>#N/A</v>
      </c>
      <c r="O842">
        <f t="shared" si="179"/>
        <v>1.000842</v>
      </c>
      <c r="P842" t="str">
        <f>IF(OR($A842="",games!$H842=""),"",games!$H842)</f>
        <v>Yes</v>
      </c>
      <c r="Q842">
        <f t="shared" si="180"/>
        <v>1.000842</v>
      </c>
      <c r="T842">
        <f>IF(connections!$A842="","",IFERROR(INDEX(games!$B$2:$B$950,MATCH(connections!$A842,games!$A$2:$A$950,0)),""))</f>
        <v>2024</v>
      </c>
      <c r="U842">
        <f>IF(connections!$A842="","",IFERROR(INDEX(games!$B$2:$B$950,MATCH(connections!$B842,games!$A$2:$A$950,0)),""))</f>
        <v>2026</v>
      </c>
      <c r="V842">
        <f t="shared" si="181"/>
        <v>2</v>
      </c>
    </row>
    <row r="843" spans="1:22" x14ac:dyDescent="0.25">
      <c r="A843" t="str">
        <f>IF(games!$A843="","",games!$A843)</f>
        <v>Vellum</v>
      </c>
      <c r="B843">
        <f>IF($A843="","",games!$B843)</f>
        <v>2024</v>
      </c>
      <c r="C843" t="str">
        <f>IF($A843="","",games!$C843)</f>
        <v>Action</v>
      </c>
      <c r="D843">
        <f>IF($A843="","",COUNTIF(connections!$A$2:$A$1460,$A843)+COUNTIF(connections!$B$2:$B$1460,$A843))</f>
        <v>6</v>
      </c>
      <c r="E843">
        <f t="shared" si="169"/>
        <v>1</v>
      </c>
      <c r="F843">
        <f t="shared" si="170"/>
        <v>27</v>
      </c>
      <c r="G843">
        <f t="shared" si="171"/>
        <v>2024</v>
      </c>
      <c r="H843">
        <f t="shared" si="172"/>
        <v>1.621</v>
      </c>
      <c r="I843" t="e">
        <f t="shared" si="173"/>
        <v>#N/A</v>
      </c>
      <c r="J843" t="e">
        <f t="shared" si="174"/>
        <v>#N/A</v>
      </c>
      <c r="K843" t="e">
        <f t="shared" si="175"/>
        <v>#N/A</v>
      </c>
      <c r="L843" t="e">
        <f t="shared" si="176"/>
        <v>#N/A</v>
      </c>
      <c r="M843" t="e">
        <f t="shared" si="177"/>
        <v>#N/A</v>
      </c>
      <c r="N843" t="e">
        <f t="shared" si="178"/>
        <v>#N/A</v>
      </c>
      <c r="O843">
        <f t="shared" si="179"/>
        <v>6.0008429999999997</v>
      </c>
      <c r="P843" t="str">
        <f>IF(OR($A843="",games!$H843=""),"",games!$H843)</f>
        <v/>
      </c>
      <c r="Q843" t="str">
        <f t="shared" si="180"/>
        <v/>
      </c>
      <c r="T843">
        <f>IF(connections!$A843="","",IFERROR(INDEX(games!$B$2:$B$950,MATCH(connections!$A843,games!$A$2:$A$950,0)),""))</f>
        <v>2020</v>
      </c>
      <c r="U843">
        <f>IF(connections!$A843="","",IFERROR(INDEX(games!$B$2:$B$950,MATCH(connections!$B843,games!$A$2:$A$950,0)),""))</f>
        <v>2026</v>
      </c>
      <c r="V843">
        <f t="shared" si="181"/>
        <v>6</v>
      </c>
    </row>
    <row r="844" spans="1:22" x14ac:dyDescent="0.25">
      <c r="A844" t="str">
        <f>IF(games!$A844="","",games!$A844)</f>
        <v>Vital Shell</v>
      </c>
      <c r="B844">
        <f>IF($A844="","",games!$B844)</f>
        <v>2026</v>
      </c>
      <c r="C844" t="str">
        <f>IF($A844="","",games!$C844)</f>
        <v>Action</v>
      </c>
      <c r="D844">
        <f>IF($A844="","",COUNTIF(connections!$A$2:$A$1460,$A844)+COUNTIF(connections!$B$2:$B$1460,$A844))</f>
        <v>1</v>
      </c>
      <c r="E844">
        <f t="shared" si="169"/>
        <v>1</v>
      </c>
      <c r="F844">
        <f t="shared" si="170"/>
        <v>28</v>
      </c>
      <c r="G844">
        <f t="shared" si="171"/>
        <v>2026</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2020</v>
      </c>
      <c r="V844">
        <f t="shared" si="181"/>
        <v>3</v>
      </c>
    </row>
    <row r="845" spans="1:22" x14ac:dyDescent="0.25">
      <c r="A845" t="str">
        <f>IF(games!$A845="","",games!$A845)</f>
        <v>Vivid Knight</v>
      </c>
      <c r="B845">
        <f>IF($A845="","",games!$B845)</f>
        <v>2021</v>
      </c>
      <c r="C845" t="str">
        <f>IF($A845="","",games!$C845)</f>
        <v>Deckbuilder</v>
      </c>
      <c r="D845">
        <f>IF($A845="","",COUNTIF(connections!$A$2:$A$1460,$A845)+COUNTIF(connections!$B$2:$B$1460,$A845))</f>
        <v>4</v>
      </c>
      <c r="E845">
        <f t="shared" si="169"/>
        <v>3</v>
      </c>
      <c r="F845">
        <f t="shared" si="170"/>
        <v>29</v>
      </c>
      <c r="G845" t="e">
        <f t="shared" si="171"/>
        <v>#N/A</v>
      </c>
      <c r="H845" t="e">
        <f t="shared" si="172"/>
        <v>#N/A</v>
      </c>
      <c r="I845" t="e">
        <f t="shared" si="173"/>
        <v>#N/A</v>
      </c>
      <c r="J845" t="e">
        <f t="shared" si="174"/>
        <v>#N/A</v>
      </c>
      <c r="K845">
        <f t="shared" si="175"/>
        <v>2021</v>
      </c>
      <c r="L845">
        <f t="shared" si="176"/>
        <v>3.6669999999999998</v>
      </c>
      <c r="M845" t="e">
        <f t="shared" si="177"/>
        <v>#N/A</v>
      </c>
      <c r="N845" t="e">
        <f t="shared" si="178"/>
        <v>#N/A</v>
      </c>
      <c r="O845">
        <f t="shared" si="179"/>
        <v>4.000845</v>
      </c>
      <c r="P845" t="str">
        <f>IF(OR($A845="",games!$H845=""),"",games!$H845)</f>
        <v/>
      </c>
      <c r="Q845" t="str">
        <f t="shared" si="180"/>
        <v/>
      </c>
      <c r="T845">
        <f>IF(connections!$A845="","",IFERROR(INDEX(games!$B$2:$B$950,MATCH(connections!$A845,games!$A$2:$A$950,0)),""))</f>
        <v>2013</v>
      </c>
      <c r="U845">
        <f>IF(connections!$A845="","",IFERROR(INDEX(games!$B$2:$B$950,MATCH(connections!$B845,games!$A$2:$A$950,0)),""))</f>
        <v>2018</v>
      </c>
      <c r="V845">
        <f t="shared" si="181"/>
        <v>5</v>
      </c>
    </row>
    <row r="846" spans="1:22" x14ac:dyDescent="0.25">
      <c r="A846" t="str">
        <f>IF(games!$A846="","",games!$A846)</f>
        <v>Vivid World</v>
      </c>
      <c r="B846">
        <f>IF($A846="","",games!$B846)</f>
        <v>2025</v>
      </c>
      <c r="C846" t="str">
        <f>IF($A846="","",games!$C846)</f>
        <v>Deckbuilder</v>
      </c>
      <c r="D846">
        <f>IF($A846="","",COUNTIF(connections!$A$2:$A$1460,$A846)+COUNTIF(connections!$B$2:$B$1460,$A846))</f>
        <v>1</v>
      </c>
      <c r="E846">
        <f t="shared" si="169"/>
        <v>3</v>
      </c>
      <c r="F846">
        <f t="shared" si="170"/>
        <v>30</v>
      </c>
      <c r="G846" t="e">
        <f t="shared" si="171"/>
        <v>#N/A</v>
      </c>
      <c r="H846" t="e">
        <f t="shared" si="172"/>
        <v>#N/A</v>
      </c>
      <c r="I846" t="e">
        <f t="shared" si="173"/>
        <v>#N/A</v>
      </c>
      <c r="J846" t="e">
        <f t="shared" si="174"/>
        <v>#N/A</v>
      </c>
      <c r="K846">
        <f t="shared" si="175"/>
        <v>2025</v>
      </c>
      <c r="L846">
        <f t="shared" si="176"/>
        <v>3.69</v>
      </c>
      <c r="M846" t="e">
        <f t="shared" si="177"/>
        <v>#N/A</v>
      </c>
      <c r="N846" t="e">
        <f t="shared" si="178"/>
        <v>#N/A</v>
      </c>
      <c r="O846">
        <f t="shared" si="179"/>
        <v>1.0008459999999999</v>
      </c>
      <c r="P846" t="str">
        <f>IF(OR($A846="",games!$H846=""),"",games!$H846)</f>
        <v/>
      </c>
      <c r="Q846" t="str">
        <f t="shared" si="180"/>
        <v/>
      </c>
      <c r="T846">
        <f>IF(connections!$A846="","",IFERROR(INDEX(games!$B$2:$B$950,MATCH(connections!$A846,games!$A$2:$A$950,0)),""))</f>
        <v>2013</v>
      </c>
      <c r="U846">
        <f>IF(connections!$A846="","",IFERROR(INDEX(games!$B$2:$B$950,MATCH(connections!$B846,games!$A$2:$A$950,0)),""))</f>
        <v>2016</v>
      </c>
      <c r="V846">
        <f t="shared" si="181"/>
        <v>3</v>
      </c>
    </row>
    <row r="847" spans="1:22" x14ac:dyDescent="0.25">
      <c r="A847" t="str">
        <f>IF(games!$A847="","",games!$A847)</f>
        <v>Voice of Belldona</v>
      </c>
      <c r="B847">
        <f>IF($A847="","",games!$B847)</f>
        <v>2026</v>
      </c>
      <c r="C847" t="str">
        <f>IF($A847="","",games!$C847)</f>
        <v>Deckbuilder</v>
      </c>
      <c r="D847">
        <f>IF($A847="","",COUNTIF(connections!$A$2:$A$1460,$A847)+COUNTIF(connections!$B$2:$B$1460,$A847))</f>
        <v>2</v>
      </c>
      <c r="E847">
        <f t="shared" si="169"/>
        <v>3</v>
      </c>
      <c r="F847">
        <f t="shared" si="170"/>
        <v>31</v>
      </c>
      <c r="G847" t="e">
        <f t="shared" si="171"/>
        <v>#N/A</v>
      </c>
      <c r="H847" t="e">
        <f t="shared" si="172"/>
        <v>#N/A</v>
      </c>
      <c r="I847" t="e">
        <f t="shared" si="173"/>
        <v>#N/A</v>
      </c>
      <c r="J847" t="e">
        <f t="shared" si="174"/>
        <v>#N/A</v>
      </c>
      <c r="K847">
        <f t="shared" si="175"/>
        <v>2026</v>
      </c>
      <c r="L847">
        <f t="shared" si="176"/>
        <v>3.7130000000000001</v>
      </c>
      <c r="M847" t="e">
        <f t="shared" si="177"/>
        <v>#N/A</v>
      </c>
      <c r="N847" t="e">
        <f t="shared" si="178"/>
        <v>#N/A</v>
      </c>
      <c r="O847">
        <f t="shared" si="179"/>
        <v>2.0008469999999998</v>
      </c>
      <c r="P847" t="str">
        <f>IF(OR($A847="",games!$H847=""),"",games!$H847)</f>
        <v/>
      </c>
      <c r="Q847" t="str">
        <f t="shared" si="180"/>
        <v/>
      </c>
      <c r="T847">
        <f>IF(connections!$A847="","",IFERROR(INDEX(games!$B$2:$B$950,MATCH(connections!$A847,games!$A$2:$A$950,0)),""))</f>
        <v>2013</v>
      </c>
      <c r="U847">
        <f>IF(connections!$A847="","",IFERROR(INDEX(games!$B$2:$B$950,MATCH(connections!$B847,games!$A$2:$A$950,0)),""))</f>
        <v>2022</v>
      </c>
      <c r="V847">
        <f t="shared" si="181"/>
        <v>9</v>
      </c>
    </row>
    <row r="848" spans="1:22" x14ac:dyDescent="0.25">
      <c r="A848" t="str">
        <f>IF(games!$A848="","",games!$A848)</f>
        <v>Void Bastards</v>
      </c>
      <c r="B848">
        <f>IF($A848="","",games!$B848)</f>
        <v>2019</v>
      </c>
      <c r="C848" t="str">
        <f>IF($A848="","",games!$C848)</f>
        <v>Action</v>
      </c>
      <c r="D848">
        <f>IF($A848="","",COUNTIF(connections!$A$2:$A$1460,$A848)+COUNTIF(connections!$B$2:$B$1460,$A848))</f>
        <v>2</v>
      </c>
      <c r="E848">
        <f t="shared" si="169"/>
        <v>1</v>
      </c>
      <c r="F848">
        <f t="shared" si="170"/>
        <v>32</v>
      </c>
      <c r="G848">
        <f t="shared" si="171"/>
        <v>2019</v>
      </c>
      <c r="H848">
        <f t="shared" si="172"/>
        <v>1.736</v>
      </c>
      <c r="I848" t="e">
        <f t="shared" si="173"/>
        <v>#N/A</v>
      </c>
      <c r="J848" t="e">
        <f t="shared" si="174"/>
        <v>#N/A</v>
      </c>
      <c r="K848" t="e">
        <f t="shared" si="175"/>
        <v>#N/A</v>
      </c>
      <c r="L848" t="e">
        <f t="shared" si="176"/>
        <v>#N/A</v>
      </c>
      <c r="M848" t="e">
        <f t="shared" si="177"/>
        <v>#N/A</v>
      </c>
      <c r="N848" t="e">
        <f t="shared" si="178"/>
        <v>#N/A</v>
      </c>
      <c r="O848">
        <f t="shared" si="179"/>
        <v>2.000848</v>
      </c>
      <c r="P848" t="str">
        <f>IF(OR($A848="",games!$H848=""),"",games!$H848)</f>
        <v>Yes</v>
      </c>
      <c r="Q848">
        <f t="shared" si="180"/>
        <v>2.000848</v>
      </c>
      <c r="T848">
        <f>IF(connections!$A848="","",IFERROR(INDEX(games!$B$2:$B$950,MATCH(connections!$A848,games!$A$2:$A$950,0)),""))</f>
        <v>2013</v>
      </c>
      <c r="U848">
        <f>IF(connections!$A848="","",IFERROR(INDEX(games!$B$2:$B$950,MATCH(connections!$B848,games!$A$2:$A$950,0)),""))</f>
        <v>2020</v>
      </c>
      <c r="V848">
        <f t="shared" si="181"/>
        <v>7</v>
      </c>
    </row>
    <row r="849" spans="1:22" x14ac:dyDescent="0.25">
      <c r="A849" t="str">
        <f>IF(games!$A849="","",games!$A849)</f>
        <v>Void Scrappers</v>
      </c>
      <c r="B849">
        <f>IF($A849="","",games!$B849)</f>
        <v>2022</v>
      </c>
      <c r="C849" t="str">
        <f>IF($A849="","",games!$C849)</f>
        <v>Action</v>
      </c>
      <c r="D849">
        <f>IF($A849="","",COUNTIF(connections!$A$2:$A$1460,$A849)+COUNTIF(connections!$B$2:$B$1460,$A849))</f>
        <v>3</v>
      </c>
      <c r="E849">
        <f t="shared" si="169"/>
        <v>1</v>
      </c>
      <c r="F849">
        <f t="shared" si="170"/>
        <v>33</v>
      </c>
      <c r="G849">
        <f t="shared" si="171"/>
        <v>2022</v>
      </c>
      <c r="H849">
        <f t="shared" si="172"/>
        <v>1.7589999999999999</v>
      </c>
      <c r="I849" t="e">
        <f t="shared" si="173"/>
        <v>#N/A</v>
      </c>
      <c r="J849" t="e">
        <f t="shared" si="174"/>
        <v>#N/A</v>
      </c>
      <c r="K849" t="e">
        <f t="shared" si="175"/>
        <v>#N/A</v>
      </c>
      <c r="L849" t="e">
        <f t="shared" si="176"/>
        <v>#N/A</v>
      </c>
      <c r="M849" t="e">
        <f t="shared" si="177"/>
        <v>#N/A</v>
      </c>
      <c r="N849" t="e">
        <f t="shared" si="178"/>
        <v>#N/A</v>
      </c>
      <c r="O849">
        <f t="shared" si="179"/>
        <v>3.0008490000000001</v>
      </c>
      <c r="P849" t="str">
        <f>IF(OR($A849="",games!$H849=""),"",games!$H849)</f>
        <v>Yes</v>
      </c>
      <c r="Q849">
        <f t="shared" si="180"/>
        <v>3.0008490000000001</v>
      </c>
      <c r="T849">
        <f>IF(connections!$A849="","",IFERROR(INDEX(games!$B$2:$B$950,MATCH(connections!$A849,games!$A$2:$A$950,0)),""))</f>
        <v>2013</v>
      </c>
      <c r="U849">
        <f>IF(connections!$A849="","",IFERROR(INDEX(games!$B$2:$B$950,MATCH(connections!$B849,games!$A$2:$A$950,0)),""))</f>
        <v>2023</v>
      </c>
      <c r="V849">
        <f t="shared" si="181"/>
        <v>10</v>
      </c>
    </row>
    <row r="850" spans="1:22" x14ac:dyDescent="0.25">
      <c r="A850" t="str">
        <f>IF(games!$A850="","",games!$A850)</f>
        <v>Void War</v>
      </c>
      <c r="B850">
        <f>IF($A850="","",games!$B850)</f>
        <v>2024</v>
      </c>
      <c r="C850" t="str">
        <f>IF($A850="","",games!$C850)</f>
        <v>Strategy</v>
      </c>
      <c r="D850">
        <f>IF($A850="","",COUNTIF(connections!$A$2:$A$1460,$A850)+COUNTIF(connections!$B$2:$B$1460,$A850))</f>
        <v>2</v>
      </c>
      <c r="E850">
        <f t="shared" si="169"/>
        <v>2</v>
      </c>
      <c r="F850">
        <f t="shared" si="170"/>
        <v>0</v>
      </c>
      <c r="G850" t="e">
        <f t="shared" si="171"/>
        <v>#N/A</v>
      </c>
      <c r="H850" t="e">
        <f t="shared" si="172"/>
        <v>#N/A</v>
      </c>
      <c r="I850">
        <f t="shared" si="173"/>
        <v>2024</v>
      </c>
      <c r="J850">
        <f t="shared" si="174"/>
        <v>2</v>
      </c>
      <c r="K850" t="e">
        <f t="shared" si="175"/>
        <v>#N/A</v>
      </c>
      <c r="L850" t="e">
        <f t="shared" si="176"/>
        <v>#N/A</v>
      </c>
      <c r="M850" t="e">
        <f t="shared" si="177"/>
        <v>#N/A</v>
      </c>
      <c r="N850" t="e">
        <f t="shared" si="178"/>
        <v>#N/A</v>
      </c>
      <c r="O850">
        <f t="shared" si="179"/>
        <v>2.0008499999999998</v>
      </c>
      <c r="P850" t="str">
        <f>IF(OR($A850="",games!$H850=""),"",games!$H850)</f>
        <v/>
      </c>
      <c r="Q850" t="str">
        <f t="shared" si="180"/>
        <v/>
      </c>
      <c r="T850">
        <f>IF(connections!$A850="","",IFERROR(INDEX(games!$B$2:$B$950,MATCH(connections!$A850,games!$A$2:$A$950,0)),""))</f>
        <v>2013</v>
      </c>
      <c r="U850">
        <f>IF(connections!$A850="","",IFERROR(INDEX(games!$B$2:$B$950,MATCH(connections!$B850,games!$A$2:$A$950,0)),""))</f>
        <v>2025</v>
      </c>
      <c r="V850">
        <f t="shared" si="181"/>
        <v>12</v>
      </c>
    </row>
    <row r="851" spans="1:22" x14ac:dyDescent="0.25">
      <c r="A851" t="str">
        <f>IF(games!$A851="","",games!$A851)</f>
        <v>Voidigo</v>
      </c>
      <c r="B851">
        <f>IF($A851="","",games!$B851)</f>
        <v>2023</v>
      </c>
      <c r="C851" t="str">
        <f>IF($A851="","",games!$C851)</f>
        <v>Action</v>
      </c>
      <c r="D851">
        <f>IF($A851="","",COUNTIF(connections!$A$2:$A$1460,$A851)+COUNTIF(connections!$B$2:$B$1460,$A851))</f>
        <v>1</v>
      </c>
      <c r="E851">
        <f t="shared" si="169"/>
        <v>1</v>
      </c>
      <c r="F851">
        <f t="shared" si="170"/>
        <v>1</v>
      </c>
      <c r="G851">
        <f t="shared" si="171"/>
        <v>2023</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2013</v>
      </c>
      <c r="U851">
        <f>IF(connections!$A851="","",IFERROR(INDEX(games!$B$2:$B$950,MATCH(connections!$B851,games!$A$2:$A$950,0)),""))</f>
        <v>2018</v>
      </c>
      <c r="V851">
        <f t="shared" si="181"/>
        <v>5</v>
      </c>
    </row>
    <row r="852" spans="1:22" x14ac:dyDescent="0.25">
      <c r="A852" t="str">
        <f>IF(games!$A852="","",games!$A852)</f>
        <v>Voids Vigil</v>
      </c>
      <c r="B852">
        <f>IF($A852="","",games!$B852)</f>
        <v>2024</v>
      </c>
      <c r="C852" t="str">
        <f>IF($A852="","",games!$C852)</f>
        <v>Action</v>
      </c>
      <c r="D852">
        <f>IF($A852="","",COUNTIF(connections!$A$2:$A$1460,$A852)+COUNTIF(connections!$B$2:$B$1460,$A852))</f>
        <v>2</v>
      </c>
      <c r="E852">
        <f t="shared" si="169"/>
        <v>1</v>
      </c>
      <c r="F852">
        <f t="shared" si="170"/>
        <v>2</v>
      </c>
      <c r="G852">
        <f t="shared" si="171"/>
        <v>2024</v>
      </c>
      <c r="H852">
        <f t="shared" si="172"/>
        <v>1.046</v>
      </c>
      <c r="I852" t="e">
        <f t="shared" si="173"/>
        <v>#N/A</v>
      </c>
      <c r="J852" t="e">
        <f t="shared" si="174"/>
        <v>#N/A</v>
      </c>
      <c r="K852" t="e">
        <f t="shared" si="175"/>
        <v>#N/A</v>
      </c>
      <c r="L852" t="e">
        <f t="shared" si="176"/>
        <v>#N/A</v>
      </c>
      <c r="M852" t="e">
        <f t="shared" si="177"/>
        <v>#N/A</v>
      </c>
      <c r="N852" t="e">
        <f t="shared" si="178"/>
        <v>#N/A</v>
      </c>
      <c r="O852">
        <f t="shared" si="179"/>
        <v>2.0008520000000001</v>
      </c>
      <c r="P852" t="str">
        <f>IF(OR($A852="",games!$H852=""),"",games!$H852)</f>
        <v/>
      </c>
      <c r="Q852" t="str">
        <f t="shared" si="180"/>
        <v/>
      </c>
      <c r="T852">
        <f>IF(connections!$A852="","",IFERROR(INDEX(games!$B$2:$B$950,MATCH(connections!$A852,games!$A$2:$A$950,0)),""))</f>
        <v>2013</v>
      </c>
      <c r="U852">
        <f>IF(connections!$A852="","",IFERROR(INDEX(games!$B$2:$B$950,MATCH(connections!$B852,games!$A$2:$A$950,0)),""))</f>
        <v>2023</v>
      </c>
      <c r="V852">
        <f t="shared" si="181"/>
        <v>10</v>
      </c>
    </row>
    <row r="853" spans="1:22" x14ac:dyDescent="0.25">
      <c r="A853" t="str">
        <f>IF(games!$A853="","",games!$A853)</f>
        <v>Voin</v>
      </c>
      <c r="B853">
        <f>IF($A853="","",games!$B853)</f>
        <v>2024</v>
      </c>
      <c r="C853" t="str">
        <f>IF($A853="","",games!$C853)</f>
        <v>Action</v>
      </c>
      <c r="D853">
        <f>IF($A853="","",COUNTIF(connections!$A$2:$A$1460,$A853)+COUNTIF(connections!$B$2:$B$1460,$A853))</f>
        <v>2</v>
      </c>
      <c r="E853">
        <f t="shared" si="169"/>
        <v>1</v>
      </c>
      <c r="F853">
        <f t="shared" si="170"/>
        <v>3</v>
      </c>
      <c r="G853">
        <f t="shared" si="171"/>
        <v>2024</v>
      </c>
      <c r="H853">
        <f t="shared" si="172"/>
        <v>1.069</v>
      </c>
      <c r="I853" t="e">
        <f t="shared" si="173"/>
        <v>#N/A</v>
      </c>
      <c r="J853" t="e">
        <f t="shared" si="174"/>
        <v>#N/A</v>
      </c>
      <c r="K853" t="e">
        <f t="shared" si="175"/>
        <v>#N/A</v>
      </c>
      <c r="L853" t="e">
        <f t="shared" si="176"/>
        <v>#N/A</v>
      </c>
      <c r="M853" t="e">
        <f t="shared" si="177"/>
        <v>#N/A</v>
      </c>
      <c r="N853" t="e">
        <f t="shared" si="178"/>
        <v>#N/A</v>
      </c>
      <c r="O853">
        <f t="shared" si="179"/>
        <v>2.0008530000000002</v>
      </c>
      <c r="P853" t="str">
        <f>IF(OR($A853="",games!$H853=""),"",games!$H853)</f>
        <v/>
      </c>
      <c r="Q853" t="str">
        <f t="shared" si="180"/>
        <v/>
      </c>
      <c r="T853">
        <f>IF(connections!$A853="","",IFERROR(INDEX(games!$B$2:$B$950,MATCH(connections!$A853,games!$A$2:$A$950,0)),""))</f>
        <v>2020</v>
      </c>
      <c r="U853">
        <f>IF(connections!$A853="","",IFERROR(INDEX(games!$B$2:$B$950,MATCH(connections!$B853,games!$A$2:$A$950,0)),""))</f>
        <v>2023</v>
      </c>
      <c r="V853">
        <f t="shared" si="181"/>
        <v>3</v>
      </c>
    </row>
    <row r="854" spans="1:22" x14ac:dyDescent="0.25">
      <c r="A854" t="str">
        <f>IF(games!$A854="","",games!$A854)</f>
        <v>Waku Waku Puyo Puyo Dungeon</v>
      </c>
      <c r="B854">
        <f>IF($A854="","",games!$B854)</f>
        <v>1998</v>
      </c>
      <c r="C854" t="str">
        <f>IF($A854="","",games!$C854)</f>
        <v>Traditional</v>
      </c>
      <c r="D854">
        <f>IF($A854="","",COUNTIF(connections!$A$2:$A$1460,$A854)+COUNTIF(connections!$B$2:$B$1460,$A854))</f>
        <v>1</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1998</v>
      </c>
      <c r="N854">
        <f t="shared" si="178"/>
        <v>4.0919999999999996</v>
      </c>
      <c r="O854">
        <f t="shared" si="179"/>
        <v>1.0008539999999999</v>
      </c>
      <c r="P854" t="str">
        <f>IF(OR($A854="",games!$H854=""),"",games!$H854)</f>
        <v>Yes</v>
      </c>
      <c r="Q854">
        <f t="shared" si="180"/>
        <v>1.0008539999999999</v>
      </c>
      <c r="T854">
        <f>IF(connections!$A854="","",IFERROR(INDEX(games!$B$2:$B$950,MATCH(connections!$A854,games!$A$2:$A$950,0)),""))</f>
        <v>2020</v>
      </c>
      <c r="U854">
        <f>IF(connections!$A854="","",IFERROR(INDEX(games!$B$2:$B$950,MATCH(connections!$B854,games!$A$2:$A$950,0)),""))</f>
        <v>2026</v>
      </c>
      <c r="V854">
        <f t="shared" si="181"/>
        <v>6</v>
      </c>
    </row>
    <row r="855" spans="1:22" x14ac:dyDescent="0.25">
      <c r="A855" t="str">
        <f>IF(games!$A855="","",games!$A855)</f>
        <v>Wall World</v>
      </c>
      <c r="B855">
        <f>IF($A855="","",games!$B855)</f>
        <v>2023</v>
      </c>
      <c r="C855" t="str">
        <f>IF($A855="","",games!$C855)</f>
        <v>Strategy</v>
      </c>
      <c r="D855">
        <f>IF($A855="","",COUNTIF(connections!$A$2:$A$1460,$A855)+COUNTIF(connections!$B$2:$B$1460,$A855))</f>
        <v>2</v>
      </c>
      <c r="E855">
        <f t="shared" si="169"/>
        <v>2</v>
      </c>
      <c r="F855">
        <f t="shared" si="170"/>
        <v>5</v>
      </c>
      <c r="G855" t="e">
        <f t="shared" si="171"/>
        <v>#N/A</v>
      </c>
      <c r="H855" t="e">
        <f t="shared" si="172"/>
        <v>#N/A</v>
      </c>
      <c r="I855">
        <f t="shared" si="173"/>
        <v>2023</v>
      </c>
      <c r="J855">
        <f t="shared" si="174"/>
        <v>2.1150000000000002</v>
      </c>
      <c r="K855" t="e">
        <f t="shared" si="175"/>
        <v>#N/A</v>
      </c>
      <c r="L855" t="e">
        <f t="shared" si="176"/>
        <v>#N/A</v>
      </c>
      <c r="M855" t="e">
        <f t="shared" si="177"/>
        <v>#N/A</v>
      </c>
      <c r="N855" t="e">
        <f t="shared" si="178"/>
        <v>#N/A</v>
      </c>
      <c r="O855">
        <f t="shared" si="179"/>
        <v>2.0008550000000001</v>
      </c>
      <c r="P855" t="str">
        <f>IF(OR($A855="",games!$H855=""),"",games!$H855)</f>
        <v>Yes</v>
      </c>
      <c r="Q855">
        <f t="shared" si="180"/>
        <v>2.0008550000000001</v>
      </c>
      <c r="T855">
        <f>IF(connections!$A855="","",IFERROR(INDEX(games!$B$2:$B$950,MATCH(connections!$A855,games!$A$2:$A$950,0)),""))</f>
        <v>2020</v>
      </c>
      <c r="U855">
        <f>IF(connections!$A855="","",IFERROR(INDEX(games!$B$2:$B$950,MATCH(connections!$B855,games!$A$2:$A$950,0)),""))</f>
        <v>2026</v>
      </c>
      <c r="V855">
        <f t="shared" si="181"/>
        <v>6</v>
      </c>
    </row>
    <row r="856" spans="1:22" x14ac:dyDescent="0.25">
      <c r="A856" t="str">
        <f>IF(games!$A856="","",games!$A856)</f>
        <v>Wall World 2</v>
      </c>
      <c r="B856">
        <f>IF($A856="","",games!$B856)</f>
        <v>2025</v>
      </c>
      <c r="C856" t="str">
        <f>IF($A856="","",games!$C856)</f>
        <v>Strategy</v>
      </c>
      <c r="D856">
        <f>IF($A856="","",COUNTIF(connections!$A$2:$A$1460,$A856)+COUNTIF(connections!$B$2:$B$1460,$A856))</f>
        <v>1</v>
      </c>
      <c r="E856">
        <f t="shared" si="169"/>
        <v>2</v>
      </c>
      <c r="F856">
        <f t="shared" si="170"/>
        <v>6</v>
      </c>
      <c r="G856" t="e">
        <f t="shared" si="171"/>
        <v>#N/A</v>
      </c>
      <c r="H856" t="e">
        <f t="shared" si="172"/>
        <v>#N/A</v>
      </c>
      <c r="I856">
        <f t="shared" si="173"/>
        <v>2025</v>
      </c>
      <c r="J856">
        <f t="shared" si="174"/>
        <v>2.1379999999999999</v>
      </c>
      <c r="K856" t="e">
        <f t="shared" si="175"/>
        <v>#N/A</v>
      </c>
      <c r="L856" t="e">
        <f t="shared" si="176"/>
        <v>#N/A</v>
      </c>
      <c r="M856" t="e">
        <f t="shared" si="177"/>
        <v>#N/A</v>
      </c>
      <c r="N856" t="e">
        <f t="shared" si="178"/>
        <v>#N/A</v>
      </c>
      <c r="O856">
        <f t="shared" si="179"/>
        <v>1.000856</v>
      </c>
      <c r="P856" t="str">
        <f>IF(OR($A856="",games!$H856=""),"",games!$H856)</f>
        <v/>
      </c>
      <c r="Q856" t="str">
        <f t="shared" si="180"/>
        <v/>
      </c>
      <c r="T856">
        <f>IF(connections!$A856="","",IFERROR(INDEX(games!$B$2:$B$950,MATCH(connections!$A856,games!$A$2:$A$950,0)),""))</f>
        <v>2020</v>
      </c>
      <c r="U856">
        <f>IF(connections!$A856="","",IFERROR(INDEX(games!$B$2:$B$950,MATCH(connections!$B856,games!$A$2:$A$950,0)),""))</f>
        <v>2025</v>
      </c>
      <c r="V856">
        <f t="shared" si="181"/>
        <v>5</v>
      </c>
    </row>
    <row r="857" spans="1:22" x14ac:dyDescent="0.25">
      <c r="A857" t="str">
        <f>IF(games!$A857="","",games!$A857)</f>
        <v>Wanderburg</v>
      </c>
      <c r="B857">
        <f>IF($A857="","",games!$B857)</f>
        <v>2026</v>
      </c>
      <c r="C857" t="str">
        <f>IF($A857="","",games!$C857)</f>
        <v>Action</v>
      </c>
      <c r="D857">
        <f>IF($A857="","",COUNTIF(connections!$A$2:$A$1460,$A857)+COUNTIF(connections!$B$2:$B$1460,$A857))</f>
        <v>2</v>
      </c>
      <c r="E857">
        <f t="shared" si="169"/>
        <v>1</v>
      </c>
      <c r="F857">
        <f t="shared" si="170"/>
        <v>7</v>
      </c>
      <c r="G857">
        <f t="shared" si="171"/>
        <v>2026</v>
      </c>
      <c r="H857">
        <f t="shared" si="172"/>
        <v>1.161</v>
      </c>
      <c r="I857" t="e">
        <f t="shared" si="173"/>
        <v>#N/A</v>
      </c>
      <c r="J857" t="e">
        <f t="shared" si="174"/>
        <v>#N/A</v>
      </c>
      <c r="K857" t="e">
        <f t="shared" si="175"/>
        <v>#N/A</v>
      </c>
      <c r="L857" t="e">
        <f t="shared" si="176"/>
        <v>#N/A</v>
      </c>
      <c r="M857" t="e">
        <f t="shared" si="177"/>
        <v>#N/A</v>
      </c>
      <c r="N857" t="e">
        <f t="shared" si="178"/>
        <v>#N/A</v>
      </c>
      <c r="O857">
        <f t="shared" si="179"/>
        <v>2.0008569999999999</v>
      </c>
      <c r="P857" t="str">
        <f>IF(OR($A857="",games!$H857=""),"",games!$H857)</f>
        <v/>
      </c>
      <c r="Q857" t="str">
        <f t="shared" si="180"/>
        <v/>
      </c>
      <c r="T857">
        <f>IF(connections!$A857="","",IFERROR(INDEX(games!$B$2:$B$950,MATCH(connections!$A857,games!$A$2:$A$950,0)),""))</f>
        <v>2020</v>
      </c>
      <c r="U857">
        <f>IF(connections!$A857="","",IFERROR(INDEX(games!$B$2:$B$950,MATCH(connections!$B857,games!$A$2:$A$950,0)),""))</f>
        <v>2026</v>
      </c>
      <c r="V857">
        <f t="shared" si="181"/>
        <v>6</v>
      </c>
    </row>
    <row r="858" spans="1:22" x14ac:dyDescent="0.25">
      <c r="A858" t="str">
        <f>IF(games!$A858="","",games!$A858)</f>
        <v>Warhammer Survivors</v>
      </c>
      <c r="B858">
        <f>IF($A858="","",games!$B858)</f>
        <v>2026</v>
      </c>
      <c r="C858" t="str">
        <f>IF($A858="","",games!$C858)</f>
        <v>Action</v>
      </c>
      <c r="D858">
        <f>IF($A858="","",COUNTIF(connections!$A$2:$A$1460,$A858)+COUNTIF(connections!$B$2:$B$1460,$A858))</f>
        <v>1</v>
      </c>
      <c r="E858">
        <f t="shared" si="169"/>
        <v>1</v>
      </c>
      <c r="F858">
        <f t="shared" si="170"/>
        <v>8</v>
      </c>
      <c r="G858">
        <f t="shared" si="171"/>
        <v>2026</v>
      </c>
      <c r="H858">
        <f t="shared" si="172"/>
        <v>1.1839999999999999</v>
      </c>
      <c r="I858" t="e">
        <f t="shared" si="173"/>
        <v>#N/A</v>
      </c>
      <c r="J858" t="e">
        <f t="shared" si="174"/>
        <v>#N/A</v>
      </c>
      <c r="K858" t="e">
        <f t="shared" si="175"/>
        <v>#N/A</v>
      </c>
      <c r="L858" t="e">
        <f t="shared" si="176"/>
        <v>#N/A</v>
      </c>
      <c r="M858" t="e">
        <f t="shared" si="177"/>
        <v>#N/A</v>
      </c>
      <c r="N858" t="e">
        <f t="shared" si="178"/>
        <v>#N/A</v>
      </c>
      <c r="O858">
        <f t="shared" si="179"/>
        <v>1.000858</v>
      </c>
      <c r="P858" t="str">
        <f>IF(OR($A858="",games!$H858=""),"",games!$H858)</f>
        <v/>
      </c>
      <c r="Q858" t="str">
        <f t="shared" si="180"/>
        <v/>
      </c>
      <c r="T858">
        <f>IF(connections!$A858="","",IFERROR(INDEX(games!$B$2:$B$950,MATCH(connections!$A858,games!$A$2:$A$950,0)),""))</f>
        <v>2020</v>
      </c>
      <c r="U858">
        <f>IF(connections!$A858="","",IFERROR(INDEX(games!$B$2:$B$950,MATCH(connections!$B858,games!$A$2:$A$950,0)),""))</f>
        <v>2024</v>
      </c>
      <c r="V858">
        <f t="shared" si="181"/>
        <v>4</v>
      </c>
    </row>
    <row r="859" spans="1:22" x14ac:dyDescent="0.25">
      <c r="A859" t="str">
        <f>IF(games!$A859="","",games!$A859)</f>
        <v>WarpVector</v>
      </c>
      <c r="B859">
        <f>IF($A859="","",games!$B859)</f>
        <v>2023</v>
      </c>
      <c r="C859" t="str">
        <f>IF($A859="","",games!$C859)</f>
        <v>Traditional</v>
      </c>
      <c r="D859">
        <f>IF($A859="","",COUNTIF(connections!$A$2:$A$1460,$A859)+COUNTIF(connections!$B$2:$B$1460,$A859))</f>
        <v>2</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2023</v>
      </c>
      <c r="N859">
        <f t="shared" si="178"/>
        <v>4.2069999999999999</v>
      </c>
      <c r="O859">
        <f t="shared" si="179"/>
        <v>2.0008590000000002</v>
      </c>
      <c r="P859" t="str">
        <f>IF(OR($A859="",games!$H859=""),"",games!$H859)</f>
        <v/>
      </c>
      <c r="Q859" t="str">
        <f t="shared" si="180"/>
        <v/>
      </c>
      <c r="T859">
        <f>IF(connections!$A859="","",IFERROR(INDEX(games!$B$2:$B$950,MATCH(connections!$A859,games!$A$2:$A$950,0)),""))</f>
        <v>2020</v>
      </c>
      <c r="U859">
        <f>IF(connections!$A859="","",IFERROR(INDEX(games!$B$2:$B$950,MATCH(connections!$B859,games!$A$2:$A$950,0)),""))</f>
        <v>2026</v>
      </c>
      <c r="V859">
        <f t="shared" si="181"/>
        <v>6</v>
      </c>
    </row>
    <row r="860" spans="1:22" x14ac:dyDescent="0.25">
      <c r="A860" t="str">
        <f>IF(games!$A860="","",games!$A860)</f>
        <v>Warriors: Abyss</v>
      </c>
      <c r="B860">
        <f>IF($A860="","",games!$B860)</f>
        <v>2025</v>
      </c>
      <c r="C860" t="str">
        <f>IF($A860="","",games!$C860)</f>
        <v>Action</v>
      </c>
      <c r="D860">
        <f>IF($A860="","",COUNTIF(connections!$A$2:$A$1460,$A860)+COUNTIF(connections!$B$2:$B$1460,$A860))</f>
        <v>1</v>
      </c>
      <c r="E860">
        <f t="shared" si="169"/>
        <v>1</v>
      </c>
      <c r="F860">
        <f t="shared" si="170"/>
        <v>10</v>
      </c>
      <c r="G860">
        <f t="shared" si="171"/>
        <v>2025</v>
      </c>
      <c r="H860">
        <f t="shared" si="172"/>
        <v>1.23</v>
      </c>
      <c r="I860" t="e">
        <f t="shared" si="173"/>
        <v>#N/A</v>
      </c>
      <c r="J860" t="e">
        <f t="shared" si="174"/>
        <v>#N/A</v>
      </c>
      <c r="K860" t="e">
        <f t="shared" si="175"/>
        <v>#N/A</v>
      </c>
      <c r="L860" t="e">
        <f t="shared" si="176"/>
        <v>#N/A</v>
      </c>
      <c r="M860" t="e">
        <f t="shared" si="177"/>
        <v>#N/A</v>
      </c>
      <c r="N860" t="e">
        <f t="shared" si="178"/>
        <v>#N/A</v>
      </c>
      <c r="O860">
        <f t="shared" si="179"/>
        <v>1.0008600000000001</v>
      </c>
      <c r="P860" t="str">
        <f>IF(OR($A860="",games!$H860=""),"",games!$H860)</f>
        <v>Yes</v>
      </c>
      <c r="Q860">
        <f t="shared" si="180"/>
        <v>1.0008600000000001</v>
      </c>
      <c r="T860">
        <f>IF(connections!$A860="","",IFERROR(INDEX(games!$B$2:$B$950,MATCH(connections!$A860,games!$A$2:$A$950,0)),""))</f>
        <v>2020</v>
      </c>
      <c r="U860">
        <f>IF(connections!$A860="","",IFERROR(INDEX(games!$B$2:$B$950,MATCH(connections!$B860,games!$A$2:$A$950,0)),""))</f>
        <v>2025</v>
      </c>
      <c r="V860">
        <f t="shared" si="181"/>
        <v>5</v>
      </c>
    </row>
    <row r="861" spans="1:22" x14ac:dyDescent="0.25">
      <c r="A861" t="str">
        <f>IF(games!$A861="","",games!$A861)</f>
        <v>Warsim: The Realm of Aslona</v>
      </c>
      <c r="B861">
        <f>IF($A861="","",games!$B861)</f>
        <v>2017</v>
      </c>
      <c r="C861" t="str">
        <f>IF($A861="","",games!$C861)</f>
        <v>Strategy</v>
      </c>
      <c r="D861">
        <f>IF($A861="","",COUNTIF(connections!$A$2:$A$1460,$A861)+COUNTIF(connections!$B$2:$B$1460,$A861))</f>
        <v>1</v>
      </c>
      <c r="E861">
        <f t="shared" si="169"/>
        <v>2</v>
      </c>
      <c r="F861">
        <f t="shared" si="170"/>
        <v>11</v>
      </c>
      <c r="G861" t="e">
        <f t="shared" si="171"/>
        <v>#N/A</v>
      </c>
      <c r="H861" t="e">
        <f t="shared" si="172"/>
        <v>#N/A</v>
      </c>
      <c r="I861">
        <f t="shared" si="173"/>
        <v>2017</v>
      </c>
      <c r="J861">
        <f t="shared" si="174"/>
        <v>2.2530000000000001</v>
      </c>
      <c r="K861" t="e">
        <f t="shared" si="175"/>
        <v>#N/A</v>
      </c>
      <c r="L861" t="e">
        <f t="shared" si="176"/>
        <v>#N/A</v>
      </c>
      <c r="M861" t="e">
        <f t="shared" si="177"/>
        <v>#N/A</v>
      </c>
      <c r="N861" t="e">
        <f t="shared" si="178"/>
        <v>#N/A</v>
      </c>
      <c r="O861">
        <f t="shared" si="179"/>
        <v>1.000861</v>
      </c>
      <c r="P861" t="str">
        <f>IF(OR($A861="",games!$H861=""),"",games!$H861)</f>
        <v>Yes</v>
      </c>
      <c r="Q861">
        <f t="shared" si="180"/>
        <v>1.000861</v>
      </c>
      <c r="T861">
        <f>IF(connections!$A861="","",IFERROR(INDEX(games!$B$2:$B$950,MATCH(connections!$A861,games!$A$2:$A$950,0)),""))</f>
        <v>2020</v>
      </c>
      <c r="U861">
        <f>IF(connections!$A861="","",IFERROR(INDEX(games!$B$2:$B$950,MATCH(connections!$B861,games!$A$2:$A$950,0)),""))</f>
        <v>2026</v>
      </c>
      <c r="V861">
        <f t="shared" si="181"/>
        <v>6</v>
      </c>
    </row>
    <row r="862" spans="1:22" x14ac:dyDescent="0.25">
      <c r="A862" t="str">
        <f>IF(games!$A862="","",games!$A862)</f>
        <v>Wayward</v>
      </c>
      <c r="B862">
        <f>IF($A862="","",games!$B862)</f>
        <v>2011</v>
      </c>
      <c r="C862" t="str">
        <f>IF($A862="","",games!$C862)</f>
        <v>Traditional</v>
      </c>
      <c r="D862">
        <f>IF($A862="","",COUNTIF(connections!$A$2:$A$1460,$A862)+COUNTIF(connections!$B$2:$B$1460,$A862))</f>
        <v>2</v>
      </c>
      <c r="E862">
        <f t="shared" si="169"/>
        <v>4</v>
      </c>
      <c r="F862">
        <f t="shared" si="170"/>
        <v>12</v>
      </c>
      <c r="G862" t="e">
        <f t="shared" si="171"/>
        <v>#N/A</v>
      </c>
      <c r="H862" t="e">
        <f t="shared" si="172"/>
        <v>#N/A</v>
      </c>
      <c r="I862" t="e">
        <f t="shared" si="173"/>
        <v>#N/A</v>
      </c>
      <c r="J862" t="e">
        <f t="shared" si="174"/>
        <v>#N/A</v>
      </c>
      <c r="K862" t="e">
        <f t="shared" si="175"/>
        <v>#N/A</v>
      </c>
      <c r="L862" t="e">
        <f t="shared" si="176"/>
        <v>#N/A</v>
      </c>
      <c r="M862">
        <f t="shared" si="177"/>
        <v>2011</v>
      </c>
      <c r="N862">
        <f t="shared" si="178"/>
        <v>4.2759999999999998</v>
      </c>
      <c r="O862">
        <f t="shared" si="179"/>
        <v>2.0008620000000001</v>
      </c>
      <c r="P862" t="str">
        <f>IF(OR($A862="",games!$H862=""),"",games!$H862)</f>
        <v/>
      </c>
      <c r="Q862" t="str">
        <f t="shared" si="180"/>
        <v/>
      </c>
      <c r="T862">
        <f>IF(connections!$A862="","",IFERROR(INDEX(games!$B$2:$B$950,MATCH(connections!$A862,games!$A$2:$A$950,0)),""))</f>
        <v>2020</v>
      </c>
      <c r="U862">
        <f>IF(connections!$A862="","",IFERROR(INDEX(games!$B$2:$B$950,MATCH(connections!$B862,games!$A$2:$A$950,0)),""))</f>
        <v>2021</v>
      </c>
      <c r="V862">
        <f t="shared" si="181"/>
        <v>1</v>
      </c>
    </row>
    <row r="863" spans="1:22" x14ac:dyDescent="0.25">
      <c r="A863" t="str">
        <f>IF(games!$A863="","",games!$A863)</f>
        <v>WazHack</v>
      </c>
      <c r="B863">
        <f>IF($A863="","",games!$B863)</f>
        <v>2012</v>
      </c>
      <c r="C863" t="str">
        <f>IF($A863="","",games!$C863)</f>
        <v>Strategy</v>
      </c>
      <c r="D863">
        <f>IF($A863="","",COUNTIF(connections!$A$2:$A$1460,$A863)+COUNTIF(connections!$B$2:$B$1460,$A863))</f>
        <v>1</v>
      </c>
      <c r="E863">
        <f t="shared" si="169"/>
        <v>2</v>
      </c>
      <c r="F863">
        <f t="shared" si="170"/>
        <v>13</v>
      </c>
      <c r="G863" t="e">
        <f t="shared" si="171"/>
        <v>#N/A</v>
      </c>
      <c r="H863" t="e">
        <f t="shared" si="172"/>
        <v>#N/A</v>
      </c>
      <c r="I863">
        <f t="shared" si="173"/>
        <v>2012</v>
      </c>
      <c r="J863">
        <f t="shared" si="174"/>
        <v>2.2989999999999999</v>
      </c>
      <c r="K863" t="e">
        <f t="shared" si="175"/>
        <v>#N/A</v>
      </c>
      <c r="L863" t="e">
        <f t="shared" si="176"/>
        <v>#N/A</v>
      </c>
      <c r="M863" t="e">
        <f t="shared" si="177"/>
        <v>#N/A</v>
      </c>
      <c r="N863" t="e">
        <f t="shared" si="178"/>
        <v>#N/A</v>
      </c>
      <c r="O863">
        <f t="shared" si="179"/>
        <v>1.0008630000000001</v>
      </c>
      <c r="P863" t="str">
        <f>IF(OR($A863="",games!$H863=""),"",games!$H863)</f>
        <v>Yes</v>
      </c>
      <c r="Q863">
        <f t="shared" si="180"/>
        <v>1.0008630000000001</v>
      </c>
      <c r="T863">
        <f>IF(connections!$A863="","",IFERROR(INDEX(games!$B$2:$B$950,MATCH(connections!$A863,games!$A$2:$A$950,0)),""))</f>
        <v>2020</v>
      </c>
      <c r="U863">
        <f>IF(connections!$A863="","",IFERROR(INDEX(games!$B$2:$B$950,MATCH(connections!$B863,games!$A$2:$A$950,0)),""))</f>
        <v>2024</v>
      </c>
      <c r="V863">
        <f t="shared" si="181"/>
        <v>4</v>
      </c>
    </row>
    <row r="864" spans="1:22" x14ac:dyDescent="0.25">
      <c r="A864" t="str">
        <f>IF(games!$A864="","",games!$A864)</f>
        <v>We Need To Go Deeper</v>
      </c>
      <c r="B864">
        <f>IF($A864="","",games!$B864)</f>
        <v>2017</v>
      </c>
      <c r="C864" t="str">
        <f>IF($A864="","",games!$C864)</f>
        <v>Action</v>
      </c>
      <c r="D864">
        <f>IF($A864="","",COUNTIF(connections!$A$2:$A$1460,$A864)+COUNTIF(connections!$B$2:$B$1460,$A864))</f>
        <v>0</v>
      </c>
      <c r="E864">
        <f t="shared" si="169"/>
        <v>1</v>
      </c>
      <c r="F864">
        <f t="shared" si="170"/>
        <v>14</v>
      </c>
      <c r="G864">
        <f t="shared" si="171"/>
        <v>2017</v>
      </c>
      <c r="H864">
        <f t="shared" si="172"/>
        <v>1.3220000000000001</v>
      </c>
      <c r="I864" t="e">
        <f t="shared" si="173"/>
        <v>#N/A</v>
      </c>
      <c r="J864" t="e">
        <f t="shared" si="174"/>
        <v>#N/A</v>
      </c>
      <c r="K864" t="e">
        <f t="shared" si="175"/>
        <v>#N/A</v>
      </c>
      <c r="L864" t="e">
        <f t="shared" si="176"/>
        <v>#N/A</v>
      </c>
      <c r="M864" t="e">
        <f t="shared" si="177"/>
        <v>#N/A</v>
      </c>
      <c r="N864" t="e">
        <f t="shared" si="178"/>
        <v>#N/A</v>
      </c>
      <c r="O864">
        <f t="shared" si="179"/>
        <v>8.6399999999999997E-4</v>
      </c>
      <c r="P864" t="str">
        <f>IF(OR($A864="",games!$H864=""),"",games!$H864)</f>
        <v>Yes</v>
      </c>
      <c r="Q864">
        <f t="shared" si="180"/>
        <v>8.6399999999999997E-4</v>
      </c>
      <c r="T864">
        <f>IF(connections!$A864="","",IFERROR(INDEX(games!$B$2:$B$950,MATCH(connections!$A864,games!$A$2:$A$950,0)),""))</f>
        <v>2020</v>
      </c>
      <c r="U864">
        <f>IF(connections!$A864="","",IFERROR(INDEX(games!$B$2:$B$950,MATCH(connections!$B864,games!$A$2:$A$950,0)),""))</f>
        <v>2026</v>
      </c>
      <c r="V864">
        <f t="shared" si="181"/>
        <v>6</v>
      </c>
    </row>
    <row r="865" spans="1:22" x14ac:dyDescent="0.25">
      <c r="A865" t="str">
        <f>IF(games!$A865="","",games!$A865)</f>
        <v>Weird Worlds: Return to Infinite Space</v>
      </c>
      <c r="B865">
        <f>IF($A865="","",games!$B865)</f>
        <v>2005</v>
      </c>
      <c r="C865" t="str">
        <f>IF($A865="","",games!$C865)</f>
        <v>Strategy</v>
      </c>
      <c r="D865">
        <f>IF($A865="","",COUNTIF(connections!$A$2:$A$1460,$A865)+COUNTIF(connections!$B$2:$B$1460,$A865))</f>
        <v>3</v>
      </c>
      <c r="E865">
        <f t="shared" si="169"/>
        <v>2</v>
      </c>
      <c r="F865">
        <f t="shared" si="170"/>
        <v>15</v>
      </c>
      <c r="G865" t="e">
        <f t="shared" si="171"/>
        <v>#N/A</v>
      </c>
      <c r="H865" t="e">
        <f t="shared" si="172"/>
        <v>#N/A</v>
      </c>
      <c r="I865">
        <f t="shared" si="173"/>
        <v>2005</v>
      </c>
      <c r="J865">
        <f t="shared" si="174"/>
        <v>2.3449999999999998</v>
      </c>
      <c r="K865" t="e">
        <f t="shared" si="175"/>
        <v>#N/A</v>
      </c>
      <c r="L865" t="e">
        <f t="shared" si="176"/>
        <v>#N/A</v>
      </c>
      <c r="M865" t="e">
        <f t="shared" si="177"/>
        <v>#N/A</v>
      </c>
      <c r="N865" t="e">
        <f t="shared" si="178"/>
        <v>#N/A</v>
      </c>
      <c r="O865">
        <f t="shared" si="179"/>
        <v>3.0008650000000001</v>
      </c>
      <c r="P865" t="str">
        <f>IF(OR($A865="",games!$H865=""),"",games!$H865)</f>
        <v>Yes</v>
      </c>
      <c r="Q865">
        <f t="shared" si="180"/>
        <v>3.0008650000000001</v>
      </c>
      <c r="T865">
        <f>IF(connections!$A865="","",IFERROR(INDEX(games!$B$2:$B$950,MATCH(connections!$A865,games!$A$2:$A$950,0)),""))</f>
        <v>2020</v>
      </c>
      <c r="U865">
        <f>IF(connections!$A865="","",IFERROR(INDEX(games!$B$2:$B$950,MATCH(connections!$B865,games!$A$2:$A$950,0)),""))</f>
        <v>2026</v>
      </c>
      <c r="V865">
        <f t="shared" si="181"/>
        <v>6</v>
      </c>
    </row>
    <row r="866" spans="1:22" x14ac:dyDescent="0.25">
      <c r="A866" t="str">
        <f>IF(games!$A866="","",games!$A866)</f>
        <v>West of Dead</v>
      </c>
      <c r="B866">
        <f>IF($A866="","",games!$B866)</f>
        <v>2020</v>
      </c>
      <c r="C866" t="str">
        <f>IF($A866="","",games!$C866)</f>
        <v>Action</v>
      </c>
      <c r="D866">
        <f>IF($A866="","",COUNTIF(connections!$A$2:$A$1460,$A866)+COUNTIF(connections!$B$2:$B$1460,$A866))</f>
        <v>1</v>
      </c>
      <c r="E866">
        <f t="shared" si="169"/>
        <v>1</v>
      </c>
      <c r="F866">
        <f t="shared" si="170"/>
        <v>16</v>
      </c>
      <c r="G866">
        <f t="shared" si="171"/>
        <v>2020</v>
      </c>
      <c r="H866">
        <f t="shared" si="172"/>
        <v>1.3679999999999999</v>
      </c>
      <c r="I866" t="e">
        <f t="shared" si="173"/>
        <v>#N/A</v>
      </c>
      <c r="J866" t="e">
        <f t="shared" si="174"/>
        <v>#N/A</v>
      </c>
      <c r="K866" t="e">
        <f t="shared" si="175"/>
        <v>#N/A</v>
      </c>
      <c r="L866" t="e">
        <f t="shared" si="176"/>
        <v>#N/A</v>
      </c>
      <c r="M866" t="e">
        <f t="shared" si="177"/>
        <v>#N/A</v>
      </c>
      <c r="N866" t="e">
        <f t="shared" si="178"/>
        <v>#N/A</v>
      </c>
      <c r="O866">
        <f t="shared" si="179"/>
        <v>1.000866</v>
      </c>
      <c r="P866" t="str">
        <f>IF(OR($A866="",games!$H866=""),"",games!$H866)</f>
        <v>Yes</v>
      </c>
      <c r="Q866">
        <f t="shared" si="180"/>
        <v>1.000866</v>
      </c>
      <c r="T866">
        <f>IF(connections!$A866="","",IFERROR(INDEX(games!$B$2:$B$950,MATCH(connections!$A866,games!$A$2:$A$950,0)),""))</f>
        <v>2020</v>
      </c>
      <c r="U866">
        <f>IF(connections!$A866="","",IFERROR(INDEX(games!$B$2:$B$950,MATCH(connections!$B866,games!$A$2:$A$950,0)),""))</f>
        <v>2023</v>
      </c>
      <c r="V866">
        <f t="shared" si="181"/>
        <v>3</v>
      </c>
    </row>
    <row r="867" spans="1:22" x14ac:dyDescent="0.25">
      <c r="A867" t="str">
        <f>IF(games!$A867="","",games!$A867)</f>
        <v>Whisker Squadron: Survivor</v>
      </c>
      <c r="B867">
        <f>IF($A867="","",games!$B867)</f>
        <v>2025</v>
      </c>
      <c r="C867" t="str">
        <f>IF($A867="","",games!$C867)</f>
        <v>Action</v>
      </c>
      <c r="D867">
        <f>IF($A867="","",COUNTIF(connections!$A$2:$A$1460,$A867)+COUNTIF(connections!$B$2:$B$1460,$A867))</f>
        <v>1</v>
      </c>
      <c r="E867">
        <f t="shared" si="169"/>
        <v>1</v>
      </c>
      <c r="F867">
        <f t="shared" si="170"/>
        <v>17</v>
      </c>
      <c r="G867">
        <f t="shared" si="171"/>
        <v>2025</v>
      </c>
      <c r="H867">
        <f t="shared" si="172"/>
        <v>1.391</v>
      </c>
      <c r="I867" t="e">
        <f t="shared" si="173"/>
        <v>#N/A</v>
      </c>
      <c r="J867" t="e">
        <f t="shared" si="174"/>
        <v>#N/A</v>
      </c>
      <c r="K867" t="e">
        <f t="shared" si="175"/>
        <v>#N/A</v>
      </c>
      <c r="L867" t="e">
        <f t="shared" si="176"/>
        <v>#N/A</v>
      </c>
      <c r="M867" t="e">
        <f t="shared" si="177"/>
        <v>#N/A</v>
      </c>
      <c r="N867" t="e">
        <f t="shared" si="178"/>
        <v>#N/A</v>
      </c>
      <c r="O867">
        <f t="shared" si="179"/>
        <v>1.000867</v>
      </c>
      <c r="P867" t="str">
        <f>IF(OR($A867="",games!$H867=""),"",games!$H867)</f>
        <v/>
      </c>
      <c r="Q867" t="str">
        <f t="shared" si="180"/>
        <v/>
      </c>
      <c r="T867">
        <f>IF(connections!$A867="","",IFERROR(INDEX(games!$B$2:$B$950,MATCH(connections!$A867,games!$A$2:$A$950,0)),""))</f>
        <v>2020</v>
      </c>
      <c r="U867">
        <f>IF(connections!$A867="","",IFERROR(INDEX(games!$B$2:$B$950,MATCH(connections!$B867,games!$A$2:$A$950,0)),""))</f>
        <v>2022</v>
      </c>
      <c r="V867">
        <f t="shared" si="181"/>
        <v>2</v>
      </c>
    </row>
    <row r="868" spans="1:22" x14ac:dyDescent="0.25">
      <c r="A868" t="str">
        <f>IF(games!$A868="","",games!$A868)</f>
        <v>White Knuckle</v>
      </c>
      <c r="B868">
        <f>IF($A868="","",games!$B868)</f>
        <v>2025</v>
      </c>
      <c r="C868" t="str">
        <f>IF($A868="","",games!$C868)</f>
        <v>Action</v>
      </c>
      <c r="D868">
        <f>IF($A868="","",COUNTIF(connections!$A$2:$A$1460,$A868)+COUNTIF(connections!$B$2:$B$1460,$A868))</f>
        <v>0</v>
      </c>
      <c r="E868">
        <f t="shared" si="169"/>
        <v>1</v>
      </c>
      <c r="F868">
        <f t="shared" si="170"/>
        <v>18</v>
      </c>
      <c r="G868">
        <f t="shared" si="171"/>
        <v>2025</v>
      </c>
      <c r="H868">
        <f t="shared" si="172"/>
        <v>1.4139999999999999</v>
      </c>
      <c r="I868" t="e">
        <f t="shared" si="173"/>
        <v>#N/A</v>
      </c>
      <c r="J868" t="e">
        <f t="shared" si="174"/>
        <v>#N/A</v>
      </c>
      <c r="K868" t="e">
        <f t="shared" si="175"/>
        <v>#N/A</v>
      </c>
      <c r="L868" t="e">
        <f t="shared" si="176"/>
        <v>#N/A</v>
      </c>
      <c r="M868" t="e">
        <f t="shared" si="177"/>
        <v>#N/A</v>
      </c>
      <c r="N868" t="e">
        <f t="shared" si="178"/>
        <v>#N/A</v>
      </c>
      <c r="O868">
        <f t="shared" si="179"/>
        <v>8.6799999999999996E-4</v>
      </c>
      <c r="P868" t="str">
        <f>IF(OR($A868="",games!$H868=""),"",games!$H868)</f>
        <v/>
      </c>
      <c r="Q868" t="str">
        <f t="shared" si="180"/>
        <v/>
      </c>
      <c r="T868">
        <f>IF(connections!$A868="","",IFERROR(INDEX(games!$B$2:$B$950,MATCH(connections!$A868,games!$A$2:$A$950,0)),""))</f>
        <v>2020</v>
      </c>
      <c r="U868">
        <f>IF(connections!$A868="","",IFERROR(INDEX(games!$B$2:$B$950,MATCH(connections!$B868,games!$A$2:$A$950,0)),""))</f>
        <v>2025</v>
      </c>
      <c r="V868">
        <f t="shared" si="181"/>
        <v>5</v>
      </c>
    </row>
    <row r="869" spans="1:22" x14ac:dyDescent="0.25">
      <c r="A869" t="str">
        <f>IF(games!$A869="","",games!$A869)</f>
        <v>Wild Bastards</v>
      </c>
      <c r="B869">
        <f>IF($A869="","",games!$B869)</f>
        <v>2024</v>
      </c>
      <c r="C869" t="str">
        <f>IF($A869="","",games!$C869)</f>
        <v>Action</v>
      </c>
      <c r="D869">
        <f>IF($A869="","",COUNTIF(connections!$A$2:$A$1460,$A869)+COUNTIF(connections!$B$2:$B$1460,$A869))</f>
        <v>1</v>
      </c>
      <c r="E869">
        <f t="shared" si="169"/>
        <v>1</v>
      </c>
      <c r="F869">
        <f t="shared" si="170"/>
        <v>19</v>
      </c>
      <c r="G869">
        <f t="shared" si="171"/>
        <v>2024</v>
      </c>
      <c r="H869">
        <f t="shared" si="172"/>
        <v>1.4370000000000001</v>
      </c>
      <c r="I869" t="e">
        <f t="shared" si="173"/>
        <v>#N/A</v>
      </c>
      <c r="J869" t="e">
        <f t="shared" si="174"/>
        <v>#N/A</v>
      </c>
      <c r="K869" t="e">
        <f t="shared" si="175"/>
        <v>#N/A</v>
      </c>
      <c r="L869" t="e">
        <f t="shared" si="176"/>
        <v>#N/A</v>
      </c>
      <c r="M869" t="e">
        <f t="shared" si="177"/>
        <v>#N/A</v>
      </c>
      <c r="N869" t="e">
        <f t="shared" si="178"/>
        <v>#N/A</v>
      </c>
      <c r="O869">
        <f t="shared" si="179"/>
        <v>1.000869</v>
      </c>
      <c r="P869" t="str">
        <f>IF(OR($A869="",games!$H869=""),"",games!$H869)</f>
        <v/>
      </c>
      <c r="Q869" t="str">
        <f t="shared" si="180"/>
        <v/>
      </c>
      <c r="T869">
        <f>IF(connections!$A869="","",IFERROR(INDEX(games!$B$2:$B$950,MATCH(connections!$A869,games!$A$2:$A$950,0)),""))</f>
        <v>2020</v>
      </c>
      <c r="U869">
        <f>IF(connections!$A869="","",IFERROR(INDEX(games!$B$2:$B$950,MATCH(connections!$B869,games!$A$2:$A$950,0)),""))</f>
        <v>2026</v>
      </c>
      <c r="V869">
        <f t="shared" si="181"/>
        <v>6</v>
      </c>
    </row>
    <row r="870" spans="1:22" x14ac:dyDescent="0.25">
      <c r="A870" t="str">
        <f>IF(games!$A870="","",games!$A870)</f>
        <v>Wildermyth</v>
      </c>
      <c r="B870">
        <f>IF($A870="","",games!$B870)</f>
        <v>2019</v>
      </c>
      <c r="C870" t="str">
        <f>IF($A870="","",games!$C870)</f>
        <v>Strategy</v>
      </c>
      <c r="D870">
        <f>IF($A870="","",COUNTIF(connections!$A$2:$A$1460,$A870)+COUNTIF(connections!$B$2:$B$1460,$A870))</f>
        <v>0</v>
      </c>
      <c r="E870">
        <f t="shared" si="169"/>
        <v>2</v>
      </c>
      <c r="F870">
        <f t="shared" si="170"/>
        <v>20</v>
      </c>
      <c r="G870" t="e">
        <f t="shared" si="171"/>
        <v>#N/A</v>
      </c>
      <c r="H870" t="e">
        <f t="shared" si="172"/>
        <v>#N/A</v>
      </c>
      <c r="I870">
        <f t="shared" si="173"/>
        <v>2019</v>
      </c>
      <c r="J870">
        <f t="shared" si="174"/>
        <v>2.46</v>
      </c>
      <c r="K870" t="e">
        <f t="shared" si="175"/>
        <v>#N/A</v>
      </c>
      <c r="L870" t="e">
        <f t="shared" si="176"/>
        <v>#N/A</v>
      </c>
      <c r="M870" t="e">
        <f t="shared" si="177"/>
        <v>#N/A</v>
      </c>
      <c r="N870" t="e">
        <f t="shared" si="178"/>
        <v>#N/A</v>
      </c>
      <c r="O870">
        <f t="shared" si="179"/>
        <v>8.7000000000000001E-4</v>
      </c>
      <c r="P870" t="str">
        <f>IF(OR($A870="",games!$H870=""),"",games!$H870)</f>
        <v/>
      </c>
      <c r="Q870" t="str">
        <f t="shared" si="180"/>
        <v/>
      </c>
      <c r="T870">
        <f>IF(connections!$A870="","",IFERROR(INDEX(games!$B$2:$B$950,MATCH(connections!$A870,games!$A$2:$A$950,0)),""))</f>
        <v>2020</v>
      </c>
      <c r="U870">
        <f>IF(connections!$A870="","",IFERROR(INDEX(games!$B$2:$B$950,MATCH(connections!$B870,games!$A$2:$A$950,0)),""))</f>
        <v>2024</v>
      </c>
      <c r="V870">
        <f t="shared" si="181"/>
        <v>4</v>
      </c>
    </row>
    <row r="871" spans="1:22" x14ac:dyDescent="0.25">
      <c r="A871" t="str">
        <f>IF(games!$A871="","",games!$A871)</f>
        <v>Wildfrost</v>
      </c>
      <c r="B871">
        <f>IF($A871="","",games!$B871)</f>
        <v>2023</v>
      </c>
      <c r="C871" t="str">
        <f>IF($A871="","",games!$C871)</f>
        <v>Deckbuilder</v>
      </c>
      <c r="D871">
        <f>IF($A871="","",COUNTIF(connections!$A$2:$A$1460,$A871)+COUNTIF(connections!$B$2:$B$1460,$A871))</f>
        <v>8</v>
      </c>
      <c r="E871">
        <f t="shared" si="169"/>
        <v>3</v>
      </c>
      <c r="F871">
        <f t="shared" si="170"/>
        <v>21</v>
      </c>
      <c r="G871" t="e">
        <f t="shared" si="171"/>
        <v>#N/A</v>
      </c>
      <c r="H871" t="e">
        <f t="shared" si="172"/>
        <v>#N/A</v>
      </c>
      <c r="I871" t="e">
        <f t="shared" si="173"/>
        <v>#N/A</v>
      </c>
      <c r="J871" t="e">
        <f t="shared" si="174"/>
        <v>#N/A</v>
      </c>
      <c r="K871">
        <f t="shared" si="175"/>
        <v>2023</v>
      </c>
      <c r="L871">
        <f t="shared" si="176"/>
        <v>3.4830000000000001</v>
      </c>
      <c r="M871" t="e">
        <f t="shared" si="177"/>
        <v>#N/A</v>
      </c>
      <c r="N871" t="e">
        <f t="shared" si="178"/>
        <v>#N/A</v>
      </c>
      <c r="O871">
        <f t="shared" si="179"/>
        <v>8.0008710000000001</v>
      </c>
      <c r="P871" t="str">
        <f>IF(OR($A871="",games!$H871=""),"",games!$H871)</f>
        <v>Yes</v>
      </c>
      <c r="Q871">
        <f t="shared" si="180"/>
        <v>8.0008710000000001</v>
      </c>
      <c r="T871">
        <f>IF(connections!$A871="","",IFERROR(INDEX(games!$B$2:$B$950,MATCH(connections!$A871,games!$A$2:$A$950,0)),""))</f>
        <v>2020</v>
      </c>
      <c r="U871">
        <f>IF(connections!$A871="","",IFERROR(INDEX(games!$B$2:$B$950,MATCH(connections!$B871,games!$A$2:$A$950,0)),""))</f>
        <v>2024</v>
      </c>
      <c r="V871">
        <f t="shared" si="181"/>
        <v>4</v>
      </c>
    </row>
    <row r="872" spans="1:22" x14ac:dyDescent="0.25">
      <c r="A872" t="str">
        <f>IF(games!$A872="","",games!$A872)</f>
        <v>Windblown</v>
      </c>
      <c r="B872">
        <f>IF($A872="","",games!$B872)</f>
        <v>2024</v>
      </c>
      <c r="C872" t="str">
        <f>IF($A872="","",games!$C872)</f>
        <v>Action</v>
      </c>
      <c r="D872">
        <f>IF($A872="","",COUNTIF(connections!$A$2:$A$1460,$A872)+COUNTIF(connections!$B$2:$B$1460,$A872))</f>
        <v>1</v>
      </c>
      <c r="E872">
        <f t="shared" si="169"/>
        <v>1</v>
      </c>
      <c r="F872">
        <f t="shared" si="170"/>
        <v>22</v>
      </c>
      <c r="G872">
        <f t="shared" si="171"/>
        <v>2024</v>
      </c>
      <c r="H872">
        <f t="shared" si="172"/>
        <v>1.506</v>
      </c>
      <c r="I872" t="e">
        <f t="shared" si="173"/>
        <v>#N/A</v>
      </c>
      <c r="J872" t="e">
        <f t="shared" si="174"/>
        <v>#N/A</v>
      </c>
      <c r="K872" t="e">
        <f t="shared" si="175"/>
        <v>#N/A</v>
      </c>
      <c r="L872" t="e">
        <f t="shared" si="176"/>
        <v>#N/A</v>
      </c>
      <c r="M872" t="e">
        <f t="shared" si="177"/>
        <v>#N/A</v>
      </c>
      <c r="N872" t="e">
        <f t="shared" si="178"/>
        <v>#N/A</v>
      </c>
      <c r="O872">
        <f t="shared" si="179"/>
        <v>1.000872</v>
      </c>
      <c r="P872" t="str">
        <f>IF(OR($A872="",games!$H872=""),"",games!$H872)</f>
        <v/>
      </c>
      <c r="Q872" t="str">
        <f t="shared" si="180"/>
        <v/>
      </c>
      <c r="T872">
        <f>IF(connections!$A872="","",IFERROR(INDEX(games!$B$2:$B$950,MATCH(connections!$A872,games!$A$2:$A$950,0)),""))</f>
        <v>2020</v>
      </c>
      <c r="U872">
        <f>IF(connections!$A872="","",IFERROR(INDEX(games!$B$2:$B$950,MATCH(connections!$B872,games!$A$2:$A$950,0)),""))</f>
        <v>2025</v>
      </c>
      <c r="V872">
        <f t="shared" si="181"/>
        <v>5</v>
      </c>
    </row>
    <row r="873" spans="1:22" x14ac:dyDescent="0.25">
      <c r="A873" t="str">
        <f>IF(games!$A873="","",games!$A873)</f>
        <v>Winnie's Hole</v>
      </c>
      <c r="B873">
        <f>IF($A873="","",games!$B873)</f>
        <v>2026</v>
      </c>
      <c r="C873" t="str">
        <f>IF($A873="","",games!$C873)</f>
        <v>Deckbuilder</v>
      </c>
      <c r="D873">
        <f>IF($A873="","",COUNTIF(connections!$A$2:$A$1460,$A873)+COUNTIF(connections!$B$2:$B$1460,$A873))</f>
        <v>3</v>
      </c>
      <c r="E873">
        <f t="shared" si="169"/>
        <v>3</v>
      </c>
      <c r="F873">
        <f t="shared" si="170"/>
        <v>23</v>
      </c>
      <c r="G873" t="e">
        <f t="shared" si="171"/>
        <v>#N/A</v>
      </c>
      <c r="H873" t="e">
        <f t="shared" si="172"/>
        <v>#N/A</v>
      </c>
      <c r="I873" t="e">
        <f t="shared" si="173"/>
        <v>#N/A</v>
      </c>
      <c r="J873" t="e">
        <f t="shared" si="174"/>
        <v>#N/A</v>
      </c>
      <c r="K873">
        <f t="shared" si="175"/>
        <v>2026</v>
      </c>
      <c r="L873">
        <f t="shared" si="176"/>
        <v>3.5289999999999999</v>
      </c>
      <c r="M873" t="e">
        <f t="shared" si="177"/>
        <v>#N/A</v>
      </c>
      <c r="N873" t="e">
        <f t="shared" si="178"/>
        <v>#N/A</v>
      </c>
      <c r="O873">
        <f t="shared" si="179"/>
        <v>3.0008729999999999</v>
      </c>
      <c r="P873" t="str">
        <f>IF(OR($A873="",games!$H873=""),"",games!$H873)</f>
        <v/>
      </c>
      <c r="Q873" t="str">
        <f t="shared" si="180"/>
        <v/>
      </c>
      <c r="T873">
        <f>IF(connections!$A873="","",IFERROR(INDEX(games!$B$2:$B$950,MATCH(connections!$A873,games!$A$2:$A$950,0)),""))</f>
        <v>2020</v>
      </c>
      <c r="U873">
        <f>IF(connections!$A873="","",IFERROR(INDEX(games!$B$2:$B$950,MATCH(connections!$B873,games!$A$2:$A$950,0)),""))</f>
        <v>2025</v>
      </c>
      <c r="V873">
        <f t="shared" si="181"/>
        <v>5</v>
      </c>
    </row>
    <row r="874" spans="1:22" x14ac:dyDescent="0.25">
      <c r="A874" t="str">
        <f>IF(games!$A874="","",games!$A874)</f>
        <v>Wireworks</v>
      </c>
      <c r="B874">
        <f>IF($A874="","",games!$B874)</f>
        <v>2026</v>
      </c>
      <c r="C874" t="str">
        <f>IF($A874="","",games!$C874)</f>
        <v>Strategy</v>
      </c>
      <c r="D874">
        <f>IF($A874="","",COUNTIF(connections!$A$2:$A$1460,$A874)+COUNTIF(connections!$B$2:$B$1460,$A874))</f>
        <v>0</v>
      </c>
      <c r="E874">
        <f t="shared" si="169"/>
        <v>2</v>
      </c>
      <c r="F874">
        <f t="shared" si="170"/>
        <v>24</v>
      </c>
      <c r="G874" t="e">
        <f t="shared" si="171"/>
        <v>#N/A</v>
      </c>
      <c r="H874" t="e">
        <f t="shared" si="172"/>
        <v>#N/A</v>
      </c>
      <c r="I874">
        <f t="shared" si="173"/>
        <v>2026</v>
      </c>
      <c r="J874">
        <f t="shared" si="174"/>
        <v>2.552</v>
      </c>
      <c r="K874" t="e">
        <f t="shared" si="175"/>
        <v>#N/A</v>
      </c>
      <c r="L874" t="e">
        <f t="shared" si="176"/>
        <v>#N/A</v>
      </c>
      <c r="M874" t="e">
        <f t="shared" si="177"/>
        <v>#N/A</v>
      </c>
      <c r="N874" t="e">
        <f t="shared" si="178"/>
        <v>#N/A</v>
      </c>
      <c r="O874">
        <f t="shared" si="179"/>
        <v>8.7399999999999999E-4</v>
      </c>
      <c r="P874" t="str">
        <f>IF(OR($A874="",games!$H874=""),"",games!$H874)</f>
        <v/>
      </c>
      <c r="Q874" t="str">
        <f t="shared" si="180"/>
        <v/>
      </c>
      <c r="T874">
        <f>IF(connections!$A874="","",IFERROR(INDEX(games!$B$2:$B$950,MATCH(connections!$A874,games!$A$2:$A$950,0)),""))</f>
        <v>2020</v>
      </c>
      <c r="U874">
        <f>IF(connections!$A874="","",IFERROR(INDEX(games!$B$2:$B$950,MATCH(connections!$B874,games!$A$2:$A$950,0)),""))</f>
        <v>2025</v>
      </c>
      <c r="V874">
        <f t="shared" si="181"/>
        <v>5</v>
      </c>
    </row>
    <row r="875" spans="1:22" x14ac:dyDescent="0.25">
      <c r="A875" t="str">
        <f>IF(games!$A875="","",games!$A875)</f>
        <v>Witchfire</v>
      </c>
      <c r="B875">
        <f>IF($A875="","",games!$B875)</f>
        <v>2023</v>
      </c>
      <c r="C875" t="str">
        <f>IF($A875="","",games!$C875)</f>
        <v>Action</v>
      </c>
      <c r="D875">
        <f>IF($A875="","",COUNTIF(connections!$A$2:$A$1460,$A875)+COUNTIF(connections!$B$2:$B$1460,$A875))</f>
        <v>3</v>
      </c>
      <c r="E875">
        <f t="shared" si="169"/>
        <v>1</v>
      </c>
      <c r="F875">
        <f t="shared" si="170"/>
        <v>25</v>
      </c>
      <c r="G875">
        <f t="shared" si="171"/>
        <v>2023</v>
      </c>
      <c r="H875">
        <f t="shared" si="172"/>
        <v>1.575</v>
      </c>
      <c r="I875" t="e">
        <f t="shared" si="173"/>
        <v>#N/A</v>
      </c>
      <c r="J875" t="e">
        <f t="shared" si="174"/>
        <v>#N/A</v>
      </c>
      <c r="K875" t="e">
        <f t="shared" si="175"/>
        <v>#N/A</v>
      </c>
      <c r="L875" t="e">
        <f t="shared" si="176"/>
        <v>#N/A</v>
      </c>
      <c r="M875" t="e">
        <f t="shared" si="177"/>
        <v>#N/A</v>
      </c>
      <c r="N875" t="e">
        <f t="shared" si="178"/>
        <v>#N/A</v>
      </c>
      <c r="O875">
        <f t="shared" si="179"/>
        <v>3.0008750000000002</v>
      </c>
      <c r="P875" t="str">
        <f>IF(OR($A875="",games!$H875=""),"",games!$H875)</f>
        <v/>
      </c>
      <c r="Q875" t="str">
        <f t="shared" si="180"/>
        <v/>
      </c>
      <c r="T875">
        <f>IF(connections!$A875="","",IFERROR(INDEX(games!$B$2:$B$950,MATCH(connections!$A875,games!$A$2:$A$950,0)),""))</f>
        <v>2020</v>
      </c>
      <c r="U875">
        <f>IF(connections!$A875="","",IFERROR(INDEX(games!$B$2:$B$950,MATCH(connections!$B875,games!$A$2:$A$950,0)),""))</f>
        <v>2026</v>
      </c>
      <c r="V875">
        <f t="shared" si="181"/>
        <v>6</v>
      </c>
    </row>
    <row r="876" spans="1:22" x14ac:dyDescent="0.25">
      <c r="A876" t="str">
        <f>IF(games!$A876="","",games!$A876)</f>
        <v>Witch's Apocalyptic Journey</v>
      </c>
      <c r="B876">
        <f>IF($A876="","",games!$B876)</f>
        <v>2026</v>
      </c>
      <c r="C876" t="str">
        <f>IF($A876="","",games!$C876)</f>
        <v>Deckbuilder</v>
      </c>
      <c r="D876">
        <f>IF($A876="","",COUNTIF(connections!$A$2:$A$1460,$A876)+COUNTIF(connections!$B$2:$B$1460,$A876))</f>
        <v>1</v>
      </c>
      <c r="E876">
        <f t="shared" si="169"/>
        <v>3</v>
      </c>
      <c r="F876">
        <f t="shared" si="170"/>
        <v>26</v>
      </c>
      <c r="G876" t="e">
        <f t="shared" si="171"/>
        <v>#N/A</v>
      </c>
      <c r="H876" t="e">
        <f t="shared" si="172"/>
        <v>#N/A</v>
      </c>
      <c r="I876" t="e">
        <f t="shared" si="173"/>
        <v>#N/A</v>
      </c>
      <c r="J876" t="e">
        <f t="shared" si="174"/>
        <v>#N/A</v>
      </c>
      <c r="K876">
        <f t="shared" si="175"/>
        <v>2026</v>
      </c>
      <c r="L876">
        <f t="shared" si="176"/>
        <v>3.5979999999999999</v>
      </c>
      <c r="M876" t="e">
        <f t="shared" si="177"/>
        <v>#N/A</v>
      </c>
      <c r="N876" t="e">
        <f t="shared" si="178"/>
        <v>#N/A</v>
      </c>
      <c r="O876">
        <f t="shared" si="179"/>
        <v>1.0008760000000001</v>
      </c>
      <c r="P876" t="str">
        <f>IF(OR($A876="",games!$H876=""),"",games!$H876)</f>
        <v/>
      </c>
      <c r="Q876" t="str">
        <f t="shared" si="180"/>
        <v/>
      </c>
      <c r="T876">
        <f>IF(connections!$A876="","",IFERROR(INDEX(games!$B$2:$B$950,MATCH(connections!$A876,games!$A$2:$A$950,0)),""))</f>
        <v>2020</v>
      </c>
      <c r="U876">
        <f>IF(connections!$A876="","",IFERROR(INDEX(games!$B$2:$B$950,MATCH(connections!$B876,games!$A$2:$A$950,0)),""))</f>
        <v>2025</v>
      </c>
      <c r="V876">
        <f t="shared" si="181"/>
        <v>5</v>
      </c>
    </row>
    <row r="877" spans="1:22" x14ac:dyDescent="0.25">
      <c r="A877" t="str">
        <f>IF(games!$A877="","",games!$A877)</f>
        <v>Wizard of Legend</v>
      </c>
      <c r="B877">
        <f>IF($A877="","",games!$B877)</f>
        <v>2018</v>
      </c>
      <c r="C877" t="str">
        <f>IF($A877="","",games!$C877)</f>
        <v>Action</v>
      </c>
      <c r="D877">
        <f>IF($A877="","",COUNTIF(connections!$A$2:$A$1460,$A877)+COUNTIF(connections!$B$2:$B$1460,$A877))</f>
        <v>5</v>
      </c>
      <c r="E877">
        <f t="shared" si="169"/>
        <v>1</v>
      </c>
      <c r="F877">
        <f t="shared" si="170"/>
        <v>27</v>
      </c>
      <c r="G877">
        <f t="shared" si="171"/>
        <v>2018</v>
      </c>
      <c r="H877">
        <f t="shared" si="172"/>
        <v>1.621</v>
      </c>
      <c r="I877" t="e">
        <f t="shared" si="173"/>
        <v>#N/A</v>
      </c>
      <c r="J877" t="e">
        <f t="shared" si="174"/>
        <v>#N/A</v>
      </c>
      <c r="K877" t="e">
        <f t="shared" si="175"/>
        <v>#N/A</v>
      </c>
      <c r="L877" t="e">
        <f t="shared" si="176"/>
        <v>#N/A</v>
      </c>
      <c r="M877" t="e">
        <f t="shared" si="177"/>
        <v>#N/A</v>
      </c>
      <c r="N877" t="e">
        <f t="shared" si="178"/>
        <v>#N/A</v>
      </c>
      <c r="O877">
        <f t="shared" si="179"/>
        <v>5.000877</v>
      </c>
      <c r="P877" t="str">
        <f>IF(OR($A877="",games!$H877=""),"",games!$H877)</f>
        <v>Yes</v>
      </c>
      <c r="Q877">
        <f t="shared" si="180"/>
        <v>5.000877</v>
      </c>
      <c r="T877">
        <f>IF(connections!$A877="","",IFERROR(INDEX(games!$B$2:$B$950,MATCH(connections!$A877,games!$A$2:$A$950,0)),""))</f>
        <v>1980</v>
      </c>
      <c r="U877">
        <f>IF(connections!$A877="","",IFERROR(INDEX(games!$B$2:$B$950,MATCH(connections!$B877,games!$A$2:$A$950,0)),""))</f>
        <v>2015</v>
      </c>
      <c r="V877">
        <f t="shared" si="181"/>
        <v>35</v>
      </c>
    </row>
    <row r="878" spans="1:22" x14ac:dyDescent="0.25">
      <c r="A878" t="str">
        <f>IF(games!$A878="","",games!$A878)</f>
        <v>Wizard of Legend 2</v>
      </c>
      <c r="B878">
        <f>IF($A878="","",games!$B878)</f>
        <v>2024</v>
      </c>
      <c r="C878" t="str">
        <f>IF($A878="","",games!$C878)</f>
        <v>Action</v>
      </c>
      <c r="D878">
        <f>IF($A878="","",COUNTIF(connections!$A$2:$A$1460,$A878)+COUNTIF(connections!$B$2:$B$1460,$A878))</f>
        <v>1</v>
      </c>
      <c r="E878">
        <f t="shared" si="169"/>
        <v>1</v>
      </c>
      <c r="F878">
        <f t="shared" si="170"/>
        <v>28</v>
      </c>
      <c r="G878">
        <f t="shared" si="171"/>
        <v>2024</v>
      </c>
      <c r="H878">
        <f t="shared" si="172"/>
        <v>1.6440000000000001</v>
      </c>
      <c r="I878" t="e">
        <f t="shared" si="173"/>
        <v>#N/A</v>
      </c>
      <c r="J878" t="e">
        <f t="shared" si="174"/>
        <v>#N/A</v>
      </c>
      <c r="K878" t="e">
        <f t="shared" si="175"/>
        <v>#N/A</v>
      </c>
      <c r="L878" t="e">
        <f t="shared" si="176"/>
        <v>#N/A</v>
      </c>
      <c r="M878" t="e">
        <f t="shared" si="177"/>
        <v>#N/A</v>
      </c>
      <c r="N878" t="e">
        <f t="shared" si="178"/>
        <v>#N/A</v>
      </c>
      <c r="O878">
        <f t="shared" si="179"/>
        <v>1.0008779999999999</v>
      </c>
      <c r="P878" t="str">
        <f>IF(OR($A878="",games!$H878=""),"",games!$H878)</f>
        <v>Yes</v>
      </c>
      <c r="Q878">
        <f t="shared" si="180"/>
        <v>1.0008779999999999</v>
      </c>
      <c r="T878">
        <f>IF(connections!$A878="","",IFERROR(INDEX(games!$B$2:$B$950,MATCH(connections!$A878,games!$A$2:$A$950,0)),""))</f>
        <v>1980</v>
      </c>
      <c r="U878">
        <f>IF(connections!$A878="","",IFERROR(INDEX(games!$B$2:$B$950,MATCH(connections!$B878,games!$A$2:$A$950,0)),""))</f>
        <v>1994</v>
      </c>
      <c r="V878">
        <f t="shared" si="181"/>
        <v>14</v>
      </c>
    </row>
    <row r="879" spans="1:22" x14ac:dyDescent="0.25">
      <c r="A879" t="str">
        <f>IF(games!$A879="","",games!$A879)</f>
        <v>WizardChess</v>
      </c>
      <c r="B879">
        <f>IF($A879="","",games!$B879)</f>
        <v>2021</v>
      </c>
      <c r="C879" t="str">
        <f>IF($A879="","",games!$C879)</f>
        <v>Strategy</v>
      </c>
      <c r="D879">
        <f>IF($A879="","",COUNTIF(connections!$A$2:$A$1460,$A879)+COUNTIF(connections!$B$2:$B$1460,$A879))</f>
        <v>1</v>
      </c>
      <c r="E879">
        <f t="shared" si="169"/>
        <v>2</v>
      </c>
      <c r="F879">
        <f t="shared" si="170"/>
        <v>29</v>
      </c>
      <c r="G879" t="e">
        <f t="shared" si="171"/>
        <v>#N/A</v>
      </c>
      <c r="H879" t="e">
        <f t="shared" si="172"/>
        <v>#N/A</v>
      </c>
      <c r="I879">
        <f t="shared" si="173"/>
        <v>2021</v>
      </c>
      <c r="J879">
        <f t="shared" si="174"/>
        <v>2.6669999999999998</v>
      </c>
      <c r="K879" t="e">
        <f t="shared" si="175"/>
        <v>#N/A</v>
      </c>
      <c r="L879" t="e">
        <f t="shared" si="176"/>
        <v>#N/A</v>
      </c>
      <c r="M879" t="e">
        <f t="shared" si="177"/>
        <v>#N/A</v>
      </c>
      <c r="N879" t="e">
        <f t="shared" si="178"/>
        <v>#N/A</v>
      </c>
      <c r="O879">
        <f t="shared" si="179"/>
        <v>1.0008790000000001</v>
      </c>
      <c r="P879" t="str">
        <f>IF(OR($A879="",games!$H879=""),"",games!$H879)</f>
        <v>Yes</v>
      </c>
      <c r="Q879">
        <f t="shared" si="180"/>
        <v>1.0008790000000001</v>
      </c>
      <c r="T879">
        <f>IF(connections!$A879="","",IFERROR(INDEX(games!$B$2:$B$950,MATCH(connections!$A879,games!$A$2:$A$950,0)),""))</f>
        <v>1980</v>
      </c>
      <c r="U879">
        <f>IF(connections!$A879="","",IFERROR(INDEX(games!$B$2:$B$950,MATCH(connections!$B879,games!$A$2:$A$950,0)),""))</f>
        <v>2009</v>
      </c>
      <c r="V879">
        <f t="shared" si="181"/>
        <v>29</v>
      </c>
    </row>
    <row r="880" spans="1:22" x14ac:dyDescent="0.25">
      <c r="A880" t="str">
        <f>IF(games!$A880="","",games!$A880)</f>
        <v>Word Play</v>
      </c>
      <c r="B880">
        <f>IF($A880="","",games!$B880)</f>
        <v>2025</v>
      </c>
      <c r="C880" t="str">
        <f>IF($A880="","",games!$C880)</f>
        <v>Deckbuilder</v>
      </c>
      <c r="D880">
        <f>IF($A880="","",COUNTIF(connections!$A$2:$A$1460,$A880)+COUNTIF(connections!$B$2:$B$1460,$A880))</f>
        <v>1</v>
      </c>
      <c r="E880">
        <f t="shared" si="169"/>
        <v>3</v>
      </c>
      <c r="F880">
        <f t="shared" si="170"/>
        <v>30</v>
      </c>
      <c r="G880" t="e">
        <f t="shared" si="171"/>
        <v>#N/A</v>
      </c>
      <c r="H880" t="e">
        <f t="shared" si="172"/>
        <v>#N/A</v>
      </c>
      <c r="I880" t="e">
        <f t="shared" si="173"/>
        <v>#N/A</v>
      </c>
      <c r="J880" t="e">
        <f t="shared" si="174"/>
        <v>#N/A</v>
      </c>
      <c r="K880">
        <f t="shared" si="175"/>
        <v>2025</v>
      </c>
      <c r="L880">
        <f t="shared" si="176"/>
        <v>3.69</v>
      </c>
      <c r="M880" t="e">
        <f t="shared" si="177"/>
        <v>#N/A</v>
      </c>
      <c r="N880" t="e">
        <f t="shared" si="178"/>
        <v>#N/A</v>
      </c>
      <c r="O880">
        <f t="shared" si="179"/>
        <v>1.00088</v>
      </c>
      <c r="P880" t="str">
        <f>IF(OR($A880="",games!$H880=""),"",games!$H880)</f>
        <v/>
      </c>
      <c r="Q880" t="str">
        <f t="shared" si="180"/>
        <v/>
      </c>
      <c r="T880">
        <f>IF(connections!$A880="","",IFERROR(INDEX(games!$B$2:$B$950,MATCH(connections!$A880,games!$A$2:$A$950,0)),""))</f>
        <v>1980</v>
      </c>
      <c r="U880">
        <f>IF(connections!$A880="","",IFERROR(INDEX(games!$B$2:$B$950,MATCH(connections!$B880,games!$A$2:$A$950,0)),""))</f>
        <v>1994</v>
      </c>
      <c r="V880">
        <f t="shared" si="181"/>
        <v>14</v>
      </c>
    </row>
    <row r="881" spans="1:22" x14ac:dyDescent="0.25">
      <c r="A881" t="str">
        <f>IF(games!$A881="","",games!$A881)</f>
        <v>Wordatro!</v>
      </c>
      <c r="B881">
        <f>IF($A881="","",games!$B881)</f>
        <v>2025</v>
      </c>
      <c r="C881" t="str">
        <f>IF($A881="","",games!$C881)</f>
        <v>Deckbuilder</v>
      </c>
      <c r="D881">
        <f>IF($A881="","",COUNTIF(connections!$A$2:$A$1460,$A881)+COUNTIF(connections!$B$2:$B$1460,$A881))</f>
        <v>1</v>
      </c>
      <c r="E881">
        <f t="shared" si="169"/>
        <v>3</v>
      </c>
      <c r="F881">
        <f t="shared" si="170"/>
        <v>31</v>
      </c>
      <c r="G881" t="e">
        <f t="shared" si="171"/>
        <v>#N/A</v>
      </c>
      <c r="H881" t="e">
        <f t="shared" si="172"/>
        <v>#N/A</v>
      </c>
      <c r="I881" t="e">
        <f t="shared" si="173"/>
        <v>#N/A</v>
      </c>
      <c r="J881" t="e">
        <f t="shared" si="174"/>
        <v>#N/A</v>
      </c>
      <c r="K881">
        <f t="shared" si="175"/>
        <v>2025</v>
      </c>
      <c r="L881">
        <f t="shared" si="176"/>
        <v>3.7130000000000001</v>
      </c>
      <c r="M881" t="e">
        <f t="shared" si="177"/>
        <v>#N/A</v>
      </c>
      <c r="N881" t="e">
        <f t="shared" si="178"/>
        <v>#N/A</v>
      </c>
      <c r="O881">
        <f t="shared" si="179"/>
        <v>1.0008809999999999</v>
      </c>
      <c r="P881" t="str">
        <f>IF(OR($A881="",games!$H881=""),"",games!$H881)</f>
        <v>Yes</v>
      </c>
      <c r="Q881">
        <f t="shared" si="180"/>
        <v>1.0008809999999999</v>
      </c>
      <c r="T881">
        <f>IF(connections!$A881="","",IFERROR(INDEX(games!$B$2:$B$950,MATCH(connections!$A881,games!$A$2:$A$950,0)),""))</f>
        <v>1980</v>
      </c>
      <c r="U881">
        <f>IF(connections!$A881="","",IFERROR(INDEX(games!$B$2:$B$950,MATCH(connections!$B881,games!$A$2:$A$950,0)),""))</f>
        <v>1991</v>
      </c>
      <c r="V881">
        <f t="shared" si="181"/>
        <v>11</v>
      </c>
    </row>
    <row r="882" spans="1:22" x14ac:dyDescent="0.25">
      <c r="A882" t="str">
        <f>IF(games!$A882="","",games!$A882)</f>
        <v>Words Can Kill</v>
      </c>
      <c r="B882">
        <f>IF($A882="","",games!$B882)</f>
        <v>2022</v>
      </c>
      <c r="C882" t="str">
        <f>IF($A882="","",games!$C882)</f>
        <v>Deckbuilder</v>
      </c>
      <c r="D882">
        <f>IF($A882="","",COUNTIF(connections!$A$2:$A$1460,$A882)+COUNTIF(connections!$B$2:$B$1460,$A882))</f>
        <v>2</v>
      </c>
      <c r="E882">
        <f t="shared" si="169"/>
        <v>3</v>
      </c>
      <c r="F882">
        <f t="shared" si="170"/>
        <v>32</v>
      </c>
      <c r="G882" t="e">
        <f t="shared" si="171"/>
        <v>#N/A</v>
      </c>
      <c r="H882" t="e">
        <f t="shared" si="172"/>
        <v>#N/A</v>
      </c>
      <c r="I882" t="e">
        <f t="shared" si="173"/>
        <v>#N/A</v>
      </c>
      <c r="J882" t="e">
        <f t="shared" si="174"/>
        <v>#N/A</v>
      </c>
      <c r="K882">
        <f t="shared" si="175"/>
        <v>2022</v>
      </c>
      <c r="L882">
        <f t="shared" si="176"/>
        <v>3.7359999999999998</v>
      </c>
      <c r="M882" t="e">
        <f t="shared" si="177"/>
        <v>#N/A</v>
      </c>
      <c r="N882" t="e">
        <f t="shared" si="178"/>
        <v>#N/A</v>
      </c>
      <c r="O882">
        <f t="shared" si="179"/>
        <v>2.0008819999999998</v>
      </c>
      <c r="P882" t="str">
        <f>IF(OR($A882="",games!$H882=""),"",games!$H882)</f>
        <v>Yes</v>
      </c>
      <c r="Q882">
        <f t="shared" si="180"/>
        <v>2.0008819999999998</v>
      </c>
      <c r="T882">
        <f>IF(connections!$A882="","",IFERROR(INDEX(games!$B$2:$B$950,MATCH(connections!$A882,games!$A$2:$A$950,0)),""))</f>
        <v>1980</v>
      </c>
      <c r="U882">
        <f>IF(connections!$A882="","",IFERROR(INDEX(games!$B$2:$B$950,MATCH(connections!$B882,games!$A$2:$A$950,0)),""))</f>
        <v>2015</v>
      </c>
      <c r="V882">
        <f t="shared" si="181"/>
        <v>35</v>
      </c>
    </row>
    <row r="883" spans="1:22" x14ac:dyDescent="0.25">
      <c r="A883" t="str">
        <f>IF(games!$A883="","",games!$A883)</f>
        <v>Worlds Upon The Wind</v>
      </c>
      <c r="B883">
        <f>IF($A883="","",games!$B883)</f>
        <v>2026</v>
      </c>
      <c r="C883" t="str">
        <f>IF($A883="","",games!$C883)</f>
        <v>Deckbuilder</v>
      </c>
      <c r="D883">
        <f>IF($A883="","",COUNTIF(connections!$A$2:$A$1460,$A883)+COUNTIF(connections!$B$2:$B$1460,$A883))</f>
        <v>1</v>
      </c>
      <c r="E883">
        <f t="shared" si="169"/>
        <v>3</v>
      </c>
      <c r="F883">
        <f t="shared" si="170"/>
        <v>33</v>
      </c>
      <c r="G883" t="e">
        <f t="shared" si="171"/>
        <v>#N/A</v>
      </c>
      <c r="H883" t="e">
        <f t="shared" si="172"/>
        <v>#N/A</v>
      </c>
      <c r="I883" t="e">
        <f t="shared" si="173"/>
        <v>#N/A</v>
      </c>
      <c r="J883" t="e">
        <f t="shared" si="174"/>
        <v>#N/A</v>
      </c>
      <c r="K883">
        <f t="shared" si="175"/>
        <v>2026</v>
      </c>
      <c r="L883">
        <f t="shared" si="176"/>
        <v>3.7589999999999999</v>
      </c>
      <c r="M883" t="e">
        <f t="shared" si="177"/>
        <v>#N/A</v>
      </c>
      <c r="N883" t="e">
        <f t="shared" si="178"/>
        <v>#N/A</v>
      </c>
      <c r="O883">
        <f t="shared" si="179"/>
        <v>1.000883</v>
      </c>
      <c r="P883" t="str">
        <f>IF(OR($A883="",games!$H883=""),"",games!$H883)</f>
        <v/>
      </c>
      <c r="Q883" t="str">
        <f t="shared" si="180"/>
        <v/>
      </c>
      <c r="T883">
        <f>IF(connections!$A883="","",IFERROR(INDEX(games!$B$2:$B$950,MATCH(connections!$A883,games!$A$2:$A$950,0)),""))</f>
        <v>1980</v>
      </c>
      <c r="U883">
        <f>IF(connections!$A883="","",IFERROR(INDEX(games!$B$2:$B$950,MATCH(connections!$B883,games!$A$2:$A$950,0)),""))</f>
        <v>2012</v>
      </c>
      <c r="V883">
        <f t="shared" si="181"/>
        <v>32</v>
      </c>
    </row>
    <row r="884" spans="1:22" x14ac:dyDescent="0.25">
      <c r="A884" t="str">
        <f>IF(games!$A884="","",games!$A884)</f>
        <v>Yasha: Legends of the Demon Blade</v>
      </c>
      <c r="B884">
        <f>IF($A884="","",games!$B884)</f>
        <v>2025</v>
      </c>
      <c r="C884" t="str">
        <f>IF($A884="","",games!$C884)</f>
        <v>Action</v>
      </c>
      <c r="D884">
        <f>IF($A884="","",COUNTIF(connections!$A$2:$A$1460,$A884)+COUNTIF(connections!$B$2:$B$1460,$A884))</f>
        <v>1</v>
      </c>
      <c r="E884">
        <f t="shared" si="169"/>
        <v>1</v>
      </c>
      <c r="F884">
        <f t="shared" si="170"/>
        <v>0</v>
      </c>
      <c r="G884">
        <f t="shared" si="171"/>
        <v>2025</v>
      </c>
      <c r="H884">
        <f t="shared" si="172"/>
        <v>1</v>
      </c>
      <c r="I884" t="e">
        <f t="shared" si="173"/>
        <v>#N/A</v>
      </c>
      <c r="J884" t="e">
        <f t="shared" si="174"/>
        <v>#N/A</v>
      </c>
      <c r="K884" t="e">
        <f t="shared" si="175"/>
        <v>#N/A</v>
      </c>
      <c r="L884" t="e">
        <f t="shared" si="176"/>
        <v>#N/A</v>
      </c>
      <c r="M884" t="e">
        <f t="shared" si="177"/>
        <v>#N/A</v>
      </c>
      <c r="N884" t="e">
        <f t="shared" si="178"/>
        <v>#N/A</v>
      </c>
      <c r="O884">
        <f t="shared" si="179"/>
        <v>1.0008840000000001</v>
      </c>
      <c r="P884" t="str">
        <f>IF(OR($A884="",games!$H884=""),"",games!$H884)</f>
        <v/>
      </c>
      <c r="Q884" t="str">
        <f t="shared" si="180"/>
        <v/>
      </c>
      <c r="T884">
        <f>IF(connections!$A884="","",IFERROR(INDEX(games!$B$2:$B$950,MATCH(connections!$A884,games!$A$2:$A$950,0)),""))</f>
        <v>1980</v>
      </c>
      <c r="U884">
        <f>IF(connections!$A884="","",IFERROR(INDEX(games!$B$2:$B$950,MATCH(connections!$B884,games!$A$2:$A$950,0)),""))</f>
        <v>1990</v>
      </c>
      <c r="V884">
        <f t="shared" si="181"/>
        <v>10</v>
      </c>
    </row>
    <row r="885" spans="1:22" x14ac:dyDescent="0.25">
      <c r="A885" t="str">
        <f>IF(games!$A885="","",games!$A885)</f>
        <v>Yet Another Zombie Survivors</v>
      </c>
      <c r="B885">
        <f>IF($A885="","",games!$B885)</f>
        <v>2023</v>
      </c>
      <c r="C885" t="str">
        <f>IF($A885="","",games!$C885)</f>
        <v>Action</v>
      </c>
      <c r="D885">
        <f>IF($A885="","",COUNTIF(connections!$A$2:$A$1460,$A885)+COUNTIF(connections!$B$2:$B$1460,$A885))</f>
        <v>1</v>
      </c>
      <c r="E885">
        <f t="shared" si="169"/>
        <v>1</v>
      </c>
      <c r="F885">
        <f t="shared" si="170"/>
        <v>1</v>
      </c>
      <c r="G885">
        <f t="shared" si="171"/>
        <v>2023</v>
      </c>
      <c r="H885">
        <f t="shared" si="172"/>
        <v>1.0229999999999999</v>
      </c>
      <c r="I885" t="e">
        <f t="shared" si="173"/>
        <v>#N/A</v>
      </c>
      <c r="J885" t="e">
        <f t="shared" si="174"/>
        <v>#N/A</v>
      </c>
      <c r="K885" t="e">
        <f t="shared" si="175"/>
        <v>#N/A</v>
      </c>
      <c r="L885" t="e">
        <f t="shared" si="176"/>
        <v>#N/A</v>
      </c>
      <c r="M885" t="e">
        <f t="shared" si="177"/>
        <v>#N/A</v>
      </c>
      <c r="N885" t="e">
        <f t="shared" si="178"/>
        <v>#N/A</v>
      </c>
      <c r="O885">
        <f t="shared" si="179"/>
        <v>1.000885</v>
      </c>
      <c r="P885" t="str">
        <f>IF(OR($A885="",games!$H885=""),"",games!$H885)</f>
        <v>Yes</v>
      </c>
      <c r="Q885">
        <f t="shared" si="180"/>
        <v>1.000885</v>
      </c>
      <c r="T885">
        <f>IF(connections!$A885="","",IFERROR(INDEX(games!$B$2:$B$950,MATCH(connections!$A885,games!$A$2:$A$950,0)),""))</f>
        <v>1980</v>
      </c>
      <c r="U885">
        <f>IF(connections!$A885="","",IFERROR(INDEX(games!$B$2:$B$950,MATCH(connections!$B885,games!$A$2:$A$950,0)),""))</f>
        <v>2020</v>
      </c>
      <c r="V885">
        <f t="shared" si="181"/>
        <v>40</v>
      </c>
    </row>
    <row r="886" spans="1:22" x14ac:dyDescent="0.25">
      <c r="A886" t="str">
        <f>IF(games!$A886="","",games!$A886)</f>
        <v>Yohane the Parhelion: Numazu in the Mirage</v>
      </c>
      <c r="B886">
        <f>IF($A886="","",games!$B886)</f>
        <v>2024</v>
      </c>
      <c r="C886" t="str">
        <f>IF($A886="","",games!$C886)</f>
        <v>Deckbuilder</v>
      </c>
      <c r="D886">
        <f>IF($A886="","",COUNTIF(connections!$A$2:$A$1460,$A886)+COUNTIF(connections!$B$2:$B$1460,$A886))</f>
        <v>1</v>
      </c>
      <c r="E886">
        <f t="shared" si="169"/>
        <v>3</v>
      </c>
      <c r="F886">
        <f t="shared" si="170"/>
        <v>2</v>
      </c>
      <c r="G886" t="e">
        <f t="shared" si="171"/>
        <v>#N/A</v>
      </c>
      <c r="H886" t="e">
        <f t="shared" si="172"/>
        <v>#N/A</v>
      </c>
      <c r="I886" t="e">
        <f t="shared" si="173"/>
        <v>#N/A</v>
      </c>
      <c r="J886" t="e">
        <f t="shared" si="174"/>
        <v>#N/A</v>
      </c>
      <c r="K886">
        <f t="shared" si="175"/>
        <v>2024</v>
      </c>
      <c r="L886">
        <f t="shared" si="176"/>
        <v>3.0459999999999998</v>
      </c>
      <c r="M886" t="e">
        <f t="shared" si="177"/>
        <v>#N/A</v>
      </c>
      <c r="N886" t="e">
        <f t="shared" si="178"/>
        <v>#N/A</v>
      </c>
      <c r="O886">
        <f t="shared" si="179"/>
        <v>1.0008859999999999</v>
      </c>
      <c r="P886" t="str">
        <f>IF(OR($A886="",games!$H886=""),"",games!$H886)</f>
        <v>Yes</v>
      </c>
      <c r="Q886">
        <f t="shared" si="180"/>
        <v>1.0008859999999999</v>
      </c>
      <c r="T886">
        <f>IF(connections!$A886="","",IFERROR(INDEX(games!$B$2:$B$950,MATCH(connections!$A886,games!$A$2:$A$950,0)),""))</f>
        <v>1980</v>
      </c>
      <c r="U886">
        <f>IF(connections!$A886="","",IFERROR(INDEX(games!$B$2:$B$950,MATCH(connections!$B886,games!$A$2:$A$950,0)),""))</f>
        <v>1984</v>
      </c>
      <c r="V886">
        <f t="shared" si="181"/>
        <v>4</v>
      </c>
    </row>
    <row r="887" spans="1:22" x14ac:dyDescent="0.25">
      <c r="A887" t="str">
        <f>IF(games!$A887="","",games!$A887)</f>
        <v>Youdanji</v>
      </c>
      <c r="B887">
        <f>IF($A887="","",games!$B887)</f>
        <v>2017</v>
      </c>
      <c r="C887" t="str">
        <f>IF($A887="","",games!$C887)</f>
        <v>Traditional</v>
      </c>
      <c r="D887">
        <f>IF($A887="","",COUNTIF(connections!$A$2:$A$1460,$A887)+COUNTIF(connections!$B$2:$B$1460,$A887))</f>
        <v>1</v>
      </c>
      <c r="E887">
        <f t="shared" si="169"/>
        <v>4</v>
      </c>
      <c r="F887">
        <f t="shared" si="170"/>
        <v>3</v>
      </c>
      <c r="G887" t="e">
        <f t="shared" si="171"/>
        <v>#N/A</v>
      </c>
      <c r="H887" t="e">
        <f t="shared" si="172"/>
        <v>#N/A</v>
      </c>
      <c r="I887" t="e">
        <f t="shared" si="173"/>
        <v>#N/A</v>
      </c>
      <c r="J887" t="e">
        <f t="shared" si="174"/>
        <v>#N/A</v>
      </c>
      <c r="K887" t="e">
        <f t="shared" si="175"/>
        <v>#N/A</v>
      </c>
      <c r="L887" t="e">
        <f t="shared" si="176"/>
        <v>#N/A</v>
      </c>
      <c r="M887">
        <f t="shared" si="177"/>
        <v>2017</v>
      </c>
      <c r="N887">
        <f t="shared" si="178"/>
        <v>4.069</v>
      </c>
      <c r="O887">
        <f t="shared" si="179"/>
        <v>1.0008870000000001</v>
      </c>
      <c r="P887" t="str">
        <f>IF(OR($A887="",games!$H887=""),"",games!$H887)</f>
        <v/>
      </c>
      <c r="Q887" t="str">
        <f t="shared" si="180"/>
        <v/>
      </c>
      <c r="T887">
        <f>IF(connections!$A887="","",IFERROR(INDEX(games!$B$2:$B$950,MATCH(connections!$A887,games!$A$2:$A$950,0)),""))</f>
        <v>1980</v>
      </c>
      <c r="U887">
        <f>IF(connections!$A887="","",IFERROR(INDEX(games!$B$2:$B$950,MATCH(connections!$B887,games!$A$2:$A$950,0)),""))</f>
        <v>2012</v>
      </c>
      <c r="V887">
        <f t="shared" si="181"/>
        <v>32</v>
      </c>
    </row>
    <row r="888" spans="1:22" x14ac:dyDescent="0.25">
      <c r="A888" t="str">
        <f>IF(games!$A888="","",games!$A888)</f>
        <v>Z.H.P. Unlosing Ranger VS Darkdeath Evilman</v>
      </c>
      <c r="B888">
        <f>IF($A888="","",games!$B888)</f>
        <v>2010</v>
      </c>
      <c r="C888" t="str">
        <f>IF($A888="","",games!$C888)</f>
        <v>Traditional</v>
      </c>
      <c r="D888">
        <f>IF($A888="","",COUNTIF(connections!$A$2:$A$1460,$A888)+COUNTIF(connections!$B$2:$B$1460,$A888))</f>
        <v>2</v>
      </c>
      <c r="E888">
        <f t="shared" si="169"/>
        <v>4</v>
      </c>
      <c r="F888">
        <f t="shared" si="170"/>
        <v>4</v>
      </c>
      <c r="G888" t="e">
        <f t="shared" si="171"/>
        <v>#N/A</v>
      </c>
      <c r="H888" t="e">
        <f t="shared" si="172"/>
        <v>#N/A</v>
      </c>
      <c r="I888" t="e">
        <f t="shared" si="173"/>
        <v>#N/A</v>
      </c>
      <c r="J888" t="e">
        <f t="shared" si="174"/>
        <v>#N/A</v>
      </c>
      <c r="K888" t="e">
        <f t="shared" si="175"/>
        <v>#N/A</v>
      </c>
      <c r="L888" t="e">
        <f t="shared" si="176"/>
        <v>#N/A</v>
      </c>
      <c r="M888">
        <f t="shared" si="177"/>
        <v>2010</v>
      </c>
      <c r="N888">
        <f t="shared" si="178"/>
        <v>4.0919999999999996</v>
      </c>
      <c r="O888">
        <f t="shared" si="179"/>
        <v>2.0008879999999998</v>
      </c>
      <c r="P888" t="str">
        <f>IF(OR($A888="",games!$H888=""),"",games!$H888)</f>
        <v>Yes</v>
      </c>
      <c r="Q888">
        <f t="shared" si="180"/>
        <v>2.0008879999999998</v>
      </c>
      <c r="T888">
        <f>IF(connections!$A888="","",IFERROR(INDEX(games!$B$2:$B$950,MATCH(connections!$A888,games!$A$2:$A$950,0)),""))</f>
        <v>1980</v>
      </c>
      <c r="U888">
        <f>IF(connections!$A888="","",IFERROR(INDEX(games!$B$2:$B$950,MATCH(connections!$B888,games!$A$2:$A$950,0)),""))</f>
        <v>2011</v>
      </c>
      <c r="V888">
        <f t="shared" si="181"/>
        <v>31</v>
      </c>
    </row>
    <row r="889" spans="1:22" x14ac:dyDescent="0.25">
      <c r="A889" t="str">
        <f>IF(games!$A889="","",games!$A889)</f>
        <v>Zangband</v>
      </c>
      <c r="B889">
        <f>IF($A889="","",games!$B889)</f>
        <v>1994</v>
      </c>
      <c r="C889" t="str">
        <f>IF($A889="","",games!$C889)</f>
        <v>Traditional</v>
      </c>
      <c r="D889">
        <f>IF($A889="","",COUNTIF(connections!$A$2:$A$1460,$A889)+COUNTIF(connections!$B$2:$B$1460,$A889))</f>
        <v>4</v>
      </c>
      <c r="E889">
        <f t="shared" si="169"/>
        <v>4</v>
      </c>
      <c r="F889">
        <f t="shared" si="170"/>
        <v>5</v>
      </c>
      <c r="G889" t="e">
        <f t="shared" si="171"/>
        <v>#N/A</v>
      </c>
      <c r="H889" t="e">
        <f t="shared" si="172"/>
        <v>#N/A</v>
      </c>
      <c r="I889" t="e">
        <f t="shared" si="173"/>
        <v>#N/A</v>
      </c>
      <c r="J889" t="e">
        <f t="shared" si="174"/>
        <v>#N/A</v>
      </c>
      <c r="K889" t="e">
        <f t="shared" si="175"/>
        <v>#N/A</v>
      </c>
      <c r="L889" t="e">
        <f t="shared" si="176"/>
        <v>#N/A</v>
      </c>
      <c r="M889">
        <f t="shared" si="177"/>
        <v>1994</v>
      </c>
      <c r="N889">
        <f t="shared" si="178"/>
        <v>4.1150000000000002</v>
      </c>
      <c r="O889">
        <f t="shared" si="179"/>
        <v>4.0008889999999999</v>
      </c>
      <c r="P889" t="str">
        <f>IF(OR($A889="",games!$H889=""),"",games!$H889)</f>
        <v>Yes</v>
      </c>
      <c r="Q889">
        <f t="shared" si="180"/>
        <v>4.0008889999999999</v>
      </c>
      <c r="T889">
        <f>IF(connections!$A889="","",IFERROR(INDEX(games!$B$2:$B$950,MATCH(connections!$A889,games!$A$2:$A$950,0)),""))</f>
        <v>1980</v>
      </c>
      <c r="U889">
        <f>IF(connections!$A889="","",IFERROR(INDEX(games!$B$2:$B$950,MATCH(connections!$B889,games!$A$2:$A$950,0)),""))</f>
        <v>1986</v>
      </c>
      <c r="V889">
        <f t="shared" si="181"/>
        <v>6</v>
      </c>
    </row>
    <row r="890" spans="1:22" x14ac:dyDescent="0.25">
      <c r="A890" t="str">
        <f>IF(games!$A890="","",games!$A890)</f>
        <v>Zet Zillions</v>
      </c>
      <c r="B890">
        <f>IF($A890="","",games!$B890)</f>
        <v>2024</v>
      </c>
      <c r="C890" t="str">
        <f>IF($A890="","",games!$C890)</f>
        <v>Deckbuilder</v>
      </c>
      <c r="D890">
        <f>IF($A890="","",COUNTIF(connections!$A$2:$A$1460,$A890)+COUNTIF(connections!$B$2:$B$1460,$A890))</f>
        <v>2</v>
      </c>
      <c r="E890">
        <f t="shared" si="169"/>
        <v>3</v>
      </c>
      <c r="F890">
        <f t="shared" si="170"/>
        <v>6</v>
      </c>
      <c r="G890" t="e">
        <f t="shared" si="171"/>
        <v>#N/A</v>
      </c>
      <c r="H890" t="e">
        <f t="shared" si="172"/>
        <v>#N/A</v>
      </c>
      <c r="I890" t="e">
        <f t="shared" si="173"/>
        <v>#N/A</v>
      </c>
      <c r="J890" t="e">
        <f t="shared" si="174"/>
        <v>#N/A</v>
      </c>
      <c r="K890">
        <f t="shared" si="175"/>
        <v>2024</v>
      </c>
      <c r="L890">
        <f t="shared" si="176"/>
        <v>3.1379999999999999</v>
      </c>
      <c r="M890" t="e">
        <f t="shared" si="177"/>
        <v>#N/A</v>
      </c>
      <c r="N890" t="e">
        <f t="shared" si="178"/>
        <v>#N/A</v>
      </c>
      <c r="O890">
        <f t="shared" si="179"/>
        <v>2.0008900000000001</v>
      </c>
      <c r="P890" t="str">
        <f>IF(OR($A890="",games!$H890=""),"",games!$H890)</f>
        <v>Yes</v>
      </c>
      <c r="Q890">
        <f t="shared" si="180"/>
        <v>2.0008900000000001</v>
      </c>
      <c r="T890">
        <f>IF(connections!$A890="","",IFERROR(INDEX(games!$B$2:$B$950,MATCH(connections!$A890,games!$A$2:$A$950,0)),""))</f>
        <v>1980</v>
      </c>
      <c r="U890">
        <f>IF(connections!$A890="","",IFERROR(INDEX(games!$B$2:$B$950,MATCH(connections!$B890,games!$A$2:$A$950,0)),""))</f>
        <v>2013</v>
      </c>
      <c r="V890">
        <f t="shared" si="181"/>
        <v>33</v>
      </c>
    </row>
    <row r="891" spans="1:22" x14ac:dyDescent="0.25">
      <c r="A891" t="str">
        <f>IF(games!$A891="","",games!$A891)</f>
        <v>Ziggurat</v>
      </c>
      <c r="B891">
        <f>IF($A891="","",games!$B891)</f>
        <v>2014</v>
      </c>
      <c r="C891" t="str">
        <f>IF($A891="","",games!$C891)</f>
        <v>Action</v>
      </c>
      <c r="D891">
        <f>IF($A891="","",COUNTIF(connections!$A$2:$A$1460,$A891)+COUNTIF(connections!$B$2:$B$1460,$A891))</f>
        <v>3</v>
      </c>
      <c r="E891">
        <f t="shared" si="169"/>
        <v>1</v>
      </c>
      <c r="F891">
        <f t="shared" si="170"/>
        <v>7</v>
      </c>
      <c r="G891">
        <f t="shared" si="171"/>
        <v>2014</v>
      </c>
      <c r="H891">
        <f t="shared" si="172"/>
        <v>1.161</v>
      </c>
      <c r="I891" t="e">
        <f t="shared" si="173"/>
        <v>#N/A</v>
      </c>
      <c r="J891" t="e">
        <f t="shared" si="174"/>
        <v>#N/A</v>
      </c>
      <c r="K891" t="e">
        <f t="shared" si="175"/>
        <v>#N/A</v>
      </c>
      <c r="L891" t="e">
        <f t="shared" si="176"/>
        <v>#N/A</v>
      </c>
      <c r="M891" t="e">
        <f t="shared" si="177"/>
        <v>#N/A</v>
      </c>
      <c r="N891" t="e">
        <f t="shared" si="178"/>
        <v>#N/A</v>
      </c>
      <c r="O891">
        <f t="shared" si="179"/>
        <v>3.0008910000000002</v>
      </c>
      <c r="P891" t="str">
        <f>IF(OR($A891="",games!$H891=""),"",games!$H891)</f>
        <v>Yes</v>
      </c>
      <c r="Q891">
        <f t="shared" si="180"/>
        <v>3.0008910000000002</v>
      </c>
      <c r="T891">
        <f>IF(connections!$A891="","",IFERROR(INDEX(games!$B$2:$B$950,MATCH(connections!$A891,games!$A$2:$A$950,0)),""))</f>
        <v>1980</v>
      </c>
      <c r="U891">
        <f>IF(connections!$A891="","",IFERROR(INDEX(games!$B$2:$B$950,MATCH(connections!$B891,games!$A$2:$A$950,0)),""))</f>
        <v>1987</v>
      </c>
      <c r="V891">
        <f t="shared" si="181"/>
        <v>7</v>
      </c>
    </row>
    <row r="892" spans="1:22" x14ac:dyDescent="0.25">
      <c r="A892" t="str">
        <f>IF(games!$A892="","",games!$A892)</f>
        <v>Ziggurat 2</v>
      </c>
      <c r="B892">
        <f>IF($A892="","",games!$B892)</f>
        <v>2020</v>
      </c>
      <c r="C892" t="str">
        <f>IF($A892="","",games!$C892)</f>
        <v>Action</v>
      </c>
      <c r="D892">
        <f>IF($A892="","",COUNTIF(connections!$A$2:$A$1460,$A892)+COUNTIF(connections!$B$2:$B$1460,$A892))</f>
        <v>1</v>
      </c>
      <c r="E892">
        <f t="shared" si="169"/>
        <v>1</v>
      </c>
      <c r="F892">
        <f t="shared" si="170"/>
        <v>8</v>
      </c>
      <c r="G892">
        <f t="shared" si="171"/>
        <v>2020</v>
      </c>
      <c r="H892">
        <f t="shared" si="172"/>
        <v>1.1839999999999999</v>
      </c>
      <c r="I892" t="e">
        <f t="shared" si="173"/>
        <v>#N/A</v>
      </c>
      <c r="J892" t="e">
        <f t="shared" si="174"/>
        <v>#N/A</v>
      </c>
      <c r="K892" t="e">
        <f t="shared" si="175"/>
        <v>#N/A</v>
      </c>
      <c r="L892" t="e">
        <f t="shared" si="176"/>
        <v>#N/A</v>
      </c>
      <c r="M892" t="e">
        <f t="shared" si="177"/>
        <v>#N/A</v>
      </c>
      <c r="N892" t="e">
        <f t="shared" si="178"/>
        <v>#N/A</v>
      </c>
      <c r="O892">
        <f t="shared" si="179"/>
        <v>1.0008919999999999</v>
      </c>
      <c r="P892" t="str">
        <f>IF(OR($A892="",games!$H892=""),"",games!$H892)</f>
        <v>Yes</v>
      </c>
      <c r="Q892">
        <f t="shared" si="180"/>
        <v>1.0008919999999999</v>
      </c>
      <c r="T892">
        <f>IF(connections!$A892="","",IFERROR(INDEX(games!$B$2:$B$950,MATCH(connections!$A892,games!$A$2:$A$950,0)),""))</f>
        <v>1980</v>
      </c>
      <c r="U892">
        <f>IF(connections!$A892="","",IFERROR(INDEX(games!$B$2:$B$950,MATCH(connections!$B892,games!$A$2:$A$950,0)),""))</f>
        <v>1983</v>
      </c>
      <c r="V892">
        <f t="shared" si="181"/>
        <v>3</v>
      </c>
    </row>
    <row r="893" spans="1:22" x14ac:dyDescent="0.25">
      <c r="A893" t="str">
        <f>IF(games!$A893="","",games!$A893)</f>
        <v>ZMAngband</v>
      </c>
      <c r="B893">
        <f>IF($A893="","",games!$B893)</f>
        <v>2025</v>
      </c>
      <c r="C893" t="str">
        <f>IF($A893="","",games!$C893)</f>
        <v>Traditional</v>
      </c>
      <c r="D893">
        <f>IF($A893="","",COUNTIF(connections!$A$2:$A$1460,$A893)+COUNTIF(connections!$B$2:$B$1460,$A893))</f>
        <v>6</v>
      </c>
      <c r="E893">
        <f t="shared" si="169"/>
        <v>4</v>
      </c>
      <c r="F893">
        <f t="shared" si="170"/>
        <v>9</v>
      </c>
      <c r="G893" t="e">
        <f t="shared" si="171"/>
        <v>#N/A</v>
      </c>
      <c r="H893" t="e">
        <f t="shared" si="172"/>
        <v>#N/A</v>
      </c>
      <c r="I893" t="e">
        <f t="shared" si="173"/>
        <v>#N/A</v>
      </c>
      <c r="J893" t="e">
        <f t="shared" si="174"/>
        <v>#N/A</v>
      </c>
      <c r="K893" t="e">
        <f t="shared" si="175"/>
        <v>#N/A</v>
      </c>
      <c r="L893" t="e">
        <f t="shared" si="176"/>
        <v>#N/A</v>
      </c>
      <c r="M893">
        <f t="shared" si="177"/>
        <v>2025</v>
      </c>
      <c r="N893">
        <f t="shared" si="178"/>
        <v>4.2069999999999999</v>
      </c>
      <c r="O893">
        <f t="shared" si="179"/>
        <v>6.0008929999999996</v>
      </c>
      <c r="P893" t="str">
        <f>IF(OR($A893="",games!$H893=""),"",games!$H893)</f>
        <v>Yes</v>
      </c>
      <c r="Q893">
        <f t="shared" si="180"/>
        <v>6.0008929999999996</v>
      </c>
      <c r="T893">
        <f>IF(connections!$A893="","",IFERROR(INDEX(games!$B$2:$B$950,MATCH(connections!$A893,games!$A$2:$A$950,0)),""))</f>
        <v>1980</v>
      </c>
      <c r="U893">
        <f>IF(connections!$A893="","",IFERROR(INDEX(games!$B$2:$B$950,MATCH(connections!$B893,games!$A$2:$A$950,0)),""))</f>
        <v>2023</v>
      </c>
      <c r="V893">
        <f t="shared" si="181"/>
        <v>43</v>
      </c>
    </row>
    <row r="894" spans="1:22" x14ac:dyDescent="0.25">
      <c r="A894" t="str">
        <f>IF(games!$A894="","",games!$A894)</f>
        <v>Zoeti</v>
      </c>
      <c r="B894">
        <f>IF($A894="","",games!$B894)</f>
        <v>2023</v>
      </c>
      <c r="C894" t="str">
        <f>IF($A894="","",games!$C894)</f>
        <v>Deckbuilder</v>
      </c>
      <c r="D894">
        <f>IF($A894="","",COUNTIF(connections!$A$2:$A$1460,$A894)+COUNTIF(connections!$B$2:$B$1460,$A894))</f>
        <v>3</v>
      </c>
      <c r="E894">
        <f t="shared" si="169"/>
        <v>3</v>
      </c>
      <c r="F894">
        <f t="shared" si="170"/>
        <v>10</v>
      </c>
      <c r="G894" t="e">
        <f t="shared" si="171"/>
        <v>#N/A</v>
      </c>
      <c r="H894" t="e">
        <f t="shared" si="172"/>
        <v>#N/A</v>
      </c>
      <c r="I894" t="e">
        <f t="shared" si="173"/>
        <v>#N/A</v>
      </c>
      <c r="J894" t="e">
        <f t="shared" si="174"/>
        <v>#N/A</v>
      </c>
      <c r="K894">
        <f t="shared" si="175"/>
        <v>2023</v>
      </c>
      <c r="L894">
        <f t="shared" si="176"/>
        <v>3.23</v>
      </c>
      <c r="M894" t="e">
        <f t="shared" si="177"/>
        <v>#N/A</v>
      </c>
      <c r="N894" t="e">
        <f t="shared" si="178"/>
        <v>#N/A</v>
      </c>
      <c r="O894">
        <f t="shared" si="179"/>
        <v>3.0008940000000002</v>
      </c>
      <c r="P894" t="str">
        <f>IF(OR($A894="",games!$H894=""),"",games!$H894)</f>
        <v>Yes</v>
      </c>
      <c r="Q894">
        <f t="shared" si="180"/>
        <v>3.0008940000000002</v>
      </c>
      <c r="T894">
        <f>IF(connections!$A894="","",IFERROR(INDEX(games!$B$2:$B$950,MATCH(connections!$A894,games!$A$2:$A$950,0)),""))</f>
        <v>1980</v>
      </c>
      <c r="U894">
        <f>IF(connections!$A894="","",IFERROR(INDEX(games!$B$2:$B$950,MATCH(connections!$B894,games!$A$2:$A$950,0)),""))</f>
        <v>1992</v>
      </c>
      <c r="V894">
        <f t="shared" si="181"/>
        <v>12</v>
      </c>
    </row>
    <row r="895" spans="1:22" x14ac:dyDescent="0.25">
      <c r="A895" t="str">
        <f>IF(games!$A895="","",games!$A895)</f>
        <v>Zoominoes</v>
      </c>
      <c r="B895">
        <f>IF($A895="","",games!$B895)</f>
        <v>2026</v>
      </c>
      <c r="C895" t="str">
        <f>IF($A895="","",games!$C895)</f>
        <v>Deckbuilder</v>
      </c>
      <c r="D895">
        <f>IF($A895="","",COUNTIF(connections!$A$2:$A$1460,$A895)+COUNTIF(connections!$B$2:$B$1460,$A895))</f>
        <v>1</v>
      </c>
      <c r="E895">
        <f t="shared" si="169"/>
        <v>3</v>
      </c>
      <c r="F895">
        <f t="shared" si="170"/>
        <v>11</v>
      </c>
      <c r="G895" t="e">
        <f t="shared" si="171"/>
        <v>#N/A</v>
      </c>
      <c r="H895" t="e">
        <f t="shared" si="172"/>
        <v>#N/A</v>
      </c>
      <c r="I895" t="e">
        <f t="shared" si="173"/>
        <v>#N/A</v>
      </c>
      <c r="J895" t="e">
        <f t="shared" si="174"/>
        <v>#N/A</v>
      </c>
      <c r="K895">
        <f t="shared" si="175"/>
        <v>2026</v>
      </c>
      <c r="L895">
        <f t="shared" si="176"/>
        <v>3.2530000000000001</v>
      </c>
      <c r="M895" t="e">
        <f t="shared" si="177"/>
        <v>#N/A</v>
      </c>
      <c r="N895" t="e">
        <f t="shared" si="178"/>
        <v>#N/A</v>
      </c>
      <c r="O895">
        <f t="shared" si="179"/>
        <v>1.0008950000000001</v>
      </c>
      <c r="P895" t="str">
        <f>IF(OR($A895="",games!$H895=""),"",games!$H895)</f>
        <v/>
      </c>
      <c r="Q895" t="str">
        <f t="shared" si="180"/>
        <v/>
      </c>
      <c r="T895">
        <f>IF(connections!$A895="","",IFERROR(INDEX(games!$B$2:$B$950,MATCH(connections!$A895,games!$A$2:$A$950,0)),""))</f>
        <v>1980</v>
      </c>
      <c r="U895">
        <f>IF(connections!$A895="","",IFERROR(INDEX(games!$B$2:$B$950,MATCH(connections!$B895,games!$A$2:$A$950,0)),""))</f>
        <v>2012</v>
      </c>
      <c r="V895">
        <f t="shared" si="181"/>
        <v>32</v>
      </c>
    </row>
    <row r="896" spans="1:22" x14ac:dyDescent="0.25">
      <c r="A896" t="str">
        <f>IF(games!$A896="","",games!$A896)</f>
        <v>Zorbus</v>
      </c>
      <c r="B896">
        <f>IF($A896="","",games!$B896)</f>
        <v>2022</v>
      </c>
      <c r="C896" t="str">
        <f>IF($A896="","",games!$C896)</f>
        <v>Traditional</v>
      </c>
      <c r="D896">
        <f>IF($A896="","",COUNTIF(connections!$A$2:$A$1460,$A896)+COUNTIF(connections!$B$2:$B$1460,$A896))</f>
        <v>1</v>
      </c>
      <c r="E896">
        <f t="shared" si="169"/>
        <v>4</v>
      </c>
      <c r="F896">
        <f t="shared" si="170"/>
        <v>12</v>
      </c>
      <c r="G896" t="e">
        <f t="shared" si="171"/>
        <v>#N/A</v>
      </c>
      <c r="H896" t="e">
        <f t="shared" si="172"/>
        <v>#N/A</v>
      </c>
      <c r="I896" t="e">
        <f t="shared" si="173"/>
        <v>#N/A</v>
      </c>
      <c r="J896" t="e">
        <f t="shared" si="174"/>
        <v>#N/A</v>
      </c>
      <c r="K896" t="e">
        <f t="shared" si="175"/>
        <v>#N/A</v>
      </c>
      <c r="L896" t="e">
        <f t="shared" si="176"/>
        <v>#N/A</v>
      </c>
      <c r="M896">
        <f t="shared" si="177"/>
        <v>2022</v>
      </c>
      <c r="N896">
        <f t="shared" si="178"/>
        <v>4.2759999999999998</v>
      </c>
      <c r="O896">
        <f t="shared" si="179"/>
        <v>1.000896</v>
      </c>
      <c r="P896" t="str">
        <f>IF(OR($A896="",games!$H896=""),"",games!$H896)</f>
        <v>Yes</v>
      </c>
      <c r="Q896">
        <f t="shared" si="180"/>
        <v>1.000896</v>
      </c>
      <c r="T896">
        <f>IF(connections!$A896="","",IFERROR(INDEX(games!$B$2:$B$950,MATCH(connections!$A896,games!$A$2:$A$950,0)),""))</f>
        <v>1980</v>
      </c>
      <c r="U896">
        <f>IF(connections!$A896="","",IFERROR(INDEX(games!$B$2:$B$950,MATCH(connections!$B896,games!$A$2:$A$950,0)),""))</f>
        <v>2007</v>
      </c>
      <c r="V896">
        <f t="shared" si="181"/>
        <v>27</v>
      </c>
    </row>
    <row r="897" spans="1:22" x14ac:dyDescent="0.25">
      <c r="A897" t="str">
        <f>IF(games!$A897="","",games!$A897)</f>
        <v/>
      </c>
      <c r="B897" t="str">
        <f>IF($A897="","",games!$B897)</f>
        <v/>
      </c>
      <c r="C897" t="str">
        <f>IF($A897="","",games!$C897)</f>
        <v/>
      </c>
      <c r="D897" t="str">
        <f>IF($A897="","",COUNTIF(connections!$A$2:$A$1460,$A897)+COUNTIF(connections!$B$2:$B$1460,$A897))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1980</v>
      </c>
      <c r="U897">
        <f>IF(connections!$A897="","",IFERROR(INDEX(games!$B$2:$B$950,MATCH(connections!$B897,games!$A$2:$A$950,0)),""))</f>
        <v>2023</v>
      </c>
      <c r="V897">
        <f t="shared" si="181"/>
        <v>43</v>
      </c>
    </row>
    <row r="898" spans="1:22" x14ac:dyDescent="0.25">
      <c r="A898" t="str">
        <f>IF(games!$A898="","",games!$A898)</f>
        <v/>
      </c>
      <c r="B898" t="str">
        <f>IF($A898="","",games!$B898)</f>
        <v/>
      </c>
      <c r="C898" t="str">
        <f>IF($A898="","",games!$C898)</f>
        <v/>
      </c>
      <c r="D898" t="str">
        <f>IF($A898="","",COUNTIF(connections!$A$2:$A$1460,$A898)+COUNTIF(connections!$B$2:$B$1460,$A898))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1980</v>
      </c>
      <c r="U898">
        <f>IF(connections!$A898="","",IFERROR(INDEX(games!$B$2:$B$950,MATCH(connections!$B898,games!$A$2:$A$950,0)),""))</f>
        <v>2014</v>
      </c>
      <c r="V898">
        <f t="shared" ref="V898:V961" si="194">IF(OR($T898="",$U898=""),"",$U898-$T898)</f>
        <v>34</v>
      </c>
    </row>
    <row r="899" spans="1:22" x14ac:dyDescent="0.25">
      <c r="A899" t="str">
        <f>IF(games!$A899="","",games!$A899)</f>
        <v/>
      </c>
      <c r="B899" t="str">
        <f>IF($A899="","",games!$B899)</f>
        <v/>
      </c>
      <c r="C899" t="str">
        <f>IF($A899="","",games!$C899)</f>
        <v/>
      </c>
      <c r="D899" t="str">
        <f>IF($A899="","",COUNTIF(connections!$A$2:$A$1460,$A899)+COUNTIF(connections!$B$2:$B$1460,$A899))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1980</v>
      </c>
      <c r="U899">
        <f>IF(connections!$A899="","",IFERROR(INDEX(games!$B$2:$B$950,MATCH(connections!$B899,games!$A$2:$A$950,0)),""))</f>
        <v>2013</v>
      </c>
      <c r="V899">
        <f t="shared" si="194"/>
        <v>33</v>
      </c>
    </row>
    <row r="900" spans="1:22" x14ac:dyDescent="0.25">
      <c r="A900" t="str">
        <f>IF(games!$A900="","",games!$A900)</f>
        <v/>
      </c>
      <c r="B900" t="str">
        <f>IF($A900="","",games!$B900)</f>
        <v/>
      </c>
      <c r="C900" t="str">
        <f>IF($A900="","",games!$C900)</f>
        <v/>
      </c>
      <c r="D900" t="str">
        <f>IF($A900="","",COUNTIF(connections!$A$2:$A$1460,$A900)+COUNTIF(connections!$B$2:$B$1460,$A900))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1980</v>
      </c>
      <c r="U900">
        <f>IF(connections!$A900="","",IFERROR(INDEX(games!$B$2:$B$950,MATCH(connections!$B900,games!$A$2:$A$950,0)),""))</f>
        <v>2000</v>
      </c>
      <c r="V900">
        <f t="shared" si="194"/>
        <v>20</v>
      </c>
    </row>
    <row r="901" spans="1:22" x14ac:dyDescent="0.25">
      <c r="A901" t="str">
        <f>IF(games!$A901="","",games!$A901)</f>
        <v/>
      </c>
      <c r="B901" t="str">
        <f>IF($A901="","",games!$B901)</f>
        <v/>
      </c>
      <c r="C901" t="str">
        <f>IF($A901="","",games!$C901)</f>
        <v/>
      </c>
      <c r="D901" t="str">
        <f>IF($A901="","",COUNTIF(connections!$A$2:$A$1460,$A901)+COUNTIF(connections!$B$2:$B$1460,$A901))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1980</v>
      </c>
      <c r="U901">
        <f>IF(connections!$A901="","",IFERROR(INDEX(games!$B$2:$B$950,MATCH(connections!$B901,games!$A$2:$A$950,0)),""))</f>
        <v>1991</v>
      </c>
      <c r="V901">
        <f t="shared" si="194"/>
        <v>11</v>
      </c>
    </row>
    <row r="902" spans="1:22" x14ac:dyDescent="0.25">
      <c r="A902" t="str">
        <f>IF(games!$A902="","",games!$A902)</f>
        <v/>
      </c>
      <c r="B902" t="str">
        <f>IF($A902="","",games!$B902)</f>
        <v/>
      </c>
      <c r="C902" t="str">
        <f>IF($A902="","",games!$C902)</f>
        <v/>
      </c>
      <c r="D902" t="str">
        <f>IF($A902="","",COUNTIF(connections!$A$2:$A$1460,$A902)+COUNTIF(connections!$B$2:$B$1460,$A902))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1980</v>
      </c>
      <c r="U902">
        <f>IF(connections!$A902="","",IFERROR(INDEX(games!$B$2:$B$950,MATCH(connections!$B902,games!$A$2:$A$950,0)),""))</f>
        <v>1993</v>
      </c>
      <c r="V902">
        <f t="shared" si="194"/>
        <v>13</v>
      </c>
    </row>
    <row r="903" spans="1:22" x14ac:dyDescent="0.25">
      <c r="A903" t="str">
        <f>IF(games!$A903="","",games!$A903)</f>
        <v/>
      </c>
      <c r="B903" t="str">
        <f>IF($A903="","",games!$B903)</f>
        <v/>
      </c>
      <c r="C903" t="str">
        <f>IF($A903="","",games!$C903)</f>
        <v/>
      </c>
      <c r="D903" t="str">
        <f>IF($A903="","",COUNTIF(connections!$A$2:$A$1460,$A903)+COUNTIF(connections!$B$2:$B$1460,$A903))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1980</v>
      </c>
      <c r="U903">
        <f>IF(connections!$A903="","",IFERROR(INDEX(games!$B$2:$B$950,MATCH(connections!$B903,games!$A$2:$A$950,0)),""))</f>
        <v>2017</v>
      </c>
      <c r="V903">
        <f t="shared" si="194"/>
        <v>37</v>
      </c>
    </row>
    <row r="904" spans="1:22" x14ac:dyDescent="0.25">
      <c r="A904" t="str">
        <f>IF(games!$A904="","",games!$A904)</f>
        <v/>
      </c>
      <c r="B904" t="str">
        <f>IF($A904="","",games!$B904)</f>
        <v/>
      </c>
      <c r="C904" t="str">
        <f>IF($A904="","",games!$C904)</f>
        <v/>
      </c>
      <c r="D904" t="str">
        <f>IF($A904="","",COUNTIF(connections!$A$2:$A$1460,$A904)+COUNTIF(connections!$B$2:$B$1460,$A904))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2013</v>
      </c>
      <c r="U904">
        <f>IF(connections!$A904="","",IFERROR(INDEX(games!$B$2:$B$950,MATCH(connections!$B904,games!$A$2:$A$950,0)),""))</f>
        <v>2019</v>
      </c>
      <c r="V904">
        <f t="shared" si="194"/>
        <v>6</v>
      </c>
    </row>
    <row r="905" spans="1:22" x14ac:dyDescent="0.25">
      <c r="A905" t="str">
        <f>IF(games!$A905="","",games!$A905)</f>
        <v/>
      </c>
      <c r="B905" t="str">
        <f>IF($A905="","",games!$B905)</f>
        <v/>
      </c>
      <c r="C905" t="str">
        <f>IF($A905="","",games!$C905)</f>
        <v/>
      </c>
      <c r="D905" t="str">
        <f>IF($A905="","",COUNTIF(connections!$A$2:$A$1460,$A905)+COUNTIF(connections!$B$2:$B$1460,$A905))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2013</v>
      </c>
      <c r="U905">
        <f>IF(connections!$A905="","",IFERROR(INDEX(games!$B$2:$B$950,MATCH(connections!$B905,games!$A$2:$A$950,0)),""))</f>
        <v>2015</v>
      </c>
      <c r="V905">
        <f t="shared" si="194"/>
        <v>2</v>
      </c>
    </row>
    <row r="906" spans="1:22" x14ac:dyDescent="0.25">
      <c r="A906" t="str">
        <f>IF(games!$A906="","",games!$A906)</f>
        <v/>
      </c>
      <c r="B906" t="str">
        <f>IF($A906="","",games!$B906)</f>
        <v/>
      </c>
      <c r="C906" t="str">
        <f>IF($A906="","",games!$C906)</f>
        <v/>
      </c>
      <c r="D906" t="str">
        <f>IF($A906="","",COUNTIF(connections!$A$2:$A$1460,$A906)+COUNTIF(connections!$B$2:$B$1460,$A906))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2013</v>
      </c>
      <c r="U906">
        <f>IF(connections!$A906="","",IFERROR(INDEX(games!$B$2:$B$950,MATCH(connections!$B906,games!$A$2:$A$950,0)),""))</f>
        <v>2018</v>
      </c>
      <c r="V906">
        <f t="shared" si="194"/>
        <v>5</v>
      </c>
    </row>
    <row r="907" spans="1:22" x14ac:dyDescent="0.25">
      <c r="A907" t="str">
        <f>IF(games!$A907="","",games!$A907)</f>
        <v/>
      </c>
      <c r="B907" t="str">
        <f>IF($A907="","",games!$B907)</f>
        <v/>
      </c>
      <c r="C907" t="str">
        <f>IF($A907="","",games!$C907)</f>
        <v/>
      </c>
      <c r="D907" t="str">
        <f>IF($A907="","",COUNTIF(connections!$A$2:$A$1460,$A907)+COUNTIF(connections!$B$2:$B$1460,$A907))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2013</v>
      </c>
      <c r="U907">
        <f>IF(connections!$A907="","",IFERROR(INDEX(games!$B$2:$B$950,MATCH(connections!$B907,games!$A$2:$A$950,0)),""))</f>
        <v>2018</v>
      </c>
      <c r="V907">
        <f t="shared" si="194"/>
        <v>5</v>
      </c>
    </row>
    <row r="908" spans="1:22" x14ac:dyDescent="0.25">
      <c r="A908" t="str">
        <f>IF(games!$A908="","",games!$A908)</f>
        <v/>
      </c>
      <c r="B908" t="str">
        <f>IF($A908="","",games!$B908)</f>
        <v/>
      </c>
      <c r="C908" t="str">
        <f>IF($A908="","",games!$C908)</f>
        <v/>
      </c>
      <c r="D908" t="str">
        <f>IF($A908="","",COUNTIF(connections!$A$2:$A$1460,$A908)+COUNTIF(connections!$B$2:$B$1460,$A908))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2013</v>
      </c>
      <c r="U908">
        <f>IF(connections!$A908="","",IFERROR(INDEX(games!$B$2:$B$950,MATCH(connections!$B908,games!$A$2:$A$950,0)),""))</f>
        <v>2025</v>
      </c>
      <c r="V908">
        <f t="shared" si="194"/>
        <v>12</v>
      </c>
    </row>
    <row r="909" spans="1:22" x14ac:dyDescent="0.25">
      <c r="A909" t="str">
        <f>IF(games!$A909="","",games!$A909)</f>
        <v/>
      </c>
      <c r="B909" t="str">
        <f>IF($A909="","",games!$B909)</f>
        <v/>
      </c>
      <c r="C909" t="str">
        <f>IF($A909="","",games!$C909)</f>
        <v/>
      </c>
      <c r="D909" t="str">
        <f>IF($A909="","",COUNTIF(connections!$A$2:$A$1460,$A909)+COUNTIF(connections!$B$2:$B$1460,$A909))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2013</v>
      </c>
      <c r="U909">
        <f>IF(connections!$A909="","",IFERROR(INDEX(games!$B$2:$B$950,MATCH(connections!$B909,games!$A$2:$A$950,0)),""))</f>
        <v>2017</v>
      </c>
      <c r="V909">
        <f t="shared" si="194"/>
        <v>4</v>
      </c>
    </row>
    <row r="910" spans="1:22" x14ac:dyDescent="0.25">
      <c r="A910" t="str">
        <f>IF(games!$A910="","",games!$A910)</f>
        <v/>
      </c>
      <c r="B910" t="str">
        <f>IF($A910="","",games!$B910)</f>
        <v/>
      </c>
      <c r="C910" t="str">
        <f>IF($A910="","",games!$C910)</f>
        <v/>
      </c>
      <c r="D910" t="str">
        <f>IF($A910="","",COUNTIF(connections!$A$2:$A$1460,$A910)+COUNTIF(connections!$B$2:$B$1460,$A910))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2013</v>
      </c>
      <c r="U910">
        <f>IF(connections!$A910="","",IFERROR(INDEX(games!$B$2:$B$950,MATCH(connections!$B910,games!$A$2:$A$950,0)),""))</f>
        <v>2020</v>
      </c>
      <c r="V910">
        <f t="shared" si="194"/>
        <v>7</v>
      </c>
    </row>
    <row r="911" spans="1:22" x14ac:dyDescent="0.25">
      <c r="A911" t="str">
        <f>IF(games!$A911="","",games!$A911)</f>
        <v/>
      </c>
      <c r="B911" t="str">
        <f>IF($A911="","",games!$B911)</f>
        <v/>
      </c>
      <c r="C911" t="str">
        <f>IF($A911="","",games!$C911)</f>
        <v/>
      </c>
      <c r="D911" t="str">
        <f>IF($A911="","",COUNTIF(connections!$A$2:$A$1460,$A911)+COUNTIF(connections!$B$2:$B$1460,$A911))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2013</v>
      </c>
      <c r="U911">
        <f>IF(connections!$A911="","",IFERROR(INDEX(games!$B$2:$B$950,MATCH(connections!$B911,games!$A$2:$A$950,0)),""))</f>
        <v>2019</v>
      </c>
      <c r="V911">
        <f t="shared" si="194"/>
        <v>6</v>
      </c>
    </row>
    <row r="912" spans="1:22" x14ac:dyDescent="0.25">
      <c r="A912" t="str">
        <f>IF(games!$A912="","",games!$A912)</f>
        <v/>
      </c>
      <c r="B912" t="str">
        <f>IF($A912="","",games!$B912)</f>
        <v/>
      </c>
      <c r="C912" t="str">
        <f>IF($A912="","",games!$C912)</f>
        <v/>
      </c>
      <c r="D912" t="str">
        <f>IF($A912="","",COUNTIF(connections!$A$2:$A$1460,$A912)+COUNTIF(connections!$B$2:$B$1460,$A912))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2013</v>
      </c>
      <c r="U912">
        <f>IF(connections!$A912="","",IFERROR(INDEX(games!$B$2:$B$950,MATCH(connections!$B912,games!$A$2:$A$950,0)),""))</f>
        <v>2017</v>
      </c>
      <c r="V912">
        <f t="shared" si="194"/>
        <v>4</v>
      </c>
    </row>
    <row r="913" spans="1:22" x14ac:dyDescent="0.25">
      <c r="A913" t="str">
        <f>IF(games!$A913="","",games!$A913)</f>
        <v/>
      </c>
      <c r="B913" t="str">
        <f>IF($A913="","",games!$B913)</f>
        <v/>
      </c>
      <c r="C913" t="str">
        <f>IF($A913="","",games!$C913)</f>
        <v/>
      </c>
      <c r="D913" t="str">
        <f>IF($A913="","",COUNTIF(connections!$A$2:$A$1460,$A913)+COUNTIF(connections!$B$2:$B$1460,$A913))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2013</v>
      </c>
      <c r="U913">
        <f>IF(connections!$A913="","",IFERROR(INDEX(games!$B$2:$B$950,MATCH(connections!$B913,games!$A$2:$A$950,0)),""))</f>
        <v>2018</v>
      </c>
      <c r="V913">
        <f t="shared" si="194"/>
        <v>5</v>
      </c>
    </row>
    <row r="914" spans="1:22" x14ac:dyDescent="0.25">
      <c r="A914" t="str">
        <f>IF(games!$A914="","",games!$A914)</f>
        <v/>
      </c>
      <c r="B914" t="str">
        <f>IF($A914="","",games!$B914)</f>
        <v/>
      </c>
      <c r="C914" t="str">
        <f>IF($A914="","",games!$C914)</f>
        <v/>
      </c>
      <c r="D914" t="str">
        <f>IF($A914="","",COUNTIF(connections!$A$2:$A$1460,$A914)+COUNTIF(connections!$B$2:$B$1460,$A914))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2013</v>
      </c>
      <c r="U914">
        <f>IF(connections!$A914="","",IFERROR(INDEX(games!$B$2:$B$950,MATCH(connections!$B914,games!$A$2:$A$950,0)),""))</f>
        <v>2022</v>
      </c>
      <c r="V914">
        <f t="shared" si="194"/>
        <v>9</v>
      </c>
    </row>
    <row r="915" spans="1:22" x14ac:dyDescent="0.25">
      <c r="A915" t="str">
        <f>IF(games!$A915="","",games!$A915)</f>
        <v/>
      </c>
      <c r="B915" t="str">
        <f>IF($A915="","",games!$B915)</f>
        <v/>
      </c>
      <c r="C915" t="str">
        <f>IF($A915="","",games!$C915)</f>
        <v/>
      </c>
      <c r="D915" t="str">
        <f>IF($A915="","",COUNTIF(connections!$A$2:$A$1460,$A915)+COUNTIF(connections!$B$2:$B$1460,$A915))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2013</v>
      </c>
      <c r="U915">
        <f>IF(connections!$A915="","",IFERROR(INDEX(games!$B$2:$B$950,MATCH(connections!$B915,games!$A$2:$A$950,0)),""))</f>
        <v>2021</v>
      </c>
      <c r="V915">
        <f t="shared" si="194"/>
        <v>8</v>
      </c>
    </row>
    <row r="916" spans="1:22" x14ac:dyDescent="0.25">
      <c r="A916" t="str">
        <f>IF(games!$A916="","",games!$A916)</f>
        <v/>
      </c>
      <c r="B916" t="str">
        <f>IF($A916="","",games!$B916)</f>
        <v/>
      </c>
      <c r="C916" t="str">
        <f>IF($A916="","",games!$C916)</f>
        <v/>
      </c>
      <c r="D916" t="str">
        <f>IF($A916="","",COUNTIF(connections!$A$2:$A$1460,$A916)+COUNTIF(connections!$B$2:$B$1460,$A916))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2013</v>
      </c>
      <c r="U916">
        <f>IF(connections!$A916="","",IFERROR(INDEX(games!$B$2:$B$950,MATCH(connections!$B916,games!$A$2:$A$950,0)),""))</f>
        <v>2020</v>
      </c>
      <c r="V916">
        <f t="shared" si="194"/>
        <v>7</v>
      </c>
    </row>
    <row r="917" spans="1:22" x14ac:dyDescent="0.25">
      <c r="A917" t="str">
        <f>IF(games!$A917="","",games!$A917)</f>
        <v/>
      </c>
      <c r="B917" t="str">
        <f>IF($A917="","",games!$B917)</f>
        <v/>
      </c>
      <c r="C917" t="str">
        <f>IF($A917="","",games!$C917)</f>
        <v/>
      </c>
      <c r="D917" t="str">
        <f>IF($A917="","",COUNTIF(connections!$A$2:$A$1460,$A917)+COUNTIF(connections!$B$2:$B$1460,$A917))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2013</v>
      </c>
      <c r="U917">
        <f>IF(connections!$A917="","",IFERROR(INDEX(games!$B$2:$B$950,MATCH(connections!$B917,games!$A$2:$A$950,0)),""))</f>
        <v>2019</v>
      </c>
      <c r="V917">
        <f t="shared" si="194"/>
        <v>6</v>
      </c>
    </row>
    <row r="918" spans="1:22" x14ac:dyDescent="0.25">
      <c r="A918" t="str">
        <f>IF(games!$A918="","",games!$A918)</f>
        <v/>
      </c>
      <c r="B918" t="str">
        <f>IF($A918="","",games!$B918)</f>
        <v/>
      </c>
      <c r="C918" t="str">
        <f>IF($A918="","",games!$C918)</f>
        <v/>
      </c>
      <c r="D918" t="str">
        <f>IF($A918="","",COUNTIF(connections!$A$2:$A$1460,$A918)+COUNTIF(connections!$B$2:$B$1460,$A918))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2013</v>
      </c>
      <c r="U918">
        <f>IF(connections!$A918="","",IFERROR(INDEX(games!$B$2:$B$950,MATCH(connections!$B918,games!$A$2:$A$950,0)),""))</f>
        <v>2019</v>
      </c>
      <c r="V918">
        <f t="shared" si="194"/>
        <v>6</v>
      </c>
    </row>
    <row r="919" spans="1:22" x14ac:dyDescent="0.25">
      <c r="A919" t="str">
        <f>IF(games!$A919="","",games!$A919)</f>
        <v/>
      </c>
      <c r="B919" t="str">
        <f>IF($A919="","",games!$B919)</f>
        <v/>
      </c>
      <c r="C919" t="str">
        <f>IF($A919="","",games!$C919)</f>
        <v/>
      </c>
      <c r="D919" t="str">
        <f>IF($A919="","",COUNTIF(connections!$A$2:$A$1460,$A919)+COUNTIF(connections!$B$2:$B$1460,$A919))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2013</v>
      </c>
      <c r="U919">
        <f>IF(connections!$A919="","",IFERROR(INDEX(games!$B$2:$B$950,MATCH(connections!$B919,games!$A$2:$A$950,0)),""))</f>
        <v>2017</v>
      </c>
      <c r="V919">
        <f t="shared" si="194"/>
        <v>4</v>
      </c>
    </row>
    <row r="920" spans="1:22" x14ac:dyDescent="0.25">
      <c r="A920" t="str">
        <f>IF(games!$A920="","",games!$A920)</f>
        <v/>
      </c>
      <c r="B920" t="str">
        <f>IF($A920="","",games!$B920)</f>
        <v/>
      </c>
      <c r="C920" t="str">
        <f>IF($A920="","",games!$C920)</f>
        <v/>
      </c>
      <c r="D920" t="str">
        <f>IF($A920="","",COUNTIF(connections!$A$2:$A$1460,$A920)+COUNTIF(connections!$B$2:$B$1460,$A920))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2013</v>
      </c>
      <c r="U920">
        <f>IF(connections!$A920="","",IFERROR(INDEX(games!$B$2:$B$950,MATCH(connections!$B920,games!$A$2:$A$950,0)),""))</f>
        <v>2019</v>
      </c>
      <c r="V920">
        <f t="shared" si="194"/>
        <v>6</v>
      </c>
    </row>
    <row r="921" spans="1:22" x14ac:dyDescent="0.25">
      <c r="A921" t="str">
        <f>IF(games!$A921="","",games!$A921)</f>
        <v/>
      </c>
      <c r="B921" t="str">
        <f>IF($A921="","",games!$B921)</f>
        <v/>
      </c>
      <c r="C921" t="str">
        <f>IF($A921="","",games!$C921)</f>
        <v/>
      </c>
      <c r="D921" t="str">
        <f>IF($A921="","",COUNTIF(connections!$A$2:$A$1460,$A921)+COUNTIF(connections!$B$2:$B$1460,$A921))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2022</v>
      </c>
      <c r="U921">
        <f>IF(connections!$A921="","",IFERROR(INDEX(games!$B$2:$B$950,MATCH(connections!$B921,games!$A$2:$A$950,0)),""))</f>
        <v>2025</v>
      </c>
      <c r="V921">
        <f t="shared" si="194"/>
        <v>3</v>
      </c>
    </row>
    <row r="922" spans="1:22" x14ac:dyDescent="0.25">
      <c r="A922" t="str">
        <f>IF(games!$A922="","",games!$A922)</f>
        <v/>
      </c>
      <c r="B922" t="str">
        <f>IF($A922="","",games!$B922)</f>
        <v/>
      </c>
      <c r="C922" t="str">
        <f>IF($A922="","",games!$C922)</f>
        <v/>
      </c>
      <c r="D922" t="str">
        <f>IF($A922="","",COUNTIF(connections!$A$2:$A$1460,$A922)+COUNTIF(connections!$B$2:$B$1460,$A922))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2022</v>
      </c>
      <c r="U922">
        <f>IF(connections!$A922="","",IFERROR(INDEX(games!$B$2:$B$950,MATCH(connections!$B922,games!$A$2:$A$950,0)),""))</f>
        <v>2025</v>
      </c>
      <c r="V922">
        <f t="shared" si="194"/>
        <v>3</v>
      </c>
    </row>
    <row r="923" spans="1:22" x14ac:dyDescent="0.25">
      <c r="A923" t="str">
        <f>IF(games!$A923="","",games!$A923)</f>
        <v/>
      </c>
      <c r="B923" t="str">
        <f>IF($A923="","",games!$B923)</f>
        <v/>
      </c>
      <c r="C923" t="str">
        <f>IF($A923="","",games!$C923)</f>
        <v/>
      </c>
      <c r="D923" t="str">
        <f>IF($A923="","",COUNTIF(connections!$A$2:$A$1460,$A923)+COUNTIF(connections!$B$2:$B$1460,$A923))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2022</v>
      </c>
      <c r="U923">
        <f>IF(connections!$A923="","",IFERROR(INDEX(games!$B$2:$B$950,MATCH(connections!$B923,games!$A$2:$A$950,0)),""))</f>
        <v>2023</v>
      </c>
      <c r="V923">
        <f t="shared" si="194"/>
        <v>1</v>
      </c>
    </row>
    <row r="924" spans="1:22" x14ac:dyDescent="0.25">
      <c r="A924" t="str">
        <f>IF(games!$A924="","",games!$A924)</f>
        <v/>
      </c>
      <c r="B924" t="str">
        <f>IF($A924="","",games!$B924)</f>
        <v/>
      </c>
      <c r="C924" t="str">
        <f>IF($A924="","",games!$C924)</f>
        <v/>
      </c>
      <c r="D924" t="str">
        <f>IF($A924="","",COUNTIF(connections!$A$2:$A$1460,$A924)+COUNTIF(connections!$B$2:$B$1460,$A924))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2021</v>
      </c>
      <c r="U924">
        <f>IF(connections!$A924="","",IFERROR(INDEX(games!$B$2:$B$950,MATCH(connections!$B924,games!$A$2:$A$950,0)),""))</f>
        <v>2024</v>
      </c>
      <c r="V924">
        <f t="shared" si="194"/>
        <v>3</v>
      </c>
    </row>
    <row r="925" spans="1:22" x14ac:dyDescent="0.25">
      <c r="A925" t="str">
        <f>IF(games!$A925="","",games!$A925)</f>
        <v/>
      </c>
      <c r="B925" t="str">
        <f>IF($A925="","",games!$B925)</f>
        <v/>
      </c>
      <c r="C925" t="str">
        <f>IF($A925="","",games!$C925)</f>
        <v/>
      </c>
      <c r="D925" t="str">
        <f>IF($A925="","",COUNTIF(connections!$A$2:$A$1460,$A925)+COUNTIF(connections!$B$2:$B$1460,$A925))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2021</v>
      </c>
      <c r="U925">
        <f>IF(connections!$A925="","",IFERROR(INDEX(games!$B$2:$B$950,MATCH(connections!$B925,games!$A$2:$A$950,0)),""))</f>
        <v>2026</v>
      </c>
      <c r="V925">
        <f t="shared" si="194"/>
        <v>5</v>
      </c>
    </row>
    <row r="926" spans="1:22" x14ac:dyDescent="0.25">
      <c r="A926" t="str">
        <f>IF(games!$A926="","",games!$A926)</f>
        <v/>
      </c>
      <c r="B926" t="str">
        <f>IF($A926="","",games!$B926)</f>
        <v/>
      </c>
      <c r="C926" t="str">
        <f>IF($A926="","",games!$C926)</f>
        <v/>
      </c>
      <c r="D926" t="str">
        <f>IF($A926="","",COUNTIF(connections!$A$2:$A$1460,$A926)+COUNTIF(connections!$B$2:$B$1460,$A926))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2021</v>
      </c>
      <c r="U926">
        <f>IF(connections!$A926="","",IFERROR(INDEX(games!$B$2:$B$950,MATCH(connections!$B926,games!$A$2:$A$950,0)),""))</f>
        <v>2024</v>
      </c>
      <c r="V926">
        <f t="shared" si="194"/>
        <v>3</v>
      </c>
    </row>
    <row r="927" spans="1:22" x14ac:dyDescent="0.25">
      <c r="A927" t="str">
        <f>IF(games!$A927="","",games!$A927)</f>
        <v/>
      </c>
      <c r="B927" t="str">
        <f>IF($A927="","",games!$B927)</f>
        <v/>
      </c>
      <c r="C927" t="str">
        <f>IF($A927="","",games!$C927)</f>
        <v/>
      </c>
      <c r="D927" t="str">
        <f>IF($A927="","",COUNTIF(connections!$A$2:$A$1460,$A927)+COUNTIF(connections!$B$2:$B$1460,$A927))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2021</v>
      </c>
      <c r="U927">
        <f>IF(connections!$A927="","",IFERROR(INDEX(games!$B$2:$B$950,MATCH(connections!$B927,games!$A$2:$A$950,0)),""))</f>
        <v>2023</v>
      </c>
      <c r="V927">
        <f t="shared" si="194"/>
        <v>2</v>
      </c>
    </row>
    <row r="928" spans="1:22" x14ac:dyDescent="0.25">
      <c r="A928" t="str">
        <f>IF(games!$A928="","",games!$A928)</f>
        <v/>
      </c>
      <c r="B928" t="str">
        <f>IF($A928="","",games!$B928)</f>
        <v/>
      </c>
      <c r="C928" t="str">
        <f>IF($A928="","",games!$C928)</f>
        <v/>
      </c>
      <c r="D928" t="str">
        <f>IF($A928="","",COUNTIF(connections!$A$2:$A$1460,$A928)+COUNTIF(connections!$B$2:$B$1460,$A928))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2022</v>
      </c>
      <c r="U928">
        <f>IF(connections!$A928="","",IFERROR(INDEX(games!$B$2:$B$950,MATCH(connections!$B928,games!$A$2:$A$950,0)),""))</f>
        <v>2023</v>
      </c>
      <c r="V928">
        <f t="shared" si="194"/>
        <v>1</v>
      </c>
    </row>
    <row r="929" spans="1:22" x14ac:dyDescent="0.25">
      <c r="A929" t="str">
        <f>IF(games!$A929="","",games!$A929)</f>
        <v/>
      </c>
      <c r="B929" t="str">
        <f>IF($A929="","",games!$B929)</f>
        <v/>
      </c>
      <c r="C929" t="str">
        <f>IF($A929="","",games!$C929)</f>
        <v/>
      </c>
      <c r="D929" t="str">
        <f>IF($A929="","",COUNTIF(connections!$A$2:$A$1460,$A929)+COUNTIF(connections!$B$2:$B$1460,$A929))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2020</v>
      </c>
      <c r="U929">
        <f>IF(connections!$A929="","",IFERROR(INDEX(games!$B$2:$B$950,MATCH(connections!$B929,games!$A$2:$A$950,0)),""))</f>
        <v>2024</v>
      </c>
      <c r="V929">
        <f t="shared" si="194"/>
        <v>4</v>
      </c>
    </row>
    <row r="930" spans="1:22" x14ac:dyDescent="0.25">
      <c r="A930" t="str">
        <f>IF(games!$A930="","",games!$A930)</f>
        <v/>
      </c>
      <c r="B930" t="str">
        <f>IF($A930="","",games!$B930)</f>
        <v/>
      </c>
      <c r="C930" t="str">
        <f>IF($A930="","",games!$C930)</f>
        <v/>
      </c>
      <c r="D930" t="str">
        <f>IF($A930="","",COUNTIF(connections!$A$2:$A$1460,$A930)+COUNTIF(connections!$B$2:$B$1460,$A930))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2020</v>
      </c>
      <c r="U930">
        <f>IF(connections!$A930="","",IFERROR(INDEX(games!$B$2:$B$950,MATCH(connections!$B930,games!$A$2:$A$950,0)),""))</f>
        <v>2026</v>
      </c>
      <c r="V930">
        <f t="shared" si="194"/>
        <v>6</v>
      </c>
    </row>
    <row r="931" spans="1:22" x14ac:dyDescent="0.25">
      <c r="A931" t="str">
        <f>IF(games!$A931="","",games!$A931)</f>
        <v/>
      </c>
      <c r="B931" t="str">
        <f>IF($A931="","",games!$B931)</f>
        <v/>
      </c>
      <c r="C931" t="str">
        <f>IF($A931="","",games!$C931)</f>
        <v/>
      </c>
      <c r="D931" t="str">
        <f>IF($A931="","",COUNTIF(connections!$A$2:$A$1460,$A931)+COUNTIF(connections!$B$2:$B$1460,$A931))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2022</v>
      </c>
      <c r="U931">
        <f>IF(connections!$A931="","",IFERROR(INDEX(games!$B$2:$B$950,MATCH(connections!$B931,games!$A$2:$A$950,0)),""))</f>
        <v>2024</v>
      </c>
      <c r="V931">
        <f t="shared" si="194"/>
        <v>2</v>
      </c>
    </row>
    <row r="932" spans="1:22" x14ac:dyDescent="0.25">
      <c r="A932" t="str">
        <f>IF(games!$A932="","",games!$A932)</f>
        <v/>
      </c>
      <c r="B932" t="str">
        <f>IF($A932="","",games!$B932)</f>
        <v/>
      </c>
      <c r="C932" t="str">
        <f>IF($A932="","",games!$C932)</f>
        <v/>
      </c>
      <c r="D932" t="str">
        <f>IF($A932="","",COUNTIF(connections!$A$2:$A$1460,$A932)+COUNTIF(connections!$B$2:$B$1460,$A932))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2014</v>
      </c>
      <c r="U932">
        <f>IF(connections!$A932="","",IFERROR(INDEX(games!$B$2:$B$950,MATCH(connections!$B932,games!$A$2:$A$950,0)),""))</f>
        <v>2023</v>
      </c>
      <c r="V932">
        <f t="shared" si="194"/>
        <v>9</v>
      </c>
    </row>
    <row r="933" spans="1:22" x14ac:dyDescent="0.25">
      <c r="A933" t="str">
        <f>IF(games!$A933="","",games!$A933)</f>
        <v/>
      </c>
      <c r="B933" t="str">
        <f>IF($A933="","",games!$B933)</f>
        <v/>
      </c>
      <c r="C933" t="str">
        <f>IF($A933="","",games!$C933)</f>
        <v/>
      </c>
      <c r="D933" t="str">
        <f>IF($A933="","",COUNTIF(connections!$A$2:$A$1460,$A933)+COUNTIF(connections!$B$2:$B$1460,$A933))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2008</v>
      </c>
      <c r="U933">
        <f>IF(connections!$A933="","",IFERROR(INDEX(games!$B$2:$B$950,MATCH(connections!$B933,games!$A$2:$A$950,0)),""))</f>
        <v>2010</v>
      </c>
      <c r="V933">
        <f t="shared" si="194"/>
        <v>2</v>
      </c>
    </row>
    <row r="934" spans="1:22" x14ac:dyDescent="0.25">
      <c r="A934" t="str">
        <f>IF(games!$A934="","",games!$A934)</f>
        <v/>
      </c>
      <c r="B934" t="str">
        <f>IF($A934="","",games!$B934)</f>
        <v/>
      </c>
      <c r="C934" t="str">
        <f>IF($A934="","",games!$C934)</f>
        <v/>
      </c>
      <c r="D934" t="str">
        <f>IF($A934="","",COUNTIF(connections!$A$2:$A$1460,$A934)+COUNTIF(connections!$B$2:$B$1460,$A934))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2000</v>
      </c>
      <c r="U934">
        <f>IF(connections!$A934="","",IFERROR(INDEX(games!$B$2:$B$950,MATCH(connections!$B934,games!$A$2:$A$950,0)),""))</f>
        <v>2008</v>
      </c>
      <c r="V934">
        <f t="shared" si="194"/>
        <v>8</v>
      </c>
    </row>
    <row r="935" spans="1:22" x14ac:dyDescent="0.25">
      <c r="A935" t="str">
        <f>IF(games!$A935="","",games!$A935)</f>
        <v/>
      </c>
      <c r="B935" t="str">
        <f>IF($A935="","",games!$B935)</f>
        <v/>
      </c>
      <c r="C935" t="str">
        <f>IF($A935="","",games!$C935)</f>
        <v/>
      </c>
      <c r="D935" t="str">
        <f>IF($A935="","",COUNTIF(connections!$A$2:$A$1460,$A935)+COUNTIF(connections!$B$2:$B$1460,$A935))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2000</v>
      </c>
      <c r="U935">
        <f>IF(connections!$A935="","",IFERROR(INDEX(games!$B$2:$B$950,MATCH(connections!$B935,games!$A$2:$A$950,0)),""))</f>
        <v>2002</v>
      </c>
      <c r="V935">
        <f t="shared" si="194"/>
        <v>2</v>
      </c>
    </row>
    <row r="936" spans="1:22" x14ac:dyDescent="0.25">
      <c r="A936" t="str">
        <f>IF(games!$A936="","",games!$A936)</f>
        <v/>
      </c>
      <c r="B936" t="str">
        <f>IF($A936="","",games!$B936)</f>
        <v/>
      </c>
      <c r="C936" t="str">
        <f>IF($A936="","",games!$C936)</f>
        <v/>
      </c>
      <c r="D936" t="str">
        <f>IF($A936="","",COUNTIF(connections!$A$2:$A$1460,$A936)+COUNTIF(connections!$B$2:$B$1460,$A936))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2010</v>
      </c>
      <c r="U936">
        <f>IF(connections!$A936="","",IFERROR(INDEX(games!$B$2:$B$950,MATCH(connections!$B936,games!$A$2:$A$950,0)),""))</f>
        <v>2010</v>
      </c>
      <c r="V936">
        <f t="shared" si="194"/>
        <v>0</v>
      </c>
    </row>
    <row r="937" spans="1:22" x14ac:dyDescent="0.25">
      <c r="A937" t="str">
        <f>IF(games!$A937="","",games!$A937)</f>
        <v/>
      </c>
      <c r="B937" t="str">
        <f>IF($A937="","",games!$B937)</f>
        <v/>
      </c>
      <c r="C937" t="str">
        <f>IF($A937="","",games!$C937)</f>
        <v/>
      </c>
      <c r="D937" t="str">
        <f>IF($A937="","",COUNTIF(connections!$A$2:$A$1460,$A937)+COUNTIF(connections!$B$2:$B$1460,$A937))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1996</v>
      </c>
      <c r="U937">
        <f>IF(connections!$A937="","",IFERROR(INDEX(games!$B$2:$B$950,MATCH(connections!$B937,games!$A$2:$A$950,0)),""))</f>
        <v>2001</v>
      </c>
      <c r="V937">
        <f t="shared" si="194"/>
        <v>5</v>
      </c>
    </row>
    <row r="938" spans="1:22" x14ac:dyDescent="0.25">
      <c r="A938" t="str">
        <f>IF(games!$A938="","",games!$A938)</f>
        <v/>
      </c>
      <c r="B938" t="str">
        <f>IF($A938="","",games!$B938)</f>
        <v/>
      </c>
      <c r="C938" t="str">
        <f>IF($A938="","",games!$C938)</f>
        <v/>
      </c>
      <c r="D938" t="str">
        <f>IF($A938="","",COUNTIF(connections!$A$2:$A$1460,$A938)+COUNTIF(connections!$B$2:$B$1460,$A938))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2010</v>
      </c>
      <c r="U938">
        <f>IF(connections!$A938="","",IFERROR(INDEX(games!$B$2:$B$950,MATCH(connections!$B938,games!$A$2:$A$950,0)),""))</f>
        <v>2024</v>
      </c>
      <c r="V938">
        <f t="shared" si="194"/>
        <v>14</v>
      </c>
    </row>
    <row r="939" spans="1:22" x14ac:dyDescent="0.25">
      <c r="A939" t="str">
        <f>IF(games!$A939="","",games!$A939)</f>
        <v/>
      </c>
      <c r="B939" t="str">
        <f>IF($A939="","",games!$B939)</f>
        <v/>
      </c>
      <c r="C939" t="str">
        <f>IF($A939="","",games!$C939)</f>
        <v/>
      </c>
      <c r="D939" t="str">
        <f>IF($A939="","",COUNTIF(connections!$A$2:$A$1460,$A939)+COUNTIF(connections!$B$2:$B$1460,$A939))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2023</v>
      </c>
      <c r="U939">
        <f>IF(connections!$A939="","",IFERROR(INDEX(games!$B$2:$B$950,MATCH(connections!$B939,games!$A$2:$A$950,0)),""))</f>
        <v>2025</v>
      </c>
      <c r="V939">
        <f t="shared" si="194"/>
        <v>2</v>
      </c>
    </row>
    <row r="940" spans="1:22" x14ac:dyDescent="0.25">
      <c r="A940" t="str">
        <f>IF(games!$A940="","",games!$A940)</f>
        <v/>
      </c>
      <c r="B940" t="str">
        <f>IF($A940="","",games!$B940)</f>
        <v/>
      </c>
      <c r="C940" t="str">
        <f>IF($A940="","",games!$C940)</f>
        <v/>
      </c>
      <c r="D940" t="str">
        <f>IF($A940="","",COUNTIF(connections!$A$2:$A$1460,$A940)+COUNTIF(connections!$B$2:$B$1460,$A940))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2010</v>
      </c>
      <c r="U940">
        <f>IF(connections!$A940="","",IFERROR(INDEX(games!$B$2:$B$950,MATCH(connections!$B940,games!$A$2:$A$950,0)),""))</f>
        <v>2015</v>
      </c>
      <c r="V940">
        <f t="shared" si="194"/>
        <v>5</v>
      </c>
    </row>
    <row r="941" spans="1:22" x14ac:dyDescent="0.25">
      <c r="A941" t="str">
        <f>IF(games!$A941="","",games!$A941)</f>
        <v/>
      </c>
      <c r="B941" t="str">
        <f>IF($A941="","",games!$B941)</f>
        <v/>
      </c>
      <c r="C941" t="str">
        <f>IF($A941="","",games!$C941)</f>
        <v/>
      </c>
      <c r="D941" t="str">
        <f>IF($A941="","",COUNTIF(connections!$A$2:$A$1460,$A941)+COUNTIF(connections!$B$2:$B$1460,$A941))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2022</v>
      </c>
      <c r="U941">
        <f>IF(connections!$A941="","",IFERROR(INDEX(games!$B$2:$B$950,MATCH(connections!$B941,games!$A$2:$A$950,0)),""))</f>
        <v>2024</v>
      </c>
      <c r="V941">
        <f t="shared" si="194"/>
        <v>2</v>
      </c>
    </row>
    <row r="942" spans="1:22" x14ac:dyDescent="0.25">
      <c r="A942" t="str">
        <f>IF(games!$A942="","",games!$A942)</f>
        <v/>
      </c>
      <c r="B942" t="str">
        <f>IF($A942="","",games!$B942)</f>
        <v/>
      </c>
      <c r="C942" t="str">
        <f>IF($A942="","",games!$C942)</f>
        <v/>
      </c>
      <c r="D942" t="str">
        <f>IF($A942="","",COUNTIF(connections!$A$2:$A$1460,$A942)+COUNTIF(connections!$B$2:$B$1460,$A942))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2022</v>
      </c>
      <c r="U942">
        <f>IF(connections!$A942="","",IFERROR(INDEX(games!$B$2:$B$950,MATCH(connections!$B942,games!$A$2:$A$950,0)),""))</f>
        <v>2022</v>
      </c>
      <c r="V942">
        <f t="shared" si="194"/>
        <v>0</v>
      </c>
    </row>
    <row r="943" spans="1:22" x14ac:dyDescent="0.25">
      <c r="A943" t="str">
        <f>IF(games!$A943="","",games!$A943)</f>
        <v/>
      </c>
      <c r="B943" t="str">
        <f>IF($A943="","",games!$B943)</f>
        <v/>
      </c>
      <c r="C943" t="str">
        <f>IF($A943="","",games!$C943)</f>
        <v/>
      </c>
      <c r="D943" t="str">
        <f>IF($A943="","",COUNTIF(connections!$A$2:$A$1460,$A943)+COUNTIF(connections!$B$2:$B$1460,$A943))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2022</v>
      </c>
      <c r="U943">
        <f>IF(connections!$A943="","",IFERROR(INDEX(games!$B$2:$B$950,MATCH(connections!$B943,games!$A$2:$A$950,0)),""))</f>
        <v>2026</v>
      </c>
      <c r="V943">
        <f t="shared" si="194"/>
        <v>4</v>
      </c>
    </row>
    <row r="944" spans="1:22" x14ac:dyDescent="0.25">
      <c r="A944" t="str">
        <f>IF(games!$A944="","",games!$A944)</f>
        <v/>
      </c>
      <c r="B944" t="str">
        <f>IF($A944="","",games!$B944)</f>
        <v/>
      </c>
      <c r="C944" t="str">
        <f>IF($A944="","",games!$C944)</f>
        <v/>
      </c>
      <c r="D944" t="str">
        <f>IF($A944="","",COUNTIF(connections!$A$2:$A$1460,$A944)+COUNTIF(connections!$B$2:$B$1460,$A944))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2022</v>
      </c>
      <c r="U944">
        <f>IF(connections!$A944="","",IFERROR(INDEX(games!$B$2:$B$950,MATCH(connections!$B944,games!$A$2:$A$950,0)),""))</f>
        <v>2023</v>
      </c>
      <c r="V944">
        <f t="shared" si="194"/>
        <v>1</v>
      </c>
    </row>
    <row r="945" spans="1:22" x14ac:dyDescent="0.25">
      <c r="A945" t="str">
        <f>IF(games!$A945="","",games!$A945)</f>
        <v/>
      </c>
      <c r="B945" t="str">
        <f>IF($A945="","",games!$B945)</f>
        <v/>
      </c>
      <c r="C945" t="str">
        <f>IF($A945="","",games!$C945)</f>
        <v/>
      </c>
      <c r="D945" t="str">
        <f>IF($A945="","",COUNTIF(connections!$A$2:$A$1460,$A945)+COUNTIF(connections!$B$2:$B$1460,$A945))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2020</v>
      </c>
      <c r="U945">
        <f>IF(connections!$A945="","",IFERROR(INDEX(games!$B$2:$B$950,MATCH(connections!$B945,games!$A$2:$A$950,0)),""))</f>
        <v>2024</v>
      </c>
      <c r="V945">
        <f t="shared" si="194"/>
        <v>4</v>
      </c>
    </row>
    <row r="946" spans="1:22" x14ac:dyDescent="0.25">
      <c r="A946" t="str">
        <f>IF(games!$A946="","",games!$A946)</f>
        <v/>
      </c>
      <c r="B946" t="str">
        <f>IF($A946="","",games!$B946)</f>
        <v/>
      </c>
      <c r="C946" t="str">
        <f>IF($A946="","",games!$C946)</f>
        <v/>
      </c>
      <c r="D946" t="str">
        <f>IF($A946="","",COUNTIF(connections!$A$2:$A$1460,$A946)+COUNTIF(connections!$B$2:$B$1460,$A946))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2006</v>
      </c>
      <c r="U946">
        <f>IF(connections!$A946="","",IFERROR(INDEX(games!$B$2:$B$950,MATCH(connections!$B946,games!$A$2:$A$950,0)),""))</f>
        <v>2022</v>
      </c>
      <c r="V946">
        <f t="shared" si="194"/>
        <v>16</v>
      </c>
    </row>
    <row r="947" spans="1:22" x14ac:dyDescent="0.25">
      <c r="A947" t="str">
        <f>IF(games!$A947="","",games!$A947)</f>
        <v/>
      </c>
      <c r="B947" t="str">
        <f>IF($A947="","",games!$B947)</f>
        <v/>
      </c>
      <c r="C947" t="str">
        <f>IF($A947="","",games!$C947)</f>
        <v/>
      </c>
      <c r="D947" t="str">
        <f>IF($A947="","",COUNTIF(connections!$A$2:$A$1460,$A947)+COUNTIF(connections!$B$2:$B$1460,$A947))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2017</v>
      </c>
      <c r="U947">
        <f>IF(connections!$A947="","",IFERROR(INDEX(games!$B$2:$B$950,MATCH(connections!$B947,games!$A$2:$A$950,0)),""))</f>
        <v>2024</v>
      </c>
      <c r="V947">
        <f t="shared" si="194"/>
        <v>7</v>
      </c>
    </row>
    <row r="948" spans="1:22" x14ac:dyDescent="0.25">
      <c r="A948" t="str">
        <f>IF(games!$A948="","",games!$A948)</f>
        <v/>
      </c>
      <c r="B948" t="str">
        <f>IF($A948="","",games!$B948)</f>
        <v/>
      </c>
      <c r="C948" t="str">
        <f>IF($A948="","",games!$C948)</f>
        <v/>
      </c>
      <c r="D948" t="str">
        <f>IF($A948="","",COUNTIF(connections!$A$2:$A$1460,$A948)+COUNTIF(connections!$B$2:$B$1460,$A948))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2017</v>
      </c>
      <c r="U948">
        <f>IF(connections!$A948="","",IFERROR(INDEX(games!$B$2:$B$950,MATCH(connections!$B948,games!$A$2:$A$950,0)),""))</f>
        <v>2025</v>
      </c>
      <c r="V948">
        <f t="shared" si="194"/>
        <v>8</v>
      </c>
    </row>
    <row r="949" spans="1:22" x14ac:dyDescent="0.25">
      <c r="A949" t="str">
        <f>IF(games!$A949="","",games!$A949)</f>
        <v/>
      </c>
      <c r="B949" t="str">
        <f>IF($A949="","",games!$B949)</f>
        <v/>
      </c>
      <c r="C949" t="str">
        <f>IF($A949="","",games!$C949)</f>
        <v/>
      </c>
      <c r="D949" t="str">
        <f>IF($A949="","",COUNTIF(connections!$A$2:$A$1460,$A949)+COUNTIF(connections!$B$2:$B$1460,$A949))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2017</v>
      </c>
      <c r="U949">
        <f>IF(connections!$A949="","",IFERROR(INDEX(games!$B$2:$B$950,MATCH(connections!$B949,games!$A$2:$A$950,0)),""))</f>
        <v>2023</v>
      </c>
      <c r="V949">
        <f t="shared" si="194"/>
        <v>6</v>
      </c>
    </row>
    <row r="950" spans="1:22" x14ac:dyDescent="0.25">
      <c r="A950" t="str">
        <f>IF(games!$A950="","",games!$A950)</f>
        <v/>
      </c>
      <c r="B950" t="str">
        <f>IF($A950="","",games!$B950)</f>
        <v/>
      </c>
      <c r="C950" t="str">
        <f>IF($A950="","",games!$C950)</f>
        <v/>
      </c>
      <c r="D950" t="str">
        <f>IF($A950="","",COUNTIF(connections!$A$2:$A$1460,$A950)+COUNTIF(connections!$B$2:$B$1460,$A950))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2017</v>
      </c>
      <c r="U950">
        <f>IF(connections!$A950="","",IFERROR(INDEX(games!$B$2:$B$950,MATCH(connections!$B950,games!$A$2:$A$950,0)),""))</f>
        <v>2021</v>
      </c>
      <c r="V950">
        <f t="shared" si="194"/>
        <v>4</v>
      </c>
    </row>
    <row r="951" spans="1:22" x14ac:dyDescent="0.25">
      <c r="T951">
        <f>IF(connections!$A951="","",IFERROR(INDEX(games!$B$2:$B$950,MATCH(connections!$A951,games!$A$2:$A$950,0)),""))</f>
        <v>2017</v>
      </c>
      <c r="U951">
        <f>IF(connections!$A951="","",IFERROR(INDEX(games!$B$2:$B$950,MATCH(connections!$B951,games!$A$2:$A$950,0)),""))</f>
        <v>2022</v>
      </c>
      <c r="V951">
        <f t="shared" si="194"/>
        <v>5</v>
      </c>
    </row>
    <row r="952" spans="1:22" x14ac:dyDescent="0.25">
      <c r="T952">
        <f>IF(connections!$A952="","",IFERROR(INDEX(games!$B$2:$B$950,MATCH(connections!$A952,games!$A$2:$A$950,0)),""))</f>
        <v>2017</v>
      </c>
      <c r="U952">
        <f>IF(connections!$A952="","",IFERROR(INDEX(games!$B$2:$B$950,MATCH(connections!$B952,games!$A$2:$A$950,0)),""))</f>
        <v>2024</v>
      </c>
      <c r="V952">
        <f t="shared" si="194"/>
        <v>7</v>
      </c>
    </row>
    <row r="953" spans="1:22" x14ac:dyDescent="0.25">
      <c r="T953">
        <f>IF(connections!$A953="","",IFERROR(INDEX(games!$B$2:$B$950,MATCH(connections!$A953,games!$A$2:$A$950,0)),""))</f>
        <v>2017</v>
      </c>
      <c r="U953">
        <f>IF(connections!$A953="","",IFERROR(INDEX(games!$B$2:$B$950,MATCH(connections!$B953,games!$A$2:$A$950,0)),""))</f>
        <v>2020</v>
      </c>
      <c r="V953">
        <f t="shared" si="194"/>
        <v>3</v>
      </c>
    </row>
    <row r="954" spans="1:22" x14ac:dyDescent="0.25">
      <c r="T954">
        <f>IF(connections!$A954="","",IFERROR(INDEX(games!$B$2:$B$950,MATCH(connections!$A954,games!$A$2:$A$950,0)),""))</f>
        <v>2017</v>
      </c>
      <c r="U954">
        <f>IF(connections!$A954="","",IFERROR(INDEX(games!$B$2:$B$950,MATCH(connections!$B954,games!$A$2:$A$950,0)),""))</f>
        <v>2026</v>
      </c>
      <c r="V954">
        <f t="shared" si="194"/>
        <v>9</v>
      </c>
    </row>
    <row r="955" spans="1:22" x14ac:dyDescent="0.25">
      <c r="T955">
        <f>IF(connections!$A955="","",IFERROR(INDEX(games!$B$2:$B$950,MATCH(connections!$A955,games!$A$2:$A$950,0)),""))</f>
        <v>2017</v>
      </c>
      <c r="U955">
        <f>IF(connections!$A955="","",IFERROR(INDEX(games!$B$2:$B$950,MATCH(connections!$B955,games!$A$2:$A$950,0)),""))</f>
        <v>2025</v>
      </c>
      <c r="V955">
        <f t="shared" si="194"/>
        <v>8</v>
      </c>
    </row>
    <row r="956" spans="1:22" x14ac:dyDescent="0.25">
      <c r="T956">
        <f>IF(connections!$A956="","",IFERROR(INDEX(games!$B$2:$B$950,MATCH(connections!$A956,games!$A$2:$A$950,0)),""))</f>
        <v>2017</v>
      </c>
      <c r="U956">
        <f>IF(connections!$A956="","",IFERROR(INDEX(games!$B$2:$B$950,MATCH(connections!$B956,games!$A$2:$A$950,0)),""))</f>
        <v>2025</v>
      </c>
      <c r="V956">
        <f t="shared" si="194"/>
        <v>8</v>
      </c>
    </row>
    <row r="957" spans="1:22" x14ac:dyDescent="0.25">
      <c r="T957">
        <f>IF(connections!$A957="","",IFERROR(INDEX(games!$B$2:$B$950,MATCH(connections!$A957,games!$A$2:$A$950,0)),""))</f>
        <v>2017</v>
      </c>
      <c r="U957">
        <f>IF(connections!$A957="","",IFERROR(INDEX(games!$B$2:$B$950,MATCH(connections!$B957,games!$A$2:$A$950,0)),""))</f>
        <v>2022</v>
      </c>
      <c r="V957">
        <f t="shared" si="194"/>
        <v>5</v>
      </c>
    </row>
    <row r="958" spans="1:22" x14ac:dyDescent="0.25">
      <c r="T958">
        <f>IF(connections!$A958="","",IFERROR(INDEX(games!$B$2:$B$950,MATCH(connections!$A958,games!$A$2:$A$950,0)),""))</f>
        <v>2017</v>
      </c>
      <c r="U958">
        <f>IF(connections!$A958="","",IFERROR(INDEX(games!$B$2:$B$950,MATCH(connections!$B958,games!$A$2:$A$950,0)),""))</f>
        <v>2023</v>
      </c>
      <c r="V958">
        <f t="shared" si="194"/>
        <v>6</v>
      </c>
    </row>
    <row r="959" spans="1:22" x14ac:dyDescent="0.25">
      <c r="T959">
        <f>IF(connections!$A959="","",IFERROR(INDEX(games!$B$2:$B$950,MATCH(connections!$A959,games!$A$2:$A$950,0)),""))</f>
        <v>2017</v>
      </c>
      <c r="U959">
        <f>IF(connections!$A959="","",IFERROR(INDEX(games!$B$2:$B$950,MATCH(connections!$B959,games!$A$2:$A$950,0)),""))</f>
        <v>2020</v>
      </c>
      <c r="V959">
        <f t="shared" si="194"/>
        <v>3</v>
      </c>
    </row>
    <row r="960" spans="1:22" x14ac:dyDescent="0.25">
      <c r="T960">
        <f>IF(connections!$A960="","",IFERROR(INDEX(games!$B$2:$B$950,MATCH(connections!$A960,games!$A$2:$A$950,0)),""))</f>
        <v>2017</v>
      </c>
      <c r="U960">
        <f>IF(connections!$A960="","",IFERROR(INDEX(games!$B$2:$B$950,MATCH(connections!$B960,games!$A$2:$A$950,0)),""))</f>
        <v>2022</v>
      </c>
      <c r="V960">
        <f t="shared" si="194"/>
        <v>5</v>
      </c>
    </row>
    <row r="961" spans="20:22" x14ac:dyDescent="0.25">
      <c r="T961">
        <f>IF(connections!$A961="","",IFERROR(INDEX(games!$B$2:$B$950,MATCH(connections!$A961,games!$A$2:$A$950,0)),""))</f>
        <v>2017</v>
      </c>
      <c r="U961">
        <f>IF(connections!$A961="","",IFERROR(INDEX(games!$B$2:$B$950,MATCH(connections!$B961,games!$A$2:$A$950,0)),""))</f>
        <v>2020</v>
      </c>
      <c r="V961">
        <f t="shared" si="194"/>
        <v>3</v>
      </c>
    </row>
    <row r="962" spans="20:22" x14ac:dyDescent="0.25">
      <c r="T962">
        <f>IF(connections!$A962="","",IFERROR(INDEX(games!$B$2:$B$950,MATCH(connections!$A962,games!$A$2:$A$950,0)),""))</f>
        <v>2017</v>
      </c>
      <c r="U962">
        <f>IF(connections!$A962="","",IFERROR(INDEX(games!$B$2:$B$950,MATCH(connections!$B962,games!$A$2:$A$950,0)),""))</f>
        <v>2026</v>
      </c>
      <c r="V962">
        <f t="shared" ref="V962:V1025" si="195">IF(OR($T962="",$U962=""),"",$U962-$T962)</f>
        <v>9</v>
      </c>
    </row>
    <row r="963" spans="20:22" x14ac:dyDescent="0.25">
      <c r="T963">
        <f>IF(connections!$A963="","",IFERROR(INDEX(games!$B$2:$B$950,MATCH(connections!$A963,games!$A$2:$A$950,0)),""))</f>
        <v>2017</v>
      </c>
      <c r="U963">
        <f>IF(connections!$A963="","",IFERROR(INDEX(games!$B$2:$B$950,MATCH(connections!$B963,games!$A$2:$A$950,0)),""))</f>
        <v>2024</v>
      </c>
      <c r="V963">
        <f t="shared" si="195"/>
        <v>7</v>
      </c>
    </row>
    <row r="964" spans="20:22" x14ac:dyDescent="0.25">
      <c r="T964">
        <f>IF(connections!$A964="","",IFERROR(INDEX(games!$B$2:$B$950,MATCH(connections!$A964,games!$A$2:$A$950,0)),""))</f>
        <v>2017</v>
      </c>
      <c r="U964">
        <f>IF(connections!$A964="","",IFERROR(INDEX(games!$B$2:$B$950,MATCH(connections!$B964,games!$A$2:$A$950,0)),""))</f>
        <v>2022</v>
      </c>
      <c r="V964">
        <f t="shared" si="195"/>
        <v>5</v>
      </c>
    </row>
    <row r="965" spans="20:22" x14ac:dyDescent="0.25">
      <c r="T965">
        <f>IF(connections!$A965="","",IFERROR(INDEX(games!$B$2:$B$950,MATCH(connections!$A965,games!$A$2:$A$950,0)),""))</f>
        <v>2017</v>
      </c>
      <c r="U965">
        <f>IF(connections!$A965="","",IFERROR(INDEX(games!$B$2:$B$950,MATCH(connections!$B965,games!$A$2:$A$950,0)),""))</f>
        <v>2026</v>
      </c>
      <c r="V965">
        <f t="shared" si="195"/>
        <v>9</v>
      </c>
    </row>
    <row r="966" spans="20:22" x14ac:dyDescent="0.25">
      <c r="T966">
        <f>IF(connections!$A966="","",IFERROR(INDEX(games!$B$2:$B$950,MATCH(connections!$A966,games!$A$2:$A$950,0)),""))</f>
        <v>2017</v>
      </c>
      <c r="U966">
        <f>IF(connections!$A966="","",IFERROR(INDEX(games!$B$2:$B$950,MATCH(connections!$B966,games!$A$2:$A$950,0)),""))</f>
        <v>2022</v>
      </c>
      <c r="V966">
        <f t="shared" si="195"/>
        <v>5</v>
      </c>
    </row>
    <row r="967" spans="20:22" x14ac:dyDescent="0.25">
      <c r="T967">
        <f>IF(connections!$A967="","",IFERROR(INDEX(games!$B$2:$B$950,MATCH(connections!$A967,games!$A$2:$A$950,0)),""))</f>
        <v>2017</v>
      </c>
      <c r="U967">
        <f>IF(connections!$A967="","",IFERROR(INDEX(games!$B$2:$B$950,MATCH(connections!$B967,games!$A$2:$A$950,0)),""))</f>
        <v>2023</v>
      </c>
      <c r="V967">
        <f t="shared" si="195"/>
        <v>6</v>
      </c>
    </row>
    <row r="968" spans="20:22" x14ac:dyDescent="0.25">
      <c r="T968">
        <f>IF(connections!$A968="","",IFERROR(INDEX(games!$B$2:$B$950,MATCH(connections!$A968,games!$A$2:$A$950,0)),""))</f>
        <v>2017</v>
      </c>
      <c r="U968">
        <f>IF(connections!$A968="","",IFERROR(INDEX(games!$B$2:$B$950,MATCH(connections!$B968,games!$A$2:$A$950,0)),""))</f>
        <v>2021</v>
      </c>
      <c r="V968">
        <f t="shared" si="195"/>
        <v>4</v>
      </c>
    </row>
    <row r="969" spans="20:22" x14ac:dyDescent="0.25">
      <c r="T969">
        <f>IF(connections!$A969="","",IFERROR(INDEX(games!$B$2:$B$950,MATCH(connections!$A969,games!$A$2:$A$950,0)),""))</f>
        <v>2017</v>
      </c>
      <c r="U969">
        <f>IF(connections!$A969="","",IFERROR(INDEX(games!$B$2:$B$950,MATCH(connections!$B969,games!$A$2:$A$950,0)),""))</f>
        <v>2024</v>
      </c>
      <c r="V969">
        <f t="shared" si="195"/>
        <v>7</v>
      </c>
    </row>
    <row r="970" spans="20:22" x14ac:dyDescent="0.25">
      <c r="T970">
        <f>IF(connections!$A970="","",IFERROR(INDEX(games!$B$2:$B$950,MATCH(connections!$A970,games!$A$2:$A$950,0)),""))</f>
        <v>2017</v>
      </c>
      <c r="U970">
        <f>IF(connections!$A970="","",IFERROR(INDEX(games!$B$2:$B$950,MATCH(connections!$B970,games!$A$2:$A$950,0)),""))</f>
        <v>2026</v>
      </c>
      <c r="V970">
        <f t="shared" si="195"/>
        <v>9</v>
      </c>
    </row>
    <row r="971" spans="20:22" x14ac:dyDescent="0.25">
      <c r="T971">
        <f>IF(connections!$A971="","",IFERROR(INDEX(games!$B$2:$B$950,MATCH(connections!$A971,games!$A$2:$A$950,0)),""))</f>
        <v>2017</v>
      </c>
      <c r="U971">
        <f>IF(connections!$A971="","",IFERROR(INDEX(games!$B$2:$B$950,MATCH(connections!$B971,games!$A$2:$A$950,0)),""))</f>
        <v>2025</v>
      </c>
      <c r="V971">
        <f t="shared" si="195"/>
        <v>8</v>
      </c>
    </row>
    <row r="972" spans="20:22" x14ac:dyDescent="0.25">
      <c r="T972">
        <f>IF(connections!$A972="","",IFERROR(INDEX(games!$B$2:$B$950,MATCH(connections!$A972,games!$A$2:$A$950,0)),""))</f>
        <v>2017</v>
      </c>
      <c r="U972">
        <f>IF(connections!$A972="","",IFERROR(INDEX(games!$B$2:$B$950,MATCH(connections!$B972,games!$A$2:$A$950,0)),""))</f>
        <v>2022</v>
      </c>
      <c r="V972">
        <f t="shared" si="195"/>
        <v>5</v>
      </c>
    </row>
    <row r="973" spans="20:22" x14ac:dyDescent="0.25">
      <c r="T973">
        <f>IF(connections!$A973="","",IFERROR(INDEX(games!$B$2:$B$950,MATCH(connections!$A973,games!$A$2:$A$950,0)),""))</f>
        <v>2017</v>
      </c>
      <c r="U973">
        <f>IF(connections!$A973="","",IFERROR(INDEX(games!$B$2:$B$950,MATCH(connections!$B973,games!$A$2:$A$950,0)),""))</f>
        <v>2019</v>
      </c>
      <c r="V973">
        <f t="shared" si="195"/>
        <v>2</v>
      </c>
    </row>
    <row r="974" spans="20:22" x14ac:dyDescent="0.25">
      <c r="T974">
        <f>IF(connections!$A974="","",IFERROR(INDEX(games!$B$2:$B$950,MATCH(connections!$A974,games!$A$2:$A$950,0)),""))</f>
        <v>2017</v>
      </c>
      <c r="U974">
        <f>IF(connections!$A974="","",IFERROR(INDEX(games!$B$2:$B$950,MATCH(connections!$B974,games!$A$2:$A$950,0)),""))</f>
        <v>2024</v>
      </c>
      <c r="V974">
        <f t="shared" si="195"/>
        <v>7</v>
      </c>
    </row>
    <row r="975" spans="20:22" x14ac:dyDescent="0.25">
      <c r="T975">
        <f>IF(connections!$A975="","",IFERROR(INDEX(games!$B$2:$B$950,MATCH(connections!$A975,games!$A$2:$A$950,0)),""))</f>
        <v>2017</v>
      </c>
      <c r="U975">
        <f>IF(connections!$A975="","",IFERROR(INDEX(games!$B$2:$B$950,MATCH(connections!$B975,games!$A$2:$A$950,0)),""))</f>
        <v>2023</v>
      </c>
      <c r="V975">
        <f t="shared" si="195"/>
        <v>6</v>
      </c>
    </row>
    <row r="976" spans="20:22" x14ac:dyDescent="0.25">
      <c r="T976">
        <f>IF(connections!$A976="","",IFERROR(INDEX(games!$B$2:$B$950,MATCH(connections!$A976,games!$A$2:$A$950,0)),""))</f>
        <v>2017</v>
      </c>
      <c r="U976">
        <f>IF(connections!$A976="","",IFERROR(INDEX(games!$B$2:$B$950,MATCH(connections!$B976,games!$A$2:$A$950,0)),""))</f>
        <v>2025</v>
      </c>
      <c r="V976">
        <f t="shared" si="195"/>
        <v>8</v>
      </c>
    </row>
    <row r="977" spans="20:22" x14ac:dyDescent="0.25">
      <c r="T977">
        <f>IF(connections!$A977="","",IFERROR(INDEX(games!$B$2:$B$950,MATCH(connections!$A977,games!$A$2:$A$950,0)),""))</f>
        <v>2017</v>
      </c>
      <c r="U977">
        <f>IF(connections!$A977="","",IFERROR(INDEX(games!$B$2:$B$950,MATCH(connections!$B977,games!$A$2:$A$950,0)),""))</f>
        <v>2020</v>
      </c>
      <c r="V977">
        <f t="shared" si="195"/>
        <v>3</v>
      </c>
    </row>
    <row r="978" spans="20:22" x14ac:dyDescent="0.25">
      <c r="T978">
        <f>IF(connections!$A978="","",IFERROR(INDEX(games!$B$2:$B$950,MATCH(connections!$A978,games!$A$2:$A$950,0)),""))</f>
        <v>2017</v>
      </c>
      <c r="U978">
        <f>IF(connections!$A978="","",IFERROR(INDEX(games!$B$2:$B$950,MATCH(connections!$B978,games!$A$2:$A$950,0)),""))</f>
        <v>2023</v>
      </c>
      <c r="V978">
        <f t="shared" si="195"/>
        <v>6</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2017</v>
      </c>
      <c r="U980">
        <f>IF(connections!$A980="","",IFERROR(INDEX(games!$B$2:$B$950,MATCH(connections!$B980,games!$A$2:$A$950,0)),""))</f>
        <v>2023</v>
      </c>
      <c r="V980">
        <f t="shared" si="195"/>
        <v>6</v>
      </c>
    </row>
    <row r="981" spans="20:22" x14ac:dyDescent="0.25">
      <c r="T981">
        <f>IF(connections!$A981="","",IFERROR(INDEX(games!$B$2:$B$950,MATCH(connections!$A981,games!$A$2:$A$950,0)),""))</f>
        <v>2017</v>
      </c>
      <c r="U981">
        <f>IF(connections!$A981="","",IFERROR(INDEX(games!$B$2:$B$950,MATCH(connections!$B981,games!$A$2:$A$950,0)),""))</f>
        <v>2025</v>
      </c>
      <c r="V981">
        <f t="shared" si="195"/>
        <v>8</v>
      </c>
    </row>
    <row r="982" spans="20:22" x14ac:dyDescent="0.25">
      <c r="T982">
        <f>IF(connections!$A982="","",IFERROR(INDEX(games!$B$2:$B$950,MATCH(connections!$A982,games!$A$2:$A$950,0)),""))</f>
        <v>2017</v>
      </c>
      <c r="U982">
        <f>IF(connections!$A982="","",IFERROR(INDEX(games!$B$2:$B$950,MATCH(connections!$B982,games!$A$2:$A$950,0)),""))</f>
        <v>2026</v>
      </c>
      <c r="V982">
        <f t="shared" si="195"/>
        <v>9</v>
      </c>
    </row>
    <row r="983" spans="20:22" x14ac:dyDescent="0.25">
      <c r="T983">
        <f>IF(connections!$A983="","",IFERROR(INDEX(games!$B$2:$B$950,MATCH(connections!$A983,games!$A$2:$A$950,0)),""))</f>
        <v>2017</v>
      </c>
      <c r="U983">
        <f>IF(connections!$A983="","",IFERROR(INDEX(games!$B$2:$B$950,MATCH(connections!$B983,games!$A$2:$A$950,0)),""))</f>
        <v>2019</v>
      </c>
      <c r="V983">
        <f t="shared" si="195"/>
        <v>2</v>
      </c>
    </row>
    <row r="984" spans="20:22" x14ac:dyDescent="0.25">
      <c r="T984">
        <f>IF(connections!$A984="","",IFERROR(INDEX(games!$B$2:$B$950,MATCH(connections!$A984,games!$A$2:$A$950,0)),""))</f>
        <v>2017</v>
      </c>
      <c r="U984">
        <f>IF(connections!$A984="","",IFERROR(INDEX(games!$B$2:$B$950,MATCH(connections!$B984,games!$A$2:$A$950,0)),""))</f>
        <v>2025</v>
      </c>
      <c r="V984">
        <f t="shared" si="195"/>
        <v>8</v>
      </c>
    </row>
    <row r="985" spans="20:22" x14ac:dyDescent="0.25">
      <c r="T985">
        <f>IF(connections!$A985="","",IFERROR(INDEX(games!$B$2:$B$950,MATCH(connections!$A985,games!$A$2:$A$950,0)),""))</f>
        <v>2017</v>
      </c>
      <c r="U985">
        <f>IF(connections!$A985="","",IFERROR(INDEX(games!$B$2:$B$950,MATCH(connections!$B985,games!$A$2:$A$950,0)),""))</f>
        <v>2025</v>
      </c>
      <c r="V985">
        <f t="shared" si="195"/>
        <v>8</v>
      </c>
    </row>
    <row r="986" spans="20:22" x14ac:dyDescent="0.25">
      <c r="T986">
        <f>IF(connections!$A986="","",IFERROR(INDEX(games!$B$2:$B$950,MATCH(connections!$A986,games!$A$2:$A$950,0)),""))</f>
        <v>2017</v>
      </c>
      <c r="U986">
        <f>IF(connections!$A986="","",IFERROR(INDEX(games!$B$2:$B$950,MATCH(connections!$B986,games!$A$2:$A$950,0)),""))</f>
        <v>2021</v>
      </c>
      <c r="V986">
        <f t="shared" si="195"/>
        <v>4</v>
      </c>
    </row>
    <row r="987" spans="20:22" x14ac:dyDescent="0.25">
      <c r="T987">
        <f>IF(connections!$A987="","",IFERROR(INDEX(games!$B$2:$B$950,MATCH(connections!$A987,games!$A$2:$A$950,0)),""))</f>
        <v>2017</v>
      </c>
      <c r="U987">
        <f>IF(connections!$A987="","",IFERROR(INDEX(games!$B$2:$B$950,MATCH(connections!$B987,games!$A$2:$A$950,0)),""))</f>
        <v>2025</v>
      </c>
      <c r="V987">
        <f t="shared" si="195"/>
        <v>8</v>
      </c>
    </row>
    <row r="988" spans="20:22" x14ac:dyDescent="0.25">
      <c r="T988">
        <f>IF(connections!$A988="","",IFERROR(INDEX(games!$B$2:$B$950,MATCH(connections!$A988,games!$A$2:$A$950,0)),""))</f>
        <v>2017</v>
      </c>
      <c r="U988">
        <f>IF(connections!$A988="","",IFERROR(INDEX(games!$B$2:$B$950,MATCH(connections!$B988,games!$A$2:$A$950,0)),""))</f>
        <v>2024</v>
      </c>
      <c r="V988">
        <f t="shared" si="195"/>
        <v>7</v>
      </c>
    </row>
    <row r="989" spans="20:22" x14ac:dyDescent="0.25">
      <c r="T989">
        <f>IF(connections!$A989="","",IFERROR(INDEX(games!$B$2:$B$950,MATCH(connections!$A989,games!$A$2:$A$950,0)),""))</f>
        <v>2017</v>
      </c>
      <c r="U989">
        <f>IF(connections!$A989="","",IFERROR(INDEX(games!$B$2:$B$950,MATCH(connections!$B989,games!$A$2:$A$950,0)),""))</f>
        <v>2025</v>
      </c>
      <c r="V989">
        <f t="shared" si="195"/>
        <v>8</v>
      </c>
    </row>
    <row r="990" spans="20:22" x14ac:dyDescent="0.25">
      <c r="T990">
        <f>IF(connections!$A990="","",IFERROR(INDEX(games!$B$2:$B$950,MATCH(connections!$A990,games!$A$2:$A$950,0)),""))</f>
        <v>2017</v>
      </c>
      <c r="U990">
        <f>IF(connections!$A990="","",IFERROR(INDEX(games!$B$2:$B$950,MATCH(connections!$B990,games!$A$2:$A$950,0)),""))</f>
        <v>2025</v>
      </c>
      <c r="V990">
        <f t="shared" si="195"/>
        <v>8</v>
      </c>
    </row>
    <row r="991" spans="20:22" x14ac:dyDescent="0.25">
      <c r="T991">
        <f>IF(connections!$A991="","",IFERROR(INDEX(games!$B$2:$B$950,MATCH(connections!$A991,games!$A$2:$A$950,0)),""))</f>
        <v>2017</v>
      </c>
      <c r="U991">
        <f>IF(connections!$A991="","",IFERROR(INDEX(games!$B$2:$B$950,MATCH(connections!$B991,games!$A$2:$A$950,0)),""))</f>
        <v>2024</v>
      </c>
      <c r="V991">
        <f t="shared" si="195"/>
        <v>7</v>
      </c>
    </row>
    <row r="992" spans="20:22" x14ac:dyDescent="0.25">
      <c r="T992">
        <f>IF(connections!$A992="","",IFERROR(INDEX(games!$B$2:$B$950,MATCH(connections!$A992,games!$A$2:$A$950,0)),""))</f>
        <v>2017</v>
      </c>
      <c r="U992">
        <f>IF(connections!$A992="","",IFERROR(INDEX(games!$B$2:$B$950,MATCH(connections!$B992,games!$A$2:$A$950,0)),""))</f>
        <v>2024</v>
      </c>
      <c r="V992">
        <f t="shared" si="195"/>
        <v>7</v>
      </c>
    </row>
    <row r="993" spans="20:22" x14ac:dyDescent="0.25">
      <c r="T993">
        <f>IF(connections!$A993="","",IFERROR(INDEX(games!$B$2:$B$950,MATCH(connections!$A993,games!$A$2:$A$950,0)),""))</f>
        <v>2017</v>
      </c>
      <c r="U993">
        <f>IF(connections!$A993="","",IFERROR(INDEX(games!$B$2:$B$950,MATCH(connections!$B993,games!$A$2:$A$950,0)),""))</f>
        <v>2025</v>
      </c>
      <c r="V993">
        <f t="shared" si="195"/>
        <v>8</v>
      </c>
    </row>
    <row r="994" spans="20:22" x14ac:dyDescent="0.25">
      <c r="T994">
        <f>IF(connections!$A994="","",IFERROR(INDEX(games!$B$2:$B$950,MATCH(connections!$A994,games!$A$2:$A$950,0)),""))</f>
        <v>2017</v>
      </c>
      <c r="U994">
        <f>IF(connections!$A994="","",IFERROR(INDEX(games!$B$2:$B$950,MATCH(connections!$B994,games!$A$2:$A$950,0)),""))</f>
        <v>2025</v>
      </c>
      <c r="V994">
        <f t="shared" si="195"/>
        <v>8</v>
      </c>
    </row>
    <row r="995" spans="20:22" x14ac:dyDescent="0.25">
      <c r="T995">
        <f>IF(connections!$A995="","",IFERROR(INDEX(games!$B$2:$B$950,MATCH(connections!$A995,games!$A$2:$A$950,0)),""))</f>
        <v>2017</v>
      </c>
      <c r="U995">
        <f>IF(connections!$A995="","",IFERROR(INDEX(games!$B$2:$B$950,MATCH(connections!$B995,games!$A$2:$A$950,0)),""))</f>
        <v>2024</v>
      </c>
      <c r="V995">
        <f t="shared" si="195"/>
        <v>7</v>
      </c>
    </row>
    <row r="996" spans="20:22" x14ac:dyDescent="0.25">
      <c r="T996">
        <f>IF(connections!$A996="","",IFERROR(INDEX(games!$B$2:$B$950,MATCH(connections!$A996,games!$A$2:$A$950,0)),""))</f>
        <v>2017</v>
      </c>
      <c r="U996">
        <f>IF(connections!$A996="","",IFERROR(INDEX(games!$B$2:$B$950,MATCH(connections!$B996,games!$A$2:$A$950,0)),""))</f>
        <v>2025</v>
      </c>
      <c r="V996">
        <f t="shared" si="195"/>
        <v>8</v>
      </c>
    </row>
    <row r="997" spans="20:22" x14ac:dyDescent="0.25">
      <c r="T997">
        <f>IF(connections!$A997="","",IFERROR(INDEX(games!$B$2:$B$950,MATCH(connections!$A997,games!$A$2:$A$950,0)),""))</f>
        <v>2017</v>
      </c>
      <c r="U997">
        <f>IF(connections!$A997="","",IFERROR(INDEX(games!$B$2:$B$950,MATCH(connections!$B997,games!$A$2:$A$950,0)),""))</f>
        <v>2024</v>
      </c>
      <c r="V997">
        <f t="shared" si="195"/>
        <v>7</v>
      </c>
    </row>
    <row r="998" spans="20:22" x14ac:dyDescent="0.25">
      <c r="T998">
        <f>IF(connections!$A998="","",IFERROR(INDEX(games!$B$2:$B$950,MATCH(connections!$A998,games!$A$2:$A$950,0)),""))</f>
        <v>2017</v>
      </c>
      <c r="U998">
        <f>IF(connections!$A998="","",IFERROR(INDEX(games!$B$2:$B$950,MATCH(connections!$B998,games!$A$2:$A$950,0)),""))</f>
        <v>2022</v>
      </c>
      <c r="V998">
        <f t="shared" si="195"/>
        <v>5</v>
      </c>
    </row>
    <row r="999" spans="20:22" x14ac:dyDescent="0.25">
      <c r="T999">
        <f>IF(connections!$A999="","",IFERROR(INDEX(games!$B$2:$B$950,MATCH(connections!$A999,games!$A$2:$A$950,0)),""))</f>
        <v>2017</v>
      </c>
      <c r="U999">
        <f>IF(connections!$A999="","",IFERROR(INDEX(games!$B$2:$B$950,MATCH(connections!$B999,games!$A$2:$A$950,0)),""))</f>
        <v>2024</v>
      </c>
      <c r="V999">
        <f t="shared" si="195"/>
        <v>7</v>
      </c>
    </row>
    <row r="1000" spans="20:22" x14ac:dyDescent="0.25">
      <c r="T1000">
        <f>IF(connections!$A1000="","",IFERROR(INDEX(games!$B$2:$B$950,MATCH(connections!$A1000,games!$A$2:$A$950,0)),""))</f>
        <v>2017</v>
      </c>
      <c r="U1000">
        <f>IF(connections!$A1000="","",IFERROR(INDEX(games!$B$2:$B$950,MATCH(connections!$B1000,games!$A$2:$A$950,0)),""))</f>
        <v>2026</v>
      </c>
      <c r="V1000">
        <f t="shared" si="195"/>
        <v>9</v>
      </c>
    </row>
    <row r="1001" spans="20:22" x14ac:dyDescent="0.25">
      <c r="T1001">
        <f>IF(connections!$A1001="","",IFERROR(INDEX(games!$B$2:$B$950,MATCH(connections!$A1001,games!$A$2:$A$950,0)),""))</f>
        <v>2017</v>
      </c>
      <c r="U1001">
        <f>IF(connections!$A1001="","",IFERROR(INDEX(games!$B$2:$B$950,MATCH(connections!$B1001,games!$A$2:$A$950,0)),""))</f>
        <v>2021</v>
      </c>
      <c r="V1001">
        <f t="shared" si="195"/>
        <v>4</v>
      </c>
    </row>
    <row r="1002" spans="20:22" x14ac:dyDescent="0.25">
      <c r="T1002">
        <f>IF(connections!$A1002="","",IFERROR(INDEX(games!$B$2:$B$950,MATCH(connections!$A1002,games!$A$2:$A$950,0)),""))</f>
        <v>2017</v>
      </c>
      <c r="U1002">
        <f>IF(connections!$A1002="","",IFERROR(INDEX(games!$B$2:$B$950,MATCH(connections!$B1002,games!$A$2:$A$950,0)),""))</f>
        <v>2026</v>
      </c>
      <c r="V1002">
        <f t="shared" si="195"/>
        <v>9</v>
      </c>
    </row>
    <row r="1003" spans="20:22" x14ac:dyDescent="0.25">
      <c r="T1003">
        <f>IF(connections!$A1003="","",IFERROR(INDEX(games!$B$2:$B$950,MATCH(connections!$A1003,games!$A$2:$A$950,0)),""))</f>
        <v>2017</v>
      </c>
      <c r="U1003">
        <f>IF(connections!$A1003="","",IFERROR(INDEX(games!$B$2:$B$950,MATCH(connections!$B1003,games!$A$2:$A$950,0)),""))</f>
        <v>2020</v>
      </c>
      <c r="V1003">
        <f t="shared" si="195"/>
        <v>3</v>
      </c>
    </row>
    <row r="1004" spans="20:22" x14ac:dyDescent="0.25">
      <c r="T1004">
        <f>IF(connections!$A1004="","",IFERROR(INDEX(games!$B$2:$B$950,MATCH(connections!$A1004,games!$A$2:$A$950,0)),""))</f>
        <v>2017</v>
      </c>
      <c r="U1004">
        <f>IF(connections!$A1004="","",IFERROR(INDEX(games!$B$2:$B$950,MATCH(connections!$B1004,games!$A$2:$A$950,0)),""))</f>
        <v>2022</v>
      </c>
      <c r="V1004">
        <f t="shared" si="195"/>
        <v>5</v>
      </c>
    </row>
    <row r="1005" spans="20:22" x14ac:dyDescent="0.25">
      <c r="T1005">
        <f>IF(connections!$A1005="","",IFERROR(INDEX(games!$B$2:$B$950,MATCH(connections!$A1005,games!$A$2:$A$950,0)),""))</f>
        <v>2017</v>
      </c>
      <c r="U1005">
        <f>IF(connections!$A1005="","",IFERROR(INDEX(games!$B$2:$B$950,MATCH(connections!$B1005,games!$A$2:$A$950,0)),""))</f>
        <v>2022</v>
      </c>
      <c r="V1005">
        <f t="shared" si="195"/>
        <v>5</v>
      </c>
    </row>
    <row r="1006" spans="20:22" x14ac:dyDescent="0.25">
      <c r="T1006">
        <f>IF(connections!$A1006="","",IFERROR(INDEX(games!$B$2:$B$950,MATCH(connections!$A1006,games!$A$2:$A$950,0)),""))</f>
        <v>2017</v>
      </c>
      <c r="U1006">
        <f>IF(connections!$A1006="","",IFERROR(INDEX(games!$B$2:$B$950,MATCH(connections!$B1006,games!$A$2:$A$950,0)),""))</f>
        <v>2020</v>
      </c>
      <c r="V1006">
        <f t="shared" si="195"/>
        <v>3</v>
      </c>
    </row>
    <row r="1007" spans="20:22" x14ac:dyDescent="0.25">
      <c r="T1007">
        <f>IF(connections!$A1007="","",IFERROR(INDEX(games!$B$2:$B$950,MATCH(connections!$A1007,games!$A$2:$A$950,0)),""))</f>
        <v>2017</v>
      </c>
      <c r="U1007">
        <f>IF(connections!$A1007="","",IFERROR(INDEX(games!$B$2:$B$950,MATCH(connections!$B1007,games!$A$2:$A$950,0)),""))</f>
        <v>2020</v>
      </c>
      <c r="V1007">
        <f t="shared" si="195"/>
        <v>3</v>
      </c>
    </row>
    <row r="1008" spans="20:22" x14ac:dyDescent="0.25">
      <c r="T1008">
        <f>IF(connections!$A1008="","",IFERROR(INDEX(games!$B$2:$B$950,MATCH(connections!$A1008,games!$A$2:$A$950,0)),""))</f>
        <v>2017</v>
      </c>
      <c r="U1008">
        <f>IF(connections!$A1008="","",IFERROR(INDEX(games!$B$2:$B$950,MATCH(connections!$B1008,games!$A$2:$A$950,0)),""))</f>
        <v>2021</v>
      </c>
      <c r="V1008">
        <f t="shared" si="195"/>
        <v>4</v>
      </c>
    </row>
    <row r="1009" spans="20:22" x14ac:dyDescent="0.25">
      <c r="T1009">
        <f>IF(connections!$A1009="","",IFERROR(INDEX(games!$B$2:$B$950,MATCH(connections!$A1009,games!$A$2:$A$950,0)),""))</f>
        <v>2017</v>
      </c>
      <c r="U1009">
        <f>IF(connections!$A1009="","",IFERROR(INDEX(games!$B$2:$B$950,MATCH(connections!$B1009,games!$A$2:$A$950,0)),""))</f>
        <v>2019</v>
      </c>
      <c r="V1009">
        <f t="shared" si="195"/>
        <v>2</v>
      </c>
    </row>
    <row r="1010" spans="20:22" x14ac:dyDescent="0.25">
      <c r="T1010">
        <f>IF(connections!$A1010="","",IFERROR(INDEX(games!$B$2:$B$950,MATCH(connections!$A1010,games!$A$2:$A$950,0)),""))</f>
        <v>2017</v>
      </c>
      <c r="U1010">
        <f>IF(connections!$A1010="","",IFERROR(INDEX(games!$B$2:$B$950,MATCH(connections!$B1010,games!$A$2:$A$950,0)),""))</f>
        <v>2026</v>
      </c>
      <c r="V1010">
        <f t="shared" si="195"/>
        <v>9</v>
      </c>
    </row>
    <row r="1011" spans="20:22" x14ac:dyDescent="0.25">
      <c r="T1011">
        <f>IF(connections!$A1011="","",IFERROR(INDEX(games!$B$2:$B$950,MATCH(connections!$A1011,games!$A$2:$A$950,0)),""))</f>
        <v>2017</v>
      </c>
      <c r="U1011">
        <f>IF(connections!$A1011="","",IFERROR(INDEX(games!$B$2:$B$950,MATCH(connections!$B1011,games!$A$2:$A$950,0)),""))</f>
        <v>2026</v>
      </c>
      <c r="V1011">
        <f t="shared" si="195"/>
        <v>9</v>
      </c>
    </row>
    <row r="1012" spans="20:22" x14ac:dyDescent="0.25">
      <c r="T1012">
        <f>IF(connections!$A1012="","",IFERROR(INDEX(games!$B$2:$B$950,MATCH(connections!$A1012,games!$A$2:$A$950,0)),""))</f>
        <v>2017</v>
      </c>
      <c r="U1012">
        <f>IF(connections!$A1012="","",IFERROR(INDEX(games!$B$2:$B$950,MATCH(connections!$B1012,games!$A$2:$A$950,0)),""))</f>
        <v>2023</v>
      </c>
      <c r="V1012">
        <f t="shared" si="195"/>
        <v>6</v>
      </c>
    </row>
    <row r="1013" spans="20:22" x14ac:dyDescent="0.25">
      <c r="T1013">
        <f>IF(connections!$A1013="","",IFERROR(INDEX(games!$B$2:$B$950,MATCH(connections!$A1013,games!$A$2:$A$950,0)),""))</f>
        <v>2017</v>
      </c>
      <c r="U1013">
        <f>IF(connections!$A1013="","",IFERROR(INDEX(games!$B$2:$B$950,MATCH(connections!$B1013,games!$A$2:$A$950,0)),""))</f>
        <v>2026</v>
      </c>
      <c r="V1013">
        <f t="shared" si="195"/>
        <v>9</v>
      </c>
    </row>
    <row r="1014" spans="20:22" x14ac:dyDescent="0.25">
      <c r="T1014">
        <f>IF(connections!$A1014="","",IFERROR(INDEX(games!$B$2:$B$950,MATCH(connections!$A1014,games!$A$2:$A$950,0)),""))</f>
        <v>2017</v>
      </c>
      <c r="U1014">
        <f>IF(connections!$A1014="","",IFERROR(INDEX(games!$B$2:$B$950,MATCH(connections!$B1014,games!$A$2:$A$950,0)),""))</f>
        <v>2026</v>
      </c>
      <c r="V1014">
        <f t="shared" si="195"/>
        <v>9</v>
      </c>
    </row>
    <row r="1015" spans="20:22" x14ac:dyDescent="0.25">
      <c r="T1015">
        <f>IF(connections!$A1015="","",IFERROR(INDEX(games!$B$2:$B$950,MATCH(connections!$A1015,games!$A$2:$A$950,0)),""))</f>
        <v>2017</v>
      </c>
      <c r="U1015">
        <f>IF(connections!$A1015="","",IFERROR(INDEX(games!$B$2:$B$950,MATCH(connections!$B1015,games!$A$2:$A$950,0)),""))</f>
        <v>2021</v>
      </c>
      <c r="V1015">
        <f t="shared" si="195"/>
        <v>4</v>
      </c>
    </row>
    <row r="1016" spans="20:22" x14ac:dyDescent="0.25">
      <c r="T1016">
        <f>IF(connections!$A1016="","",IFERROR(INDEX(games!$B$2:$B$950,MATCH(connections!$A1016,games!$A$2:$A$950,0)),""))</f>
        <v>2017</v>
      </c>
      <c r="U1016">
        <f>IF(connections!$A1016="","",IFERROR(INDEX(games!$B$2:$B$950,MATCH(connections!$B1016,games!$A$2:$A$950,0)),""))</f>
        <v>2025</v>
      </c>
      <c r="V1016">
        <f t="shared" si="195"/>
        <v>8</v>
      </c>
    </row>
    <row r="1017" spans="20:22" x14ac:dyDescent="0.25">
      <c r="T1017">
        <f>IF(connections!$A1017="","",IFERROR(INDEX(games!$B$2:$B$950,MATCH(connections!$A1017,games!$A$2:$A$950,0)),""))</f>
        <v>2017</v>
      </c>
      <c r="U1017">
        <f>IF(connections!$A1017="","",IFERROR(INDEX(games!$B$2:$B$950,MATCH(connections!$B1017,games!$A$2:$A$950,0)),""))</f>
        <v>2019</v>
      </c>
      <c r="V1017">
        <f t="shared" si="195"/>
        <v>2</v>
      </c>
    </row>
    <row r="1018" spans="20:22" x14ac:dyDescent="0.25">
      <c r="T1018">
        <f>IF(connections!$A1018="","",IFERROR(INDEX(games!$B$2:$B$950,MATCH(connections!$A1018,games!$A$2:$A$950,0)),""))</f>
        <v>2017</v>
      </c>
      <c r="U1018">
        <f>IF(connections!$A1018="","",IFERROR(INDEX(games!$B$2:$B$950,MATCH(connections!$B1018,games!$A$2:$A$950,0)),""))</f>
        <v>2024</v>
      </c>
      <c r="V1018">
        <f t="shared" si="195"/>
        <v>7</v>
      </c>
    </row>
    <row r="1019" spans="20:22" x14ac:dyDescent="0.25">
      <c r="T1019">
        <f>IF(connections!$A1019="","",IFERROR(INDEX(games!$B$2:$B$950,MATCH(connections!$A1019,games!$A$2:$A$950,0)),""))</f>
        <v>2017</v>
      </c>
      <c r="U1019">
        <f>IF(connections!$A1019="","",IFERROR(INDEX(games!$B$2:$B$950,MATCH(connections!$B1019,games!$A$2:$A$950,0)),""))</f>
        <v>2020</v>
      </c>
      <c r="V1019">
        <f t="shared" si="195"/>
        <v>3</v>
      </c>
    </row>
    <row r="1020" spans="20:22" x14ac:dyDescent="0.25">
      <c r="T1020">
        <f>IF(connections!$A1020="","",IFERROR(INDEX(games!$B$2:$B$950,MATCH(connections!$A1020,games!$A$2:$A$950,0)),""))</f>
        <v>2017</v>
      </c>
      <c r="U1020">
        <f>IF(connections!$A1020="","",IFERROR(INDEX(games!$B$2:$B$950,MATCH(connections!$B1020,games!$A$2:$A$950,0)),""))</f>
        <v>2019</v>
      </c>
      <c r="V1020">
        <f t="shared" si="195"/>
        <v>2</v>
      </c>
    </row>
    <row r="1021" spans="20:22" x14ac:dyDescent="0.25">
      <c r="T1021">
        <f>IF(connections!$A1021="","",IFERROR(INDEX(games!$B$2:$B$950,MATCH(connections!$A1021,games!$A$2:$A$950,0)),""))</f>
        <v>2017</v>
      </c>
      <c r="U1021">
        <f>IF(connections!$A1021="","",IFERROR(INDEX(games!$B$2:$B$950,MATCH(connections!$B1021,games!$A$2:$A$950,0)),""))</f>
        <v>2023</v>
      </c>
      <c r="V1021">
        <f t="shared" si="195"/>
        <v>6</v>
      </c>
    </row>
    <row r="1022" spans="20:22" x14ac:dyDescent="0.25">
      <c r="T1022">
        <f>IF(connections!$A1022="","",IFERROR(INDEX(games!$B$2:$B$950,MATCH(connections!$A1022,games!$A$2:$A$950,0)),""))</f>
        <v>2017</v>
      </c>
      <c r="U1022">
        <f>IF(connections!$A1022="","",IFERROR(INDEX(games!$B$2:$B$950,MATCH(connections!$B1022,games!$A$2:$A$950,0)),""))</f>
        <v>2022</v>
      </c>
      <c r="V1022">
        <f t="shared" si="195"/>
        <v>5</v>
      </c>
    </row>
    <row r="1023" spans="20:22" x14ac:dyDescent="0.25">
      <c r="T1023">
        <f>IF(connections!$A1023="","",IFERROR(INDEX(games!$B$2:$B$950,MATCH(connections!$A1023,games!$A$2:$A$950,0)),""))</f>
        <v>2017</v>
      </c>
      <c r="U1023">
        <f>IF(connections!$A1023="","",IFERROR(INDEX(games!$B$2:$B$950,MATCH(connections!$B1023,games!$A$2:$A$950,0)),""))</f>
        <v>2024</v>
      </c>
      <c r="V1023">
        <f t="shared" si="195"/>
        <v>7</v>
      </c>
    </row>
    <row r="1024" spans="20:22" x14ac:dyDescent="0.25">
      <c r="T1024">
        <f>IF(connections!$A1024="","",IFERROR(INDEX(games!$B$2:$B$950,MATCH(connections!$A1024,games!$A$2:$A$950,0)),""))</f>
        <v>2017</v>
      </c>
      <c r="U1024">
        <f>IF(connections!$A1024="","",IFERROR(INDEX(games!$B$2:$B$950,MATCH(connections!$B1024,games!$A$2:$A$950,0)),""))</f>
        <v>2021</v>
      </c>
      <c r="V1024">
        <f t="shared" si="195"/>
        <v>4</v>
      </c>
    </row>
    <row r="1025" spans="20:22" x14ac:dyDescent="0.25">
      <c r="T1025">
        <f>IF(connections!$A1025="","",IFERROR(INDEX(games!$B$2:$B$950,MATCH(connections!$A1025,games!$A$2:$A$950,0)),""))</f>
        <v>2017</v>
      </c>
      <c r="U1025">
        <f>IF(connections!$A1025="","",IFERROR(INDEX(games!$B$2:$B$950,MATCH(connections!$B1025,games!$A$2:$A$950,0)),""))</f>
        <v>2023</v>
      </c>
      <c r="V1025">
        <f t="shared" si="195"/>
        <v>6</v>
      </c>
    </row>
    <row r="1026" spans="20:22" x14ac:dyDescent="0.25">
      <c r="T1026">
        <f>IF(connections!$A1026="","",IFERROR(INDEX(games!$B$2:$B$950,MATCH(connections!$A1026,games!$A$2:$A$950,0)),""))</f>
        <v>2017</v>
      </c>
      <c r="U1026">
        <f>IF(connections!$A1026="","",IFERROR(INDEX(games!$B$2:$B$950,MATCH(connections!$B1026,games!$A$2:$A$950,0)),""))</f>
        <v>2026</v>
      </c>
      <c r="V1026">
        <f t="shared" ref="V1026:V1089" si="196">IF(OR($T1026="",$U1026=""),"",$U1026-$T1026)</f>
        <v>9</v>
      </c>
    </row>
    <row r="1027" spans="20:22" x14ac:dyDescent="0.25">
      <c r="T1027">
        <f>IF(connections!$A1027="","",IFERROR(INDEX(games!$B$2:$B$950,MATCH(connections!$A1027,games!$A$2:$A$950,0)),""))</f>
        <v>2017</v>
      </c>
      <c r="U1027">
        <f>IF(connections!$A1027="","",IFERROR(INDEX(games!$B$2:$B$950,MATCH(connections!$B1027,games!$A$2:$A$950,0)),""))</f>
        <v>2024</v>
      </c>
      <c r="V1027">
        <f t="shared" si="196"/>
        <v>7</v>
      </c>
    </row>
    <row r="1028" spans="20:22" x14ac:dyDescent="0.25">
      <c r="T1028">
        <f>IF(connections!$A1028="","",IFERROR(INDEX(games!$B$2:$B$950,MATCH(connections!$A1028,games!$A$2:$A$950,0)),""))</f>
        <v>2017</v>
      </c>
      <c r="U1028">
        <f>IF(connections!$A1028="","",IFERROR(INDEX(games!$B$2:$B$950,MATCH(connections!$B1028,games!$A$2:$A$950,0)),""))</f>
        <v>2024</v>
      </c>
      <c r="V1028">
        <f t="shared" si="196"/>
        <v>7</v>
      </c>
    </row>
    <row r="1029" spans="20:22" x14ac:dyDescent="0.25">
      <c r="T1029">
        <f>IF(connections!$A1029="","",IFERROR(INDEX(games!$B$2:$B$950,MATCH(connections!$A1029,games!$A$2:$A$950,0)),""))</f>
        <v>2017</v>
      </c>
      <c r="U1029">
        <f>IF(connections!$A1029="","",IFERROR(INDEX(games!$B$2:$B$950,MATCH(connections!$B1029,games!$A$2:$A$950,0)),""))</f>
        <v>2021</v>
      </c>
      <c r="V1029">
        <f t="shared" si="196"/>
        <v>4</v>
      </c>
    </row>
    <row r="1030" spans="20:22" x14ac:dyDescent="0.25">
      <c r="T1030">
        <f>IF(connections!$A1030="","",IFERROR(INDEX(games!$B$2:$B$950,MATCH(connections!$A1030,games!$A$2:$A$950,0)),""))</f>
        <v>2017</v>
      </c>
      <c r="U1030">
        <f>IF(connections!$A1030="","",IFERROR(INDEX(games!$B$2:$B$950,MATCH(connections!$B1030,games!$A$2:$A$950,0)),""))</f>
        <v>2020</v>
      </c>
      <c r="V1030">
        <f t="shared" si="196"/>
        <v>3</v>
      </c>
    </row>
    <row r="1031" spans="20:22" x14ac:dyDescent="0.25">
      <c r="T1031">
        <f>IF(connections!$A1031="","",IFERROR(INDEX(games!$B$2:$B$950,MATCH(connections!$A1031,games!$A$2:$A$950,0)),""))</f>
        <v>2017</v>
      </c>
      <c r="U1031">
        <f>IF(connections!$A1031="","",IFERROR(INDEX(games!$B$2:$B$950,MATCH(connections!$B1031,games!$A$2:$A$950,0)),""))</f>
        <v>2026</v>
      </c>
      <c r="V1031">
        <f t="shared" si="196"/>
        <v>9</v>
      </c>
    </row>
    <row r="1032" spans="20:22" x14ac:dyDescent="0.25">
      <c r="T1032">
        <f>IF(connections!$A1032="","",IFERROR(INDEX(games!$B$2:$B$950,MATCH(connections!$A1032,games!$A$2:$A$950,0)),""))</f>
        <v>2017</v>
      </c>
      <c r="U1032">
        <f>IF(connections!$A1032="","",IFERROR(INDEX(games!$B$2:$B$950,MATCH(connections!$B1032,games!$A$2:$A$950,0)),""))</f>
        <v>2024</v>
      </c>
      <c r="V1032">
        <f t="shared" si="196"/>
        <v>7</v>
      </c>
    </row>
    <row r="1033" spans="20:22" x14ac:dyDescent="0.25">
      <c r="T1033">
        <f>IF(connections!$A1033="","",IFERROR(INDEX(games!$B$2:$B$950,MATCH(connections!$A1033,games!$A$2:$A$950,0)),""))</f>
        <v>2017</v>
      </c>
      <c r="U1033">
        <f>IF(connections!$A1033="","",IFERROR(INDEX(games!$B$2:$B$950,MATCH(connections!$B1033,games!$A$2:$A$950,0)),""))</f>
        <v>2023</v>
      </c>
      <c r="V1033">
        <f t="shared" si="196"/>
        <v>6</v>
      </c>
    </row>
    <row r="1034" spans="20:22" x14ac:dyDescent="0.25">
      <c r="T1034">
        <f>IF(connections!$A1034="","",IFERROR(INDEX(games!$B$2:$B$950,MATCH(connections!$A1034,games!$A$2:$A$950,0)),""))</f>
        <v>2017</v>
      </c>
      <c r="U1034">
        <f>IF(connections!$A1034="","",IFERROR(INDEX(games!$B$2:$B$950,MATCH(connections!$B1034,games!$A$2:$A$950,0)),""))</f>
        <v>2022</v>
      </c>
      <c r="V1034">
        <f t="shared" si="196"/>
        <v>5</v>
      </c>
    </row>
    <row r="1035" spans="20:22" x14ac:dyDescent="0.25">
      <c r="T1035">
        <f>IF(connections!$A1035="","",IFERROR(INDEX(games!$B$2:$B$950,MATCH(connections!$A1035,games!$A$2:$A$950,0)),""))</f>
        <v>2017</v>
      </c>
      <c r="U1035">
        <f>IF(connections!$A1035="","",IFERROR(INDEX(games!$B$2:$B$950,MATCH(connections!$B1035,games!$A$2:$A$950,0)),""))</f>
        <v>2026</v>
      </c>
      <c r="V1035">
        <f t="shared" si="196"/>
        <v>9</v>
      </c>
    </row>
    <row r="1036" spans="20:22" x14ac:dyDescent="0.25">
      <c r="T1036">
        <f>IF(connections!$A1036="","",IFERROR(INDEX(games!$B$2:$B$950,MATCH(connections!$A1036,games!$A$2:$A$950,0)),""))</f>
        <v>2017</v>
      </c>
      <c r="U1036">
        <f>IF(connections!$A1036="","",IFERROR(INDEX(games!$B$2:$B$950,MATCH(connections!$B1036,games!$A$2:$A$950,0)),""))</f>
        <v>2025</v>
      </c>
      <c r="V1036">
        <f t="shared" si="196"/>
        <v>8</v>
      </c>
    </row>
    <row r="1037" spans="20:22" x14ac:dyDescent="0.25">
      <c r="T1037">
        <f>IF(connections!$A1037="","",IFERROR(INDEX(games!$B$2:$B$950,MATCH(connections!$A1037,games!$A$2:$A$950,0)),""))</f>
        <v>2017</v>
      </c>
      <c r="U1037">
        <f>IF(connections!$A1037="","",IFERROR(INDEX(games!$B$2:$B$950,MATCH(connections!$B1037,games!$A$2:$A$950,0)),""))</f>
        <v>2021</v>
      </c>
      <c r="V1037">
        <f t="shared" si="196"/>
        <v>4</v>
      </c>
    </row>
    <row r="1038" spans="20:22" x14ac:dyDescent="0.25">
      <c r="T1038">
        <f>IF(connections!$A1038="","",IFERROR(INDEX(games!$B$2:$B$950,MATCH(connections!$A1038,games!$A$2:$A$950,0)),""))</f>
        <v>2017</v>
      </c>
      <c r="U1038">
        <f>IF(connections!$A1038="","",IFERROR(INDEX(games!$B$2:$B$950,MATCH(connections!$B1038,games!$A$2:$A$950,0)),""))</f>
        <v>2020</v>
      </c>
      <c r="V1038">
        <f t="shared" si="196"/>
        <v>3</v>
      </c>
    </row>
    <row r="1039" spans="20:22" x14ac:dyDescent="0.25">
      <c r="T1039">
        <f>IF(connections!$A1039="","",IFERROR(INDEX(games!$B$2:$B$950,MATCH(connections!$A1039,games!$A$2:$A$950,0)),""))</f>
        <v>2017</v>
      </c>
      <c r="U1039">
        <f>IF(connections!$A1039="","",IFERROR(INDEX(games!$B$2:$B$950,MATCH(connections!$B1039,games!$A$2:$A$950,0)),""))</f>
        <v>2025</v>
      </c>
      <c r="V1039">
        <f t="shared" si="196"/>
        <v>8</v>
      </c>
    </row>
    <row r="1040" spans="20:22" x14ac:dyDescent="0.25">
      <c r="T1040">
        <f>IF(connections!$A1040="","",IFERROR(INDEX(games!$B$2:$B$950,MATCH(connections!$A1040,games!$A$2:$A$950,0)),""))</f>
        <v>2017</v>
      </c>
      <c r="U1040">
        <f>IF(connections!$A1040="","",IFERROR(INDEX(games!$B$2:$B$950,MATCH(connections!$B1040,games!$A$2:$A$950,0)),""))</f>
        <v>2021</v>
      </c>
      <c r="V1040">
        <f t="shared" si="196"/>
        <v>4</v>
      </c>
    </row>
    <row r="1041" spans="20:22" x14ac:dyDescent="0.25">
      <c r="T1041">
        <f>IF(connections!$A1041="","",IFERROR(INDEX(games!$B$2:$B$950,MATCH(connections!$A1041,games!$A$2:$A$950,0)),""))</f>
        <v>2017</v>
      </c>
      <c r="U1041">
        <f>IF(connections!$A1041="","",IFERROR(INDEX(games!$B$2:$B$950,MATCH(connections!$B1041,games!$A$2:$A$950,0)),""))</f>
        <v>2022</v>
      </c>
      <c r="V1041">
        <f t="shared" si="196"/>
        <v>5</v>
      </c>
    </row>
    <row r="1042" spans="20:22" x14ac:dyDescent="0.25">
      <c r="T1042">
        <f>IF(connections!$A1042="","",IFERROR(INDEX(games!$B$2:$B$950,MATCH(connections!$A1042,games!$A$2:$A$950,0)),""))</f>
        <v>2017</v>
      </c>
      <c r="U1042">
        <f>IF(connections!$A1042="","",IFERROR(INDEX(games!$B$2:$B$950,MATCH(connections!$B1042,games!$A$2:$A$950,0)),""))</f>
        <v>2026</v>
      </c>
      <c r="V1042">
        <f t="shared" si="196"/>
        <v>9</v>
      </c>
    </row>
    <row r="1043" spans="20:22" x14ac:dyDescent="0.25">
      <c r="T1043">
        <f>IF(connections!$A1043="","",IFERROR(INDEX(games!$B$2:$B$950,MATCH(connections!$A1043,games!$A$2:$A$950,0)),""))</f>
        <v>2017</v>
      </c>
      <c r="U1043">
        <f>IF(connections!$A1043="","",IFERROR(INDEX(games!$B$2:$B$950,MATCH(connections!$B1043,games!$A$2:$A$950,0)),""))</f>
        <v>2026</v>
      </c>
      <c r="V1043">
        <f t="shared" si="196"/>
        <v>9</v>
      </c>
    </row>
    <row r="1044" spans="20:22" x14ac:dyDescent="0.25">
      <c r="T1044">
        <f>IF(connections!$A1044="","",IFERROR(INDEX(games!$B$2:$B$950,MATCH(connections!$A1044,games!$A$2:$A$950,0)),""))</f>
        <v>2017</v>
      </c>
      <c r="U1044">
        <f>IF(connections!$A1044="","",IFERROR(INDEX(games!$B$2:$B$950,MATCH(connections!$B1044,games!$A$2:$A$950,0)),""))</f>
        <v>2026</v>
      </c>
      <c r="V1044">
        <f t="shared" si="196"/>
        <v>9</v>
      </c>
    </row>
    <row r="1045" spans="20:22" x14ac:dyDescent="0.25">
      <c r="T1045">
        <f>IF(connections!$A1045="","",IFERROR(INDEX(games!$B$2:$B$950,MATCH(connections!$A1045,games!$A$2:$A$950,0)),""))</f>
        <v>2017</v>
      </c>
      <c r="U1045">
        <f>IF(connections!$A1045="","",IFERROR(INDEX(games!$B$2:$B$950,MATCH(connections!$B1045,games!$A$2:$A$950,0)),""))</f>
        <v>2025</v>
      </c>
      <c r="V1045">
        <f t="shared" si="196"/>
        <v>8</v>
      </c>
    </row>
    <row r="1046" spans="20:22" x14ac:dyDescent="0.25">
      <c r="T1046">
        <f>IF(connections!$A1046="","",IFERROR(INDEX(games!$B$2:$B$950,MATCH(connections!$A1046,games!$A$2:$A$950,0)),""))</f>
        <v>2017</v>
      </c>
      <c r="U1046">
        <f>IF(connections!$A1046="","",IFERROR(INDEX(games!$B$2:$B$950,MATCH(connections!$B1046,games!$A$2:$A$950,0)),""))</f>
        <v>2019</v>
      </c>
      <c r="V1046">
        <f t="shared" si="196"/>
        <v>2</v>
      </c>
    </row>
    <row r="1047" spans="20:22" x14ac:dyDescent="0.25">
      <c r="T1047">
        <f>IF(connections!$A1047="","",IFERROR(INDEX(games!$B$2:$B$950,MATCH(connections!$A1047,games!$A$2:$A$950,0)),""))</f>
        <v>2017</v>
      </c>
      <c r="U1047">
        <f>IF(connections!$A1047="","",IFERROR(INDEX(games!$B$2:$B$950,MATCH(connections!$B1047,games!$A$2:$A$950,0)),""))</f>
        <v>2025</v>
      </c>
      <c r="V1047">
        <f t="shared" si="196"/>
        <v>8</v>
      </c>
    </row>
    <row r="1048" spans="20:22" x14ac:dyDescent="0.25">
      <c r="T1048">
        <f>IF(connections!$A1048="","",IFERROR(INDEX(games!$B$2:$B$950,MATCH(connections!$A1048,games!$A$2:$A$950,0)),""))</f>
        <v>2017</v>
      </c>
      <c r="U1048">
        <f>IF(connections!$A1048="","",IFERROR(INDEX(games!$B$2:$B$950,MATCH(connections!$B1048,games!$A$2:$A$950,0)),""))</f>
        <v>2022</v>
      </c>
      <c r="V1048">
        <f t="shared" si="196"/>
        <v>5</v>
      </c>
    </row>
    <row r="1049" spans="20:22" x14ac:dyDescent="0.25">
      <c r="T1049">
        <f>IF(connections!$A1049="","",IFERROR(INDEX(games!$B$2:$B$950,MATCH(connections!$A1049,games!$A$2:$A$950,0)),""))</f>
        <v>2017</v>
      </c>
      <c r="U1049">
        <f>IF(connections!$A1049="","",IFERROR(INDEX(games!$B$2:$B$950,MATCH(connections!$B1049,games!$A$2:$A$950,0)),""))</f>
        <v>2020</v>
      </c>
      <c r="V1049">
        <f t="shared" si="196"/>
        <v>3</v>
      </c>
    </row>
    <row r="1050" spans="20:22" x14ac:dyDescent="0.25">
      <c r="T1050">
        <f>IF(connections!$A1050="","",IFERROR(INDEX(games!$B$2:$B$950,MATCH(connections!$A1050,games!$A$2:$A$950,0)),""))</f>
        <v>2017</v>
      </c>
      <c r="U1050">
        <f>IF(connections!$A1050="","",IFERROR(INDEX(games!$B$2:$B$950,MATCH(connections!$B1050,games!$A$2:$A$950,0)),""))</f>
        <v>2024</v>
      </c>
      <c r="V1050">
        <f t="shared" si="196"/>
        <v>7</v>
      </c>
    </row>
    <row r="1051" spans="20:22" x14ac:dyDescent="0.25">
      <c r="T1051">
        <f>IF(connections!$A1051="","",IFERROR(INDEX(games!$B$2:$B$950,MATCH(connections!$A1051,games!$A$2:$A$950,0)),""))</f>
        <v>2017</v>
      </c>
      <c r="U1051">
        <f>IF(connections!$A1051="","",IFERROR(INDEX(games!$B$2:$B$950,MATCH(connections!$B1051,games!$A$2:$A$950,0)),""))</f>
        <v>2021</v>
      </c>
      <c r="V1051">
        <f t="shared" si="196"/>
        <v>4</v>
      </c>
    </row>
    <row r="1052" spans="20:22" x14ac:dyDescent="0.25">
      <c r="T1052">
        <f>IF(connections!$A1052="","",IFERROR(INDEX(games!$B$2:$B$950,MATCH(connections!$A1052,games!$A$2:$A$950,0)),""))</f>
        <v>2017</v>
      </c>
      <c r="U1052">
        <f>IF(connections!$A1052="","",IFERROR(INDEX(games!$B$2:$B$950,MATCH(connections!$B1052,games!$A$2:$A$950,0)),""))</f>
        <v>2024</v>
      </c>
      <c r="V1052">
        <f t="shared" si="196"/>
        <v>7</v>
      </c>
    </row>
    <row r="1053" spans="20:22" x14ac:dyDescent="0.25">
      <c r="T1053">
        <f>IF(connections!$A1053="","",IFERROR(INDEX(games!$B$2:$B$950,MATCH(connections!$A1053,games!$A$2:$A$950,0)),""))</f>
        <v>2017</v>
      </c>
      <c r="U1053">
        <f>IF(connections!$A1053="","",IFERROR(INDEX(games!$B$2:$B$950,MATCH(connections!$B1053,games!$A$2:$A$950,0)),""))</f>
        <v>2022</v>
      </c>
      <c r="V1053">
        <f t="shared" si="196"/>
        <v>5</v>
      </c>
    </row>
    <row r="1054" spans="20:22" x14ac:dyDescent="0.25">
      <c r="T1054">
        <f>IF(connections!$A1054="","",IFERROR(INDEX(games!$B$2:$B$950,MATCH(connections!$A1054,games!$A$2:$A$950,0)),""))</f>
        <v>2017</v>
      </c>
      <c r="U1054">
        <f>IF(connections!$A1054="","",IFERROR(INDEX(games!$B$2:$B$950,MATCH(connections!$B1054,games!$A$2:$A$950,0)),""))</f>
        <v>2021</v>
      </c>
      <c r="V1054">
        <f t="shared" si="196"/>
        <v>4</v>
      </c>
    </row>
    <row r="1055" spans="20:22" x14ac:dyDescent="0.25">
      <c r="T1055">
        <f>IF(connections!$A1055="","",IFERROR(INDEX(games!$B$2:$B$950,MATCH(connections!$A1055,games!$A$2:$A$950,0)),""))</f>
        <v>2017</v>
      </c>
      <c r="U1055">
        <f>IF(connections!$A1055="","",IFERROR(INDEX(games!$B$2:$B$950,MATCH(connections!$B1055,games!$A$2:$A$950,0)),""))</f>
        <v>2026</v>
      </c>
      <c r="V1055">
        <f t="shared" si="196"/>
        <v>9</v>
      </c>
    </row>
    <row r="1056" spans="20:22" x14ac:dyDescent="0.25">
      <c r="T1056">
        <f>IF(connections!$A1056="","",IFERROR(INDEX(games!$B$2:$B$950,MATCH(connections!$A1056,games!$A$2:$A$950,0)),""))</f>
        <v>2017</v>
      </c>
      <c r="U1056">
        <f>IF(connections!$A1056="","",IFERROR(INDEX(games!$B$2:$B$950,MATCH(connections!$B1056,games!$A$2:$A$950,0)),""))</f>
        <v>2025</v>
      </c>
      <c r="V1056">
        <f t="shared" si="196"/>
        <v>8</v>
      </c>
    </row>
    <row r="1057" spans="20:22" x14ac:dyDescent="0.25">
      <c r="T1057">
        <f>IF(connections!$A1057="","",IFERROR(INDEX(games!$B$2:$B$950,MATCH(connections!$A1057,games!$A$2:$A$950,0)),""))</f>
        <v>2017</v>
      </c>
      <c r="U1057">
        <f>IF(connections!$A1057="","",IFERROR(INDEX(games!$B$2:$B$950,MATCH(connections!$B1057,games!$A$2:$A$950,0)),""))</f>
        <v>2026</v>
      </c>
      <c r="V1057">
        <f t="shared" si="196"/>
        <v>9</v>
      </c>
    </row>
    <row r="1058" spans="20:22" x14ac:dyDescent="0.25">
      <c r="T1058">
        <f>IF(connections!$A1058="","",IFERROR(INDEX(games!$B$2:$B$950,MATCH(connections!$A1058,games!$A$2:$A$950,0)),""))</f>
        <v>2017</v>
      </c>
      <c r="U1058">
        <f>IF(connections!$A1058="","",IFERROR(INDEX(games!$B$2:$B$950,MATCH(connections!$B1058,games!$A$2:$A$950,0)),""))</f>
        <v>2023</v>
      </c>
      <c r="V1058">
        <f t="shared" si="196"/>
        <v>6</v>
      </c>
    </row>
    <row r="1059" spans="20:22" x14ac:dyDescent="0.25">
      <c r="T1059">
        <f>IF(connections!$A1059="","",IFERROR(INDEX(games!$B$2:$B$950,MATCH(connections!$A1059,games!$A$2:$A$950,0)),""))</f>
        <v>2017</v>
      </c>
      <c r="U1059">
        <f>IF(connections!$A1059="","",IFERROR(INDEX(games!$B$2:$B$950,MATCH(connections!$B1059,games!$A$2:$A$950,0)),""))</f>
        <v>2025</v>
      </c>
      <c r="V1059">
        <f t="shared" si="196"/>
        <v>8</v>
      </c>
    </row>
    <row r="1060" spans="20:22" x14ac:dyDescent="0.25">
      <c r="T1060">
        <f>IF(connections!$A1060="","",IFERROR(INDEX(games!$B$2:$B$950,MATCH(connections!$A1060,games!$A$2:$A$950,0)),""))</f>
        <v>2017</v>
      </c>
      <c r="U1060">
        <f>IF(connections!$A1060="","",IFERROR(INDEX(games!$B$2:$B$950,MATCH(connections!$B1060,games!$A$2:$A$950,0)),""))</f>
        <v>2025</v>
      </c>
      <c r="V1060">
        <f t="shared" si="196"/>
        <v>8</v>
      </c>
    </row>
    <row r="1061" spans="20:22" x14ac:dyDescent="0.25">
      <c r="T1061">
        <f>IF(connections!$A1061="","",IFERROR(INDEX(games!$B$2:$B$950,MATCH(connections!$A1061,games!$A$2:$A$950,0)),""))</f>
        <v>2017</v>
      </c>
      <c r="U1061">
        <f>IF(connections!$A1061="","",IFERROR(INDEX(games!$B$2:$B$950,MATCH(connections!$B1061,games!$A$2:$A$950,0)),""))</f>
        <v>2023</v>
      </c>
      <c r="V1061">
        <f t="shared" si="196"/>
        <v>6</v>
      </c>
    </row>
    <row r="1062" spans="20:22" x14ac:dyDescent="0.25">
      <c r="T1062">
        <f>IF(connections!$A1062="","",IFERROR(INDEX(games!$B$2:$B$950,MATCH(connections!$A1062,games!$A$2:$A$950,0)),""))</f>
        <v>2017</v>
      </c>
      <c r="U1062">
        <f>IF(connections!$A1062="","",IFERROR(INDEX(games!$B$2:$B$950,MATCH(connections!$B1062,games!$A$2:$A$950,0)),""))</f>
        <v>2026</v>
      </c>
      <c r="V1062">
        <f t="shared" si="196"/>
        <v>9</v>
      </c>
    </row>
    <row r="1063" spans="20:22" x14ac:dyDescent="0.25">
      <c r="T1063">
        <f>IF(connections!$A1063="","",IFERROR(INDEX(games!$B$2:$B$950,MATCH(connections!$A1063,games!$A$2:$A$950,0)),""))</f>
        <v>2017</v>
      </c>
      <c r="U1063">
        <f>IF(connections!$A1063="","",IFERROR(INDEX(games!$B$2:$B$950,MATCH(connections!$B1063,games!$A$2:$A$950,0)),""))</f>
        <v>2026</v>
      </c>
      <c r="V1063">
        <f t="shared" si="196"/>
        <v>9</v>
      </c>
    </row>
    <row r="1064" spans="20:22" x14ac:dyDescent="0.25">
      <c r="T1064">
        <f>IF(connections!$A1064="","",IFERROR(INDEX(games!$B$2:$B$950,MATCH(connections!$A1064,games!$A$2:$A$950,0)),""))</f>
        <v>2017</v>
      </c>
      <c r="U1064">
        <f>IF(connections!$A1064="","",IFERROR(INDEX(games!$B$2:$B$950,MATCH(connections!$B1064,games!$A$2:$A$950,0)),""))</f>
        <v>2018</v>
      </c>
      <c r="V1064">
        <f t="shared" si="196"/>
        <v>1</v>
      </c>
    </row>
    <row r="1065" spans="20:22" x14ac:dyDescent="0.25">
      <c r="T1065">
        <f>IF(connections!$A1065="","",IFERROR(INDEX(games!$B$2:$B$950,MATCH(connections!$A1065,games!$A$2:$A$950,0)),""))</f>
        <v>2017</v>
      </c>
      <c r="U1065">
        <f>IF(connections!$A1065="","",IFERROR(INDEX(games!$B$2:$B$950,MATCH(connections!$B1065,games!$A$2:$A$950,0)),""))</f>
        <v>2025</v>
      </c>
      <c r="V1065">
        <f t="shared" si="196"/>
        <v>8</v>
      </c>
    </row>
    <row r="1066" spans="20:22" x14ac:dyDescent="0.25">
      <c r="T1066">
        <f>IF(connections!$A1066="","",IFERROR(INDEX(games!$B$2:$B$950,MATCH(connections!$A1066,games!$A$2:$A$950,0)),""))</f>
        <v>2017</v>
      </c>
      <c r="U1066">
        <f>IF(connections!$A1066="","",IFERROR(INDEX(games!$B$2:$B$950,MATCH(connections!$B1066,games!$A$2:$A$950,0)),""))</f>
        <v>2026</v>
      </c>
      <c r="V1066">
        <f t="shared" si="196"/>
        <v>9</v>
      </c>
    </row>
    <row r="1067" spans="20:22" x14ac:dyDescent="0.25">
      <c r="T1067">
        <f>IF(connections!$A1067="","",IFERROR(INDEX(games!$B$2:$B$950,MATCH(connections!$A1067,games!$A$2:$A$950,0)),""))</f>
        <v>2017</v>
      </c>
      <c r="U1067">
        <f>IF(connections!$A1067="","",IFERROR(INDEX(games!$B$2:$B$950,MATCH(connections!$B1067,games!$A$2:$A$950,0)),""))</f>
        <v>2024</v>
      </c>
      <c r="V1067">
        <f t="shared" si="196"/>
        <v>7</v>
      </c>
    </row>
    <row r="1068" spans="20:22" x14ac:dyDescent="0.25">
      <c r="T1068">
        <f>IF(connections!$A1068="","",IFERROR(INDEX(games!$B$2:$B$950,MATCH(connections!$A1068,games!$A$2:$A$950,0)),""))</f>
        <v>2017</v>
      </c>
      <c r="U1068">
        <f>IF(connections!$A1068="","",IFERROR(INDEX(games!$B$2:$B$950,MATCH(connections!$B1068,games!$A$2:$A$950,0)),""))</f>
        <v>2024</v>
      </c>
      <c r="V1068">
        <f t="shared" si="196"/>
        <v>7</v>
      </c>
    </row>
    <row r="1069" spans="20:22" x14ac:dyDescent="0.25">
      <c r="T1069">
        <f>IF(connections!$A1069="","",IFERROR(INDEX(games!$B$2:$B$950,MATCH(connections!$A1069,games!$A$2:$A$950,0)),""))</f>
        <v>2017</v>
      </c>
      <c r="U1069">
        <f>IF(connections!$A1069="","",IFERROR(INDEX(games!$B$2:$B$950,MATCH(connections!$B1069,games!$A$2:$A$950,0)),""))</f>
        <v>2023</v>
      </c>
      <c r="V1069">
        <f t="shared" si="196"/>
        <v>6</v>
      </c>
    </row>
    <row r="1070" spans="20:22" x14ac:dyDescent="0.25">
      <c r="T1070">
        <f>IF(connections!$A1070="","",IFERROR(INDEX(games!$B$2:$B$950,MATCH(connections!$A1070,games!$A$2:$A$950,0)),""))</f>
        <v>2017</v>
      </c>
      <c r="U1070">
        <f>IF(connections!$A1070="","",IFERROR(INDEX(games!$B$2:$B$950,MATCH(connections!$B1070,games!$A$2:$A$950,0)),""))</f>
        <v>2020</v>
      </c>
      <c r="V1070">
        <f t="shared" si="196"/>
        <v>3</v>
      </c>
    </row>
    <row r="1071" spans="20:22" x14ac:dyDescent="0.25">
      <c r="T1071">
        <f>IF(connections!$A1071="","",IFERROR(INDEX(games!$B$2:$B$950,MATCH(connections!$A1071,games!$A$2:$A$950,0)),""))</f>
        <v>2017</v>
      </c>
      <c r="U1071">
        <f>IF(connections!$A1071="","",IFERROR(INDEX(games!$B$2:$B$950,MATCH(connections!$B1071,games!$A$2:$A$950,0)),""))</f>
        <v>2025</v>
      </c>
      <c r="V1071">
        <f t="shared" si="196"/>
        <v>8</v>
      </c>
    </row>
    <row r="1072" spans="20:22" x14ac:dyDescent="0.25">
      <c r="T1072">
        <f>IF(connections!$A1072="","",IFERROR(INDEX(games!$B$2:$B$950,MATCH(connections!$A1072,games!$A$2:$A$950,0)),""))</f>
        <v>2017</v>
      </c>
      <c r="U1072">
        <f>IF(connections!$A1072="","",IFERROR(INDEX(games!$B$2:$B$950,MATCH(connections!$B1072,games!$A$2:$A$950,0)),""))</f>
        <v>2022</v>
      </c>
      <c r="V1072">
        <f t="shared" si="196"/>
        <v>5</v>
      </c>
    </row>
    <row r="1073" spans="20:22" x14ac:dyDescent="0.25">
      <c r="T1073">
        <f>IF(connections!$A1073="","",IFERROR(INDEX(games!$B$2:$B$950,MATCH(connections!$A1073,games!$A$2:$A$950,0)),""))</f>
        <v>2017</v>
      </c>
      <c r="U1073">
        <f>IF(connections!$A1073="","",IFERROR(INDEX(games!$B$2:$B$950,MATCH(connections!$B1073,games!$A$2:$A$950,0)),""))</f>
        <v>2026</v>
      </c>
      <c r="V1073">
        <f t="shared" si="196"/>
        <v>9</v>
      </c>
    </row>
    <row r="1074" spans="20:22" x14ac:dyDescent="0.25">
      <c r="T1074">
        <f>IF(connections!$A1074="","",IFERROR(INDEX(games!$B$2:$B$950,MATCH(connections!$A1074,games!$A$2:$A$950,0)),""))</f>
        <v>2017</v>
      </c>
      <c r="U1074">
        <f>IF(connections!$A1074="","",IFERROR(INDEX(games!$B$2:$B$950,MATCH(connections!$B1074,games!$A$2:$A$950,0)),""))</f>
        <v>2020</v>
      </c>
      <c r="V1074">
        <f t="shared" si="196"/>
        <v>3</v>
      </c>
    </row>
    <row r="1075" spans="20:22" x14ac:dyDescent="0.25">
      <c r="T1075">
        <f>IF(connections!$A1075="","",IFERROR(INDEX(games!$B$2:$B$950,MATCH(connections!$A1075,games!$A$2:$A$950,0)),""))</f>
        <v>2017</v>
      </c>
      <c r="U1075">
        <f>IF(connections!$A1075="","",IFERROR(INDEX(games!$B$2:$B$950,MATCH(connections!$B1075,games!$A$2:$A$950,0)),""))</f>
        <v>2026</v>
      </c>
      <c r="V1075">
        <f t="shared" si="196"/>
        <v>9</v>
      </c>
    </row>
    <row r="1076" spans="20:22" x14ac:dyDescent="0.25">
      <c r="T1076">
        <f>IF(connections!$A1076="","",IFERROR(INDEX(games!$B$2:$B$950,MATCH(connections!$A1076,games!$A$2:$A$950,0)),""))</f>
        <v>2017</v>
      </c>
      <c r="U1076">
        <f>IF(connections!$A1076="","",IFERROR(INDEX(games!$B$2:$B$950,MATCH(connections!$B1076,games!$A$2:$A$950,0)),""))</f>
        <v>2023</v>
      </c>
      <c r="V1076">
        <f t="shared" si="196"/>
        <v>6</v>
      </c>
    </row>
    <row r="1077" spans="20:22" x14ac:dyDescent="0.25">
      <c r="T1077">
        <f>IF(connections!$A1077="","",IFERROR(INDEX(games!$B$2:$B$950,MATCH(connections!$A1077,games!$A$2:$A$950,0)),""))</f>
        <v>2017</v>
      </c>
      <c r="U1077">
        <f>IF(connections!$A1077="","",IFERROR(INDEX(games!$B$2:$B$950,MATCH(connections!$B1077,games!$A$2:$A$950,0)),""))</f>
        <v>2024</v>
      </c>
      <c r="V1077">
        <f t="shared" si="196"/>
        <v>7</v>
      </c>
    </row>
    <row r="1078" spans="20:22" x14ac:dyDescent="0.25">
      <c r="T1078">
        <f>IF(connections!$A1078="","",IFERROR(INDEX(games!$B$2:$B$950,MATCH(connections!$A1078,games!$A$2:$A$950,0)),""))</f>
        <v>2017</v>
      </c>
      <c r="U1078">
        <f>IF(connections!$A1078="","",IFERROR(INDEX(games!$B$2:$B$950,MATCH(connections!$B1078,games!$A$2:$A$950,0)),""))</f>
        <v>2021</v>
      </c>
      <c r="V1078">
        <f t="shared" si="196"/>
        <v>4</v>
      </c>
    </row>
    <row r="1079" spans="20:22" x14ac:dyDescent="0.25">
      <c r="T1079">
        <f>IF(connections!$A1079="","",IFERROR(INDEX(games!$B$2:$B$950,MATCH(connections!$A1079,games!$A$2:$A$950,0)),""))</f>
        <v>2017</v>
      </c>
      <c r="U1079">
        <f>IF(connections!$A1079="","",IFERROR(INDEX(games!$B$2:$B$950,MATCH(connections!$B1079,games!$A$2:$A$950,0)),""))</f>
        <v>2023</v>
      </c>
      <c r="V1079">
        <f t="shared" si="196"/>
        <v>6</v>
      </c>
    </row>
    <row r="1080" spans="20:22" x14ac:dyDescent="0.25">
      <c r="T1080">
        <f>IF(connections!$A1080="","",IFERROR(INDEX(games!$B$2:$B$950,MATCH(connections!$A1080,games!$A$2:$A$950,0)),""))</f>
        <v>2017</v>
      </c>
      <c r="U1080">
        <f>IF(connections!$A1080="","",IFERROR(INDEX(games!$B$2:$B$950,MATCH(connections!$B1080,games!$A$2:$A$950,0)),""))</f>
        <v>2025</v>
      </c>
      <c r="V1080">
        <f t="shared" si="196"/>
        <v>8</v>
      </c>
    </row>
    <row r="1081" spans="20:22" x14ac:dyDescent="0.25">
      <c r="T1081">
        <f>IF(connections!$A1081="","",IFERROR(INDEX(games!$B$2:$B$950,MATCH(connections!$A1081,games!$A$2:$A$950,0)),""))</f>
        <v>2017</v>
      </c>
      <c r="U1081">
        <f>IF(connections!$A1081="","",IFERROR(INDEX(games!$B$2:$B$950,MATCH(connections!$B1081,games!$A$2:$A$950,0)),""))</f>
        <v>2026</v>
      </c>
      <c r="V1081">
        <f t="shared" si="196"/>
        <v>9</v>
      </c>
    </row>
    <row r="1082" spans="20:22" x14ac:dyDescent="0.25">
      <c r="T1082">
        <f>IF(connections!$A1082="","",IFERROR(INDEX(games!$B$2:$B$950,MATCH(connections!$A1082,games!$A$2:$A$950,0)),""))</f>
        <v>2017</v>
      </c>
      <c r="U1082">
        <f>IF(connections!$A1082="","",IFERROR(INDEX(games!$B$2:$B$950,MATCH(connections!$B1082,games!$A$2:$A$950,0)),""))</f>
        <v>2025</v>
      </c>
      <c r="V1082">
        <f t="shared" si="196"/>
        <v>8</v>
      </c>
    </row>
    <row r="1083" spans="20:22" x14ac:dyDescent="0.25">
      <c r="T1083">
        <f>IF(connections!$A1083="","",IFERROR(INDEX(games!$B$2:$B$950,MATCH(connections!$A1083,games!$A$2:$A$950,0)),""))</f>
        <v>2017</v>
      </c>
      <c r="U1083">
        <f>IF(connections!$A1083="","",IFERROR(INDEX(games!$B$2:$B$950,MATCH(connections!$B1083,games!$A$2:$A$950,0)),""))</f>
        <v>2026</v>
      </c>
      <c r="V1083">
        <f t="shared" si="196"/>
        <v>9</v>
      </c>
    </row>
    <row r="1084" spans="20:22" x14ac:dyDescent="0.25">
      <c r="T1084">
        <f>IF(connections!$A1084="","",IFERROR(INDEX(games!$B$2:$B$950,MATCH(connections!$A1084,games!$A$2:$A$950,0)),""))</f>
        <v>2017</v>
      </c>
      <c r="U1084">
        <f>IF(connections!$A1084="","",IFERROR(INDEX(games!$B$2:$B$950,MATCH(connections!$B1084,games!$A$2:$A$950,0)),""))</f>
        <v>2022</v>
      </c>
      <c r="V1084">
        <f t="shared" si="196"/>
        <v>5</v>
      </c>
    </row>
    <row r="1085" spans="20:22" x14ac:dyDescent="0.25">
      <c r="T1085">
        <f>IF(connections!$A1085="","",IFERROR(INDEX(games!$B$2:$B$950,MATCH(connections!$A1085,games!$A$2:$A$950,0)),""))</f>
        <v>2017</v>
      </c>
      <c r="U1085">
        <f>IF(connections!$A1085="","",IFERROR(INDEX(games!$B$2:$B$950,MATCH(connections!$B1085,games!$A$2:$A$950,0)),""))</f>
        <v>2023</v>
      </c>
      <c r="V1085">
        <f t="shared" si="196"/>
        <v>6</v>
      </c>
    </row>
    <row r="1086" spans="20:22" x14ac:dyDescent="0.25">
      <c r="T1086">
        <f>IF(connections!$A1086="","",IFERROR(INDEX(games!$B$2:$B$950,MATCH(connections!$A1086,games!$A$2:$A$950,0)),""))</f>
        <v>2017</v>
      </c>
      <c r="U1086">
        <f>IF(connections!$A1086="","",IFERROR(INDEX(games!$B$2:$B$950,MATCH(connections!$B1086,games!$A$2:$A$950,0)),""))</f>
        <v>2021</v>
      </c>
      <c r="V1086">
        <f t="shared" si="196"/>
        <v>4</v>
      </c>
    </row>
    <row r="1087" spans="20:22" x14ac:dyDescent="0.25">
      <c r="T1087">
        <f>IF(connections!$A1087="","",IFERROR(INDEX(games!$B$2:$B$950,MATCH(connections!$A1087,games!$A$2:$A$950,0)),""))</f>
        <v>2017</v>
      </c>
      <c r="U1087">
        <f>IF(connections!$A1087="","",IFERROR(INDEX(games!$B$2:$B$950,MATCH(connections!$B1087,games!$A$2:$A$950,0)),""))</f>
        <v>2019</v>
      </c>
      <c r="V1087">
        <f t="shared" si="196"/>
        <v>2</v>
      </c>
    </row>
    <row r="1088" spans="20:22" x14ac:dyDescent="0.25">
      <c r="T1088">
        <f>IF(connections!$A1088="","",IFERROR(INDEX(games!$B$2:$B$950,MATCH(connections!$A1088,games!$A$2:$A$950,0)),""))</f>
        <v>2017</v>
      </c>
      <c r="U1088">
        <f>IF(connections!$A1088="","",IFERROR(INDEX(games!$B$2:$B$950,MATCH(connections!$B1088,games!$A$2:$A$950,0)),""))</f>
        <v>2020</v>
      </c>
      <c r="V1088">
        <f t="shared" si="196"/>
        <v>3</v>
      </c>
    </row>
    <row r="1089" spans="20:22" x14ac:dyDescent="0.25">
      <c r="T1089">
        <f>IF(connections!$A1089="","",IFERROR(INDEX(games!$B$2:$B$950,MATCH(connections!$A1089,games!$A$2:$A$950,0)),""))</f>
        <v>2017</v>
      </c>
      <c r="U1089">
        <f>IF(connections!$A1089="","",IFERROR(INDEX(games!$B$2:$B$950,MATCH(connections!$B1089,games!$A$2:$A$950,0)),""))</f>
        <v>2021</v>
      </c>
      <c r="V1089">
        <f t="shared" si="196"/>
        <v>4</v>
      </c>
    </row>
    <row r="1090" spans="20:22" x14ac:dyDescent="0.25">
      <c r="T1090">
        <f>IF(connections!$A1090="","",IFERROR(INDEX(games!$B$2:$B$950,MATCH(connections!$A1090,games!$A$2:$A$950,0)),""))</f>
        <v>2017</v>
      </c>
      <c r="U1090">
        <f>IF(connections!$A1090="","",IFERROR(INDEX(games!$B$2:$B$950,MATCH(connections!$B1090,games!$A$2:$A$950,0)),""))</f>
        <v>2026</v>
      </c>
      <c r="V1090">
        <f t="shared" ref="V1090:V1153" si="197">IF(OR($T1090="",$U1090=""),"",$U1090-$T1090)</f>
        <v>9</v>
      </c>
    </row>
    <row r="1091" spans="20:22" x14ac:dyDescent="0.25">
      <c r="T1091">
        <f>IF(connections!$A1091="","",IFERROR(INDEX(games!$B$2:$B$950,MATCH(connections!$A1091,games!$A$2:$A$950,0)),""))</f>
        <v>2017</v>
      </c>
      <c r="U1091">
        <f>IF(connections!$A1091="","",IFERROR(INDEX(games!$B$2:$B$950,MATCH(connections!$B1091,games!$A$2:$A$950,0)),""))</f>
        <v>2025</v>
      </c>
      <c r="V1091">
        <f t="shared" si="197"/>
        <v>8</v>
      </c>
    </row>
    <row r="1092" spans="20:22" x14ac:dyDescent="0.25">
      <c r="T1092">
        <f>IF(connections!$A1092="","",IFERROR(INDEX(games!$B$2:$B$950,MATCH(connections!$A1092,games!$A$2:$A$950,0)),""))</f>
        <v>2017</v>
      </c>
      <c r="U1092">
        <f>IF(connections!$A1092="","",IFERROR(INDEX(games!$B$2:$B$950,MATCH(connections!$B1092,games!$A$2:$A$950,0)),""))</f>
        <v>2023</v>
      </c>
      <c r="V1092">
        <f t="shared" si="197"/>
        <v>6</v>
      </c>
    </row>
    <row r="1093" spans="20:22" x14ac:dyDescent="0.25">
      <c r="T1093">
        <f>IF(connections!$A1093="","",IFERROR(INDEX(games!$B$2:$B$950,MATCH(connections!$A1093,games!$A$2:$A$950,0)),""))</f>
        <v>2017</v>
      </c>
      <c r="U1093">
        <f>IF(connections!$A1093="","",IFERROR(INDEX(games!$B$2:$B$950,MATCH(connections!$B1093,games!$A$2:$A$950,0)),""))</f>
        <v>2026</v>
      </c>
      <c r="V1093">
        <f t="shared" si="197"/>
        <v>9</v>
      </c>
    </row>
    <row r="1094" spans="20:22" x14ac:dyDescent="0.25">
      <c r="T1094">
        <f>IF(connections!$A1094="","",IFERROR(INDEX(games!$B$2:$B$950,MATCH(connections!$A1094,games!$A$2:$A$950,0)),""))</f>
        <v>2017</v>
      </c>
      <c r="U1094">
        <f>IF(connections!$A1094="","",IFERROR(INDEX(games!$B$2:$B$950,MATCH(connections!$B1094,games!$A$2:$A$950,0)),""))</f>
        <v>2026</v>
      </c>
      <c r="V1094">
        <f t="shared" si="197"/>
        <v>9</v>
      </c>
    </row>
    <row r="1095" spans="20:22" x14ac:dyDescent="0.25">
      <c r="T1095">
        <f>IF(connections!$A1095="","",IFERROR(INDEX(games!$B$2:$B$950,MATCH(connections!$A1095,games!$A$2:$A$950,0)),""))</f>
        <v>2017</v>
      </c>
      <c r="U1095">
        <f>IF(connections!$A1095="","",IFERROR(INDEX(games!$B$2:$B$950,MATCH(connections!$B1095,games!$A$2:$A$950,0)),""))</f>
        <v>2022</v>
      </c>
      <c r="V1095">
        <f t="shared" si="197"/>
        <v>5</v>
      </c>
    </row>
    <row r="1096" spans="20:22" x14ac:dyDescent="0.25">
      <c r="T1096">
        <f>IF(connections!$A1096="","",IFERROR(INDEX(games!$B$2:$B$950,MATCH(connections!$A1096,games!$A$2:$A$950,0)),""))</f>
        <v>2017</v>
      </c>
      <c r="U1096">
        <f>IF(connections!$A1096="","",IFERROR(INDEX(games!$B$2:$B$950,MATCH(connections!$B1096,games!$A$2:$A$950,0)),""))</f>
        <v>2024</v>
      </c>
      <c r="V1096">
        <f t="shared" si="197"/>
        <v>7</v>
      </c>
    </row>
    <row r="1097" spans="20:22" x14ac:dyDescent="0.25">
      <c r="T1097">
        <f>IF(connections!$A1097="","",IFERROR(INDEX(games!$B$2:$B$950,MATCH(connections!$A1097,games!$A$2:$A$950,0)),""))</f>
        <v>2017</v>
      </c>
      <c r="U1097">
        <f>IF(connections!$A1097="","",IFERROR(INDEX(games!$B$2:$B$950,MATCH(connections!$B1097,games!$A$2:$A$950,0)),""))</f>
        <v>2024</v>
      </c>
      <c r="V1097">
        <f t="shared" si="197"/>
        <v>7</v>
      </c>
    </row>
    <row r="1098" spans="20:22" x14ac:dyDescent="0.25">
      <c r="T1098">
        <f>IF(connections!$A1098="","",IFERROR(INDEX(games!$B$2:$B$950,MATCH(connections!$A1098,games!$A$2:$A$950,0)),""))</f>
        <v>2017</v>
      </c>
      <c r="U1098">
        <f>IF(connections!$A1098="","",IFERROR(INDEX(games!$B$2:$B$950,MATCH(connections!$B1098,games!$A$2:$A$950,0)),""))</f>
        <v>2023</v>
      </c>
      <c r="V1098">
        <f t="shared" si="197"/>
        <v>6</v>
      </c>
    </row>
    <row r="1099" spans="20:22" x14ac:dyDescent="0.25">
      <c r="T1099">
        <f>IF(connections!$A1099="","",IFERROR(INDEX(games!$B$2:$B$950,MATCH(connections!$A1099,games!$A$2:$A$950,0)),""))</f>
        <v>2018</v>
      </c>
      <c r="U1099">
        <f>IF(connections!$A1099="","",IFERROR(INDEX(games!$B$2:$B$950,MATCH(connections!$B1099,games!$A$2:$A$950,0)),""))</f>
        <v>2025</v>
      </c>
      <c r="V1099">
        <f t="shared" si="197"/>
        <v>7</v>
      </c>
    </row>
    <row r="1100" spans="20:22" x14ac:dyDescent="0.25">
      <c r="T1100">
        <f>IF(connections!$A1100="","",IFERROR(INDEX(games!$B$2:$B$950,MATCH(connections!$A1100,games!$A$2:$A$950,0)),""))</f>
        <v>2018</v>
      </c>
      <c r="U1100">
        <f>IF(connections!$A1100="","",IFERROR(INDEX(games!$B$2:$B$950,MATCH(connections!$B1100,games!$A$2:$A$950,0)),""))</f>
        <v>2024</v>
      </c>
      <c r="V1100">
        <f t="shared" si="197"/>
        <v>6</v>
      </c>
    </row>
    <row r="1101" spans="20:22" x14ac:dyDescent="0.25">
      <c r="T1101">
        <f>IF(connections!$A1101="","",IFERROR(INDEX(games!$B$2:$B$950,MATCH(connections!$A1101,games!$A$2:$A$950,0)),""))</f>
        <v>2018</v>
      </c>
      <c r="U1101">
        <f>IF(connections!$A1101="","",IFERROR(INDEX(games!$B$2:$B$950,MATCH(connections!$B1101,games!$A$2:$A$950,0)),""))</f>
        <v>2026</v>
      </c>
      <c r="V1101">
        <f t="shared" si="197"/>
        <v>8</v>
      </c>
    </row>
    <row r="1102" spans="20:22" x14ac:dyDescent="0.25">
      <c r="T1102">
        <f>IF(connections!$A1102="","",IFERROR(INDEX(games!$B$2:$B$950,MATCH(connections!$A1102,games!$A$2:$A$950,0)),""))</f>
        <v>2023</v>
      </c>
      <c r="U1102">
        <f>IF(connections!$A1102="","",IFERROR(INDEX(games!$B$2:$B$950,MATCH(connections!$B1102,games!$A$2:$A$950,0)),""))</f>
        <v>2026</v>
      </c>
      <c r="V1102">
        <f t="shared" si="197"/>
        <v>3</v>
      </c>
    </row>
    <row r="1103" spans="20:22" x14ac:dyDescent="0.25">
      <c r="T1103">
        <f>IF(connections!$A1103="","",IFERROR(INDEX(games!$B$2:$B$950,MATCH(connections!$A1103,games!$A$2:$A$950,0)),""))</f>
        <v>2023</v>
      </c>
      <c r="U1103">
        <f>IF(connections!$A1103="","",IFERROR(INDEX(games!$B$2:$B$950,MATCH(connections!$B1103,games!$A$2:$A$950,0)),""))</f>
        <v>2024</v>
      </c>
      <c r="V1103">
        <f t="shared" si="197"/>
        <v>1</v>
      </c>
    </row>
    <row r="1104" spans="20:22" x14ac:dyDescent="0.25">
      <c r="T1104">
        <f>IF(connections!$A1104="","",IFERROR(INDEX(games!$B$2:$B$950,MATCH(connections!$A1104,games!$A$2:$A$950,0)),""))</f>
        <v>2021</v>
      </c>
      <c r="U1104">
        <f>IF(connections!$A1104="","",IFERROR(INDEX(games!$B$2:$B$950,MATCH(connections!$B1104,games!$A$2:$A$950,0)),""))</f>
        <v>2023</v>
      </c>
      <c r="V1104">
        <f t="shared" si="197"/>
        <v>2</v>
      </c>
    </row>
    <row r="1105" spans="20:22" x14ac:dyDescent="0.25">
      <c r="T1105">
        <f>IF(connections!$A1105="","",IFERROR(INDEX(games!$B$2:$B$950,MATCH(connections!$A1105,games!$A$2:$A$950,0)),""))</f>
        <v>2021</v>
      </c>
      <c r="U1105">
        <f>IF(connections!$A1105="","",IFERROR(INDEX(games!$B$2:$B$950,MATCH(connections!$B1105,games!$A$2:$A$950,0)),""))</f>
        <v>2022</v>
      </c>
      <c r="V1105">
        <f t="shared" si="197"/>
        <v>1</v>
      </c>
    </row>
    <row r="1106" spans="20:22" x14ac:dyDescent="0.25">
      <c r="T1106">
        <f>IF(connections!$A1106="","",IFERROR(INDEX(games!$B$2:$B$950,MATCH(connections!$A1106,games!$A$2:$A$950,0)),""))</f>
        <v>2021</v>
      </c>
      <c r="U1106">
        <f>IF(connections!$A1106="","",IFERROR(INDEX(games!$B$2:$B$950,MATCH(connections!$B1106,games!$A$2:$A$950,0)),""))</f>
        <v>2023</v>
      </c>
      <c r="V1106">
        <f t="shared" si="197"/>
        <v>2</v>
      </c>
    </row>
    <row r="1107" spans="20:22" x14ac:dyDescent="0.25">
      <c r="T1107">
        <f>IF(connections!$A1107="","",IFERROR(INDEX(games!$B$2:$B$950,MATCH(connections!$A1107,games!$A$2:$A$950,0)),""))</f>
        <v>2021</v>
      </c>
      <c r="U1107">
        <f>IF(connections!$A1107="","",IFERROR(INDEX(games!$B$2:$B$950,MATCH(connections!$B1107,games!$A$2:$A$950,0)),""))</f>
        <v>2023</v>
      </c>
      <c r="V1107">
        <f t="shared" si="197"/>
        <v>2</v>
      </c>
    </row>
    <row r="1108" spans="20:22" x14ac:dyDescent="0.25">
      <c r="T1108">
        <f>IF(connections!$A1108="","",IFERROR(INDEX(games!$B$2:$B$950,MATCH(connections!$A1108,games!$A$2:$A$950,0)),""))</f>
        <v>2021</v>
      </c>
      <c r="U1108">
        <f>IF(connections!$A1108="","",IFERROR(INDEX(games!$B$2:$B$950,MATCH(connections!$B1108,games!$A$2:$A$950,0)),""))</f>
        <v>2026</v>
      </c>
      <c r="V1108">
        <f t="shared" si="197"/>
        <v>5</v>
      </c>
    </row>
    <row r="1109" spans="20:22" x14ac:dyDescent="0.25">
      <c r="T1109">
        <f>IF(connections!$A1109="","",IFERROR(INDEX(games!$B$2:$B$950,MATCH(connections!$A1109,games!$A$2:$A$950,0)),""))</f>
        <v>2021</v>
      </c>
      <c r="U1109">
        <f>IF(connections!$A1109="","",IFERROR(INDEX(games!$B$2:$B$950,MATCH(connections!$B1109,games!$A$2:$A$950,0)),""))</f>
        <v>2026</v>
      </c>
      <c r="V1109">
        <f t="shared" si="197"/>
        <v>5</v>
      </c>
    </row>
    <row r="1110" spans="20:22" x14ac:dyDescent="0.25">
      <c r="T1110">
        <f>IF(connections!$A1110="","",IFERROR(INDEX(games!$B$2:$B$950,MATCH(connections!$A1110,games!$A$2:$A$950,0)),""))</f>
        <v>2021</v>
      </c>
      <c r="U1110">
        <f>IF(connections!$A1110="","",IFERROR(INDEX(games!$B$2:$B$950,MATCH(connections!$B1110,games!$A$2:$A$950,0)),""))</f>
        <v>2025</v>
      </c>
      <c r="V1110">
        <f t="shared" si="197"/>
        <v>4</v>
      </c>
    </row>
    <row r="1111" spans="20:22" x14ac:dyDescent="0.25">
      <c r="T1111">
        <f>IF(connections!$A1111="","",IFERROR(INDEX(games!$B$2:$B$950,MATCH(connections!$A1111,games!$A$2:$A$950,0)),""))</f>
        <v>2022</v>
      </c>
      <c r="U1111">
        <f>IF(connections!$A1111="","",IFERROR(INDEX(games!$B$2:$B$950,MATCH(connections!$B1111,games!$A$2:$A$950,0)),""))</f>
        <v>2023</v>
      </c>
      <c r="V1111">
        <f t="shared" si="197"/>
        <v>1</v>
      </c>
    </row>
    <row r="1112" spans="20:22" x14ac:dyDescent="0.25">
      <c r="T1112">
        <f>IF(connections!$A1112="","",IFERROR(INDEX(games!$B$2:$B$950,MATCH(connections!$A1112,games!$A$2:$A$950,0)),""))</f>
        <v>2022</v>
      </c>
      <c r="U1112">
        <f>IF(connections!$A1112="","",IFERROR(INDEX(games!$B$2:$B$950,MATCH(connections!$B1112,games!$A$2:$A$950,0)),""))</f>
        <v>2023</v>
      </c>
      <c r="V1112">
        <f t="shared" si="197"/>
        <v>1</v>
      </c>
    </row>
    <row r="1113" spans="20:22" x14ac:dyDescent="0.25">
      <c r="T1113">
        <f>IF(connections!$A1113="","",IFERROR(INDEX(games!$B$2:$B$950,MATCH(connections!$A1113,games!$A$2:$A$950,0)),""))</f>
        <v>2022</v>
      </c>
      <c r="U1113">
        <f>IF(connections!$A1113="","",IFERROR(INDEX(games!$B$2:$B$950,MATCH(connections!$B1113,games!$A$2:$A$950,0)),""))</f>
        <v>2023</v>
      </c>
      <c r="V1113">
        <f t="shared" si="197"/>
        <v>1</v>
      </c>
    </row>
    <row r="1114" spans="20:22" x14ac:dyDescent="0.25">
      <c r="T1114">
        <f>IF(connections!$A1114="","",IFERROR(INDEX(games!$B$2:$B$950,MATCH(connections!$A1114,games!$A$2:$A$950,0)),""))</f>
        <v>2022</v>
      </c>
      <c r="U1114">
        <f>IF(connections!$A1114="","",IFERROR(INDEX(games!$B$2:$B$950,MATCH(connections!$B1114,games!$A$2:$A$950,0)),""))</f>
        <v>2023</v>
      </c>
      <c r="V1114">
        <f t="shared" si="197"/>
        <v>1</v>
      </c>
    </row>
    <row r="1115" spans="20:22" x14ac:dyDescent="0.25">
      <c r="T1115">
        <f>IF(connections!$A1115="","",IFERROR(INDEX(games!$B$2:$B$950,MATCH(connections!$A1115,games!$A$2:$A$950,0)),""))</f>
        <v>2019</v>
      </c>
      <c r="U1115">
        <f>IF(connections!$A1115="","",IFERROR(INDEX(games!$B$2:$B$950,MATCH(connections!$B1115,games!$A$2:$A$950,0)),""))</f>
        <v>2022</v>
      </c>
      <c r="V1115">
        <f t="shared" si="197"/>
        <v>3</v>
      </c>
    </row>
    <row r="1116" spans="20:22" x14ac:dyDescent="0.25">
      <c r="T1116">
        <f>IF(connections!$A1116="","",IFERROR(INDEX(games!$B$2:$B$950,MATCH(connections!$A1116,games!$A$2:$A$950,0)),""))</f>
        <v>2022</v>
      </c>
      <c r="U1116">
        <f>IF(connections!$A1116="","",IFERROR(INDEX(games!$B$2:$B$950,MATCH(connections!$B1116,games!$A$2:$A$950,0)),""))</f>
        <v>2023</v>
      </c>
      <c r="V1116">
        <f t="shared" si="197"/>
        <v>1</v>
      </c>
    </row>
    <row r="1117" spans="20:22" x14ac:dyDescent="0.25">
      <c r="T1117">
        <f>IF(connections!$A1117="","",IFERROR(INDEX(games!$B$2:$B$950,MATCH(connections!$A1117,games!$A$2:$A$950,0)),""))</f>
        <v>2012</v>
      </c>
      <c r="U1117">
        <f>IF(connections!$A1117="","",IFERROR(INDEX(games!$B$2:$B$950,MATCH(connections!$B1117,games!$A$2:$A$950,0)),""))</f>
        <v>2020</v>
      </c>
      <c r="V1117">
        <f t="shared" si="197"/>
        <v>8</v>
      </c>
    </row>
    <row r="1118" spans="20:22" x14ac:dyDescent="0.25">
      <c r="T1118">
        <f>IF(connections!$A1118="","",IFERROR(INDEX(games!$B$2:$B$950,MATCH(connections!$A1118,games!$A$2:$A$950,0)),""))</f>
        <v>2008</v>
      </c>
      <c r="U1118">
        <f>IF(connections!$A1118="","",IFERROR(INDEX(games!$B$2:$B$950,MATCH(connections!$B1118,games!$A$2:$A$950,0)),""))</f>
        <v>2013</v>
      </c>
      <c r="V1118">
        <f t="shared" si="197"/>
        <v>5</v>
      </c>
    </row>
    <row r="1119" spans="20:22" x14ac:dyDescent="0.25">
      <c r="T1119">
        <f>IF(connections!$A1119="","",IFERROR(INDEX(games!$B$2:$B$950,MATCH(connections!$A1119,games!$A$2:$A$950,0)),""))</f>
        <v>2008</v>
      </c>
      <c r="U1119">
        <f>IF(connections!$A1119="","",IFERROR(INDEX(games!$B$2:$B$950,MATCH(connections!$B1119,games!$A$2:$A$950,0)),""))</f>
        <v>2015</v>
      </c>
      <c r="V1119">
        <f t="shared" si="197"/>
        <v>7</v>
      </c>
    </row>
    <row r="1120" spans="20:22" x14ac:dyDescent="0.25">
      <c r="T1120">
        <f>IF(connections!$A1120="","",IFERROR(INDEX(games!$B$2:$B$950,MATCH(connections!$A1120,games!$A$2:$A$950,0)),""))</f>
        <v>2008</v>
      </c>
      <c r="U1120">
        <f>IF(connections!$A1120="","",IFERROR(INDEX(games!$B$2:$B$950,MATCH(connections!$B1120,games!$A$2:$A$950,0)),""))</f>
        <v>2019</v>
      </c>
      <c r="V1120">
        <f t="shared" si="197"/>
        <v>11</v>
      </c>
    </row>
    <row r="1121" spans="20:22" x14ac:dyDescent="0.25">
      <c r="T1121">
        <f>IF(connections!$A1121="","",IFERROR(INDEX(games!$B$2:$B$950,MATCH(connections!$A1121,games!$A$2:$A$950,0)),""))</f>
        <v>2008</v>
      </c>
      <c r="U1121">
        <f>IF(connections!$A1121="","",IFERROR(INDEX(games!$B$2:$B$950,MATCH(connections!$B1121,games!$A$2:$A$950,0)),""))</f>
        <v>2015</v>
      </c>
      <c r="V1121">
        <f t="shared" si="197"/>
        <v>7</v>
      </c>
    </row>
    <row r="1122" spans="20:22" x14ac:dyDescent="0.25">
      <c r="T1122">
        <f>IF(connections!$A1122="","",IFERROR(INDEX(games!$B$2:$B$950,MATCH(connections!$A1122,games!$A$2:$A$950,0)),""))</f>
        <v>2008</v>
      </c>
      <c r="U1122">
        <f>IF(connections!$A1122="","",IFERROR(INDEX(games!$B$2:$B$950,MATCH(connections!$B1122,games!$A$2:$A$950,0)),""))</f>
        <v>2017</v>
      </c>
      <c r="V1122">
        <f t="shared" si="197"/>
        <v>9</v>
      </c>
    </row>
    <row r="1123" spans="20:22" x14ac:dyDescent="0.25">
      <c r="T1123">
        <f>IF(connections!$A1123="","",IFERROR(INDEX(games!$B$2:$B$950,MATCH(connections!$A1123,games!$A$2:$A$950,0)),""))</f>
        <v>2008</v>
      </c>
      <c r="U1123">
        <f>IF(connections!$A1123="","",IFERROR(INDEX(games!$B$2:$B$950,MATCH(connections!$B1123,games!$A$2:$A$950,0)),""))</f>
        <v>2025</v>
      </c>
      <c r="V1123">
        <f t="shared" si="197"/>
        <v>17</v>
      </c>
    </row>
    <row r="1124" spans="20:22" x14ac:dyDescent="0.25">
      <c r="T1124">
        <f>IF(connections!$A1124="","",IFERROR(INDEX(games!$B$2:$B$950,MATCH(connections!$A1124,games!$A$2:$A$950,0)),""))</f>
        <v>2008</v>
      </c>
      <c r="U1124">
        <f>IF(connections!$A1124="","",IFERROR(INDEX(games!$B$2:$B$950,MATCH(connections!$B1124,games!$A$2:$A$950,0)),""))</f>
        <v>2013</v>
      </c>
      <c r="V1124">
        <f t="shared" si="197"/>
        <v>5</v>
      </c>
    </row>
    <row r="1125" spans="20:22" x14ac:dyDescent="0.25">
      <c r="T1125">
        <f>IF(connections!$A1125="","",IFERROR(INDEX(games!$B$2:$B$950,MATCH(connections!$A1125,games!$A$2:$A$950,0)),""))</f>
        <v>2008</v>
      </c>
      <c r="U1125">
        <f>IF(connections!$A1125="","",IFERROR(INDEX(games!$B$2:$B$950,MATCH(connections!$B1125,games!$A$2:$A$950,0)),""))</f>
        <v>2023</v>
      </c>
      <c r="V1125">
        <f t="shared" si="197"/>
        <v>15</v>
      </c>
    </row>
    <row r="1126" spans="20:22" x14ac:dyDescent="0.25">
      <c r="T1126">
        <f>IF(connections!$A1126="","",IFERROR(INDEX(games!$B$2:$B$950,MATCH(connections!$A1126,games!$A$2:$A$950,0)),""))</f>
        <v>2008</v>
      </c>
      <c r="U1126">
        <f>IF(connections!$A1126="","",IFERROR(INDEX(games!$B$2:$B$950,MATCH(connections!$B1126,games!$A$2:$A$950,0)),""))</f>
        <v>2015</v>
      </c>
      <c r="V1126">
        <f t="shared" si="197"/>
        <v>7</v>
      </c>
    </row>
    <row r="1127" spans="20:22" x14ac:dyDescent="0.25">
      <c r="T1127">
        <f>IF(connections!$A1127="","",IFERROR(INDEX(games!$B$2:$B$950,MATCH(connections!$A1127,games!$A$2:$A$950,0)),""))</f>
        <v>2008</v>
      </c>
      <c r="U1127">
        <f>IF(connections!$A1127="","",IFERROR(INDEX(games!$B$2:$B$950,MATCH(connections!$B1127,games!$A$2:$A$950,0)),""))</f>
        <v>2024</v>
      </c>
      <c r="V1127">
        <f t="shared" si="197"/>
        <v>16</v>
      </c>
    </row>
    <row r="1128" spans="20:22" x14ac:dyDescent="0.25">
      <c r="T1128">
        <f>IF(connections!$A1128="","",IFERROR(INDEX(games!$B$2:$B$950,MATCH(connections!$A1128,games!$A$2:$A$950,0)),""))</f>
        <v>2008</v>
      </c>
      <c r="U1128">
        <f>IF(connections!$A1128="","",IFERROR(INDEX(games!$B$2:$B$950,MATCH(connections!$B1128,games!$A$2:$A$950,0)),""))</f>
        <v>2015</v>
      </c>
      <c r="V1128">
        <f t="shared" si="197"/>
        <v>7</v>
      </c>
    </row>
    <row r="1129" spans="20:22" x14ac:dyDescent="0.25">
      <c r="T1129">
        <f>IF(connections!$A1129="","",IFERROR(INDEX(games!$B$2:$B$950,MATCH(connections!$A1129,games!$A$2:$A$950,0)),""))</f>
        <v>2008</v>
      </c>
      <c r="U1129">
        <f>IF(connections!$A1129="","",IFERROR(INDEX(games!$B$2:$B$950,MATCH(connections!$B1129,games!$A$2:$A$950,0)),""))</f>
        <v>2025</v>
      </c>
      <c r="V1129">
        <f t="shared" si="197"/>
        <v>17</v>
      </c>
    </row>
    <row r="1130" spans="20:22" x14ac:dyDescent="0.25">
      <c r="T1130">
        <f>IF(connections!$A1130="","",IFERROR(INDEX(games!$B$2:$B$950,MATCH(connections!$A1130,games!$A$2:$A$950,0)),""))</f>
        <v>2008</v>
      </c>
      <c r="U1130">
        <f>IF(connections!$A1130="","",IFERROR(INDEX(games!$B$2:$B$950,MATCH(connections!$B1130,games!$A$2:$A$950,0)),""))</f>
        <v>2013</v>
      </c>
      <c r="V1130">
        <f t="shared" si="197"/>
        <v>5</v>
      </c>
    </row>
    <row r="1131" spans="20:22" x14ac:dyDescent="0.25">
      <c r="T1131">
        <f>IF(connections!$A1131="","",IFERROR(INDEX(games!$B$2:$B$950,MATCH(connections!$A1131,games!$A$2:$A$950,0)),""))</f>
        <v>2008</v>
      </c>
      <c r="U1131">
        <f>IF(connections!$A1131="","",IFERROR(INDEX(games!$B$2:$B$950,MATCH(connections!$B1131,games!$A$2:$A$950,0)),""))</f>
        <v>2016</v>
      </c>
      <c r="V1131">
        <f t="shared" si="197"/>
        <v>8</v>
      </c>
    </row>
    <row r="1132" spans="20:22" x14ac:dyDescent="0.25">
      <c r="T1132">
        <f>IF(connections!$A1132="","",IFERROR(INDEX(games!$B$2:$B$950,MATCH(connections!$A1132,games!$A$2:$A$950,0)),""))</f>
        <v>2008</v>
      </c>
      <c r="U1132">
        <f>IF(connections!$A1132="","",IFERROR(INDEX(games!$B$2:$B$950,MATCH(connections!$B1132,games!$A$2:$A$950,0)),""))</f>
        <v>2024</v>
      </c>
      <c r="V1132">
        <f t="shared" si="197"/>
        <v>16</v>
      </c>
    </row>
    <row r="1133" spans="20:22" x14ac:dyDescent="0.25">
      <c r="T1133">
        <f>IF(connections!$A1133="","",IFERROR(INDEX(games!$B$2:$B$950,MATCH(connections!$A1133,games!$A$2:$A$950,0)),""))</f>
        <v>2008</v>
      </c>
      <c r="U1133">
        <f>IF(connections!$A1133="","",IFERROR(INDEX(games!$B$2:$B$950,MATCH(connections!$B1133,games!$A$2:$A$950,0)),""))</f>
        <v>2017</v>
      </c>
      <c r="V1133">
        <f t="shared" si="197"/>
        <v>9</v>
      </c>
    </row>
    <row r="1134" spans="20:22" x14ac:dyDescent="0.25">
      <c r="T1134">
        <f>IF(connections!$A1134="","",IFERROR(INDEX(games!$B$2:$B$950,MATCH(connections!$A1134,games!$A$2:$A$950,0)),""))</f>
        <v>2008</v>
      </c>
      <c r="U1134">
        <f>IF(connections!$A1134="","",IFERROR(INDEX(games!$B$2:$B$950,MATCH(connections!$B1134,games!$A$2:$A$950,0)),""))</f>
        <v>2012</v>
      </c>
      <c r="V1134">
        <f t="shared" si="197"/>
        <v>4</v>
      </c>
    </row>
    <row r="1135" spans="20:22" x14ac:dyDescent="0.25">
      <c r="T1135">
        <f>IF(connections!$A1135="","",IFERROR(INDEX(games!$B$2:$B$950,MATCH(connections!$A1135,games!$A$2:$A$950,0)),""))</f>
        <v>2008</v>
      </c>
      <c r="U1135">
        <f>IF(connections!$A1135="","",IFERROR(INDEX(games!$B$2:$B$950,MATCH(connections!$B1135,games!$A$2:$A$950,0)),""))</f>
        <v>2020</v>
      </c>
      <c r="V1135">
        <f t="shared" si="197"/>
        <v>12</v>
      </c>
    </row>
    <row r="1136" spans="20:22" x14ac:dyDescent="0.25">
      <c r="T1136">
        <f>IF(connections!$A1136="","",IFERROR(INDEX(games!$B$2:$B$950,MATCH(connections!$A1136,games!$A$2:$A$950,0)),""))</f>
        <v>2008</v>
      </c>
      <c r="U1136">
        <f>IF(connections!$A1136="","",IFERROR(INDEX(games!$B$2:$B$950,MATCH(connections!$B1136,games!$A$2:$A$950,0)),""))</f>
        <v>2016</v>
      </c>
      <c r="V1136">
        <f t="shared" si="197"/>
        <v>8</v>
      </c>
    </row>
    <row r="1137" spans="20:22" x14ac:dyDescent="0.25">
      <c r="T1137">
        <f>IF(connections!$A1137="","",IFERROR(INDEX(games!$B$2:$B$950,MATCH(connections!$A1137,games!$A$2:$A$950,0)),""))</f>
        <v>2008</v>
      </c>
      <c r="U1137">
        <f>IF(connections!$A1137="","",IFERROR(INDEX(games!$B$2:$B$950,MATCH(connections!$B1137,games!$A$2:$A$950,0)),""))</f>
        <v>2015</v>
      </c>
      <c r="V1137">
        <f t="shared" si="197"/>
        <v>7</v>
      </c>
    </row>
    <row r="1138" spans="20:22" x14ac:dyDescent="0.25">
      <c r="T1138">
        <f>IF(connections!$A1138="","",IFERROR(INDEX(games!$B$2:$B$950,MATCH(connections!$A1138,games!$A$2:$A$950,0)),""))</f>
        <v>2008</v>
      </c>
      <c r="U1138">
        <f>IF(connections!$A1138="","",IFERROR(INDEX(games!$B$2:$B$950,MATCH(connections!$B1138,games!$A$2:$A$950,0)),""))</f>
        <v>2019</v>
      </c>
      <c r="V1138">
        <f t="shared" si="197"/>
        <v>11</v>
      </c>
    </row>
    <row r="1139" spans="20:22" x14ac:dyDescent="0.25">
      <c r="T1139">
        <f>IF(connections!$A1139="","",IFERROR(INDEX(games!$B$2:$B$950,MATCH(connections!$A1139,games!$A$2:$A$950,0)),""))</f>
        <v>2008</v>
      </c>
      <c r="U1139">
        <f>IF(connections!$A1139="","",IFERROR(INDEX(games!$B$2:$B$950,MATCH(connections!$B1139,games!$A$2:$A$950,0)),""))</f>
        <v>2014</v>
      </c>
      <c r="V1139">
        <f t="shared" si="197"/>
        <v>6</v>
      </c>
    </row>
    <row r="1140" spans="20:22" x14ac:dyDescent="0.25">
      <c r="T1140">
        <f>IF(connections!$A1140="","",IFERROR(INDEX(games!$B$2:$B$950,MATCH(connections!$A1140,games!$A$2:$A$950,0)),""))</f>
        <v>2008</v>
      </c>
      <c r="U1140">
        <f>IF(connections!$A1140="","",IFERROR(INDEX(games!$B$2:$B$950,MATCH(connections!$B1140,games!$A$2:$A$950,0)),""))</f>
        <v>2017</v>
      </c>
      <c r="V1140">
        <f t="shared" si="197"/>
        <v>9</v>
      </c>
    </row>
    <row r="1141" spans="20:22" x14ac:dyDescent="0.25">
      <c r="T1141">
        <f>IF(connections!$A1141="","",IFERROR(INDEX(games!$B$2:$B$950,MATCH(connections!$A1141,games!$A$2:$A$950,0)),""))</f>
        <v>2008</v>
      </c>
      <c r="U1141">
        <f>IF(connections!$A1141="","",IFERROR(INDEX(games!$B$2:$B$950,MATCH(connections!$B1141,games!$A$2:$A$950,0)),""))</f>
        <v>2017</v>
      </c>
      <c r="V1141">
        <f t="shared" si="197"/>
        <v>9</v>
      </c>
    </row>
    <row r="1142" spans="20:22" x14ac:dyDescent="0.25">
      <c r="T1142">
        <f>IF(connections!$A1142="","",IFERROR(INDEX(games!$B$2:$B$950,MATCH(connections!$A1142,games!$A$2:$A$950,0)),""))</f>
        <v>2008</v>
      </c>
      <c r="U1142">
        <f>IF(connections!$A1142="","",IFERROR(INDEX(games!$B$2:$B$950,MATCH(connections!$B1142,games!$A$2:$A$950,0)),""))</f>
        <v>2018</v>
      </c>
      <c r="V1142">
        <f t="shared" si="197"/>
        <v>10</v>
      </c>
    </row>
    <row r="1143" spans="20:22" x14ac:dyDescent="0.25">
      <c r="T1143">
        <f>IF(connections!$A1143="","",IFERROR(INDEX(games!$B$2:$B$950,MATCH(connections!$A1143,games!$A$2:$A$950,0)),""))</f>
        <v>2008</v>
      </c>
      <c r="U1143">
        <f>IF(connections!$A1143="","",IFERROR(INDEX(games!$B$2:$B$950,MATCH(connections!$B1143,games!$A$2:$A$950,0)),""))</f>
        <v>2015</v>
      </c>
      <c r="V1143">
        <f t="shared" si="197"/>
        <v>7</v>
      </c>
    </row>
    <row r="1144" spans="20:22" x14ac:dyDescent="0.25">
      <c r="T1144">
        <f>IF(connections!$A1144="","",IFERROR(INDEX(games!$B$2:$B$950,MATCH(connections!$A1144,games!$A$2:$A$950,0)),""))</f>
        <v>2008</v>
      </c>
      <c r="U1144">
        <f>IF(connections!$A1144="","",IFERROR(INDEX(games!$B$2:$B$950,MATCH(connections!$B1144,games!$A$2:$A$950,0)),""))</f>
        <v>2023</v>
      </c>
      <c r="V1144">
        <f t="shared" si="197"/>
        <v>15</v>
      </c>
    </row>
    <row r="1145" spans="20:22" x14ac:dyDescent="0.25">
      <c r="T1145">
        <f>IF(connections!$A1145="","",IFERROR(INDEX(games!$B$2:$B$950,MATCH(connections!$A1145,games!$A$2:$A$950,0)),""))</f>
        <v>2008</v>
      </c>
      <c r="U1145">
        <f>IF(connections!$A1145="","",IFERROR(INDEX(games!$B$2:$B$950,MATCH(connections!$B1145,games!$A$2:$A$950,0)),""))</f>
        <v>2019</v>
      </c>
      <c r="V1145">
        <f t="shared" si="197"/>
        <v>11</v>
      </c>
    </row>
    <row r="1146" spans="20:22" x14ac:dyDescent="0.25">
      <c r="T1146">
        <f>IF(connections!$A1146="","",IFERROR(INDEX(games!$B$2:$B$950,MATCH(connections!$A1146,games!$A$2:$A$950,0)),""))</f>
        <v>2008</v>
      </c>
      <c r="U1146">
        <f>IF(connections!$A1146="","",IFERROR(INDEX(games!$B$2:$B$950,MATCH(connections!$B1146,games!$A$2:$A$950,0)),""))</f>
        <v>2015</v>
      </c>
      <c r="V1146">
        <f t="shared" si="197"/>
        <v>7</v>
      </c>
    </row>
    <row r="1147" spans="20:22" x14ac:dyDescent="0.25">
      <c r="T1147">
        <f>IF(connections!$A1147="","",IFERROR(INDEX(games!$B$2:$B$950,MATCH(connections!$A1147,games!$A$2:$A$950,0)),""))</f>
        <v>2008</v>
      </c>
      <c r="U1147">
        <f>IF(connections!$A1147="","",IFERROR(INDEX(games!$B$2:$B$950,MATCH(connections!$B1147,games!$A$2:$A$950,0)),""))</f>
        <v>2010</v>
      </c>
      <c r="V1147">
        <f t="shared" si="197"/>
        <v>2</v>
      </c>
    </row>
    <row r="1148" spans="20:22" x14ac:dyDescent="0.25">
      <c r="T1148">
        <f>IF(connections!$A1148="","",IFERROR(INDEX(games!$B$2:$B$950,MATCH(connections!$A1148,games!$A$2:$A$950,0)),""))</f>
        <v>2008</v>
      </c>
      <c r="U1148">
        <f>IF(connections!$A1148="","",IFERROR(INDEX(games!$B$2:$B$950,MATCH(connections!$B1148,games!$A$2:$A$950,0)),""))</f>
        <v>2012</v>
      </c>
      <c r="V1148">
        <f t="shared" si="197"/>
        <v>4</v>
      </c>
    </row>
    <row r="1149" spans="20:22" x14ac:dyDescent="0.25">
      <c r="T1149">
        <f>IF(connections!$A1149="","",IFERROR(INDEX(games!$B$2:$B$950,MATCH(connections!$A1149,games!$A$2:$A$950,0)),""))</f>
        <v>2008</v>
      </c>
      <c r="U1149">
        <f>IF(connections!$A1149="","",IFERROR(INDEX(games!$B$2:$B$950,MATCH(connections!$B1149,games!$A$2:$A$950,0)),""))</f>
        <v>2013</v>
      </c>
      <c r="V1149">
        <f t="shared" si="197"/>
        <v>5</v>
      </c>
    </row>
    <row r="1150" spans="20:22" x14ac:dyDescent="0.25">
      <c r="T1150">
        <f>IF(connections!$A1150="","",IFERROR(INDEX(games!$B$2:$B$950,MATCH(connections!$A1150,games!$A$2:$A$950,0)),""))</f>
        <v>2008</v>
      </c>
      <c r="U1150">
        <f>IF(connections!$A1150="","",IFERROR(INDEX(games!$B$2:$B$950,MATCH(connections!$B1150,games!$A$2:$A$950,0)),""))</f>
        <v>2022</v>
      </c>
      <c r="V1150">
        <f t="shared" si="197"/>
        <v>14</v>
      </c>
    </row>
    <row r="1151" spans="20:22" x14ac:dyDescent="0.25">
      <c r="T1151">
        <f>IF(connections!$A1151="","",IFERROR(INDEX(games!$B$2:$B$950,MATCH(connections!$A1151,games!$A$2:$A$950,0)),""))</f>
        <v>2008</v>
      </c>
      <c r="U1151">
        <f>IF(connections!$A1151="","",IFERROR(INDEX(games!$B$2:$B$950,MATCH(connections!$B1151,games!$A$2:$A$950,0)),""))</f>
        <v>2014</v>
      </c>
      <c r="V1151">
        <f t="shared" si="197"/>
        <v>6</v>
      </c>
    </row>
    <row r="1152" spans="20:22" x14ac:dyDescent="0.25">
      <c r="T1152">
        <f>IF(connections!$A1152="","",IFERROR(INDEX(games!$B$2:$B$950,MATCH(connections!$A1152,games!$A$2:$A$950,0)),""))</f>
        <v>2008</v>
      </c>
      <c r="U1152">
        <f>IF(connections!$A1152="","",IFERROR(INDEX(games!$B$2:$B$950,MATCH(connections!$B1152,games!$A$2:$A$950,0)),""))</f>
        <v>2012</v>
      </c>
      <c r="V1152">
        <f t="shared" si="197"/>
        <v>4</v>
      </c>
    </row>
    <row r="1153" spans="20:22" x14ac:dyDescent="0.25">
      <c r="T1153">
        <f>IF(connections!$A1153="","",IFERROR(INDEX(games!$B$2:$B$950,MATCH(connections!$A1153,games!$A$2:$A$950,0)),""))</f>
        <v>2008</v>
      </c>
      <c r="U1153">
        <f>IF(connections!$A1153="","",IFERROR(INDEX(games!$B$2:$B$950,MATCH(connections!$B1153,games!$A$2:$A$950,0)),""))</f>
        <v>2019</v>
      </c>
      <c r="V1153">
        <f t="shared" si="197"/>
        <v>11</v>
      </c>
    </row>
    <row r="1154" spans="20:22" x14ac:dyDescent="0.25">
      <c r="T1154">
        <f>IF(connections!$A1154="","",IFERROR(INDEX(games!$B$2:$B$950,MATCH(connections!$A1154,games!$A$2:$A$950,0)),""))</f>
        <v>2008</v>
      </c>
      <c r="U1154">
        <f>IF(connections!$A1154="","",IFERROR(INDEX(games!$B$2:$B$950,MATCH(connections!$B1154,games!$A$2:$A$950,0)),""))</f>
        <v>2017</v>
      </c>
      <c r="V1154">
        <f t="shared" ref="V1154:V1217" si="198">IF(OR($T1154="",$U1154=""),"",$U1154-$T1154)</f>
        <v>9</v>
      </c>
    </row>
    <row r="1155" spans="20:22" x14ac:dyDescent="0.25">
      <c r="T1155">
        <f>IF(connections!$A1155="","",IFERROR(INDEX(games!$B$2:$B$950,MATCH(connections!$A1155,games!$A$2:$A$950,0)),""))</f>
        <v>2008</v>
      </c>
      <c r="U1155">
        <f>IF(connections!$A1155="","",IFERROR(INDEX(games!$B$2:$B$950,MATCH(connections!$B1155,games!$A$2:$A$950,0)),""))</f>
        <v>2019</v>
      </c>
      <c r="V1155">
        <f t="shared" si="198"/>
        <v>11</v>
      </c>
    </row>
    <row r="1156" spans="20:22" x14ac:dyDescent="0.25">
      <c r="T1156">
        <f>IF(connections!$A1156="","",IFERROR(INDEX(games!$B$2:$B$950,MATCH(connections!$A1156,games!$A$2:$A$950,0)),""))</f>
        <v>2008</v>
      </c>
      <c r="U1156">
        <f>IF(connections!$A1156="","",IFERROR(INDEX(games!$B$2:$B$950,MATCH(connections!$B1156,games!$A$2:$A$950,0)),""))</f>
        <v>2016</v>
      </c>
      <c r="V1156">
        <f t="shared" si="198"/>
        <v>8</v>
      </c>
    </row>
    <row r="1157" spans="20:22" x14ac:dyDescent="0.25">
      <c r="T1157">
        <f>IF(connections!$A1157="","",IFERROR(INDEX(games!$B$2:$B$950,MATCH(connections!$A1157,games!$A$2:$A$950,0)),""))</f>
        <v>2008</v>
      </c>
      <c r="U1157">
        <f>IF(connections!$A1157="","",IFERROR(INDEX(games!$B$2:$B$950,MATCH(connections!$B1157,games!$A$2:$A$950,0)),""))</f>
        <v>2011</v>
      </c>
      <c r="V1157">
        <f t="shared" si="198"/>
        <v>3</v>
      </c>
    </row>
    <row r="1158" spans="20:22" x14ac:dyDescent="0.25">
      <c r="T1158">
        <f>IF(connections!$A1158="","",IFERROR(INDEX(games!$B$2:$B$950,MATCH(connections!$A1158,games!$A$2:$A$950,0)),""))</f>
        <v>2008</v>
      </c>
      <c r="U1158">
        <f>IF(connections!$A1158="","",IFERROR(INDEX(games!$B$2:$B$950,MATCH(connections!$B1158,games!$A$2:$A$950,0)),""))</f>
        <v>2017</v>
      </c>
      <c r="V1158">
        <f t="shared" si="198"/>
        <v>9</v>
      </c>
    </row>
    <row r="1159" spans="20:22" x14ac:dyDescent="0.25">
      <c r="T1159">
        <f>IF(connections!$A1159="","",IFERROR(INDEX(games!$B$2:$B$950,MATCH(connections!$A1159,games!$A$2:$A$950,0)),""))</f>
        <v>2008</v>
      </c>
      <c r="U1159">
        <f>IF(connections!$A1159="","",IFERROR(INDEX(games!$B$2:$B$950,MATCH(connections!$B1159,games!$A$2:$A$950,0)),""))</f>
        <v>2018</v>
      </c>
      <c r="V1159">
        <f t="shared" si="198"/>
        <v>10</v>
      </c>
    </row>
    <row r="1160" spans="20:22" x14ac:dyDescent="0.25">
      <c r="T1160">
        <f>IF(connections!$A1160="","",IFERROR(INDEX(games!$B$2:$B$950,MATCH(connections!$A1160,games!$A$2:$A$950,0)),""))</f>
        <v>2008</v>
      </c>
      <c r="U1160">
        <f>IF(connections!$A1160="","",IFERROR(INDEX(games!$B$2:$B$950,MATCH(connections!$B1160,games!$A$2:$A$950,0)),""))</f>
        <v>2023</v>
      </c>
      <c r="V1160">
        <f t="shared" si="198"/>
        <v>15</v>
      </c>
    </row>
    <row r="1161" spans="20:22" x14ac:dyDescent="0.25">
      <c r="T1161">
        <f>IF(connections!$A1161="","",IFERROR(INDEX(games!$B$2:$B$950,MATCH(connections!$A1161,games!$A$2:$A$950,0)),""))</f>
        <v>2019</v>
      </c>
      <c r="U1161">
        <f>IF(connections!$A1161="","",IFERROR(INDEX(games!$B$2:$B$950,MATCH(connections!$B1161,games!$A$2:$A$950,0)),""))</f>
        <v>2022</v>
      </c>
      <c r="V1161">
        <f t="shared" si="198"/>
        <v>3</v>
      </c>
    </row>
    <row r="1162" spans="20:22" x14ac:dyDescent="0.25">
      <c r="T1162">
        <f>IF(connections!$A1162="","",IFERROR(INDEX(games!$B$2:$B$950,MATCH(connections!$A1162,games!$A$2:$A$950,0)),""))</f>
        <v>2014</v>
      </c>
      <c r="U1162">
        <f>IF(connections!$A1162="","",IFERROR(INDEX(games!$B$2:$B$950,MATCH(connections!$B1162,games!$A$2:$A$950,0)),""))</f>
        <v>2017</v>
      </c>
      <c r="V1162">
        <f t="shared" si="198"/>
        <v>3</v>
      </c>
    </row>
    <row r="1163" spans="20:22" x14ac:dyDescent="0.25">
      <c r="T1163">
        <f>IF(connections!$A1163="","",IFERROR(INDEX(games!$B$2:$B$950,MATCH(connections!$A1163,games!$A$2:$A$950,0)),""))</f>
        <v>2017</v>
      </c>
      <c r="U1163">
        <f>IF(connections!$A1163="","",IFERROR(INDEX(games!$B$2:$B$950,MATCH(connections!$B1163,games!$A$2:$A$950,0)),""))</f>
        <v>2020</v>
      </c>
      <c r="V1163">
        <f t="shared" si="198"/>
        <v>3</v>
      </c>
    </row>
    <row r="1164" spans="20:22" x14ac:dyDescent="0.25">
      <c r="T1164">
        <f>IF(connections!$A1164="","",IFERROR(INDEX(games!$B$2:$B$950,MATCH(connections!$A1164,games!$A$2:$A$950,0)),""))</f>
        <v>2025</v>
      </c>
      <c r="U1164">
        <f>IF(connections!$A1164="","",IFERROR(INDEX(games!$B$2:$B$950,MATCH(connections!$B1164,games!$A$2:$A$950,0)),""))</f>
        <v>2026</v>
      </c>
      <c r="V1164">
        <f t="shared" si="198"/>
        <v>1</v>
      </c>
    </row>
    <row r="1165" spans="20:22" x14ac:dyDescent="0.25">
      <c r="T1165">
        <f>IF(connections!$A1165="","",IFERROR(INDEX(games!$B$2:$B$950,MATCH(connections!$A1165,games!$A$2:$A$950,0)),""))</f>
        <v>2020</v>
      </c>
      <c r="U1165">
        <f>IF(connections!$A1165="","",IFERROR(INDEX(games!$B$2:$B$950,MATCH(connections!$B1165,games!$A$2:$A$950,0)),""))</f>
        <v>2025</v>
      </c>
      <c r="V1165">
        <f t="shared" si="198"/>
        <v>5</v>
      </c>
    </row>
    <row r="1166" spans="20:22" x14ac:dyDescent="0.25">
      <c r="T1166">
        <f>IF(connections!$A1166="","",IFERROR(INDEX(games!$B$2:$B$950,MATCH(connections!$A1166,games!$A$2:$A$950,0)),""))</f>
        <v>2020</v>
      </c>
      <c r="U1166">
        <f>IF(connections!$A1166="","",IFERROR(INDEX(games!$B$2:$B$950,MATCH(connections!$B1166,games!$A$2:$A$950,0)),""))</f>
        <v>2021</v>
      </c>
      <c r="V1166">
        <f t="shared" si="198"/>
        <v>1</v>
      </c>
    </row>
    <row r="1167" spans="20:22" x14ac:dyDescent="0.25">
      <c r="T1167">
        <f>IF(connections!$A1167="","",IFERROR(INDEX(games!$B$2:$B$950,MATCH(connections!$A1167,games!$A$2:$A$950,0)),""))</f>
        <v>2002</v>
      </c>
      <c r="U1167">
        <f>IF(connections!$A1167="","",IFERROR(INDEX(games!$B$2:$B$950,MATCH(connections!$B1167,games!$A$2:$A$950,0)),""))</f>
        <v>2005</v>
      </c>
      <c r="V1167">
        <f t="shared" si="198"/>
        <v>3</v>
      </c>
    </row>
    <row r="1168" spans="20:22" x14ac:dyDescent="0.25">
      <c r="T1168">
        <f>IF(connections!$A1168="","",IFERROR(INDEX(games!$B$2:$B$950,MATCH(connections!$A1168,games!$A$2:$A$950,0)),""))</f>
        <v>2017</v>
      </c>
      <c r="U1168">
        <f>IF(connections!$A1168="","",IFERROR(INDEX(games!$B$2:$B$950,MATCH(connections!$B1168,games!$A$2:$A$950,0)),""))</f>
        <v>2026</v>
      </c>
      <c r="V1168">
        <f t="shared" si="198"/>
        <v>9</v>
      </c>
    </row>
    <row r="1169" spans="20:22" x14ac:dyDescent="0.25">
      <c r="T1169">
        <f>IF(connections!$A1169="","",IFERROR(INDEX(games!$B$2:$B$950,MATCH(connections!$A1169,games!$A$2:$A$950,0)),""))</f>
        <v>2015</v>
      </c>
      <c r="U1169">
        <f>IF(connections!$A1169="","",IFERROR(INDEX(games!$B$2:$B$950,MATCH(connections!$B1169,games!$A$2:$A$950,0)),""))</f>
        <v>2018</v>
      </c>
      <c r="V1169">
        <f t="shared" si="198"/>
        <v>3</v>
      </c>
    </row>
    <row r="1170" spans="20:22" x14ac:dyDescent="0.25">
      <c r="T1170">
        <f>IF(connections!$A1170="","",IFERROR(INDEX(games!$B$2:$B$950,MATCH(connections!$A1170,games!$A$2:$A$950,0)),""))</f>
        <v>2021</v>
      </c>
      <c r="U1170">
        <f>IF(connections!$A1170="","",IFERROR(INDEX(games!$B$2:$B$950,MATCH(connections!$B1170,games!$A$2:$A$950,0)),""))</f>
        <v>2023</v>
      </c>
      <c r="V1170">
        <f t="shared" si="198"/>
        <v>2</v>
      </c>
    </row>
    <row r="1171" spans="20:22" x14ac:dyDescent="0.25">
      <c r="T1171">
        <f>IF(connections!$A1171="","",IFERROR(INDEX(games!$B$2:$B$950,MATCH(connections!$A1171,games!$A$2:$A$950,0)),""))</f>
        <v>2021</v>
      </c>
      <c r="U1171">
        <f>IF(connections!$A1171="","",IFERROR(INDEX(games!$B$2:$B$950,MATCH(connections!$B1171,games!$A$2:$A$950,0)),""))</f>
        <v>2026</v>
      </c>
      <c r="V1171">
        <f t="shared" si="198"/>
        <v>5</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2024</v>
      </c>
      <c r="V1173">
        <f t="shared" si="198"/>
        <v>3</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2026</v>
      </c>
      <c r="V1175">
        <f t="shared" si="198"/>
        <v>5</v>
      </c>
    </row>
    <row r="1176" spans="20:22" x14ac:dyDescent="0.25">
      <c r="T1176">
        <f>IF(connections!$A1176="","",IFERROR(INDEX(games!$B$2:$B$950,MATCH(connections!$A1176,games!$A$2:$A$950,0)),""))</f>
        <v>2021</v>
      </c>
      <c r="U1176">
        <f>IF(connections!$A1176="","",IFERROR(INDEX(games!$B$2:$B$950,MATCH(connections!$B1176,games!$A$2:$A$950,0)),""))</f>
        <v>2025</v>
      </c>
      <c r="V1176">
        <f t="shared" si="198"/>
        <v>4</v>
      </c>
    </row>
    <row r="1177" spans="20:22" x14ac:dyDescent="0.25">
      <c r="T1177">
        <f>IF(connections!$A1177="","",IFERROR(INDEX(games!$B$2:$B$950,MATCH(connections!$A1177,games!$A$2:$A$950,0)),""))</f>
        <v>2021</v>
      </c>
      <c r="U1177">
        <f>IF(connections!$A1177="","",IFERROR(INDEX(games!$B$2:$B$950,MATCH(connections!$B1177,games!$A$2:$A$950,0)),""))</f>
        <v>2024</v>
      </c>
      <c r="V1177">
        <f t="shared" si="198"/>
        <v>3</v>
      </c>
    </row>
    <row r="1178" spans="20:22" x14ac:dyDescent="0.25">
      <c r="T1178">
        <f>IF(connections!$A1178="","",IFERROR(INDEX(games!$B$2:$B$950,MATCH(connections!$A1178,games!$A$2:$A$950,0)),""))</f>
        <v>2021</v>
      </c>
      <c r="U1178">
        <f>IF(connections!$A1178="","",IFERROR(INDEX(games!$B$2:$B$950,MATCH(connections!$B1178,games!$A$2:$A$950,0)),""))</f>
        <v>2026</v>
      </c>
      <c r="V1178">
        <f t="shared" si="198"/>
        <v>5</v>
      </c>
    </row>
    <row r="1179" spans="20:22" x14ac:dyDescent="0.25">
      <c r="T1179">
        <f>IF(connections!$A1179="","",IFERROR(INDEX(games!$B$2:$B$950,MATCH(connections!$A1179,games!$A$2:$A$950,0)),""))</f>
        <v>2021</v>
      </c>
      <c r="U1179">
        <f>IF(connections!$A1179="","",IFERROR(INDEX(games!$B$2:$B$950,MATCH(connections!$B1179,games!$A$2:$A$950,0)),""))</f>
        <v>2026</v>
      </c>
      <c r="V1179">
        <f t="shared" si="198"/>
        <v>5</v>
      </c>
    </row>
    <row r="1180" spans="20:22" x14ac:dyDescent="0.25">
      <c r="T1180">
        <f>IF(connections!$A1180="","",IFERROR(INDEX(games!$B$2:$B$950,MATCH(connections!$A1180,games!$A$2:$A$950,0)),""))</f>
        <v>2021</v>
      </c>
      <c r="U1180">
        <f>IF(connections!$A1180="","",IFERROR(INDEX(games!$B$2:$B$950,MATCH(connections!$B1180,games!$A$2:$A$950,0)),""))</f>
        <v>2025</v>
      </c>
      <c r="V1180">
        <f t="shared" si="198"/>
        <v>4</v>
      </c>
    </row>
    <row r="1181" spans="20:22" x14ac:dyDescent="0.25">
      <c r="T1181">
        <f>IF(connections!$A1181="","",IFERROR(INDEX(games!$B$2:$B$950,MATCH(connections!$A1181,games!$A$2:$A$950,0)),""))</f>
        <v>2021</v>
      </c>
      <c r="U1181">
        <f>IF(connections!$A1181="","",IFERROR(INDEX(games!$B$2:$B$950,MATCH(connections!$B1181,games!$A$2:$A$950,0)),""))</f>
        <v>2025</v>
      </c>
      <c r="V1181">
        <f t="shared" si="198"/>
        <v>4</v>
      </c>
    </row>
    <row r="1182" spans="20:22" x14ac:dyDescent="0.25">
      <c r="T1182">
        <f>IF(connections!$A1182="","",IFERROR(INDEX(games!$B$2:$B$950,MATCH(connections!$A1182,games!$A$2:$A$950,0)),""))</f>
        <v>2021</v>
      </c>
      <c r="U1182">
        <f>IF(connections!$A1182="","",IFERROR(INDEX(games!$B$2:$B$950,MATCH(connections!$B1182,games!$A$2:$A$950,0)),""))</f>
        <v>2026</v>
      </c>
      <c r="V1182">
        <f t="shared" si="198"/>
        <v>5</v>
      </c>
    </row>
    <row r="1183" spans="20:22" x14ac:dyDescent="0.25">
      <c r="T1183">
        <f>IF(connections!$A1183="","",IFERROR(INDEX(games!$B$2:$B$950,MATCH(connections!$A1183,games!$A$2:$A$950,0)),""))</f>
        <v>2013</v>
      </c>
      <c r="U1183">
        <f>IF(connections!$A1183="","",IFERROR(INDEX(games!$B$2:$B$950,MATCH(connections!$B1183,games!$A$2:$A$950,0)),""))</f>
        <v>2016</v>
      </c>
      <c r="V1183">
        <f t="shared" si="198"/>
        <v>3</v>
      </c>
    </row>
    <row r="1184" spans="20:22" x14ac:dyDescent="0.25">
      <c r="T1184">
        <f>IF(connections!$A1184="","",IFERROR(INDEX(games!$B$2:$B$950,MATCH(connections!$A1184,games!$A$2:$A$950,0)),""))</f>
        <v>2025</v>
      </c>
      <c r="U1184">
        <f>IF(connections!$A1184="","",IFERROR(INDEX(games!$B$2:$B$950,MATCH(connections!$B1184,games!$A$2:$A$950,0)),""))</f>
        <v>2026</v>
      </c>
      <c r="V1184">
        <f t="shared" si="198"/>
        <v>1</v>
      </c>
    </row>
    <row r="1185" spans="20:22" x14ac:dyDescent="0.25">
      <c r="T1185">
        <f>IF(connections!$A1185="","",IFERROR(INDEX(games!$B$2:$B$950,MATCH(connections!$A1185,games!$A$2:$A$950,0)),""))</f>
        <v>1982</v>
      </c>
      <c r="U1185">
        <f>IF(connections!$A1185="","",IFERROR(INDEX(games!$B$2:$B$950,MATCH(connections!$B1185,games!$A$2:$A$950,0)),""))</f>
        <v>2016</v>
      </c>
      <c r="V1185">
        <f t="shared" si="198"/>
        <v>34</v>
      </c>
    </row>
    <row r="1186" spans="20:22" x14ac:dyDescent="0.25">
      <c r="T1186">
        <f>IF(connections!$A1186="","",IFERROR(INDEX(games!$B$2:$B$950,MATCH(connections!$A1186,games!$A$2:$A$950,0)),""))</f>
        <v>2021</v>
      </c>
      <c r="U1186">
        <f>IF(connections!$A1186="","",IFERROR(INDEX(games!$B$2:$B$950,MATCH(connections!$B1186,games!$A$2:$A$950,0)),""))</f>
        <v>2025</v>
      </c>
      <c r="V1186">
        <f t="shared" si="198"/>
        <v>4</v>
      </c>
    </row>
    <row r="1187" spans="20:22" x14ac:dyDescent="0.25">
      <c r="T1187">
        <f>IF(connections!$A1187="","",IFERROR(INDEX(games!$B$2:$B$950,MATCH(connections!$A1187,games!$A$2:$A$950,0)),""))</f>
        <v>2018</v>
      </c>
      <c r="U1187">
        <f>IF(connections!$A1187="","",IFERROR(INDEX(games!$B$2:$B$950,MATCH(connections!$B1187,games!$A$2:$A$950,0)),""))</f>
        <v>2021</v>
      </c>
      <c r="V1187">
        <f t="shared" si="198"/>
        <v>3</v>
      </c>
    </row>
    <row r="1188" spans="20:22" x14ac:dyDescent="0.25">
      <c r="T1188">
        <f>IF(connections!$A1188="","",IFERROR(INDEX(games!$B$2:$B$950,MATCH(connections!$A1188,games!$A$2:$A$950,0)),""))</f>
        <v>1998</v>
      </c>
      <c r="U1188">
        <f>IF(connections!$A1188="","",IFERROR(INDEX(games!$B$2:$B$950,MATCH(connections!$B1188,games!$A$2:$A$950,0)),""))</f>
        <v>2010</v>
      </c>
      <c r="V1188">
        <f t="shared" si="198"/>
        <v>12</v>
      </c>
    </row>
    <row r="1189" spans="20:22" x14ac:dyDescent="0.25">
      <c r="T1189">
        <f>IF(connections!$A1189="","",IFERROR(INDEX(games!$B$2:$B$950,MATCH(connections!$A1189,games!$A$2:$A$950,0)),""))</f>
        <v>1998</v>
      </c>
      <c r="U1189">
        <f>IF(connections!$A1189="","",IFERROR(INDEX(games!$B$2:$B$950,MATCH(connections!$B1189,games!$A$2:$A$950,0)),""))</f>
        <v>2010</v>
      </c>
      <c r="V1189">
        <f t="shared" si="198"/>
        <v>12</v>
      </c>
    </row>
    <row r="1190" spans="20:22" x14ac:dyDescent="0.25">
      <c r="T1190">
        <f>IF(connections!$A1190="","",IFERROR(INDEX(games!$B$2:$B$950,MATCH(connections!$A1190,games!$A$2:$A$950,0)),""))</f>
        <v>1998</v>
      </c>
      <c r="U1190">
        <f>IF(connections!$A1190="","",IFERROR(INDEX(games!$B$2:$B$950,MATCH(connections!$B1190,games!$A$2:$A$950,0)),""))</f>
        <v>2007</v>
      </c>
      <c r="V1190">
        <f t="shared" si="198"/>
        <v>9</v>
      </c>
    </row>
    <row r="1191" spans="20:22" x14ac:dyDescent="0.25">
      <c r="T1191">
        <f>IF(connections!$A1191="","",IFERROR(INDEX(games!$B$2:$B$950,MATCH(connections!$A1191,games!$A$2:$A$950,0)),""))</f>
        <v>1998</v>
      </c>
      <c r="U1191">
        <f>IF(connections!$A1191="","",IFERROR(INDEX(games!$B$2:$B$950,MATCH(connections!$B1191,games!$A$2:$A$950,0)),""))</f>
        <v>2020</v>
      </c>
      <c r="V1191">
        <f t="shared" si="198"/>
        <v>22</v>
      </c>
    </row>
    <row r="1192" spans="20:22" x14ac:dyDescent="0.25">
      <c r="T1192">
        <f>IF(connections!$A1192="","",IFERROR(INDEX(games!$B$2:$B$950,MATCH(connections!$A1192,games!$A$2:$A$950,0)),""))</f>
        <v>1998</v>
      </c>
      <c r="U1192">
        <f>IF(connections!$A1192="","",IFERROR(INDEX(games!$B$2:$B$950,MATCH(connections!$B1192,games!$A$2:$A$950,0)),""))</f>
        <v>2023</v>
      </c>
      <c r="V1192">
        <f t="shared" si="198"/>
        <v>25</v>
      </c>
    </row>
    <row r="1193" spans="20:22" x14ac:dyDescent="0.25">
      <c r="T1193">
        <f>IF(connections!$A1193="","",IFERROR(INDEX(games!$B$2:$B$950,MATCH(connections!$A1193,games!$A$2:$A$950,0)),""))</f>
        <v>1998</v>
      </c>
      <c r="U1193">
        <f>IF(connections!$A1193="","",IFERROR(INDEX(games!$B$2:$B$950,MATCH(connections!$B1193,games!$A$2:$A$950,0)),""))</f>
        <v>2020</v>
      </c>
      <c r="V1193">
        <f t="shared" si="198"/>
        <v>22</v>
      </c>
    </row>
    <row r="1194" spans="20:22" x14ac:dyDescent="0.25">
      <c r="T1194">
        <f>IF(connections!$A1194="","",IFERROR(INDEX(games!$B$2:$B$950,MATCH(connections!$A1194,games!$A$2:$A$950,0)),""))</f>
        <v>1998</v>
      </c>
      <c r="U1194">
        <f>IF(connections!$A1194="","",IFERROR(INDEX(games!$B$2:$B$950,MATCH(connections!$B1194,games!$A$2:$A$950,0)),""))</f>
        <v>2019</v>
      </c>
      <c r="V1194">
        <f t="shared" si="198"/>
        <v>21</v>
      </c>
    </row>
    <row r="1195" spans="20:22" x14ac:dyDescent="0.25">
      <c r="T1195">
        <f>IF(connections!$A1195="","",IFERROR(INDEX(games!$B$2:$B$950,MATCH(connections!$A1195,games!$A$2:$A$950,0)),""))</f>
        <v>1998</v>
      </c>
      <c r="U1195">
        <f>IF(connections!$A1195="","",IFERROR(INDEX(games!$B$2:$B$950,MATCH(connections!$B1195,games!$A$2:$A$950,0)),""))</f>
        <v>2017</v>
      </c>
      <c r="V1195">
        <f t="shared" si="198"/>
        <v>19</v>
      </c>
    </row>
    <row r="1196" spans="20:22" x14ac:dyDescent="0.25">
      <c r="T1196">
        <f>IF(connections!$A1196="","",IFERROR(INDEX(games!$B$2:$B$950,MATCH(connections!$A1196,games!$A$2:$A$950,0)),""))</f>
        <v>2017</v>
      </c>
      <c r="U1196">
        <f>IF(connections!$A1196="","",IFERROR(INDEX(games!$B$2:$B$950,MATCH(connections!$B1196,games!$A$2:$A$950,0)),""))</f>
        <v>2020</v>
      </c>
      <c r="V1196">
        <f t="shared" si="198"/>
        <v>3</v>
      </c>
    </row>
    <row r="1197" spans="20:22" x14ac:dyDescent="0.25">
      <c r="T1197">
        <f>IF(connections!$A1197="","",IFERROR(INDEX(games!$B$2:$B$950,MATCH(connections!$A1197,games!$A$2:$A$950,0)),""))</f>
        <v>2019</v>
      </c>
      <c r="U1197">
        <f>IF(connections!$A1197="","",IFERROR(INDEX(games!$B$2:$B$950,MATCH(connections!$B1197,games!$A$2:$A$950,0)),""))</f>
        <v>2026</v>
      </c>
      <c r="V1197">
        <f t="shared" si="198"/>
        <v>7</v>
      </c>
    </row>
    <row r="1198" spans="20:22" x14ac:dyDescent="0.25">
      <c r="T1198">
        <f>IF(connections!$A1198="","",IFERROR(INDEX(games!$B$2:$B$950,MATCH(connections!$A1198,games!$A$2:$A$950,0)),""))</f>
        <v>2019</v>
      </c>
      <c r="U1198">
        <f>IF(connections!$A1198="","",IFERROR(INDEX(games!$B$2:$B$950,MATCH(connections!$B1198,games!$A$2:$A$950,0)),""))</f>
        <v>2023</v>
      </c>
      <c r="V1198">
        <f t="shared" si="198"/>
        <v>4</v>
      </c>
    </row>
    <row r="1199" spans="20:22" x14ac:dyDescent="0.25">
      <c r="T1199">
        <f>IF(connections!$A1199="","",IFERROR(INDEX(games!$B$2:$B$950,MATCH(connections!$A1199,games!$A$2:$A$950,0)),""))</f>
        <v>2019</v>
      </c>
      <c r="U1199">
        <f>IF(connections!$A1199="","",IFERROR(INDEX(games!$B$2:$B$950,MATCH(connections!$B1199,games!$A$2:$A$950,0)),""))</f>
        <v>2025</v>
      </c>
      <c r="V1199">
        <f t="shared" si="198"/>
        <v>6</v>
      </c>
    </row>
    <row r="1200" spans="20:22" x14ac:dyDescent="0.25">
      <c r="T1200">
        <f>IF(connections!$A1200="","",IFERROR(INDEX(games!$B$2:$B$950,MATCH(connections!$A1200,games!$A$2:$A$950,0)),""))</f>
        <v>2019</v>
      </c>
      <c r="U1200">
        <f>IF(connections!$A1200="","",IFERROR(INDEX(games!$B$2:$B$950,MATCH(connections!$B1200,games!$A$2:$A$950,0)),""))</f>
        <v>2025</v>
      </c>
      <c r="V1200">
        <f t="shared" si="198"/>
        <v>6</v>
      </c>
    </row>
    <row r="1201" spans="20:22" x14ac:dyDescent="0.25">
      <c r="T1201">
        <f>IF(connections!$A1201="","",IFERROR(INDEX(games!$B$2:$B$950,MATCH(connections!$A1201,games!$A$2:$A$950,0)),""))</f>
        <v>2019</v>
      </c>
      <c r="U1201">
        <f>IF(connections!$A1201="","",IFERROR(INDEX(games!$B$2:$B$950,MATCH(connections!$B1201,games!$A$2:$A$950,0)),""))</f>
        <v>2025</v>
      </c>
      <c r="V1201">
        <f t="shared" si="198"/>
        <v>6</v>
      </c>
    </row>
    <row r="1202" spans="20:22" x14ac:dyDescent="0.25">
      <c r="T1202">
        <f>IF(connections!$A1202="","",IFERROR(INDEX(games!$B$2:$B$950,MATCH(connections!$A1202,games!$A$2:$A$950,0)),""))</f>
        <v>2019</v>
      </c>
      <c r="U1202">
        <f>IF(connections!$A1202="","",IFERROR(INDEX(games!$B$2:$B$950,MATCH(connections!$B1202,games!$A$2:$A$950,0)),""))</f>
        <v>2025</v>
      </c>
      <c r="V1202">
        <f t="shared" si="198"/>
        <v>6</v>
      </c>
    </row>
    <row r="1203" spans="20:22" x14ac:dyDescent="0.25">
      <c r="T1203">
        <f>IF(connections!$A1203="","",IFERROR(INDEX(games!$B$2:$B$950,MATCH(connections!$A1203,games!$A$2:$A$950,0)),""))</f>
        <v>2025</v>
      </c>
      <c r="U1203">
        <f>IF(connections!$A1203="","",IFERROR(INDEX(games!$B$2:$B$950,MATCH(connections!$B1203,games!$A$2:$A$950,0)),""))</f>
        <v>2026</v>
      </c>
      <c r="V1203">
        <f t="shared" si="198"/>
        <v>1</v>
      </c>
    </row>
    <row r="1204" spans="20:22" x14ac:dyDescent="0.25">
      <c r="T1204">
        <f>IF(connections!$A1204="","",IFERROR(INDEX(games!$B$2:$B$950,MATCH(connections!$A1204,games!$A$2:$A$950,0)),""))</f>
        <v>2025</v>
      </c>
      <c r="U1204">
        <f>IF(connections!$A1204="","",IFERROR(INDEX(games!$B$2:$B$950,MATCH(connections!$B1204,games!$A$2:$A$950,0)),""))</f>
        <v>2026</v>
      </c>
      <c r="V1204">
        <f t="shared" si="198"/>
        <v>1</v>
      </c>
    </row>
    <row r="1205" spans="20:22" x14ac:dyDescent="0.25">
      <c r="T1205">
        <f>IF(connections!$A1205="","",IFERROR(INDEX(games!$B$2:$B$950,MATCH(connections!$A1205,games!$A$2:$A$950,0)),""))</f>
        <v>2025</v>
      </c>
      <c r="U1205">
        <f>IF(connections!$A1205="","",IFERROR(INDEX(games!$B$2:$B$950,MATCH(connections!$B1205,games!$A$2:$A$950,0)),""))</f>
        <v>2026</v>
      </c>
      <c r="V1205">
        <f t="shared" si="198"/>
        <v>1</v>
      </c>
    </row>
    <row r="1206" spans="20:22" x14ac:dyDescent="0.25">
      <c r="T1206">
        <f>IF(connections!$A1206="","",IFERROR(INDEX(games!$B$2:$B$950,MATCH(connections!$A1206,games!$A$2:$A$950,0)),""))</f>
        <v>2011</v>
      </c>
      <c r="U1206">
        <f>IF(connections!$A1206="","",IFERROR(INDEX(games!$B$2:$B$950,MATCH(connections!$B1206,games!$A$2:$A$950,0)),""))</f>
        <v>2017</v>
      </c>
      <c r="V1206">
        <f t="shared" si="198"/>
        <v>6</v>
      </c>
    </row>
    <row r="1207" spans="20:22" x14ac:dyDescent="0.25">
      <c r="T1207">
        <f>IF(connections!$A1207="","",IFERROR(INDEX(games!$B$2:$B$950,MATCH(connections!$A1207,games!$A$2:$A$950,0)),""))</f>
        <v>2011</v>
      </c>
      <c r="U1207">
        <f>IF(connections!$A1207="","",IFERROR(INDEX(games!$B$2:$B$950,MATCH(connections!$B1207,games!$A$2:$A$950,0)),""))</f>
        <v>2013</v>
      </c>
      <c r="V1207">
        <f t="shared" si="198"/>
        <v>2</v>
      </c>
    </row>
    <row r="1208" spans="20:22" x14ac:dyDescent="0.25">
      <c r="T1208">
        <f>IF(connections!$A1208="","",IFERROR(INDEX(games!$B$2:$B$950,MATCH(connections!$A1208,games!$A$2:$A$950,0)),""))</f>
        <v>2011</v>
      </c>
      <c r="U1208">
        <f>IF(connections!$A1208="","",IFERROR(INDEX(games!$B$2:$B$950,MATCH(connections!$B1208,games!$A$2:$A$950,0)),""))</f>
        <v>2017</v>
      </c>
      <c r="V1208">
        <f t="shared" si="198"/>
        <v>6</v>
      </c>
    </row>
    <row r="1209" spans="20:22" x14ac:dyDescent="0.25">
      <c r="T1209">
        <f>IF(connections!$A1209="","",IFERROR(INDEX(games!$B$2:$B$950,MATCH(connections!$A1209,games!$A$2:$A$950,0)),""))</f>
        <v>2011</v>
      </c>
      <c r="U1209">
        <f>IF(connections!$A1209="","",IFERROR(INDEX(games!$B$2:$B$950,MATCH(connections!$B1209,games!$A$2:$A$950,0)),""))</f>
        <v>2025</v>
      </c>
      <c r="V1209">
        <f t="shared" si="198"/>
        <v>14</v>
      </c>
    </row>
    <row r="1210" spans="20:22" x14ac:dyDescent="0.25">
      <c r="T1210">
        <f>IF(connections!$A1210="","",IFERROR(INDEX(games!$B$2:$B$950,MATCH(connections!$A1210,games!$A$2:$A$950,0)),""))</f>
        <v>2011</v>
      </c>
      <c r="U1210">
        <f>IF(connections!$A1210="","",IFERROR(INDEX(games!$B$2:$B$950,MATCH(connections!$B1210,games!$A$2:$A$950,0)),""))</f>
        <v>2023</v>
      </c>
      <c r="V1210">
        <f t="shared" si="198"/>
        <v>12</v>
      </c>
    </row>
    <row r="1211" spans="20:22" x14ac:dyDescent="0.25">
      <c r="T1211">
        <f>IF(connections!$A1211="","",IFERROR(INDEX(games!$B$2:$B$950,MATCH(connections!$A1211,games!$A$2:$A$950,0)),""))</f>
        <v>2011</v>
      </c>
      <c r="U1211">
        <f>IF(connections!$A1211="","",IFERROR(INDEX(games!$B$2:$B$950,MATCH(connections!$B1211,games!$A$2:$A$950,0)),""))</f>
        <v>2023</v>
      </c>
      <c r="V1211">
        <f t="shared" si="198"/>
        <v>12</v>
      </c>
    </row>
    <row r="1212" spans="20:22" x14ac:dyDescent="0.25">
      <c r="T1212">
        <f>IF(connections!$A1212="","",IFERROR(INDEX(games!$B$2:$B$950,MATCH(connections!$A1212,games!$A$2:$A$950,0)),""))</f>
        <v>2011</v>
      </c>
      <c r="U1212">
        <f>IF(connections!$A1212="","",IFERROR(INDEX(games!$B$2:$B$950,MATCH(connections!$B1212,games!$A$2:$A$950,0)),""))</f>
        <v>2019</v>
      </c>
      <c r="V1212">
        <f t="shared" si="198"/>
        <v>8</v>
      </c>
    </row>
    <row r="1213" spans="20:22" x14ac:dyDescent="0.25">
      <c r="T1213">
        <f>IF(connections!$A1213="","",IFERROR(INDEX(games!$B$2:$B$950,MATCH(connections!$A1213,games!$A$2:$A$950,0)),""))</f>
        <v>2011</v>
      </c>
      <c r="U1213">
        <f>IF(connections!$A1213="","",IFERROR(INDEX(games!$B$2:$B$950,MATCH(connections!$B1213,games!$A$2:$A$950,0)),""))</f>
        <v>2021</v>
      </c>
      <c r="V1213">
        <f t="shared" si="198"/>
        <v>10</v>
      </c>
    </row>
    <row r="1214" spans="20:22" x14ac:dyDescent="0.25">
      <c r="T1214">
        <f>IF(connections!$A1214="","",IFERROR(INDEX(games!$B$2:$B$950,MATCH(connections!$A1214,games!$A$2:$A$950,0)),""))</f>
        <v>2011</v>
      </c>
      <c r="U1214">
        <f>IF(connections!$A1214="","",IFERROR(INDEX(games!$B$2:$B$950,MATCH(connections!$B1214,games!$A$2:$A$950,0)),""))</f>
        <v>2020</v>
      </c>
      <c r="V1214">
        <f t="shared" si="198"/>
        <v>9</v>
      </c>
    </row>
    <row r="1215" spans="20:22" x14ac:dyDescent="0.25">
      <c r="T1215">
        <f>IF(connections!$A1215="","",IFERROR(INDEX(games!$B$2:$B$950,MATCH(connections!$A1215,games!$A$2:$A$950,0)),""))</f>
        <v>2011</v>
      </c>
      <c r="U1215">
        <f>IF(connections!$A1215="","",IFERROR(INDEX(games!$B$2:$B$950,MATCH(connections!$B1215,games!$A$2:$A$950,0)),""))</f>
        <v>2019</v>
      </c>
      <c r="V1215">
        <f t="shared" si="198"/>
        <v>8</v>
      </c>
    </row>
    <row r="1216" spans="20:22" x14ac:dyDescent="0.25">
      <c r="T1216">
        <f>IF(connections!$A1216="","",IFERROR(INDEX(games!$B$2:$B$950,MATCH(connections!$A1216,games!$A$2:$A$950,0)),""))</f>
        <v>2011</v>
      </c>
      <c r="U1216">
        <f>IF(connections!$A1216="","",IFERROR(INDEX(games!$B$2:$B$950,MATCH(connections!$B1216,games!$A$2:$A$950,0)),""))</f>
        <v>2024</v>
      </c>
      <c r="V1216">
        <f t="shared" si="198"/>
        <v>13</v>
      </c>
    </row>
    <row r="1217" spans="20:22" x14ac:dyDescent="0.25">
      <c r="T1217">
        <f>IF(connections!$A1217="","",IFERROR(INDEX(games!$B$2:$B$950,MATCH(connections!$A1217,games!$A$2:$A$950,0)),""))</f>
        <v>2011</v>
      </c>
      <c r="U1217">
        <f>IF(connections!$A1217="","",IFERROR(INDEX(games!$B$2:$B$950,MATCH(connections!$B1217,games!$A$2:$A$950,0)),""))</f>
        <v>2022</v>
      </c>
      <c r="V1217">
        <f t="shared" si="198"/>
        <v>11</v>
      </c>
    </row>
    <row r="1218" spans="20:22" x14ac:dyDescent="0.25">
      <c r="T1218">
        <f>IF(connections!$A1218="","",IFERROR(INDEX(games!$B$2:$B$950,MATCH(connections!$A1218,games!$A$2:$A$950,0)),""))</f>
        <v>2011</v>
      </c>
      <c r="U1218">
        <f>IF(connections!$A1218="","",IFERROR(INDEX(games!$B$2:$B$950,MATCH(connections!$B1218,games!$A$2:$A$950,0)),""))</f>
        <v>2023</v>
      </c>
      <c r="V1218">
        <f t="shared" ref="V1218:V1281" si="199">IF(OR($T1218="",$U1218=""),"",$U1218-$T1218)</f>
        <v>12</v>
      </c>
    </row>
    <row r="1219" spans="20:22" x14ac:dyDescent="0.25">
      <c r="T1219">
        <f>IF(connections!$A1219="","",IFERROR(INDEX(games!$B$2:$B$950,MATCH(connections!$A1219,games!$A$2:$A$950,0)),""))</f>
        <v>2011</v>
      </c>
      <c r="U1219">
        <f>IF(connections!$A1219="","",IFERROR(INDEX(games!$B$2:$B$950,MATCH(connections!$B1219,games!$A$2:$A$950,0)),""))</f>
        <v>2017</v>
      </c>
      <c r="V1219">
        <f t="shared" si="199"/>
        <v>6</v>
      </c>
    </row>
    <row r="1220" spans="20:22" x14ac:dyDescent="0.25">
      <c r="T1220">
        <f>IF(connections!$A1220="","",IFERROR(INDEX(games!$B$2:$B$950,MATCH(connections!$A1220,games!$A$2:$A$950,0)),""))</f>
        <v>2011</v>
      </c>
      <c r="U1220">
        <f>IF(connections!$A1220="","",IFERROR(INDEX(games!$B$2:$B$950,MATCH(connections!$B1220,games!$A$2:$A$950,0)),""))</f>
        <v>2015</v>
      </c>
      <c r="V1220">
        <f t="shared" si="199"/>
        <v>4</v>
      </c>
    </row>
    <row r="1221" spans="20:22" x14ac:dyDescent="0.25">
      <c r="T1221">
        <f>IF(connections!$A1221="","",IFERROR(INDEX(games!$B$2:$B$950,MATCH(connections!$A1221,games!$A$2:$A$950,0)),""))</f>
        <v>2011</v>
      </c>
      <c r="U1221">
        <f>IF(connections!$A1221="","",IFERROR(INDEX(games!$B$2:$B$950,MATCH(connections!$B1221,games!$A$2:$A$950,0)),""))</f>
        <v>2022</v>
      </c>
      <c r="V1221">
        <f t="shared" si="199"/>
        <v>11</v>
      </c>
    </row>
    <row r="1222" spans="20:22" x14ac:dyDescent="0.25">
      <c r="T1222">
        <f>IF(connections!$A1222="","",IFERROR(INDEX(games!$B$2:$B$950,MATCH(connections!$A1222,games!$A$2:$A$950,0)),""))</f>
        <v>2011</v>
      </c>
      <c r="U1222">
        <f>IF(connections!$A1222="","",IFERROR(INDEX(games!$B$2:$B$950,MATCH(connections!$B1222,games!$A$2:$A$950,0)),""))</f>
        <v>2018</v>
      </c>
      <c r="V1222">
        <f t="shared" si="199"/>
        <v>7</v>
      </c>
    </row>
    <row r="1223" spans="20:22" x14ac:dyDescent="0.25">
      <c r="T1223">
        <f>IF(connections!$A1223="","",IFERROR(INDEX(games!$B$2:$B$950,MATCH(connections!$A1223,games!$A$2:$A$950,0)),""))</f>
        <v>2011</v>
      </c>
      <c r="U1223">
        <f>IF(connections!$A1223="","",IFERROR(INDEX(games!$B$2:$B$950,MATCH(connections!$B1223,games!$A$2:$A$950,0)),""))</f>
        <v>2020</v>
      </c>
      <c r="V1223">
        <f t="shared" si="199"/>
        <v>9</v>
      </c>
    </row>
    <row r="1224" spans="20:22" x14ac:dyDescent="0.25">
      <c r="T1224">
        <f>IF(connections!$A1224="","",IFERROR(INDEX(games!$B$2:$B$950,MATCH(connections!$A1224,games!$A$2:$A$950,0)),""))</f>
        <v>2011</v>
      </c>
      <c r="U1224">
        <f>IF(connections!$A1224="","",IFERROR(INDEX(games!$B$2:$B$950,MATCH(connections!$B1224,games!$A$2:$A$950,0)),""))</f>
        <v>2019</v>
      </c>
      <c r="V1224">
        <f t="shared" si="199"/>
        <v>8</v>
      </c>
    </row>
    <row r="1225" spans="20:22" x14ac:dyDescent="0.25">
      <c r="T1225">
        <f>IF(connections!$A1225="","",IFERROR(INDEX(games!$B$2:$B$950,MATCH(connections!$A1225,games!$A$2:$A$950,0)),""))</f>
        <v>2011</v>
      </c>
      <c r="U1225">
        <f>IF(connections!$A1225="","",IFERROR(INDEX(games!$B$2:$B$950,MATCH(connections!$B1225,games!$A$2:$A$950,0)),""))</f>
        <v>2026</v>
      </c>
      <c r="V1225">
        <f t="shared" si="199"/>
        <v>15</v>
      </c>
    </row>
    <row r="1226" spans="20:22" x14ac:dyDescent="0.25">
      <c r="T1226">
        <f>IF(connections!$A1226="","",IFERROR(INDEX(games!$B$2:$B$950,MATCH(connections!$A1226,games!$A$2:$A$950,0)),""))</f>
        <v>2011</v>
      </c>
      <c r="U1226">
        <f>IF(connections!$A1226="","",IFERROR(INDEX(games!$B$2:$B$950,MATCH(connections!$B1226,games!$A$2:$A$950,0)),""))</f>
        <v>2020</v>
      </c>
      <c r="V1226">
        <f t="shared" si="199"/>
        <v>9</v>
      </c>
    </row>
    <row r="1227" spans="20:22" x14ac:dyDescent="0.25">
      <c r="T1227">
        <f>IF(connections!$A1227="","",IFERROR(INDEX(games!$B$2:$B$950,MATCH(connections!$A1227,games!$A$2:$A$950,0)),""))</f>
        <v>2011</v>
      </c>
      <c r="U1227">
        <f>IF(connections!$A1227="","",IFERROR(INDEX(games!$B$2:$B$950,MATCH(connections!$B1227,games!$A$2:$A$950,0)),""))</f>
        <v>2024</v>
      </c>
      <c r="V1227">
        <f t="shared" si="199"/>
        <v>13</v>
      </c>
    </row>
    <row r="1228" spans="20:22" x14ac:dyDescent="0.25">
      <c r="T1228">
        <f>IF(connections!$A1228="","",IFERROR(INDEX(games!$B$2:$B$950,MATCH(connections!$A1228,games!$A$2:$A$950,0)),""))</f>
        <v>2011</v>
      </c>
      <c r="U1228">
        <f>IF(connections!$A1228="","",IFERROR(INDEX(games!$B$2:$B$950,MATCH(connections!$B1228,games!$A$2:$A$950,0)),""))</f>
        <v>2022</v>
      </c>
      <c r="V1228">
        <f t="shared" si="199"/>
        <v>11</v>
      </c>
    </row>
    <row r="1229" spans="20:22" x14ac:dyDescent="0.25">
      <c r="T1229">
        <f>IF(connections!$A1229="","",IFERROR(INDEX(games!$B$2:$B$950,MATCH(connections!$A1229,games!$A$2:$A$950,0)),""))</f>
        <v>2011</v>
      </c>
      <c r="U1229">
        <f>IF(connections!$A1229="","",IFERROR(INDEX(games!$B$2:$B$950,MATCH(connections!$B1229,games!$A$2:$A$950,0)),""))</f>
        <v>2016</v>
      </c>
      <c r="V1229">
        <f t="shared" si="199"/>
        <v>5</v>
      </c>
    </row>
    <row r="1230" spans="20:22" x14ac:dyDescent="0.25">
      <c r="T1230">
        <f>IF(connections!$A1230="","",IFERROR(INDEX(games!$B$2:$B$950,MATCH(connections!$A1230,games!$A$2:$A$950,0)),""))</f>
        <v>2011</v>
      </c>
      <c r="U1230">
        <f>IF(connections!$A1230="","",IFERROR(INDEX(games!$B$2:$B$950,MATCH(connections!$B1230,games!$A$2:$A$950,0)),""))</f>
        <v>2017</v>
      </c>
      <c r="V1230">
        <f t="shared" si="199"/>
        <v>6</v>
      </c>
    </row>
    <row r="1231" spans="20:22" x14ac:dyDescent="0.25">
      <c r="T1231">
        <f>IF(connections!$A1231="","",IFERROR(INDEX(games!$B$2:$B$950,MATCH(connections!$A1231,games!$A$2:$A$950,0)),""))</f>
        <v>2011</v>
      </c>
      <c r="U1231">
        <f>IF(connections!$A1231="","",IFERROR(INDEX(games!$B$2:$B$950,MATCH(connections!$B1231,games!$A$2:$A$950,0)),""))</f>
        <v>2013</v>
      </c>
      <c r="V1231">
        <f t="shared" si="199"/>
        <v>2</v>
      </c>
    </row>
    <row r="1232" spans="20:22" x14ac:dyDescent="0.25">
      <c r="T1232">
        <f>IF(connections!$A1232="","",IFERROR(INDEX(games!$B$2:$B$950,MATCH(connections!$A1232,games!$A$2:$A$950,0)),""))</f>
        <v>2011</v>
      </c>
      <c r="U1232">
        <f>IF(connections!$A1232="","",IFERROR(INDEX(games!$B$2:$B$950,MATCH(connections!$B1232,games!$A$2:$A$950,0)),""))</f>
        <v>2020</v>
      </c>
      <c r="V1232">
        <f t="shared" si="199"/>
        <v>9</v>
      </c>
    </row>
    <row r="1233" spans="20:22" x14ac:dyDescent="0.25">
      <c r="T1233">
        <f>IF(connections!$A1233="","",IFERROR(INDEX(games!$B$2:$B$950,MATCH(connections!$A1233,games!$A$2:$A$950,0)),""))</f>
        <v>2011</v>
      </c>
      <c r="U1233">
        <f>IF(connections!$A1233="","",IFERROR(INDEX(games!$B$2:$B$950,MATCH(connections!$B1233,games!$A$2:$A$950,0)),""))</f>
        <v>2020</v>
      </c>
      <c r="V1233">
        <f t="shared" si="199"/>
        <v>9</v>
      </c>
    </row>
    <row r="1234" spans="20:22" x14ac:dyDescent="0.25">
      <c r="T1234">
        <f>IF(connections!$A1234="","",IFERROR(INDEX(games!$B$2:$B$950,MATCH(connections!$A1234,games!$A$2:$A$950,0)),""))</f>
        <v>2011</v>
      </c>
      <c r="U1234">
        <f>IF(connections!$A1234="","",IFERROR(INDEX(games!$B$2:$B$950,MATCH(connections!$B1234,games!$A$2:$A$950,0)),""))</f>
        <v>2019</v>
      </c>
      <c r="V1234">
        <f t="shared" si="199"/>
        <v>8</v>
      </c>
    </row>
    <row r="1235" spans="20:22" x14ac:dyDescent="0.25">
      <c r="T1235">
        <f>IF(connections!$A1235="","",IFERROR(INDEX(games!$B$2:$B$950,MATCH(connections!$A1235,games!$A$2:$A$950,0)),""))</f>
        <v>2011</v>
      </c>
      <c r="U1235">
        <f>IF(connections!$A1235="","",IFERROR(INDEX(games!$B$2:$B$950,MATCH(connections!$B1235,games!$A$2:$A$950,0)),""))</f>
        <v>2017</v>
      </c>
      <c r="V1235">
        <f t="shared" si="199"/>
        <v>6</v>
      </c>
    </row>
    <row r="1236" spans="20:22" x14ac:dyDescent="0.25">
      <c r="T1236">
        <f>IF(connections!$A1236="","",IFERROR(INDEX(games!$B$2:$B$950,MATCH(connections!$A1236,games!$A$2:$A$950,0)),""))</f>
        <v>2011</v>
      </c>
      <c r="U1236">
        <f>IF(connections!$A1236="","",IFERROR(INDEX(games!$B$2:$B$950,MATCH(connections!$B1236,games!$A$2:$A$950,0)),""))</f>
        <v>2024</v>
      </c>
      <c r="V1236">
        <f t="shared" si="199"/>
        <v>13</v>
      </c>
    </row>
    <row r="1237" spans="20:22" x14ac:dyDescent="0.25">
      <c r="T1237">
        <f>IF(connections!$A1237="","",IFERROR(INDEX(games!$B$2:$B$950,MATCH(connections!$A1237,games!$A$2:$A$950,0)),""))</f>
        <v>2011</v>
      </c>
      <c r="U1237">
        <f>IF(connections!$A1237="","",IFERROR(INDEX(games!$B$2:$B$950,MATCH(connections!$B1237,games!$A$2:$A$950,0)),""))</f>
        <v>2019</v>
      </c>
      <c r="V1237">
        <f t="shared" si="199"/>
        <v>8</v>
      </c>
    </row>
    <row r="1238" spans="20:22" x14ac:dyDescent="0.25">
      <c r="T1238">
        <f>IF(connections!$A1238="","",IFERROR(INDEX(games!$B$2:$B$950,MATCH(connections!$A1238,games!$A$2:$A$950,0)),""))</f>
        <v>2011</v>
      </c>
      <c r="U1238">
        <f>IF(connections!$A1238="","",IFERROR(INDEX(games!$B$2:$B$950,MATCH(connections!$B1238,games!$A$2:$A$950,0)),""))</f>
        <v>2023</v>
      </c>
      <c r="V1238">
        <f t="shared" si="199"/>
        <v>12</v>
      </c>
    </row>
    <row r="1239" spans="20:22" x14ac:dyDescent="0.25">
      <c r="T1239">
        <f>IF(connections!$A1239="","",IFERROR(INDEX(games!$B$2:$B$950,MATCH(connections!$A1239,games!$A$2:$A$950,0)),""))</f>
        <v>2011</v>
      </c>
      <c r="U1239">
        <f>IF(connections!$A1239="","",IFERROR(INDEX(games!$B$2:$B$950,MATCH(connections!$B1239,games!$A$2:$A$950,0)),""))</f>
        <v>2018</v>
      </c>
      <c r="V1239">
        <f t="shared" si="199"/>
        <v>7</v>
      </c>
    </row>
    <row r="1240" spans="20:22" x14ac:dyDescent="0.25">
      <c r="T1240">
        <f>IF(connections!$A1240="","",IFERROR(INDEX(games!$B$2:$B$950,MATCH(connections!$A1240,games!$A$2:$A$950,0)),""))</f>
        <v>2011</v>
      </c>
      <c r="U1240">
        <f>IF(connections!$A1240="","",IFERROR(INDEX(games!$B$2:$B$950,MATCH(connections!$B1240,games!$A$2:$A$950,0)),""))</f>
        <v>2025</v>
      </c>
      <c r="V1240">
        <f t="shared" si="199"/>
        <v>14</v>
      </c>
    </row>
    <row r="1241" spans="20:22" x14ac:dyDescent="0.25">
      <c r="T1241">
        <f>IF(connections!$A1241="","",IFERROR(INDEX(games!$B$2:$B$950,MATCH(connections!$A1241,games!$A$2:$A$950,0)),""))</f>
        <v>2011</v>
      </c>
      <c r="U1241">
        <f>IF(connections!$A1241="","",IFERROR(INDEX(games!$B$2:$B$950,MATCH(connections!$B1241,games!$A$2:$A$950,0)),""))</f>
        <v>2026</v>
      </c>
      <c r="V1241">
        <f t="shared" si="199"/>
        <v>15</v>
      </c>
    </row>
    <row r="1242" spans="20:22" x14ac:dyDescent="0.25">
      <c r="T1242">
        <f>IF(connections!$A1242="","",IFERROR(INDEX(games!$B$2:$B$950,MATCH(connections!$A1242,games!$A$2:$A$950,0)),""))</f>
        <v>2011</v>
      </c>
      <c r="U1242">
        <f>IF(connections!$A1242="","",IFERROR(INDEX(games!$B$2:$B$950,MATCH(connections!$B1242,games!$A$2:$A$950,0)),""))</f>
        <v>2015</v>
      </c>
      <c r="V1242">
        <f t="shared" si="199"/>
        <v>4</v>
      </c>
    </row>
    <row r="1243" spans="20:22" x14ac:dyDescent="0.25">
      <c r="T1243">
        <f>IF(connections!$A1243="","",IFERROR(INDEX(games!$B$2:$B$950,MATCH(connections!$A1243,games!$A$2:$A$950,0)),""))</f>
        <v>2011</v>
      </c>
      <c r="U1243">
        <f>IF(connections!$A1243="","",IFERROR(INDEX(games!$B$2:$B$950,MATCH(connections!$B1243,games!$A$2:$A$950,0)),""))</f>
        <v>2018</v>
      </c>
      <c r="V1243">
        <f t="shared" si="199"/>
        <v>7</v>
      </c>
    </row>
    <row r="1244" spans="20:22" x14ac:dyDescent="0.25">
      <c r="T1244">
        <f>IF(connections!$A1244="","",IFERROR(INDEX(games!$B$2:$B$950,MATCH(connections!$A1244,games!$A$2:$A$950,0)),""))</f>
        <v>2011</v>
      </c>
      <c r="U1244">
        <f>IF(connections!$A1244="","",IFERROR(INDEX(games!$B$2:$B$950,MATCH(connections!$B1244,games!$A$2:$A$950,0)),""))</f>
        <v>2019</v>
      </c>
      <c r="V1244">
        <f t="shared" si="199"/>
        <v>8</v>
      </c>
    </row>
    <row r="1245" spans="20:22" x14ac:dyDescent="0.25">
      <c r="T1245">
        <f>IF(connections!$A1245="","",IFERROR(INDEX(games!$B$2:$B$950,MATCH(connections!$A1245,games!$A$2:$A$950,0)),""))</f>
        <v>2011</v>
      </c>
      <c r="U1245">
        <f>IF(connections!$A1245="","",IFERROR(INDEX(games!$B$2:$B$950,MATCH(connections!$B1245,games!$A$2:$A$950,0)),""))</f>
        <v>2025</v>
      </c>
      <c r="V1245">
        <f t="shared" si="199"/>
        <v>14</v>
      </c>
    </row>
    <row r="1246" spans="20:22" x14ac:dyDescent="0.25">
      <c r="T1246">
        <f>IF(connections!$A1246="","",IFERROR(INDEX(games!$B$2:$B$950,MATCH(connections!$A1246,games!$A$2:$A$950,0)),""))</f>
        <v>2011</v>
      </c>
      <c r="U1246">
        <f>IF(connections!$A1246="","",IFERROR(INDEX(games!$B$2:$B$950,MATCH(connections!$B1246,games!$A$2:$A$950,0)),""))</f>
        <v>2022</v>
      </c>
      <c r="V1246">
        <f t="shared" si="199"/>
        <v>11</v>
      </c>
    </row>
    <row r="1247" spans="20:22" x14ac:dyDescent="0.25">
      <c r="T1247">
        <f>IF(connections!$A1247="","",IFERROR(INDEX(games!$B$2:$B$950,MATCH(connections!$A1247,games!$A$2:$A$950,0)),""))</f>
        <v>2011</v>
      </c>
      <c r="U1247">
        <f>IF(connections!$A1247="","",IFERROR(INDEX(games!$B$2:$B$950,MATCH(connections!$B1247,games!$A$2:$A$950,0)),""))</f>
        <v>2019</v>
      </c>
      <c r="V1247">
        <f t="shared" si="199"/>
        <v>8</v>
      </c>
    </row>
    <row r="1248" spans="20:22" x14ac:dyDescent="0.25">
      <c r="T1248">
        <f>IF(connections!$A1248="","",IFERROR(INDEX(games!$B$2:$B$950,MATCH(connections!$A1248,games!$A$2:$A$950,0)),""))</f>
        <v>2011</v>
      </c>
      <c r="U1248">
        <f>IF(connections!$A1248="","",IFERROR(INDEX(games!$B$2:$B$950,MATCH(connections!$B1248,games!$A$2:$A$950,0)),""))</f>
        <v>2024</v>
      </c>
      <c r="V1248">
        <f t="shared" si="199"/>
        <v>13</v>
      </c>
    </row>
    <row r="1249" spans="20:22" x14ac:dyDescent="0.25">
      <c r="T1249">
        <f>IF(connections!$A1249="","",IFERROR(INDEX(games!$B$2:$B$950,MATCH(connections!$A1249,games!$A$2:$A$950,0)),""))</f>
        <v>2011</v>
      </c>
      <c r="U1249">
        <f>IF(connections!$A1249="","",IFERROR(INDEX(games!$B$2:$B$950,MATCH(connections!$B1249,games!$A$2:$A$950,0)),""))</f>
        <v>2015</v>
      </c>
      <c r="V1249">
        <f t="shared" si="199"/>
        <v>4</v>
      </c>
    </row>
    <row r="1250" spans="20:22" x14ac:dyDescent="0.25">
      <c r="T1250">
        <f>IF(connections!$A1250="","",IFERROR(INDEX(games!$B$2:$B$950,MATCH(connections!$A1250,games!$A$2:$A$950,0)),""))</f>
        <v>2011</v>
      </c>
      <c r="U1250">
        <f>IF(connections!$A1250="","",IFERROR(INDEX(games!$B$2:$B$950,MATCH(connections!$B1250,games!$A$2:$A$950,0)),""))</f>
        <v>2021</v>
      </c>
      <c r="V1250">
        <f t="shared" si="199"/>
        <v>10</v>
      </c>
    </row>
    <row r="1251" spans="20:22" x14ac:dyDescent="0.25">
      <c r="T1251">
        <f>IF(connections!$A1251="","",IFERROR(INDEX(games!$B$2:$B$950,MATCH(connections!$A1251,games!$A$2:$A$950,0)),""))</f>
        <v>2011</v>
      </c>
      <c r="U1251">
        <f>IF(connections!$A1251="","",IFERROR(INDEX(games!$B$2:$B$950,MATCH(connections!$B1251,games!$A$2:$A$950,0)),""))</f>
        <v>2014</v>
      </c>
      <c r="V1251">
        <f t="shared" si="199"/>
        <v>3</v>
      </c>
    </row>
    <row r="1252" spans="20:22" x14ac:dyDescent="0.25">
      <c r="T1252">
        <f>IF(connections!$A1252="","",IFERROR(INDEX(games!$B$2:$B$950,MATCH(connections!$A1252,games!$A$2:$A$950,0)),""))</f>
        <v>2011</v>
      </c>
      <c r="U1252">
        <f>IF(connections!$A1252="","",IFERROR(INDEX(games!$B$2:$B$950,MATCH(connections!$B1252,games!$A$2:$A$950,0)),""))</f>
        <v>2023</v>
      </c>
      <c r="V1252">
        <f t="shared" si="199"/>
        <v>12</v>
      </c>
    </row>
    <row r="1253" spans="20:22" x14ac:dyDescent="0.25">
      <c r="T1253">
        <f>IF(connections!$A1253="","",IFERROR(INDEX(games!$B$2:$B$950,MATCH(connections!$A1253,games!$A$2:$A$950,0)),""))</f>
        <v>2011</v>
      </c>
      <c r="U1253">
        <f>IF(connections!$A1253="","",IFERROR(INDEX(games!$B$2:$B$950,MATCH(connections!$B1253,games!$A$2:$A$950,0)),""))</f>
        <v>2021</v>
      </c>
      <c r="V1253">
        <f t="shared" si="199"/>
        <v>10</v>
      </c>
    </row>
    <row r="1254" spans="20:22" x14ac:dyDescent="0.25">
      <c r="T1254">
        <f>IF(connections!$A1254="","",IFERROR(INDEX(games!$B$2:$B$950,MATCH(connections!$A1254,games!$A$2:$A$950,0)),""))</f>
        <v>2011</v>
      </c>
      <c r="U1254">
        <f>IF(connections!$A1254="","",IFERROR(INDEX(games!$B$2:$B$950,MATCH(connections!$B1254,games!$A$2:$A$950,0)),""))</f>
        <v>2026</v>
      </c>
      <c r="V1254">
        <f t="shared" si="199"/>
        <v>15</v>
      </c>
    </row>
    <row r="1255" spans="20:22" x14ac:dyDescent="0.25">
      <c r="T1255">
        <f>IF(connections!$A1255="","",IFERROR(INDEX(games!$B$2:$B$950,MATCH(connections!$A1255,games!$A$2:$A$950,0)),""))</f>
        <v>2011</v>
      </c>
      <c r="U1255">
        <f>IF(connections!$A1255="","",IFERROR(INDEX(games!$B$2:$B$950,MATCH(connections!$B1255,games!$A$2:$A$950,0)),""))</f>
        <v>2026</v>
      </c>
      <c r="V1255">
        <f t="shared" si="199"/>
        <v>15</v>
      </c>
    </row>
    <row r="1256" spans="20:22" x14ac:dyDescent="0.25">
      <c r="T1256">
        <f>IF(connections!$A1256="","",IFERROR(INDEX(games!$B$2:$B$950,MATCH(connections!$A1256,games!$A$2:$A$950,0)),""))</f>
        <v>2011</v>
      </c>
      <c r="U1256">
        <f>IF(connections!$A1256="","",IFERROR(INDEX(games!$B$2:$B$950,MATCH(connections!$B1256,games!$A$2:$A$950,0)),""))</f>
        <v>2026</v>
      </c>
      <c r="V1256">
        <f t="shared" si="199"/>
        <v>15</v>
      </c>
    </row>
    <row r="1257" spans="20:22" x14ac:dyDescent="0.25">
      <c r="T1257">
        <f>IF(connections!$A1257="","",IFERROR(INDEX(games!$B$2:$B$950,MATCH(connections!$A1257,games!$A$2:$A$950,0)),""))</f>
        <v>2011</v>
      </c>
      <c r="U1257">
        <f>IF(connections!$A1257="","",IFERROR(INDEX(games!$B$2:$B$950,MATCH(connections!$B1257,games!$A$2:$A$950,0)),""))</f>
        <v>2015</v>
      </c>
      <c r="V1257">
        <f t="shared" si="199"/>
        <v>4</v>
      </c>
    </row>
    <row r="1258" spans="20:22" x14ac:dyDescent="0.25">
      <c r="T1258">
        <f>IF(connections!$A1258="","",IFERROR(INDEX(games!$B$2:$B$950,MATCH(connections!$A1258,games!$A$2:$A$950,0)),""))</f>
        <v>2011</v>
      </c>
      <c r="U1258">
        <f>IF(connections!$A1258="","",IFERROR(INDEX(games!$B$2:$B$950,MATCH(connections!$B1258,games!$A$2:$A$950,0)),""))</f>
        <v>2021</v>
      </c>
      <c r="V1258">
        <f t="shared" si="199"/>
        <v>10</v>
      </c>
    </row>
    <row r="1259" spans="20:22" x14ac:dyDescent="0.25">
      <c r="T1259">
        <f>IF(connections!$A1259="","",IFERROR(INDEX(games!$B$2:$B$950,MATCH(connections!$A1259,games!$A$2:$A$950,0)),""))</f>
        <v>2011</v>
      </c>
      <c r="U1259">
        <f>IF(connections!$A1259="","",IFERROR(INDEX(games!$B$2:$B$950,MATCH(connections!$B1259,games!$A$2:$A$950,0)),""))</f>
        <v>2013</v>
      </c>
      <c r="V1259">
        <f t="shared" si="199"/>
        <v>2</v>
      </c>
    </row>
    <row r="1260" spans="20:22" x14ac:dyDescent="0.25">
      <c r="T1260">
        <f>IF(connections!$A1260="","",IFERROR(INDEX(games!$B$2:$B$950,MATCH(connections!$A1260,games!$A$2:$A$950,0)),""))</f>
        <v>2011</v>
      </c>
      <c r="U1260">
        <f>IF(connections!$A1260="","",IFERROR(INDEX(games!$B$2:$B$950,MATCH(connections!$B1260,games!$A$2:$A$950,0)),""))</f>
        <v>2023</v>
      </c>
      <c r="V1260">
        <f t="shared" si="199"/>
        <v>12</v>
      </c>
    </row>
    <row r="1261" spans="20:22" x14ac:dyDescent="0.25">
      <c r="T1261">
        <f>IF(connections!$A1261="","",IFERROR(INDEX(games!$B$2:$B$950,MATCH(connections!$A1261,games!$A$2:$A$950,0)),""))</f>
        <v>2011</v>
      </c>
      <c r="U1261">
        <f>IF(connections!$A1261="","",IFERROR(INDEX(games!$B$2:$B$950,MATCH(connections!$B1261,games!$A$2:$A$950,0)),""))</f>
        <v>2022</v>
      </c>
      <c r="V1261">
        <f t="shared" si="199"/>
        <v>11</v>
      </c>
    </row>
    <row r="1262" spans="20:22" x14ac:dyDescent="0.25">
      <c r="T1262">
        <f>IF(connections!$A1262="","",IFERROR(INDEX(games!$B$2:$B$950,MATCH(connections!$A1262,games!$A$2:$A$950,0)),""))</f>
        <v>2011</v>
      </c>
      <c r="U1262">
        <f>IF(connections!$A1262="","",IFERROR(INDEX(games!$B$2:$B$950,MATCH(connections!$B1262,games!$A$2:$A$950,0)),""))</f>
        <v>2017</v>
      </c>
      <c r="V1262">
        <f t="shared" si="199"/>
        <v>6</v>
      </c>
    </row>
    <row r="1263" spans="20:22" x14ac:dyDescent="0.25">
      <c r="T1263">
        <f>IF(connections!$A1263="","",IFERROR(INDEX(games!$B$2:$B$950,MATCH(connections!$A1263,games!$A$2:$A$950,0)),""))</f>
        <v>2011</v>
      </c>
      <c r="U1263">
        <f>IF(connections!$A1263="","",IFERROR(INDEX(games!$B$2:$B$950,MATCH(connections!$B1263,games!$A$2:$A$950,0)),""))</f>
        <v>2019</v>
      </c>
      <c r="V1263">
        <f t="shared" si="199"/>
        <v>8</v>
      </c>
    </row>
    <row r="1264" spans="20:22" x14ac:dyDescent="0.25">
      <c r="T1264">
        <f>IF(connections!$A1264="","",IFERROR(INDEX(games!$B$2:$B$950,MATCH(connections!$A1264,games!$A$2:$A$950,0)),""))</f>
        <v>2011</v>
      </c>
      <c r="U1264">
        <f>IF(connections!$A1264="","",IFERROR(INDEX(games!$B$2:$B$950,MATCH(connections!$B1264,games!$A$2:$A$950,0)),""))</f>
        <v>2019</v>
      </c>
      <c r="V1264">
        <f t="shared" si="199"/>
        <v>8</v>
      </c>
    </row>
    <row r="1265" spans="20:22" x14ac:dyDescent="0.25">
      <c r="T1265">
        <f>IF(connections!$A1265="","",IFERROR(INDEX(games!$B$2:$B$950,MATCH(connections!$A1265,games!$A$2:$A$950,0)),""))</f>
        <v>2011</v>
      </c>
      <c r="U1265">
        <f>IF(connections!$A1265="","",IFERROR(INDEX(games!$B$2:$B$950,MATCH(connections!$B1265,games!$A$2:$A$950,0)),""))</f>
        <v>2017</v>
      </c>
      <c r="V1265">
        <f t="shared" si="199"/>
        <v>6</v>
      </c>
    </row>
    <row r="1266" spans="20:22" x14ac:dyDescent="0.25">
      <c r="T1266">
        <f>IF(connections!$A1267="","",IFERROR(INDEX(games!$B$2:$B$950,MATCH(connections!$A1267,games!$A$2:$A$950,0)),""))</f>
        <v>2011</v>
      </c>
      <c r="U1266">
        <f>IF(connections!$A1267="","",IFERROR(INDEX(games!$B$2:$B$950,MATCH(connections!$B1267,games!$A$2:$A$950,0)),""))</f>
        <v>2016</v>
      </c>
      <c r="V1266">
        <f t="shared" si="199"/>
        <v>5</v>
      </c>
    </row>
    <row r="1267" spans="20:22" x14ac:dyDescent="0.25">
      <c r="T1267">
        <f>IF(connections!$A1268="","",IFERROR(INDEX(games!$B$2:$B$950,MATCH(connections!$A1268,games!$A$2:$A$950,0)),""))</f>
        <v>2011</v>
      </c>
      <c r="U1267">
        <f>IF(connections!$A1268="","",IFERROR(INDEX(games!$B$2:$B$950,MATCH(connections!$B1268,games!$A$2:$A$950,0)),""))</f>
        <v>2023</v>
      </c>
      <c r="V1267">
        <f t="shared" si="199"/>
        <v>12</v>
      </c>
    </row>
    <row r="1268" spans="20:22" x14ac:dyDescent="0.25">
      <c r="T1268">
        <f>IF(connections!$A1269="","",IFERROR(INDEX(games!$B$2:$B$950,MATCH(connections!$A1269,games!$A$2:$A$950,0)),""))</f>
        <v>2011</v>
      </c>
      <c r="U1268">
        <f>IF(connections!$A1269="","",IFERROR(INDEX(games!$B$2:$B$950,MATCH(connections!$B1269,games!$A$2:$A$950,0)),""))</f>
        <v>2014</v>
      </c>
      <c r="V1268">
        <f t="shared" si="199"/>
        <v>3</v>
      </c>
    </row>
    <row r="1269" spans="20:22" x14ac:dyDescent="0.25">
      <c r="T1269">
        <f>IF(connections!$A1270="","",IFERROR(INDEX(games!$B$2:$B$950,MATCH(connections!$A1270,games!$A$2:$A$950,0)),""))</f>
        <v>2011</v>
      </c>
      <c r="U1269">
        <f>IF(connections!$A1270="","",IFERROR(INDEX(games!$B$2:$B$950,MATCH(connections!$B1270,games!$A$2:$A$950,0)),""))</f>
        <v>2023</v>
      </c>
      <c r="V1269">
        <f t="shared" si="199"/>
        <v>12</v>
      </c>
    </row>
    <row r="1270" spans="20:22" x14ac:dyDescent="0.25">
      <c r="T1270">
        <f>IF(connections!$A1271="","",IFERROR(INDEX(games!$B$2:$B$950,MATCH(connections!$A1271,games!$A$2:$A$950,0)),""))</f>
        <v>2011</v>
      </c>
      <c r="U1270">
        <f>IF(connections!$A1271="","",IFERROR(INDEX(games!$B$2:$B$950,MATCH(connections!$B1271,games!$A$2:$A$950,0)),""))</f>
        <v>2019</v>
      </c>
      <c r="V1270">
        <f t="shared" si="199"/>
        <v>8</v>
      </c>
    </row>
    <row r="1271" spans="20:22" x14ac:dyDescent="0.25">
      <c r="T1271">
        <f>IF(connections!$A1272="","",IFERROR(INDEX(games!$B$2:$B$950,MATCH(connections!$A1272,games!$A$2:$A$950,0)),""))</f>
        <v>2011</v>
      </c>
      <c r="U1271">
        <f>IF(connections!$A1272="","",IFERROR(INDEX(games!$B$2:$B$950,MATCH(connections!$B1272,games!$A$2:$A$950,0)),""))</f>
        <v>2018</v>
      </c>
      <c r="V1271">
        <f t="shared" si="199"/>
        <v>7</v>
      </c>
    </row>
    <row r="1272" spans="20:22" x14ac:dyDescent="0.25">
      <c r="T1272">
        <f>IF(connections!$A1273="","",IFERROR(INDEX(games!$B$2:$B$950,MATCH(connections!$A1273,games!$A$2:$A$950,0)),""))</f>
        <v>2011</v>
      </c>
      <c r="U1272">
        <f>IF(connections!$A1273="","",IFERROR(INDEX(games!$B$2:$B$950,MATCH(connections!$B1273,games!$A$2:$A$950,0)),""))</f>
        <v>2022</v>
      </c>
      <c r="V1272">
        <f t="shared" si="199"/>
        <v>11</v>
      </c>
    </row>
    <row r="1273" spans="20:22" x14ac:dyDescent="0.25">
      <c r="T1273">
        <f>IF(connections!$A1274="","",IFERROR(INDEX(games!$B$2:$B$950,MATCH(connections!$A1274,games!$A$2:$A$950,0)),""))</f>
        <v>2011</v>
      </c>
      <c r="U1273">
        <f>IF(connections!$A1274="","",IFERROR(INDEX(games!$B$2:$B$950,MATCH(connections!$B1274,games!$A$2:$A$950,0)),""))</f>
        <v>2022</v>
      </c>
      <c r="V1273">
        <f t="shared" si="199"/>
        <v>11</v>
      </c>
    </row>
    <row r="1274" spans="20:22" x14ac:dyDescent="0.25">
      <c r="T1274">
        <f>IF(connections!$A1275="","",IFERROR(INDEX(games!$B$2:$B$950,MATCH(connections!$A1275,games!$A$2:$A$950,0)),""))</f>
        <v>2011</v>
      </c>
      <c r="U1274">
        <f>IF(connections!$A1275="","",IFERROR(INDEX(games!$B$2:$B$950,MATCH(connections!$B1275,games!$A$2:$A$950,0)),""))</f>
        <v>2014</v>
      </c>
      <c r="V1274">
        <f t="shared" si="199"/>
        <v>3</v>
      </c>
    </row>
    <row r="1275" spans="20:22" x14ac:dyDescent="0.25">
      <c r="T1275">
        <f>IF(connections!$A1276="","",IFERROR(INDEX(games!$B$2:$B$950,MATCH(connections!$A1276,games!$A$2:$A$950,0)),""))</f>
        <v>2011</v>
      </c>
      <c r="U1275">
        <f>IF(connections!$A1276="","",IFERROR(INDEX(games!$B$2:$B$950,MATCH(connections!$B1276,games!$A$2:$A$950,0)),""))</f>
        <v>2017</v>
      </c>
      <c r="V1275">
        <f t="shared" si="199"/>
        <v>6</v>
      </c>
    </row>
    <row r="1276" spans="20:22" x14ac:dyDescent="0.25">
      <c r="T1276">
        <f>IF(connections!$A1277="","",IFERROR(INDEX(games!$B$2:$B$950,MATCH(connections!$A1277,games!$A$2:$A$950,0)),""))</f>
        <v>2011</v>
      </c>
      <c r="U1276">
        <f>IF(connections!$A1277="","",IFERROR(INDEX(games!$B$2:$B$950,MATCH(connections!$B1277,games!$A$2:$A$950,0)),""))</f>
        <v>2012</v>
      </c>
      <c r="V1276">
        <f t="shared" si="199"/>
        <v>1</v>
      </c>
    </row>
    <row r="1277" spans="20:22" x14ac:dyDescent="0.25">
      <c r="T1277">
        <f>IF(connections!$A1278="","",IFERROR(INDEX(games!$B$2:$B$950,MATCH(connections!$A1278,games!$A$2:$A$950,0)),""))</f>
        <v>2011</v>
      </c>
      <c r="U1277">
        <f>IF(connections!$A1278="","",IFERROR(INDEX(games!$B$2:$B$950,MATCH(connections!$B1278,games!$A$2:$A$950,0)),""))</f>
        <v>2019</v>
      </c>
      <c r="V1277">
        <f t="shared" si="199"/>
        <v>8</v>
      </c>
    </row>
    <row r="1278" spans="20:22" x14ac:dyDescent="0.25">
      <c r="T1278">
        <f>IF(connections!$A1279="","",IFERROR(INDEX(games!$B$2:$B$950,MATCH(connections!$A1279,games!$A$2:$A$950,0)),""))</f>
        <v>2011</v>
      </c>
      <c r="U1278">
        <f>IF(connections!$A1279="","",IFERROR(INDEX(games!$B$2:$B$950,MATCH(connections!$B1279,games!$A$2:$A$950,0)),""))</f>
        <v>2023</v>
      </c>
      <c r="V1278">
        <f t="shared" si="199"/>
        <v>12</v>
      </c>
    </row>
    <row r="1279" spans="20:22" x14ac:dyDescent="0.25">
      <c r="T1279">
        <f>IF(connections!$A1280="","",IFERROR(INDEX(games!$B$2:$B$950,MATCH(connections!$A1280,games!$A$2:$A$950,0)),""))</f>
        <v>2011</v>
      </c>
      <c r="U1279">
        <f>IF(connections!$A1280="","",IFERROR(INDEX(games!$B$2:$B$950,MATCH(connections!$B1280,games!$A$2:$A$950,0)),""))</f>
        <v>2021</v>
      </c>
      <c r="V1279">
        <f t="shared" si="199"/>
        <v>10</v>
      </c>
    </row>
    <row r="1280" spans="20:22" x14ac:dyDescent="0.25">
      <c r="T1280">
        <f>IF(connections!$A1281="","",IFERROR(INDEX(games!$B$2:$B$950,MATCH(connections!$A1281,games!$A$2:$A$950,0)),""))</f>
        <v>2000</v>
      </c>
      <c r="U1280">
        <f>IF(connections!$A1281="","",IFERROR(INDEX(games!$B$2:$B$950,MATCH(connections!$B1281,games!$A$2:$A$950,0)),""))</f>
        <v>2004</v>
      </c>
      <c r="V1280">
        <f t="shared" si="199"/>
        <v>4</v>
      </c>
    </row>
    <row r="1281" spans="20:22" x14ac:dyDescent="0.25">
      <c r="T1281">
        <f>IF(connections!$A1282="","",IFERROR(INDEX(games!$B$2:$B$950,MATCH(connections!$A1282,games!$A$2:$A$950,0)),""))</f>
        <v>2000</v>
      </c>
      <c r="U1281">
        <f>IF(connections!$A1282="","",IFERROR(INDEX(games!$B$2:$B$950,MATCH(connections!$B1282,games!$A$2:$A$950,0)),""))</f>
        <v>2007</v>
      </c>
      <c r="V1281">
        <f t="shared" si="199"/>
        <v>7</v>
      </c>
    </row>
    <row r="1282" spans="20:22" x14ac:dyDescent="0.25">
      <c r="T1282">
        <f>IF(connections!$A1283="","",IFERROR(INDEX(games!$B$2:$B$950,MATCH(connections!$A1283,games!$A$2:$A$950,0)),""))</f>
        <v>2014</v>
      </c>
      <c r="U1282">
        <f>IF(connections!$A1283="","",IFERROR(INDEX(games!$B$2:$B$950,MATCH(connections!$B1283,games!$A$2:$A$950,0)),""))</f>
        <v>2025</v>
      </c>
      <c r="V1282">
        <f t="shared" ref="V1282:V1345" si="200">IF(OR($T1282="",$U1282=""),"",$U1282-$T1282)</f>
        <v>11</v>
      </c>
    </row>
    <row r="1283" spans="20:22" x14ac:dyDescent="0.25">
      <c r="T1283">
        <f>IF(connections!$A1284="","",IFERROR(INDEX(games!$B$2:$B$950,MATCH(connections!$A1284,games!$A$2:$A$950,0)),""))</f>
        <v>2019</v>
      </c>
      <c r="U1283">
        <f>IF(connections!$A1284="","",IFERROR(INDEX(games!$B$2:$B$950,MATCH(connections!$B1284,games!$A$2:$A$950,0)),""))</f>
        <v>2021</v>
      </c>
      <c r="V1283">
        <f t="shared" si="200"/>
        <v>2</v>
      </c>
    </row>
    <row r="1284" spans="20:22" x14ac:dyDescent="0.25">
      <c r="T1284">
        <f>IF(connections!$A1285="","",IFERROR(INDEX(games!$B$2:$B$950,MATCH(connections!$A1285,games!$A$2:$A$950,0)),""))</f>
        <v>2019</v>
      </c>
      <c r="U1284">
        <f>IF(connections!$A1285="","",IFERROR(INDEX(games!$B$2:$B$950,MATCH(connections!$B1285,games!$A$2:$A$950,0)),""))</f>
        <v>2026</v>
      </c>
      <c r="V1284">
        <f t="shared" si="200"/>
        <v>7</v>
      </c>
    </row>
    <row r="1285" spans="20:22" x14ac:dyDescent="0.25">
      <c r="T1285">
        <f>IF(connections!$A1286="","",IFERROR(INDEX(games!$B$2:$B$950,MATCH(connections!$A1286,games!$A$2:$A$950,0)),""))</f>
        <v>2022</v>
      </c>
      <c r="U1285">
        <f>IF(connections!$A1286="","",IFERROR(INDEX(games!$B$2:$B$950,MATCH(connections!$B1286,games!$A$2:$A$950,0)),""))</f>
        <v>2024</v>
      </c>
      <c r="V1285">
        <f t="shared" si="200"/>
        <v>2</v>
      </c>
    </row>
    <row r="1286" spans="20:22" x14ac:dyDescent="0.25">
      <c r="T1286">
        <f>IF(connections!$A1287="","",IFERROR(INDEX(games!$B$2:$B$950,MATCH(connections!$A1287,games!$A$2:$A$950,0)),""))</f>
        <v>2025</v>
      </c>
      <c r="U1286">
        <f>IF(connections!$A1287="","",IFERROR(INDEX(games!$B$2:$B$950,MATCH(connections!$B1287,games!$A$2:$A$950,0)),""))</f>
        <v>2026</v>
      </c>
      <c r="V1286">
        <f t="shared" si="200"/>
        <v>1</v>
      </c>
    </row>
    <row r="1287" spans="20:22" x14ac:dyDescent="0.25">
      <c r="T1287">
        <f>IF(connections!$A1288="","",IFERROR(INDEX(games!$B$2:$B$950,MATCH(connections!$A1288,games!$A$2:$A$950,0)),""))</f>
        <v>2022</v>
      </c>
      <c r="U1287">
        <f>IF(connections!$A1288="","",IFERROR(INDEX(games!$B$2:$B$950,MATCH(connections!$B1288,games!$A$2:$A$950,0)),""))</f>
        <v>2025</v>
      </c>
      <c r="V1287">
        <f t="shared" si="200"/>
        <v>3</v>
      </c>
    </row>
    <row r="1288" spans="20:22" x14ac:dyDescent="0.25">
      <c r="T1288">
        <f>IF(connections!$A1289="","",IFERROR(INDEX(games!$B$2:$B$950,MATCH(connections!$A1289,games!$A$2:$A$950,0)),""))</f>
        <v>2022</v>
      </c>
      <c r="U1288">
        <f>IF(connections!$A1289="","",IFERROR(INDEX(games!$B$2:$B$950,MATCH(connections!$B1289,games!$A$2:$A$950,0)),""))</f>
        <v>2023</v>
      </c>
      <c r="V1288">
        <f t="shared" si="200"/>
        <v>1</v>
      </c>
    </row>
    <row r="1289" spans="20:22" x14ac:dyDescent="0.25">
      <c r="T1289">
        <f>IF(connections!$A1290="","",IFERROR(INDEX(games!$B$2:$B$950,MATCH(connections!$A1290,games!$A$2:$A$950,0)),""))</f>
        <v>1991</v>
      </c>
      <c r="U1289">
        <f>IF(connections!$A1290="","",IFERROR(INDEX(games!$B$2:$B$950,MATCH(connections!$B1290,games!$A$2:$A$950,0)),""))</f>
        <v>2020</v>
      </c>
      <c r="V1289">
        <f t="shared" si="200"/>
        <v>29</v>
      </c>
    </row>
    <row r="1290" spans="20:22" x14ac:dyDescent="0.25">
      <c r="T1290">
        <f>IF(connections!$A1291="","",IFERROR(INDEX(games!$B$2:$B$950,MATCH(connections!$A1291,games!$A$2:$A$950,0)),""))</f>
        <v>1991</v>
      </c>
      <c r="U1290">
        <f>IF(connections!$A1291="","",IFERROR(INDEX(games!$B$2:$B$950,MATCH(connections!$B1291,games!$A$2:$A$950,0)),""))</f>
        <v>2019</v>
      </c>
      <c r="V1290">
        <f t="shared" si="200"/>
        <v>28</v>
      </c>
    </row>
    <row r="1291" spans="20:22" x14ac:dyDescent="0.25">
      <c r="T1291">
        <f>IF(connections!$A1292="","",IFERROR(INDEX(games!$B$2:$B$950,MATCH(connections!$A1292,games!$A$2:$A$950,0)),""))</f>
        <v>1999</v>
      </c>
      <c r="U1291">
        <f>IF(connections!$A1292="","",IFERROR(INDEX(games!$B$2:$B$950,MATCH(connections!$B1292,games!$A$2:$A$950,0)),""))</f>
        <v>2010</v>
      </c>
      <c r="V1291">
        <f t="shared" si="200"/>
        <v>11</v>
      </c>
    </row>
    <row r="1292" spans="20:22" x14ac:dyDescent="0.25">
      <c r="T1292">
        <f>IF(connections!$A1293="","",IFERROR(INDEX(games!$B$2:$B$950,MATCH(connections!$A1293,games!$A$2:$A$950,0)),""))</f>
        <v>1999</v>
      </c>
      <c r="U1292">
        <f>IF(connections!$A1293="","",IFERROR(INDEX(games!$B$2:$B$950,MATCH(connections!$B1293,games!$A$2:$A$950,0)),""))</f>
        <v>2002</v>
      </c>
      <c r="V1292">
        <f t="shared" si="200"/>
        <v>3</v>
      </c>
    </row>
    <row r="1293" spans="20:22" x14ac:dyDescent="0.25">
      <c r="T1293">
        <f>IF(connections!$A1294="","",IFERROR(INDEX(games!$B$2:$B$950,MATCH(connections!$A1294,games!$A$2:$A$950,0)),""))</f>
        <v>1993</v>
      </c>
      <c r="U1293">
        <f>IF(connections!$A1294="","",IFERROR(INDEX(games!$B$2:$B$950,MATCH(connections!$B1294,games!$A$2:$A$950,0)),""))</f>
        <v>1997</v>
      </c>
      <c r="V1293">
        <f t="shared" si="200"/>
        <v>4</v>
      </c>
    </row>
    <row r="1294" spans="20:22" x14ac:dyDescent="0.25">
      <c r="T1294">
        <f>IF(connections!$A1295="","",IFERROR(INDEX(games!$B$2:$B$950,MATCH(connections!$A1295,games!$A$2:$A$950,0)),""))</f>
        <v>1993</v>
      </c>
      <c r="U1294">
        <f>IF(connections!$A1295="","",IFERROR(INDEX(games!$B$2:$B$950,MATCH(connections!$B1295,games!$A$2:$A$950,0)),""))</f>
        <v>1998</v>
      </c>
      <c r="V1294">
        <f t="shared" si="200"/>
        <v>5</v>
      </c>
    </row>
    <row r="1295" spans="20:22" x14ac:dyDescent="0.25">
      <c r="T1295">
        <f>IF(connections!$A1296="","",IFERROR(INDEX(games!$B$2:$B$950,MATCH(connections!$A1296,games!$A$2:$A$950,0)),""))</f>
        <v>1993</v>
      </c>
      <c r="U1295">
        <f>IF(connections!$A1296="","",IFERROR(INDEX(games!$B$2:$B$950,MATCH(connections!$B1296,games!$A$2:$A$950,0)),""))</f>
        <v>1997</v>
      </c>
      <c r="V1295">
        <f t="shared" si="200"/>
        <v>4</v>
      </c>
    </row>
    <row r="1296" spans="20:22" x14ac:dyDescent="0.25">
      <c r="T1296">
        <f>IF(connections!$A1297="","",IFERROR(INDEX(games!$B$2:$B$950,MATCH(connections!$A1297,games!$A$2:$A$950,0)),""))</f>
        <v>1993</v>
      </c>
      <c r="U1296">
        <f>IF(connections!$A1297="","",IFERROR(INDEX(games!$B$2:$B$950,MATCH(connections!$B1297,games!$A$2:$A$950,0)),""))</f>
        <v>2022</v>
      </c>
      <c r="V1296">
        <f t="shared" si="200"/>
        <v>29</v>
      </c>
    </row>
    <row r="1297" spans="20:22" x14ac:dyDescent="0.25">
      <c r="T1297">
        <f>IF(connections!$A1298="","",IFERROR(INDEX(games!$B$2:$B$950,MATCH(connections!$A1298,games!$A$2:$A$950,0)),""))</f>
        <v>1993</v>
      </c>
      <c r="U1297">
        <f>IF(connections!$A1298="","",IFERROR(INDEX(games!$B$2:$B$950,MATCH(connections!$B1298,games!$A$2:$A$950,0)),""))</f>
        <v>2026</v>
      </c>
      <c r="V1297">
        <f t="shared" si="200"/>
        <v>33</v>
      </c>
    </row>
    <row r="1298" spans="20:22" x14ac:dyDescent="0.25">
      <c r="T1298">
        <f>IF(connections!$A1299="","",IFERROR(INDEX(games!$B$2:$B$950,MATCH(connections!$A1299,games!$A$2:$A$950,0)),""))</f>
        <v>1993</v>
      </c>
      <c r="U1298">
        <f>IF(connections!$A1299="","",IFERROR(INDEX(games!$B$2:$B$950,MATCH(connections!$B1299,games!$A$2:$A$950,0)),""))</f>
        <v>2006</v>
      </c>
      <c r="V1298">
        <f t="shared" si="200"/>
        <v>13</v>
      </c>
    </row>
    <row r="1299" spans="20:22" x14ac:dyDescent="0.25">
      <c r="T1299">
        <f>IF(connections!$A1300="","",IFERROR(INDEX(games!$B$2:$B$950,MATCH(connections!$A1300,games!$A$2:$A$950,0)),""))</f>
        <v>1993</v>
      </c>
      <c r="U1299">
        <f>IF(connections!$A1300="","",IFERROR(INDEX(games!$B$2:$B$950,MATCH(connections!$B1300,games!$A$2:$A$950,0)),""))</f>
        <v>2023</v>
      </c>
      <c r="V1299">
        <f t="shared" si="200"/>
        <v>30</v>
      </c>
    </row>
    <row r="1300" spans="20:22" x14ac:dyDescent="0.25">
      <c r="T1300">
        <f>IF(connections!$A1301="","",IFERROR(INDEX(games!$B$2:$B$950,MATCH(connections!$A1301,games!$A$2:$A$950,0)),""))</f>
        <v>1993</v>
      </c>
      <c r="U1300">
        <f>IF(connections!$A1301="","",IFERROR(INDEX(games!$B$2:$B$950,MATCH(connections!$B1301,games!$A$2:$A$950,0)),""))</f>
        <v>2008</v>
      </c>
      <c r="V1300">
        <f t="shared" si="200"/>
        <v>15</v>
      </c>
    </row>
    <row r="1301" spans="20:22" x14ac:dyDescent="0.25">
      <c r="T1301">
        <f>IF(connections!$A1302="","",IFERROR(INDEX(games!$B$2:$B$950,MATCH(connections!$A1302,games!$A$2:$A$950,0)),""))</f>
        <v>1993</v>
      </c>
      <c r="U1301">
        <f>IF(connections!$A1302="","",IFERROR(INDEX(games!$B$2:$B$950,MATCH(connections!$B1302,games!$A$2:$A$950,0)),""))</f>
        <v>2015</v>
      </c>
      <c r="V1301">
        <f t="shared" si="200"/>
        <v>22</v>
      </c>
    </row>
    <row r="1302" spans="20:22" x14ac:dyDescent="0.25">
      <c r="T1302">
        <f>IF(connections!$A1303="","",IFERROR(INDEX(games!$B$2:$B$950,MATCH(connections!$A1303,games!$A$2:$A$950,0)),""))</f>
        <v>1993</v>
      </c>
      <c r="U1302">
        <f>IF(connections!$A1303="","",IFERROR(INDEX(games!$B$2:$B$950,MATCH(connections!$B1303,games!$A$2:$A$950,0)),""))</f>
        <v>2026</v>
      </c>
      <c r="V1302">
        <f t="shared" si="200"/>
        <v>33</v>
      </c>
    </row>
    <row r="1303" spans="20:22" x14ac:dyDescent="0.25">
      <c r="T1303">
        <f>IF(connections!$A1304="","",IFERROR(INDEX(games!$B$2:$B$950,MATCH(connections!$A1304,games!$A$2:$A$950,0)),""))</f>
        <v>1993</v>
      </c>
      <c r="U1303">
        <f>IF(connections!$A1304="","",IFERROR(INDEX(games!$B$2:$B$950,MATCH(connections!$B1304,games!$A$2:$A$950,0)),""))</f>
        <v>2025</v>
      </c>
      <c r="V1303">
        <f t="shared" si="200"/>
        <v>32</v>
      </c>
    </row>
    <row r="1304" spans="20:22" x14ac:dyDescent="0.25">
      <c r="T1304">
        <f>IF(connections!$A1305="","",IFERROR(INDEX(games!$B$2:$B$950,MATCH(connections!$A1305,games!$A$2:$A$950,0)),""))</f>
        <v>1993</v>
      </c>
      <c r="U1304">
        <f>IF(connections!$A1305="","",IFERROR(INDEX(games!$B$2:$B$950,MATCH(connections!$B1305,games!$A$2:$A$950,0)),""))</f>
        <v>2006</v>
      </c>
      <c r="V1304">
        <f t="shared" si="200"/>
        <v>13</v>
      </c>
    </row>
    <row r="1305" spans="20:22" x14ac:dyDescent="0.25">
      <c r="T1305">
        <f>IF(connections!$A1306="","",IFERROR(INDEX(games!$B$2:$B$950,MATCH(connections!$A1306,games!$A$2:$A$950,0)),""))</f>
        <v>1993</v>
      </c>
      <c r="U1305">
        <f>IF(connections!$A1306="","",IFERROR(INDEX(games!$B$2:$B$950,MATCH(connections!$B1306,games!$A$2:$A$950,0)),""))</f>
        <v>2023</v>
      </c>
      <c r="V1305">
        <f t="shared" si="200"/>
        <v>30</v>
      </c>
    </row>
    <row r="1306" spans="20:22" x14ac:dyDescent="0.25">
      <c r="T1306">
        <f>IF(connections!$A1307="","",IFERROR(INDEX(games!$B$2:$B$950,MATCH(connections!$A1307,games!$A$2:$A$950,0)),""))</f>
        <v>1993</v>
      </c>
      <c r="U1306">
        <f>IF(connections!$A1307="","",IFERROR(INDEX(games!$B$2:$B$950,MATCH(connections!$B1307,games!$A$2:$A$950,0)),""))</f>
        <v>2002</v>
      </c>
      <c r="V1306">
        <f t="shared" si="200"/>
        <v>9</v>
      </c>
    </row>
    <row r="1307" spans="20:22" x14ac:dyDescent="0.25">
      <c r="T1307">
        <f>IF(connections!$A1308="","",IFERROR(INDEX(games!$B$2:$B$950,MATCH(connections!$A1308,games!$A$2:$A$950,0)),""))</f>
        <v>1993</v>
      </c>
      <c r="U1307">
        <f>IF(connections!$A1308="","",IFERROR(INDEX(games!$B$2:$B$950,MATCH(connections!$B1308,games!$A$2:$A$950,0)),""))</f>
        <v>2020</v>
      </c>
      <c r="V1307">
        <f t="shared" si="200"/>
        <v>27</v>
      </c>
    </row>
    <row r="1308" spans="20:22" x14ac:dyDescent="0.25">
      <c r="T1308">
        <f>IF(connections!$A1309="","",IFERROR(INDEX(games!$B$2:$B$950,MATCH(connections!$A1309,games!$A$2:$A$950,0)),""))</f>
        <v>1993</v>
      </c>
      <c r="U1308">
        <f>IF(connections!$A1309="","",IFERROR(INDEX(games!$B$2:$B$950,MATCH(connections!$B1309,games!$A$2:$A$950,0)),""))</f>
        <v>1995</v>
      </c>
      <c r="V1308">
        <f t="shared" si="200"/>
        <v>2</v>
      </c>
    </row>
    <row r="1309" spans="20:22" x14ac:dyDescent="0.25">
      <c r="T1309">
        <f>IF(connections!$A1310="","",IFERROR(INDEX(games!$B$2:$B$950,MATCH(connections!$A1310,games!$A$2:$A$950,0)),""))</f>
        <v>1993</v>
      </c>
      <c r="U1309">
        <f>IF(connections!$A1310="","",IFERROR(INDEX(games!$B$2:$B$950,MATCH(connections!$B1310,games!$A$2:$A$950,0)),""))</f>
        <v>2015</v>
      </c>
      <c r="V1309">
        <f t="shared" si="200"/>
        <v>22</v>
      </c>
    </row>
    <row r="1310" spans="20:22" x14ac:dyDescent="0.25">
      <c r="T1310">
        <f>IF(connections!$A1311="","",IFERROR(INDEX(games!$B$2:$B$950,MATCH(connections!$A1311,games!$A$2:$A$950,0)),""))</f>
        <v>1993</v>
      </c>
      <c r="U1310">
        <f>IF(connections!$A1311="","",IFERROR(INDEX(games!$B$2:$B$950,MATCH(connections!$B1311,games!$A$2:$A$950,0)),""))</f>
        <v>2014</v>
      </c>
      <c r="V1310">
        <f t="shared" si="200"/>
        <v>21</v>
      </c>
    </row>
    <row r="1311" spans="20:22" x14ac:dyDescent="0.25">
      <c r="T1311">
        <f>IF(connections!$A1312="","",IFERROR(INDEX(games!$B$2:$B$950,MATCH(connections!$A1312,games!$A$2:$A$950,0)),""))</f>
        <v>1993</v>
      </c>
      <c r="U1311">
        <f>IF(connections!$A1312="","",IFERROR(INDEX(games!$B$2:$B$950,MATCH(connections!$B1312,games!$A$2:$A$950,0)),""))</f>
        <v>2005</v>
      </c>
      <c r="V1311">
        <f t="shared" si="200"/>
        <v>12</v>
      </c>
    </row>
    <row r="1312" spans="20:22" x14ac:dyDescent="0.25">
      <c r="T1312">
        <f>IF(connections!$A1313="","",IFERROR(INDEX(games!$B$2:$B$950,MATCH(connections!$A1313,games!$A$2:$A$950,0)),""))</f>
        <v>1993</v>
      </c>
      <c r="U1312">
        <f>IF(connections!$A1313="","",IFERROR(INDEX(games!$B$2:$B$950,MATCH(connections!$B1313,games!$A$2:$A$950,0)),""))</f>
        <v>2000</v>
      </c>
      <c r="V1312">
        <f t="shared" si="200"/>
        <v>7</v>
      </c>
    </row>
    <row r="1313" spans="20:22" x14ac:dyDescent="0.25">
      <c r="T1313">
        <f>IF(connections!$A1314="","",IFERROR(INDEX(games!$B$2:$B$950,MATCH(connections!$A1314,games!$A$2:$A$950,0)),""))</f>
        <v>1993</v>
      </c>
      <c r="U1313">
        <f>IF(connections!$A1314="","",IFERROR(INDEX(games!$B$2:$B$950,MATCH(connections!$B1314,games!$A$2:$A$950,0)),""))</f>
        <v>2004</v>
      </c>
      <c r="V1313">
        <f t="shared" si="200"/>
        <v>11</v>
      </c>
    </row>
    <row r="1314" spans="20:22" x14ac:dyDescent="0.25">
      <c r="T1314">
        <f>IF(connections!$A1315="","",IFERROR(INDEX(games!$B$2:$B$950,MATCH(connections!$A1315,games!$A$2:$A$950,0)),""))</f>
        <v>1993</v>
      </c>
      <c r="U1314">
        <f>IF(connections!$A1315="","",IFERROR(INDEX(games!$B$2:$B$950,MATCH(connections!$B1315,games!$A$2:$A$950,0)),""))</f>
        <v>2014</v>
      </c>
      <c r="V1314">
        <f t="shared" si="200"/>
        <v>21</v>
      </c>
    </row>
    <row r="1315" spans="20:22" x14ac:dyDescent="0.25">
      <c r="T1315">
        <f>IF(connections!$A1316="","",IFERROR(INDEX(games!$B$2:$B$950,MATCH(connections!$A1316,games!$A$2:$A$950,0)),""))</f>
        <v>1993</v>
      </c>
      <c r="U1315">
        <f>IF(connections!$A1316="","",IFERROR(INDEX(games!$B$2:$B$950,MATCH(connections!$B1316,games!$A$2:$A$950,0)),""))</f>
        <v>1999</v>
      </c>
      <c r="V1315">
        <f t="shared" si="200"/>
        <v>6</v>
      </c>
    </row>
    <row r="1316" spans="20:22" x14ac:dyDescent="0.25">
      <c r="T1316">
        <f>IF(connections!$A1317="","",IFERROR(INDEX(games!$B$2:$B$950,MATCH(connections!$A1317,games!$A$2:$A$950,0)),""))</f>
        <v>1993</v>
      </c>
      <c r="U1316">
        <f>IF(connections!$A1317="","",IFERROR(INDEX(games!$B$2:$B$950,MATCH(connections!$B1317,games!$A$2:$A$950,0)),""))</f>
        <v>2021</v>
      </c>
      <c r="V1316">
        <f t="shared" si="200"/>
        <v>28</v>
      </c>
    </row>
    <row r="1317" spans="20:22" x14ac:dyDescent="0.25">
      <c r="T1317">
        <f>IF(connections!$A1318="","",IFERROR(INDEX(games!$B$2:$B$950,MATCH(connections!$A1318,games!$A$2:$A$950,0)),""))</f>
        <v>1993</v>
      </c>
      <c r="U1317">
        <f>IF(connections!$A1318="","",IFERROR(INDEX(games!$B$2:$B$950,MATCH(connections!$B1318,games!$A$2:$A$950,0)),""))</f>
        <v>1998</v>
      </c>
      <c r="V1317">
        <f t="shared" si="200"/>
        <v>5</v>
      </c>
    </row>
    <row r="1318" spans="20:22" x14ac:dyDescent="0.25">
      <c r="T1318">
        <f>IF(connections!$A1319="","",IFERROR(INDEX(games!$B$2:$B$950,MATCH(connections!$A1319,games!$A$2:$A$950,0)),""))</f>
        <v>1993</v>
      </c>
      <c r="U1318">
        <f>IF(connections!$A1319="","",IFERROR(INDEX(games!$B$2:$B$950,MATCH(connections!$B1319,games!$A$2:$A$950,0)),""))</f>
        <v>2010</v>
      </c>
      <c r="V1318">
        <f t="shared" si="200"/>
        <v>17</v>
      </c>
    </row>
    <row r="1319" spans="20:22" x14ac:dyDescent="0.25">
      <c r="T1319">
        <f>IF(connections!$A1320="","",IFERROR(INDEX(games!$B$2:$B$950,MATCH(connections!$A1320,games!$A$2:$A$950,0)),""))</f>
        <v>2014</v>
      </c>
      <c r="U1319">
        <f>IF(connections!$A1320="","",IFERROR(INDEX(games!$B$2:$B$950,MATCH(connections!$B1320,games!$A$2:$A$950,0)),""))</f>
        <v>2018</v>
      </c>
      <c r="V1319">
        <f t="shared" si="200"/>
        <v>4</v>
      </c>
    </row>
    <row r="1320" spans="20:22" x14ac:dyDescent="0.25">
      <c r="T1320">
        <f>IF(connections!$A1322="","",IFERROR(INDEX(games!$B$2:$B$950,MATCH(connections!$A1322,games!$A$2:$A$950,0)),""))</f>
        <v>2021</v>
      </c>
      <c r="U1320">
        <f>IF(connections!$A1322="","",IFERROR(INDEX(games!$B$2:$B$950,MATCH(connections!$B1322,games!$A$2:$A$950,0)),""))</f>
        <v>2025</v>
      </c>
      <c r="V1320">
        <f t="shared" si="200"/>
        <v>4</v>
      </c>
    </row>
    <row r="1321" spans="20:22" x14ac:dyDescent="0.25">
      <c r="T1321">
        <f>IF(connections!$A1323="","",IFERROR(INDEX(games!$B$2:$B$950,MATCH(connections!$A1323,games!$A$2:$A$950,0)),""))</f>
        <v>2019</v>
      </c>
      <c r="U1321">
        <f>IF(connections!$A1323="","",IFERROR(INDEX(games!$B$2:$B$950,MATCH(connections!$B1323,games!$A$2:$A$950,0)),""))</f>
        <v>2025</v>
      </c>
      <c r="V1321">
        <f t="shared" si="200"/>
        <v>6</v>
      </c>
    </row>
    <row r="1322" spans="20:22" x14ac:dyDescent="0.25">
      <c r="T1322">
        <f>IF(connections!$A1324="","",IFERROR(INDEX(games!$B$2:$B$950,MATCH(connections!$A1324,games!$A$2:$A$950,0)),""))</f>
        <v>2017</v>
      </c>
      <c r="U1322">
        <f>IF(connections!$A1324="","",IFERROR(INDEX(games!$B$2:$B$950,MATCH(connections!$B1324,games!$A$2:$A$950,0)),""))</f>
        <v>2023</v>
      </c>
      <c r="V1322">
        <f t="shared" si="200"/>
        <v>6</v>
      </c>
    </row>
    <row r="1323" spans="20:22" x14ac:dyDescent="0.25">
      <c r="T1323">
        <f>IF(connections!$A1325="","",IFERROR(INDEX(games!$B$2:$B$950,MATCH(connections!$A1325,games!$A$2:$A$950,0)),""))</f>
        <v>2017</v>
      </c>
      <c r="U1323">
        <f>IF(connections!$A1325="","",IFERROR(INDEX(games!$B$2:$B$950,MATCH(connections!$B1325,games!$A$2:$A$950,0)),""))</f>
        <v>2022</v>
      </c>
      <c r="V1323">
        <f t="shared" si="200"/>
        <v>5</v>
      </c>
    </row>
    <row r="1324" spans="20:22" x14ac:dyDescent="0.25">
      <c r="T1324">
        <f>IF(connections!$A1326="","",IFERROR(INDEX(games!$B$2:$B$950,MATCH(connections!$A1326,games!$A$2:$A$950,0)),""))</f>
        <v>1992</v>
      </c>
      <c r="U1324">
        <f>IF(connections!$A1326="","",IFERROR(INDEX(games!$B$2:$B$950,MATCH(connections!$B1326,games!$A$2:$A$950,0)),""))</f>
        <v>2022</v>
      </c>
      <c r="V1324">
        <f t="shared" si="200"/>
        <v>30</v>
      </c>
    </row>
    <row r="1325" spans="20:22" x14ac:dyDescent="0.25">
      <c r="T1325">
        <f>IF(connections!$A1327="","",IFERROR(INDEX(games!$B$2:$B$950,MATCH(connections!$A1327,games!$A$2:$A$950,0)),""))</f>
        <v>2021</v>
      </c>
      <c r="U1325">
        <f>IF(connections!$A1327="","",IFERROR(INDEX(games!$B$2:$B$950,MATCH(connections!$B1327,games!$A$2:$A$950,0)),""))</f>
        <v>2022</v>
      </c>
      <c r="V1325">
        <f t="shared" si="200"/>
        <v>1</v>
      </c>
    </row>
    <row r="1326" spans="20:22" x14ac:dyDescent="0.25">
      <c r="T1326">
        <f>IF(connections!$A1328="","",IFERROR(INDEX(games!$B$2:$B$950,MATCH(connections!$A1328,games!$A$2:$A$950,0)),""))</f>
        <v>2021</v>
      </c>
      <c r="U1326">
        <f>IF(connections!$A1328="","",IFERROR(INDEX(games!$B$2:$B$950,MATCH(connections!$B1328,games!$A$2:$A$950,0)),""))</f>
        <v>2024</v>
      </c>
      <c r="V1326">
        <f t="shared" si="200"/>
        <v>3</v>
      </c>
    </row>
    <row r="1327" spans="20:22" x14ac:dyDescent="0.25">
      <c r="T1327">
        <f>IF(connections!$A1329="","",IFERROR(INDEX(games!$B$2:$B$950,MATCH(connections!$A1329,games!$A$2:$A$950,0)),""))</f>
        <v>2021</v>
      </c>
      <c r="U1327">
        <f>IF(connections!$A1329="","",IFERROR(INDEX(games!$B$2:$B$950,MATCH(connections!$B1329,games!$A$2:$A$950,0)),""))</f>
        <v>2026</v>
      </c>
      <c r="V1327">
        <f t="shared" si="200"/>
        <v>5</v>
      </c>
    </row>
    <row r="1328" spans="20:22" x14ac:dyDescent="0.25">
      <c r="T1328">
        <f>IF(connections!$A1330="","",IFERROR(INDEX(games!$B$2:$B$950,MATCH(connections!$A1330,games!$A$2:$A$950,0)),""))</f>
        <v>2021</v>
      </c>
      <c r="U1328">
        <f>IF(connections!$A1330="","",IFERROR(INDEX(games!$B$2:$B$950,MATCH(connections!$B1330,games!$A$2:$A$950,0)),""))</f>
        <v>2022</v>
      </c>
      <c r="V1328">
        <f t="shared" si="200"/>
        <v>1</v>
      </c>
    </row>
    <row r="1329" spans="20:22" x14ac:dyDescent="0.25">
      <c r="T1329">
        <f>IF(connections!$A1331="","",IFERROR(INDEX(games!$B$2:$B$950,MATCH(connections!$A1331,games!$A$2:$A$950,0)),""))</f>
        <v>2021</v>
      </c>
      <c r="U1329">
        <f>IF(connections!$A1331="","",IFERROR(INDEX(games!$B$2:$B$950,MATCH(connections!$B1331,games!$A$2:$A$950,0)),""))</f>
        <v>2025</v>
      </c>
      <c r="V1329">
        <f t="shared" si="200"/>
        <v>4</v>
      </c>
    </row>
    <row r="1330" spans="20:22" x14ac:dyDescent="0.25">
      <c r="T1330">
        <f>IF(connections!$A1332="","",IFERROR(INDEX(games!$B$2:$B$950,MATCH(connections!$A1332,games!$A$2:$A$950,0)),""))</f>
        <v>2021</v>
      </c>
      <c r="U1330">
        <f>IF(connections!$A1332="","",IFERROR(INDEX(games!$B$2:$B$950,MATCH(connections!$B1332,games!$A$2:$A$950,0)),""))</f>
        <v>2025</v>
      </c>
      <c r="V1330">
        <f t="shared" si="200"/>
        <v>4</v>
      </c>
    </row>
    <row r="1331" spans="20:22" x14ac:dyDescent="0.25">
      <c r="T1331">
        <f>IF(connections!$A1333="","",IFERROR(INDEX(games!$B$2:$B$950,MATCH(connections!$A1333,games!$A$2:$A$950,0)),""))</f>
        <v>2021</v>
      </c>
      <c r="U1331">
        <f>IF(connections!$A1333="","",IFERROR(INDEX(games!$B$2:$B$950,MATCH(connections!$B1333,games!$A$2:$A$950,0)),""))</f>
        <v>2025</v>
      </c>
      <c r="V1331">
        <f t="shared" si="200"/>
        <v>4</v>
      </c>
    </row>
    <row r="1332" spans="20:22" x14ac:dyDescent="0.25">
      <c r="T1332">
        <f>IF(connections!$A1334="","",IFERROR(INDEX(games!$B$2:$B$950,MATCH(connections!$A1334,games!$A$2:$A$950,0)),""))</f>
        <v>2021</v>
      </c>
      <c r="U1332">
        <f>IF(connections!$A1334="","",IFERROR(INDEX(games!$B$2:$B$950,MATCH(connections!$B1334,games!$A$2:$A$950,0)),""))</f>
        <v>2024</v>
      </c>
      <c r="V1332">
        <f t="shared" si="200"/>
        <v>3</v>
      </c>
    </row>
    <row r="1333" spans="20:22" x14ac:dyDescent="0.25">
      <c r="T1333">
        <f>IF(connections!$A1335="","",IFERROR(INDEX(games!$B$2:$B$950,MATCH(connections!$A1335,games!$A$2:$A$950,0)),""))</f>
        <v>2021</v>
      </c>
      <c r="U1333">
        <f>IF(connections!$A1335="","",IFERROR(INDEX(games!$B$2:$B$950,MATCH(connections!$B1335,games!$A$2:$A$950,0)),""))</f>
        <v>2022</v>
      </c>
      <c r="V1333">
        <f t="shared" si="200"/>
        <v>1</v>
      </c>
    </row>
    <row r="1334" spans="20:22" x14ac:dyDescent="0.25">
      <c r="T1334">
        <f>IF(connections!$A1336="","",IFERROR(INDEX(games!$B$2:$B$950,MATCH(connections!$A1336,games!$A$2:$A$950,0)),""))</f>
        <v>2021</v>
      </c>
      <c r="U1334">
        <f>IF(connections!$A1336="","",IFERROR(INDEX(games!$B$2:$B$950,MATCH(connections!$B1336,games!$A$2:$A$950,0)),""))</f>
        <v>2026</v>
      </c>
      <c r="V1334">
        <f t="shared" si="200"/>
        <v>5</v>
      </c>
    </row>
    <row r="1335" spans="20:22" x14ac:dyDescent="0.25">
      <c r="T1335">
        <f>IF(connections!$A1337="","",IFERROR(INDEX(games!$B$2:$B$950,MATCH(connections!$A1337,games!$A$2:$A$950,0)),""))</f>
        <v>2021</v>
      </c>
      <c r="U1335">
        <f>IF(connections!$A1337="","",IFERROR(INDEX(games!$B$2:$B$950,MATCH(connections!$B1337,games!$A$2:$A$950,0)),""))</f>
        <v>2023</v>
      </c>
      <c r="V1335">
        <f t="shared" si="200"/>
        <v>2</v>
      </c>
    </row>
    <row r="1336" spans="20:22" x14ac:dyDescent="0.25">
      <c r="T1336">
        <f>IF(connections!$A1338="","",IFERROR(INDEX(games!$B$2:$B$950,MATCH(connections!$A1338,games!$A$2:$A$950,0)),""))</f>
        <v>2021</v>
      </c>
      <c r="U1336">
        <f>IF(connections!$A1338="","",IFERROR(INDEX(games!$B$2:$B$950,MATCH(connections!$B1338,games!$A$2:$A$950,0)),""))</f>
        <v>2024</v>
      </c>
      <c r="V1336">
        <f t="shared" si="200"/>
        <v>3</v>
      </c>
    </row>
    <row r="1337" spans="20:22" x14ac:dyDescent="0.25">
      <c r="T1337">
        <f>IF(connections!$A1339="","",IFERROR(INDEX(games!$B$2:$B$950,MATCH(connections!$A1339,games!$A$2:$A$950,0)),""))</f>
        <v>2021</v>
      </c>
      <c r="U1337">
        <f>IF(connections!$A1339="","",IFERROR(INDEX(games!$B$2:$B$950,MATCH(connections!$B1339,games!$A$2:$A$950,0)),""))</f>
        <v>2022</v>
      </c>
      <c r="V1337">
        <f t="shared" si="200"/>
        <v>1</v>
      </c>
    </row>
    <row r="1338" spans="20:22" x14ac:dyDescent="0.25">
      <c r="T1338">
        <f>IF(connections!$A1340="","",IFERROR(INDEX(games!$B$2:$B$950,MATCH(connections!$A1340,games!$A$2:$A$950,0)),""))</f>
        <v>2021</v>
      </c>
      <c r="U1338">
        <f>IF(connections!$A1340="","",IFERROR(INDEX(games!$B$2:$B$950,MATCH(connections!$B1340,games!$A$2:$A$950,0)),""))</f>
        <v>2022</v>
      </c>
      <c r="V1338">
        <f t="shared" si="200"/>
        <v>1</v>
      </c>
    </row>
    <row r="1339" spans="20:22" x14ac:dyDescent="0.25">
      <c r="T1339">
        <f>IF(connections!$A1341="","",IFERROR(INDEX(games!$B$2:$B$950,MATCH(connections!$A1341,games!$A$2:$A$950,0)),""))</f>
        <v>2021</v>
      </c>
      <c r="U1339">
        <f>IF(connections!$A1341="","",IFERROR(INDEX(games!$B$2:$B$950,MATCH(connections!$B1341,games!$A$2:$A$950,0)),""))</f>
        <v>2022</v>
      </c>
      <c r="V1339">
        <f t="shared" si="200"/>
        <v>1</v>
      </c>
    </row>
    <row r="1340" spans="20:22" x14ac:dyDescent="0.25">
      <c r="T1340">
        <f>IF(connections!$A1342="","",IFERROR(INDEX(games!$B$2:$B$950,MATCH(connections!$A1342,games!$A$2:$A$950,0)),""))</f>
        <v>2021</v>
      </c>
      <c r="U1340">
        <f>IF(connections!$A1342="","",IFERROR(INDEX(games!$B$2:$B$950,MATCH(connections!$B1342,games!$A$2:$A$950,0)),""))</f>
        <v>2022</v>
      </c>
      <c r="V1340">
        <f t="shared" si="200"/>
        <v>1</v>
      </c>
    </row>
    <row r="1341" spans="20:22" x14ac:dyDescent="0.25">
      <c r="T1341">
        <f>IF(connections!$A1343="","",IFERROR(INDEX(games!$B$2:$B$950,MATCH(connections!$A1343,games!$A$2:$A$950,0)),""))</f>
        <v>2021</v>
      </c>
      <c r="U1341">
        <f>IF(connections!$A1343="","",IFERROR(INDEX(games!$B$2:$B$950,MATCH(connections!$B1343,games!$A$2:$A$950,0)),""))</f>
        <v>2023</v>
      </c>
      <c r="V1341">
        <f t="shared" si="200"/>
        <v>2</v>
      </c>
    </row>
    <row r="1342" spans="20:22" x14ac:dyDescent="0.25">
      <c r="T1342">
        <f>IF(connections!$A1346="","",IFERROR(INDEX(games!$B$2:$B$950,MATCH(connections!$A1346,games!$A$2:$A$950,0)),""))</f>
        <v>2021</v>
      </c>
      <c r="U1342">
        <f>IF(connections!$A1346="","",IFERROR(INDEX(games!$B$2:$B$950,MATCH(connections!$B1346,games!$A$2:$A$950,0)),""))</f>
        <v>2026</v>
      </c>
      <c r="V1342">
        <f t="shared" si="200"/>
        <v>5</v>
      </c>
    </row>
    <row r="1343" spans="20:22" x14ac:dyDescent="0.25">
      <c r="T1343">
        <f>IF(connections!$A1347="","",IFERROR(INDEX(games!$B$2:$B$950,MATCH(connections!$A1347,games!$A$2:$A$950,0)),""))</f>
        <v>2021</v>
      </c>
      <c r="U1343">
        <f>IF(connections!$A1347="","",IFERROR(INDEX(games!$B$2:$B$950,MATCH(connections!$B1347,games!$A$2:$A$950,0)),""))</f>
        <v>2023</v>
      </c>
      <c r="V1343">
        <f t="shared" si="200"/>
        <v>2</v>
      </c>
    </row>
    <row r="1344" spans="20:22" x14ac:dyDescent="0.25">
      <c r="T1344">
        <f>IF(connections!$A1348="","",IFERROR(INDEX(games!$B$2:$B$950,MATCH(connections!$A1348,games!$A$2:$A$950,0)),""))</f>
        <v>2021</v>
      </c>
      <c r="U1344">
        <f>IF(connections!$A1348="","",IFERROR(INDEX(games!$B$2:$B$950,MATCH(connections!$B1348,games!$A$2:$A$950,0)),""))</f>
        <v>2024</v>
      </c>
      <c r="V1344">
        <f t="shared" si="200"/>
        <v>3</v>
      </c>
    </row>
    <row r="1345" spans="20:22" x14ac:dyDescent="0.25">
      <c r="T1345">
        <f>IF(connections!$A1349="","",IFERROR(INDEX(games!$B$2:$B$950,MATCH(connections!$A1349,games!$A$2:$A$950,0)),""))</f>
        <v>2021</v>
      </c>
      <c r="U1345">
        <f>IF(connections!$A1349="","",IFERROR(INDEX(games!$B$2:$B$950,MATCH(connections!$B1349,games!$A$2:$A$950,0)),""))</f>
        <v>2025</v>
      </c>
      <c r="V1345">
        <f t="shared" si="200"/>
        <v>4</v>
      </c>
    </row>
    <row r="1346" spans="20:22" x14ac:dyDescent="0.25">
      <c r="T1346">
        <f>IF(connections!$A1350="","",IFERROR(INDEX(games!$B$2:$B$950,MATCH(connections!$A1350,games!$A$2:$A$950,0)),""))</f>
        <v>2021</v>
      </c>
      <c r="U1346">
        <f>IF(connections!$A1350="","",IFERROR(INDEX(games!$B$2:$B$950,MATCH(connections!$B1350,games!$A$2:$A$950,0)),""))</f>
        <v>2023</v>
      </c>
      <c r="V1346">
        <f t="shared" ref="V1346:V1400" si="201">IF(OR($T1346="",$U1346=""),"",$U1346-$T1346)</f>
        <v>2</v>
      </c>
    </row>
    <row r="1347" spans="20:22" x14ac:dyDescent="0.25">
      <c r="T1347">
        <f>IF(connections!$A1351="","",IFERROR(INDEX(games!$B$2:$B$950,MATCH(connections!$A1351,games!$A$2:$A$950,0)),""))</f>
        <v>2021</v>
      </c>
      <c r="U1347">
        <f>IF(connections!$A1351="","",IFERROR(INDEX(games!$B$2:$B$950,MATCH(connections!$B1351,games!$A$2:$A$950,0)),""))</f>
        <v>2023</v>
      </c>
      <c r="V1347">
        <f t="shared" si="201"/>
        <v>2</v>
      </c>
    </row>
    <row r="1348" spans="20:22" x14ac:dyDescent="0.25">
      <c r="T1348">
        <f>IF(connections!$A1352="","",IFERROR(INDEX(games!$B$2:$B$950,MATCH(connections!$A1352,games!$A$2:$A$950,0)),""))</f>
        <v>2021</v>
      </c>
      <c r="U1348">
        <f>IF(connections!$A1352="","",IFERROR(INDEX(games!$B$2:$B$950,MATCH(connections!$B1352,games!$A$2:$A$950,0)),""))</f>
        <v>2023</v>
      </c>
      <c r="V1348">
        <f t="shared" si="201"/>
        <v>2</v>
      </c>
    </row>
    <row r="1349" spans="20:22" x14ac:dyDescent="0.25">
      <c r="T1349">
        <f>IF(connections!$A1353="","",IFERROR(INDEX(games!$B$2:$B$950,MATCH(connections!$A1353,games!$A$2:$A$950,0)),""))</f>
        <v>2021</v>
      </c>
      <c r="U1349">
        <f>IF(connections!$A1353="","",IFERROR(INDEX(games!$B$2:$B$950,MATCH(connections!$B1353,games!$A$2:$A$950,0)),""))</f>
        <v>2024</v>
      </c>
      <c r="V1349">
        <f t="shared" si="201"/>
        <v>3</v>
      </c>
    </row>
    <row r="1350" spans="20:22" x14ac:dyDescent="0.25">
      <c r="T1350">
        <f>IF(connections!$A1354="","",IFERROR(INDEX(games!$B$2:$B$950,MATCH(connections!$A1354,games!$A$2:$A$950,0)),""))</f>
        <v>2021</v>
      </c>
      <c r="U1350">
        <f>IF(connections!$A1354="","",IFERROR(INDEX(games!$B$2:$B$950,MATCH(connections!$B1354,games!$A$2:$A$950,0)),""))</f>
        <v>2024</v>
      </c>
      <c r="V1350">
        <f t="shared" si="201"/>
        <v>3</v>
      </c>
    </row>
    <row r="1351" spans="20:22" x14ac:dyDescent="0.25">
      <c r="T1351">
        <f>IF(connections!$A1355="","",IFERROR(INDEX(games!$B$2:$B$950,MATCH(connections!$A1355,games!$A$2:$A$950,0)),""))</f>
        <v>2021</v>
      </c>
      <c r="U1351">
        <f>IF(connections!$A1355="","",IFERROR(INDEX(games!$B$2:$B$950,MATCH(connections!$B1355,games!$A$2:$A$950,0)),""))</f>
        <v>2024</v>
      </c>
      <c r="V1351">
        <f t="shared" si="201"/>
        <v>3</v>
      </c>
    </row>
    <row r="1352" spans="20:22" x14ac:dyDescent="0.25">
      <c r="T1352">
        <f>IF(connections!$A1356="","",IFERROR(INDEX(games!$B$2:$B$950,MATCH(connections!$A1356,games!$A$2:$A$950,0)),""))</f>
        <v>2021</v>
      </c>
      <c r="U1352">
        <f>IF(connections!$A1356="","",IFERROR(INDEX(games!$B$2:$B$950,MATCH(connections!$B1356,games!$A$2:$A$950,0)),""))</f>
        <v>2023</v>
      </c>
      <c r="V1352">
        <f t="shared" si="201"/>
        <v>2</v>
      </c>
    </row>
    <row r="1353" spans="20:22" x14ac:dyDescent="0.25">
      <c r="T1353">
        <f>IF(connections!$A1357="","",IFERROR(INDEX(games!$B$2:$B$950,MATCH(connections!$A1357,games!$A$2:$A$950,0)),""))</f>
        <v>2021</v>
      </c>
      <c r="U1353">
        <f>IF(connections!$A1357="","",IFERROR(INDEX(games!$B$2:$B$950,MATCH(connections!$B1357,games!$A$2:$A$950,0)),""))</f>
        <v>2023</v>
      </c>
      <c r="V1353">
        <f t="shared" si="201"/>
        <v>2</v>
      </c>
    </row>
    <row r="1354" spans="20:22" x14ac:dyDescent="0.25">
      <c r="T1354">
        <f>IF(connections!$A1358="","",IFERROR(INDEX(games!$B$2:$B$950,MATCH(connections!$A1358,games!$A$2:$A$950,0)),""))</f>
        <v>2021</v>
      </c>
      <c r="U1354">
        <f>IF(connections!$A1358="","",IFERROR(INDEX(games!$B$2:$B$950,MATCH(connections!$B1358,games!$A$2:$A$950,0)),""))</f>
        <v>2023</v>
      </c>
      <c r="V1354">
        <f t="shared" si="201"/>
        <v>2</v>
      </c>
    </row>
    <row r="1355" spans="20:22" x14ac:dyDescent="0.25">
      <c r="T1355">
        <f>IF(connections!$A1359="","",IFERROR(INDEX(games!$B$2:$B$950,MATCH(connections!$A1359,games!$A$2:$A$950,0)),""))</f>
        <v>2021</v>
      </c>
      <c r="U1355">
        <f>IF(connections!$A1359="","",IFERROR(INDEX(games!$B$2:$B$950,MATCH(connections!$B1359,games!$A$2:$A$950,0)),""))</f>
        <v>2022</v>
      </c>
      <c r="V1355">
        <f t="shared" si="201"/>
        <v>1</v>
      </c>
    </row>
    <row r="1356" spans="20:22" x14ac:dyDescent="0.25">
      <c r="T1356">
        <f>IF(connections!$A1360="","",IFERROR(INDEX(games!$B$2:$B$950,MATCH(connections!$A1360,games!$A$2:$A$950,0)),""))</f>
        <v>2021</v>
      </c>
      <c r="U1356">
        <f>IF(connections!$A1360="","",IFERROR(INDEX(games!$B$2:$B$950,MATCH(connections!$B1360,games!$A$2:$A$950,0)),""))</f>
        <v>2023</v>
      </c>
      <c r="V1356">
        <f t="shared" si="201"/>
        <v>2</v>
      </c>
    </row>
    <row r="1357" spans="20:22" x14ac:dyDescent="0.25">
      <c r="T1357">
        <f>IF(connections!$A1361="","",IFERROR(INDEX(games!$B$2:$B$950,MATCH(connections!$A1361,games!$A$2:$A$950,0)),""))</f>
        <v>2021</v>
      </c>
      <c r="U1357">
        <f>IF(connections!$A1361="","",IFERROR(INDEX(games!$B$2:$B$950,MATCH(connections!$B1361,games!$A$2:$A$950,0)),""))</f>
        <v>2026</v>
      </c>
      <c r="V1357">
        <f t="shared" si="201"/>
        <v>5</v>
      </c>
    </row>
    <row r="1358" spans="20:22" x14ac:dyDescent="0.25">
      <c r="T1358">
        <f>IF(connections!$A1362="","",IFERROR(INDEX(games!$B$2:$B$950,MATCH(connections!$A1362,games!$A$2:$A$950,0)),""))</f>
        <v>2021</v>
      </c>
      <c r="U1358">
        <f>IF(connections!$A1362="","",IFERROR(INDEX(games!$B$2:$B$950,MATCH(connections!$B1362,games!$A$2:$A$950,0)),""))</f>
        <v>2023</v>
      </c>
      <c r="V1358">
        <f t="shared" si="201"/>
        <v>2</v>
      </c>
    </row>
    <row r="1359" spans="20:22" x14ac:dyDescent="0.25">
      <c r="T1359">
        <f>IF(connections!$A1364="","",IFERROR(INDEX(games!$B$2:$B$950,MATCH(connections!$A1364,games!$A$2:$A$950,0)),""))</f>
        <v>2021</v>
      </c>
      <c r="U1359">
        <f>IF(connections!$A1364="","",IFERROR(INDEX(games!$B$2:$B$950,MATCH(connections!$B1364,games!$A$2:$A$950,0)),""))</f>
        <v>2026</v>
      </c>
      <c r="V1359">
        <f t="shared" si="201"/>
        <v>5</v>
      </c>
    </row>
    <row r="1360" spans="20:22" x14ac:dyDescent="0.25">
      <c r="T1360">
        <f>IF(connections!$A1365="","",IFERROR(INDEX(games!$B$2:$B$950,MATCH(connections!$A1365,games!$A$2:$A$950,0)),""))</f>
        <v>2021</v>
      </c>
      <c r="U1360">
        <f>IF(connections!$A1365="","",IFERROR(INDEX(games!$B$2:$B$950,MATCH(connections!$B1365,games!$A$2:$A$950,0)),""))</f>
        <v>2025</v>
      </c>
      <c r="V1360">
        <f t="shared" si="201"/>
        <v>4</v>
      </c>
    </row>
    <row r="1361" spans="20:22" x14ac:dyDescent="0.25">
      <c r="T1361">
        <f>IF(connections!$A1366="","",IFERROR(INDEX(games!$B$2:$B$950,MATCH(connections!$A1366,games!$A$2:$A$950,0)),""))</f>
        <v>2021</v>
      </c>
      <c r="U1361">
        <f>IF(connections!$A1366="","",IFERROR(INDEX(games!$B$2:$B$950,MATCH(connections!$B1366,games!$A$2:$A$950,0)),""))</f>
        <v>2022</v>
      </c>
      <c r="V1361">
        <f t="shared" si="201"/>
        <v>1</v>
      </c>
    </row>
    <row r="1362" spans="20:22" x14ac:dyDescent="0.25">
      <c r="T1362">
        <f>IF(connections!$A1367="","",IFERROR(INDEX(games!$B$2:$B$950,MATCH(connections!$A1367,games!$A$2:$A$950,0)),""))</f>
        <v>2021</v>
      </c>
      <c r="U1362">
        <f>IF(connections!$A1367="","",IFERROR(INDEX(games!$B$2:$B$950,MATCH(connections!$B1367,games!$A$2:$A$950,0)),""))</f>
        <v>2025</v>
      </c>
      <c r="V1362">
        <f t="shared" si="201"/>
        <v>4</v>
      </c>
    </row>
    <row r="1363" spans="20:22" x14ac:dyDescent="0.25">
      <c r="T1363">
        <f>IF(connections!$A1368="","",IFERROR(INDEX(games!$B$2:$B$950,MATCH(connections!$A1368,games!$A$2:$A$950,0)),""))</f>
        <v>2021</v>
      </c>
      <c r="U1363">
        <f>IF(connections!$A1368="","",IFERROR(INDEX(games!$B$2:$B$950,MATCH(connections!$B1368,games!$A$2:$A$950,0)),""))</f>
        <v>2023</v>
      </c>
      <c r="V1363">
        <f t="shared" si="201"/>
        <v>2</v>
      </c>
    </row>
    <row r="1364" spans="20:22" x14ac:dyDescent="0.25">
      <c r="T1364">
        <f>IF(connections!$A1369="","",IFERROR(INDEX(games!$B$2:$B$950,MATCH(connections!$A1369,games!$A$2:$A$950,0)),""))</f>
        <v>2021</v>
      </c>
      <c r="U1364">
        <f>IF(connections!$A1369="","",IFERROR(INDEX(games!$B$2:$B$950,MATCH(connections!$B1369,games!$A$2:$A$950,0)),""))</f>
        <v>2025</v>
      </c>
      <c r="V1364">
        <f t="shared" si="201"/>
        <v>4</v>
      </c>
    </row>
    <row r="1365" spans="20:22" x14ac:dyDescent="0.25">
      <c r="T1365">
        <f>IF(connections!$A1378="","",IFERROR(INDEX(games!$B$2:$B$950,MATCH(connections!$A1378,games!$A$2:$A$950,0)),""))</f>
        <v>2021</v>
      </c>
      <c r="U1365">
        <f>IF(connections!$A1378="","",IFERROR(INDEX(games!$B$2:$B$950,MATCH(connections!$B1378,games!$A$2:$A$950,0)),""))</f>
        <v>2024</v>
      </c>
      <c r="V1365">
        <f t="shared" si="201"/>
        <v>3</v>
      </c>
    </row>
    <row r="1366" spans="20:22" x14ac:dyDescent="0.25">
      <c r="T1366">
        <f>IF(connections!$A1379="","",IFERROR(INDEX(games!$B$2:$B$950,MATCH(connections!$A1379,games!$A$2:$A$950,0)),""))</f>
        <v>2021</v>
      </c>
      <c r="U1366">
        <f>IF(connections!$A1379="","",IFERROR(INDEX(games!$B$2:$B$950,MATCH(connections!$B1379,games!$A$2:$A$950,0)),""))</f>
        <v>2022</v>
      </c>
      <c r="V1366">
        <f t="shared" si="201"/>
        <v>1</v>
      </c>
    </row>
    <row r="1367" spans="20:22" x14ac:dyDescent="0.25">
      <c r="T1367">
        <f>IF(connections!$A1380="","",IFERROR(INDEX(games!$B$2:$B$950,MATCH(connections!$A1380,games!$A$2:$A$950,0)),""))</f>
        <v>2021</v>
      </c>
      <c r="U1367">
        <f>IF(connections!$A1380="","",IFERROR(INDEX(games!$B$2:$B$950,MATCH(connections!$B1380,games!$A$2:$A$950,0)),""))</f>
        <v>2025</v>
      </c>
      <c r="V1367">
        <f t="shared" si="201"/>
        <v>4</v>
      </c>
    </row>
    <row r="1368" spans="20:22" x14ac:dyDescent="0.25">
      <c r="T1368">
        <f>IF(connections!$A1381="","",IFERROR(INDEX(games!$B$2:$B$950,MATCH(connections!$A1381,games!$A$2:$A$950,0)),""))</f>
        <v>2021</v>
      </c>
      <c r="U1368">
        <f>IF(connections!$A1381="","",IFERROR(INDEX(games!$B$2:$B$950,MATCH(connections!$B1381,games!$A$2:$A$950,0)),""))</f>
        <v>2024</v>
      </c>
      <c r="V1368">
        <f t="shared" si="201"/>
        <v>3</v>
      </c>
    </row>
    <row r="1369" spans="20:22" x14ac:dyDescent="0.25">
      <c r="T1369">
        <f>IF(connections!$A1382="","",IFERROR(INDEX(games!$B$2:$B$950,MATCH(connections!$A1382,games!$A$2:$A$950,0)),""))</f>
        <v>2021</v>
      </c>
      <c r="U1369">
        <f>IF(connections!$A1382="","",IFERROR(INDEX(games!$B$2:$B$950,MATCH(connections!$B1382,games!$A$2:$A$950,0)),""))</f>
        <v>2022</v>
      </c>
      <c r="V1369">
        <f t="shared" si="201"/>
        <v>1</v>
      </c>
    </row>
    <row r="1370" spans="20:22" x14ac:dyDescent="0.25">
      <c r="T1370">
        <f>IF(connections!$A1383="","",IFERROR(INDEX(games!$B$2:$B$950,MATCH(connections!$A1383,games!$A$2:$A$950,0)),""))</f>
        <v>2021</v>
      </c>
      <c r="U1370">
        <f>IF(connections!$A1383="","",IFERROR(INDEX(games!$B$2:$B$950,MATCH(connections!$B1383,games!$A$2:$A$950,0)),""))</f>
        <v>2023</v>
      </c>
      <c r="V1370">
        <f t="shared" si="201"/>
        <v>2</v>
      </c>
    </row>
    <row r="1371" spans="20:22" x14ac:dyDescent="0.25">
      <c r="T1371">
        <f>IF(connections!$A1384="","",IFERROR(INDEX(games!$B$2:$B$950,MATCH(connections!$A1384,games!$A$2:$A$950,0)),""))</f>
        <v>2021</v>
      </c>
      <c r="U1371">
        <f>IF(connections!$A1384="","",IFERROR(INDEX(games!$B$2:$B$950,MATCH(connections!$B1384,games!$A$2:$A$950,0)),""))</f>
        <v>2022</v>
      </c>
      <c r="V1371">
        <f t="shared" si="201"/>
        <v>1</v>
      </c>
    </row>
    <row r="1372" spans="20:22" x14ac:dyDescent="0.25">
      <c r="T1372">
        <f>IF(connections!$A1385="","",IFERROR(INDEX(games!$B$2:$B$950,MATCH(connections!$A1385,games!$A$2:$A$950,0)),""))</f>
        <v>2021</v>
      </c>
      <c r="U1372">
        <f>IF(connections!$A1385="","",IFERROR(INDEX(games!$B$2:$B$950,MATCH(connections!$B1385,games!$A$2:$A$950,0)),""))</f>
        <v>2024</v>
      </c>
      <c r="V1372">
        <f t="shared" si="201"/>
        <v>3</v>
      </c>
    </row>
    <row r="1373" spans="20:22" x14ac:dyDescent="0.25">
      <c r="T1373">
        <f>IF(connections!$A1386="","",IFERROR(INDEX(games!$B$2:$B$950,MATCH(connections!$A1386,games!$A$2:$A$950,0)),""))</f>
        <v>2021</v>
      </c>
      <c r="U1373">
        <f>IF(connections!$A1386="","",IFERROR(INDEX(games!$B$2:$B$950,MATCH(connections!$B1386,games!$A$2:$A$950,0)),""))</f>
        <v>2024</v>
      </c>
      <c r="V1373">
        <f t="shared" si="201"/>
        <v>3</v>
      </c>
    </row>
    <row r="1374" spans="20:22" x14ac:dyDescent="0.25">
      <c r="T1374">
        <f>IF(connections!$A1387="","",IFERROR(INDEX(games!$B$2:$B$950,MATCH(connections!$A1387,games!$A$2:$A$950,0)),""))</f>
        <v>2021</v>
      </c>
      <c r="U1374">
        <f>IF(connections!$A1387="","",IFERROR(INDEX(games!$B$2:$B$950,MATCH(connections!$B1387,games!$A$2:$A$950,0)),""))</f>
        <v>2023</v>
      </c>
      <c r="V1374">
        <f t="shared" si="201"/>
        <v>2</v>
      </c>
    </row>
    <row r="1375" spans="20:22" x14ac:dyDescent="0.25">
      <c r="T1375">
        <f>IF(connections!$A1388="","",IFERROR(INDEX(games!$B$2:$B$950,MATCH(connections!$A1388,games!$A$2:$A$950,0)),""))</f>
        <v>2021</v>
      </c>
      <c r="U1375">
        <f>IF(connections!$A1388="","",IFERROR(INDEX(games!$B$2:$B$950,MATCH(connections!$B1388,games!$A$2:$A$950,0)),""))</f>
        <v>2026</v>
      </c>
      <c r="V1375">
        <f t="shared" si="201"/>
        <v>5</v>
      </c>
    </row>
    <row r="1376" spans="20:22" x14ac:dyDescent="0.25">
      <c r="T1376">
        <f>IF(connections!$A1389="","",IFERROR(INDEX(games!$B$2:$B$950,MATCH(connections!$A1389,games!$A$2:$A$950,0)),""))</f>
        <v>2021</v>
      </c>
      <c r="U1376">
        <f>IF(connections!$A1389="","",IFERROR(INDEX(games!$B$2:$B$950,MATCH(connections!$B1389,games!$A$2:$A$950,0)),""))</f>
        <v>2023</v>
      </c>
      <c r="V1376">
        <f t="shared" si="201"/>
        <v>2</v>
      </c>
    </row>
    <row r="1377" spans="20:22" x14ac:dyDescent="0.25">
      <c r="T1377">
        <f>IF(connections!$A1390="","",IFERROR(INDEX(games!$B$2:$B$950,MATCH(connections!$A1390,games!$A$2:$A$950,0)),""))</f>
        <v>2021</v>
      </c>
      <c r="U1377">
        <f>IF(connections!$A1390="","",IFERROR(INDEX(games!$B$2:$B$950,MATCH(connections!$B1390,games!$A$2:$A$950,0)),""))</f>
        <v>2025</v>
      </c>
      <c r="V1377">
        <f t="shared" si="201"/>
        <v>4</v>
      </c>
    </row>
    <row r="1378" spans="20:22" x14ac:dyDescent="0.25">
      <c r="T1378">
        <f>IF(connections!$A1391="","",IFERROR(INDEX(games!$B$2:$B$950,MATCH(connections!$A1391,games!$A$2:$A$950,0)),""))</f>
        <v>2021</v>
      </c>
      <c r="U1378">
        <f>IF(connections!$A1391="","",IFERROR(INDEX(games!$B$2:$B$950,MATCH(connections!$B1391,games!$A$2:$A$950,0)),""))</f>
        <v>2026</v>
      </c>
      <c r="V1378">
        <f t="shared" si="201"/>
        <v>5</v>
      </c>
    </row>
    <row r="1379" spans="20:22" x14ac:dyDescent="0.25">
      <c r="T1379">
        <f>IF(connections!$A1392="","",IFERROR(INDEX(games!$B$2:$B$950,MATCH(connections!$A1392,games!$A$2:$A$950,0)),""))</f>
        <v>2021</v>
      </c>
      <c r="U1379">
        <f>IF(connections!$A1392="","",IFERROR(INDEX(games!$B$2:$B$950,MATCH(connections!$B1392,games!$A$2:$A$950,0)),""))</f>
        <v>2026</v>
      </c>
      <c r="V1379">
        <f t="shared" si="201"/>
        <v>5</v>
      </c>
    </row>
    <row r="1380" spans="20:22" x14ac:dyDescent="0.25">
      <c r="T1380">
        <f>IF(connections!$A1393="","",IFERROR(INDEX(games!$B$2:$B$950,MATCH(connections!$A1393,games!$A$2:$A$950,0)),""))</f>
        <v>2021</v>
      </c>
      <c r="U1380">
        <f>IF(connections!$A1393="","",IFERROR(INDEX(games!$B$2:$B$950,MATCH(connections!$B1393,games!$A$2:$A$950,0)),""))</f>
        <v>2022</v>
      </c>
      <c r="V1380">
        <f t="shared" si="201"/>
        <v>1</v>
      </c>
    </row>
    <row r="1381" spans="20:22" x14ac:dyDescent="0.25">
      <c r="T1381">
        <f>IF(connections!$A1394="","",IFERROR(INDEX(games!$B$2:$B$950,MATCH(connections!$A1394,games!$A$2:$A$950,0)),""))</f>
        <v>2021</v>
      </c>
      <c r="U1381">
        <f>IF(connections!$A1394="","",IFERROR(INDEX(games!$B$2:$B$950,MATCH(connections!$B1394,games!$A$2:$A$950,0)),""))</f>
        <v>2022</v>
      </c>
      <c r="V1381">
        <f t="shared" si="201"/>
        <v>1</v>
      </c>
    </row>
    <row r="1382" spans="20:22" x14ac:dyDescent="0.25">
      <c r="T1382">
        <f>IF(connections!$A1395="","",IFERROR(INDEX(games!$B$2:$B$950,MATCH(connections!$A1395,games!$A$2:$A$950,0)),""))</f>
        <v>2021</v>
      </c>
      <c r="U1382">
        <f>IF(connections!$A1395="","",IFERROR(INDEX(games!$B$2:$B$950,MATCH(connections!$B1395,games!$A$2:$A$950,0)),""))</f>
        <v>2022</v>
      </c>
      <c r="V1382">
        <f t="shared" si="201"/>
        <v>1</v>
      </c>
    </row>
    <row r="1383" spans="20:22" x14ac:dyDescent="0.25">
      <c r="T1383">
        <f>IF(connections!$A1396="","",IFERROR(INDEX(games!$B$2:$B$950,MATCH(connections!$A1396,games!$A$2:$A$950,0)),""))</f>
        <v>2021</v>
      </c>
      <c r="U1383">
        <f>IF(connections!$A1396="","",IFERROR(INDEX(games!$B$2:$B$950,MATCH(connections!$B1396,games!$A$2:$A$950,0)),""))</f>
        <v>2023</v>
      </c>
      <c r="V1383">
        <f t="shared" si="201"/>
        <v>2</v>
      </c>
    </row>
    <row r="1384" spans="20:22" x14ac:dyDescent="0.25">
      <c r="T1384">
        <f>IF(connections!$A1397="","",IFERROR(INDEX(games!$B$2:$B$950,MATCH(connections!$A1397,games!$A$2:$A$950,0)),""))</f>
        <v>2021</v>
      </c>
      <c r="U1384">
        <f>IF(connections!$A1397="","",IFERROR(INDEX(games!$B$2:$B$950,MATCH(connections!$B1397,games!$A$2:$A$950,0)),""))</f>
        <v>2023</v>
      </c>
      <c r="V1384">
        <f t="shared" si="201"/>
        <v>2</v>
      </c>
    </row>
    <row r="1385" spans="20:22" x14ac:dyDescent="0.25">
      <c r="T1385">
        <f>IF(connections!$A1398="","",IFERROR(INDEX(games!$B$2:$B$950,MATCH(connections!$A1398,games!$A$2:$A$950,0)),""))</f>
        <v>2021</v>
      </c>
      <c r="U1385">
        <f>IF(connections!$A1398="","",IFERROR(INDEX(games!$B$2:$B$950,MATCH(connections!$B1398,games!$A$2:$A$950,0)),""))</f>
        <v>2025</v>
      </c>
      <c r="V1385">
        <f t="shared" si="201"/>
        <v>4</v>
      </c>
    </row>
    <row r="1386" spans="20:22" x14ac:dyDescent="0.25">
      <c r="T1386">
        <f>IF(connections!$A1399="","",IFERROR(INDEX(games!$B$2:$B$950,MATCH(connections!$A1399,games!$A$2:$A$950,0)),""))</f>
        <v>2021</v>
      </c>
      <c r="U1386">
        <f>IF(connections!$A1399="","",IFERROR(INDEX(games!$B$2:$B$950,MATCH(connections!$B1399,games!$A$2:$A$950,0)),""))</f>
        <v>2022</v>
      </c>
      <c r="V1386">
        <f t="shared" si="201"/>
        <v>1</v>
      </c>
    </row>
    <row r="1387" spans="20:22" x14ac:dyDescent="0.25">
      <c r="T1387">
        <f>IF(connections!$A1400="","",IFERROR(INDEX(games!$B$2:$B$950,MATCH(connections!$A1400,games!$A$2:$A$950,0)),""))</f>
        <v>2021</v>
      </c>
      <c r="U1387">
        <f>IF(connections!$A1400="","",IFERROR(INDEX(games!$B$2:$B$950,MATCH(connections!$B1400,games!$A$2:$A$950,0)),""))</f>
        <v>2022</v>
      </c>
      <c r="V1387">
        <f t="shared" si="201"/>
        <v>1</v>
      </c>
    </row>
    <row r="1388" spans="20:22" x14ac:dyDescent="0.25">
      <c r="T1388">
        <f>IF(connections!$A1401="","",IFERROR(INDEX(games!$B$2:$B$950,MATCH(connections!$A1401,games!$A$2:$A$950,0)),""))</f>
        <v>2021</v>
      </c>
      <c r="U1388">
        <f>IF(connections!$A1401="","",IFERROR(INDEX(games!$B$2:$B$950,MATCH(connections!$B1401,games!$A$2:$A$950,0)),""))</f>
        <v>2022</v>
      </c>
      <c r="V1388">
        <f t="shared" si="201"/>
        <v>1</v>
      </c>
    </row>
    <row r="1389" spans="20:22" x14ac:dyDescent="0.25">
      <c r="T1389">
        <f>IF(connections!$A1402="","",IFERROR(INDEX(games!$B$2:$B$950,MATCH(connections!$A1402,games!$A$2:$A$950,0)),""))</f>
        <v>2021</v>
      </c>
      <c r="U1389">
        <f>IF(connections!$A1402="","",IFERROR(INDEX(games!$B$2:$B$950,MATCH(connections!$B1402,games!$A$2:$A$950,0)),""))</f>
        <v>2023</v>
      </c>
      <c r="V1389">
        <f t="shared" si="201"/>
        <v>2</v>
      </c>
    </row>
    <row r="1390" spans="20:22" x14ac:dyDescent="0.25">
      <c r="T1390">
        <f>IF(connections!$A1403="","",IFERROR(INDEX(games!$B$2:$B$950,MATCH(connections!$A1403,games!$A$2:$A$950,0)),""))</f>
        <v>2021</v>
      </c>
      <c r="U1390">
        <f>IF(connections!$A1403="","",IFERROR(INDEX(games!$B$2:$B$950,MATCH(connections!$B1403,games!$A$2:$A$950,0)),""))</f>
        <v>2026</v>
      </c>
      <c r="V1390">
        <f t="shared" si="201"/>
        <v>5</v>
      </c>
    </row>
    <row r="1391" spans="20:22" x14ac:dyDescent="0.25">
      <c r="T1391">
        <f>IF(connections!$A1404="","",IFERROR(INDEX(games!$B$2:$B$950,MATCH(connections!$A1404,games!$A$2:$A$950,0)),""))</f>
        <v>2021</v>
      </c>
      <c r="U1391">
        <f>IF(connections!$A1404="","",IFERROR(INDEX(games!$B$2:$B$950,MATCH(connections!$B1404,games!$A$2:$A$950,0)),""))</f>
        <v>2023</v>
      </c>
      <c r="V1391">
        <f t="shared" si="201"/>
        <v>2</v>
      </c>
    </row>
    <row r="1392" spans="20:22" x14ac:dyDescent="0.25">
      <c r="T1392">
        <f>IF(connections!$A1405="","",IFERROR(INDEX(games!$B$2:$B$950,MATCH(connections!$A1405,games!$A$2:$A$950,0)),""))</f>
        <v>2021</v>
      </c>
      <c r="U1392">
        <f>IF(connections!$A1405="","",IFERROR(INDEX(games!$B$2:$B$950,MATCH(connections!$B1405,games!$A$2:$A$950,0)),""))</f>
        <v>2024</v>
      </c>
      <c r="V1392">
        <f t="shared" si="201"/>
        <v>3</v>
      </c>
    </row>
    <row r="1393" spans="20:22" x14ac:dyDescent="0.25">
      <c r="T1393">
        <f>IF(connections!$A1406="","",IFERROR(INDEX(games!$B$2:$B$950,MATCH(connections!$A1406,games!$A$2:$A$950,0)),""))</f>
        <v>2021</v>
      </c>
      <c r="U1393">
        <f>IF(connections!$A1406="","",IFERROR(INDEX(games!$B$2:$B$950,MATCH(connections!$B1406,games!$A$2:$A$950,0)),""))</f>
        <v>2026</v>
      </c>
      <c r="V1393">
        <f t="shared" si="201"/>
        <v>5</v>
      </c>
    </row>
    <row r="1394" spans="20:22" x14ac:dyDescent="0.25">
      <c r="T1394">
        <f>IF(connections!$A1407="","",IFERROR(INDEX(games!$B$2:$B$950,MATCH(connections!$A1407,games!$A$2:$A$950,0)),""))</f>
        <v>2021</v>
      </c>
      <c r="U1394">
        <f>IF(connections!$A1407="","",IFERROR(INDEX(games!$B$2:$B$950,MATCH(connections!$B1407,games!$A$2:$A$950,0)),""))</f>
        <v>2026</v>
      </c>
      <c r="V1394">
        <f t="shared" si="201"/>
        <v>5</v>
      </c>
    </row>
    <row r="1395" spans="20:22" x14ac:dyDescent="0.25">
      <c r="T1395">
        <f>IF(connections!$A1408="","",IFERROR(INDEX(games!$B$2:$B$950,MATCH(connections!$A1408,games!$A$2:$A$950,0)),""))</f>
        <v>2021</v>
      </c>
      <c r="U1395">
        <f>IF(connections!$A1408="","",IFERROR(INDEX(games!$B$2:$B$950,MATCH(connections!$B1408,games!$A$2:$A$950,0)),""))</f>
        <v>2024</v>
      </c>
      <c r="V1395">
        <f t="shared" si="201"/>
        <v>3</v>
      </c>
    </row>
    <row r="1396" spans="20:22" x14ac:dyDescent="0.25">
      <c r="T1396">
        <f>IF(connections!$A1409="","",IFERROR(INDEX(games!$B$2:$B$950,MATCH(connections!$A1409,games!$A$2:$A$950,0)),""))</f>
        <v>2021</v>
      </c>
      <c r="U1396">
        <f>IF(connections!$A1409="","",IFERROR(INDEX(games!$B$2:$B$950,MATCH(connections!$B1409,games!$A$2:$A$950,0)),""))</f>
        <v>2023</v>
      </c>
      <c r="V1396">
        <f t="shared" si="201"/>
        <v>2</v>
      </c>
    </row>
    <row r="1397" spans="20:22" x14ac:dyDescent="0.25">
      <c r="T1397">
        <f>IF(connections!$A1410="","",IFERROR(INDEX(games!$B$2:$B$950,MATCH(connections!$A1410,games!$A$2:$A$950,0)),""))</f>
        <v>2021</v>
      </c>
      <c r="U1397">
        <f>IF(connections!$A1410="","",IFERROR(INDEX(games!$B$2:$B$950,MATCH(connections!$B1410,games!$A$2:$A$950,0)),""))</f>
        <v>2023</v>
      </c>
      <c r="V1397">
        <f t="shared" si="201"/>
        <v>2</v>
      </c>
    </row>
    <row r="1398" spans="20:22" x14ac:dyDescent="0.25">
      <c r="T1398">
        <f>IF(connections!$A1411="","",IFERROR(INDEX(games!$B$2:$B$950,MATCH(connections!$A1411,games!$A$2:$A$950,0)),""))</f>
        <v>2021</v>
      </c>
      <c r="U1398">
        <f>IF(connections!$A1411="","",IFERROR(INDEX(games!$B$2:$B$950,MATCH(connections!$B1411,games!$A$2:$A$950,0)),""))</f>
        <v>2022</v>
      </c>
      <c r="V1398">
        <f t="shared" si="201"/>
        <v>1</v>
      </c>
    </row>
    <row r="1399" spans="20:22" x14ac:dyDescent="0.25">
      <c r="T1399">
        <f>IF(connections!$A1412="","",IFERROR(INDEX(games!$B$2:$B$950,MATCH(connections!$A1412,games!$A$2:$A$950,0)),""))</f>
        <v>2021</v>
      </c>
      <c r="U1399">
        <f>IF(connections!$A1412="","",IFERROR(INDEX(games!$B$2:$B$950,MATCH(connections!$B1412,games!$A$2:$A$950,0)),""))</f>
        <v>2024</v>
      </c>
      <c r="V1399">
        <f t="shared" si="201"/>
        <v>3</v>
      </c>
    </row>
    <row r="1400" spans="20:22" x14ac:dyDescent="0.25">
      <c r="T1400">
        <f>IF(connections!$A1413="","",IFERROR(INDEX(games!$B$2:$B$950,MATCH(connections!$A1413,games!$A$2:$A$950,0)),""))</f>
        <v>2021</v>
      </c>
      <c r="U1400">
        <f>IF(connections!$A1413="","",IFERROR(INDEX(games!$B$2:$B$950,MATCH(connections!$B1413,games!$A$2:$A$950,0)),""))</f>
        <v>2026</v>
      </c>
      <c r="V1400">
        <f t="shared" si="201"/>
        <v>5</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56</vt:i4>
      </vt:variant>
    </vt:vector>
  </HeadingPairs>
  <TitlesOfParts>
    <vt:vector size="56"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2026-10-04T18:35:10Z</dcterms:modified>
  <dc:language>en-US</dc:language>
</cp:coreProperties>
</file>