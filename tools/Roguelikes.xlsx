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498EFAA-67AD-40BA-9D11-8F9B10FD3E10}"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Q842" i="47"/>
  <c r="P842" i="47"/>
  <c r="D842" i="47"/>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Q903"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Q320" i="47"/>
  <c r="Q295" i="47"/>
  <c r="O114" i="47"/>
  <c r="Q275" i="47"/>
  <c r="O331" i="47"/>
  <c r="Q268" i="47"/>
  <c r="Q26" i="47"/>
  <c r="O306" i="47"/>
  <c r="Q154" i="47"/>
  <c r="O274" i="47"/>
  <c r="Q470"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131"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58"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Q193"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Q213"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O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Q422"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O583"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Q598" i="47" s="1"/>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Q646" i="47" s="1"/>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Q728" i="47" s="1"/>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Q794" i="47" s="1"/>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O814"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Q860" i="47"/>
  <c r="P864" i="47"/>
  <c r="L902" i="47"/>
  <c r="P912" i="47"/>
  <c r="F912" i="47"/>
  <c r="C912" i="47"/>
  <c r="J912" i="47" s="1"/>
  <c r="B912" i="47"/>
  <c r="D912" i="47"/>
  <c r="O912" i="47" s="1"/>
  <c r="B860" i="47"/>
  <c r="Q864" i="47"/>
  <c r="B866" i="47"/>
  <c r="Q866" i="47"/>
  <c r="M882" i="47"/>
  <c r="E814" i="47"/>
  <c r="M814" i="47"/>
  <c r="Q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Q898"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G786" i="47" l="1"/>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<sst xmlns="http://schemas.openxmlformats.org/spreadsheetml/2006/main" count="38025" uniqueCount="14144">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</sst>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72</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137</c:v>
                </c:pt>
                <c:pt idx="4">
                  <c:v>59</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91</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120</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8" totalsRowShown="0">
  <autoFilter ref="A1:G1538"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R13" totalsRowShown="0" headerRowCellStyle="Normal" dataCellStyle="Normal">
  <autoFilter ref="A1:R13" xr:uid="{00000000-0009-0000-0100-000003000000}"/>
  <sortState xmlns:xlrd2="http://schemas.microsoft.com/office/spreadsheetml/2017/richdata2" ref="A2:Q13">
    <sortCondition ref="A6:A13"/>
  </sortState>
  <tableColumns count="18">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loadout"/>
    <tableColumn id="17" name="File"/>
    <tableColumn id="18" name="Rad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6" totalsRowShown="0">
  <autoFilter ref="A1:J76" xr:uid="{00000000-0009-0000-0100-000004000000}"/>
  <sortState xmlns:xlrd2="http://schemas.microsoft.com/office/spreadsheetml/2017/richdata2" ref="A2:J76">
    <sortCondition ref="A61:A7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table" Target="../tables/table1.xm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table" Target="../tables/table2.xm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abSelected="1" topLeftCell="A825"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14102</v>
      </c>
      <c r="B150">
        <v>2026</v>
      </c>
      <c r="C150" t="s">
        <v>176</v>
      </c>
      <c r="D150" t="b">
        <v>1</v>
      </c>
      <c r="E150" t="b">
        <f>COUNTIF(connections!A:A, A150) &gt; 0</f>
        <v>0</v>
      </c>
      <c r="G150" t="s">
        <v>14106</v>
      </c>
      <c r="J150" s="10" t="s">
        <v>14107</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14132</v>
      </c>
      <c r="B599">
        <v>2026</v>
      </c>
      <c r="C599" t="s">
        <v>176</v>
      </c>
      <c r="D599" t="b">
        <v>1</v>
      </c>
      <c r="E599" t="b">
        <f>COUNTIF(connections!A:A, A599) &gt; 0</f>
        <v>0</v>
      </c>
      <c r="G599" t="s">
        <v>14133</v>
      </c>
      <c r="J599" s="10" t="s">
        <v>14134</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9941</v>
      </c>
      <c r="B602">
        <v>2026</v>
      </c>
      <c r="C602" t="s">
        <v>182</v>
      </c>
      <c r="D602" t="b">
        <v>0</v>
      </c>
      <c r="E602" t="b">
        <f>COUNTIF(connections!A:A, A602) &gt; 0</f>
        <v>0</v>
      </c>
      <c r="G602" t="s">
        <v>9942</v>
      </c>
      <c r="J602" s="10" t="s">
        <v>9943</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9944</v>
      </c>
      <c r="B604">
        <v>2026</v>
      </c>
      <c r="C604" t="s">
        <v>176</v>
      </c>
      <c r="D604" t="b">
        <v>0</v>
      </c>
      <c r="E604" t="b">
        <f>COUNTIF(connections!A:A, A604) &gt; 0</f>
        <v>0</v>
      </c>
      <c r="G604" t="s">
        <v>9946</v>
      </c>
      <c r="J604" s="10" t="s">
        <v>9945</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9938</v>
      </c>
      <c r="B617">
        <v>2025</v>
      </c>
      <c r="C617" t="s">
        <v>176</v>
      </c>
      <c r="D617" t="b">
        <v>0</v>
      </c>
      <c r="E617" t="b">
        <f>COUNTIF(connections!A:A, A617) &gt; 0</f>
        <v>0</v>
      </c>
      <c r="G617" t="s">
        <v>9939</v>
      </c>
      <c r="J617" s="10" t="s">
        <v>9940</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9820</v>
      </c>
      <c r="B647">
        <v>2026</v>
      </c>
      <c r="C647" t="s">
        <v>176</v>
      </c>
      <c r="D647" t="b">
        <v>1</v>
      </c>
      <c r="E647" t="b">
        <f>COUNTIF(connections!A:A, A647) &gt; 0</f>
        <v>0</v>
      </c>
      <c r="G647" t="s">
        <v>9821</v>
      </c>
      <c r="J647" s="10" t="s">
        <v>9822</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14137</v>
      </c>
      <c r="B662">
        <v>2026</v>
      </c>
      <c r="C662" t="s">
        <v>179</v>
      </c>
      <c r="D662" t="b">
        <v>1</v>
      </c>
      <c r="E662" t="b">
        <f>COUNTIF(connections!A:A, A662) &gt; 0</f>
        <v>0</v>
      </c>
      <c r="G662" t="s">
        <v>14138</v>
      </c>
      <c r="J662" s="10" t="s">
        <v>14139</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8361</v>
      </c>
      <c r="B676">
        <v>2022</v>
      </c>
      <c r="C676" t="s">
        <v>176</v>
      </c>
      <c r="D676" t="b">
        <f>TRUE()</f>
        <v>1</v>
      </c>
      <c r="E676" t="b">
        <f>COUNTIF(connections!A:A, A676) &gt; 0</f>
        <v>1</v>
      </c>
      <c r="G676" t="s">
        <v>8362</v>
      </c>
      <c r="H676" t="s">
        <v>187</v>
      </c>
      <c r="I676" t="s">
        <v>8404</v>
      </c>
      <c r="J676" s="10" t="s">
        <v>8363</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9892</v>
      </c>
      <c r="B679">
        <v>2026</v>
      </c>
      <c r="C679" t="s">
        <v>176</v>
      </c>
      <c r="D679" t="b">
        <v>0</v>
      </c>
      <c r="E679" t="b">
        <f>COUNTIF(connections!A:A, A679) &gt; 0</f>
        <v>0</v>
      </c>
      <c r="G679" t="s">
        <v>9893</v>
      </c>
      <c r="J679" s="10" t="s">
        <v>9894</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8332</v>
      </c>
      <c r="J691" s="10" t="s">
        <v>8333</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8329</v>
      </c>
      <c r="J712" s="10" t="s">
        <v>8330</v>
      </c>
    </row>
    <row r="713" spans="1:10" ht="15" customHeight="1" x14ac:dyDescent="0.25">
      <c r="A713" t="s">
        <v>2341</v>
      </c>
      <c r="B713">
        <v>2014</v>
      </c>
      <c r="C713" t="s">
        <v>176</v>
      </c>
      <c r="D713" t="b">
        <f>TRUE()</f>
        <v>1</v>
      </c>
      <c r="E713" t="b">
        <f>COUNTIF(connections!A:A, A713) &gt; 0</f>
        <v>0</v>
      </c>
      <c r="G713" t="s">
        <v>2342</v>
      </c>
      <c r="H713" t="s">
        <v>187</v>
      </c>
      <c r="I713" t="s">
        <v>8315</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9854</v>
      </c>
      <c r="B719">
        <v>2026</v>
      </c>
      <c r="C719" t="s">
        <v>176</v>
      </c>
      <c r="D719" t="b">
        <v>0</v>
      </c>
      <c r="E719" t="b">
        <f>COUNTIF(connections!A:A, A719) &gt; 0</f>
        <v>0</v>
      </c>
      <c r="G719" t="s">
        <v>9855</v>
      </c>
      <c r="H719" t="s">
        <v>187</v>
      </c>
      <c r="I719" t="s">
        <v>9856</v>
      </c>
      <c r="J719" s="10" t="s">
        <v>9857</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8366</v>
      </c>
      <c r="B721">
        <v>2024</v>
      </c>
      <c r="C721" t="s">
        <v>176</v>
      </c>
      <c r="D721" t="b">
        <f>TRUE()</f>
        <v>1</v>
      </c>
      <c r="E721" t="b">
        <f>COUNTIF(connections!A:A, A721) &gt; 0</f>
        <v>0</v>
      </c>
      <c r="G721" t="s">
        <v>8367</v>
      </c>
      <c r="H721" t="s">
        <v>187</v>
      </c>
      <c r="I721" t="s">
        <v>8368</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9887</v>
      </c>
      <c r="B733">
        <v>2021</v>
      </c>
      <c r="C733" t="s">
        <v>176</v>
      </c>
      <c r="D733" t="b">
        <v>1</v>
      </c>
      <c r="E733" t="b">
        <f>COUNTIF(connections!A:A, A733) &gt; 0</f>
        <v>0</v>
      </c>
      <c r="G733" t="s">
        <v>9888</v>
      </c>
      <c r="H733" t="s">
        <v>187</v>
      </c>
      <c r="I733" t="s">
        <v>9891</v>
      </c>
      <c r="J733" s="10" t="s">
        <v>9889</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8316</v>
      </c>
      <c r="J737" s="10" t="s">
        <v>8097</v>
      </c>
    </row>
    <row r="738" spans="1:10" x14ac:dyDescent="0.25">
      <c r="A738" t="s">
        <v>7838</v>
      </c>
      <c r="B738">
        <v>2019</v>
      </c>
      <c r="C738" t="s">
        <v>176</v>
      </c>
      <c r="D738" t="b">
        <f>TRUE()</f>
        <v>1</v>
      </c>
      <c r="E738" t="b">
        <f>COUNTIF(connections!A:A, A738) &gt; 0</f>
        <v>0</v>
      </c>
      <c r="G738" t="s">
        <v>7839</v>
      </c>
      <c r="H738" t="s">
        <v>187</v>
      </c>
      <c r="I738" t="s">
        <v>8317</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14109</v>
      </c>
      <c r="B746">
        <v>2026</v>
      </c>
      <c r="C746" t="s">
        <v>182</v>
      </c>
      <c r="D746" t="b">
        <v>1</v>
      </c>
      <c r="E746" t="b">
        <f>COUNTIF(connections!A:A, A746) &gt; 0</f>
        <v>0</v>
      </c>
      <c r="G746" t="s">
        <v>14111</v>
      </c>
      <c r="J746" s="10" t="s">
        <v>14112</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8318</v>
      </c>
      <c r="B754">
        <v>2020</v>
      </c>
      <c r="C754" t="s">
        <v>222</v>
      </c>
      <c r="D754" t="b">
        <f>TRUE()</f>
        <v>1</v>
      </c>
      <c r="E754" t="b">
        <f>COUNTIF(connections!A:A, A754) &gt; 0</f>
        <v>0</v>
      </c>
      <c r="G754" t="s">
        <v>8319</v>
      </c>
      <c r="H754" t="s">
        <v>187</v>
      </c>
      <c r="I754" t="s">
        <v>8320</v>
      </c>
      <c r="J754" s="10" t="s">
        <v>8321</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9965</v>
      </c>
      <c r="B756">
        <v>2026</v>
      </c>
      <c r="C756" t="s">
        <v>176</v>
      </c>
      <c r="D756" t="b">
        <v>1</v>
      </c>
      <c r="E756" t="b">
        <f>COUNTIF(connections!A:A, A756) &gt; 0</f>
        <v>0</v>
      </c>
      <c r="F756" t="s">
        <v>787</v>
      </c>
      <c r="G756" t="s">
        <v>9966</v>
      </c>
      <c r="J756" s="10" t="s">
        <v>9967</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8322</v>
      </c>
      <c r="J763" s="10" t="s">
        <v>8323</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9903</v>
      </c>
      <c r="B766">
        <v>2025</v>
      </c>
      <c r="C766" t="s">
        <v>222</v>
      </c>
      <c r="D766" t="b">
        <v>1</v>
      </c>
      <c r="E766" t="b">
        <f>COUNTIF(connections!A:A, A766) &gt; 0</f>
        <v>0</v>
      </c>
      <c r="G766" t="s">
        <v>9904</v>
      </c>
      <c r="H766" t="s">
        <v>187</v>
      </c>
      <c r="I766" t="s">
        <v>9906</v>
      </c>
      <c r="J766" s="10" t="s">
        <v>9905</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8324</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8325</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9849</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9971</v>
      </c>
      <c r="B846">
        <v>2024</v>
      </c>
      <c r="C846" t="s">
        <v>176</v>
      </c>
      <c r="D846" t="b">
        <v>0</v>
      </c>
      <c r="E846" t="b">
        <f>COUNTIF(connections!A:A, A846) &gt; 0</f>
        <v>0</v>
      </c>
      <c r="F846" t="s">
        <v>328</v>
      </c>
      <c r="G846" t="s">
        <v>9972</v>
      </c>
      <c r="J846" s="10" t="s">
        <v>9973</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8326</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8327</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12684</v>
      </c>
      <c r="B861">
        <v>2025</v>
      </c>
      <c r="C861" t="s">
        <v>176</v>
      </c>
      <c r="D861" t="b">
        <v>1</v>
      </c>
      <c r="E861" t="b">
        <f>COUNTIF(connections!A:A, A861) &gt; 0</f>
        <v>0</v>
      </c>
      <c r="F861" t="s">
        <v>529</v>
      </c>
      <c r="G861" t="s">
        <v>12685</v>
      </c>
      <c r="J861" s="10" t="s">
        <v>12686</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12676</v>
      </c>
      <c r="J867" s="10" t="s">
        <v>12677</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12672</v>
      </c>
      <c r="J891" s="10" t="s">
        <v>12673</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9852</v>
      </c>
      <c r="J912" s="10" t="s">
        <v>9853</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s>
  <pageMargins left="0.7" right="0.7" top="0.75" bottom="0.75" header="0.511811023622047" footer="0.511811023622047"/>
  <pageSetup orientation="portrait" horizontalDpi="300" verticalDpi="300"/>
  <tableParts count="1">
    <tablePart r:id="rId6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8"/>
  <sheetViews>
    <sheetView topLeftCell="A1503" zoomScaleNormal="100" workbookViewId="0">
      <selection activeCell="B1537" sqref="B1537"/>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14034</v>
      </c>
      <c r="F159" t="s">
        <v>14035</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14102</v>
      </c>
      <c r="C259">
        <v>2018</v>
      </c>
      <c r="E259" s="10" t="s">
        <v>14104</v>
      </c>
      <c r="F259" t="s">
        <v>14105</v>
      </c>
      <c r="G259" t="s">
        <v>3990</v>
      </c>
    </row>
    <row r="260" spans="1:7" x14ac:dyDescent="0.25">
      <c r="A260" t="s">
        <v>2254</v>
      </c>
      <c r="B260" t="s">
        <v>14102</v>
      </c>
      <c r="C260">
        <v>2020</v>
      </c>
      <c r="E260" s="10" t="s">
        <v>14101</v>
      </c>
      <c r="F260" t="s">
        <v>14103</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14036</v>
      </c>
      <c r="F402" t="s">
        <v>14037</v>
      </c>
      <c r="G402" t="s">
        <v>3990</v>
      </c>
    </row>
    <row r="403" spans="1:7" x14ac:dyDescent="0.25">
      <c r="A403" t="s">
        <v>746</v>
      </c>
      <c r="B403" t="s">
        <v>893</v>
      </c>
      <c r="C403">
        <v>2015</v>
      </c>
      <c r="E403" s="10" t="s">
        <v>14036</v>
      </c>
      <c r="F403" t="s">
        <v>14038</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14050</v>
      </c>
      <c r="G666" t="s">
        <v>3990</v>
      </c>
    </row>
    <row r="667" spans="1:7" x14ac:dyDescent="0.25">
      <c r="A667" t="s">
        <v>260</v>
      </c>
      <c r="B667" t="s">
        <v>1420</v>
      </c>
      <c r="C667">
        <v>1990</v>
      </c>
      <c r="E667" t="s">
        <v>2992</v>
      </c>
      <c r="F667" t="s">
        <v>14050</v>
      </c>
      <c r="G667" t="s">
        <v>3990</v>
      </c>
    </row>
    <row r="668" spans="1:7" x14ac:dyDescent="0.25">
      <c r="A668" t="s">
        <v>1795</v>
      </c>
      <c r="B668" t="s">
        <v>1420</v>
      </c>
      <c r="C668">
        <v>1987</v>
      </c>
      <c r="E668" t="s">
        <v>2992</v>
      </c>
      <c r="F668" t="s">
        <v>14050</v>
      </c>
      <c r="G668" t="s">
        <v>3990</v>
      </c>
    </row>
    <row r="669" spans="1:7" x14ac:dyDescent="0.25">
      <c r="A669" t="s">
        <v>1882</v>
      </c>
      <c r="B669" t="s">
        <v>1420</v>
      </c>
      <c r="C669">
        <v>1987</v>
      </c>
      <c r="E669" t="s">
        <v>2992</v>
      </c>
      <c r="F669" t="s">
        <v>14050</v>
      </c>
      <c r="G669" t="s">
        <v>3990</v>
      </c>
    </row>
    <row r="670" spans="1:7" x14ac:dyDescent="0.25">
      <c r="A670" t="s">
        <v>2571</v>
      </c>
      <c r="B670" t="s">
        <v>1420</v>
      </c>
      <c r="C670">
        <v>1998</v>
      </c>
      <c r="E670" t="s">
        <v>2992</v>
      </c>
      <c r="F670" t="s">
        <v>14050</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14049</v>
      </c>
      <c r="G720" t="s">
        <v>3990</v>
      </c>
    </row>
    <row r="721" spans="1:7" x14ac:dyDescent="0.25">
      <c r="A721" t="s">
        <v>490</v>
      </c>
      <c r="B721" t="s">
        <v>1513</v>
      </c>
      <c r="C721">
        <v>2009</v>
      </c>
      <c r="E721" s="10" t="s">
        <v>9961</v>
      </c>
      <c r="F721" t="s">
        <v>14067</v>
      </c>
      <c r="G721" t="s">
        <v>3990</v>
      </c>
    </row>
    <row r="722" spans="1:7" x14ac:dyDescent="0.25">
      <c r="A722" t="s">
        <v>2009</v>
      </c>
      <c r="B722" t="s">
        <v>1513</v>
      </c>
      <c r="C722">
        <v>2005</v>
      </c>
      <c r="E722" s="10" t="s">
        <v>9961</v>
      </c>
      <c r="F722" t="s">
        <v>14049</v>
      </c>
      <c r="G722" t="s">
        <v>3990</v>
      </c>
    </row>
    <row r="723" spans="1:7" x14ac:dyDescent="0.25">
      <c r="A723" t="s">
        <v>2571</v>
      </c>
      <c r="B723" t="s">
        <v>1513</v>
      </c>
      <c r="C723">
        <v>1998</v>
      </c>
      <c r="E723" s="10" t="s">
        <v>9961</v>
      </c>
      <c r="F723" t="s">
        <v>14068</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14048</v>
      </c>
      <c r="G918" t="s">
        <v>3990</v>
      </c>
    </row>
    <row r="919" spans="1:7" x14ac:dyDescent="0.25">
      <c r="A919" t="s">
        <v>2721</v>
      </c>
      <c r="B919" t="s">
        <v>1899</v>
      </c>
      <c r="C919">
        <v>1993</v>
      </c>
      <c r="E919" t="s">
        <v>3271</v>
      </c>
      <c r="F919" t="s">
        <v>14048</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14047</v>
      </c>
      <c r="G936" t="s">
        <v>3990</v>
      </c>
    </row>
    <row r="937" spans="1:7" x14ac:dyDescent="0.25">
      <c r="A937" t="s">
        <v>160</v>
      </c>
      <c r="B937" t="s">
        <v>1933</v>
      </c>
      <c r="C937">
        <v>2011</v>
      </c>
      <c r="E937" s="10" t="s">
        <v>8396</v>
      </c>
      <c r="F937" t="s">
        <v>14047</v>
      </c>
      <c r="G937" t="s">
        <v>3990</v>
      </c>
    </row>
    <row r="938" spans="1:7" x14ac:dyDescent="0.25">
      <c r="A938" t="s">
        <v>964</v>
      </c>
      <c r="B938" t="s">
        <v>1937</v>
      </c>
      <c r="C938">
        <v>2006</v>
      </c>
      <c r="E938" t="s">
        <v>1940</v>
      </c>
      <c r="F938" t="s">
        <v>14046</v>
      </c>
      <c r="G938" t="s">
        <v>3990</v>
      </c>
    </row>
    <row r="939" spans="1:7" x14ac:dyDescent="0.25">
      <c r="A939" t="s">
        <v>2107</v>
      </c>
      <c r="B939" t="s">
        <v>1937</v>
      </c>
      <c r="C939">
        <v>2020</v>
      </c>
      <c r="E939" t="s">
        <v>1940</v>
      </c>
      <c r="F939" t="s">
        <v>14069</v>
      </c>
      <c r="G939" t="s">
        <v>3990</v>
      </c>
    </row>
    <row r="940" spans="1:7" x14ac:dyDescent="0.25">
      <c r="A940" t="s">
        <v>2571</v>
      </c>
      <c r="B940" t="s">
        <v>1937</v>
      </c>
      <c r="C940">
        <v>1998</v>
      </c>
      <c r="E940" s="10" t="s">
        <v>1940</v>
      </c>
      <c r="F940" t="s">
        <v>14046</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12710</v>
      </c>
      <c r="G947" t="s">
        <v>3990</v>
      </c>
    </row>
    <row r="948" spans="1:7" x14ac:dyDescent="0.25">
      <c r="A948" t="s">
        <v>2136</v>
      </c>
      <c r="B948" t="s">
        <v>12680</v>
      </c>
      <c r="C948">
        <v>2020</v>
      </c>
      <c r="E948" s="10" t="s">
        <v>12683</v>
      </c>
      <c r="F948" t="s">
        <v>12710</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90</v>
      </c>
      <c r="B989" t="s">
        <v>14132</v>
      </c>
      <c r="C989">
        <v>2017</v>
      </c>
      <c r="E989" s="10" t="s">
        <v>14135</v>
      </c>
      <c r="F989" t="s">
        <v>14136</v>
      </c>
      <c r="G989" t="s">
        <v>3990</v>
      </c>
    </row>
    <row r="990" spans="1:7" x14ac:dyDescent="0.25">
      <c r="A990" t="s">
        <v>256</v>
      </c>
      <c r="B990" t="s">
        <v>2023</v>
      </c>
      <c r="C990">
        <v>1994</v>
      </c>
      <c r="E990" t="s">
        <v>2994</v>
      </c>
      <c r="F990" t="s">
        <v>8457</v>
      </c>
      <c r="G990" t="s">
        <v>3990</v>
      </c>
    </row>
    <row r="991" spans="1:7" x14ac:dyDescent="0.25">
      <c r="A991" t="s">
        <v>260</v>
      </c>
      <c r="B991" t="s">
        <v>2023</v>
      </c>
      <c r="C991">
        <v>1990</v>
      </c>
      <c r="E991" t="s">
        <v>2994</v>
      </c>
      <c r="F991" t="s">
        <v>8465</v>
      </c>
      <c r="G991" t="s">
        <v>3990</v>
      </c>
    </row>
    <row r="992" spans="1:7" x14ac:dyDescent="0.25">
      <c r="A992" t="s">
        <v>847</v>
      </c>
      <c r="B992" t="s">
        <v>2023</v>
      </c>
      <c r="C992">
        <v>1996</v>
      </c>
      <c r="E992" t="s">
        <v>2994</v>
      </c>
      <c r="F992" t="s">
        <v>8653</v>
      </c>
      <c r="G992" t="s">
        <v>3990</v>
      </c>
    </row>
    <row r="993" spans="1:7" x14ac:dyDescent="0.25">
      <c r="A993" t="s">
        <v>1538</v>
      </c>
      <c r="B993" t="s">
        <v>2023</v>
      </c>
      <c r="C993">
        <v>1995</v>
      </c>
      <c r="E993" t="s">
        <v>2994</v>
      </c>
      <c r="F993" t="s">
        <v>9432</v>
      </c>
      <c r="G993" t="s">
        <v>3990</v>
      </c>
    </row>
    <row r="994" spans="1:7" x14ac:dyDescent="0.25">
      <c r="A994" t="s">
        <v>1725</v>
      </c>
      <c r="B994" t="s">
        <v>2023</v>
      </c>
      <c r="C994">
        <v>1983</v>
      </c>
      <c r="E994" t="s">
        <v>2994</v>
      </c>
      <c r="F994" t="s">
        <v>8908</v>
      </c>
      <c r="G994" t="s">
        <v>3990</v>
      </c>
    </row>
    <row r="995" spans="1:7" x14ac:dyDescent="0.25">
      <c r="A995" t="s">
        <v>1795</v>
      </c>
      <c r="B995" t="s">
        <v>2023</v>
      </c>
      <c r="C995">
        <v>1987</v>
      </c>
      <c r="E995" t="s">
        <v>3282</v>
      </c>
      <c r="F995" t="s">
        <v>8933</v>
      </c>
      <c r="G995" t="s">
        <v>3990</v>
      </c>
    </row>
    <row r="996" spans="1:7" x14ac:dyDescent="0.25">
      <c r="A996" t="s">
        <v>1817</v>
      </c>
      <c r="B996" t="s">
        <v>2026</v>
      </c>
      <c r="C996">
        <v>2019</v>
      </c>
      <c r="E996" t="s">
        <v>3292</v>
      </c>
      <c r="F996" t="s">
        <v>9681</v>
      </c>
      <c r="G996" t="s">
        <v>187</v>
      </c>
    </row>
    <row r="997" spans="1:7" x14ac:dyDescent="0.25">
      <c r="A997" t="s">
        <v>160</v>
      </c>
      <c r="B997" t="s">
        <v>2028</v>
      </c>
      <c r="C997">
        <v>2011</v>
      </c>
      <c r="E997" t="s">
        <v>3406</v>
      </c>
      <c r="F997" t="s">
        <v>9281</v>
      </c>
      <c r="G997" t="s">
        <v>3990</v>
      </c>
    </row>
    <row r="998" spans="1:7" x14ac:dyDescent="0.25">
      <c r="A998" t="s">
        <v>2652</v>
      </c>
      <c r="B998" t="s">
        <v>2028</v>
      </c>
      <c r="C998">
        <v>2019</v>
      </c>
      <c r="E998" t="s">
        <v>3413</v>
      </c>
      <c r="F998" t="s">
        <v>9304</v>
      </c>
      <c r="G998" t="s">
        <v>3990</v>
      </c>
    </row>
    <row r="999" spans="1:7" x14ac:dyDescent="0.25">
      <c r="A999" t="s">
        <v>1294</v>
      </c>
      <c r="B999" t="s">
        <v>2031</v>
      </c>
      <c r="C999">
        <v>2019</v>
      </c>
      <c r="E999" t="s">
        <v>3231</v>
      </c>
      <c r="F999" t="s">
        <v>8800</v>
      </c>
      <c r="G999" t="s">
        <v>3990</v>
      </c>
    </row>
    <row r="1000" spans="1:7" x14ac:dyDescent="0.25">
      <c r="A1000" t="s">
        <v>2132</v>
      </c>
      <c r="B1000" t="s">
        <v>2031</v>
      </c>
      <c r="C1000">
        <v>2013</v>
      </c>
      <c r="E1000" t="s">
        <v>3231</v>
      </c>
      <c r="F1000" t="s">
        <v>8995</v>
      </c>
      <c r="G1000" t="s">
        <v>3990</v>
      </c>
    </row>
    <row r="1001" spans="1:7" x14ac:dyDescent="0.25">
      <c r="A1001" t="s">
        <v>2906</v>
      </c>
      <c r="B1001" t="s">
        <v>2031</v>
      </c>
      <c r="C1001">
        <v>2018</v>
      </c>
      <c r="E1001" t="s">
        <v>3231</v>
      </c>
      <c r="F1001" t="s">
        <v>9360</v>
      </c>
      <c r="G1001" t="s">
        <v>3990</v>
      </c>
    </row>
    <row r="1002" spans="1:7" x14ac:dyDescent="0.25">
      <c r="A1002" t="s">
        <v>1129</v>
      </c>
      <c r="B1002" t="s">
        <v>8092</v>
      </c>
      <c r="C1002">
        <v>2022</v>
      </c>
      <c r="D1002" t="s">
        <v>187</v>
      </c>
      <c r="F1002" t="s">
        <v>9682</v>
      </c>
      <c r="G1002" t="s">
        <v>3990</v>
      </c>
    </row>
    <row r="1003" spans="1:7" x14ac:dyDescent="0.25">
      <c r="A1003" t="s">
        <v>922</v>
      </c>
      <c r="B1003" t="s">
        <v>2035</v>
      </c>
      <c r="C1003">
        <v>2002</v>
      </c>
      <c r="E1003" t="s">
        <v>3149</v>
      </c>
      <c r="F1003" t="s">
        <v>8675</v>
      </c>
      <c r="G1003" t="s">
        <v>3990</v>
      </c>
    </row>
    <row r="1004" spans="1:7" x14ac:dyDescent="0.25">
      <c r="A1004" t="s">
        <v>2154</v>
      </c>
      <c r="B1004" t="s">
        <v>2035</v>
      </c>
      <c r="C1004">
        <v>1980</v>
      </c>
      <c r="E1004" t="s">
        <v>3149</v>
      </c>
      <c r="F1004" t="s">
        <v>9027</v>
      </c>
      <c r="G1004" t="s">
        <v>3990</v>
      </c>
    </row>
    <row r="1005" spans="1:7" x14ac:dyDescent="0.25">
      <c r="A1005" t="s">
        <v>178</v>
      </c>
      <c r="B1005" t="s">
        <v>2039</v>
      </c>
      <c r="C1005">
        <v>2010</v>
      </c>
      <c r="E1005" t="s">
        <v>2981</v>
      </c>
      <c r="F1005" t="s">
        <v>8443</v>
      </c>
      <c r="G1005" t="s">
        <v>3990</v>
      </c>
    </row>
    <row r="1006" spans="1:7" x14ac:dyDescent="0.25">
      <c r="A1006" t="s">
        <v>994</v>
      </c>
      <c r="B1006" t="s">
        <v>2039</v>
      </c>
      <c r="C1006">
        <v>2011</v>
      </c>
      <c r="E1006" t="s">
        <v>2981</v>
      </c>
      <c r="F1006" t="s">
        <v>8696</v>
      </c>
      <c r="G1006" t="s">
        <v>3990</v>
      </c>
    </row>
    <row r="1007" spans="1:7" x14ac:dyDescent="0.25">
      <c r="A1007" t="s">
        <v>1294</v>
      </c>
      <c r="B1007" t="s">
        <v>2043</v>
      </c>
      <c r="C1007">
        <v>2019</v>
      </c>
      <c r="E1007" s="10" t="s">
        <v>8414</v>
      </c>
      <c r="F1007" t="s">
        <v>8801</v>
      </c>
      <c r="G1007" t="s">
        <v>3990</v>
      </c>
    </row>
    <row r="1008" spans="1:7" x14ac:dyDescent="0.25">
      <c r="A1008" t="s">
        <v>353</v>
      </c>
      <c r="B1008" t="s">
        <v>2045</v>
      </c>
      <c r="C1008">
        <v>2023</v>
      </c>
      <c r="E1008" t="s">
        <v>3038</v>
      </c>
      <c r="F1008" t="s">
        <v>8512</v>
      </c>
      <c r="G1008" t="s">
        <v>3990</v>
      </c>
    </row>
    <row r="1009" spans="1:7" x14ac:dyDescent="0.25">
      <c r="A1009" t="s">
        <v>717</v>
      </c>
      <c r="B1009" t="s">
        <v>2045</v>
      </c>
      <c r="C1009">
        <v>2024</v>
      </c>
      <c r="E1009" t="s">
        <v>3066</v>
      </c>
      <c r="F1009" t="s">
        <v>8577</v>
      </c>
      <c r="G1009" t="s">
        <v>3990</v>
      </c>
    </row>
    <row r="1010" spans="1:7" x14ac:dyDescent="0.25">
      <c r="A1010" t="s">
        <v>337</v>
      </c>
      <c r="B1010" t="s">
        <v>2049</v>
      </c>
      <c r="C1010">
        <v>2014</v>
      </c>
      <c r="E1010" t="s">
        <v>3008</v>
      </c>
      <c r="F1010" t="s">
        <v>10020</v>
      </c>
      <c r="G1010" t="s">
        <v>187</v>
      </c>
    </row>
    <row r="1011" spans="1:7" x14ac:dyDescent="0.25">
      <c r="A1011" t="s">
        <v>497</v>
      </c>
      <c r="B1011" t="s">
        <v>2049</v>
      </c>
      <c r="C1011">
        <v>2022</v>
      </c>
      <c r="E1011" t="s">
        <v>3008</v>
      </c>
      <c r="F1011" t="s">
        <v>10020</v>
      </c>
      <c r="G1011" t="s">
        <v>187</v>
      </c>
    </row>
    <row r="1012" spans="1:7" x14ac:dyDescent="0.25">
      <c r="A1012" t="s">
        <v>1795</v>
      </c>
      <c r="B1012" t="s">
        <v>2053</v>
      </c>
      <c r="C1012">
        <v>1987</v>
      </c>
      <c r="E1012" t="s">
        <v>3283</v>
      </c>
      <c r="F1012" t="s">
        <v>8934</v>
      </c>
      <c r="G1012" t="s">
        <v>3990</v>
      </c>
    </row>
    <row r="1013" spans="1:7" x14ac:dyDescent="0.25">
      <c r="A1013" t="s">
        <v>2154</v>
      </c>
      <c r="B1013" t="s">
        <v>2053</v>
      </c>
      <c r="C1013">
        <v>1980</v>
      </c>
      <c r="E1013" t="s">
        <v>3283</v>
      </c>
      <c r="F1013" t="s">
        <v>9028</v>
      </c>
      <c r="G1013" t="s">
        <v>3990</v>
      </c>
    </row>
    <row r="1014" spans="1:7" x14ac:dyDescent="0.25">
      <c r="A1014" t="s">
        <v>1046</v>
      </c>
      <c r="B1014" t="s">
        <v>2056</v>
      </c>
      <c r="C1014">
        <v>2016</v>
      </c>
      <c r="E1014" t="s">
        <v>3189</v>
      </c>
      <c r="F1014" t="s">
        <v>8723</v>
      </c>
      <c r="G1014" t="s">
        <v>3990</v>
      </c>
    </row>
    <row r="1015" spans="1:7" x14ac:dyDescent="0.25">
      <c r="A1015" t="s">
        <v>1855</v>
      </c>
      <c r="B1015" t="s">
        <v>2056</v>
      </c>
      <c r="C1015">
        <v>2015</v>
      </c>
      <c r="E1015" t="s">
        <v>3189</v>
      </c>
      <c r="F1015" t="s">
        <v>8964</v>
      </c>
      <c r="G1015" t="s">
        <v>3990</v>
      </c>
    </row>
    <row r="1016" spans="1:7" x14ac:dyDescent="0.25">
      <c r="A1016" t="s">
        <v>160</v>
      </c>
      <c r="B1016" t="s">
        <v>2058</v>
      </c>
      <c r="C1016">
        <v>2011</v>
      </c>
      <c r="E1016" t="s">
        <v>3407</v>
      </c>
      <c r="F1016" t="s">
        <v>9282</v>
      </c>
      <c r="G1016" t="s">
        <v>3990</v>
      </c>
    </row>
    <row r="1017" spans="1:7" x14ac:dyDescent="0.25">
      <c r="A1017" t="s">
        <v>819</v>
      </c>
      <c r="B1017" t="s">
        <v>7910</v>
      </c>
      <c r="C1017">
        <v>2012</v>
      </c>
      <c r="E1017" s="10" t="s">
        <v>7911</v>
      </c>
      <c r="F1017" t="s">
        <v>9426</v>
      </c>
      <c r="G1017" t="s">
        <v>3990</v>
      </c>
    </row>
    <row r="1018" spans="1:7" x14ac:dyDescent="0.25">
      <c r="A1018" t="s">
        <v>1496</v>
      </c>
      <c r="B1018" t="s">
        <v>2061</v>
      </c>
      <c r="C1018">
        <v>2016</v>
      </c>
      <c r="E1018" t="s">
        <v>3013</v>
      </c>
      <c r="F1018" t="s">
        <v>9683</v>
      </c>
      <c r="G1018" t="s">
        <v>187</v>
      </c>
    </row>
    <row r="1019" spans="1:7" x14ac:dyDescent="0.25">
      <c r="A1019" t="s">
        <v>90</v>
      </c>
      <c r="B1019" t="s">
        <v>2061</v>
      </c>
      <c r="C1019">
        <v>2017</v>
      </c>
      <c r="E1019" t="s">
        <v>3013</v>
      </c>
      <c r="F1019" t="s">
        <v>9684</v>
      </c>
      <c r="G1019" t="s">
        <v>187</v>
      </c>
    </row>
    <row r="1020" spans="1:7" x14ac:dyDescent="0.25">
      <c r="A1020" t="s">
        <v>726</v>
      </c>
      <c r="B1020" t="s">
        <v>2065</v>
      </c>
      <c r="C1020">
        <v>2020</v>
      </c>
      <c r="D1020" t="s">
        <v>187</v>
      </c>
      <c r="F1020" t="s">
        <v>9685</v>
      </c>
      <c r="G1020" t="s">
        <v>3990</v>
      </c>
    </row>
    <row r="1021" spans="1:7" x14ac:dyDescent="0.25">
      <c r="A1021" t="s">
        <v>759</v>
      </c>
      <c r="B1021" t="s">
        <v>2069</v>
      </c>
      <c r="C1021">
        <v>2018</v>
      </c>
      <c r="E1021" t="s">
        <v>2982</v>
      </c>
      <c r="F1021" t="s">
        <v>8618</v>
      </c>
      <c r="G1021" t="s">
        <v>3990</v>
      </c>
    </row>
    <row r="1022" spans="1:7" x14ac:dyDescent="0.25">
      <c r="A1022" t="s">
        <v>1294</v>
      </c>
      <c r="B1022" t="s">
        <v>2069</v>
      </c>
      <c r="C1022">
        <v>2019</v>
      </c>
      <c r="E1022" t="s">
        <v>2982</v>
      </c>
      <c r="F1022" t="s">
        <v>8802</v>
      </c>
      <c r="G1022" t="s">
        <v>3990</v>
      </c>
    </row>
    <row r="1023" spans="1:7" x14ac:dyDescent="0.25">
      <c r="A1023" t="s">
        <v>1294</v>
      </c>
      <c r="B1023" t="s">
        <v>2071</v>
      </c>
      <c r="C1023">
        <v>2019</v>
      </c>
      <c r="E1023" t="s">
        <v>3232</v>
      </c>
      <c r="F1023" t="s">
        <v>8803</v>
      </c>
      <c r="G1023" t="s">
        <v>3990</v>
      </c>
    </row>
    <row r="1024" spans="1:7" x14ac:dyDescent="0.25">
      <c r="A1024" t="s">
        <v>2335</v>
      </c>
      <c r="B1024" t="s">
        <v>2071</v>
      </c>
      <c r="C1024">
        <v>2020</v>
      </c>
      <c r="E1024" t="s">
        <v>3232</v>
      </c>
      <c r="F1024" t="s">
        <v>9062</v>
      </c>
      <c r="G1024" t="s">
        <v>3990</v>
      </c>
    </row>
    <row r="1025" spans="1:7" x14ac:dyDescent="0.25">
      <c r="A1025" t="s">
        <v>1795</v>
      </c>
      <c r="B1025" t="s">
        <v>2073</v>
      </c>
      <c r="C1025">
        <v>1987</v>
      </c>
      <c r="E1025" s="10" t="s">
        <v>8385</v>
      </c>
      <c r="F1025" t="s">
        <v>8935</v>
      </c>
      <c r="G1025" t="s">
        <v>3990</v>
      </c>
    </row>
    <row r="1026" spans="1:7" x14ac:dyDescent="0.25">
      <c r="A1026" t="s">
        <v>2428</v>
      </c>
      <c r="B1026" t="s">
        <v>2073</v>
      </c>
      <c r="C1026">
        <v>2008</v>
      </c>
      <c r="E1026" s="10" t="s">
        <v>8385</v>
      </c>
      <c r="F1026" t="s">
        <v>9209</v>
      </c>
      <c r="G1026" t="s">
        <v>3990</v>
      </c>
    </row>
    <row r="1027" spans="1:7" x14ac:dyDescent="0.25">
      <c r="A1027" t="s">
        <v>540</v>
      </c>
      <c r="B1027" t="s">
        <v>2077</v>
      </c>
      <c r="C1027">
        <v>2015</v>
      </c>
      <c r="E1027" t="s">
        <v>3075</v>
      </c>
      <c r="F1027" t="s">
        <v>9686</v>
      </c>
      <c r="G1027" t="s">
        <v>187</v>
      </c>
    </row>
    <row r="1028" spans="1:7" x14ac:dyDescent="0.25">
      <c r="A1028" t="s">
        <v>2154</v>
      </c>
      <c r="B1028" t="s">
        <v>2077</v>
      </c>
      <c r="C1028">
        <v>1980</v>
      </c>
      <c r="E1028" t="s">
        <v>3324</v>
      </c>
      <c r="F1028" t="s">
        <v>10021</v>
      </c>
      <c r="G1028" t="s">
        <v>187</v>
      </c>
    </row>
    <row r="1029" spans="1:7" x14ac:dyDescent="0.25">
      <c r="A1029" t="s">
        <v>2428</v>
      </c>
      <c r="B1029" t="s">
        <v>2077</v>
      </c>
      <c r="C1029">
        <v>2008</v>
      </c>
      <c r="E1029" t="s">
        <v>3324</v>
      </c>
      <c r="F1029" t="s">
        <v>10021</v>
      </c>
      <c r="G1029" t="s">
        <v>187</v>
      </c>
    </row>
    <row r="1030" spans="1:7" x14ac:dyDescent="0.25">
      <c r="A1030" t="s">
        <v>847</v>
      </c>
      <c r="B1030" t="s">
        <v>7900</v>
      </c>
      <c r="C1030">
        <v>1996</v>
      </c>
      <c r="E1030" s="10" t="s">
        <v>7899</v>
      </c>
      <c r="F1030" t="s">
        <v>10022</v>
      </c>
      <c r="G1030" t="s">
        <v>187</v>
      </c>
    </row>
    <row r="1031" spans="1:7" x14ac:dyDescent="0.25">
      <c r="A1031" t="s">
        <v>1294</v>
      </c>
      <c r="B1031" t="s">
        <v>7900</v>
      </c>
      <c r="C1031">
        <v>2019</v>
      </c>
      <c r="E1031" s="10" t="s">
        <v>7899</v>
      </c>
      <c r="F1031" t="s">
        <v>10022</v>
      </c>
      <c r="G1031" t="s">
        <v>187</v>
      </c>
    </row>
    <row r="1032" spans="1:7" x14ac:dyDescent="0.25">
      <c r="A1032" t="s">
        <v>1144</v>
      </c>
      <c r="B1032" t="s">
        <v>2080</v>
      </c>
      <c r="C1032">
        <v>2012</v>
      </c>
      <c r="E1032" t="s">
        <v>3209</v>
      </c>
      <c r="F1032" t="s">
        <v>8753</v>
      </c>
      <c r="G1032" t="s">
        <v>3990</v>
      </c>
    </row>
    <row r="1033" spans="1:7" x14ac:dyDescent="0.25">
      <c r="A1033" t="s">
        <v>1855</v>
      </c>
      <c r="B1033" t="s">
        <v>2084</v>
      </c>
      <c r="C1033">
        <v>2015</v>
      </c>
      <c r="E1033" t="s">
        <v>2982</v>
      </c>
      <c r="F1033" t="s">
        <v>8965</v>
      </c>
      <c r="G1033" t="s">
        <v>3990</v>
      </c>
    </row>
    <row r="1034" spans="1:7" x14ac:dyDescent="0.25">
      <c r="A1034" t="s">
        <v>353</v>
      </c>
      <c r="B1034" t="s">
        <v>2088</v>
      </c>
      <c r="C1034">
        <v>2023</v>
      </c>
      <c r="E1034" t="s">
        <v>3039</v>
      </c>
      <c r="F1034" t="s">
        <v>8513</v>
      </c>
      <c r="G1034" t="s">
        <v>3990</v>
      </c>
    </row>
    <row r="1035" spans="1:7" x14ac:dyDescent="0.25">
      <c r="A1035" t="s">
        <v>90</v>
      </c>
      <c r="B1035" t="s">
        <v>2088</v>
      </c>
      <c r="C1035">
        <v>2017</v>
      </c>
      <c r="E1035" t="s">
        <v>3039</v>
      </c>
      <c r="F1035" t="s">
        <v>9134</v>
      </c>
      <c r="G1035" t="s">
        <v>3990</v>
      </c>
    </row>
    <row r="1036" spans="1:7" x14ac:dyDescent="0.25">
      <c r="A1036" t="s">
        <v>2804</v>
      </c>
      <c r="B1036" t="s">
        <v>2091</v>
      </c>
      <c r="C1036">
        <v>2021</v>
      </c>
      <c r="E1036" t="s">
        <v>3013</v>
      </c>
      <c r="F1036" t="s">
        <v>9687</v>
      </c>
      <c r="G1036" t="s">
        <v>187</v>
      </c>
    </row>
    <row r="1037" spans="1:7" x14ac:dyDescent="0.25">
      <c r="A1037" t="s">
        <v>160</v>
      </c>
      <c r="B1037" t="s">
        <v>2099</v>
      </c>
      <c r="C1037">
        <v>2011</v>
      </c>
      <c r="E1037" t="s">
        <v>3408</v>
      </c>
      <c r="F1037" t="s">
        <v>9283</v>
      </c>
      <c r="G1037" t="s">
        <v>3990</v>
      </c>
    </row>
    <row r="1038" spans="1:7" x14ac:dyDescent="0.25">
      <c r="A1038" t="s">
        <v>2804</v>
      </c>
      <c r="B1038" t="s">
        <v>2103</v>
      </c>
      <c r="C1038">
        <v>2021</v>
      </c>
      <c r="E1038" t="s">
        <v>3013</v>
      </c>
      <c r="F1038" t="s">
        <v>9688</v>
      </c>
      <c r="G1038" t="s">
        <v>187</v>
      </c>
    </row>
    <row r="1039" spans="1:7" x14ac:dyDescent="0.25">
      <c r="A1039" t="s">
        <v>2965</v>
      </c>
      <c r="B1039" t="s">
        <v>2103</v>
      </c>
      <c r="C1039">
        <v>2023</v>
      </c>
      <c r="D1039" t="s">
        <v>187</v>
      </c>
      <c r="F1039" t="s">
        <v>9689</v>
      </c>
      <c r="G1039" t="s">
        <v>3990</v>
      </c>
    </row>
    <row r="1040" spans="1:7" x14ac:dyDescent="0.25">
      <c r="A1040" t="s">
        <v>490</v>
      </c>
      <c r="B1040" t="s">
        <v>2107</v>
      </c>
      <c r="C1040">
        <v>2009</v>
      </c>
      <c r="E1040" s="10" t="s">
        <v>2110</v>
      </c>
      <c r="F1040" t="s">
        <v>8536</v>
      </c>
      <c r="G1040" t="s">
        <v>3990</v>
      </c>
    </row>
    <row r="1041" spans="1:7" x14ac:dyDescent="0.25">
      <c r="A1041" t="s">
        <v>847</v>
      </c>
      <c r="B1041" t="s">
        <v>2107</v>
      </c>
      <c r="C1041">
        <v>1996</v>
      </c>
      <c r="E1041" t="s">
        <v>3136</v>
      </c>
      <c r="F1041" t="s">
        <v>10023</v>
      </c>
      <c r="G1041" t="s">
        <v>187</v>
      </c>
    </row>
    <row r="1042" spans="1:7" x14ac:dyDescent="0.25">
      <c r="A1042" t="s">
        <v>964</v>
      </c>
      <c r="B1042" t="s">
        <v>2107</v>
      </c>
      <c r="C1042">
        <v>2006</v>
      </c>
      <c r="E1042" t="s">
        <v>3136</v>
      </c>
      <c r="F1042" t="s">
        <v>10023</v>
      </c>
      <c r="G1042" t="s">
        <v>187</v>
      </c>
    </row>
    <row r="1043" spans="1:7" x14ac:dyDescent="0.25">
      <c r="A1043" t="s">
        <v>1795</v>
      </c>
      <c r="B1043" t="s">
        <v>2107</v>
      </c>
      <c r="C1043">
        <v>1987</v>
      </c>
      <c r="E1043" t="s">
        <v>3136</v>
      </c>
      <c r="F1043" t="s">
        <v>10023</v>
      </c>
      <c r="G1043" t="s">
        <v>187</v>
      </c>
    </row>
    <row r="1044" spans="1:7" x14ac:dyDescent="0.25">
      <c r="A1044" t="s">
        <v>2571</v>
      </c>
      <c r="B1044" t="s">
        <v>2107</v>
      </c>
      <c r="C1044">
        <v>1998</v>
      </c>
      <c r="E1044" t="s">
        <v>3136</v>
      </c>
      <c r="F1044" t="s">
        <v>10023</v>
      </c>
      <c r="G1044" t="s">
        <v>187</v>
      </c>
    </row>
    <row r="1045" spans="1:7" x14ac:dyDescent="0.25">
      <c r="A1045" t="s">
        <v>2107</v>
      </c>
      <c r="B1045" t="s">
        <v>2111</v>
      </c>
      <c r="C1045">
        <v>2020</v>
      </c>
      <c r="D1045" t="s">
        <v>187</v>
      </c>
      <c r="F1045" t="s">
        <v>9690</v>
      </c>
      <c r="G1045" t="s">
        <v>3990</v>
      </c>
    </row>
    <row r="1046" spans="1:7" x14ac:dyDescent="0.25">
      <c r="A1046" t="s">
        <v>2111</v>
      </c>
      <c r="B1046" t="s">
        <v>2115</v>
      </c>
      <c r="C1046">
        <v>2024</v>
      </c>
      <c r="D1046" t="s">
        <v>187</v>
      </c>
      <c r="F1046" t="s">
        <v>9691</v>
      </c>
      <c r="G1046" t="s">
        <v>3990</v>
      </c>
    </row>
    <row r="1047" spans="1:7" x14ac:dyDescent="0.25">
      <c r="A1047" t="s">
        <v>2136</v>
      </c>
      <c r="B1047" t="s">
        <v>7915</v>
      </c>
      <c r="C1047">
        <v>2020</v>
      </c>
      <c r="E1047" s="10" t="s">
        <v>7914</v>
      </c>
      <c r="F1047" t="s">
        <v>10024</v>
      </c>
      <c r="G1047" t="s">
        <v>187</v>
      </c>
    </row>
    <row r="1048" spans="1:7" x14ac:dyDescent="0.25">
      <c r="A1048" t="s">
        <v>2804</v>
      </c>
      <c r="B1048" t="s">
        <v>7915</v>
      </c>
      <c r="C1048">
        <v>2021</v>
      </c>
      <c r="E1048" s="10" t="s">
        <v>7914</v>
      </c>
      <c r="F1048" t="s">
        <v>10024</v>
      </c>
      <c r="G1048" t="s">
        <v>187</v>
      </c>
    </row>
    <row r="1049" spans="1:7" x14ac:dyDescent="0.25">
      <c r="A1049" t="s">
        <v>90</v>
      </c>
      <c r="B1049" t="s">
        <v>2118</v>
      </c>
      <c r="C1049">
        <v>2017</v>
      </c>
      <c r="E1049" t="s">
        <v>3372</v>
      </c>
      <c r="F1049" t="s">
        <v>9135</v>
      </c>
      <c r="G1049" t="s">
        <v>3990</v>
      </c>
    </row>
    <row r="1050" spans="1:7" x14ac:dyDescent="0.25">
      <c r="A1050" t="s">
        <v>90</v>
      </c>
      <c r="B1050" t="s">
        <v>2122</v>
      </c>
      <c r="C1050">
        <v>2017</v>
      </c>
      <c r="E1050" t="s">
        <v>3373</v>
      </c>
      <c r="F1050" t="s">
        <v>9136</v>
      </c>
      <c r="G1050" t="s">
        <v>3990</v>
      </c>
    </row>
    <row r="1051" spans="1:7" x14ac:dyDescent="0.25">
      <c r="A1051" t="s">
        <v>930</v>
      </c>
      <c r="B1051" t="s">
        <v>2130</v>
      </c>
      <c r="C1051">
        <v>2015</v>
      </c>
      <c r="E1051" t="s">
        <v>3157</v>
      </c>
      <c r="F1051" t="s">
        <v>8682</v>
      </c>
      <c r="G1051" t="s">
        <v>3990</v>
      </c>
    </row>
    <row r="1052" spans="1:7" x14ac:dyDescent="0.25">
      <c r="A1052" t="s">
        <v>2132</v>
      </c>
      <c r="B1052" t="s">
        <v>2136</v>
      </c>
      <c r="C1052">
        <v>2013</v>
      </c>
      <c r="D1052" t="s">
        <v>187</v>
      </c>
      <c r="F1052" t="s">
        <v>9692</v>
      </c>
      <c r="G1052" t="s">
        <v>3990</v>
      </c>
    </row>
    <row r="1053" spans="1:7" x14ac:dyDescent="0.25">
      <c r="A1053" t="s">
        <v>2132</v>
      </c>
      <c r="B1053" t="s">
        <v>2140</v>
      </c>
      <c r="C1053">
        <v>2013</v>
      </c>
      <c r="D1053" t="s">
        <v>187</v>
      </c>
      <c r="F1053" t="s">
        <v>9693</v>
      </c>
      <c r="G1053" t="s">
        <v>3990</v>
      </c>
    </row>
    <row r="1054" spans="1:7" x14ac:dyDescent="0.25">
      <c r="A1054" t="s">
        <v>2136</v>
      </c>
      <c r="B1054" t="s">
        <v>2140</v>
      </c>
      <c r="C1054">
        <v>2020</v>
      </c>
      <c r="D1054" t="s">
        <v>187</v>
      </c>
      <c r="E1054" s="10" t="s">
        <v>2143</v>
      </c>
      <c r="F1054" t="s">
        <v>12671</v>
      </c>
      <c r="G1054" t="s">
        <v>3990</v>
      </c>
    </row>
    <row r="1055" spans="1:7" x14ac:dyDescent="0.25">
      <c r="A1055" t="s">
        <v>914</v>
      </c>
      <c r="B1055" t="s">
        <v>2144</v>
      </c>
      <c r="C1055">
        <v>2013</v>
      </c>
      <c r="E1055" t="s">
        <v>3145</v>
      </c>
      <c r="F1055" t="s">
        <v>8670</v>
      </c>
      <c r="G1055" t="s">
        <v>3990</v>
      </c>
    </row>
    <row r="1056" spans="1:7" x14ac:dyDescent="0.25">
      <c r="A1056" t="s">
        <v>1144</v>
      </c>
      <c r="B1056" t="s">
        <v>2144</v>
      </c>
      <c r="C1056">
        <v>2012</v>
      </c>
      <c r="E1056" t="s">
        <v>3145</v>
      </c>
      <c r="F1056" t="s">
        <v>8754</v>
      </c>
      <c r="G1056" t="s">
        <v>3990</v>
      </c>
    </row>
    <row r="1057" spans="1:7" x14ac:dyDescent="0.25">
      <c r="A1057" t="s">
        <v>759</v>
      </c>
      <c r="B1057" t="s">
        <v>2146</v>
      </c>
      <c r="C1057">
        <v>2018</v>
      </c>
      <c r="E1057" s="10" t="s">
        <v>9433</v>
      </c>
      <c r="F1057" t="s">
        <v>9427</v>
      </c>
      <c r="G1057" t="s">
        <v>3990</v>
      </c>
    </row>
    <row r="1058" spans="1:7" x14ac:dyDescent="0.25">
      <c r="A1058" t="s">
        <v>1046</v>
      </c>
      <c r="B1058" t="s">
        <v>2146</v>
      </c>
      <c r="C1058">
        <v>2016</v>
      </c>
      <c r="E1058" s="10" t="s">
        <v>8358</v>
      </c>
      <c r="F1058" t="s">
        <v>8724</v>
      </c>
      <c r="G1058" t="s">
        <v>3990</v>
      </c>
    </row>
    <row r="1059" spans="1:7" x14ac:dyDescent="0.25">
      <c r="A1059" t="s">
        <v>1272</v>
      </c>
      <c r="B1059" t="s">
        <v>2146</v>
      </c>
      <c r="C1059">
        <v>2020</v>
      </c>
      <c r="E1059" s="10" t="s">
        <v>9433</v>
      </c>
      <c r="F1059" t="s">
        <v>9428</v>
      </c>
      <c r="G1059" t="s">
        <v>3990</v>
      </c>
    </row>
    <row r="1060" spans="1:7" x14ac:dyDescent="0.25">
      <c r="A1060" t="s">
        <v>1855</v>
      </c>
      <c r="B1060" t="s">
        <v>2146</v>
      </c>
      <c r="C1060">
        <v>2015</v>
      </c>
      <c r="E1060" s="10" t="s">
        <v>9433</v>
      </c>
      <c r="F1060" t="s">
        <v>9429</v>
      </c>
      <c r="G1060" t="s">
        <v>3990</v>
      </c>
    </row>
    <row r="1061" spans="1:7" x14ac:dyDescent="0.25">
      <c r="A1061" t="s">
        <v>1855</v>
      </c>
      <c r="B1061" t="s">
        <v>2150</v>
      </c>
      <c r="C1061">
        <v>2015</v>
      </c>
      <c r="E1061" t="s">
        <v>2982</v>
      </c>
      <c r="F1061" t="s">
        <v>8966</v>
      </c>
      <c r="G1061" t="s">
        <v>3990</v>
      </c>
    </row>
    <row r="1062" spans="1:7" x14ac:dyDescent="0.25">
      <c r="A1062" t="s">
        <v>90</v>
      </c>
      <c r="B1062" t="s">
        <v>9820</v>
      </c>
      <c r="C1062">
        <v>2017</v>
      </c>
      <c r="E1062" s="10" t="s">
        <v>9822</v>
      </c>
      <c r="F1062" t="s">
        <v>9823</v>
      </c>
      <c r="G1062" t="s">
        <v>3990</v>
      </c>
    </row>
    <row r="1063" spans="1:7" x14ac:dyDescent="0.25">
      <c r="A1063" t="s">
        <v>185</v>
      </c>
      <c r="B1063" t="s">
        <v>2158</v>
      </c>
      <c r="C1063">
        <v>2022</v>
      </c>
      <c r="E1063" t="s">
        <v>2983</v>
      </c>
      <c r="F1063" t="s">
        <v>8445</v>
      </c>
      <c r="G1063" t="s">
        <v>3990</v>
      </c>
    </row>
    <row r="1064" spans="1:7" x14ac:dyDescent="0.25">
      <c r="A1064" t="s">
        <v>1690</v>
      </c>
      <c r="B1064" t="s">
        <v>2158</v>
      </c>
      <c r="C1064">
        <v>2020</v>
      </c>
      <c r="E1064" t="s">
        <v>2983</v>
      </c>
      <c r="F1064" t="s">
        <v>8900</v>
      </c>
      <c r="G1064" t="s">
        <v>3990</v>
      </c>
    </row>
    <row r="1065" spans="1:7" x14ac:dyDescent="0.25">
      <c r="A1065" t="s">
        <v>90</v>
      </c>
      <c r="B1065" t="s">
        <v>2158</v>
      </c>
      <c r="C1065">
        <v>2017</v>
      </c>
      <c r="E1065" t="s">
        <v>2983</v>
      </c>
      <c r="F1065" t="s">
        <v>9137</v>
      </c>
      <c r="G1065" t="s">
        <v>3990</v>
      </c>
    </row>
    <row r="1066" spans="1:7" x14ac:dyDescent="0.25">
      <c r="A1066" t="s">
        <v>256</v>
      </c>
      <c r="B1066" t="s">
        <v>2160</v>
      </c>
      <c r="C1066">
        <v>1994</v>
      </c>
      <c r="E1066" t="s">
        <v>2995</v>
      </c>
      <c r="F1066" t="s">
        <v>9434</v>
      </c>
      <c r="G1066" t="s">
        <v>3990</v>
      </c>
    </row>
    <row r="1067" spans="1:7" x14ac:dyDescent="0.25">
      <c r="A1067" t="s">
        <v>2571</v>
      </c>
      <c r="B1067" t="s">
        <v>2160</v>
      </c>
      <c r="C1067">
        <v>1998</v>
      </c>
      <c r="E1067" t="s">
        <v>2995</v>
      </c>
      <c r="F1067" t="s">
        <v>9435</v>
      </c>
      <c r="G1067" t="s">
        <v>3990</v>
      </c>
    </row>
    <row r="1068" spans="1:7" x14ac:dyDescent="0.25">
      <c r="A1068" t="s">
        <v>353</v>
      </c>
      <c r="B1068" t="s">
        <v>2162</v>
      </c>
      <c r="C1068">
        <v>2023</v>
      </c>
      <c r="E1068" t="s">
        <v>2982</v>
      </c>
      <c r="F1068" t="s">
        <v>8514</v>
      </c>
      <c r="G1068" t="s">
        <v>3990</v>
      </c>
    </row>
    <row r="1069" spans="1:7" x14ac:dyDescent="0.25">
      <c r="A1069" t="s">
        <v>2804</v>
      </c>
      <c r="B1069" t="s">
        <v>2162</v>
      </c>
      <c r="C1069">
        <v>2021</v>
      </c>
      <c r="E1069" t="s">
        <v>2982</v>
      </c>
      <c r="F1069" t="s">
        <v>9337</v>
      </c>
      <c r="G1069" t="s">
        <v>3990</v>
      </c>
    </row>
    <row r="1070" spans="1:7" x14ac:dyDescent="0.25">
      <c r="A1070" t="s">
        <v>2154</v>
      </c>
      <c r="B1070" t="s">
        <v>2166</v>
      </c>
      <c r="C1070">
        <v>1980</v>
      </c>
      <c r="E1070" t="s">
        <v>3325</v>
      </c>
      <c r="F1070" t="s">
        <v>9029</v>
      </c>
      <c r="G1070" t="s">
        <v>3990</v>
      </c>
    </row>
    <row r="1071" spans="1:7" x14ac:dyDescent="0.25">
      <c r="A1071" t="s">
        <v>2625</v>
      </c>
      <c r="B1071" t="s">
        <v>2166</v>
      </c>
      <c r="C1071">
        <v>2000</v>
      </c>
      <c r="D1071" t="s">
        <v>187</v>
      </c>
      <c r="F1071" t="s">
        <v>9694</v>
      </c>
      <c r="G1071" t="s">
        <v>3990</v>
      </c>
    </row>
    <row r="1072" spans="1:7" x14ac:dyDescent="0.25">
      <c r="A1072" t="s">
        <v>2173</v>
      </c>
      <c r="B1072" t="s">
        <v>2169</v>
      </c>
      <c r="C1072">
        <v>2013</v>
      </c>
      <c r="E1072" t="s">
        <v>3333</v>
      </c>
      <c r="F1072" t="s">
        <v>9695</v>
      </c>
      <c r="G1072" t="s">
        <v>187</v>
      </c>
    </row>
    <row r="1073" spans="1:7" x14ac:dyDescent="0.25">
      <c r="A1073" t="s">
        <v>2428</v>
      </c>
      <c r="B1073" t="s">
        <v>2173</v>
      </c>
      <c r="C1073">
        <v>2008</v>
      </c>
      <c r="E1073" t="s">
        <v>3394</v>
      </c>
      <c r="F1073" t="s">
        <v>9210</v>
      </c>
      <c r="G1073" t="s">
        <v>3990</v>
      </c>
    </row>
    <row r="1074" spans="1:7" x14ac:dyDescent="0.25">
      <c r="A1074" t="s">
        <v>160</v>
      </c>
      <c r="B1074" t="s">
        <v>2173</v>
      </c>
      <c r="C1074">
        <v>2011</v>
      </c>
      <c r="E1074" t="s">
        <v>3394</v>
      </c>
      <c r="F1074" t="s">
        <v>9284</v>
      </c>
      <c r="G1074" t="s">
        <v>3990</v>
      </c>
    </row>
    <row r="1075" spans="1:7" x14ac:dyDescent="0.25">
      <c r="A1075" t="s">
        <v>2173</v>
      </c>
      <c r="B1075" t="s">
        <v>2177</v>
      </c>
      <c r="C1075">
        <v>2013</v>
      </c>
      <c r="D1075" t="s">
        <v>187</v>
      </c>
      <c r="F1075" t="s">
        <v>9696</v>
      </c>
      <c r="G1075" t="s">
        <v>3990</v>
      </c>
    </row>
    <row r="1076" spans="1:7" x14ac:dyDescent="0.25">
      <c r="A1076" t="s">
        <v>90</v>
      </c>
      <c r="B1076" t="s">
        <v>2181</v>
      </c>
      <c r="C1076">
        <v>2017</v>
      </c>
      <c r="E1076" s="10" t="s">
        <v>9829</v>
      </c>
      <c r="F1076" t="s">
        <v>9697</v>
      </c>
      <c r="G1076" t="s">
        <v>3990</v>
      </c>
    </row>
    <row r="1077" spans="1:7" x14ac:dyDescent="0.25">
      <c r="A1077" t="s">
        <v>344</v>
      </c>
      <c r="B1077" t="s">
        <v>2187</v>
      </c>
      <c r="C1077">
        <v>2023</v>
      </c>
      <c r="E1077" s="10" t="s">
        <v>8359</v>
      </c>
      <c r="F1077" t="s">
        <v>8478</v>
      </c>
      <c r="G1077" t="s">
        <v>3990</v>
      </c>
    </row>
    <row r="1078" spans="1:7" x14ac:dyDescent="0.25">
      <c r="A1078" t="s">
        <v>346</v>
      </c>
      <c r="B1078" t="s">
        <v>2187</v>
      </c>
      <c r="C1078">
        <v>2022</v>
      </c>
      <c r="E1078" t="s">
        <v>3017</v>
      </c>
      <c r="F1078" t="s">
        <v>8484</v>
      </c>
      <c r="G1078" t="s">
        <v>3990</v>
      </c>
    </row>
    <row r="1079" spans="1:7" x14ac:dyDescent="0.25">
      <c r="A1079" t="s">
        <v>1144</v>
      </c>
      <c r="B1079" t="s">
        <v>2187</v>
      </c>
      <c r="C1079">
        <v>2012</v>
      </c>
      <c r="E1079" t="s">
        <v>3017</v>
      </c>
      <c r="F1079" t="s">
        <v>8755</v>
      </c>
      <c r="G1079" t="s">
        <v>3990</v>
      </c>
    </row>
    <row r="1080" spans="1:7" x14ac:dyDescent="0.25">
      <c r="A1080" t="s">
        <v>1443</v>
      </c>
      <c r="B1080" t="s">
        <v>2187</v>
      </c>
      <c r="C1080">
        <v>2018</v>
      </c>
      <c r="E1080" t="s">
        <v>3017</v>
      </c>
      <c r="F1080" t="s">
        <v>8852</v>
      </c>
      <c r="G1080" t="s">
        <v>3990</v>
      </c>
    </row>
    <row r="1081" spans="1:7" x14ac:dyDescent="0.25">
      <c r="A1081" t="s">
        <v>1951</v>
      </c>
      <c r="B1081" t="s">
        <v>2187</v>
      </c>
      <c r="C1081">
        <v>2022</v>
      </c>
      <c r="E1081" s="10" t="s">
        <v>8359</v>
      </c>
      <c r="F1081" t="s">
        <v>8980</v>
      </c>
      <c r="G1081" t="s">
        <v>3990</v>
      </c>
    </row>
    <row r="1082" spans="1:7" x14ac:dyDescent="0.25">
      <c r="A1082" t="s">
        <v>90</v>
      </c>
      <c r="B1082" t="s">
        <v>2187</v>
      </c>
      <c r="C1082">
        <v>2017</v>
      </c>
      <c r="E1082" t="s">
        <v>3017</v>
      </c>
      <c r="F1082" t="s">
        <v>9138</v>
      </c>
      <c r="G1082" t="s">
        <v>3990</v>
      </c>
    </row>
    <row r="1083" spans="1:7" x14ac:dyDescent="0.25">
      <c r="A1083" t="s">
        <v>994</v>
      </c>
      <c r="B1083" t="s">
        <v>2190</v>
      </c>
      <c r="C1083">
        <v>2011</v>
      </c>
      <c r="E1083" t="s">
        <v>3169</v>
      </c>
      <c r="F1083" t="s">
        <v>9698</v>
      </c>
      <c r="G1083" t="s">
        <v>187</v>
      </c>
    </row>
    <row r="1084" spans="1:7" x14ac:dyDescent="0.25">
      <c r="A1084" t="s">
        <v>2534</v>
      </c>
      <c r="B1084" t="s">
        <v>2190</v>
      </c>
      <c r="C1084">
        <v>1982</v>
      </c>
      <c r="E1084" t="s">
        <v>3169</v>
      </c>
      <c r="F1084" t="s">
        <v>9235</v>
      </c>
      <c r="G1084" t="s">
        <v>3990</v>
      </c>
    </row>
    <row r="1085" spans="1:7" x14ac:dyDescent="0.25">
      <c r="A1085" t="s">
        <v>90</v>
      </c>
      <c r="B1085" t="s">
        <v>2192</v>
      </c>
      <c r="C1085">
        <v>2017</v>
      </c>
      <c r="E1085" s="10" t="s">
        <v>8360</v>
      </c>
      <c r="F1085" t="s">
        <v>9139</v>
      </c>
      <c r="G1085" t="s">
        <v>3990</v>
      </c>
    </row>
    <row r="1086" spans="1:7" x14ac:dyDescent="0.25">
      <c r="A1086" t="s">
        <v>2804</v>
      </c>
      <c r="B1086" t="s">
        <v>2192</v>
      </c>
      <c r="C1086">
        <v>2021</v>
      </c>
      <c r="E1086" s="10" t="s">
        <v>8360</v>
      </c>
      <c r="F1086" t="s">
        <v>9338</v>
      </c>
      <c r="G1086" t="s">
        <v>3990</v>
      </c>
    </row>
    <row r="1087" spans="1:7" x14ac:dyDescent="0.25">
      <c r="A1087" t="s">
        <v>90</v>
      </c>
      <c r="B1087" t="s">
        <v>2196</v>
      </c>
      <c r="C1087">
        <v>2017</v>
      </c>
      <c r="E1087" t="s">
        <v>3374</v>
      </c>
      <c r="F1087" t="s">
        <v>9699</v>
      </c>
      <c r="G1087" t="s">
        <v>187</v>
      </c>
    </row>
    <row r="1088" spans="1:7" x14ac:dyDescent="0.25">
      <c r="A1088" t="s">
        <v>553</v>
      </c>
      <c r="B1088" t="s">
        <v>14137</v>
      </c>
      <c r="C1088">
        <v>2010</v>
      </c>
      <c r="E1088" s="10" t="s">
        <v>14140</v>
      </c>
      <c r="F1088" t="s">
        <v>14141</v>
      </c>
      <c r="G1088" t="s">
        <v>3990</v>
      </c>
    </row>
    <row r="1089" spans="1:7" x14ac:dyDescent="0.25">
      <c r="A1089" t="s">
        <v>1004</v>
      </c>
      <c r="B1089" t="s">
        <v>14137</v>
      </c>
      <c r="C1089">
        <v>2006</v>
      </c>
      <c r="E1089" s="10" t="s">
        <v>14140</v>
      </c>
      <c r="F1089" t="s">
        <v>14141</v>
      </c>
      <c r="G1089" t="s">
        <v>3990</v>
      </c>
    </row>
    <row r="1090" spans="1:7" x14ac:dyDescent="0.25">
      <c r="A1090" t="s">
        <v>2792</v>
      </c>
      <c r="B1090" t="s">
        <v>14137</v>
      </c>
      <c r="C1090">
        <v>1992</v>
      </c>
      <c r="E1090" s="10" t="s">
        <v>14142</v>
      </c>
      <c r="F1090" t="s">
        <v>14143</v>
      </c>
      <c r="G1090" t="s">
        <v>3990</v>
      </c>
    </row>
    <row r="1091" spans="1:7" x14ac:dyDescent="0.25">
      <c r="A1091" t="s">
        <v>490</v>
      </c>
      <c r="B1091" t="s">
        <v>2200</v>
      </c>
      <c r="C1091">
        <v>2009</v>
      </c>
      <c r="E1091" t="s">
        <v>3061</v>
      </c>
      <c r="F1091" t="s">
        <v>8537</v>
      </c>
      <c r="G1091" t="s">
        <v>3990</v>
      </c>
    </row>
    <row r="1092" spans="1:7" x14ac:dyDescent="0.25">
      <c r="A1092" t="s">
        <v>2154</v>
      </c>
      <c r="B1092" t="s">
        <v>2200</v>
      </c>
      <c r="C1092">
        <v>1980</v>
      </c>
      <c r="E1092" t="s">
        <v>3061</v>
      </c>
      <c r="F1092" t="s">
        <v>9030</v>
      </c>
      <c r="G1092" t="s">
        <v>3990</v>
      </c>
    </row>
    <row r="1093" spans="1:7" x14ac:dyDescent="0.25">
      <c r="A1093" t="s">
        <v>353</v>
      </c>
      <c r="B1093" t="s">
        <v>2202</v>
      </c>
      <c r="C1093">
        <v>2023</v>
      </c>
      <c r="E1093" s="10" t="s">
        <v>3040</v>
      </c>
      <c r="F1093" t="s">
        <v>9700</v>
      </c>
      <c r="G1093" t="s">
        <v>187</v>
      </c>
    </row>
    <row r="1094" spans="1:7" x14ac:dyDescent="0.25">
      <c r="A1094" t="s">
        <v>90</v>
      </c>
      <c r="B1094" t="s">
        <v>2202</v>
      </c>
      <c r="C1094">
        <v>2017</v>
      </c>
      <c r="E1094" s="10" t="s">
        <v>3040</v>
      </c>
      <c r="F1094" t="s">
        <v>9701</v>
      </c>
      <c r="G1094" t="s">
        <v>187</v>
      </c>
    </row>
    <row r="1095" spans="1:7" x14ac:dyDescent="0.25">
      <c r="A1095" t="s">
        <v>2154</v>
      </c>
      <c r="B1095" t="s">
        <v>2204</v>
      </c>
      <c r="C1095">
        <v>1980</v>
      </c>
      <c r="E1095" t="s">
        <v>3326</v>
      </c>
      <c r="F1095" t="s">
        <v>9031</v>
      </c>
      <c r="G1095" t="s">
        <v>3990</v>
      </c>
    </row>
    <row r="1096" spans="1:7" x14ac:dyDescent="0.25">
      <c r="A1096" t="s">
        <v>353</v>
      </c>
      <c r="B1096" t="s">
        <v>2215</v>
      </c>
      <c r="C1096">
        <v>2023</v>
      </c>
      <c r="E1096" t="s">
        <v>3041</v>
      </c>
      <c r="F1096" t="s">
        <v>8515</v>
      </c>
      <c r="G1096" t="s">
        <v>3990</v>
      </c>
    </row>
    <row r="1097" spans="1:7" x14ac:dyDescent="0.25">
      <c r="A1097" t="s">
        <v>2211</v>
      </c>
      <c r="B1097" t="s">
        <v>2215</v>
      </c>
      <c r="C1097">
        <v>2021</v>
      </c>
      <c r="E1097" t="s">
        <v>3041</v>
      </c>
      <c r="F1097" t="s">
        <v>9054</v>
      </c>
      <c r="G1097" t="s">
        <v>3990</v>
      </c>
    </row>
    <row r="1098" spans="1:7" x14ac:dyDescent="0.25">
      <c r="A1098" t="s">
        <v>960</v>
      </c>
      <c r="B1098" t="s">
        <v>2219</v>
      </c>
      <c r="C1098">
        <v>2024</v>
      </c>
      <c r="E1098" t="s">
        <v>2982</v>
      </c>
      <c r="F1098" t="s">
        <v>8688</v>
      </c>
      <c r="G1098" t="s">
        <v>3990</v>
      </c>
    </row>
    <row r="1099" spans="1:7" x14ac:dyDescent="0.25">
      <c r="A1099" t="s">
        <v>353</v>
      </c>
      <c r="B1099" t="s">
        <v>2222</v>
      </c>
      <c r="C1099">
        <v>2023</v>
      </c>
      <c r="E1099" t="s">
        <v>3042</v>
      </c>
      <c r="F1099" t="s">
        <v>8516</v>
      </c>
      <c r="G1099" t="s">
        <v>3990</v>
      </c>
    </row>
    <row r="1100" spans="1:7" x14ac:dyDescent="0.25">
      <c r="A1100" t="s">
        <v>1576</v>
      </c>
      <c r="B1100" t="s">
        <v>2222</v>
      </c>
      <c r="C1100">
        <v>2021</v>
      </c>
      <c r="E1100" t="s">
        <v>3042</v>
      </c>
      <c r="F1100" t="s">
        <v>8883</v>
      </c>
      <c r="G1100" t="s">
        <v>3990</v>
      </c>
    </row>
    <row r="1101" spans="1:7" x14ac:dyDescent="0.25">
      <c r="A1101" t="s">
        <v>90</v>
      </c>
      <c r="B1101" t="s">
        <v>2222</v>
      </c>
      <c r="C1101">
        <v>2017</v>
      </c>
      <c r="E1101" t="s">
        <v>3042</v>
      </c>
      <c r="F1101" t="s">
        <v>9140</v>
      </c>
      <c r="G1101" t="s">
        <v>3990</v>
      </c>
    </row>
    <row r="1102" spans="1:7" x14ac:dyDescent="0.25">
      <c r="A1102" t="s">
        <v>2506</v>
      </c>
      <c r="B1102" t="s">
        <v>2222</v>
      </c>
      <c r="C1102">
        <v>2021</v>
      </c>
      <c r="E1102" t="s">
        <v>3042</v>
      </c>
      <c r="F1102" t="s">
        <v>9230</v>
      </c>
      <c r="G1102" t="s">
        <v>3990</v>
      </c>
    </row>
    <row r="1103" spans="1:7" x14ac:dyDescent="0.25">
      <c r="A1103" t="s">
        <v>1951</v>
      </c>
      <c r="B1103" t="s">
        <v>2229</v>
      </c>
      <c r="C1103">
        <v>2022</v>
      </c>
      <c r="E1103" t="s">
        <v>3301</v>
      </c>
      <c r="F1103" t="s">
        <v>8981</v>
      </c>
      <c r="G1103" t="s">
        <v>3990</v>
      </c>
    </row>
    <row r="1104" spans="1:7" x14ac:dyDescent="0.25">
      <c r="A1104" t="s">
        <v>353</v>
      </c>
      <c r="B1104" t="s">
        <v>2232</v>
      </c>
      <c r="C1104">
        <v>2023</v>
      </c>
      <c r="E1104" t="s">
        <v>3043</v>
      </c>
      <c r="F1104" t="s">
        <v>8517</v>
      </c>
      <c r="G1104" t="s">
        <v>3990</v>
      </c>
    </row>
    <row r="1105" spans="1:7" x14ac:dyDescent="0.25">
      <c r="A1105" t="s">
        <v>746</v>
      </c>
      <c r="B1105" t="s">
        <v>2232</v>
      </c>
      <c r="C1105">
        <v>2015</v>
      </c>
      <c r="E1105" s="10" t="s">
        <v>9438</v>
      </c>
      <c r="F1105" t="s">
        <v>9440</v>
      </c>
      <c r="G1105" t="s">
        <v>3990</v>
      </c>
    </row>
    <row r="1106" spans="1:7" x14ac:dyDescent="0.25">
      <c r="A1106" t="s">
        <v>847</v>
      </c>
      <c r="B1106" t="s">
        <v>2232</v>
      </c>
      <c r="C1106">
        <v>1996</v>
      </c>
      <c r="E1106" s="10" t="s">
        <v>9438</v>
      </c>
      <c r="F1106" t="s">
        <v>9439</v>
      </c>
      <c r="G1106" t="s">
        <v>3990</v>
      </c>
    </row>
    <row r="1107" spans="1:7" x14ac:dyDescent="0.25">
      <c r="A1107" t="s">
        <v>1576</v>
      </c>
      <c r="B1107" t="s">
        <v>2232</v>
      </c>
      <c r="C1107">
        <v>2021</v>
      </c>
      <c r="E1107" t="s">
        <v>3263</v>
      </c>
      <c r="F1107" t="s">
        <v>9702</v>
      </c>
      <c r="G1107" t="s">
        <v>187</v>
      </c>
    </row>
    <row r="1108" spans="1:7" x14ac:dyDescent="0.25">
      <c r="A1108" t="s">
        <v>353</v>
      </c>
      <c r="B1108" t="s">
        <v>2236</v>
      </c>
      <c r="C1108">
        <v>2023</v>
      </c>
      <c r="E1108" t="s">
        <v>3044</v>
      </c>
      <c r="F1108" t="s">
        <v>8518</v>
      </c>
      <c r="G1108" t="s">
        <v>3990</v>
      </c>
    </row>
    <row r="1109" spans="1:7" x14ac:dyDescent="0.25">
      <c r="A1109" t="s">
        <v>90</v>
      </c>
      <c r="B1109" t="s">
        <v>2236</v>
      </c>
      <c r="C1109">
        <v>2017</v>
      </c>
      <c r="E1109" t="s">
        <v>3044</v>
      </c>
      <c r="F1109" t="s">
        <v>9141</v>
      </c>
      <c r="G1109" t="s">
        <v>3990</v>
      </c>
    </row>
    <row r="1110" spans="1:7" x14ac:dyDescent="0.25">
      <c r="A1110" t="s">
        <v>1549</v>
      </c>
      <c r="B1110" t="s">
        <v>2239</v>
      </c>
      <c r="C1110">
        <v>2021</v>
      </c>
      <c r="E1110" t="s">
        <v>2241</v>
      </c>
      <c r="F1110" t="s">
        <v>8863</v>
      </c>
      <c r="G1110" t="s">
        <v>3990</v>
      </c>
    </row>
    <row r="1111" spans="1:7" x14ac:dyDescent="0.25">
      <c r="A1111" t="s">
        <v>90</v>
      </c>
      <c r="B1111" t="s">
        <v>2239</v>
      </c>
      <c r="C1111">
        <v>2017</v>
      </c>
      <c r="E1111" t="s">
        <v>2241</v>
      </c>
      <c r="F1111" t="s">
        <v>9142</v>
      </c>
      <c r="G1111" t="s">
        <v>3990</v>
      </c>
    </row>
    <row r="1112" spans="1:7" x14ac:dyDescent="0.25">
      <c r="A1112" t="s">
        <v>2804</v>
      </c>
      <c r="B1112" t="s">
        <v>8361</v>
      </c>
      <c r="C1112">
        <v>2021</v>
      </c>
      <c r="E1112" t="s">
        <v>3013</v>
      </c>
      <c r="F1112" t="s">
        <v>9703</v>
      </c>
      <c r="G1112" t="s">
        <v>187</v>
      </c>
    </row>
    <row r="1113" spans="1:7" x14ac:dyDescent="0.25">
      <c r="A1113" t="s">
        <v>1155</v>
      </c>
      <c r="B1113" t="s">
        <v>2242</v>
      </c>
      <c r="C1113">
        <v>2010</v>
      </c>
      <c r="D1113" t="s">
        <v>187</v>
      </c>
      <c r="F1113" t="s">
        <v>9704</v>
      </c>
      <c r="G1113" t="s">
        <v>3990</v>
      </c>
    </row>
    <row r="1114" spans="1:7" x14ac:dyDescent="0.25">
      <c r="A1114" t="s">
        <v>720</v>
      </c>
      <c r="B1114" t="s">
        <v>2244</v>
      </c>
      <c r="C1114">
        <v>2016</v>
      </c>
      <c r="E1114" t="s">
        <v>3091</v>
      </c>
      <c r="F1114" t="s">
        <v>8579</v>
      </c>
      <c r="G1114" t="s">
        <v>3990</v>
      </c>
    </row>
    <row r="1115" spans="1:7" x14ac:dyDescent="0.25">
      <c r="A1115" t="s">
        <v>746</v>
      </c>
      <c r="B1115" t="s">
        <v>2244</v>
      </c>
      <c r="C1115">
        <v>2015</v>
      </c>
      <c r="E1115" t="s">
        <v>3091</v>
      </c>
      <c r="F1115" t="s">
        <v>8597</v>
      </c>
      <c r="G1115" t="s">
        <v>3990</v>
      </c>
    </row>
    <row r="1116" spans="1:7" x14ac:dyDescent="0.25">
      <c r="A1116" t="s">
        <v>1115</v>
      </c>
      <c r="B1116" t="s">
        <v>2244</v>
      </c>
      <c r="C1116">
        <v>2018</v>
      </c>
      <c r="E1116" t="s">
        <v>3091</v>
      </c>
      <c r="F1116" t="s">
        <v>8732</v>
      </c>
      <c r="G1116" t="s">
        <v>3990</v>
      </c>
    </row>
    <row r="1117" spans="1:7" x14ac:dyDescent="0.25">
      <c r="A1117" t="s">
        <v>2804</v>
      </c>
      <c r="B1117" t="s">
        <v>2247</v>
      </c>
      <c r="C1117">
        <v>2021</v>
      </c>
      <c r="E1117" t="s">
        <v>3013</v>
      </c>
      <c r="F1117" t="s">
        <v>9705</v>
      </c>
      <c r="G1117" t="s">
        <v>187</v>
      </c>
    </row>
    <row r="1118" spans="1:7" x14ac:dyDescent="0.25">
      <c r="A1118" t="s">
        <v>353</v>
      </c>
      <c r="B1118" t="s">
        <v>2251</v>
      </c>
      <c r="C1118">
        <v>2023</v>
      </c>
      <c r="E1118" t="s">
        <v>2982</v>
      </c>
      <c r="F1118" t="s">
        <v>8519</v>
      </c>
      <c r="G1118" t="s">
        <v>3990</v>
      </c>
    </row>
    <row r="1119" spans="1:7" x14ac:dyDescent="0.25">
      <c r="A1119" t="s">
        <v>160</v>
      </c>
      <c r="B1119" t="s">
        <v>2251</v>
      </c>
      <c r="C1119">
        <v>2011</v>
      </c>
      <c r="E1119" t="s">
        <v>2982</v>
      </c>
      <c r="F1119" t="s">
        <v>9285</v>
      </c>
      <c r="G1119" t="s">
        <v>3990</v>
      </c>
    </row>
    <row r="1120" spans="1:7" x14ac:dyDescent="0.25">
      <c r="A1120" t="s">
        <v>435</v>
      </c>
      <c r="B1120" t="s">
        <v>2254</v>
      </c>
      <c r="C1120">
        <v>2019</v>
      </c>
      <c r="E1120" t="s">
        <v>2982</v>
      </c>
      <c r="F1120" t="s">
        <v>9706</v>
      </c>
      <c r="G1120" t="s">
        <v>187</v>
      </c>
    </row>
    <row r="1121" spans="1:7" x14ac:dyDescent="0.25">
      <c r="A1121" t="s">
        <v>759</v>
      </c>
      <c r="B1121" t="s">
        <v>2254</v>
      </c>
      <c r="C1121">
        <v>2018</v>
      </c>
      <c r="E1121" t="s">
        <v>2982</v>
      </c>
      <c r="F1121" t="s">
        <v>8619</v>
      </c>
      <c r="G1121" t="s">
        <v>3990</v>
      </c>
    </row>
    <row r="1122" spans="1:7" x14ac:dyDescent="0.25">
      <c r="A1122" t="s">
        <v>930</v>
      </c>
      <c r="B1122" t="s">
        <v>2254</v>
      </c>
      <c r="C1122">
        <v>2015</v>
      </c>
      <c r="E1122" t="s">
        <v>2982</v>
      </c>
      <c r="F1122" t="s">
        <v>8683</v>
      </c>
      <c r="G1122" t="s">
        <v>3990</v>
      </c>
    </row>
    <row r="1123" spans="1:7" x14ac:dyDescent="0.25">
      <c r="A1123" t="s">
        <v>2130</v>
      </c>
      <c r="B1123" t="s">
        <v>2254</v>
      </c>
      <c r="C1123">
        <v>2017</v>
      </c>
      <c r="E1123" t="s">
        <v>2982</v>
      </c>
      <c r="F1123" t="s">
        <v>8992</v>
      </c>
      <c r="G1123" t="s">
        <v>3990</v>
      </c>
    </row>
    <row r="1124" spans="1:7" x14ac:dyDescent="0.25">
      <c r="A1124" t="s">
        <v>2459</v>
      </c>
      <c r="B1124" t="s">
        <v>2254</v>
      </c>
      <c r="C1124">
        <v>2017</v>
      </c>
      <c r="E1124" t="s">
        <v>2982</v>
      </c>
      <c r="F1124" t="s">
        <v>9219</v>
      </c>
      <c r="G1124" t="s">
        <v>3990</v>
      </c>
    </row>
    <row r="1125" spans="1:7" x14ac:dyDescent="0.25">
      <c r="A1125" t="s">
        <v>2804</v>
      </c>
      <c r="B1125" t="s">
        <v>2258</v>
      </c>
      <c r="C1125">
        <v>2021</v>
      </c>
      <c r="E1125" t="s">
        <v>3013</v>
      </c>
      <c r="F1125" t="s">
        <v>9707</v>
      </c>
      <c r="G1125" t="s">
        <v>187</v>
      </c>
    </row>
    <row r="1126" spans="1:7" x14ac:dyDescent="0.25">
      <c r="A1126" t="s">
        <v>2225</v>
      </c>
      <c r="B1126" t="s">
        <v>2260</v>
      </c>
      <c r="C1126">
        <v>2021</v>
      </c>
      <c r="E1126" s="10" t="s">
        <v>8374</v>
      </c>
      <c r="F1126" t="s">
        <v>9708</v>
      </c>
      <c r="G1126" t="s">
        <v>3990</v>
      </c>
    </row>
    <row r="1127" spans="1:7" x14ac:dyDescent="0.25">
      <c r="A1127" t="s">
        <v>90</v>
      </c>
      <c r="B1127" t="s">
        <v>2264</v>
      </c>
      <c r="C1127">
        <v>2017</v>
      </c>
      <c r="E1127" t="s">
        <v>3375</v>
      </c>
      <c r="F1127" t="s">
        <v>9143</v>
      </c>
      <c r="G1127" t="s">
        <v>3990</v>
      </c>
    </row>
    <row r="1128" spans="1:7" x14ac:dyDescent="0.25">
      <c r="A1128" t="s">
        <v>2594</v>
      </c>
      <c r="B1128" t="s">
        <v>2264</v>
      </c>
      <c r="C1128">
        <v>2019</v>
      </c>
      <c r="E1128" t="s">
        <v>3375</v>
      </c>
      <c r="F1128" t="s">
        <v>9241</v>
      </c>
      <c r="G1128" t="s">
        <v>3990</v>
      </c>
    </row>
    <row r="1129" spans="1:7" x14ac:dyDescent="0.25">
      <c r="A1129" t="s">
        <v>847</v>
      </c>
      <c r="B1129" t="s">
        <v>2267</v>
      </c>
      <c r="C1129">
        <v>1996</v>
      </c>
      <c r="E1129" s="10" t="s">
        <v>9386</v>
      </c>
      <c r="F1129" t="s">
        <v>9448</v>
      </c>
      <c r="G1129" t="s">
        <v>3990</v>
      </c>
    </row>
    <row r="1130" spans="1:7" x14ac:dyDescent="0.25">
      <c r="A1130" t="s">
        <v>998</v>
      </c>
      <c r="B1130" t="s">
        <v>2267</v>
      </c>
      <c r="C1130">
        <v>2018</v>
      </c>
      <c r="D1130" t="s">
        <v>187</v>
      </c>
      <c r="F1130" t="s">
        <v>9446</v>
      </c>
      <c r="G1130" t="s">
        <v>3990</v>
      </c>
    </row>
    <row r="1131" spans="1:7" x14ac:dyDescent="0.25">
      <c r="A1131" t="s">
        <v>1046</v>
      </c>
      <c r="B1131" t="s">
        <v>2267</v>
      </c>
      <c r="C1131">
        <v>2016</v>
      </c>
      <c r="E1131" t="s">
        <v>2982</v>
      </c>
      <c r="F1131" t="s">
        <v>9709</v>
      </c>
      <c r="G1131" t="s">
        <v>187</v>
      </c>
    </row>
    <row r="1132" spans="1:7" x14ac:dyDescent="0.25">
      <c r="A1132" t="s">
        <v>1294</v>
      </c>
      <c r="B1132" t="s">
        <v>2267</v>
      </c>
      <c r="C1132">
        <v>2019</v>
      </c>
      <c r="E1132" s="10" t="s">
        <v>9386</v>
      </c>
      <c r="F1132" t="s">
        <v>9449</v>
      </c>
      <c r="G1132" t="s">
        <v>3990</v>
      </c>
    </row>
    <row r="1133" spans="1:7" x14ac:dyDescent="0.25">
      <c r="A1133" t="s">
        <v>1817</v>
      </c>
      <c r="B1133" t="s">
        <v>2267</v>
      </c>
      <c r="C1133">
        <v>2019</v>
      </c>
      <c r="E1133" s="10" t="s">
        <v>9386</v>
      </c>
      <c r="F1133" t="s">
        <v>9447</v>
      </c>
      <c r="G1133" t="s">
        <v>3990</v>
      </c>
    </row>
    <row r="1134" spans="1:7" x14ac:dyDescent="0.25">
      <c r="A1134" t="s">
        <v>1010</v>
      </c>
      <c r="B1134" t="s">
        <v>2273</v>
      </c>
      <c r="C1134">
        <v>2025</v>
      </c>
      <c r="E1134" t="s">
        <v>3178</v>
      </c>
      <c r="F1134" t="s">
        <v>8704</v>
      </c>
      <c r="G1134" t="s">
        <v>3990</v>
      </c>
    </row>
    <row r="1135" spans="1:7" x14ac:dyDescent="0.25">
      <c r="A1135" t="s">
        <v>1294</v>
      </c>
      <c r="B1135" t="s">
        <v>2273</v>
      </c>
      <c r="C1135">
        <v>2019</v>
      </c>
      <c r="E1135" t="s">
        <v>2982</v>
      </c>
      <c r="F1135" t="s">
        <v>8804</v>
      </c>
      <c r="G1135" t="s">
        <v>3990</v>
      </c>
    </row>
    <row r="1136" spans="1:7" x14ac:dyDescent="0.25">
      <c r="A1136" t="s">
        <v>2136</v>
      </c>
      <c r="B1136" t="s">
        <v>2273</v>
      </c>
      <c r="C1136">
        <v>2020</v>
      </c>
      <c r="E1136" t="s">
        <v>2982</v>
      </c>
      <c r="F1136" t="s">
        <v>9005</v>
      </c>
      <c r="G1136" t="s">
        <v>3990</v>
      </c>
    </row>
    <row r="1137" spans="1:7" x14ac:dyDescent="0.25">
      <c r="A1137" t="s">
        <v>256</v>
      </c>
      <c r="B1137" t="s">
        <v>2276</v>
      </c>
      <c r="C1137">
        <v>1994</v>
      </c>
      <c r="E1137" t="s">
        <v>2996</v>
      </c>
      <c r="F1137" t="s">
        <v>8458</v>
      </c>
      <c r="G1137" t="s">
        <v>3990</v>
      </c>
    </row>
    <row r="1138" spans="1:7" x14ac:dyDescent="0.25">
      <c r="A1138" t="s">
        <v>1882</v>
      </c>
      <c r="B1138" t="s">
        <v>2276</v>
      </c>
      <c r="C1138">
        <v>1987</v>
      </c>
      <c r="E1138" t="s">
        <v>2996</v>
      </c>
      <c r="F1138" t="s">
        <v>8973</v>
      </c>
      <c r="G1138" t="s">
        <v>3990</v>
      </c>
    </row>
    <row r="1139" spans="1:7" x14ac:dyDescent="0.25">
      <c r="A1139" t="s">
        <v>746</v>
      </c>
      <c r="B1139" t="s">
        <v>2279</v>
      </c>
      <c r="C1139">
        <v>2015</v>
      </c>
      <c r="E1139" t="s">
        <v>3106</v>
      </c>
      <c r="F1139" t="s">
        <v>8598</v>
      </c>
      <c r="G1139" t="s">
        <v>3990</v>
      </c>
    </row>
    <row r="1140" spans="1:7" x14ac:dyDescent="0.25">
      <c r="A1140" t="s">
        <v>1294</v>
      </c>
      <c r="B1140" t="s">
        <v>2279</v>
      </c>
      <c r="C1140">
        <v>2019</v>
      </c>
      <c r="E1140" s="10" t="s">
        <v>3106</v>
      </c>
      <c r="F1140" t="s">
        <v>8432</v>
      </c>
      <c r="G1140" t="s">
        <v>3990</v>
      </c>
    </row>
    <row r="1141" spans="1:7" x14ac:dyDescent="0.25">
      <c r="A1141" t="s">
        <v>90</v>
      </c>
      <c r="B1141" t="s">
        <v>2279</v>
      </c>
      <c r="C1141">
        <v>2017</v>
      </c>
      <c r="E1141" t="s">
        <v>3106</v>
      </c>
      <c r="F1141" t="s">
        <v>9144</v>
      </c>
      <c r="G1141" t="s">
        <v>3990</v>
      </c>
    </row>
    <row r="1142" spans="1:7" x14ac:dyDescent="0.25">
      <c r="A1142" t="s">
        <v>1144</v>
      </c>
      <c r="B1142" t="s">
        <v>2281</v>
      </c>
      <c r="C1142">
        <v>2012</v>
      </c>
      <c r="E1142" t="s">
        <v>3210</v>
      </c>
      <c r="F1142" t="s">
        <v>8756</v>
      </c>
      <c r="G1142" t="s">
        <v>3990</v>
      </c>
    </row>
    <row r="1143" spans="1:7" x14ac:dyDescent="0.25">
      <c r="A1143" t="s">
        <v>2065</v>
      </c>
      <c r="B1143" t="s">
        <v>2281</v>
      </c>
      <c r="C1143">
        <v>2023</v>
      </c>
      <c r="E1143" t="s">
        <v>3210</v>
      </c>
      <c r="F1143" t="s">
        <v>8985</v>
      </c>
      <c r="G1143" t="s">
        <v>3990</v>
      </c>
    </row>
    <row r="1144" spans="1:7" x14ac:dyDescent="0.25">
      <c r="A1144" t="s">
        <v>2132</v>
      </c>
      <c r="B1144" t="s">
        <v>2281</v>
      </c>
      <c r="C1144">
        <v>2013</v>
      </c>
      <c r="E1144" t="s">
        <v>3210</v>
      </c>
      <c r="F1144" t="s">
        <v>8996</v>
      </c>
      <c r="G1144" t="s">
        <v>3990</v>
      </c>
    </row>
    <row r="1145" spans="1:7" x14ac:dyDescent="0.25">
      <c r="A1145" t="s">
        <v>497</v>
      </c>
      <c r="B1145" t="s">
        <v>2283</v>
      </c>
      <c r="C1145">
        <v>2022</v>
      </c>
      <c r="E1145" t="s">
        <v>3070</v>
      </c>
      <c r="F1145" t="s">
        <v>8551</v>
      </c>
      <c r="G1145" t="s">
        <v>3990</v>
      </c>
    </row>
    <row r="1146" spans="1:7" x14ac:dyDescent="0.25">
      <c r="A1146" t="s">
        <v>2136</v>
      </c>
      <c r="B1146" t="s">
        <v>2283</v>
      </c>
      <c r="C1146">
        <v>2020</v>
      </c>
      <c r="E1146" t="s">
        <v>3070</v>
      </c>
      <c r="F1146" t="s">
        <v>9006</v>
      </c>
      <c r="G1146" t="s">
        <v>3990</v>
      </c>
    </row>
    <row r="1147" spans="1:7" x14ac:dyDescent="0.25">
      <c r="A1147" t="s">
        <v>1302</v>
      </c>
      <c r="B1147" t="s">
        <v>7923</v>
      </c>
      <c r="C1147">
        <v>2023</v>
      </c>
      <c r="E1147" s="10" t="s">
        <v>7921</v>
      </c>
      <c r="F1147" t="s">
        <v>8818</v>
      </c>
      <c r="G1147" t="s">
        <v>3990</v>
      </c>
    </row>
    <row r="1148" spans="1:7" x14ac:dyDescent="0.25">
      <c r="A1148" t="s">
        <v>1970</v>
      </c>
      <c r="B1148" t="s">
        <v>2286</v>
      </c>
      <c r="C1148">
        <v>2012</v>
      </c>
      <c r="D1148" t="s">
        <v>187</v>
      </c>
      <c r="F1148" t="s">
        <v>9710</v>
      </c>
      <c r="G1148" t="s">
        <v>3990</v>
      </c>
    </row>
    <row r="1149" spans="1:7" x14ac:dyDescent="0.25">
      <c r="A1149" t="s">
        <v>1294</v>
      </c>
      <c r="B1149" t="s">
        <v>2288</v>
      </c>
      <c r="C1149">
        <v>2019</v>
      </c>
      <c r="E1149" t="s">
        <v>2982</v>
      </c>
      <c r="F1149" t="s">
        <v>8805</v>
      </c>
      <c r="G1149" t="s">
        <v>3990</v>
      </c>
    </row>
    <row r="1150" spans="1:7" x14ac:dyDescent="0.25">
      <c r="A1150" t="s">
        <v>1690</v>
      </c>
      <c r="B1150" t="s">
        <v>2288</v>
      </c>
      <c r="C1150">
        <v>2020</v>
      </c>
      <c r="E1150" t="s">
        <v>2982</v>
      </c>
      <c r="F1150" t="s">
        <v>8901</v>
      </c>
      <c r="G1150" t="s">
        <v>3990</v>
      </c>
    </row>
    <row r="1151" spans="1:7" x14ac:dyDescent="0.25">
      <c r="A1151" t="s">
        <v>160</v>
      </c>
      <c r="B1151" t="s">
        <v>2288</v>
      </c>
      <c r="C1151">
        <v>2011</v>
      </c>
      <c r="E1151" t="s">
        <v>2982</v>
      </c>
      <c r="F1151" t="s">
        <v>9286</v>
      </c>
      <c r="G1151" t="s">
        <v>3990</v>
      </c>
    </row>
    <row r="1152" spans="1:7" x14ac:dyDescent="0.25">
      <c r="A1152" t="s">
        <v>2295</v>
      </c>
      <c r="B1152" t="s">
        <v>2292</v>
      </c>
      <c r="C1152">
        <v>2000</v>
      </c>
      <c r="D1152" t="s">
        <v>187</v>
      </c>
      <c r="F1152" t="s">
        <v>9711</v>
      </c>
      <c r="G1152" t="s">
        <v>3990</v>
      </c>
    </row>
    <row r="1153" spans="1:7" x14ac:dyDescent="0.25">
      <c r="A1153" t="s">
        <v>1761</v>
      </c>
      <c r="B1153" t="s">
        <v>2295</v>
      </c>
      <c r="C1153">
        <v>1995</v>
      </c>
      <c r="D1153" t="s">
        <v>187</v>
      </c>
      <c r="F1153" t="s">
        <v>9712</v>
      </c>
      <c r="G1153" t="s">
        <v>3990</v>
      </c>
    </row>
    <row r="1154" spans="1:7" x14ac:dyDescent="0.25">
      <c r="A1154" t="s">
        <v>2292</v>
      </c>
      <c r="B1154" t="s">
        <v>2298</v>
      </c>
      <c r="C1154">
        <v>2008</v>
      </c>
      <c r="D1154" t="s">
        <v>187</v>
      </c>
      <c r="F1154" t="s">
        <v>9713</v>
      </c>
      <c r="G1154" t="s">
        <v>3990</v>
      </c>
    </row>
    <row r="1155" spans="1:7" x14ac:dyDescent="0.25">
      <c r="A1155" t="s">
        <v>2295</v>
      </c>
      <c r="B1155" t="s">
        <v>2301</v>
      </c>
      <c r="C1155">
        <v>2000</v>
      </c>
      <c r="D1155" t="s">
        <v>187</v>
      </c>
      <c r="F1155" t="s">
        <v>9714</v>
      </c>
      <c r="G1155" t="s">
        <v>3990</v>
      </c>
    </row>
    <row r="1156" spans="1:7" x14ac:dyDescent="0.25">
      <c r="A1156" t="s">
        <v>1761</v>
      </c>
      <c r="B1156" t="s">
        <v>2304</v>
      </c>
      <c r="C1156">
        <v>1995</v>
      </c>
      <c r="D1156" t="s">
        <v>187</v>
      </c>
      <c r="F1156" t="s">
        <v>9715</v>
      </c>
      <c r="G1156" t="s">
        <v>3990</v>
      </c>
    </row>
    <row r="1157" spans="1:7" x14ac:dyDescent="0.25">
      <c r="A1157" t="s">
        <v>2304</v>
      </c>
      <c r="B1157" t="s">
        <v>2307</v>
      </c>
      <c r="C1157">
        <v>1996</v>
      </c>
      <c r="D1157" t="s">
        <v>187</v>
      </c>
      <c r="F1157" t="s">
        <v>9716</v>
      </c>
      <c r="G1157" t="s">
        <v>3990</v>
      </c>
    </row>
    <row r="1158" spans="1:7" x14ac:dyDescent="0.25">
      <c r="A1158" t="s">
        <v>2314</v>
      </c>
      <c r="B1158" t="s">
        <v>2310</v>
      </c>
      <c r="C1158">
        <v>2010</v>
      </c>
      <c r="D1158" t="s">
        <v>187</v>
      </c>
      <c r="F1158" t="s">
        <v>9717</v>
      </c>
      <c r="G1158" t="s">
        <v>3990</v>
      </c>
    </row>
    <row r="1159" spans="1:7" x14ac:dyDescent="0.25">
      <c r="A1159" t="s">
        <v>2298</v>
      </c>
      <c r="B1159" t="s">
        <v>2314</v>
      </c>
      <c r="C1159">
        <v>2010</v>
      </c>
      <c r="D1159" t="s">
        <v>187</v>
      </c>
      <c r="F1159" t="s">
        <v>9718</v>
      </c>
      <c r="G1159" t="s">
        <v>3990</v>
      </c>
    </row>
    <row r="1160" spans="1:7" x14ac:dyDescent="0.25">
      <c r="A1160" t="s">
        <v>689</v>
      </c>
      <c r="B1160" t="s">
        <v>2318</v>
      </c>
      <c r="C1160">
        <v>2015</v>
      </c>
      <c r="E1160" t="s">
        <v>3088</v>
      </c>
      <c r="F1160" t="s">
        <v>8574</v>
      </c>
      <c r="G1160" t="s">
        <v>3990</v>
      </c>
    </row>
    <row r="1161" spans="1:7" x14ac:dyDescent="0.25">
      <c r="A1161" t="s">
        <v>746</v>
      </c>
      <c r="B1161" t="s">
        <v>2318</v>
      </c>
      <c r="C1161">
        <v>2015</v>
      </c>
      <c r="E1161" t="s">
        <v>3088</v>
      </c>
      <c r="F1161" t="s">
        <v>8599</v>
      </c>
      <c r="G1161" t="s">
        <v>3990</v>
      </c>
    </row>
    <row r="1162" spans="1:7" x14ac:dyDescent="0.25">
      <c r="A1162" t="s">
        <v>1443</v>
      </c>
      <c r="B1162" t="s">
        <v>2318</v>
      </c>
      <c r="C1162">
        <v>2018</v>
      </c>
      <c r="E1162" t="s">
        <v>3088</v>
      </c>
      <c r="F1162" t="s">
        <v>8853</v>
      </c>
      <c r="G1162" t="s">
        <v>3990</v>
      </c>
    </row>
    <row r="1163" spans="1:7" x14ac:dyDescent="0.25">
      <c r="A1163" t="s">
        <v>90</v>
      </c>
      <c r="B1163" t="s">
        <v>2318</v>
      </c>
      <c r="C1163">
        <v>2017</v>
      </c>
      <c r="E1163" t="s">
        <v>3088</v>
      </c>
      <c r="F1163" t="s">
        <v>9145</v>
      </c>
      <c r="G1163" t="s">
        <v>3990</v>
      </c>
    </row>
    <row r="1164" spans="1:7" x14ac:dyDescent="0.25">
      <c r="A1164" t="s">
        <v>930</v>
      </c>
      <c r="B1164" t="s">
        <v>2328</v>
      </c>
      <c r="C1164">
        <v>2015</v>
      </c>
      <c r="E1164" s="10" t="s">
        <v>3158</v>
      </c>
      <c r="F1164" t="s">
        <v>14045</v>
      </c>
      <c r="G1164" t="s">
        <v>3990</v>
      </c>
    </row>
    <row r="1165" spans="1:7" x14ac:dyDescent="0.25">
      <c r="A1165" t="s">
        <v>2428</v>
      </c>
      <c r="B1165" t="s">
        <v>2328</v>
      </c>
      <c r="C1165">
        <v>2008</v>
      </c>
      <c r="E1165" s="10" t="s">
        <v>3158</v>
      </c>
      <c r="F1165" t="s">
        <v>14045</v>
      </c>
      <c r="G1165" t="s">
        <v>3990</v>
      </c>
    </row>
    <row r="1166" spans="1:7" x14ac:dyDescent="0.25">
      <c r="A1166" t="s">
        <v>1435</v>
      </c>
      <c r="B1166" t="s">
        <v>7930</v>
      </c>
      <c r="C1166">
        <v>2021</v>
      </c>
      <c r="E1166" s="10" t="s">
        <v>7929</v>
      </c>
      <c r="F1166" t="s">
        <v>10025</v>
      </c>
      <c r="G1166" t="s">
        <v>187</v>
      </c>
    </row>
    <row r="1167" spans="1:7" x14ac:dyDescent="0.25">
      <c r="A1167" t="s">
        <v>90</v>
      </c>
      <c r="B1167" t="s">
        <v>7930</v>
      </c>
      <c r="C1167">
        <v>2017</v>
      </c>
      <c r="E1167" s="10" t="s">
        <v>7929</v>
      </c>
      <c r="F1167" t="s">
        <v>10025</v>
      </c>
      <c r="G1167" t="s">
        <v>187</v>
      </c>
    </row>
    <row r="1168" spans="1:7" x14ac:dyDescent="0.25">
      <c r="A1168" t="s">
        <v>260</v>
      </c>
      <c r="B1168" t="s">
        <v>2330</v>
      </c>
      <c r="C1168">
        <v>1990</v>
      </c>
      <c r="E1168" t="s">
        <v>3003</v>
      </c>
      <c r="F1168" t="s">
        <v>8466</v>
      </c>
      <c r="G1168" t="s">
        <v>3990</v>
      </c>
    </row>
    <row r="1169" spans="1:7" x14ac:dyDescent="0.25">
      <c r="A1169" t="s">
        <v>2695</v>
      </c>
      <c r="B1169" t="s">
        <v>2332</v>
      </c>
      <c r="C1169">
        <v>2025</v>
      </c>
      <c r="D1169" t="s">
        <v>187</v>
      </c>
      <c r="F1169" t="s">
        <v>9719</v>
      </c>
      <c r="G1169" t="s">
        <v>3990</v>
      </c>
    </row>
    <row r="1170" spans="1:7" x14ac:dyDescent="0.25">
      <c r="A1170" t="s">
        <v>8379</v>
      </c>
      <c r="B1170" t="s">
        <v>2339</v>
      </c>
      <c r="C1170">
        <v>2021</v>
      </c>
      <c r="E1170" t="s">
        <v>2982</v>
      </c>
      <c r="F1170" t="s">
        <v>8637</v>
      </c>
      <c r="G1170" t="s">
        <v>3990</v>
      </c>
    </row>
    <row r="1171" spans="1:7" x14ac:dyDescent="0.25">
      <c r="A1171" t="s">
        <v>2365</v>
      </c>
      <c r="B1171" t="s">
        <v>2339</v>
      </c>
      <c r="C1171">
        <v>2023</v>
      </c>
      <c r="E1171" t="s">
        <v>2982</v>
      </c>
      <c r="F1171" t="s">
        <v>9176</v>
      </c>
      <c r="G1171" t="s">
        <v>3990</v>
      </c>
    </row>
    <row r="1172" spans="1:7" x14ac:dyDescent="0.25">
      <c r="A1172" t="s">
        <v>2828</v>
      </c>
      <c r="B1172" t="s">
        <v>2339</v>
      </c>
      <c r="C1172">
        <v>2022</v>
      </c>
      <c r="D1172" t="s">
        <v>187</v>
      </c>
      <c r="F1172" t="s">
        <v>9720</v>
      </c>
      <c r="G1172" t="s">
        <v>3990</v>
      </c>
    </row>
    <row r="1173" spans="1:7" x14ac:dyDescent="0.25">
      <c r="A1173" t="s">
        <v>2428</v>
      </c>
      <c r="B1173" t="s">
        <v>2341</v>
      </c>
      <c r="C1173">
        <v>2008</v>
      </c>
      <c r="E1173" t="s">
        <v>2982</v>
      </c>
      <c r="F1173" t="s">
        <v>9211</v>
      </c>
      <c r="G1173" t="s">
        <v>3990</v>
      </c>
    </row>
    <row r="1174" spans="1:7" x14ac:dyDescent="0.25">
      <c r="A1174" t="s">
        <v>353</v>
      </c>
      <c r="B1174" t="s">
        <v>2344</v>
      </c>
      <c r="C1174">
        <v>2023</v>
      </c>
      <c r="E1174" t="s">
        <v>3045</v>
      </c>
      <c r="F1174" t="s">
        <v>9721</v>
      </c>
      <c r="G1174" t="s">
        <v>187</v>
      </c>
    </row>
    <row r="1175" spans="1:7" x14ac:dyDescent="0.25">
      <c r="A1175" t="s">
        <v>1795</v>
      </c>
      <c r="B1175" t="s">
        <v>2348</v>
      </c>
      <c r="C1175">
        <v>1987</v>
      </c>
      <c r="E1175" t="s">
        <v>3284</v>
      </c>
      <c r="F1175" t="s">
        <v>8936</v>
      </c>
      <c r="G1175" t="s">
        <v>3990</v>
      </c>
    </row>
    <row r="1176" spans="1:7" x14ac:dyDescent="0.25">
      <c r="A1176" t="s">
        <v>746</v>
      </c>
      <c r="B1176" t="s">
        <v>90</v>
      </c>
      <c r="C1176">
        <v>2015</v>
      </c>
      <c r="E1176" t="s">
        <v>3107</v>
      </c>
      <c r="F1176" t="s">
        <v>8600</v>
      </c>
      <c r="G1176" t="s">
        <v>3990</v>
      </c>
    </row>
    <row r="1177" spans="1:7" x14ac:dyDescent="0.25">
      <c r="A1177" t="s">
        <v>946</v>
      </c>
      <c r="B1177" t="s">
        <v>90</v>
      </c>
      <c r="C1177">
        <v>2014</v>
      </c>
      <c r="E1177" t="s">
        <v>3163</v>
      </c>
      <c r="F1177" t="s">
        <v>9722</v>
      </c>
      <c r="G1177" t="s">
        <v>187</v>
      </c>
    </row>
    <row r="1178" spans="1:7" x14ac:dyDescent="0.25">
      <c r="A1178" t="s">
        <v>1144</v>
      </c>
      <c r="B1178" t="s">
        <v>90</v>
      </c>
      <c r="C1178">
        <v>2012</v>
      </c>
      <c r="E1178" t="s">
        <v>3211</v>
      </c>
      <c r="F1178" t="s">
        <v>8757</v>
      </c>
      <c r="G1178" t="s">
        <v>3990</v>
      </c>
    </row>
    <row r="1179" spans="1:7" x14ac:dyDescent="0.25">
      <c r="A1179" t="s">
        <v>160</v>
      </c>
      <c r="B1179" t="s">
        <v>90</v>
      </c>
      <c r="C1179">
        <v>2011</v>
      </c>
      <c r="E1179" t="s">
        <v>3163</v>
      </c>
      <c r="F1179" t="s">
        <v>9723</v>
      </c>
      <c r="G1179" t="s">
        <v>187</v>
      </c>
    </row>
    <row r="1180" spans="1:7" x14ac:dyDescent="0.25">
      <c r="A1180" t="s">
        <v>90</v>
      </c>
      <c r="B1180" t="s">
        <v>38</v>
      </c>
      <c r="C1180">
        <v>2017</v>
      </c>
      <c r="D1180" t="s">
        <v>187</v>
      </c>
      <c r="F1180" t="s">
        <v>9724</v>
      </c>
      <c r="G1180" t="s">
        <v>3990</v>
      </c>
    </row>
    <row r="1181" spans="1:7" x14ac:dyDescent="0.25">
      <c r="A1181" t="s">
        <v>1144</v>
      </c>
      <c r="B1181" t="s">
        <v>2361</v>
      </c>
      <c r="C1181">
        <v>2012</v>
      </c>
      <c r="E1181" t="s">
        <v>2982</v>
      </c>
      <c r="F1181" t="s">
        <v>8758</v>
      </c>
      <c r="G1181" t="s">
        <v>3990</v>
      </c>
    </row>
    <row r="1182" spans="1:7" x14ac:dyDescent="0.25">
      <c r="A1182" t="s">
        <v>90</v>
      </c>
      <c r="B1182" t="s">
        <v>2361</v>
      </c>
      <c r="C1182">
        <v>2017</v>
      </c>
      <c r="E1182" t="s">
        <v>2982</v>
      </c>
      <c r="F1182" t="s">
        <v>9146</v>
      </c>
      <c r="G1182" t="s">
        <v>3990</v>
      </c>
    </row>
    <row r="1183" spans="1:7" x14ac:dyDescent="0.25">
      <c r="A1183" t="s">
        <v>2365</v>
      </c>
      <c r="B1183" t="s">
        <v>8366</v>
      </c>
      <c r="C1183">
        <v>2023</v>
      </c>
      <c r="D1183" t="s">
        <v>187</v>
      </c>
      <c r="F1183" t="s">
        <v>9725</v>
      </c>
      <c r="G1183" t="s">
        <v>3990</v>
      </c>
    </row>
    <row r="1184" spans="1:7" x14ac:dyDescent="0.25">
      <c r="A1184" t="s">
        <v>185</v>
      </c>
      <c r="B1184" t="s">
        <v>2365</v>
      </c>
      <c r="C1184">
        <v>2022</v>
      </c>
      <c r="E1184" s="10" t="s">
        <v>2368</v>
      </c>
      <c r="F1184" t="s">
        <v>8446</v>
      </c>
      <c r="G1184" t="s">
        <v>3990</v>
      </c>
    </row>
    <row r="1185" spans="1:7" x14ac:dyDescent="0.25">
      <c r="A1185" t="s">
        <v>497</v>
      </c>
      <c r="B1185" t="s">
        <v>2365</v>
      </c>
      <c r="C1185">
        <v>2022</v>
      </c>
      <c r="E1185" s="10" t="s">
        <v>2368</v>
      </c>
      <c r="F1185" t="s">
        <v>8552</v>
      </c>
      <c r="G1185" t="s">
        <v>3990</v>
      </c>
    </row>
    <row r="1186" spans="1:7" x14ac:dyDescent="0.25">
      <c r="A1186" t="s">
        <v>8379</v>
      </c>
      <c r="B1186" t="s">
        <v>2365</v>
      </c>
      <c r="C1186">
        <v>2021</v>
      </c>
      <c r="D1186" t="s">
        <v>187</v>
      </c>
      <c r="F1186" t="s">
        <v>9726</v>
      </c>
      <c r="G1186" t="s">
        <v>3990</v>
      </c>
    </row>
    <row r="1187" spans="1:7" x14ac:dyDescent="0.25">
      <c r="A1187" t="s">
        <v>924</v>
      </c>
      <c r="B1187" t="s">
        <v>2365</v>
      </c>
      <c r="C1187">
        <v>2019</v>
      </c>
      <c r="E1187" s="10" t="s">
        <v>2368</v>
      </c>
      <c r="F1187" t="s">
        <v>9727</v>
      </c>
      <c r="G1187" t="s">
        <v>187</v>
      </c>
    </row>
    <row r="1188" spans="1:7" x14ac:dyDescent="0.25">
      <c r="A1188" t="s">
        <v>1302</v>
      </c>
      <c r="B1188" t="s">
        <v>2365</v>
      </c>
      <c r="C1188">
        <v>2023</v>
      </c>
      <c r="E1188" s="10" t="s">
        <v>2368</v>
      </c>
      <c r="F1188" t="s">
        <v>8819</v>
      </c>
      <c r="G1188" t="s">
        <v>3990</v>
      </c>
    </row>
    <row r="1189" spans="1:7" x14ac:dyDescent="0.25">
      <c r="A1189" t="s">
        <v>2397</v>
      </c>
      <c r="B1189" t="s">
        <v>2365</v>
      </c>
      <c r="C1189">
        <v>2022</v>
      </c>
      <c r="E1189" s="10" t="s">
        <v>2368</v>
      </c>
      <c r="F1189" t="s">
        <v>9182</v>
      </c>
      <c r="G1189" t="s">
        <v>3990</v>
      </c>
    </row>
    <row r="1190" spans="1:7" x14ac:dyDescent="0.25">
      <c r="A1190" t="s">
        <v>2804</v>
      </c>
      <c r="B1190" t="s">
        <v>2365</v>
      </c>
      <c r="C1190">
        <v>2021</v>
      </c>
      <c r="E1190" s="10" t="s">
        <v>8365</v>
      </c>
      <c r="F1190" t="s">
        <v>9339</v>
      </c>
      <c r="G1190" t="s">
        <v>3990</v>
      </c>
    </row>
    <row r="1191" spans="1:7" x14ac:dyDescent="0.25">
      <c r="A1191" t="s">
        <v>1565</v>
      </c>
      <c r="B1191" t="s">
        <v>2369</v>
      </c>
      <c r="C1191">
        <v>2023</v>
      </c>
      <c r="E1191" t="s">
        <v>3257</v>
      </c>
      <c r="F1191" t="s">
        <v>8865</v>
      </c>
      <c r="G1191" t="s">
        <v>3990</v>
      </c>
    </row>
    <row r="1192" spans="1:7" x14ac:dyDescent="0.25">
      <c r="A1192" t="s">
        <v>1576</v>
      </c>
      <c r="B1192" t="s">
        <v>2369</v>
      </c>
      <c r="C1192">
        <v>2021</v>
      </c>
      <c r="E1192" t="s">
        <v>3257</v>
      </c>
      <c r="F1192" t="s">
        <v>8884</v>
      </c>
      <c r="G1192" t="s">
        <v>3990</v>
      </c>
    </row>
    <row r="1193" spans="1:7" x14ac:dyDescent="0.25">
      <c r="A1193" t="s">
        <v>1761</v>
      </c>
      <c r="B1193" t="s">
        <v>2369</v>
      </c>
      <c r="C1193">
        <v>1995</v>
      </c>
      <c r="E1193" t="s">
        <v>3257</v>
      </c>
      <c r="F1193" t="s">
        <v>8914</v>
      </c>
      <c r="G1193" t="s">
        <v>3990</v>
      </c>
    </row>
    <row r="1194" spans="1:7" x14ac:dyDescent="0.25">
      <c r="A1194" t="s">
        <v>90</v>
      </c>
      <c r="B1194" t="s">
        <v>2369</v>
      </c>
      <c r="C1194">
        <v>2017</v>
      </c>
      <c r="E1194" t="s">
        <v>3257</v>
      </c>
      <c r="F1194" t="s">
        <v>9147</v>
      </c>
      <c r="G1194" t="s">
        <v>3990</v>
      </c>
    </row>
    <row r="1195" spans="1:7" x14ac:dyDescent="0.25">
      <c r="A1195" t="s">
        <v>353</v>
      </c>
      <c r="B1195" t="s">
        <v>2371</v>
      </c>
      <c r="C1195">
        <v>2023</v>
      </c>
      <c r="E1195" t="s">
        <v>3046</v>
      </c>
      <c r="F1195" t="s">
        <v>8520</v>
      </c>
      <c r="G1195" t="s">
        <v>3990</v>
      </c>
    </row>
    <row r="1196" spans="1:7" x14ac:dyDescent="0.25">
      <c r="A1196" t="s">
        <v>90</v>
      </c>
      <c r="B1196" t="s">
        <v>2371</v>
      </c>
      <c r="C1196">
        <v>2017</v>
      </c>
      <c r="E1196" t="s">
        <v>3046</v>
      </c>
      <c r="F1196" t="s">
        <v>9148</v>
      </c>
      <c r="G1196" t="s">
        <v>3990</v>
      </c>
    </row>
    <row r="1197" spans="1:7" x14ac:dyDescent="0.25">
      <c r="A1197" t="s">
        <v>353</v>
      </c>
      <c r="B1197" t="s">
        <v>2381</v>
      </c>
      <c r="C1197">
        <v>2023</v>
      </c>
      <c r="E1197" t="s">
        <v>3047</v>
      </c>
      <c r="F1197" t="s">
        <v>8521</v>
      </c>
      <c r="G1197" t="s">
        <v>3990</v>
      </c>
    </row>
    <row r="1198" spans="1:7" x14ac:dyDescent="0.25">
      <c r="A1198" t="s">
        <v>778</v>
      </c>
      <c r="B1198" t="s">
        <v>2381</v>
      </c>
      <c r="C1198">
        <v>2023</v>
      </c>
      <c r="E1198" t="s">
        <v>3047</v>
      </c>
      <c r="F1198" t="s">
        <v>8628</v>
      </c>
      <c r="G1198" t="s">
        <v>3990</v>
      </c>
    </row>
    <row r="1199" spans="1:7" x14ac:dyDescent="0.25">
      <c r="A1199" t="s">
        <v>2804</v>
      </c>
      <c r="B1199" t="s">
        <v>2381</v>
      </c>
      <c r="C1199">
        <v>2021</v>
      </c>
      <c r="E1199" t="s">
        <v>2982</v>
      </c>
      <c r="F1199" t="s">
        <v>9340</v>
      </c>
      <c r="G1199" t="s">
        <v>3990</v>
      </c>
    </row>
    <row r="1200" spans="1:7" x14ac:dyDescent="0.25">
      <c r="A1200" t="s">
        <v>353</v>
      </c>
      <c r="B1200" t="s">
        <v>2385</v>
      </c>
      <c r="C1200">
        <v>2023</v>
      </c>
      <c r="E1200" t="s">
        <v>3048</v>
      </c>
      <c r="F1200" t="s">
        <v>9728</v>
      </c>
      <c r="G1200" t="s">
        <v>187</v>
      </c>
    </row>
    <row r="1201" spans="1:7" x14ac:dyDescent="0.25">
      <c r="A1201" t="s">
        <v>873</v>
      </c>
      <c r="B1201" t="s">
        <v>2385</v>
      </c>
      <c r="C1201">
        <v>2019</v>
      </c>
      <c r="E1201" s="10" t="s">
        <v>8397</v>
      </c>
      <c r="F1201" t="s">
        <v>9729</v>
      </c>
      <c r="G1201" t="s">
        <v>187</v>
      </c>
    </row>
    <row r="1202" spans="1:7" x14ac:dyDescent="0.25">
      <c r="A1202" t="s">
        <v>1435</v>
      </c>
      <c r="B1202" t="s">
        <v>2385</v>
      </c>
      <c r="C1202">
        <v>2021</v>
      </c>
      <c r="E1202" s="10" t="s">
        <v>8397</v>
      </c>
      <c r="F1202" t="s">
        <v>8836</v>
      </c>
      <c r="G1202" t="s">
        <v>3990</v>
      </c>
    </row>
    <row r="1203" spans="1:7" x14ac:dyDescent="0.25">
      <c r="A1203" t="s">
        <v>1144</v>
      </c>
      <c r="B1203" t="s">
        <v>2389</v>
      </c>
      <c r="C1203">
        <v>2012</v>
      </c>
      <c r="E1203" t="s">
        <v>3212</v>
      </c>
      <c r="F1203" t="s">
        <v>9730</v>
      </c>
      <c r="G1203" t="s">
        <v>187</v>
      </c>
    </row>
    <row r="1204" spans="1:7" x14ac:dyDescent="0.25">
      <c r="A1204" t="s">
        <v>256</v>
      </c>
      <c r="B1204" t="s">
        <v>2393</v>
      </c>
      <c r="C1204">
        <v>1994</v>
      </c>
      <c r="E1204" t="s">
        <v>2997</v>
      </c>
      <c r="F1204" t="s">
        <v>8459</v>
      </c>
      <c r="G1204" t="s">
        <v>3990</v>
      </c>
    </row>
    <row r="1205" spans="1:7" x14ac:dyDescent="0.25">
      <c r="A1205" t="s">
        <v>2792</v>
      </c>
      <c r="B1205" t="s">
        <v>2393</v>
      </c>
      <c r="C1205">
        <v>1992</v>
      </c>
      <c r="E1205" t="s">
        <v>2997</v>
      </c>
      <c r="F1205" t="s">
        <v>9313</v>
      </c>
      <c r="G1205" t="s">
        <v>3990</v>
      </c>
    </row>
    <row r="1206" spans="1:7" x14ac:dyDescent="0.25">
      <c r="A1206" t="s">
        <v>1004</v>
      </c>
      <c r="B1206" t="s">
        <v>2395</v>
      </c>
      <c r="C1206">
        <v>2006</v>
      </c>
      <c r="E1206" t="s">
        <v>3171</v>
      </c>
      <c r="F1206" t="s">
        <v>8700</v>
      </c>
      <c r="G1206" t="s">
        <v>3990</v>
      </c>
    </row>
    <row r="1207" spans="1:7" x14ac:dyDescent="0.25">
      <c r="A1207" t="s">
        <v>2393</v>
      </c>
      <c r="B1207" t="s">
        <v>2395</v>
      </c>
      <c r="C1207">
        <v>2022</v>
      </c>
      <c r="D1207" t="s">
        <v>187</v>
      </c>
      <c r="F1207" t="s">
        <v>9731</v>
      </c>
      <c r="G1207" t="s">
        <v>3990</v>
      </c>
    </row>
    <row r="1208" spans="1:7" x14ac:dyDescent="0.25">
      <c r="A1208" t="s">
        <v>1294</v>
      </c>
      <c r="B1208" t="s">
        <v>2397</v>
      </c>
      <c r="C1208">
        <v>2019</v>
      </c>
      <c r="E1208" t="s">
        <v>3233</v>
      </c>
      <c r="F1208" t="s">
        <v>8806</v>
      </c>
      <c r="G1208" t="s">
        <v>3990</v>
      </c>
    </row>
    <row r="1209" spans="1:7" x14ac:dyDescent="0.25">
      <c r="A1209" t="s">
        <v>2136</v>
      </c>
      <c r="B1209" t="s">
        <v>2397</v>
      </c>
      <c r="C1209">
        <v>2020</v>
      </c>
      <c r="E1209" s="10" t="s">
        <v>8371</v>
      </c>
      <c r="F1209" t="s">
        <v>9007</v>
      </c>
      <c r="G1209" t="s">
        <v>3990</v>
      </c>
    </row>
    <row r="1210" spans="1:7" x14ac:dyDescent="0.25">
      <c r="A1210" t="s">
        <v>2804</v>
      </c>
      <c r="B1210" t="s">
        <v>2397</v>
      </c>
      <c r="C1210">
        <v>2021</v>
      </c>
      <c r="E1210" t="s">
        <v>3233</v>
      </c>
      <c r="F1210" t="s">
        <v>9341</v>
      </c>
      <c r="G1210" t="s">
        <v>3990</v>
      </c>
    </row>
    <row r="1211" spans="1:7" x14ac:dyDescent="0.25">
      <c r="A1211" t="s">
        <v>759</v>
      </c>
      <c r="B1211" t="s">
        <v>9887</v>
      </c>
      <c r="C1211">
        <v>2018</v>
      </c>
      <c r="E1211" s="10" t="s">
        <v>9886</v>
      </c>
      <c r="F1211" t="s">
        <v>9890</v>
      </c>
      <c r="G1211" t="s">
        <v>3990</v>
      </c>
    </row>
    <row r="1212" spans="1:7" x14ac:dyDescent="0.25">
      <c r="A1212" t="s">
        <v>759</v>
      </c>
      <c r="B1212" t="s">
        <v>2403</v>
      </c>
      <c r="C1212">
        <v>2018</v>
      </c>
      <c r="E1212" t="s">
        <v>3122</v>
      </c>
      <c r="F1212" t="s">
        <v>8620</v>
      </c>
      <c r="G1212" t="s">
        <v>3990</v>
      </c>
    </row>
    <row r="1213" spans="1:7" x14ac:dyDescent="0.25">
      <c r="A1213" t="s">
        <v>2173</v>
      </c>
      <c r="B1213" t="s">
        <v>2403</v>
      </c>
      <c r="C1213">
        <v>2013</v>
      </c>
      <c r="E1213" t="s">
        <v>3122</v>
      </c>
      <c r="F1213" t="s">
        <v>9046</v>
      </c>
      <c r="G1213" t="s">
        <v>3990</v>
      </c>
    </row>
    <row r="1214" spans="1:7" x14ac:dyDescent="0.25">
      <c r="A1214" t="s">
        <v>160</v>
      </c>
      <c r="B1214" t="s">
        <v>2403</v>
      </c>
      <c r="C1214">
        <v>2011</v>
      </c>
      <c r="E1214" t="s">
        <v>3122</v>
      </c>
      <c r="F1214" t="s">
        <v>9287</v>
      </c>
      <c r="G1214" t="s">
        <v>3990</v>
      </c>
    </row>
    <row r="1215" spans="1:7" x14ac:dyDescent="0.25">
      <c r="A1215" t="s">
        <v>490</v>
      </c>
      <c r="B1215" t="s">
        <v>2406</v>
      </c>
      <c r="C1215">
        <v>2009</v>
      </c>
      <c r="E1215" t="s">
        <v>3062</v>
      </c>
      <c r="F1215" t="s">
        <v>8538</v>
      </c>
      <c r="G1215" t="s">
        <v>3990</v>
      </c>
    </row>
    <row r="1216" spans="1:7" x14ac:dyDescent="0.25">
      <c r="A1216" t="s">
        <v>922</v>
      </c>
      <c r="B1216" t="s">
        <v>2406</v>
      </c>
      <c r="C1216">
        <v>2002</v>
      </c>
      <c r="E1216" t="s">
        <v>3062</v>
      </c>
      <c r="F1216" t="s">
        <v>8676</v>
      </c>
      <c r="G1216" t="s">
        <v>3990</v>
      </c>
    </row>
    <row r="1217" spans="1:7" x14ac:dyDescent="0.25">
      <c r="A1217" t="s">
        <v>746</v>
      </c>
      <c r="B1217" t="s">
        <v>8095</v>
      </c>
      <c r="C1217">
        <v>2015</v>
      </c>
      <c r="E1217" s="10" t="s">
        <v>8109</v>
      </c>
      <c r="F1217" t="s">
        <v>9732</v>
      </c>
      <c r="G1217" t="s">
        <v>187</v>
      </c>
    </row>
    <row r="1218" spans="1:7" x14ac:dyDescent="0.25">
      <c r="A1218" t="s">
        <v>914</v>
      </c>
      <c r="B1218" t="s">
        <v>8095</v>
      </c>
      <c r="C1218">
        <v>2013</v>
      </c>
      <c r="E1218" s="10" t="s">
        <v>8109</v>
      </c>
      <c r="F1218" t="s">
        <v>9733</v>
      </c>
      <c r="G1218" t="s">
        <v>187</v>
      </c>
    </row>
    <row r="1219" spans="1:7" x14ac:dyDescent="0.25">
      <c r="A1219" t="s">
        <v>1255</v>
      </c>
      <c r="B1219" t="s">
        <v>8095</v>
      </c>
      <c r="C1219">
        <v>2020</v>
      </c>
      <c r="E1219" s="10" t="s">
        <v>8109</v>
      </c>
      <c r="F1219" t="s">
        <v>9734</v>
      </c>
      <c r="G1219" t="s">
        <v>187</v>
      </c>
    </row>
    <row r="1220" spans="1:7" x14ac:dyDescent="0.25">
      <c r="A1220" t="s">
        <v>1294</v>
      </c>
      <c r="B1220" t="s">
        <v>8095</v>
      </c>
      <c r="C1220">
        <v>2019</v>
      </c>
      <c r="E1220" s="10" t="s">
        <v>8109</v>
      </c>
      <c r="F1220" t="s">
        <v>9735</v>
      </c>
      <c r="G1220" t="s">
        <v>187</v>
      </c>
    </row>
    <row r="1221" spans="1:7" x14ac:dyDescent="0.25">
      <c r="A1221" t="s">
        <v>1144</v>
      </c>
      <c r="B1221" t="s">
        <v>7838</v>
      </c>
      <c r="C1221">
        <v>2012</v>
      </c>
      <c r="E1221" t="s">
        <v>7837</v>
      </c>
      <c r="F1221" t="s">
        <v>8759</v>
      </c>
      <c r="G1221" t="s">
        <v>3990</v>
      </c>
    </row>
    <row r="1222" spans="1:7" x14ac:dyDescent="0.25">
      <c r="A1222" t="s">
        <v>2173</v>
      </c>
      <c r="B1222" t="s">
        <v>7838</v>
      </c>
      <c r="C1222">
        <v>2013</v>
      </c>
      <c r="E1222" t="s">
        <v>7840</v>
      </c>
      <c r="F1222" t="s">
        <v>9047</v>
      </c>
      <c r="G1222" t="s">
        <v>3990</v>
      </c>
    </row>
    <row r="1223" spans="1:7" x14ac:dyDescent="0.25">
      <c r="A1223" t="s">
        <v>160</v>
      </c>
      <c r="B1223" t="s">
        <v>7838</v>
      </c>
      <c r="C1223">
        <v>2011</v>
      </c>
      <c r="E1223" t="s">
        <v>7837</v>
      </c>
      <c r="F1223" t="s">
        <v>9288</v>
      </c>
      <c r="G1223" t="s">
        <v>3990</v>
      </c>
    </row>
    <row r="1224" spans="1:7" x14ac:dyDescent="0.25">
      <c r="A1224" t="s">
        <v>2804</v>
      </c>
      <c r="B1224" t="s">
        <v>2410</v>
      </c>
      <c r="C1224">
        <v>2021</v>
      </c>
      <c r="E1224" t="s">
        <v>3013</v>
      </c>
      <c r="F1224" t="s">
        <v>9736</v>
      </c>
      <c r="G1224" t="s">
        <v>187</v>
      </c>
    </row>
    <row r="1225" spans="1:7" x14ac:dyDescent="0.25">
      <c r="A1225" t="s">
        <v>1385</v>
      </c>
      <c r="B1225" t="s">
        <v>2414</v>
      </c>
      <c r="C1225">
        <v>2013</v>
      </c>
      <c r="E1225" s="10" t="s">
        <v>8390</v>
      </c>
      <c r="F1225" t="s">
        <v>9737</v>
      </c>
      <c r="G1225" t="s">
        <v>187</v>
      </c>
    </row>
    <row r="1226" spans="1:7" x14ac:dyDescent="0.25">
      <c r="A1226" t="s">
        <v>1443</v>
      </c>
      <c r="B1226" t="s">
        <v>2414</v>
      </c>
      <c r="C1226">
        <v>2018</v>
      </c>
      <c r="E1226" t="s">
        <v>3250</v>
      </c>
      <c r="F1226" t="s">
        <v>9738</v>
      </c>
      <c r="G1226" t="s">
        <v>187</v>
      </c>
    </row>
    <row r="1227" spans="1:7" x14ac:dyDescent="0.25">
      <c r="A1227" t="s">
        <v>1855</v>
      </c>
      <c r="B1227" t="s">
        <v>2414</v>
      </c>
      <c r="C1227">
        <v>2015</v>
      </c>
      <c r="E1227" s="10" t="s">
        <v>8390</v>
      </c>
      <c r="F1227" t="s">
        <v>8967</v>
      </c>
      <c r="G1227" t="s">
        <v>3990</v>
      </c>
    </row>
    <row r="1228" spans="1:7" x14ac:dyDescent="0.25">
      <c r="A1228" t="s">
        <v>873</v>
      </c>
      <c r="B1228" t="s">
        <v>2416</v>
      </c>
      <c r="C1228">
        <v>2019</v>
      </c>
      <c r="E1228" t="s">
        <v>2982</v>
      </c>
      <c r="F1228" t="s">
        <v>9739</v>
      </c>
      <c r="G1228" t="s">
        <v>187</v>
      </c>
    </row>
    <row r="1229" spans="1:7" x14ac:dyDescent="0.25">
      <c r="A1229" t="s">
        <v>90</v>
      </c>
      <c r="B1229" t="s">
        <v>2416</v>
      </c>
      <c r="C1229">
        <v>2017</v>
      </c>
      <c r="E1229" t="s">
        <v>2982</v>
      </c>
      <c r="F1229" t="s">
        <v>9740</v>
      </c>
      <c r="G1229" t="s">
        <v>187</v>
      </c>
    </row>
    <row r="1230" spans="1:7" x14ac:dyDescent="0.25">
      <c r="A1230" t="s">
        <v>2428</v>
      </c>
      <c r="B1230" t="s">
        <v>2420</v>
      </c>
      <c r="C1230">
        <v>2008</v>
      </c>
      <c r="D1230" t="s">
        <v>187</v>
      </c>
      <c r="F1230" t="s">
        <v>9741</v>
      </c>
      <c r="G1230" t="s">
        <v>3990</v>
      </c>
    </row>
    <row r="1231" spans="1:7" x14ac:dyDescent="0.25">
      <c r="A1231" t="s">
        <v>2420</v>
      </c>
      <c r="B1231" t="s">
        <v>2424</v>
      </c>
      <c r="C1231">
        <v>2012</v>
      </c>
      <c r="D1231" t="s">
        <v>187</v>
      </c>
      <c r="F1231" t="s">
        <v>9742</v>
      </c>
      <c r="G1231" t="s">
        <v>3990</v>
      </c>
    </row>
    <row r="1232" spans="1:7" x14ac:dyDescent="0.25">
      <c r="A1232" t="s">
        <v>1795</v>
      </c>
      <c r="B1232" t="s">
        <v>2428</v>
      </c>
      <c r="C1232">
        <v>1987</v>
      </c>
      <c r="E1232" t="s">
        <v>3285</v>
      </c>
      <c r="F1232" t="s">
        <v>8937</v>
      </c>
      <c r="G1232" t="s">
        <v>3990</v>
      </c>
    </row>
    <row r="1233" spans="1:7" x14ac:dyDescent="0.25">
      <c r="A1233" t="s">
        <v>346</v>
      </c>
      <c r="B1233" t="s">
        <v>2431</v>
      </c>
      <c r="C1233">
        <v>2022</v>
      </c>
      <c r="E1233" t="s">
        <v>2982</v>
      </c>
      <c r="F1233" t="s">
        <v>8485</v>
      </c>
      <c r="G1233" t="s">
        <v>3990</v>
      </c>
    </row>
    <row r="1234" spans="1:7" x14ac:dyDescent="0.25">
      <c r="A1234" t="s">
        <v>1576</v>
      </c>
      <c r="B1234" t="s">
        <v>2431</v>
      </c>
      <c r="C1234">
        <v>2021</v>
      </c>
      <c r="E1234" t="s">
        <v>2982</v>
      </c>
      <c r="F1234" t="s">
        <v>8885</v>
      </c>
      <c r="G1234" t="s">
        <v>3990</v>
      </c>
    </row>
    <row r="1235" spans="1:7" x14ac:dyDescent="0.25">
      <c r="A1235" t="s">
        <v>90</v>
      </c>
      <c r="B1235" t="s">
        <v>2431</v>
      </c>
      <c r="C1235">
        <v>2017</v>
      </c>
      <c r="E1235" t="s">
        <v>2982</v>
      </c>
      <c r="F1235" t="s">
        <v>9149</v>
      </c>
      <c r="G1235" t="s">
        <v>3990</v>
      </c>
    </row>
    <row r="1236" spans="1:7" x14ac:dyDescent="0.25">
      <c r="A1236" t="s">
        <v>1576</v>
      </c>
      <c r="B1236" t="s">
        <v>14109</v>
      </c>
      <c r="C1236">
        <v>2021</v>
      </c>
      <c r="E1236" s="10" t="s">
        <v>14108</v>
      </c>
      <c r="F1236" t="s">
        <v>14110</v>
      </c>
      <c r="G1236" t="s">
        <v>3990</v>
      </c>
    </row>
    <row r="1237" spans="1:7" x14ac:dyDescent="0.25">
      <c r="A1237" t="s">
        <v>2924</v>
      </c>
      <c r="B1237" t="s">
        <v>14109</v>
      </c>
      <c r="C1237">
        <v>2022</v>
      </c>
      <c r="D1237" t="s">
        <v>187</v>
      </c>
      <c r="F1237" t="s">
        <v>14122</v>
      </c>
      <c r="G1237" t="s">
        <v>3990</v>
      </c>
    </row>
    <row r="1238" spans="1:7" x14ac:dyDescent="0.25">
      <c r="A1238" t="s">
        <v>1592</v>
      </c>
      <c r="B1238" t="s">
        <v>2435</v>
      </c>
      <c r="C1238">
        <v>2019</v>
      </c>
      <c r="E1238" s="10" t="s">
        <v>8353</v>
      </c>
      <c r="F1238" t="s">
        <v>8889</v>
      </c>
      <c r="G1238" t="s">
        <v>3990</v>
      </c>
    </row>
    <row r="1239" spans="1:7" x14ac:dyDescent="0.25">
      <c r="A1239" t="s">
        <v>2804</v>
      </c>
      <c r="B1239" t="s">
        <v>2435</v>
      </c>
      <c r="C1239">
        <v>2021</v>
      </c>
      <c r="E1239" t="s">
        <v>3013</v>
      </c>
      <c r="F1239" t="s">
        <v>9743</v>
      </c>
      <c r="G1239" t="s">
        <v>187</v>
      </c>
    </row>
    <row r="1240" spans="1:7" x14ac:dyDescent="0.25">
      <c r="A1240" t="s">
        <v>1294</v>
      </c>
      <c r="B1240" t="s">
        <v>2439</v>
      </c>
      <c r="C1240">
        <v>2019</v>
      </c>
      <c r="E1240" t="s">
        <v>2982</v>
      </c>
      <c r="F1240" t="s">
        <v>8807</v>
      </c>
      <c r="G1240" t="s">
        <v>3990</v>
      </c>
    </row>
    <row r="1241" spans="1:7" x14ac:dyDescent="0.25">
      <c r="A1241" t="s">
        <v>90</v>
      </c>
      <c r="B1241" t="s">
        <v>2439</v>
      </c>
      <c r="C1241">
        <v>2017</v>
      </c>
      <c r="E1241" t="s">
        <v>2982</v>
      </c>
      <c r="F1241" t="s">
        <v>9150</v>
      </c>
      <c r="G1241" t="s">
        <v>3990</v>
      </c>
    </row>
    <row r="1242" spans="1:7" x14ac:dyDescent="0.25">
      <c r="A1242" t="s">
        <v>2428</v>
      </c>
      <c r="B1242" t="s">
        <v>2443</v>
      </c>
      <c r="C1242">
        <v>2008</v>
      </c>
      <c r="E1242" t="s">
        <v>2446</v>
      </c>
      <c r="F1242" t="s">
        <v>9212</v>
      </c>
      <c r="G1242" t="s">
        <v>3990</v>
      </c>
    </row>
    <row r="1243" spans="1:7" x14ac:dyDescent="0.25">
      <c r="A1243" t="s">
        <v>256</v>
      </c>
      <c r="B1243" t="s">
        <v>2447</v>
      </c>
      <c r="C1243">
        <v>1994</v>
      </c>
      <c r="E1243" t="s">
        <v>2998</v>
      </c>
      <c r="F1243" t="s">
        <v>8460</v>
      </c>
      <c r="G1243" t="s">
        <v>3990</v>
      </c>
    </row>
    <row r="1244" spans="1:7" x14ac:dyDescent="0.25">
      <c r="A1244" t="s">
        <v>553</v>
      </c>
      <c r="B1244" t="s">
        <v>2447</v>
      </c>
      <c r="C1244">
        <v>2010</v>
      </c>
      <c r="D1244" t="s">
        <v>187</v>
      </c>
      <c r="F1244" t="s">
        <v>9744</v>
      </c>
      <c r="G1244" t="s">
        <v>3990</v>
      </c>
    </row>
    <row r="1245" spans="1:7" x14ac:dyDescent="0.25">
      <c r="A1245" t="s">
        <v>353</v>
      </c>
      <c r="B1245" t="s">
        <v>2455</v>
      </c>
      <c r="C1245">
        <v>2023</v>
      </c>
      <c r="E1245" t="s">
        <v>3013</v>
      </c>
      <c r="F1245" t="s">
        <v>9745</v>
      </c>
      <c r="G1245" t="s">
        <v>187</v>
      </c>
    </row>
    <row r="1246" spans="1:7" x14ac:dyDescent="0.25">
      <c r="A1246" t="s">
        <v>2377</v>
      </c>
      <c r="B1246" t="s">
        <v>2455</v>
      </c>
      <c r="C1246">
        <v>2021</v>
      </c>
      <c r="E1246" t="s">
        <v>2982</v>
      </c>
      <c r="F1246" t="s">
        <v>9181</v>
      </c>
      <c r="G1246" t="s">
        <v>3990</v>
      </c>
    </row>
    <row r="1247" spans="1:7" x14ac:dyDescent="0.25">
      <c r="A1247" t="s">
        <v>160</v>
      </c>
      <c r="B1247" t="s">
        <v>2459</v>
      </c>
      <c r="C1247">
        <v>2011</v>
      </c>
      <c r="E1247" t="s">
        <v>3409</v>
      </c>
      <c r="F1247" t="s">
        <v>9289</v>
      </c>
      <c r="G1247" t="s">
        <v>3990</v>
      </c>
    </row>
    <row r="1248" spans="1:7" x14ac:dyDescent="0.25">
      <c r="A1248" t="s">
        <v>759</v>
      </c>
      <c r="B1248" t="s">
        <v>8318</v>
      </c>
      <c r="C1248">
        <v>2018</v>
      </c>
      <c r="E1248" s="10" t="s">
        <v>8328</v>
      </c>
      <c r="F1248" t="s">
        <v>10026</v>
      </c>
      <c r="G1248" t="s">
        <v>187</v>
      </c>
    </row>
    <row r="1249" spans="1:7" x14ac:dyDescent="0.25">
      <c r="A1249" t="s">
        <v>1443</v>
      </c>
      <c r="B1249" t="s">
        <v>8318</v>
      </c>
      <c r="C1249">
        <v>2018</v>
      </c>
      <c r="E1249" s="10" t="s">
        <v>8328</v>
      </c>
      <c r="F1249" t="s">
        <v>10026</v>
      </c>
      <c r="G1249" t="s">
        <v>187</v>
      </c>
    </row>
    <row r="1250" spans="1:7" x14ac:dyDescent="0.25">
      <c r="A1250" t="s">
        <v>90</v>
      </c>
      <c r="B1250" t="s">
        <v>8318</v>
      </c>
      <c r="C1250">
        <v>2017</v>
      </c>
      <c r="E1250" s="10" t="s">
        <v>8328</v>
      </c>
      <c r="F1250" t="s">
        <v>10026</v>
      </c>
      <c r="G1250" t="s">
        <v>187</v>
      </c>
    </row>
    <row r="1251" spans="1:7" x14ac:dyDescent="0.25">
      <c r="A1251" t="s">
        <v>185</v>
      </c>
      <c r="B1251" t="s">
        <v>2463</v>
      </c>
      <c r="C1251">
        <v>2022</v>
      </c>
      <c r="E1251" s="10" t="s">
        <v>2466</v>
      </c>
      <c r="F1251" t="s">
        <v>8447</v>
      </c>
      <c r="G1251" t="s">
        <v>3990</v>
      </c>
    </row>
    <row r="1252" spans="1:7" x14ac:dyDescent="0.25">
      <c r="A1252" t="s">
        <v>457</v>
      </c>
      <c r="B1252" t="s">
        <v>2463</v>
      </c>
      <c r="C1252">
        <v>2022</v>
      </c>
      <c r="E1252" s="10" t="s">
        <v>2466</v>
      </c>
      <c r="F1252" t="s">
        <v>8531</v>
      </c>
      <c r="G1252" t="s">
        <v>3990</v>
      </c>
    </row>
    <row r="1253" spans="1:7" x14ac:dyDescent="0.25">
      <c r="A1253" t="s">
        <v>497</v>
      </c>
      <c r="B1253" t="s">
        <v>2463</v>
      </c>
      <c r="C1253">
        <v>2022</v>
      </c>
      <c r="E1253" s="10" t="s">
        <v>2466</v>
      </c>
      <c r="F1253" t="s">
        <v>8553</v>
      </c>
      <c r="G1253" t="s">
        <v>3990</v>
      </c>
    </row>
    <row r="1254" spans="1:7" x14ac:dyDescent="0.25">
      <c r="A1254" t="s">
        <v>1843</v>
      </c>
      <c r="B1254" t="s">
        <v>2463</v>
      </c>
      <c r="C1254">
        <v>2019</v>
      </c>
      <c r="E1254" s="10" t="s">
        <v>2466</v>
      </c>
      <c r="F1254" t="s">
        <v>8947</v>
      </c>
      <c r="G1254" t="s">
        <v>3990</v>
      </c>
    </row>
    <row r="1255" spans="1:7" x14ac:dyDescent="0.25">
      <c r="A1255" t="s">
        <v>2192</v>
      </c>
      <c r="B1255" t="s">
        <v>2463</v>
      </c>
      <c r="C1255">
        <v>2022</v>
      </c>
      <c r="E1255" s="10" t="s">
        <v>2466</v>
      </c>
      <c r="F1255" t="s">
        <v>9052</v>
      </c>
      <c r="G1255" t="s">
        <v>3990</v>
      </c>
    </row>
    <row r="1256" spans="1:7" x14ac:dyDescent="0.25">
      <c r="A1256" t="s">
        <v>8361</v>
      </c>
      <c r="B1256" t="s">
        <v>2463</v>
      </c>
      <c r="C1256">
        <v>2022</v>
      </c>
      <c r="E1256" s="10" t="s">
        <v>2466</v>
      </c>
      <c r="F1256" t="s">
        <v>9055</v>
      </c>
      <c r="G1256" t="s">
        <v>3990</v>
      </c>
    </row>
    <row r="1257" spans="1:7" x14ac:dyDescent="0.25">
      <c r="A1257" t="s">
        <v>2397</v>
      </c>
      <c r="B1257" t="s">
        <v>2463</v>
      </c>
      <c r="C1257">
        <v>2022</v>
      </c>
      <c r="E1257" s="10" t="s">
        <v>2466</v>
      </c>
      <c r="F1257" t="s">
        <v>9183</v>
      </c>
      <c r="G1257" t="s">
        <v>3990</v>
      </c>
    </row>
    <row r="1258" spans="1:7" x14ac:dyDescent="0.25">
      <c r="A1258" t="s">
        <v>2410</v>
      </c>
      <c r="B1258" t="s">
        <v>2463</v>
      </c>
      <c r="C1258">
        <v>2022</v>
      </c>
      <c r="E1258" s="10" t="s">
        <v>2466</v>
      </c>
      <c r="F1258" t="s">
        <v>9184</v>
      </c>
      <c r="G1258" t="s">
        <v>3990</v>
      </c>
    </row>
    <row r="1259" spans="1:7" x14ac:dyDescent="0.25">
      <c r="A1259" t="s">
        <v>2804</v>
      </c>
      <c r="B1259" t="s">
        <v>2463</v>
      </c>
      <c r="C1259">
        <v>2021</v>
      </c>
      <c r="E1259" s="10" t="s">
        <v>2466</v>
      </c>
      <c r="F1259" t="s">
        <v>9746</v>
      </c>
      <c r="G1259" t="s">
        <v>187</v>
      </c>
    </row>
    <row r="1260" spans="1:7" x14ac:dyDescent="0.25">
      <c r="A1260" t="s">
        <v>2828</v>
      </c>
      <c r="B1260" t="s">
        <v>2463</v>
      </c>
      <c r="C1260">
        <v>2022</v>
      </c>
      <c r="E1260" s="10" t="s">
        <v>2466</v>
      </c>
      <c r="F1260" t="s">
        <v>9352</v>
      </c>
      <c r="G1260" t="s">
        <v>3990</v>
      </c>
    </row>
    <row r="1261" spans="1:7" x14ac:dyDescent="0.25">
      <c r="A1261" t="s">
        <v>1294</v>
      </c>
      <c r="B1261" t="s">
        <v>9965</v>
      </c>
      <c r="C1261">
        <v>2019</v>
      </c>
      <c r="E1261" s="10" t="s">
        <v>9964</v>
      </c>
      <c r="F1261" t="s">
        <v>9969</v>
      </c>
      <c r="G1261" t="s">
        <v>3990</v>
      </c>
    </row>
    <row r="1262" spans="1:7" x14ac:dyDescent="0.25">
      <c r="A1262" t="s">
        <v>2095</v>
      </c>
      <c r="B1262" t="s">
        <v>9965</v>
      </c>
      <c r="C1262">
        <v>2023</v>
      </c>
      <c r="E1262" s="10" t="s">
        <v>9964</v>
      </c>
      <c r="F1262" t="s">
        <v>9970</v>
      </c>
      <c r="G1262" t="s">
        <v>3990</v>
      </c>
    </row>
    <row r="1263" spans="1:7" x14ac:dyDescent="0.25">
      <c r="A1263" t="s">
        <v>90</v>
      </c>
      <c r="B1263" t="s">
        <v>9965</v>
      </c>
      <c r="C1263">
        <v>2017</v>
      </c>
      <c r="E1263" s="10" t="s">
        <v>9964</v>
      </c>
      <c r="F1263" t="s">
        <v>9968</v>
      </c>
      <c r="G1263" t="s">
        <v>3990</v>
      </c>
    </row>
    <row r="1264" spans="1:7" x14ac:dyDescent="0.25">
      <c r="A1264" t="s">
        <v>1294</v>
      </c>
      <c r="B1264" t="s">
        <v>2467</v>
      </c>
      <c r="C1264">
        <v>2019</v>
      </c>
      <c r="E1264" s="10" t="s">
        <v>14043</v>
      </c>
      <c r="F1264" t="s">
        <v>9747</v>
      </c>
      <c r="G1264" t="s">
        <v>3990</v>
      </c>
    </row>
    <row r="1265" spans="1:7" x14ac:dyDescent="0.25">
      <c r="A1265" t="s">
        <v>90</v>
      </c>
      <c r="B1265" t="s">
        <v>2471</v>
      </c>
      <c r="C1265">
        <v>2017</v>
      </c>
      <c r="E1265" s="10" t="s">
        <v>3376</v>
      </c>
      <c r="F1265" t="s">
        <v>9151</v>
      </c>
      <c r="G1265" t="s">
        <v>3990</v>
      </c>
    </row>
    <row r="1266" spans="1:7" x14ac:dyDescent="0.25">
      <c r="A1266" t="s">
        <v>353</v>
      </c>
      <c r="B1266" t="s">
        <v>2475</v>
      </c>
      <c r="C1266">
        <v>2023</v>
      </c>
      <c r="E1266" t="s">
        <v>3049</v>
      </c>
      <c r="F1266" t="s">
        <v>8522</v>
      </c>
      <c r="G1266" t="s">
        <v>3990</v>
      </c>
    </row>
    <row r="1267" spans="1:7" x14ac:dyDescent="0.25">
      <c r="A1267" t="s">
        <v>1576</v>
      </c>
      <c r="B1267" t="s">
        <v>2475</v>
      </c>
      <c r="C1267">
        <v>2021</v>
      </c>
      <c r="E1267" t="s">
        <v>3049</v>
      </c>
      <c r="F1267" t="s">
        <v>8886</v>
      </c>
      <c r="G1267" t="s">
        <v>3990</v>
      </c>
    </row>
    <row r="1268" spans="1:7" x14ac:dyDescent="0.25">
      <c r="A1268" t="s">
        <v>1951</v>
      </c>
      <c r="B1268" t="s">
        <v>2475</v>
      </c>
      <c r="C1268">
        <v>2022</v>
      </c>
      <c r="E1268" t="s">
        <v>3049</v>
      </c>
      <c r="F1268" t="s">
        <v>8982</v>
      </c>
      <c r="G1268" t="s">
        <v>3990</v>
      </c>
    </row>
    <row r="1269" spans="1:7" x14ac:dyDescent="0.25">
      <c r="A1269" t="s">
        <v>497</v>
      </c>
      <c r="B1269" t="s">
        <v>8089</v>
      </c>
      <c r="C1269">
        <v>2022</v>
      </c>
      <c r="E1269" s="10" t="s">
        <v>8108</v>
      </c>
      <c r="F1269" t="s">
        <v>8433</v>
      </c>
      <c r="G1269" t="s">
        <v>3990</v>
      </c>
    </row>
    <row r="1270" spans="1:7" x14ac:dyDescent="0.25">
      <c r="A1270" t="s">
        <v>847</v>
      </c>
      <c r="B1270" t="s">
        <v>8089</v>
      </c>
      <c r="C1270">
        <v>1996</v>
      </c>
      <c r="E1270" s="10" t="s">
        <v>8108</v>
      </c>
      <c r="F1270" t="s">
        <v>8654</v>
      </c>
      <c r="G1270" t="s">
        <v>3990</v>
      </c>
    </row>
    <row r="1271" spans="1:7" x14ac:dyDescent="0.25">
      <c r="A1271" t="s">
        <v>2804</v>
      </c>
      <c r="B1271" t="s">
        <v>8089</v>
      </c>
      <c r="C1271">
        <v>2021</v>
      </c>
      <c r="E1271" s="10" t="s">
        <v>8108</v>
      </c>
      <c r="F1271" t="s">
        <v>9342</v>
      </c>
      <c r="G1271" t="s">
        <v>3990</v>
      </c>
    </row>
    <row r="1272" spans="1:7" x14ac:dyDescent="0.25">
      <c r="A1272" t="s">
        <v>256</v>
      </c>
      <c r="B1272" t="s">
        <v>2481</v>
      </c>
      <c r="C1272">
        <v>1994</v>
      </c>
      <c r="E1272" s="10" t="s">
        <v>2999</v>
      </c>
      <c r="F1272" t="s">
        <v>14042</v>
      </c>
      <c r="G1272" t="s">
        <v>3990</v>
      </c>
    </row>
    <row r="1273" spans="1:7" x14ac:dyDescent="0.25">
      <c r="A1273" t="s">
        <v>746</v>
      </c>
      <c r="B1273" t="s">
        <v>2481</v>
      </c>
      <c r="C1273">
        <v>2015</v>
      </c>
      <c r="E1273" s="10" t="s">
        <v>2999</v>
      </c>
      <c r="F1273" t="s">
        <v>14042</v>
      </c>
      <c r="G1273" t="s">
        <v>3990</v>
      </c>
    </row>
    <row r="1274" spans="1:7" x14ac:dyDescent="0.25">
      <c r="A1274" t="s">
        <v>847</v>
      </c>
      <c r="B1274" t="s">
        <v>2481</v>
      </c>
      <c r="C1274">
        <v>1996</v>
      </c>
      <c r="E1274" s="10" t="s">
        <v>2999</v>
      </c>
      <c r="F1274" t="s">
        <v>14042</v>
      </c>
      <c r="G1274" t="s">
        <v>3990</v>
      </c>
    </row>
    <row r="1275" spans="1:7" x14ac:dyDescent="0.25">
      <c r="A1275" t="s">
        <v>2428</v>
      </c>
      <c r="B1275" t="s">
        <v>2485</v>
      </c>
      <c r="C1275">
        <v>2008</v>
      </c>
      <c r="E1275" t="s">
        <v>3395</v>
      </c>
      <c r="F1275" t="s">
        <v>9748</v>
      </c>
      <c r="G1275" t="s">
        <v>187</v>
      </c>
    </row>
    <row r="1276" spans="1:7" x14ac:dyDescent="0.25">
      <c r="A1276" t="s">
        <v>1538</v>
      </c>
      <c r="B1276" t="s">
        <v>2489</v>
      </c>
      <c r="C1276">
        <v>1995</v>
      </c>
      <c r="E1276" t="s">
        <v>3255</v>
      </c>
      <c r="F1276" t="s">
        <v>8862</v>
      </c>
      <c r="G1276" t="s">
        <v>3990</v>
      </c>
    </row>
    <row r="1277" spans="1:7" x14ac:dyDescent="0.25">
      <c r="A1277" t="s">
        <v>1795</v>
      </c>
      <c r="B1277" t="s">
        <v>2489</v>
      </c>
      <c r="C1277">
        <v>1987</v>
      </c>
      <c r="E1277" t="s">
        <v>3255</v>
      </c>
      <c r="F1277" t="s">
        <v>8938</v>
      </c>
      <c r="G1277" t="s">
        <v>3990</v>
      </c>
    </row>
    <row r="1278" spans="1:7" x14ac:dyDescent="0.25">
      <c r="A1278" t="s">
        <v>1435</v>
      </c>
      <c r="B1278" t="s">
        <v>9903</v>
      </c>
      <c r="C1278">
        <v>2021</v>
      </c>
      <c r="E1278" s="10" t="s">
        <v>9902</v>
      </c>
      <c r="F1278" t="s">
        <v>9908</v>
      </c>
      <c r="G1278" t="s">
        <v>3990</v>
      </c>
    </row>
    <row r="1279" spans="1:7" x14ac:dyDescent="0.25">
      <c r="A1279" t="s">
        <v>90</v>
      </c>
      <c r="B1279" t="s">
        <v>9903</v>
      </c>
      <c r="C1279">
        <v>2017</v>
      </c>
      <c r="E1279" s="10" t="s">
        <v>9902</v>
      </c>
      <c r="F1279" t="s">
        <v>9907</v>
      </c>
      <c r="G1279" t="s">
        <v>3990</v>
      </c>
    </row>
    <row r="1280" spans="1:7" x14ac:dyDescent="0.25">
      <c r="A1280" t="s">
        <v>1855</v>
      </c>
      <c r="B1280" t="s">
        <v>2492</v>
      </c>
      <c r="C1280">
        <v>2015</v>
      </c>
      <c r="E1280" t="s">
        <v>2495</v>
      </c>
      <c r="F1280" t="s">
        <v>8968</v>
      </c>
      <c r="G1280" t="s">
        <v>3990</v>
      </c>
    </row>
    <row r="1281" spans="1:7" x14ac:dyDescent="0.25">
      <c r="A1281" t="s">
        <v>2428</v>
      </c>
      <c r="B1281" t="s">
        <v>2492</v>
      </c>
      <c r="C1281">
        <v>2008</v>
      </c>
      <c r="E1281" t="s">
        <v>3396</v>
      </c>
      <c r="F1281" t="s">
        <v>9213</v>
      </c>
      <c r="G1281" t="s">
        <v>3990</v>
      </c>
    </row>
    <row r="1282" spans="1:7" x14ac:dyDescent="0.25">
      <c r="A1282" t="s">
        <v>160</v>
      </c>
      <c r="B1282" t="s">
        <v>2492</v>
      </c>
      <c r="C1282">
        <v>2011</v>
      </c>
      <c r="E1282" t="s">
        <v>3396</v>
      </c>
      <c r="F1282" t="s">
        <v>9290</v>
      </c>
      <c r="G1282" t="s">
        <v>3990</v>
      </c>
    </row>
    <row r="1283" spans="1:7" x14ac:dyDescent="0.25">
      <c r="A1283" t="s">
        <v>1454</v>
      </c>
      <c r="B1283" t="s">
        <v>8403</v>
      </c>
      <c r="C1283">
        <v>2001</v>
      </c>
      <c r="E1283" s="10" t="s">
        <v>8402</v>
      </c>
      <c r="F1283" t="s">
        <v>14044</v>
      </c>
      <c r="G1283" t="s">
        <v>3990</v>
      </c>
    </row>
    <row r="1284" spans="1:7" x14ac:dyDescent="0.25">
      <c r="A1284" t="s">
        <v>1817</v>
      </c>
      <c r="B1284" t="s">
        <v>8403</v>
      </c>
      <c r="C1284">
        <v>2019</v>
      </c>
      <c r="E1284" t="s">
        <v>3293</v>
      </c>
      <c r="F1284" t="s">
        <v>8945</v>
      </c>
      <c r="G1284" t="s">
        <v>3990</v>
      </c>
    </row>
    <row r="1285" spans="1:7" x14ac:dyDescent="0.25">
      <c r="A1285" t="s">
        <v>2095</v>
      </c>
      <c r="B1285" t="s">
        <v>8403</v>
      </c>
      <c r="C1285">
        <v>2023</v>
      </c>
      <c r="E1285" s="10" t="s">
        <v>8402</v>
      </c>
      <c r="F1285" t="s">
        <v>14044</v>
      </c>
      <c r="G1285" t="s">
        <v>3990</v>
      </c>
    </row>
    <row r="1286" spans="1:7" x14ac:dyDescent="0.25">
      <c r="A1286" t="s">
        <v>2173</v>
      </c>
      <c r="B1286" t="s">
        <v>2498</v>
      </c>
      <c r="C1286">
        <v>2013</v>
      </c>
      <c r="E1286" t="s">
        <v>3334</v>
      </c>
      <c r="F1286" t="s">
        <v>9048</v>
      </c>
      <c r="G1286" t="s">
        <v>3990</v>
      </c>
    </row>
    <row r="1287" spans="1:7" x14ac:dyDescent="0.25">
      <c r="A1287" t="s">
        <v>914</v>
      </c>
      <c r="B1287" t="s">
        <v>2502</v>
      </c>
      <c r="C1287">
        <v>2013</v>
      </c>
      <c r="E1287" s="10" t="s">
        <v>8400</v>
      </c>
      <c r="F1287" t="s">
        <v>9749</v>
      </c>
      <c r="G1287" t="s">
        <v>187</v>
      </c>
    </row>
    <row r="1288" spans="1:7" x14ac:dyDescent="0.25">
      <c r="A1288" t="s">
        <v>1144</v>
      </c>
      <c r="B1288" t="s">
        <v>2502</v>
      </c>
      <c r="C1288">
        <v>2012</v>
      </c>
      <c r="E1288" t="s">
        <v>3198</v>
      </c>
      <c r="F1288" t="s">
        <v>9750</v>
      </c>
      <c r="G1288" t="s">
        <v>187</v>
      </c>
    </row>
    <row r="1289" spans="1:7" x14ac:dyDescent="0.25">
      <c r="A1289" t="s">
        <v>924</v>
      </c>
      <c r="B1289" t="s">
        <v>2506</v>
      </c>
      <c r="C1289">
        <v>2019</v>
      </c>
      <c r="E1289" t="s">
        <v>3150</v>
      </c>
      <c r="F1289" t="s">
        <v>8677</v>
      </c>
      <c r="G1289" t="s">
        <v>3990</v>
      </c>
    </row>
    <row r="1290" spans="1:7" x14ac:dyDescent="0.25">
      <c r="A1290" t="s">
        <v>90</v>
      </c>
      <c r="B1290" t="s">
        <v>2510</v>
      </c>
      <c r="C1290">
        <v>2017</v>
      </c>
      <c r="E1290" s="10" t="s">
        <v>8375</v>
      </c>
      <c r="F1290" t="s">
        <v>9152</v>
      </c>
      <c r="G1290" t="s">
        <v>3990</v>
      </c>
    </row>
    <row r="1291" spans="1:7" x14ac:dyDescent="0.25">
      <c r="A1291" t="s">
        <v>1004</v>
      </c>
      <c r="B1291" t="s">
        <v>2514</v>
      </c>
      <c r="C1291">
        <v>2006</v>
      </c>
      <c r="E1291" t="s">
        <v>3172</v>
      </c>
      <c r="F1291" t="s">
        <v>9751</v>
      </c>
      <c r="G1291" t="s">
        <v>187</v>
      </c>
    </row>
    <row r="1292" spans="1:7" x14ac:dyDescent="0.25">
      <c r="A1292" t="s">
        <v>1294</v>
      </c>
      <c r="B1292" t="s">
        <v>2514</v>
      </c>
      <c r="C1292">
        <v>2019</v>
      </c>
      <c r="E1292" t="s">
        <v>3172</v>
      </c>
      <c r="F1292" t="s">
        <v>9369</v>
      </c>
      <c r="G1292" t="s">
        <v>3990</v>
      </c>
    </row>
    <row r="1293" spans="1:7" x14ac:dyDescent="0.25">
      <c r="A1293" t="s">
        <v>1549</v>
      </c>
      <c r="B1293" t="s">
        <v>2514</v>
      </c>
      <c r="C1293">
        <v>2021</v>
      </c>
      <c r="E1293" t="s">
        <v>3172</v>
      </c>
      <c r="F1293" t="s">
        <v>9370</v>
      </c>
      <c r="G1293" t="s">
        <v>3990</v>
      </c>
    </row>
    <row r="1294" spans="1:7" x14ac:dyDescent="0.25">
      <c r="A1294" t="s">
        <v>1576</v>
      </c>
      <c r="B1294" t="s">
        <v>2522</v>
      </c>
      <c r="C1294">
        <v>2021</v>
      </c>
      <c r="E1294" t="s">
        <v>3264</v>
      </c>
      <c r="F1294" t="s">
        <v>8887</v>
      </c>
      <c r="G1294" t="s">
        <v>3990</v>
      </c>
    </row>
    <row r="1295" spans="1:7" x14ac:dyDescent="0.25">
      <c r="A1295" t="s">
        <v>2095</v>
      </c>
      <c r="B1295" t="s">
        <v>2524</v>
      </c>
      <c r="C1295">
        <v>2023</v>
      </c>
      <c r="E1295" t="s">
        <v>3308</v>
      </c>
      <c r="F1295" t="s">
        <v>8990</v>
      </c>
      <c r="G1295" t="s">
        <v>3990</v>
      </c>
    </row>
    <row r="1296" spans="1:7" x14ac:dyDescent="0.25">
      <c r="A1296" t="s">
        <v>2136</v>
      </c>
      <c r="B1296" t="s">
        <v>2524</v>
      </c>
      <c r="C1296">
        <v>2020</v>
      </c>
      <c r="E1296" t="s">
        <v>3308</v>
      </c>
      <c r="F1296" t="s">
        <v>9008</v>
      </c>
      <c r="G1296" t="s">
        <v>3990</v>
      </c>
    </row>
    <row r="1297" spans="1:7" x14ac:dyDescent="0.25">
      <c r="A1297" t="s">
        <v>2146</v>
      </c>
      <c r="B1297" t="s">
        <v>2524</v>
      </c>
      <c r="C1297">
        <v>2020</v>
      </c>
      <c r="E1297" t="s">
        <v>3308</v>
      </c>
      <c r="F1297" t="s">
        <v>9014</v>
      </c>
      <c r="G1297" t="s">
        <v>3990</v>
      </c>
    </row>
    <row r="1298" spans="1:7" x14ac:dyDescent="0.25">
      <c r="A1298" t="s">
        <v>2804</v>
      </c>
      <c r="B1298" t="s">
        <v>2526</v>
      </c>
      <c r="C1298">
        <v>2021</v>
      </c>
      <c r="E1298" t="s">
        <v>3426</v>
      </c>
      <c r="F1298" t="s">
        <v>9343</v>
      </c>
      <c r="G1298" t="s">
        <v>3990</v>
      </c>
    </row>
    <row r="1299" spans="1:7" x14ac:dyDescent="0.25">
      <c r="A1299" t="s">
        <v>1144</v>
      </c>
      <c r="B1299" t="s">
        <v>2530</v>
      </c>
      <c r="C1299">
        <v>2012</v>
      </c>
      <c r="E1299" t="s">
        <v>3213</v>
      </c>
      <c r="F1299" t="s">
        <v>8760</v>
      </c>
      <c r="G1299" t="s">
        <v>3990</v>
      </c>
    </row>
    <row r="1300" spans="1:7" x14ac:dyDescent="0.25">
      <c r="A1300" t="s">
        <v>2428</v>
      </c>
      <c r="B1300" t="s">
        <v>2530</v>
      </c>
      <c r="C1300">
        <v>2008</v>
      </c>
      <c r="E1300" t="s">
        <v>3213</v>
      </c>
      <c r="F1300" t="s">
        <v>9214</v>
      </c>
      <c r="G1300" t="s">
        <v>3990</v>
      </c>
    </row>
    <row r="1301" spans="1:7" x14ac:dyDescent="0.25">
      <c r="A1301" t="s">
        <v>160</v>
      </c>
      <c r="B1301" t="s">
        <v>2530</v>
      </c>
      <c r="C1301">
        <v>2011</v>
      </c>
      <c r="E1301" t="s">
        <v>3213</v>
      </c>
      <c r="F1301" t="s">
        <v>9291</v>
      </c>
      <c r="G1301" t="s">
        <v>3990</v>
      </c>
    </row>
    <row r="1302" spans="1:7" x14ac:dyDescent="0.25">
      <c r="A1302" t="s">
        <v>341</v>
      </c>
      <c r="B1302" t="s">
        <v>2537</v>
      </c>
      <c r="C1302">
        <v>1997</v>
      </c>
      <c r="E1302" t="s">
        <v>3010</v>
      </c>
      <c r="F1302" t="s">
        <v>8473</v>
      </c>
      <c r="G1302" t="s">
        <v>3990</v>
      </c>
    </row>
    <row r="1303" spans="1:7" x14ac:dyDescent="0.25">
      <c r="A1303" t="s">
        <v>1046</v>
      </c>
      <c r="B1303" t="s">
        <v>2537</v>
      </c>
      <c r="C1303">
        <v>2016</v>
      </c>
      <c r="E1303" t="s">
        <v>3010</v>
      </c>
      <c r="F1303" t="s">
        <v>8725</v>
      </c>
      <c r="G1303" t="s">
        <v>3990</v>
      </c>
    </row>
    <row r="1304" spans="1:7" x14ac:dyDescent="0.25">
      <c r="A1304" t="s">
        <v>2537</v>
      </c>
      <c r="B1304" t="s">
        <v>2540</v>
      </c>
      <c r="C1304">
        <v>2021</v>
      </c>
      <c r="D1304" t="s">
        <v>187</v>
      </c>
      <c r="F1304" t="s">
        <v>9752</v>
      </c>
      <c r="G1304" t="s">
        <v>3990</v>
      </c>
    </row>
    <row r="1305" spans="1:7" x14ac:dyDescent="0.25">
      <c r="A1305" t="s">
        <v>847</v>
      </c>
      <c r="B1305" t="s">
        <v>2543</v>
      </c>
      <c r="C1305">
        <v>1996</v>
      </c>
      <c r="E1305" t="s">
        <v>3137</v>
      </c>
      <c r="F1305" t="s">
        <v>8655</v>
      </c>
      <c r="G1305" t="s">
        <v>3990</v>
      </c>
    </row>
    <row r="1306" spans="1:7" x14ac:dyDescent="0.25">
      <c r="A1306" t="s">
        <v>1795</v>
      </c>
      <c r="B1306" t="s">
        <v>2543</v>
      </c>
      <c r="C1306">
        <v>1987</v>
      </c>
      <c r="E1306" t="s">
        <v>3286</v>
      </c>
      <c r="F1306" t="s">
        <v>8939</v>
      </c>
      <c r="G1306" t="s">
        <v>3990</v>
      </c>
    </row>
    <row r="1307" spans="1:7" x14ac:dyDescent="0.25">
      <c r="A1307" t="s">
        <v>2154</v>
      </c>
      <c r="B1307" t="s">
        <v>2543</v>
      </c>
      <c r="C1307">
        <v>1980</v>
      </c>
      <c r="E1307" t="s">
        <v>3286</v>
      </c>
      <c r="F1307" t="s">
        <v>9032</v>
      </c>
      <c r="G1307" t="s">
        <v>3990</v>
      </c>
    </row>
    <row r="1308" spans="1:7" x14ac:dyDescent="0.25">
      <c r="A1308" t="s">
        <v>1443</v>
      </c>
      <c r="B1308" t="s">
        <v>2546</v>
      </c>
      <c r="C1308">
        <v>2018</v>
      </c>
      <c r="E1308" t="s">
        <v>2982</v>
      </c>
      <c r="F1308" t="s">
        <v>8854</v>
      </c>
      <c r="G1308" t="s">
        <v>3990</v>
      </c>
    </row>
    <row r="1309" spans="1:7" x14ac:dyDescent="0.25">
      <c r="A1309" t="s">
        <v>1294</v>
      </c>
      <c r="B1309" t="s">
        <v>2550</v>
      </c>
      <c r="C1309">
        <v>2019</v>
      </c>
      <c r="E1309" t="s">
        <v>3234</v>
      </c>
      <c r="F1309" t="s">
        <v>8808</v>
      </c>
      <c r="G1309" t="s">
        <v>3990</v>
      </c>
    </row>
    <row r="1310" spans="1:7" x14ac:dyDescent="0.25">
      <c r="A1310" t="s">
        <v>2556</v>
      </c>
      <c r="B1310" t="s">
        <v>2554</v>
      </c>
      <c r="C1310">
        <v>2018</v>
      </c>
      <c r="D1310" t="s">
        <v>187</v>
      </c>
      <c r="F1310" t="s">
        <v>9753</v>
      </c>
      <c r="G1310" t="s">
        <v>3990</v>
      </c>
    </row>
    <row r="1311" spans="1:7" x14ac:dyDescent="0.25">
      <c r="A1311" t="s">
        <v>2132</v>
      </c>
      <c r="B1311" t="s">
        <v>2556</v>
      </c>
      <c r="C1311">
        <v>2013</v>
      </c>
      <c r="E1311" t="s">
        <v>3311</v>
      </c>
      <c r="F1311" t="s">
        <v>8997</v>
      </c>
      <c r="G1311" t="s">
        <v>3990</v>
      </c>
    </row>
    <row r="1312" spans="1:7" x14ac:dyDescent="0.25">
      <c r="A1312" t="s">
        <v>350</v>
      </c>
      <c r="B1312" t="s">
        <v>2560</v>
      </c>
      <c r="C1312">
        <v>2018</v>
      </c>
      <c r="E1312" t="s">
        <v>2982</v>
      </c>
      <c r="F1312" t="s">
        <v>8486</v>
      </c>
      <c r="G1312" t="s">
        <v>3990</v>
      </c>
    </row>
    <row r="1313" spans="1:7" x14ac:dyDescent="0.25">
      <c r="A1313" t="s">
        <v>353</v>
      </c>
      <c r="B1313" t="s">
        <v>2560</v>
      </c>
      <c r="C1313">
        <v>2023</v>
      </c>
      <c r="E1313" s="10" t="s">
        <v>9831</v>
      </c>
      <c r="F1313" t="s">
        <v>10027</v>
      </c>
      <c r="G1313" t="s">
        <v>187</v>
      </c>
    </row>
    <row r="1314" spans="1:7" x14ac:dyDescent="0.25">
      <c r="A1314" t="s">
        <v>9830</v>
      </c>
      <c r="B1314" t="s">
        <v>2560</v>
      </c>
      <c r="C1314">
        <v>2025</v>
      </c>
      <c r="E1314" s="10" t="s">
        <v>9831</v>
      </c>
      <c r="F1314" t="s">
        <v>10027</v>
      </c>
      <c r="G1314" t="s">
        <v>187</v>
      </c>
    </row>
    <row r="1315" spans="1:7" x14ac:dyDescent="0.25">
      <c r="A1315" t="s">
        <v>1298</v>
      </c>
      <c r="B1315" t="s">
        <v>2560</v>
      </c>
      <c r="C1315">
        <v>2024</v>
      </c>
      <c r="E1315" s="10" t="s">
        <v>9831</v>
      </c>
      <c r="F1315" t="s">
        <v>10027</v>
      </c>
      <c r="G1315" t="s">
        <v>187</v>
      </c>
    </row>
    <row r="1316" spans="1:7" x14ac:dyDescent="0.25">
      <c r="A1316" t="s">
        <v>90</v>
      </c>
      <c r="B1316" t="s">
        <v>2560</v>
      </c>
      <c r="C1316">
        <v>2017</v>
      </c>
      <c r="E1316" t="s">
        <v>3377</v>
      </c>
      <c r="F1316" t="s">
        <v>9153</v>
      </c>
      <c r="G1316" t="s">
        <v>3990</v>
      </c>
    </row>
    <row r="1317" spans="1:7" x14ac:dyDescent="0.25">
      <c r="A1317" t="s">
        <v>90</v>
      </c>
      <c r="B1317" t="s">
        <v>2563</v>
      </c>
      <c r="C1317">
        <v>2017</v>
      </c>
      <c r="E1317" t="s">
        <v>3378</v>
      </c>
      <c r="F1317" t="s">
        <v>9154</v>
      </c>
      <c r="G1317" t="s">
        <v>3990</v>
      </c>
    </row>
    <row r="1318" spans="1:7" x14ac:dyDescent="0.25">
      <c r="A1318" t="s">
        <v>2073</v>
      </c>
      <c r="B1318" t="s">
        <v>2567</v>
      </c>
      <c r="C1318">
        <v>2010</v>
      </c>
      <c r="E1318" t="s">
        <v>2982</v>
      </c>
      <c r="F1318" t="s">
        <v>8987</v>
      </c>
      <c r="G1318" t="s">
        <v>3990</v>
      </c>
    </row>
    <row r="1319" spans="1:7" x14ac:dyDescent="0.25">
      <c r="A1319" t="s">
        <v>160</v>
      </c>
      <c r="B1319" t="s">
        <v>2567</v>
      </c>
      <c r="C1319">
        <v>2011</v>
      </c>
      <c r="E1319" t="s">
        <v>2982</v>
      </c>
      <c r="F1319" t="s">
        <v>9292</v>
      </c>
      <c r="G1319" t="s">
        <v>3990</v>
      </c>
    </row>
    <row r="1320" spans="1:7" x14ac:dyDescent="0.25">
      <c r="A1320" t="s">
        <v>2804</v>
      </c>
      <c r="B1320" t="s">
        <v>2567</v>
      </c>
      <c r="C1320">
        <v>2021</v>
      </c>
      <c r="E1320" s="10" t="s">
        <v>8441</v>
      </c>
      <c r="F1320" t="s">
        <v>8442</v>
      </c>
      <c r="G1320" t="s">
        <v>3990</v>
      </c>
    </row>
    <row r="1321" spans="1:7" x14ac:dyDescent="0.25">
      <c r="A1321" t="s">
        <v>2947</v>
      </c>
      <c r="B1321" t="s">
        <v>2571</v>
      </c>
      <c r="C1321">
        <v>1994</v>
      </c>
      <c r="E1321" t="s">
        <v>3434</v>
      </c>
      <c r="F1321" t="s">
        <v>9362</v>
      </c>
      <c r="G1321" t="s">
        <v>3990</v>
      </c>
    </row>
    <row r="1322" spans="1:7" x14ac:dyDescent="0.25">
      <c r="A1322" t="s">
        <v>90</v>
      </c>
      <c r="B1322" t="s">
        <v>2575</v>
      </c>
      <c r="C1322">
        <v>2017</v>
      </c>
      <c r="E1322" t="s">
        <v>3379</v>
      </c>
      <c r="F1322" t="s">
        <v>9155</v>
      </c>
      <c r="G1322" t="s">
        <v>3990</v>
      </c>
    </row>
    <row r="1323" spans="1:7" x14ac:dyDescent="0.25">
      <c r="A1323" t="s">
        <v>984</v>
      </c>
      <c r="B1323" t="s">
        <v>2578</v>
      </c>
      <c r="C1323">
        <v>2010</v>
      </c>
      <c r="E1323" t="s">
        <v>3167</v>
      </c>
      <c r="F1323" t="s">
        <v>8694</v>
      </c>
      <c r="G1323" t="s">
        <v>3990</v>
      </c>
    </row>
    <row r="1324" spans="1:7" x14ac:dyDescent="0.25">
      <c r="A1324" t="s">
        <v>1761</v>
      </c>
      <c r="B1324" t="s">
        <v>2578</v>
      </c>
      <c r="C1324">
        <v>1995</v>
      </c>
      <c r="E1324" t="s">
        <v>3272</v>
      </c>
      <c r="F1324" t="s">
        <v>8915</v>
      </c>
      <c r="G1324" t="s">
        <v>3990</v>
      </c>
    </row>
    <row r="1325" spans="1:7" x14ac:dyDescent="0.25">
      <c r="A1325" t="s">
        <v>2571</v>
      </c>
      <c r="B1325" t="s">
        <v>2578</v>
      </c>
      <c r="C1325">
        <v>1998</v>
      </c>
      <c r="E1325" t="s">
        <v>3167</v>
      </c>
      <c r="F1325" t="s">
        <v>9236</v>
      </c>
      <c r="G1325" t="s">
        <v>3990</v>
      </c>
    </row>
    <row r="1326" spans="1:7" x14ac:dyDescent="0.25">
      <c r="A1326" t="s">
        <v>341</v>
      </c>
      <c r="B1326" t="s">
        <v>2587</v>
      </c>
      <c r="C1326">
        <v>1997</v>
      </c>
      <c r="D1326" t="s">
        <v>187</v>
      </c>
      <c r="F1326" t="s">
        <v>9754</v>
      </c>
      <c r="G1326" t="s">
        <v>3990</v>
      </c>
    </row>
    <row r="1327" spans="1:7" x14ac:dyDescent="0.25">
      <c r="A1327" t="s">
        <v>1294</v>
      </c>
      <c r="B1327" t="s">
        <v>2590</v>
      </c>
      <c r="C1327">
        <v>2019</v>
      </c>
      <c r="E1327" t="s">
        <v>3235</v>
      </c>
      <c r="F1327" t="s">
        <v>8809</v>
      </c>
      <c r="G1327" t="s">
        <v>3990</v>
      </c>
    </row>
    <row r="1328" spans="1:7" x14ac:dyDescent="0.25">
      <c r="A1328" t="s">
        <v>90</v>
      </c>
      <c r="B1328" t="s">
        <v>2590</v>
      </c>
      <c r="C1328">
        <v>2017</v>
      </c>
      <c r="E1328" s="10" t="s">
        <v>3235</v>
      </c>
      <c r="F1328" t="s">
        <v>9383</v>
      </c>
      <c r="G1328" t="s">
        <v>3990</v>
      </c>
    </row>
    <row r="1329" spans="1:7" x14ac:dyDescent="0.25">
      <c r="A1329" t="s">
        <v>160</v>
      </c>
      <c r="B1329" t="s">
        <v>2590</v>
      </c>
      <c r="C1329">
        <v>2011</v>
      </c>
      <c r="E1329" s="10" t="s">
        <v>9385</v>
      </c>
      <c r="F1329" t="s">
        <v>9384</v>
      </c>
      <c r="G1329" t="s">
        <v>3990</v>
      </c>
    </row>
    <row r="1330" spans="1:7" x14ac:dyDescent="0.25">
      <c r="A1330" t="s">
        <v>924</v>
      </c>
      <c r="B1330" t="s">
        <v>2594</v>
      </c>
      <c r="C1330">
        <v>2019</v>
      </c>
      <c r="E1330" t="s">
        <v>3151</v>
      </c>
      <c r="F1330" t="s">
        <v>8678</v>
      </c>
      <c r="G1330" t="s">
        <v>3990</v>
      </c>
    </row>
    <row r="1331" spans="1:7" x14ac:dyDescent="0.25">
      <c r="A1331" t="s">
        <v>2136</v>
      </c>
      <c r="B1331" t="s">
        <v>2596</v>
      </c>
      <c r="C1331">
        <v>2020</v>
      </c>
      <c r="E1331" s="10" t="s">
        <v>3314</v>
      </c>
      <c r="F1331" t="s">
        <v>9755</v>
      </c>
      <c r="G1331" t="s">
        <v>3990</v>
      </c>
    </row>
    <row r="1332" spans="1:7" x14ac:dyDescent="0.25">
      <c r="A1332" t="s">
        <v>574</v>
      </c>
      <c r="B1332" t="s">
        <v>2599</v>
      </c>
      <c r="C1332">
        <v>2019</v>
      </c>
      <c r="E1332" t="s">
        <v>3078</v>
      </c>
      <c r="F1332" t="s">
        <v>8563</v>
      </c>
      <c r="G1332" t="s">
        <v>3990</v>
      </c>
    </row>
    <row r="1333" spans="1:7" x14ac:dyDescent="0.25">
      <c r="A1333" t="s">
        <v>759</v>
      </c>
      <c r="B1333" t="s">
        <v>2599</v>
      </c>
      <c r="C1333">
        <v>2018</v>
      </c>
      <c r="E1333" t="s">
        <v>3078</v>
      </c>
      <c r="F1333" t="s">
        <v>8621</v>
      </c>
      <c r="G1333" t="s">
        <v>3990</v>
      </c>
    </row>
    <row r="1334" spans="1:7" x14ac:dyDescent="0.25">
      <c r="A1334" t="s">
        <v>1294</v>
      </c>
      <c r="B1334" t="s">
        <v>2599</v>
      </c>
      <c r="C1334">
        <v>2019</v>
      </c>
      <c r="E1334" t="s">
        <v>3236</v>
      </c>
      <c r="F1334" t="s">
        <v>8810</v>
      </c>
      <c r="G1334" t="s">
        <v>3990</v>
      </c>
    </row>
    <row r="1335" spans="1:7" x14ac:dyDescent="0.25">
      <c r="A1335" t="s">
        <v>2804</v>
      </c>
      <c r="B1335" t="s">
        <v>2603</v>
      </c>
      <c r="C1335">
        <v>2021</v>
      </c>
      <c r="E1335" t="s">
        <v>3013</v>
      </c>
      <c r="F1335" t="s">
        <v>9756</v>
      </c>
      <c r="G1335" t="s">
        <v>187</v>
      </c>
    </row>
    <row r="1336" spans="1:7" x14ac:dyDescent="0.25">
      <c r="A1336" t="s">
        <v>1144</v>
      </c>
      <c r="B1336" t="s">
        <v>2605</v>
      </c>
      <c r="C1336">
        <v>2012</v>
      </c>
      <c r="E1336" t="s">
        <v>2982</v>
      </c>
      <c r="F1336" t="s">
        <v>8761</v>
      </c>
      <c r="G1336" t="s">
        <v>3990</v>
      </c>
    </row>
    <row r="1337" spans="1:7" x14ac:dyDescent="0.25">
      <c r="A1337" t="s">
        <v>2804</v>
      </c>
      <c r="B1337" t="s">
        <v>2609</v>
      </c>
      <c r="C1337">
        <v>2021</v>
      </c>
      <c r="E1337" t="s">
        <v>3427</v>
      </c>
      <c r="F1337" t="s">
        <v>9757</v>
      </c>
      <c r="G1337" t="s">
        <v>187</v>
      </c>
    </row>
    <row r="1338" spans="1:7" x14ac:dyDescent="0.25">
      <c r="A1338" t="s">
        <v>2136</v>
      </c>
      <c r="B1338" t="s">
        <v>2612</v>
      </c>
      <c r="C1338">
        <v>2020</v>
      </c>
      <c r="E1338" t="s">
        <v>3315</v>
      </c>
      <c r="F1338" t="s">
        <v>9758</v>
      </c>
      <c r="G1338" t="s">
        <v>187</v>
      </c>
    </row>
    <row r="1339" spans="1:7" x14ac:dyDescent="0.25">
      <c r="A1339" t="s">
        <v>924</v>
      </c>
      <c r="B1339" t="s">
        <v>2614</v>
      </c>
      <c r="C1339">
        <v>2019</v>
      </c>
      <c r="E1339" t="s">
        <v>3152</v>
      </c>
      <c r="F1339" t="s">
        <v>9759</v>
      </c>
      <c r="G1339" t="s">
        <v>187</v>
      </c>
    </row>
    <row r="1340" spans="1:7" x14ac:dyDescent="0.25">
      <c r="A1340" t="s">
        <v>2594</v>
      </c>
      <c r="B1340" t="s">
        <v>2614</v>
      </c>
      <c r="C1340">
        <v>2019</v>
      </c>
      <c r="E1340" t="s">
        <v>3152</v>
      </c>
      <c r="F1340" t="s">
        <v>9242</v>
      </c>
      <c r="G1340" t="s">
        <v>3990</v>
      </c>
    </row>
    <row r="1341" spans="1:7" x14ac:dyDescent="0.25">
      <c r="A1341" t="s">
        <v>836</v>
      </c>
      <c r="B1341" t="s">
        <v>160</v>
      </c>
      <c r="C1341">
        <v>2010</v>
      </c>
      <c r="E1341" t="s">
        <v>3129</v>
      </c>
      <c r="F1341" t="s">
        <v>10028</v>
      </c>
      <c r="G1341" t="s">
        <v>187</v>
      </c>
    </row>
    <row r="1342" spans="1:7" x14ac:dyDescent="0.25">
      <c r="A1342" t="s">
        <v>2428</v>
      </c>
      <c r="B1342" t="s">
        <v>160</v>
      </c>
      <c r="C1342">
        <v>2008</v>
      </c>
      <c r="E1342" t="s">
        <v>3129</v>
      </c>
      <c r="F1342" t="s">
        <v>10028</v>
      </c>
      <c r="G1342" t="s">
        <v>187</v>
      </c>
    </row>
    <row r="1343" spans="1:7" x14ac:dyDescent="0.25">
      <c r="A1343" t="s">
        <v>160</v>
      </c>
      <c r="B1343" t="s">
        <v>2619</v>
      </c>
      <c r="C1343">
        <v>2011</v>
      </c>
      <c r="D1343" t="s">
        <v>187</v>
      </c>
      <c r="F1343" t="s">
        <v>9760</v>
      </c>
      <c r="G1343" t="s">
        <v>3990</v>
      </c>
    </row>
    <row r="1344" spans="1:7" x14ac:dyDescent="0.25">
      <c r="A1344" t="s">
        <v>623</v>
      </c>
      <c r="B1344" t="s">
        <v>2623</v>
      </c>
      <c r="C1344">
        <v>2017</v>
      </c>
      <c r="E1344" t="s">
        <v>3080</v>
      </c>
      <c r="F1344" t="s">
        <v>8566</v>
      </c>
      <c r="G1344" t="s">
        <v>3990</v>
      </c>
    </row>
    <row r="1345" spans="1:7" x14ac:dyDescent="0.25">
      <c r="A1345" t="s">
        <v>994</v>
      </c>
      <c r="B1345" t="s">
        <v>2623</v>
      </c>
      <c r="C1345">
        <v>2011</v>
      </c>
      <c r="E1345" t="s">
        <v>3080</v>
      </c>
      <c r="F1345" t="s">
        <v>8697</v>
      </c>
      <c r="G1345" t="s">
        <v>3990</v>
      </c>
    </row>
    <row r="1346" spans="1:7" x14ac:dyDescent="0.25">
      <c r="A1346" t="s">
        <v>1004</v>
      </c>
      <c r="B1346" t="s">
        <v>2623</v>
      </c>
      <c r="C1346">
        <v>2006</v>
      </c>
      <c r="E1346" t="s">
        <v>3173</v>
      </c>
      <c r="F1346" t="s">
        <v>8701</v>
      </c>
      <c r="G1346" t="s">
        <v>3990</v>
      </c>
    </row>
    <row r="1347" spans="1:7" x14ac:dyDescent="0.25">
      <c r="A1347" t="s">
        <v>2154</v>
      </c>
      <c r="B1347" t="s">
        <v>2625</v>
      </c>
      <c r="C1347">
        <v>1980</v>
      </c>
      <c r="E1347" t="s">
        <v>3325</v>
      </c>
      <c r="F1347" t="s">
        <v>9033</v>
      </c>
      <c r="G1347" t="s">
        <v>3990</v>
      </c>
    </row>
    <row r="1348" spans="1:7" x14ac:dyDescent="0.25">
      <c r="A1348" t="s">
        <v>2721</v>
      </c>
      <c r="B1348" t="s">
        <v>2625</v>
      </c>
      <c r="C1348">
        <v>1993</v>
      </c>
      <c r="E1348" t="s">
        <v>3418</v>
      </c>
      <c r="F1348" t="s">
        <v>9761</v>
      </c>
      <c r="G1348" t="s">
        <v>187</v>
      </c>
    </row>
    <row r="1349" spans="1:7" x14ac:dyDescent="0.25">
      <c r="A1349" t="s">
        <v>914</v>
      </c>
      <c r="B1349" t="s">
        <v>2630</v>
      </c>
      <c r="C1349">
        <v>2013</v>
      </c>
      <c r="E1349" t="s">
        <v>3146</v>
      </c>
      <c r="F1349" t="s">
        <v>8671</v>
      </c>
      <c r="G1349" t="s">
        <v>3990</v>
      </c>
    </row>
    <row r="1350" spans="1:7" x14ac:dyDescent="0.25">
      <c r="A1350" t="s">
        <v>260</v>
      </c>
      <c r="B1350" t="s">
        <v>2634</v>
      </c>
      <c r="C1350">
        <v>1990</v>
      </c>
      <c r="E1350" t="s">
        <v>3004</v>
      </c>
      <c r="F1350" t="s">
        <v>8467</v>
      </c>
      <c r="G1350" t="s">
        <v>3990</v>
      </c>
    </row>
    <row r="1351" spans="1:7" x14ac:dyDescent="0.25">
      <c r="A1351" t="s">
        <v>1420</v>
      </c>
      <c r="B1351" t="s">
        <v>2634</v>
      </c>
      <c r="C1351">
        <v>2007</v>
      </c>
      <c r="E1351" t="s">
        <v>3004</v>
      </c>
      <c r="F1351" t="s">
        <v>8825</v>
      </c>
      <c r="G1351" t="s">
        <v>3990</v>
      </c>
    </row>
    <row r="1352" spans="1:7" x14ac:dyDescent="0.25">
      <c r="A1352" t="s">
        <v>2023</v>
      </c>
      <c r="B1352" t="s">
        <v>2634</v>
      </c>
      <c r="C1352">
        <v>2003</v>
      </c>
      <c r="E1352" t="s">
        <v>3004</v>
      </c>
      <c r="F1352" t="s">
        <v>9762</v>
      </c>
      <c r="G1352" t="s">
        <v>187</v>
      </c>
    </row>
    <row r="1353" spans="1:7" x14ac:dyDescent="0.25">
      <c r="A1353" t="s">
        <v>2943</v>
      </c>
      <c r="B1353" t="s">
        <v>2637</v>
      </c>
      <c r="C1353">
        <v>2010</v>
      </c>
      <c r="D1353" t="s">
        <v>187</v>
      </c>
      <c r="E1353" t="s">
        <v>3432</v>
      </c>
      <c r="F1353" t="s">
        <v>9763</v>
      </c>
      <c r="G1353" t="s">
        <v>3990</v>
      </c>
    </row>
    <row r="1354" spans="1:7" x14ac:dyDescent="0.25">
      <c r="A1354" t="s">
        <v>323</v>
      </c>
      <c r="B1354" t="s">
        <v>2643</v>
      </c>
      <c r="C1354">
        <v>2020</v>
      </c>
      <c r="E1354" t="s">
        <v>3007</v>
      </c>
      <c r="F1354" t="s">
        <v>8471</v>
      </c>
      <c r="G1354" t="s">
        <v>3990</v>
      </c>
    </row>
    <row r="1355" spans="1:7" x14ac:dyDescent="0.25">
      <c r="A1355" t="s">
        <v>90</v>
      </c>
      <c r="B1355" t="s">
        <v>2643</v>
      </c>
      <c r="C1355">
        <v>2017</v>
      </c>
      <c r="E1355" t="s">
        <v>3380</v>
      </c>
      <c r="F1355" t="s">
        <v>9156</v>
      </c>
      <c r="G1355" t="s">
        <v>3990</v>
      </c>
    </row>
    <row r="1356" spans="1:7" x14ac:dyDescent="0.25">
      <c r="A1356" t="s">
        <v>160</v>
      </c>
      <c r="B1356" t="s">
        <v>2645</v>
      </c>
      <c r="C1356">
        <v>2011</v>
      </c>
      <c r="E1356" t="s">
        <v>3410</v>
      </c>
      <c r="F1356" t="s">
        <v>9293</v>
      </c>
      <c r="G1356" t="s">
        <v>3990</v>
      </c>
    </row>
    <row r="1357" spans="1:7" x14ac:dyDescent="0.25">
      <c r="A1357" t="s">
        <v>2698</v>
      </c>
      <c r="B1357" t="s">
        <v>2645</v>
      </c>
      <c r="C1357">
        <v>2022</v>
      </c>
      <c r="E1357" t="s">
        <v>3410</v>
      </c>
      <c r="F1357" t="s">
        <v>9305</v>
      </c>
      <c r="G1357" t="s">
        <v>3990</v>
      </c>
    </row>
    <row r="1358" spans="1:7" x14ac:dyDescent="0.25">
      <c r="A1358" t="s">
        <v>383</v>
      </c>
      <c r="B1358" t="s">
        <v>2648</v>
      </c>
      <c r="C1358">
        <v>2017</v>
      </c>
      <c r="E1358" t="s">
        <v>3055</v>
      </c>
      <c r="F1358" t="s">
        <v>8530</v>
      </c>
      <c r="G1358" t="s">
        <v>3990</v>
      </c>
    </row>
    <row r="1359" spans="1:7" x14ac:dyDescent="0.25">
      <c r="A1359" t="s">
        <v>1443</v>
      </c>
      <c r="B1359" t="s">
        <v>2648</v>
      </c>
      <c r="C1359">
        <v>2018</v>
      </c>
      <c r="E1359" t="s">
        <v>3055</v>
      </c>
      <c r="F1359" t="s">
        <v>8855</v>
      </c>
      <c r="G1359" t="s">
        <v>3990</v>
      </c>
    </row>
    <row r="1360" spans="1:7" x14ac:dyDescent="0.25">
      <c r="A1360" t="s">
        <v>90</v>
      </c>
      <c r="B1360" t="s">
        <v>2648</v>
      </c>
      <c r="C1360">
        <v>2017</v>
      </c>
      <c r="E1360" t="s">
        <v>3055</v>
      </c>
      <c r="F1360" t="s">
        <v>9157</v>
      </c>
      <c r="G1360" t="s">
        <v>3990</v>
      </c>
    </row>
    <row r="1361" spans="1:7" x14ac:dyDescent="0.25">
      <c r="A1361" t="s">
        <v>2481</v>
      </c>
      <c r="B1361" t="s">
        <v>2648</v>
      </c>
      <c r="C1361">
        <v>2020</v>
      </c>
      <c r="E1361" s="10" t="s">
        <v>8369</v>
      </c>
      <c r="F1361" t="s">
        <v>9221</v>
      </c>
      <c r="G1361" t="s">
        <v>3990</v>
      </c>
    </row>
    <row r="1362" spans="1:7" x14ac:dyDescent="0.25">
      <c r="A1362" t="s">
        <v>160</v>
      </c>
      <c r="B1362" t="s">
        <v>2652</v>
      </c>
      <c r="C1362">
        <v>2011</v>
      </c>
      <c r="D1362" t="s">
        <v>187</v>
      </c>
      <c r="F1362" t="s">
        <v>9764</v>
      </c>
      <c r="G1362" t="s">
        <v>3990</v>
      </c>
    </row>
    <row r="1363" spans="1:7" x14ac:dyDescent="0.25">
      <c r="A1363" t="s">
        <v>353</v>
      </c>
      <c r="B1363" t="s">
        <v>7918</v>
      </c>
      <c r="C1363">
        <v>2023</v>
      </c>
      <c r="E1363" t="s">
        <v>2982</v>
      </c>
      <c r="F1363" t="s">
        <v>8523</v>
      </c>
      <c r="G1363" t="s">
        <v>3990</v>
      </c>
    </row>
    <row r="1364" spans="1:7" x14ac:dyDescent="0.25">
      <c r="A1364" t="s">
        <v>2804</v>
      </c>
      <c r="B1364" t="s">
        <v>8126</v>
      </c>
      <c r="C1364">
        <v>2021</v>
      </c>
      <c r="E1364" s="10" t="s">
        <v>8127</v>
      </c>
      <c r="F1364" t="s">
        <v>9344</v>
      </c>
      <c r="G1364" t="s">
        <v>3990</v>
      </c>
    </row>
    <row r="1365" spans="1:7" x14ac:dyDescent="0.25">
      <c r="A1365" t="s">
        <v>2721</v>
      </c>
      <c r="B1365" t="s">
        <v>2656</v>
      </c>
      <c r="C1365">
        <v>1993</v>
      </c>
      <c r="D1365" t="s">
        <v>187</v>
      </c>
      <c r="F1365" t="s">
        <v>9765</v>
      </c>
      <c r="G1365" t="s">
        <v>3990</v>
      </c>
    </row>
    <row r="1366" spans="1:7" x14ac:dyDescent="0.25">
      <c r="A1366" t="s">
        <v>1443</v>
      </c>
      <c r="B1366" t="s">
        <v>2659</v>
      </c>
      <c r="C1366">
        <v>2018</v>
      </c>
      <c r="E1366" t="s">
        <v>3251</v>
      </c>
      <c r="F1366" t="s">
        <v>9766</v>
      </c>
      <c r="G1366" t="s">
        <v>187</v>
      </c>
    </row>
    <row r="1367" spans="1:7" x14ac:dyDescent="0.25">
      <c r="A1367" t="s">
        <v>1947</v>
      </c>
      <c r="B1367" t="s">
        <v>2659</v>
      </c>
      <c r="C1367">
        <v>2021</v>
      </c>
      <c r="E1367" t="s">
        <v>3251</v>
      </c>
      <c r="F1367" t="s">
        <v>9767</v>
      </c>
      <c r="G1367" t="s">
        <v>187</v>
      </c>
    </row>
    <row r="1368" spans="1:7" x14ac:dyDescent="0.25">
      <c r="A1368" t="s">
        <v>2324</v>
      </c>
      <c r="B1368" t="s">
        <v>2659</v>
      </c>
      <c r="C1368">
        <v>2022</v>
      </c>
      <c r="E1368" t="s">
        <v>3251</v>
      </c>
      <c r="F1368" t="s">
        <v>9768</v>
      </c>
      <c r="G1368" t="s">
        <v>187</v>
      </c>
    </row>
    <row r="1369" spans="1:7" x14ac:dyDescent="0.25">
      <c r="A1369" t="s">
        <v>90</v>
      </c>
      <c r="B1369" t="s">
        <v>2659</v>
      </c>
      <c r="C1369">
        <v>2017</v>
      </c>
      <c r="E1369" t="s">
        <v>3251</v>
      </c>
      <c r="F1369" t="s">
        <v>9158</v>
      </c>
      <c r="G1369" t="s">
        <v>3990</v>
      </c>
    </row>
    <row r="1370" spans="1:7" x14ac:dyDescent="0.25">
      <c r="A1370" t="s">
        <v>759</v>
      </c>
      <c r="B1370" t="s">
        <v>2663</v>
      </c>
      <c r="C1370">
        <v>2018</v>
      </c>
      <c r="D1370" t="s">
        <v>187</v>
      </c>
      <c r="E1370" t="s">
        <v>3123</v>
      </c>
      <c r="F1370" t="s">
        <v>8622</v>
      </c>
      <c r="G1370" t="s">
        <v>3990</v>
      </c>
    </row>
    <row r="1371" spans="1:7" x14ac:dyDescent="0.25">
      <c r="A1371" t="s">
        <v>237</v>
      </c>
      <c r="B1371" t="s">
        <v>2667</v>
      </c>
      <c r="C1371">
        <v>2021</v>
      </c>
      <c r="E1371" t="s">
        <v>2985</v>
      </c>
      <c r="F1371" t="s">
        <v>8450</v>
      </c>
      <c r="G1371" t="s">
        <v>3990</v>
      </c>
    </row>
    <row r="1372" spans="1:7" x14ac:dyDescent="0.25">
      <c r="A1372" t="s">
        <v>353</v>
      </c>
      <c r="B1372" t="s">
        <v>2667</v>
      </c>
      <c r="C1372">
        <v>2023</v>
      </c>
      <c r="E1372" t="s">
        <v>2985</v>
      </c>
      <c r="F1372" t="s">
        <v>8524</v>
      </c>
      <c r="G1372" t="s">
        <v>3990</v>
      </c>
    </row>
    <row r="1373" spans="1:7" x14ac:dyDescent="0.25">
      <c r="A1373" t="s">
        <v>1435</v>
      </c>
      <c r="B1373" t="s">
        <v>2667</v>
      </c>
      <c r="C1373">
        <v>2021</v>
      </c>
      <c r="E1373" t="s">
        <v>2985</v>
      </c>
      <c r="F1373" t="s">
        <v>8837</v>
      </c>
      <c r="G1373" t="s">
        <v>3990</v>
      </c>
    </row>
    <row r="1374" spans="1:7" x14ac:dyDescent="0.25">
      <c r="A1374" t="s">
        <v>1690</v>
      </c>
      <c r="B1374" t="s">
        <v>2667</v>
      </c>
      <c r="C1374">
        <v>2020</v>
      </c>
      <c r="E1374" t="s">
        <v>2985</v>
      </c>
      <c r="F1374" t="s">
        <v>8902</v>
      </c>
      <c r="G1374" t="s">
        <v>3990</v>
      </c>
    </row>
    <row r="1375" spans="1:7" x14ac:dyDescent="0.25">
      <c r="A1375" t="s">
        <v>90</v>
      </c>
      <c r="B1375" t="s">
        <v>2667</v>
      </c>
      <c r="C1375">
        <v>2017</v>
      </c>
      <c r="E1375" t="s">
        <v>2985</v>
      </c>
      <c r="F1375" t="s">
        <v>9159</v>
      </c>
      <c r="G1375" t="s">
        <v>3990</v>
      </c>
    </row>
    <row r="1376" spans="1:7" x14ac:dyDescent="0.25">
      <c r="A1376" t="s">
        <v>778</v>
      </c>
      <c r="B1376" t="s">
        <v>2669</v>
      </c>
      <c r="C1376">
        <v>2023</v>
      </c>
      <c r="E1376" t="s">
        <v>3127</v>
      </c>
      <c r="F1376" t="s">
        <v>8629</v>
      </c>
      <c r="G1376" t="s">
        <v>3990</v>
      </c>
    </row>
    <row r="1377" spans="1:7" x14ac:dyDescent="0.25">
      <c r="A1377" t="s">
        <v>811</v>
      </c>
      <c r="B1377" t="s">
        <v>2669</v>
      </c>
      <c r="C1377">
        <v>2024</v>
      </c>
      <c r="E1377" t="s">
        <v>3127</v>
      </c>
      <c r="F1377" t="s">
        <v>8633</v>
      </c>
      <c r="G1377" t="s">
        <v>3990</v>
      </c>
    </row>
    <row r="1378" spans="1:7" x14ac:dyDescent="0.25">
      <c r="A1378" t="s">
        <v>2804</v>
      </c>
      <c r="B1378" t="s">
        <v>2669</v>
      </c>
      <c r="C1378">
        <v>2021</v>
      </c>
      <c r="E1378" t="s">
        <v>3013</v>
      </c>
      <c r="F1378" t="s">
        <v>9769</v>
      </c>
      <c r="G1378" t="s">
        <v>187</v>
      </c>
    </row>
    <row r="1379" spans="1:7" x14ac:dyDescent="0.25">
      <c r="A1379" t="s">
        <v>2196</v>
      </c>
      <c r="B1379" t="s">
        <v>2671</v>
      </c>
      <c r="C1379">
        <v>2021</v>
      </c>
      <c r="E1379" t="s">
        <v>3336</v>
      </c>
      <c r="F1379" t="s">
        <v>9770</v>
      </c>
      <c r="G1379" t="s">
        <v>187</v>
      </c>
    </row>
    <row r="1380" spans="1:7" x14ac:dyDescent="0.25">
      <c r="A1380" t="s">
        <v>90</v>
      </c>
      <c r="B1380" t="s">
        <v>2671</v>
      </c>
      <c r="C1380">
        <v>2017</v>
      </c>
      <c r="E1380" t="s">
        <v>2982</v>
      </c>
      <c r="F1380" t="s">
        <v>9160</v>
      </c>
      <c r="G1380" t="s">
        <v>3990</v>
      </c>
    </row>
    <row r="1381" spans="1:7" x14ac:dyDescent="0.25">
      <c r="A1381" t="s">
        <v>1046</v>
      </c>
      <c r="B1381" t="s">
        <v>2675</v>
      </c>
      <c r="C1381">
        <v>2016</v>
      </c>
      <c r="E1381" t="s">
        <v>3190</v>
      </c>
      <c r="F1381" t="s">
        <v>8726</v>
      </c>
      <c r="G1381" t="s">
        <v>3990</v>
      </c>
    </row>
    <row r="1382" spans="1:7" x14ac:dyDescent="0.25">
      <c r="A1382" t="s">
        <v>1294</v>
      </c>
      <c r="B1382" t="s">
        <v>2675</v>
      </c>
      <c r="C1382">
        <v>2019</v>
      </c>
      <c r="E1382" t="s">
        <v>3190</v>
      </c>
      <c r="F1382" t="s">
        <v>8811</v>
      </c>
      <c r="G1382" t="s">
        <v>3990</v>
      </c>
    </row>
    <row r="1383" spans="1:7" x14ac:dyDescent="0.25">
      <c r="A1383" t="s">
        <v>160</v>
      </c>
      <c r="B1383" t="s">
        <v>2679</v>
      </c>
      <c r="C1383">
        <v>2011</v>
      </c>
      <c r="E1383" t="s">
        <v>3411</v>
      </c>
      <c r="F1383" t="s">
        <v>9294</v>
      </c>
      <c r="G1383" t="s">
        <v>3990</v>
      </c>
    </row>
    <row r="1384" spans="1:7" x14ac:dyDescent="0.25">
      <c r="A1384" t="s">
        <v>2721</v>
      </c>
      <c r="B1384" t="s">
        <v>2681</v>
      </c>
      <c r="C1384">
        <v>1993</v>
      </c>
      <c r="E1384" t="s">
        <v>3419</v>
      </c>
      <c r="F1384" t="s">
        <v>9311</v>
      </c>
      <c r="G1384" t="s">
        <v>3990</v>
      </c>
    </row>
    <row r="1385" spans="1:7" x14ac:dyDescent="0.25">
      <c r="A1385" t="s">
        <v>353</v>
      </c>
      <c r="B1385" t="s">
        <v>2686</v>
      </c>
      <c r="C1385">
        <v>2023</v>
      </c>
      <c r="E1385" t="s">
        <v>3050</v>
      </c>
      <c r="F1385" t="s">
        <v>8525</v>
      </c>
      <c r="G1385" t="s">
        <v>3990</v>
      </c>
    </row>
    <row r="1386" spans="1:7" x14ac:dyDescent="0.25">
      <c r="A1386" t="s">
        <v>2318</v>
      </c>
      <c r="B1386" t="s">
        <v>2686</v>
      </c>
      <c r="C1386">
        <v>2023</v>
      </c>
      <c r="E1386" t="s">
        <v>2982</v>
      </c>
      <c r="F1386" t="s">
        <v>9058</v>
      </c>
      <c r="G1386" t="s">
        <v>3990</v>
      </c>
    </row>
    <row r="1387" spans="1:7" x14ac:dyDescent="0.25">
      <c r="A1387" t="s">
        <v>90</v>
      </c>
      <c r="B1387" t="s">
        <v>2686</v>
      </c>
      <c r="C1387">
        <v>2017</v>
      </c>
      <c r="E1387" t="s">
        <v>2982</v>
      </c>
      <c r="F1387" t="s">
        <v>9161</v>
      </c>
      <c r="G1387" t="s">
        <v>3990</v>
      </c>
    </row>
    <row r="1388" spans="1:7" x14ac:dyDescent="0.25">
      <c r="A1388" t="s">
        <v>2804</v>
      </c>
      <c r="B1388" t="s">
        <v>2688</v>
      </c>
      <c r="C1388">
        <v>2021</v>
      </c>
      <c r="E1388" t="s">
        <v>3428</v>
      </c>
      <c r="F1388" t="s">
        <v>9345</v>
      </c>
      <c r="G1388" t="s">
        <v>3990</v>
      </c>
    </row>
    <row r="1389" spans="1:7" x14ac:dyDescent="0.25">
      <c r="A1389" t="s">
        <v>2804</v>
      </c>
      <c r="B1389" t="s">
        <v>2691</v>
      </c>
      <c r="C1389">
        <v>2021</v>
      </c>
      <c r="E1389" t="s">
        <v>3013</v>
      </c>
      <c r="F1389" t="s">
        <v>9771</v>
      </c>
      <c r="G1389" t="s">
        <v>187</v>
      </c>
    </row>
    <row r="1390" spans="1:7" x14ac:dyDescent="0.25">
      <c r="A1390" t="s">
        <v>1817</v>
      </c>
      <c r="B1390" t="s">
        <v>7947</v>
      </c>
      <c r="C1390">
        <v>2019</v>
      </c>
      <c r="E1390" s="10" t="s">
        <v>7946</v>
      </c>
      <c r="F1390" t="s">
        <v>8946</v>
      </c>
      <c r="G1390" t="s">
        <v>3990</v>
      </c>
    </row>
    <row r="1391" spans="1:7" x14ac:dyDescent="0.25">
      <c r="A1391" t="s">
        <v>90</v>
      </c>
      <c r="B1391" t="s">
        <v>7947</v>
      </c>
      <c r="C1391">
        <v>2017</v>
      </c>
      <c r="E1391" s="10" t="s">
        <v>7946</v>
      </c>
      <c r="F1391" t="s">
        <v>9162</v>
      </c>
      <c r="G1391" t="s">
        <v>3990</v>
      </c>
    </row>
    <row r="1392" spans="1:7" x14ac:dyDescent="0.25">
      <c r="A1392" t="s">
        <v>209</v>
      </c>
      <c r="B1392" t="s">
        <v>2695</v>
      </c>
      <c r="C1392">
        <v>2024</v>
      </c>
      <c r="E1392" t="s">
        <v>2984</v>
      </c>
      <c r="F1392" t="s">
        <v>8449</v>
      </c>
      <c r="G1392" t="s">
        <v>3990</v>
      </c>
    </row>
    <row r="1393" spans="1:7" x14ac:dyDescent="0.25">
      <c r="A1393" t="s">
        <v>344</v>
      </c>
      <c r="B1393" t="s">
        <v>2695</v>
      </c>
      <c r="C1393">
        <v>2023</v>
      </c>
      <c r="E1393" t="s">
        <v>2984</v>
      </c>
      <c r="F1393" t="s">
        <v>8479</v>
      </c>
      <c r="G1393" t="s">
        <v>3990</v>
      </c>
    </row>
    <row r="1394" spans="1:7" x14ac:dyDescent="0.25">
      <c r="A1394" t="s">
        <v>2506</v>
      </c>
      <c r="B1394" t="s">
        <v>2695</v>
      </c>
      <c r="C1394">
        <v>2021</v>
      </c>
      <c r="E1394" t="s">
        <v>2984</v>
      </c>
      <c r="F1394" t="s">
        <v>9231</v>
      </c>
      <c r="G1394" t="s">
        <v>3990</v>
      </c>
    </row>
    <row r="1395" spans="1:7" x14ac:dyDescent="0.25">
      <c r="A1395" t="s">
        <v>2594</v>
      </c>
      <c r="B1395" t="s">
        <v>2695</v>
      </c>
      <c r="C1395">
        <v>2019</v>
      </c>
      <c r="E1395" t="s">
        <v>2984</v>
      </c>
      <c r="F1395" t="s">
        <v>9243</v>
      </c>
      <c r="G1395" t="s">
        <v>3990</v>
      </c>
    </row>
    <row r="1396" spans="1:7" x14ac:dyDescent="0.25">
      <c r="A1396" t="s">
        <v>847</v>
      </c>
      <c r="B1396" t="s">
        <v>2698</v>
      </c>
      <c r="C1396">
        <v>1996</v>
      </c>
      <c r="E1396" s="10" t="s">
        <v>9368</v>
      </c>
      <c r="F1396" t="s">
        <v>10029</v>
      </c>
      <c r="G1396" t="s">
        <v>3990</v>
      </c>
    </row>
    <row r="1397" spans="1:7" x14ac:dyDescent="0.25">
      <c r="A1397" t="s">
        <v>1046</v>
      </c>
      <c r="B1397" t="s">
        <v>2698</v>
      </c>
      <c r="C1397">
        <v>2016</v>
      </c>
      <c r="E1397" t="s">
        <v>3191</v>
      </c>
      <c r="F1397" t="s">
        <v>10029</v>
      </c>
      <c r="G1397" t="s">
        <v>3990</v>
      </c>
    </row>
    <row r="1398" spans="1:7" x14ac:dyDescent="0.25">
      <c r="A1398" t="s">
        <v>1294</v>
      </c>
      <c r="B1398" t="s">
        <v>2698</v>
      </c>
      <c r="C1398">
        <v>2019</v>
      </c>
      <c r="E1398" t="s">
        <v>3191</v>
      </c>
      <c r="F1398" t="s">
        <v>8812</v>
      </c>
      <c r="G1398" t="s">
        <v>3990</v>
      </c>
    </row>
    <row r="1399" spans="1:7" x14ac:dyDescent="0.25">
      <c r="A1399" t="s">
        <v>1855</v>
      </c>
      <c r="B1399" t="s">
        <v>2698</v>
      </c>
      <c r="C1399">
        <v>2015</v>
      </c>
      <c r="E1399" t="s">
        <v>3191</v>
      </c>
      <c r="F1399" t="s">
        <v>10029</v>
      </c>
      <c r="G1399" t="s">
        <v>3990</v>
      </c>
    </row>
    <row r="1400" spans="1:7" x14ac:dyDescent="0.25">
      <c r="A1400" t="s">
        <v>2099</v>
      </c>
      <c r="B1400" t="s">
        <v>2698</v>
      </c>
      <c r="C1400">
        <v>2021</v>
      </c>
      <c r="E1400" s="10" t="s">
        <v>8370</v>
      </c>
      <c r="F1400" t="s">
        <v>8991</v>
      </c>
      <c r="G1400" t="s">
        <v>3990</v>
      </c>
    </row>
    <row r="1401" spans="1:7" x14ac:dyDescent="0.25">
      <c r="A1401" t="s">
        <v>160</v>
      </c>
      <c r="B1401" t="s">
        <v>2698</v>
      </c>
      <c r="C1401">
        <v>2011</v>
      </c>
      <c r="E1401" t="s">
        <v>3191</v>
      </c>
      <c r="F1401" t="s">
        <v>10029</v>
      </c>
      <c r="G1401" t="s">
        <v>3990</v>
      </c>
    </row>
    <row r="1402" spans="1:7" x14ac:dyDescent="0.25">
      <c r="A1402" t="s">
        <v>2804</v>
      </c>
      <c r="B1402" t="s">
        <v>2698</v>
      </c>
      <c r="C1402">
        <v>2021</v>
      </c>
      <c r="E1402" s="10" t="s">
        <v>3191</v>
      </c>
      <c r="F1402" t="s">
        <v>10029</v>
      </c>
      <c r="G1402" t="s">
        <v>3990</v>
      </c>
    </row>
    <row r="1403" spans="1:7" x14ac:dyDescent="0.25">
      <c r="A1403" t="s">
        <v>746</v>
      </c>
      <c r="B1403" t="s">
        <v>2702</v>
      </c>
      <c r="C1403">
        <v>2015</v>
      </c>
      <c r="E1403" t="s">
        <v>2982</v>
      </c>
      <c r="F1403" t="s">
        <v>8601</v>
      </c>
      <c r="G1403" t="s">
        <v>3990</v>
      </c>
    </row>
    <row r="1404" spans="1:7" x14ac:dyDescent="0.25">
      <c r="A1404" t="s">
        <v>2154</v>
      </c>
      <c r="B1404" t="s">
        <v>2706</v>
      </c>
      <c r="C1404">
        <v>1980</v>
      </c>
      <c r="E1404" t="s">
        <v>3327</v>
      </c>
      <c r="F1404" t="s">
        <v>9034</v>
      </c>
      <c r="G1404" t="s">
        <v>3990</v>
      </c>
    </row>
    <row r="1405" spans="1:7" x14ac:dyDescent="0.25">
      <c r="A1405" t="s">
        <v>2706</v>
      </c>
      <c r="B1405" t="s">
        <v>2709</v>
      </c>
      <c r="C1405">
        <v>1991</v>
      </c>
      <c r="D1405" t="s">
        <v>187</v>
      </c>
      <c r="F1405" t="s">
        <v>9772</v>
      </c>
      <c r="G1405" t="s">
        <v>3990</v>
      </c>
    </row>
    <row r="1406" spans="1:7" x14ac:dyDescent="0.25">
      <c r="A1406" t="s">
        <v>1046</v>
      </c>
      <c r="B1406" t="s">
        <v>2711</v>
      </c>
      <c r="C1406">
        <v>2016</v>
      </c>
      <c r="E1406" t="s">
        <v>3192</v>
      </c>
      <c r="F1406" t="s">
        <v>8727</v>
      </c>
      <c r="G1406" t="s">
        <v>3990</v>
      </c>
    </row>
    <row r="1407" spans="1:7" x14ac:dyDescent="0.25">
      <c r="A1407" t="s">
        <v>160</v>
      </c>
      <c r="B1407" t="s">
        <v>2711</v>
      </c>
      <c r="C1407">
        <v>2011</v>
      </c>
      <c r="E1407" t="s">
        <v>3192</v>
      </c>
      <c r="F1407" t="s">
        <v>9295</v>
      </c>
      <c r="G1407" t="s">
        <v>3990</v>
      </c>
    </row>
    <row r="1408" spans="1:7" x14ac:dyDescent="0.25">
      <c r="A1408" t="s">
        <v>2721</v>
      </c>
      <c r="B1408" t="s">
        <v>2715</v>
      </c>
      <c r="C1408">
        <v>1993</v>
      </c>
      <c r="D1408" t="s">
        <v>187</v>
      </c>
      <c r="F1408" t="s">
        <v>9773</v>
      </c>
      <c r="G1408" t="s">
        <v>3990</v>
      </c>
    </row>
    <row r="1409" spans="1:7" x14ac:dyDescent="0.25">
      <c r="A1409" t="s">
        <v>2715</v>
      </c>
      <c r="B1409" t="s">
        <v>2718</v>
      </c>
      <c r="C1409">
        <v>1999</v>
      </c>
      <c r="D1409" t="s">
        <v>187</v>
      </c>
      <c r="F1409" t="s">
        <v>9774</v>
      </c>
      <c r="G1409" t="s">
        <v>3990</v>
      </c>
    </row>
    <row r="1410" spans="1:7" x14ac:dyDescent="0.25">
      <c r="A1410" t="s">
        <v>2154</v>
      </c>
      <c r="B1410" t="s">
        <v>2721</v>
      </c>
      <c r="C1410">
        <v>1980</v>
      </c>
      <c r="E1410" t="s">
        <v>3328</v>
      </c>
      <c r="F1410" t="s">
        <v>9035</v>
      </c>
      <c r="G1410" t="s">
        <v>3990</v>
      </c>
    </row>
    <row r="1411" spans="1:7" x14ac:dyDescent="0.25">
      <c r="A1411" t="s">
        <v>964</v>
      </c>
      <c r="B1411" t="s">
        <v>2724</v>
      </c>
      <c r="C1411">
        <v>2006</v>
      </c>
      <c r="E1411" t="s">
        <v>2727</v>
      </c>
      <c r="F1411" t="s">
        <v>8692</v>
      </c>
      <c r="G1411" t="s">
        <v>3990</v>
      </c>
    </row>
    <row r="1412" spans="1:7" x14ac:dyDescent="0.25">
      <c r="A1412" t="s">
        <v>1157</v>
      </c>
      <c r="B1412" t="s">
        <v>2728</v>
      </c>
      <c r="C1412">
        <v>2014</v>
      </c>
      <c r="D1412" t="s">
        <v>187</v>
      </c>
      <c r="F1412" t="s">
        <v>9775</v>
      </c>
      <c r="G1412" t="s">
        <v>3990</v>
      </c>
    </row>
    <row r="1413" spans="1:7" x14ac:dyDescent="0.25">
      <c r="A1413" t="s">
        <v>1659</v>
      </c>
      <c r="B1413" t="s">
        <v>2731</v>
      </c>
      <c r="C1413">
        <v>2012</v>
      </c>
      <c r="D1413" t="s">
        <v>187</v>
      </c>
      <c r="F1413" t="s">
        <v>9776</v>
      </c>
      <c r="G1413" t="s">
        <v>3990</v>
      </c>
    </row>
    <row r="1414" spans="1:7" x14ac:dyDescent="0.25">
      <c r="A1414" t="s">
        <v>90</v>
      </c>
      <c r="B1414" t="s">
        <v>2734</v>
      </c>
      <c r="C1414">
        <v>2017</v>
      </c>
      <c r="E1414" s="10" t="s">
        <v>14041</v>
      </c>
      <c r="F1414" t="s">
        <v>9777</v>
      </c>
      <c r="G1414" t="s">
        <v>3990</v>
      </c>
    </row>
    <row r="1415" spans="1:7" x14ac:dyDescent="0.25">
      <c r="A1415" t="s">
        <v>2185</v>
      </c>
      <c r="B1415" t="s">
        <v>2736</v>
      </c>
      <c r="C1415">
        <v>2022</v>
      </c>
      <c r="E1415" t="s">
        <v>3335</v>
      </c>
      <c r="F1415" t="s">
        <v>9051</v>
      </c>
      <c r="G1415" t="s">
        <v>3990</v>
      </c>
    </row>
    <row r="1416" spans="1:7" x14ac:dyDescent="0.25">
      <c r="A1416" t="s">
        <v>1690</v>
      </c>
      <c r="B1416" t="s">
        <v>2738</v>
      </c>
      <c r="C1416">
        <v>2020</v>
      </c>
      <c r="E1416" t="s">
        <v>2982</v>
      </c>
      <c r="F1416" t="s">
        <v>8903</v>
      </c>
      <c r="G1416" t="s">
        <v>3990</v>
      </c>
    </row>
    <row r="1417" spans="1:7" x14ac:dyDescent="0.25">
      <c r="A1417" t="s">
        <v>90</v>
      </c>
      <c r="B1417" t="s">
        <v>2738</v>
      </c>
      <c r="C1417">
        <v>2017</v>
      </c>
      <c r="E1417" t="s">
        <v>2982</v>
      </c>
      <c r="F1417" t="s">
        <v>9163</v>
      </c>
      <c r="G1417" t="s">
        <v>3990</v>
      </c>
    </row>
    <row r="1418" spans="1:7" x14ac:dyDescent="0.25">
      <c r="A1418" t="s">
        <v>1365</v>
      </c>
      <c r="B1418" t="s">
        <v>2742</v>
      </c>
      <c r="C1418">
        <v>2018</v>
      </c>
      <c r="E1418" t="s">
        <v>2982</v>
      </c>
      <c r="F1418" t="s">
        <v>8822</v>
      </c>
      <c r="G1418" t="s">
        <v>3990</v>
      </c>
    </row>
    <row r="1419" spans="1:7" x14ac:dyDescent="0.25">
      <c r="A1419" t="s">
        <v>2804</v>
      </c>
      <c r="B1419" t="s">
        <v>2742</v>
      </c>
      <c r="C1419">
        <v>2021</v>
      </c>
      <c r="E1419" t="s">
        <v>2982</v>
      </c>
      <c r="F1419" t="s">
        <v>9346</v>
      </c>
      <c r="G1419" t="s">
        <v>3990</v>
      </c>
    </row>
    <row r="1420" spans="1:7" x14ac:dyDescent="0.25">
      <c r="A1420" t="s">
        <v>930</v>
      </c>
      <c r="B1420" t="s">
        <v>2744</v>
      </c>
      <c r="C1420">
        <v>2015</v>
      </c>
      <c r="E1420" t="s">
        <v>3159</v>
      </c>
      <c r="F1420" t="s">
        <v>8684</v>
      </c>
      <c r="G1420" t="s">
        <v>3990</v>
      </c>
    </row>
    <row r="1421" spans="1:7" x14ac:dyDescent="0.25">
      <c r="A1421" t="s">
        <v>160</v>
      </c>
      <c r="B1421" t="s">
        <v>2747</v>
      </c>
      <c r="C1421">
        <v>2011</v>
      </c>
      <c r="E1421" t="s">
        <v>3412</v>
      </c>
      <c r="F1421" t="s">
        <v>9296</v>
      </c>
      <c r="G1421" t="s">
        <v>3990</v>
      </c>
    </row>
    <row r="1422" spans="1:7" x14ac:dyDescent="0.25">
      <c r="A1422" t="s">
        <v>1144</v>
      </c>
      <c r="B1422" t="s">
        <v>2751</v>
      </c>
      <c r="C1422">
        <v>2012</v>
      </c>
      <c r="E1422" t="s">
        <v>2982</v>
      </c>
      <c r="F1422" t="s">
        <v>8762</v>
      </c>
      <c r="G1422" t="s">
        <v>3990</v>
      </c>
    </row>
    <row r="1423" spans="1:7" x14ac:dyDescent="0.25">
      <c r="A1423" t="s">
        <v>90</v>
      </c>
      <c r="B1423" t="s">
        <v>2751</v>
      </c>
      <c r="C1423">
        <v>2017</v>
      </c>
      <c r="E1423" t="s">
        <v>2982</v>
      </c>
      <c r="F1423" t="s">
        <v>9164</v>
      </c>
      <c r="G1423" t="s">
        <v>3990</v>
      </c>
    </row>
    <row r="1424" spans="1:7" x14ac:dyDescent="0.25">
      <c r="A1424" t="s">
        <v>344</v>
      </c>
      <c r="B1424" t="s">
        <v>2755</v>
      </c>
      <c r="C1424">
        <v>2023</v>
      </c>
      <c r="E1424" t="s">
        <v>3013</v>
      </c>
      <c r="F1424" t="s">
        <v>9778</v>
      </c>
      <c r="G1424" t="s">
        <v>187</v>
      </c>
    </row>
    <row r="1425" spans="1:7" x14ac:dyDescent="0.25">
      <c r="A1425" t="s">
        <v>1443</v>
      </c>
      <c r="B1425" t="s">
        <v>8101</v>
      </c>
      <c r="C1425">
        <v>2018</v>
      </c>
      <c r="E1425" s="10" t="s">
        <v>8111</v>
      </c>
      <c r="F1425" t="s">
        <v>8856</v>
      </c>
      <c r="G1425" t="s">
        <v>3990</v>
      </c>
    </row>
    <row r="1426" spans="1:7" x14ac:dyDescent="0.25">
      <c r="A1426" t="s">
        <v>1144</v>
      </c>
      <c r="B1426" t="s">
        <v>2757</v>
      </c>
      <c r="C1426">
        <v>2012</v>
      </c>
      <c r="E1426" t="s">
        <v>2982</v>
      </c>
      <c r="F1426" t="s">
        <v>8763</v>
      </c>
      <c r="G1426" t="s">
        <v>3990</v>
      </c>
    </row>
    <row r="1427" spans="1:7" x14ac:dyDescent="0.25">
      <c r="A1427" t="s">
        <v>930</v>
      </c>
      <c r="B1427" t="s">
        <v>2760</v>
      </c>
      <c r="C1427">
        <v>2015</v>
      </c>
      <c r="E1427" t="s">
        <v>3160</v>
      </c>
      <c r="F1427" t="s">
        <v>8685</v>
      </c>
      <c r="G1427" t="s">
        <v>3990</v>
      </c>
    </row>
    <row r="1428" spans="1:7" x14ac:dyDescent="0.25">
      <c r="A1428" t="s">
        <v>2428</v>
      </c>
      <c r="B1428" t="s">
        <v>2760</v>
      </c>
      <c r="C1428">
        <v>2008</v>
      </c>
      <c r="E1428" t="s">
        <v>3160</v>
      </c>
      <c r="F1428" t="s">
        <v>9215</v>
      </c>
      <c r="G1428" t="s">
        <v>3990</v>
      </c>
    </row>
    <row r="1429" spans="1:7" x14ac:dyDescent="0.25">
      <c r="A1429" t="s">
        <v>160</v>
      </c>
      <c r="B1429" t="s">
        <v>2760</v>
      </c>
      <c r="C1429">
        <v>2011</v>
      </c>
      <c r="E1429" t="s">
        <v>3160</v>
      </c>
      <c r="F1429" t="s">
        <v>9297</v>
      </c>
      <c r="G1429" t="s">
        <v>3990</v>
      </c>
    </row>
    <row r="1430" spans="1:7" x14ac:dyDescent="0.25">
      <c r="A1430" t="s">
        <v>344</v>
      </c>
      <c r="B1430" t="s">
        <v>2763</v>
      </c>
      <c r="C1430">
        <v>2023</v>
      </c>
      <c r="E1430" s="10" t="s">
        <v>3014</v>
      </c>
      <c r="F1430" t="s">
        <v>10030</v>
      </c>
      <c r="G1430" t="s">
        <v>3990</v>
      </c>
    </row>
    <row r="1431" spans="1:7" x14ac:dyDescent="0.25">
      <c r="A1431" t="s">
        <v>2614</v>
      </c>
      <c r="B1431" t="s">
        <v>2763</v>
      </c>
      <c r="C1431">
        <v>2025</v>
      </c>
      <c r="E1431" s="10" t="s">
        <v>3014</v>
      </c>
      <c r="F1431" t="s">
        <v>10030</v>
      </c>
      <c r="G1431" t="s">
        <v>3990</v>
      </c>
    </row>
    <row r="1432" spans="1:7" x14ac:dyDescent="0.25">
      <c r="A1432" t="s">
        <v>759</v>
      </c>
      <c r="B1432" t="s">
        <v>2766</v>
      </c>
      <c r="C1432">
        <v>2018</v>
      </c>
      <c r="E1432" t="s">
        <v>2982</v>
      </c>
      <c r="F1432" t="s">
        <v>8623</v>
      </c>
      <c r="G1432" t="s">
        <v>3990</v>
      </c>
    </row>
    <row r="1433" spans="1:7" x14ac:dyDescent="0.25">
      <c r="A1433" t="s">
        <v>1004</v>
      </c>
      <c r="B1433" t="s">
        <v>2769</v>
      </c>
      <c r="C1433">
        <v>2006</v>
      </c>
      <c r="E1433" s="10" t="s">
        <v>3174</v>
      </c>
      <c r="F1433" t="s">
        <v>14040</v>
      </c>
      <c r="G1433" t="s">
        <v>3990</v>
      </c>
    </row>
    <row r="1434" spans="1:7" x14ac:dyDescent="0.25">
      <c r="A1434" t="s">
        <v>160</v>
      </c>
      <c r="B1434" t="s">
        <v>2769</v>
      </c>
      <c r="C1434">
        <v>2011</v>
      </c>
      <c r="E1434" s="10" t="s">
        <v>3174</v>
      </c>
      <c r="F1434" t="s">
        <v>14039</v>
      </c>
      <c r="G1434" t="s">
        <v>3990</v>
      </c>
    </row>
    <row r="1435" spans="1:7" x14ac:dyDescent="0.25">
      <c r="A1435" t="s">
        <v>256</v>
      </c>
      <c r="B1435" t="s">
        <v>2771</v>
      </c>
      <c r="C1435">
        <v>1994</v>
      </c>
      <c r="D1435" t="s">
        <v>187</v>
      </c>
      <c r="F1435" t="s">
        <v>9779</v>
      </c>
      <c r="G1435" t="s">
        <v>3990</v>
      </c>
    </row>
    <row r="1436" spans="1:7" x14ac:dyDescent="0.25">
      <c r="A1436" t="s">
        <v>2136</v>
      </c>
      <c r="B1436" t="s">
        <v>12684</v>
      </c>
      <c r="C1436">
        <v>2020</v>
      </c>
      <c r="E1436" s="10" t="s">
        <v>12687</v>
      </c>
      <c r="F1436" t="s">
        <v>12688</v>
      </c>
      <c r="G1436" t="s">
        <v>3990</v>
      </c>
    </row>
    <row r="1437" spans="1:7" x14ac:dyDescent="0.25">
      <c r="A1437" t="s">
        <v>353</v>
      </c>
      <c r="B1437" t="s">
        <v>7687</v>
      </c>
      <c r="C1437">
        <v>2023</v>
      </c>
      <c r="E1437" t="s">
        <v>7686</v>
      </c>
      <c r="F1437" t="s">
        <v>8526</v>
      </c>
      <c r="G1437" t="s">
        <v>3990</v>
      </c>
    </row>
    <row r="1438" spans="1:7" x14ac:dyDescent="0.25">
      <c r="A1438" t="s">
        <v>2506</v>
      </c>
      <c r="B1438" t="s">
        <v>7687</v>
      </c>
      <c r="C1438">
        <v>2021</v>
      </c>
      <c r="E1438" t="s">
        <v>7686</v>
      </c>
      <c r="F1438" t="s">
        <v>9232</v>
      </c>
      <c r="G1438" t="s">
        <v>3990</v>
      </c>
    </row>
    <row r="1439" spans="1:7" x14ac:dyDescent="0.25">
      <c r="A1439" t="s">
        <v>759</v>
      </c>
      <c r="B1439" t="s">
        <v>2782</v>
      </c>
      <c r="C1439">
        <v>2018</v>
      </c>
      <c r="E1439" t="s">
        <v>3124</v>
      </c>
      <c r="F1439" t="s">
        <v>8624</v>
      </c>
      <c r="G1439" t="s">
        <v>3990</v>
      </c>
    </row>
    <row r="1440" spans="1:7" x14ac:dyDescent="0.25">
      <c r="A1440" t="s">
        <v>1046</v>
      </c>
      <c r="B1440" t="s">
        <v>2782</v>
      </c>
      <c r="C1440">
        <v>2016</v>
      </c>
      <c r="E1440" s="10" t="s">
        <v>8415</v>
      </c>
      <c r="F1440" t="s">
        <v>8728</v>
      </c>
      <c r="G1440" t="s">
        <v>3990</v>
      </c>
    </row>
    <row r="1441" spans="1:7" x14ac:dyDescent="0.25">
      <c r="A1441" t="s">
        <v>2173</v>
      </c>
      <c r="B1441" t="s">
        <v>2782</v>
      </c>
      <c r="C1441">
        <v>2013</v>
      </c>
      <c r="E1441" t="s">
        <v>3124</v>
      </c>
      <c r="F1441" t="s">
        <v>9049</v>
      </c>
      <c r="G1441" t="s">
        <v>3990</v>
      </c>
    </row>
    <row r="1442" spans="1:7" x14ac:dyDescent="0.25">
      <c r="A1442" t="s">
        <v>90</v>
      </c>
      <c r="B1442" t="s">
        <v>2782</v>
      </c>
      <c r="C1442">
        <v>2017</v>
      </c>
      <c r="E1442" s="10" t="s">
        <v>9392</v>
      </c>
      <c r="F1442" t="s">
        <v>9393</v>
      </c>
      <c r="G1442" t="s">
        <v>3990</v>
      </c>
    </row>
    <row r="1443" spans="1:7" x14ac:dyDescent="0.25">
      <c r="A1443" t="s">
        <v>160</v>
      </c>
      <c r="B1443" t="s">
        <v>2782</v>
      </c>
      <c r="C1443">
        <v>2011</v>
      </c>
      <c r="E1443" t="s">
        <v>3124</v>
      </c>
      <c r="F1443" t="s">
        <v>9298</v>
      </c>
      <c r="G1443" t="s">
        <v>3990</v>
      </c>
    </row>
    <row r="1444" spans="1:7" x14ac:dyDescent="0.25">
      <c r="A1444" t="s">
        <v>1294</v>
      </c>
      <c r="B1444" t="s">
        <v>2786</v>
      </c>
      <c r="C1444">
        <v>2019</v>
      </c>
      <c r="E1444" s="10" t="s">
        <v>8415</v>
      </c>
      <c r="F1444" t="s">
        <v>9366</v>
      </c>
      <c r="G1444" t="s">
        <v>3990</v>
      </c>
    </row>
    <row r="1445" spans="1:7" x14ac:dyDescent="0.25">
      <c r="A1445" t="s">
        <v>2782</v>
      </c>
      <c r="B1445" t="s">
        <v>2786</v>
      </c>
      <c r="C1445">
        <v>2019</v>
      </c>
      <c r="D1445" t="s">
        <v>187</v>
      </c>
      <c r="F1445" t="s">
        <v>9780</v>
      </c>
      <c r="G1445" t="s">
        <v>3990</v>
      </c>
    </row>
    <row r="1446" spans="1:7" x14ac:dyDescent="0.25">
      <c r="A1446" t="s">
        <v>490</v>
      </c>
      <c r="B1446" t="s">
        <v>2788</v>
      </c>
      <c r="C1446">
        <v>2009</v>
      </c>
      <c r="E1446" t="s">
        <v>3063</v>
      </c>
      <c r="F1446" t="s">
        <v>8539</v>
      </c>
      <c r="G1446" t="s">
        <v>3990</v>
      </c>
    </row>
    <row r="1447" spans="1:7" x14ac:dyDescent="0.25">
      <c r="A1447" t="s">
        <v>1795</v>
      </c>
      <c r="B1447" t="s">
        <v>2788</v>
      </c>
      <c r="C1447">
        <v>1987</v>
      </c>
      <c r="E1447" s="10" t="s">
        <v>8388</v>
      </c>
      <c r="F1447" t="s">
        <v>8940</v>
      </c>
      <c r="G1447" t="s">
        <v>3990</v>
      </c>
    </row>
    <row r="1448" spans="1:7" x14ac:dyDescent="0.25">
      <c r="A1448" t="s">
        <v>2154</v>
      </c>
      <c r="B1448" t="s">
        <v>2788</v>
      </c>
      <c r="C1448">
        <v>1980</v>
      </c>
      <c r="E1448" s="10" t="s">
        <v>8388</v>
      </c>
      <c r="F1448" t="s">
        <v>9036</v>
      </c>
      <c r="G1448" t="s">
        <v>3990</v>
      </c>
    </row>
    <row r="1449" spans="1:7" x14ac:dyDescent="0.25">
      <c r="A1449" t="s">
        <v>2788</v>
      </c>
      <c r="B1449" t="s">
        <v>2790</v>
      </c>
      <c r="C1449">
        <v>2017</v>
      </c>
      <c r="D1449" t="s">
        <v>187</v>
      </c>
      <c r="F1449" t="s">
        <v>9781</v>
      </c>
      <c r="G1449" t="s">
        <v>3990</v>
      </c>
    </row>
    <row r="1450" spans="1:7" x14ac:dyDescent="0.25">
      <c r="A1450" t="s">
        <v>1795</v>
      </c>
      <c r="B1450" t="s">
        <v>2792</v>
      </c>
      <c r="C1450">
        <v>1987</v>
      </c>
      <c r="E1450" t="s">
        <v>3287</v>
      </c>
      <c r="F1450" t="s">
        <v>9782</v>
      </c>
      <c r="G1450" t="s">
        <v>187</v>
      </c>
    </row>
    <row r="1451" spans="1:7" x14ac:dyDescent="0.25">
      <c r="A1451" t="s">
        <v>1882</v>
      </c>
      <c r="B1451" t="s">
        <v>2792</v>
      </c>
      <c r="C1451">
        <v>1987</v>
      </c>
      <c r="E1451" t="s">
        <v>3287</v>
      </c>
      <c r="F1451" t="s">
        <v>9783</v>
      </c>
      <c r="G1451" t="s">
        <v>187</v>
      </c>
    </row>
    <row r="1452" spans="1:7" x14ac:dyDescent="0.25">
      <c r="A1452" t="s">
        <v>847</v>
      </c>
      <c r="B1452" t="s">
        <v>2796</v>
      </c>
      <c r="C1452">
        <v>1996</v>
      </c>
      <c r="E1452" s="10" t="s">
        <v>3166</v>
      </c>
      <c r="F1452" t="s">
        <v>8440</v>
      </c>
      <c r="G1452" t="s">
        <v>3990</v>
      </c>
    </row>
    <row r="1453" spans="1:7" x14ac:dyDescent="0.25">
      <c r="A1453" t="s">
        <v>964</v>
      </c>
      <c r="B1453" t="s">
        <v>2796</v>
      </c>
      <c r="C1453">
        <v>2018</v>
      </c>
      <c r="E1453" t="s">
        <v>3166</v>
      </c>
      <c r="F1453" t="s">
        <v>8693</v>
      </c>
      <c r="G1453" t="s">
        <v>3990</v>
      </c>
    </row>
    <row r="1454" spans="1:7" x14ac:dyDescent="0.25">
      <c r="A1454" t="s">
        <v>2428</v>
      </c>
      <c r="B1454" t="s">
        <v>2796</v>
      </c>
      <c r="C1454">
        <v>2018</v>
      </c>
      <c r="E1454" t="s">
        <v>3166</v>
      </c>
      <c r="F1454" t="s">
        <v>9216</v>
      </c>
      <c r="G1454" t="s">
        <v>3990</v>
      </c>
    </row>
    <row r="1455" spans="1:7" x14ac:dyDescent="0.25">
      <c r="A1455" t="s">
        <v>2804</v>
      </c>
      <c r="B1455" t="s">
        <v>2798</v>
      </c>
      <c r="C1455">
        <v>2021</v>
      </c>
      <c r="D1455" t="s">
        <v>187</v>
      </c>
      <c r="F1455" t="s">
        <v>9784</v>
      </c>
      <c r="G1455" t="s">
        <v>3990</v>
      </c>
    </row>
    <row r="1456" spans="1:7" x14ac:dyDescent="0.25">
      <c r="A1456" t="s">
        <v>497</v>
      </c>
      <c r="B1456" t="s">
        <v>2800</v>
      </c>
      <c r="C1456">
        <v>2022</v>
      </c>
      <c r="E1456" s="10" t="s">
        <v>8395</v>
      </c>
      <c r="F1456" t="s">
        <v>9785</v>
      </c>
      <c r="G1456" t="s">
        <v>187</v>
      </c>
    </row>
    <row r="1457" spans="1:7" x14ac:dyDescent="0.25">
      <c r="A1457" t="s">
        <v>2397</v>
      </c>
      <c r="B1457" t="s">
        <v>2800</v>
      </c>
      <c r="C1457">
        <v>2022</v>
      </c>
      <c r="E1457" s="10" t="s">
        <v>8395</v>
      </c>
      <c r="F1457" t="s">
        <v>9786</v>
      </c>
      <c r="G1457" t="s">
        <v>187</v>
      </c>
    </row>
    <row r="1458" spans="1:7" x14ac:dyDescent="0.25">
      <c r="A1458" t="s">
        <v>2804</v>
      </c>
      <c r="B1458" t="s">
        <v>2800</v>
      </c>
      <c r="C1458">
        <v>2021</v>
      </c>
      <c r="E1458" t="s">
        <v>2982</v>
      </c>
      <c r="F1458" t="s">
        <v>9347</v>
      </c>
      <c r="G1458" t="s">
        <v>3990</v>
      </c>
    </row>
    <row r="1459" spans="1:7" x14ac:dyDescent="0.25">
      <c r="A1459" t="s">
        <v>1592</v>
      </c>
      <c r="B1459" t="s">
        <v>2804</v>
      </c>
      <c r="C1459">
        <v>2019</v>
      </c>
      <c r="E1459" t="s">
        <v>3265</v>
      </c>
      <c r="F1459" t="s">
        <v>8890</v>
      </c>
      <c r="G1459" t="s">
        <v>3990</v>
      </c>
    </row>
    <row r="1460" spans="1:7" x14ac:dyDescent="0.25">
      <c r="A1460" t="s">
        <v>90</v>
      </c>
      <c r="B1460" t="s">
        <v>2808</v>
      </c>
      <c r="C1460">
        <v>2017</v>
      </c>
      <c r="E1460" t="s">
        <v>3381</v>
      </c>
      <c r="F1460" t="s">
        <v>9165</v>
      </c>
      <c r="G1460" t="s">
        <v>3990</v>
      </c>
    </row>
    <row r="1461" spans="1:7" x14ac:dyDescent="0.25">
      <c r="A1461" t="s">
        <v>651</v>
      </c>
      <c r="B1461" t="s">
        <v>2812</v>
      </c>
      <c r="C1461">
        <v>2023</v>
      </c>
      <c r="E1461" t="s">
        <v>3082</v>
      </c>
      <c r="F1461" t="s">
        <v>8567</v>
      </c>
      <c r="G1461" t="s">
        <v>3990</v>
      </c>
    </row>
    <row r="1462" spans="1:7" x14ac:dyDescent="0.25">
      <c r="A1462" t="s">
        <v>1029</v>
      </c>
      <c r="B1462" t="s">
        <v>2812</v>
      </c>
      <c r="C1462">
        <v>2022</v>
      </c>
      <c r="E1462" t="s">
        <v>3082</v>
      </c>
      <c r="F1462" t="s">
        <v>8705</v>
      </c>
      <c r="G1462" t="s">
        <v>3990</v>
      </c>
    </row>
    <row r="1463" spans="1:7" x14ac:dyDescent="0.25">
      <c r="A1463" t="s">
        <v>1272</v>
      </c>
      <c r="B1463" t="s">
        <v>2812</v>
      </c>
      <c r="C1463">
        <v>2020</v>
      </c>
      <c r="E1463" t="s">
        <v>3082</v>
      </c>
      <c r="F1463" t="s">
        <v>8770</v>
      </c>
      <c r="G1463" t="s">
        <v>3990</v>
      </c>
    </row>
    <row r="1464" spans="1:7" x14ac:dyDescent="0.25">
      <c r="A1464" t="s">
        <v>1294</v>
      </c>
      <c r="B1464" t="s">
        <v>2812</v>
      </c>
      <c r="C1464">
        <v>2019</v>
      </c>
      <c r="E1464" t="s">
        <v>3082</v>
      </c>
      <c r="F1464" t="s">
        <v>8813</v>
      </c>
      <c r="G1464" t="s">
        <v>3990</v>
      </c>
    </row>
    <row r="1465" spans="1:7" x14ac:dyDescent="0.25">
      <c r="A1465" t="s">
        <v>2136</v>
      </c>
      <c r="B1465" t="s">
        <v>2812</v>
      </c>
      <c r="C1465">
        <v>2020</v>
      </c>
      <c r="E1465" t="s">
        <v>3082</v>
      </c>
      <c r="F1465" t="s">
        <v>9009</v>
      </c>
      <c r="G1465" t="s">
        <v>3990</v>
      </c>
    </row>
    <row r="1466" spans="1:7" x14ac:dyDescent="0.25">
      <c r="A1466" t="s">
        <v>2954</v>
      </c>
      <c r="B1466" t="s">
        <v>2812</v>
      </c>
      <c r="C1466">
        <v>2014</v>
      </c>
      <c r="E1466" t="s">
        <v>3082</v>
      </c>
      <c r="F1466" t="s">
        <v>9365</v>
      </c>
      <c r="G1466" t="s">
        <v>3990</v>
      </c>
    </row>
    <row r="1467" spans="1:7" x14ac:dyDescent="0.25">
      <c r="A1467" t="s">
        <v>2804</v>
      </c>
      <c r="B1467" t="s">
        <v>2814</v>
      </c>
      <c r="C1467">
        <v>2021</v>
      </c>
      <c r="E1467" t="s">
        <v>2982</v>
      </c>
      <c r="F1467" t="s">
        <v>9348</v>
      </c>
      <c r="G1467" t="s">
        <v>3990</v>
      </c>
    </row>
    <row r="1468" spans="1:7" x14ac:dyDescent="0.25">
      <c r="A1468" t="s">
        <v>924</v>
      </c>
      <c r="B1468" t="s">
        <v>2818</v>
      </c>
      <c r="C1468">
        <v>2019</v>
      </c>
      <c r="E1468" t="s">
        <v>3153</v>
      </c>
      <c r="F1468" t="s">
        <v>10031</v>
      </c>
      <c r="G1468" t="s">
        <v>187</v>
      </c>
    </row>
    <row r="1469" spans="1:7" x14ac:dyDescent="0.25">
      <c r="A1469" t="s">
        <v>90</v>
      </c>
      <c r="B1469" t="s">
        <v>2818</v>
      </c>
      <c r="C1469">
        <v>2017</v>
      </c>
      <c r="E1469" t="s">
        <v>3153</v>
      </c>
      <c r="F1469" t="s">
        <v>10031</v>
      </c>
      <c r="G1469" t="s">
        <v>187</v>
      </c>
    </row>
    <row r="1470" spans="1:7" x14ac:dyDescent="0.25">
      <c r="A1470" t="s">
        <v>2721</v>
      </c>
      <c r="B1470" t="s">
        <v>2818</v>
      </c>
      <c r="C1470">
        <v>1993</v>
      </c>
      <c r="E1470" t="s">
        <v>3153</v>
      </c>
      <c r="F1470" t="s">
        <v>10031</v>
      </c>
      <c r="G1470" t="s">
        <v>187</v>
      </c>
    </row>
    <row r="1471" spans="1:7" x14ac:dyDescent="0.25">
      <c r="A1471" t="s">
        <v>2818</v>
      </c>
      <c r="B1471" t="s">
        <v>2820</v>
      </c>
      <c r="C1471">
        <v>2021</v>
      </c>
      <c r="D1471" t="s">
        <v>187</v>
      </c>
      <c r="F1471" t="s">
        <v>9787</v>
      </c>
      <c r="G1471" t="s">
        <v>3990</v>
      </c>
    </row>
    <row r="1472" spans="1:7" x14ac:dyDescent="0.25">
      <c r="A1472" t="s">
        <v>746</v>
      </c>
      <c r="B1472" t="s">
        <v>2822</v>
      </c>
      <c r="C1472">
        <v>2015</v>
      </c>
      <c r="E1472" t="s">
        <v>3108</v>
      </c>
      <c r="F1472" t="s">
        <v>8602</v>
      </c>
      <c r="G1472" t="s">
        <v>3990</v>
      </c>
    </row>
    <row r="1473" spans="1:7" x14ac:dyDescent="0.25">
      <c r="A1473" t="s">
        <v>90</v>
      </c>
      <c r="B1473" t="s">
        <v>2822</v>
      </c>
      <c r="C1473">
        <v>2017</v>
      </c>
      <c r="E1473" t="s">
        <v>2982</v>
      </c>
      <c r="F1473" t="s">
        <v>9166</v>
      </c>
      <c r="G1473" t="s">
        <v>3990</v>
      </c>
    </row>
    <row r="1474" spans="1:7" x14ac:dyDescent="0.25">
      <c r="A1474" t="s">
        <v>1144</v>
      </c>
      <c r="B1474" t="s">
        <v>2824</v>
      </c>
      <c r="C1474">
        <v>2012</v>
      </c>
      <c r="E1474" t="s">
        <v>3214</v>
      </c>
      <c r="F1474" t="s">
        <v>8764</v>
      </c>
      <c r="G1474" t="s">
        <v>3990</v>
      </c>
    </row>
    <row r="1475" spans="1:7" x14ac:dyDescent="0.25">
      <c r="A1475" t="s">
        <v>2804</v>
      </c>
      <c r="B1475" t="s">
        <v>2828</v>
      </c>
      <c r="C1475">
        <v>2021</v>
      </c>
      <c r="E1475" t="s">
        <v>2982</v>
      </c>
      <c r="F1475" t="s">
        <v>9349</v>
      </c>
      <c r="G1475" t="s">
        <v>3990</v>
      </c>
    </row>
    <row r="1476" spans="1:7" x14ac:dyDescent="0.25">
      <c r="A1476" t="s">
        <v>1004</v>
      </c>
      <c r="B1476" t="s">
        <v>2832</v>
      </c>
      <c r="C1476">
        <v>2006</v>
      </c>
      <c r="E1476" t="s">
        <v>3175</v>
      </c>
      <c r="F1476" t="s">
        <v>10032</v>
      </c>
      <c r="G1476" t="s">
        <v>187</v>
      </c>
    </row>
    <row r="1477" spans="1:7" x14ac:dyDescent="0.25">
      <c r="A1477" t="s">
        <v>1144</v>
      </c>
      <c r="B1477" t="s">
        <v>2832</v>
      </c>
      <c r="C1477">
        <v>2012</v>
      </c>
      <c r="E1477" t="s">
        <v>3175</v>
      </c>
      <c r="F1477" t="s">
        <v>10032</v>
      </c>
      <c r="G1477" t="s">
        <v>187</v>
      </c>
    </row>
    <row r="1478" spans="1:7" x14ac:dyDescent="0.25">
      <c r="A1478" t="s">
        <v>1855</v>
      </c>
      <c r="B1478" t="s">
        <v>2834</v>
      </c>
      <c r="C1478">
        <v>2015</v>
      </c>
      <c r="E1478" t="s">
        <v>3299</v>
      </c>
      <c r="F1478" t="s">
        <v>8969</v>
      </c>
      <c r="G1478" t="s">
        <v>3990</v>
      </c>
    </row>
    <row r="1479" spans="1:7" x14ac:dyDescent="0.25">
      <c r="A1479" t="s">
        <v>457</v>
      </c>
      <c r="B1479" t="s">
        <v>2838</v>
      </c>
      <c r="C1479">
        <v>2022</v>
      </c>
      <c r="D1479" t="s">
        <v>187</v>
      </c>
      <c r="F1479" t="s">
        <v>9788</v>
      </c>
      <c r="G1479" t="s">
        <v>3990</v>
      </c>
    </row>
    <row r="1480" spans="1:7" x14ac:dyDescent="0.25">
      <c r="A1480" t="s">
        <v>497</v>
      </c>
      <c r="B1480" t="s">
        <v>2838</v>
      </c>
      <c r="C1480">
        <v>2022</v>
      </c>
      <c r="E1480" t="s">
        <v>3071</v>
      </c>
      <c r="F1480" t="s">
        <v>8554</v>
      </c>
      <c r="G1480" t="s">
        <v>3990</v>
      </c>
    </row>
    <row r="1481" spans="1:7" x14ac:dyDescent="0.25">
      <c r="A1481" t="s">
        <v>847</v>
      </c>
      <c r="B1481" t="s">
        <v>2840</v>
      </c>
      <c r="C1481">
        <v>1996</v>
      </c>
      <c r="E1481" s="10" t="s">
        <v>3431</v>
      </c>
      <c r="F1481" t="s">
        <v>8656</v>
      </c>
      <c r="G1481" t="s">
        <v>3990</v>
      </c>
    </row>
    <row r="1482" spans="1:7" x14ac:dyDescent="0.25">
      <c r="A1482" t="s">
        <v>2901</v>
      </c>
      <c r="B1482" t="s">
        <v>2840</v>
      </c>
      <c r="C1482">
        <v>2023</v>
      </c>
      <c r="E1482" t="s">
        <v>3431</v>
      </c>
      <c r="F1482" t="s">
        <v>9356</v>
      </c>
      <c r="G1482" t="s">
        <v>3990</v>
      </c>
    </row>
    <row r="1483" spans="1:7" x14ac:dyDescent="0.25">
      <c r="A1483" t="s">
        <v>2721</v>
      </c>
      <c r="B1483" t="s">
        <v>2843</v>
      </c>
      <c r="C1483">
        <v>1993</v>
      </c>
      <c r="E1483" t="s">
        <v>3013</v>
      </c>
      <c r="F1483" t="s">
        <v>9789</v>
      </c>
      <c r="G1483" t="s">
        <v>187</v>
      </c>
    </row>
    <row r="1484" spans="1:7" x14ac:dyDescent="0.25">
      <c r="A1484" t="s">
        <v>904</v>
      </c>
      <c r="B1484" t="s">
        <v>2846</v>
      </c>
      <c r="C1484">
        <v>2022</v>
      </c>
      <c r="E1484" t="s">
        <v>3144</v>
      </c>
      <c r="F1484" t="s">
        <v>8668</v>
      </c>
      <c r="G1484" t="s">
        <v>3990</v>
      </c>
    </row>
    <row r="1485" spans="1:7" x14ac:dyDescent="0.25">
      <c r="A1485" t="s">
        <v>2846</v>
      </c>
      <c r="B1485" t="s">
        <v>2850</v>
      </c>
      <c r="C1485">
        <v>2023</v>
      </c>
      <c r="D1485" t="s">
        <v>187</v>
      </c>
      <c r="F1485" t="s">
        <v>9790</v>
      </c>
      <c r="G1485" t="s">
        <v>3990</v>
      </c>
    </row>
    <row r="1486" spans="1:7" x14ac:dyDescent="0.25">
      <c r="A1486" t="s">
        <v>350</v>
      </c>
      <c r="B1486" t="s">
        <v>7833</v>
      </c>
      <c r="C1486">
        <v>2018</v>
      </c>
      <c r="E1486" t="s">
        <v>7836</v>
      </c>
      <c r="F1486" t="s">
        <v>8487</v>
      </c>
      <c r="G1486" t="s">
        <v>3990</v>
      </c>
    </row>
    <row r="1487" spans="1:7" x14ac:dyDescent="0.25">
      <c r="A1487" t="s">
        <v>2804</v>
      </c>
      <c r="B1487" t="s">
        <v>7833</v>
      </c>
      <c r="C1487">
        <v>2021</v>
      </c>
      <c r="E1487" t="s">
        <v>7836</v>
      </c>
      <c r="F1487" t="s">
        <v>9350</v>
      </c>
      <c r="G1487" t="s">
        <v>3990</v>
      </c>
    </row>
    <row r="1488" spans="1:7" x14ac:dyDescent="0.25">
      <c r="A1488" t="s">
        <v>2804</v>
      </c>
      <c r="B1488" t="s">
        <v>2852</v>
      </c>
      <c r="C1488">
        <v>2021</v>
      </c>
      <c r="D1488" t="s">
        <v>187</v>
      </c>
      <c r="E1488" t="s">
        <v>3429</v>
      </c>
      <c r="F1488" t="s">
        <v>9791</v>
      </c>
      <c r="G1488" t="s">
        <v>3990</v>
      </c>
    </row>
    <row r="1489" spans="1:7" x14ac:dyDescent="0.25">
      <c r="A1489" t="s">
        <v>490</v>
      </c>
      <c r="B1489" t="s">
        <v>2854</v>
      </c>
      <c r="C1489">
        <v>2009</v>
      </c>
      <c r="E1489" t="s">
        <v>3064</v>
      </c>
      <c r="F1489" t="s">
        <v>9457</v>
      </c>
      <c r="G1489" t="s">
        <v>3990</v>
      </c>
    </row>
    <row r="1490" spans="1:7" x14ac:dyDescent="0.25">
      <c r="A1490" t="s">
        <v>1144</v>
      </c>
      <c r="B1490" t="s">
        <v>2854</v>
      </c>
      <c r="C1490">
        <v>2012</v>
      </c>
      <c r="E1490" t="s">
        <v>3064</v>
      </c>
      <c r="F1490" t="s">
        <v>9458</v>
      </c>
      <c r="G1490" t="s">
        <v>3990</v>
      </c>
    </row>
    <row r="1491" spans="1:7" x14ac:dyDescent="0.25">
      <c r="A1491" t="s">
        <v>90</v>
      </c>
      <c r="B1491" t="s">
        <v>2856</v>
      </c>
      <c r="C1491">
        <v>2017</v>
      </c>
      <c r="E1491" t="s">
        <v>3382</v>
      </c>
      <c r="F1491" t="s">
        <v>9167</v>
      </c>
      <c r="G1491" t="s">
        <v>3990</v>
      </c>
    </row>
    <row r="1492" spans="1:7" x14ac:dyDescent="0.25">
      <c r="A1492" t="s">
        <v>1004</v>
      </c>
      <c r="B1492" t="s">
        <v>2860</v>
      </c>
      <c r="C1492">
        <v>2006</v>
      </c>
      <c r="E1492" t="s">
        <v>3176</v>
      </c>
      <c r="F1492" t="s">
        <v>8702</v>
      </c>
      <c r="G1492" t="s">
        <v>3990</v>
      </c>
    </row>
    <row r="1493" spans="1:7" x14ac:dyDescent="0.25">
      <c r="A1493" t="s">
        <v>1004</v>
      </c>
      <c r="B1493" t="s">
        <v>2864</v>
      </c>
      <c r="C1493">
        <v>2006</v>
      </c>
      <c r="E1493" t="s">
        <v>3177</v>
      </c>
      <c r="F1493" t="s">
        <v>8703</v>
      </c>
      <c r="G1493" t="s">
        <v>3990</v>
      </c>
    </row>
    <row r="1494" spans="1:7" x14ac:dyDescent="0.25">
      <c r="A1494" t="s">
        <v>2023</v>
      </c>
      <c r="B1494" t="s">
        <v>2864</v>
      </c>
      <c r="C1494">
        <v>2003</v>
      </c>
      <c r="E1494" t="s">
        <v>3306</v>
      </c>
      <c r="F1494" t="s">
        <v>9456</v>
      </c>
      <c r="G1494" t="s">
        <v>3990</v>
      </c>
    </row>
    <row r="1495" spans="1:7" x14ac:dyDescent="0.25">
      <c r="A1495" t="s">
        <v>2769</v>
      </c>
      <c r="B1495" t="s">
        <v>2864</v>
      </c>
      <c r="C1495">
        <v>2012</v>
      </c>
      <c r="E1495" s="10" t="s">
        <v>9962</v>
      </c>
      <c r="F1495" t="s">
        <v>9963</v>
      </c>
      <c r="G1495" t="s">
        <v>3990</v>
      </c>
    </row>
    <row r="1496" spans="1:7" x14ac:dyDescent="0.25">
      <c r="A1496" t="s">
        <v>1795</v>
      </c>
      <c r="B1496" t="s">
        <v>2866</v>
      </c>
      <c r="C1496">
        <v>1987</v>
      </c>
      <c r="E1496" t="s">
        <v>3288</v>
      </c>
      <c r="F1496" t="s">
        <v>8941</v>
      </c>
      <c r="G1496" t="s">
        <v>3990</v>
      </c>
    </row>
    <row r="1497" spans="1:7" x14ac:dyDescent="0.25">
      <c r="A1497" t="s">
        <v>2489</v>
      </c>
      <c r="B1497" t="s">
        <v>2874</v>
      </c>
      <c r="C1497">
        <v>2002</v>
      </c>
      <c r="D1497" t="s">
        <v>187</v>
      </c>
      <c r="F1497" t="s">
        <v>9792</v>
      </c>
      <c r="G1497" t="s">
        <v>3990</v>
      </c>
    </row>
    <row r="1498" spans="1:7" x14ac:dyDescent="0.25">
      <c r="A1498" t="s">
        <v>2804</v>
      </c>
      <c r="B1498" t="s">
        <v>2882</v>
      </c>
      <c r="C1498">
        <v>2021</v>
      </c>
      <c r="E1498" t="s">
        <v>3430</v>
      </c>
      <c r="F1498" t="s">
        <v>9351</v>
      </c>
      <c r="G1498" t="s">
        <v>3990</v>
      </c>
    </row>
    <row r="1499" spans="1:7" x14ac:dyDescent="0.25">
      <c r="A1499" t="s">
        <v>2824</v>
      </c>
      <c r="B1499" t="s">
        <v>2886</v>
      </c>
      <c r="C1499">
        <v>2019</v>
      </c>
      <c r="D1499" t="s">
        <v>187</v>
      </c>
      <c r="F1499" t="s">
        <v>9793</v>
      </c>
      <c r="G1499" t="s">
        <v>3990</v>
      </c>
    </row>
    <row r="1500" spans="1:7" x14ac:dyDescent="0.25">
      <c r="A1500" t="s">
        <v>549</v>
      </c>
      <c r="B1500" t="s">
        <v>2890</v>
      </c>
      <c r="C1500">
        <v>2017</v>
      </c>
      <c r="E1500" t="s">
        <v>3076</v>
      </c>
      <c r="F1500" t="s">
        <v>8560</v>
      </c>
      <c r="G1500" t="s">
        <v>3990</v>
      </c>
    </row>
    <row r="1501" spans="1:7" x14ac:dyDescent="0.25">
      <c r="A1501" t="s">
        <v>1690</v>
      </c>
      <c r="B1501" t="s">
        <v>2890</v>
      </c>
      <c r="C1501">
        <v>2020</v>
      </c>
      <c r="E1501" t="s">
        <v>3076</v>
      </c>
      <c r="F1501" t="s">
        <v>8904</v>
      </c>
      <c r="G1501" t="s">
        <v>3990</v>
      </c>
    </row>
    <row r="1502" spans="1:7" x14ac:dyDescent="0.25">
      <c r="A1502" t="s">
        <v>2132</v>
      </c>
      <c r="B1502" t="s">
        <v>2890</v>
      </c>
      <c r="C1502">
        <v>2013</v>
      </c>
      <c r="E1502" t="s">
        <v>3076</v>
      </c>
      <c r="F1502" t="s">
        <v>8998</v>
      </c>
      <c r="G1502" t="s">
        <v>3990</v>
      </c>
    </row>
    <row r="1503" spans="1:7" x14ac:dyDescent="0.25">
      <c r="A1503" t="s">
        <v>90</v>
      </c>
      <c r="B1503" t="s">
        <v>2890</v>
      </c>
      <c r="C1503">
        <v>2017</v>
      </c>
      <c r="E1503" t="s">
        <v>3076</v>
      </c>
      <c r="F1503" t="s">
        <v>9168</v>
      </c>
      <c r="G1503" t="s">
        <v>3990</v>
      </c>
    </row>
    <row r="1504" spans="1:7" x14ac:dyDescent="0.25">
      <c r="A1504" t="s">
        <v>2428</v>
      </c>
      <c r="B1504" t="s">
        <v>2890</v>
      </c>
      <c r="C1504">
        <v>2008</v>
      </c>
      <c r="E1504" t="s">
        <v>3076</v>
      </c>
      <c r="F1504" t="s">
        <v>9217</v>
      </c>
      <c r="G1504" t="s">
        <v>3990</v>
      </c>
    </row>
    <row r="1505" spans="1:7" x14ac:dyDescent="0.25">
      <c r="A1505" t="s">
        <v>160</v>
      </c>
      <c r="B1505" t="s">
        <v>2890</v>
      </c>
      <c r="C1505">
        <v>2011</v>
      </c>
      <c r="E1505" t="s">
        <v>3076</v>
      </c>
      <c r="F1505" t="s">
        <v>9299</v>
      </c>
      <c r="G1505" t="s">
        <v>3990</v>
      </c>
    </row>
    <row r="1506" spans="1:7" x14ac:dyDescent="0.25">
      <c r="A1506" t="s">
        <v>759</v>
      </c>
      <c r="B1506" t="s">
        <v>2894</v>
      </c>
      <c r="C1506">
        <v>2018</v>
      </c>
      <c r="D1506" t="s">
        <v>187</v>
      </c>
      <c r="E1506" t="s">
        <v>3125</v>
      </c>
      <c r="F1506" t="s">
        <v>8625</v>
      </c>
      <c r="G1506" t="s">
        <v>3990</v>
      </c>
    </row>
    <row r="1507" spans="1:7" x14ac:dyDescent="0.25">
      <c r="A1507" t="s">
        <v>1549</v>
      </c>
      <c r="B1507" t="s">
        <v>2896</v>
      </c>
      <c r="C1507">
        <v>2021</v>
      </c>
      <c r="E1507" t="s">
        <v>3256</v>
      </c>
      <c r="F1507" t="s">
        <v>9455</v>
      </c>
      <c r="G1507" t="s">
        <v>3990</v>
      </c>
    </row>
    <row r="1508" spans="1:7" x14ac:dyDescent="0.25">
      <c r="A1508" t="s">
        <v>2122</v>
      </c>
      <c r="B1508" t="s">
        <v>2896</v>
      </c>
      <c r="C1508">
        <v>2020</v>
      </c>
      <c r="D1508" t="s">
        <v>187</v>
      </c>
      <c r="F1508" t="s">
        <v>9794</v>
      </c>
      <c r="G1508" t="s">
        <v>3990</v>
      </c>
    </row>
    <row r="1509" spans="1:7" x14ac:dyDescent="0.25">
      <c r="A1509" t="s">
        <v>90</v>
      </c>
      <c r="B1509" t="s">
        <v>2896</v>
      </c>
      <c r="C1509">
        <v>2017</v>
      </c>
      <c r="E1509" t="s">
        <v>3383</v>
      </c>
      <c r="F1509" t="s">
        <v>9452</v>
      </c>
      <c r="G1509" t="s">
        <v>3990</v>
      </c>
    </row>
    <row r="1510" spans="1:7" x14ac:dyDescent="0.25">
      <c r="A1510" t="s">
        <v>2506</v>
      </c>
      <c r="B1510" t="s">
        <v>2896</v>
      </c>
      <c r="C1510">
        <v>2021</v>
      </c>
      <c r="E1510" s="10" t="s">
        <v>9454</v>
      </c>
      <c r="F1510" t="s">
        <v>9453</v>
      </c>
      <c r="G1510" t="s">
        <v>3990</v>
      </c>
    </row>
    <row r="1511" spans="1:7" x14ac:dyDescent="0.25">
      <c r="A1511" t="s">
        <v>1294</v>
      </c>
      <c r="B1511" t="s">
        <v>2901</v>
      </c>
      <c r="C1511">
        <v>2019</v>
      </c>
      <c r="E1511" s="10" t="s">
        <v>7941</v>
      </c>
      <c r="F1511" t="s">
        <v>8814</v>
      </c>
      <c r="G1511" t="s">
        <v>3990</v>
      </c>
    </row>
    <row r="1512" spans="1:7" x14ac:dyDescent="0.25">
      <c r="A1512" t="s">
        <v>90</v>
      </c>
      <c r="B1512" t="s">
        <v>2904</v>
      </c>
      <c r="C1512">
        <v>2017</v>
      </c>
      <c r="E1512" t="s">
        <v>3384</v>
      </c>
      <c r="F1512" t="s">
        <v>9169</v>
      </c>
      <c r="G1512" t="s">
        <v>3990</v>
      </c>
    </row>
    <row r="1513" spans="1:7" x14ac:dyDescent="0.25">
      <c r="A1513" t="s">
        <v>2906</v>
      </c>
      <c r="B1513" t="s">
        <v>2910</v>
      </c>
      <c r="C1513">
        <v>2018</v>
      </c>
      <c r="D1513" t="s">
        <v>187</v>
      </c>
      <c r="F1513" t="s">
        <v>9795</v>
      </c>
      <c r="G1513" t="s">
        <v>3990</v>
      </c>
    </row>
    <row r="1514" spans="1:7" x14ac:dyDescent="0.25">
      <c r="A1514" t="s">
        <v>160</v>
      </c>
      <c r="B1514" t="s">
        <v>2914</v>
      </c>
      <c r="C1514">
        <v>2011</v>
      </c>
      <c r="E1514" t="s">
        <v>2982</v>
      </c>
      <c r="F1514" t="s">
        <v>9300</v>
      </c>
      <c r="G1514" t="s">
        <v>3990</v>
      </c>
    </row>
    <row r="1515" spans="1:7" x14ac:dyDescent="0.25">
      <c r="A1515" t="s">
        <v>353</v>
      </c>
      <c r="B1515" t="s">
        <v>2918</v>
      </c>
      <c r="C1515">
        <v>2023</v>
      </c>
      <c r="E1515" t="s">
        <v>3051</v>
      </c>
      <c r="F1515" t="s">
        <v>8527</v>
      </c>
      <c r="G1515" t="s">
        <v>3990</v>
      </c>
    </row>
    <row r="1516" spans="1:7" x14ac:dyDescent="0.25">
      <c r="A1516" t="s">
        <v>353</v>
      </c>
      <c r="B1516" t="s">
        <v>2920</v>
      </c>
      <c r="C1516">
        <v>2023</v>
      </c>
      <c r="E1516" t="s">
        <v>3052</v>
      </c>
      <c r="F1516" t="s">
        <v>9796</v>
      </c>
      <c r="G1516" t="s">
        <v>187</v>
      </c>
    </row>
    <row r="1517" spans="1:7" x14ac:dyDescent="0.25">
      <c r="A1517" t="s">
        <v>873</v>
      </c>
      <c r="B1517" t="s">
        <v>2924</v>
      </c>
      <c r="C1517">
        <v>2019</v>
      </c>
      <c r="E1517" s="10" t="s">
        <v>8364</v>
      </c>
      <c r="F1517" t="s">
        <v>8663</v>
      </c>
      <c r="G1517" t="s">
        <v>3990</v>
      </c>
    </row>
    <row r="1518" spans="1:7" x14ac:dyDescent="0.25">
      <c r="A1518" t="s">
        <v>90</v>
      </c>
      <c r="B1518" t="s">
        <v>2924</v>
      </c>
      <c r="C1518">
        <v>2017</v>
      </c>
      <c r="E1518" t="s">
        <v>3385</v>
      </c>
      <c r="F1518" t="s">
        <v>9170</v>
      </c>
      <c r="G1518" t="s">
        <v>3990</v>
      </c>
    </row>
    <row r="1519" spans="1:7" x14ac:dyDescent="0.25">
      <c r="A1519" t="s">
        <v>2080</v>
      </c>
      <c r="B1519" t="s">
        <v>2928</v>
      </c>
      <c r="C1519">
        <v>2015</v>
      </c>
      <c r="E1519" t="s">
        <v>2982</v>
      </c>
      <c r="F1519" t="s">
        <v>8988</v>
      </c>
      <c r="G1519" t="s">
        <v>3990</v>
      </c>
    </row>
    <row r="1520" spans="1:7" x14ac:dyDescent="0.25">
      <c r="A1520" t="s">
        <v>1294</v>
      </c>
      <c r="B1520" t="s">
        <v>2931</v>
      </c>
      <c r="C1520">
        <v>2019</v>
      </c>
      <c r="E1520" t="s">
        <v>3013</v>
      </c>
      <c r="F1520" t="s">
        <v>9797</v>
      </c>
      <c r="G1520" t="s">
        <v>187</v>
      </c>
    </row>
    <row r="1521" spans="1:7" x14ac:dyDescent="0.25">
      <c r="A1521" t="s">
        <v>2804</v>
      </c>
      <c r="B1521" t="s">
        <v>2933</v>
      </c>
      <c r="C1521">
        <v>2021</v>
      </c>
      <c r="E1521" t="s">
        <v>3013</v>
      </c>
      <c r="F1521" t="s">
        <v>9798</v>
      </c>
      <c r="G1521" t="s">
        <v>187</v>
      </c>
    </row>
    <row r="1522" spans="1:7" x14ac:dyDescent="0.25">
      <c r="A1522" t="s">
        <v>90</v>
      </c>
      <c r="B1522" t="s">
        <v>2937</v>
      </c>
      <c r="C1522">
        <v>2017</v>
      </c>
      <c r="E1522" t="s">
        <v>3013</v>
      </c>
      <c r="F1522" t="s">
        <v>9799</v>
      </c>
      <c r="G1522" t="s">
        <v>187</v>
      </c>
    </row>
    <row r="1523" spans="1:7" x14ac:dyDescent="0.25">
      <c r="A1523" t="s">
        <v>2447</v>
      </c>
      <c r="B1523" t="s">
        <v>2941</v>
      </c>
      <c r="C1523">
        <v>2014</v>
      </c>
      <c r="E1523" t="s">
        <v>3397</v>
      </c>
      <c r="F1523" t="s">
        <v>9218</v>
      </c>
      <c r="G1523" t="s">
        <v>3990</v>
      </c>
    </row>
    <row r="1524" spans="1:7" x14ac:dyDescent="0.25">
      <c r="A1524" t="s">
        <v>2721</v>
      </c>
      <c r="B1524" t="s">
        <v>2943</v>
      </c>
      <c r="C1524">
        <v>1993</v>
      </c>
      <c r="E1524" t="s">
        <v>3420</v>
      </c>
      <c r="F1524" t="s">
        <v>9800</v>
      </c>
      <c r="G1524" t="s">
        <v>187</v>
      </c>
    </row>
    <row r="1525" spans="1:7" x14ac:dyDescent="0.25">
      <c r="A1525" t="s">
        <v>260</v>
      </c>
      <c r="B1525" t="s">
        <v>2947</v>
      </c>
      <c r="C1525">
        <v>1990</v>
      </c>
      <c r="E1525" t="s">
        <v>3005</v>
      </c>
      <c r="F1525" t="s">
        <v>8468</v>
      </c>
      <c r="G1525" t="s">
        <v>3990</v>
      </c>
    </row>
    <row r="1526" spans="1:7" x14ac:dyDescent="0.25">
      <c r="A1526" t="s">
        <v>1294</v>
      </c>
      <c r="B1526" t="s">
        <v>2950</v>
      </c>
      <c r="C1526">
        <v>2019</v>
      </c>
      <c r="E1526" t="s">
        <v>2982</v>
      </c>
      <c r="F1526" t="s">
        <v>8815</v>
      </c>
      <c r="G1526" t="s">
        <v>3990</v>
      </c>
    </row>
    <row r="1527" spans="1:7" x14ac:dyDescent="0.25">
      <c r="A1527" t="s">
        <v>90</v>
      </c>
      <c r="B1527" t="s">
        <v>2950</v>
      </c>
      <c r="C1527">
        <v>2017</v>
      </c>
      <c r="E1527" t="s">
        <v>2982</v>
      </c>
      <c r="F1527" t="s">
        <v>9171</v>
      </c>
      <c r="G1527" t="s">
        <v>3990</v>
      </c>
    </row>
    <row r="1528" spans="1:7" x14ac:dyDescent="0.25">
      <c r="A1528" t="s">
        <v>2954</v>
      </c>
      <c r="B1528" t="s">
        <v>2958</v>
      </c>
      <c r="C1528">
        <v>2014</v>
      </c>
      <c r="D1528" t="s">
        <v>187</v>
      </c>
      <c r="F1528" t="s">
        <v>9801</v>
      </c>
      <c r="G1528" t="s">
        <v>3990</v>
      </c>
    </row>
    <row r="1529" spans="1:7" x14ac:dyDescent="0.25">
      <c r="A1529" t="s">
        <v>260</v>
      </c>
      <c r="B1529" t="s">
        <v>2962</v>
      </c>
      <c r="C1529">
        <v>1990</v>
      </c>
      <c r="E1529" t="s">
        <v>3006</v>
      </c>
      <c r="F1529" t="s">
        <v>8469</v>
      </c>
      <c r="G1529" t="s">
        <v>3990</v>
      </c>
    </row>
    <row r="1530" spans="1:7" x14ac:dyDescent="0.25">
      <c r="A1530" t="s">
        <v>525</v>
      </c>
      <c r="B1530" t="s">
        <v>2962</v>
      </c>
      <c r="C1530">
        <v>2005</v>
      </c>
      <c r="E1530" t="s">
        <v>3006</v>
      </c>
      <c r="F1530" t="s">
        <v>8557</v>
      </c>
      <c r="G1530" t="s">
        <v>3990</v>
      </c>
    </row>
    <row r="1531" spans="1:7" x14ac:dyDescent="0.25">
      <c r="A1531" t="s">
        <v>964</v>
      </c>
      <c r="B1531" t="s">
        <v>2962</v>
      </c>
      <c r="C1531">
        <v>2006</v>
      </c>
      <c r="E1531" t="s">
        <v>3006</v>
      </c>
      <c r="F1531" t="s">
        <v>9450</v>
      </c>
      <c r="G1531" t="s">
        <v>3990</v>
      </c>
    </row>
    <row r="1532" spans="1:7" x14ac:dyDescent="0.25">
      <c r="A1532" t="s">
        <v>1287</v>
      </c>
      <c r="B1532" t="s">
        <v>2962</v>
      </c>
      <c r="C1532">
        <v>2022</v>
      </c>
      <c r="E1532" t="s">
        <v>3006</v>
      </c>
      <c r="F1532" t="s">
        <v>8777</v>
      </c>
      <c r="G1532" t="s">
        <v>3990</v>
      </c>
    </row>
    <row r="1533" spans="1:7" x14ac:dyDescent="0.25">
      <c r="A1533" t="s">
        <v>2634</v>
      </c>
      <c r="B1533" t="s">
        <v>2962</v>
      </c>
      <c r="C1533">
        <v>2014</v>
      </c>
      <c r="E1533" t="s">
        <v>3006</v>
      </c>
      <c r="F1533" t="s">
        <v>9302</v>
      </c>
      <c r="G1533" t="s">
        <v>3990</v>
      </c>
    </row>
    <row r="1534" spans="1:7" x14ac:dyDescent="0.25">
      <c r="A1534" t="s">
        <v>2947</v>
      </c>
      <c r="B1534" t="s">
        <v>2962</v>
      </c>
      <c r="C1534">
        <v>1994</v>
      </c>
      <c r="E1534" t="s">
        <v>3006</v>
      </c>
      <c r="F1534" t="s">
        <v>9363</v>
      </c>
      <c r="G1534" t="s">
        <v>3990</v>
      </c>
    </row>
    <row r="1535" spans="1:7" x14ac:dyDescent="0.25">
      <c r="A1535" t="s">
        <v>1255</v>
      </c>
      <c r="B1535" t="s">
        <v>2965</v>
      </c>
      <c r="C1535">
        <v>2020</v>
      </c>
      <c r="E1535" t="s">
        <v>3215</v>
      </c>
      <c r="F1535" t="s">
        <v>8765</v>
      </c>
      <c r="G1535" t="s">
        <v>3990</v>
      </c>
    </row>
    <row r="1536" spans="1:7" x14ac:dyDescent="0.25">
      <c r="A1536" t="s">
        <v>90</v>
      </c>
      <c r="B1536" t="s">
        <v>2965</v>
      </c>
      <c r="C1536">
        <v>2017</v>
      </c>
      <c r="E1536" t="s">
        <v>3215</v>
      </c>
      <c r="F1536" t="s">
        <v>9172</v>
      </c>
      <c r="G1536" t="s">
        <v>3990</v>
      </c>
    </row>
    <row r="1537" spans="1:7" x14ac:dyDescent="0.25">
      <c r="A1537" t="s">
        <v>353</v>
      </c>
      <c r="B1537" t="s">
        <v>2969</v>
      </c>
      <c r="C1537">
        <v>2023</v>
      </c>
      <c r="E1537" t="s">
        <v>3053</v>
      </c>
      <c r="F1537" t="s">
        <v>9451</v>
      </c>
      <c r="G1537" t="s">
        <v>3990</v>
      </c>
    </row>
    <row r="1538" spans="1:7" x14ac:dyDescent="0.25">
      <c r="A1538" t="s">
        <v>260</v>
      </c>
      <c r="B1538" t="s">
        <v>2972</v>
      </c>
      <c r="C1538">
        <v>1990</v>
      </c>
      <c r="E1538" t="s">
        <v>2982</v>
      </c>
      <c r="F1538" t="s">
        <v>8470</v>
      </c>
      <c r="G1538"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s>
  <pageMargins left="0.7" right="0.7" top="0.75" bottom="0.75" header="0.511811023622047" footer="0.511811023622047"/>
  <pageSetup orientation="portrait" horizontalDpi="300" verticalDpi="300"/>
  <tableParts count="1">
    <tablePart r:id="rId9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3"/>
  <sheetViews>
    <sheetView workbookViewId="0">
      <selection activeCell="B20" sqref="B20"/>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8">
      <c r="A1" t="inlineStr">
        <is>
          <t xml:space="preserve">Name</t>
        </is>
      </c>
      <c r="B1" t="inlineStr">
        <is>
          <t xml:space="preserve">Game</t>
        </is>
      </c>
      <c r="C1" t="inlineStr">
        <is>
          <t xml:space="preserve">Health</t>
        </is>
      </c>
      <c r="D1" t="inlineStr">
        <is>
          <t xml:space="preserve">Gold</t>
        </is>
      </c>
      <c r="E1" t="inlineStr">
        <is>
          <t xml:space="preserve">Bash</t>
        </is>
      </c>
      <c r="F1" t="inlineStr">
        <is>
          <t xml:space="preserve">Dash</t>
        </is>
      </c>
      <c r="G1" t="inlineStr">
        <is>
          <t xml:space="preserve">Push</t>
        </is>
      </c>
      <c r="H1" t="inlineStr">
        <is>
          <t xml:space="preserve">Transmute</t>
        </is>
      </c>
      <c r="I1" t="inlineStr">
        <is>
          <t xml:space="preserve">Scramble</t>
        </is>
      </c>
      <c r="J1" t="inlineStr">
        <is>
          <t xml:space="preserve">Bombs</t>
        </is>
      </c>
      <c r="K1" t="inlineStr">
        <is>
          <t xml:space="preserve">Keys</t>
        </is>
      </c>
      <c r="L1" t="inlineStr">
        <is>
          <t xml:space="preserve">Random</t>
        </is>
      </c>
      <c r="M1" t="inlineStr">
        <is>
          <t xml:space="preserve">Level Up</t>
        </is>
      </c>
      <c r="N1" t="inlineStr">
        <is>
          <t xml:space="preserve">Reward</t>
        </is>
      </c>
      <c r="O1" t="inlineStr">
        <is>
          <t xml:space="preserve">Description</t>
        </is>
      </c>
      <c r="P1" t="inlineStr">
        <is>
          <t xml:space="preserve">Starting loadout</t>
        </is>
      </c>
      <c r="Q1" t="inlineStr">
        <is>
          <t xml:space="preserve">File</t>
        </is>
      </c>
      <c r="R1" t="inlineStr">
        <is>
          <t xml:space="preserve">Radio</t>
        </is>
      </c>
    </row>
    <row r="2" spans="1:18">
      <c r="A2" t="inlineStr">
        <is>
          <t xml:space="preserve">Antonio Belpaese</t>
        </is>
      </c>
      <c r="B2" t="inlineStr">
        <is>
          <t xml:space="preserve">Vampire Survivors</t>
        </is>
      </c>
      <c r="C2">
        <v>7</v>
      </c>
      <c r="D2">
        <v>3</v>
      </c>
      <c r="E2">
        <v>1</v>
      </c>
      <c r="F2">
        <v>0</v>
      </c>
      <c r="G2">
        <v>1</v>
      </c>
      <c r="H2">
        <v>0</v>
      </c>
      <c r="I2">
        <v>0</v>
      </c>
      <c r="J2">
        <v>0</v>
      </c>
      <c r="K2">
        <v>0</v>
      </c>
      <c r="L2">
        <v>0</v>
      </c>
      <c r="M2" t="inlineStr">
        <is>
          <t xml:space="preserve">Beat a game while having defeated a vampire</t>
        </is>
      </c>
      <c r="N2" t="inlineStr">
        <is>
          <t xml:space="preserve">Gain +1 Random Sized Chest</t>
        </is>
      </c>
      <c r="O2" t="inlineStr">
        <is>
          <t xml:space="preserve">What a wonderful night to hunt beasts!</t>
        </is>
      </c>
      <c r="P2" t="inlineStr">
        <is>
          <t xml:space="preserve">Whip</t>
        </is>
      </c>
      <c r="Q2" t="inlineStr">
        <is>
          <t xml:space="preserve">AntonioBelpaese</t>
        </is>
      </c>
    </row>
    <row r="3" spans="1:18">
      <c r="A3" t="inlineStr">
        <is>
          <t xml:space="preserve">Erratic Deck</t>
        </is>
      </c>
      <c r="B3" t="inlineStr">
        <is>
          <t xml:space="preserve">Balatro</t>
        </is>
      </c>
      <c r="C3">
        <v>7</v>
      </c>
      <c r="D3">
        <v>3</v>
      </c>
      <c r="E3">
        <v>0</v>
      </c>
      <c r="F3">
        <v>0</v>
      </c>
      <c r="G3">
        <v>0</v>
      </c>
      <c r="H3">
        <v>0</v>
      </c>
      <c r="I3">
        <v>0</v>
      </c>
      <c r="J3">
        <v>0</v>
      </c>
      <c r="K3">
        <v>0</v>
      </c>
      <c r="L3">
        <v>2</v>
      </c>
      <c r="M3" t="inlineStr">
        <is>
          <t xml:space="preserve">Beat a game while having selected a random starting build</t>
        </is>
      </c>
      <c r="N3" t="inlineStr">
        <is>
          <t xml:space="preserve">Gain +1 Random Card</t>
        </is>
      </c>
      <c r="O3" t="inlineStr">
        <is>
          <t xml:space="preserve">All Ranks and Suits in deck are randomized</t>
        </is>
      </c>
      <c r="P3" t="inlineStr">
        <is>
          <t xml:space="preserve">1 random joker card</t>
        </is>
      </c>
      <c r="Q3" t="inlineStr">
        <is>
          <t xml:space="preserve">ErraticDeck</t>
        </is>
      </c>
    </row>
    <row r="4" spans="1:18">
      <c r="A4" t="inlineStr">
        <is>
          <t xml:space="preserve">Ironclad</t>
        </is>
      </c>
      <c r="B4" t="inlineStr">
        <is>
          <t xml:space="preserve">Slay the Spire</t>
        </is>
      </c>
      <c r="C4">
        <v>8</v>
      </c>
      <c r="D4">
        <v>3</v>
      </c>
      <c r="E4">
        <v>2</v>
      </c>
      <c r="F4">
        <v>0</v>
      </c>
      <c r="G4">
        <v>0</v>
      </c>
      <c r="H4">
        <v>0</v>
      </c>
      <c r="I4">
        <v>0</v>
      </c>
      <c r="J4">
        <v>0</v>
      </c>
      <c r="K4">
        <v>0</v>
      </c>
      <c r="L4">
        <v>0</v>
      </c>
      <c r="M4" t="inlineStr">
        <is>
          <t xml:space="preserve">Beat a game while having made a Faustian bargain</t>
        </is>
      </c>
      <c r="N4" t="inlineStr">
        <is>
          <t xml:space="preserve">Gain +1 Small Chest</t>
        </is>
      </c>
      <c r="O4" t="inlineStr">
        <is>
          <t xml:space="preserve">The remaining soldier of the Ironclads. Sold his soul to harness demonic energies.</t>
        </is>
      </c>
      <c r="P4" t="inlineStr">
        <is>
          <t xml:space="preserve">Burning Blood</t>
        </is>
      </c>
      <c r="Q4" t="inlineStr">
        <is>
          <t xml:space="preserve">Ironclad</t>
        </is>
      </c>
    </row>
    <row r="5" spans="1:18">
      <c r="A5" t="inlineStr">
        <is>
          <t xml:space="preserve">Isaac</t>
        </is>
      </c>
      <c r="B5" t="inlineStr">
        <is>
          <t xml:space="preserve">The Binding of Isaac</t>
        </is>
      </c>
      <c r="C5">
        <v>6</v>
      </c>
      <c r="D5">
        <v>3</v>
      </c>
      <c r="E5">
        <v>0</v>
      </c>
      <c r="F5">
        <v>0</v>
      </c>
      <c r="G5">
        <v>0</v>
      </c>
      <c r="H5">
        <v>0</v>
      </c>
      <c r="I5">
        <v>0</v>
      </c>
      <c r="J5">
        <v>1</v>
      </c>
      <c r="K5">
        <v>0</v>
      </c>
      <c r="L5">
        <v>0</v>
      </c>
      <c r="M5" t="inlineStr">
        <is>
          <t xml:space="preserve">Beat a game while having used sorrow or self-inflicted pain as a weapon</t>
        </is>
      </c>
      <c r="N5" t="inlineStr">
        <is>
          <t xml:space="preserve">Gain +1 Small Chest and +1 Scramble</t>
        </is>
      </c>
      <c r="O5" t="inlineStr">
        <is>
          <t xml:space="preserve">Who am I?</t>
        </is>
      </c>
      <c r="P5" t="inlineStr">
        <is>
          <t xml:space="preserve">D6</t>
        </is>
      </c>
      <c r="Q5" t="inlineStr">
        <is>
          <t xml:space="preserve">Isaac</t>
        </is>
      </c>
      <c r="R5" t="inlineStr">
        <is>
          <t xml:space="preserve">The Binding of Isaac; The Binding of Isaac: Rebirth</t>
        </is>
      </c>
    </row>
    <row r="6" spans="1:18">
      <c r="A6" t="inlineStr">
        <is>
          <t xml:space="preserve">Manager</t>
        </is>
      </c>
      <c r="B6" t="inlineStr">
        <is>
          <t xml:space="preserve">Raccoin: Coin Pusher Roguelike</t>
        </is>
      </c>
      <c r="C6">
        <v>7</v>
      </c>
      <c r="D6">
        <v>3</v>
      </c>
      <c r="E6">
        <v>0</v>
      </c>
      <c r="F6">
        <v>0</v>
      </c>
      <c r="G6">
        <v>2</v>
      </c>
      <c r="H6">
        <v>0</v>
      </c>
      <c r="I6">
        <v>0</v>
      </c>
      <c r="J6">
        <v>0</v>
      </c>
      <c r="K6">
        <v>0</v>
      </c>
      <c r="L6">
        <v>0</v>
      </c>
      <c r="M6" t="inlineStr">
        <is>
          <t xml:space="preserve">Beat a game while having collected 3 different types of currency</t>
        </is>
      </c>
      <c r="N6" t="inlineStr">
        <is>
          <t xml:space="preserve">Gain +1 Push and +1 Gold</t>
        </is>
      </c>
      <c r="O6" t="inlineStr">
        <is>
          <t xml:space="preserve">Master in using  Math coins and earning tickets.</t>
        </is>
      </c>
      <c r="P6" t="inlineStr">
        <is>
          <t xml:space="preserve">N/A</t>
        </is>
      </c>
      <c r="Q6" t="inlineStr">
        <is>
          <t xml:space="preserve">Manager</t>
        </is>
      </c>
    </row>
    <row r="7" spans="1:18">
      <c r="A7" t="inlineStr">
        <is>
          <t xml:space="preserve">Minä</t>
        </is>
      </c>
      <c r="B7" t="inlineStr">
        <is>
          <t xml:space="preserve">Noita</t>
        </is>
      </c>
      <c r="C7">
        <v>7</v>
      </c>
      <c r="D7">
        <v>3</v>
      </c>
      <c r="E7">
        <v>0</v>
      </c>
      <c r="F7">
        <v>0</v>
      </c>
      <c r="G7">
        <v>0</v>
      </c>
      <c r="H7">
        <v>2</v>
      </c>
      <c r="I7">
        <v>0</v>
      </c>
      <c r="J7">
        <v>0</v>
      </c>
      <c r="K7">
        <v>0</v>
      </c>
      <c r="L7">
        <v>0</v>
      </c>
      <c r="M7" t="inlineStr">
        <is>
          <t xml:space="preserve">Beat a game while having crafted or combined a spell or weapon</t>
        </is>
      </c>
      <c r="N7" t="inlineStr">
        <is>
          <t xml:space="preserve">Gain +1 Transmute</t>
        </is>
      </c>
      <c r="O7" t="inlineStr">
        <is>
          <t xml:space="preserve">Why must you go destroying everything? Why? For glory? For your precious god of gods. Is it really worth all this? Is it? Is it really?</t>
        </is>
      </c>
      <c r="P7" t="inlineStr">
        <is>
          <t xml:space="preserve">1 random wand</t>
        </is>
      </c>
      <c r="Q7" t="inlineStr">
        <is>
          <t xml:space="preserve">Minä</t>
        </is>
      </c>
    </row>
    <row r="8" spans="1:18">
      <c r="A8" t="inlineStr">
        <is>
          <t xml:space="preserve">Poe Ratcho</t>
        </is>
      </c>
      <c r="B8" t="inlineStr">
        <is>
          <t xml:space="preserve">Vampire Survivors</t>
        </is>
      </c>
      <c r="C8">
        <v>7</v>
      </c>
      <c r="D8">
        <v>3</v>
      </c>
      <c r="E8">
        <v>0</v>
      </c>
      <c r="F8">
        <v>0</v>
      </c>
      <c r="G8">
        <v>2</v>
      </c>
      <c r="H8">
        <v>0</v>
      </c>
      <c r="I8">
        <v>0</v>
      </c>
      <c r="J8">
        <v>0</v>
      </c>
      <c r="K8">
        <v>0</v>
      </c>
      <c r="L8">
        <v>0</v>
      </c>
      <c r="M8" t="inlineStr">
        <is>
          <t xml:space="preserve">Beat a game while being stinky</t>
        </is>
      </c>
      <c r="N8" t="inlineStr">
        <is>
          <t xml:space="preserve">Gain +1 Random Sized Chest</t>
        </is>
      </c>
      <c r="O8" t="inlineStr">
        <is>
          <t xml:space="preserve">A malodorous hero</t>
        </is>
      </c>
      <c r="P8" t="inlineStr">
        <is>
          <t xml:space="preserve">Pummarola</t>
        </is>
      </c>
      <c r="Q8" t="inlineStr">
        <is>
          <t xml:space="preserve">PoeRatcho</t>
        </is>
      </c>
    </row>
    <row r="9" spans="1:18">
      <c r="A9" t="inlineStr">
        <is>
          <t xml:space="preserve">Regent</t>
        </is>
      </c>
      <c r="B9" t="inlineStr">
        <is>
          <t xml:space="preserve">Slay the Spire 2</t>
        </is>
      </c>
      <c r="C9">
        <v>7</v>
      </c>
      <c r="D9">
        <v>3</v>
      </c>
      <c r="E9">
        <v>0</v>
      </c>
      <c r="F9">
        <v>0</v>
      </c>
      <c r="G9">
        <v>1</v>
      </c>
      <c r="H9">
        <v>1</v>
      </c>
      <c r="I9">
        <v>0</v>
      </c>
      <c r="J9">
        <v>0</v>
      </c>
      <c r="K9">
        <v>0</v>
      </c>
      <c r="L9">
        <v>0</v>
      </c>
      <c r="M9" t="inlineStr">
        <is>
          <t xml:space="preserve">Beat a game while having made a friend</t>
        </is>
      </c>
      <c r="N9" t="inlineStr">
        <is>
          <t xml:space="preserve">Gain +1 Small Chest</t>
        </is>
      </c>
      <c r="O9" t="inlineStr">
        <is>
          <t xml:space="preserve">Heir to the Throne of Stars. Wields cosmic powers but his minions do the work.</t>
        </is>
      </c>
      <c r="P9" t="inlineStr">
        <is>
          <t xml:space="preserve">N/A</t>
        </is>
      </c>
      <c r="Q9" t="inlineStr">
        <is>
          <t xml:space="preserve">Regent</t>
        </is>
      </c>
    </row>
    <row r="10" spans="1:18">
      <c r="A10" t="inlineStr">
        <is>
          <t xml:space="preserve">Rodney</t>
        </is>
      </c>
      <c r="B10" t="inlineStr">
        <is>
          <t xml:space="preserve">Rogue</t>
        </is>
      </c>
      <c r="C10">
        <v>5</v>
      </c>
      <c r="D10">
        <v>3</v>
      </c>
      <c r="E10">
        <v>0</v>
      </c>
      <c r="F10">
        <v>0</v>
      </c>
      <c r="G10">
        <v>0</v>
      </c>
      <c r="H10">
        <v>0</v>
      </c>
      <c r="I10">
        <v>0</v>
      </c>
      <c r="J10">
        <v>0</v>
      </c>
      <c r="K10">
        <v>0</v>
      </c>
      <c r="L10">
        <v>2</v>
      </c>
      <c r="M10" t="inlineStr">
        <is>
          <t xml:space="preserve">Beat a game without meta progression</t>
        </is>
      </c>
      <c r="N10" t="inlineStr">
        <is>
          <t xml:space="preserve">Gain +1 Max Health and +1 Loot</t>
        </is>
      </c>
      <c r="O10" t="inlineStr">
        <is>
          <t xml:space="preserve">Now I abide here, searching endlessly for the precious Amulet... and finding a thousand horrors.</t>
        </is>
      </c>
      <c r="P10" t="inlineStr">
        <is>
          <t xml:space="preserve">N/A</t>
        </is>
      </c>
      <c r="Q10" t="inlineStr">
        <is>
          <t xml:space="preserve">Rodney</t>
        </is>
      </c>
    </row>
    <row r="11" spans="1:18">
      <c r="A11" t="inlineStr">
        <is>
          <t xml:space="preserve">The Makeshift Sisyphus</t>
        </is>
      </c>
      <c r="B11" t="inlineStr">
        <is>
          <t xml:space="preserve">Ball x Pit</t>
        </is>
      </c>
      <c r="C11">
        <v>7</v>
      </c>
      <c r="D11">
        <v>3</v>
      </c>
      <c r="E11">
        <v>1</v>
      </c>
      <c r="F11">
        <v>0</v>
      </c>
      <c r="G11">
        <v>0</v>
      </c>
      <c r="H11">
        <v>0</v>
      </c>
      <c r="I11">
        <v>0</v>
      </c>
      <c r="J11">
        <v>0</v>
      </c>
      <c r="K11">
        <v>0</v>
      </c>
      <c r="L11">
        <v>0</v>
      </c>
      <c r="M11" t="inlineStr">
        <is>
          <t xml:space="preserve">Beat a game while having pushed a boulder</t>
        </is>
      </c>
      <c r="N11" t="inlineStr">
        <is>
          <t xml:space="preserve">Gain +1 Small Chest</t>
        </is>
      </c>
      <c r="O11" t="inlineStr">
        <is>
          <t xml:space="preserve">A former king, tormented by time</t>
        </is>
      </c>
      <c r="P11" t="inlineStr">
        <is>
          <t xml:space="preserve">Earthquake</t>
        </is>
      </c>
      <c r="Q11" t="inlineStr">
        <is>
          <t xml:space="preserve">TheMakeshiftSisyphus</t>
        </is>
      </c>
    </row>
    <row r="12" spans="1:18">
      <c r="A12" t="inlineStr">
        <is>
          <t xml:space="preserve">Zagreus</t>
        </is>
      </c>
      <c r="B12" t="inlineStr">
        <is>
          <t xml:space="preserve">Hades</t>
        </is>
      </c>
      <c r="C12">
        <v>7</v>
      </c>
      <c r="D12">
        <v>3</v>
      </c>
      <c r="E12">
        <v>1</v>
      </c>
      <c r="F12">
        <v>1</v>
      </c>
      <c r="G12">
        <v>0</v>
      </c>
      <c r="H12">
        <v>0</v>
      </c>
      <c r="I12">
        <v>0</v>
      </c>
      <c r="J12">
        <v>0</v>
      </c>
      <c r="K12">
        <v>0</v>
      </c>
      <c r="L12">
        <v>0</v>
      </c>
      <c r="M12" t="inlineStr">
        <is>
          <t xml:space="preserve">Beat a game with the help of a God</t>
        </is>
      </c>
      <c r="N12" t="inlineStr">
        <is>
          <t xml:space="preserve">Gain +1 Large Chest</t>
        </is>
      </c>
      <c r="O12" t="inlineStr">
        <is>
          <t xml:space="preserve">... All right, let's give it another shot.</t>
        </is>
      </c>
      <c r="P12" t="inlineStr">
        <is>
          <t xml:space="preserve">N/A</t>
        </is>
      </c>
      <c r="Q12" t="inlineStr">
        <is>
          <t xml:space="preserve">Zagreus</t>
        </is>
      </c>
    </row>
    <row r="13" spans="1:18">
      <c r="A13" t="inlineStr">
        <is>
          <t xml:space="preserve">Zoe</t>
        </is>
      </c>
      <c r="B13" t="inlineStr">
        <is>
          <t xml:space="preserve">Haste</t>
        </is>
      </c>
      <c r="C13">
        <v>7</v>
      </c>
      <c r="D13">
        <v>3</v>
      </c>
      <c r="E13">
        <v>0</v>
      </c>
      <c r="F13">
        <v>1</v>
      </c>
      <c r="G13">
        <v>1</v>
      </c>
      <c r="H13">
        <v>0</v>
      </c>
      <c r="I13">
        <v>0</v>
      </c>
      <c r="J13">
        <v>0</v>
      </c>
      <c r="K13">
        <v>0</v>
      </c>
      <c r="L13">
        <v>0</v>
      </c>
      <c r="M13" t="inlineStr">
        <is>
          <t xml:space="preserve">Perfect a game by beating it without losing</t>
        </is>
      </c>
      <c r="N13" t="inlineStr">
        <is>
          <t xml:space="preserve">Gain +1 Dash</t>
        </is>
      </c>
      <c r="O13" t="inlineStr">
        <is>
          <t xml:space="preserve">Express Delivery: Arrives with haste, before the world ends.</t>
        </is>
      </c>
      <c r="P13" t="inlineStr">
        <is>
          <t xml:space="preserve">N/A</t>
        </is>
      </c>
      <c r="Q13" t="inlineStr">
        <is>
          <t xml:space="preserve">Zoe</t>
        </is>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6"/>
  <sheetViews>
    <sheetView topLeftCell="A28" workbookViewId="0">
      <selection activeCell="C79" sqref="C79"/>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9993</v>
      </c>
      <c r="B8" t="s">
        <v>3496</v>
      </c>
      <c r="C8" t="s">
        <v>9994</v>
      </c>
      <c r="D8" t="s">
        <v>9995</v>
      </c>
      <c r="E8" t="s">
        <v>9997</v>
      </c>
      <c r="F8" t="s">
        <v>160</v>
      </c>
      <c r="G8" t="s">
        <v>4594</v>
      </c>
      <c r="I8" t="s">
        <v>9996</v>
      </c>
      <c r="J8" t="s">
        <v>3506</v>
      </c>
    </row>
    <row r="9" spans="1:10" x14ac:dyDescent="0.25">
      <c r="A9" t="s">
        <v>3533</v>
      </c>
      <c r="B9" t="s">
        <v>3496</v>
      </c>
      <c r="C9" t="s">
        <v>3534</v>
      </c>
      <c r="D9" t="s">
        <v>8301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12667</v>
      </c>
      <c r="B13" t="s">
        <v>3496</v>
      </c>
      <c r="C13" t="s">
        <v>3517</v>
      </c>
      <c r="D13" t="s">
        <v>12668</v>
      </c>
      <c r="E13" t="s">
        <v>12705</v>
      </c>
      <c r="F13" t="s">
        <v>497</v>
      </c>
      <c r="G13" t="s">
        <v>12670</v>
      </c>
      <c r="I13" t="s">
        <v>12669</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8275</v>
      </c>
      <c r="E15" t="s">
        <v>8302</v>
      </c>
      <c r="F15" t="s">
        <v>2619</v>
      </c>
      <c r="G15" t="s">
        <v>4648</v>
      </c>
      <c r="H15" t="s">
        <v>3698</v>
      </c>
      <c r="I15" t="s">
        <v>7846</v>
      </c>
      <c r="J15" t="s">
        <v>3970</v>
      </c>
    </row>
    <row r="16" spans="1:10" x14ac:dyDescent="0.25">
      <c r="A16" t="s">
        <v>12695</v>
      </c>
      <c r="B16" t="s">
        <v>3496</v>
      </c>
      <c r="C16" t="s">
        <v>3517</v>
      </c>
      <c r="D16" t="s">
        <v>12696</v>
      </c>
      <c r="E16" t="s">
        <v>12706</v>
      </c>
      <c r="F16" t="s">
        <v>2132</v>
      </c>
      <c r="G16" t="s">
        <v>12697</v>
      </c>
      <c r="I16" t="s">
        <v>12698</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14087</v>
      </c>
      <c r="B24" t="s">
        <v>3508</v>
      </c>
      <c r="C24" t="s">
        <v>3517</v>
      </c>
      <c r="D24" t="s">
        <v>14088</v>
      </c>
      <c r="E24" t="s">
        <v>14113</v>
      </c>
      <c r="F24" t="s">
        <v>1951</v>
      </c>
      <c r="G24" t="s">
        <v>14089</v>
      </c>
      <c r="I24" t="s">
        <v>14090</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14091</v>
      </c>
      <c r="B34" t="s">
        <v>41</v>
      </c>
      <c r="C34" t="s">
        <v>3517</v>
      </c>
      <c r="D34" t="s">
        <v>14092</v>
      </c>
      <c r="E34" t="s">
        <v>14114</v>
      </c>
      <c r="F34" t="s">
        <v>1951</v>
      </c>
      <c r="G34" t="s">
        <v>3620</v>
      </c>
      <c r="I34" t="s">
        <v>14093</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9990</v>
      </c>
      <c r="B36" t="s">
        <v>41</v>
      </c>
      <c r="C36" t="s">
        <v>3534</v>
      </c>
      <c r="D36" t="s">
        <v>9991</v>
      </c>
      <c r="E36" t="s">
        <v>9998</v>
      </c>
      <c r="F36" t="s">
        <v>2619</v>
      </c>
      <c r="G36" t="s">
        <v>9987</v>
      </c>
      <c r="I36" t="s">
        <v>9992</v>
      </c>
      <c r="J36" t="s">
        <v>3571</v>
      </c>
    </row>
    <row r="37" spans="1:10" x14ac:dyDescent="0.25">
      <c r="A37" t="s">
        <v>12663</v>
      </c>
      <c r="B37" t="s">
        <v>3496</v>
      </c>
      <c r="C37" t="s">
        <v>3517</v>
      </c>
      <c r="D37" t="s">
        <v>12662</v>
      </c>
      <c r="E37" t="s">
        <v>12707</v>
      </c>
      <c r="F37" t="s">
        <v>7934</v>
      </c>
      <c r="G37" t="s">
        <v>12664</v>
      </c>
      <c r="I37" t="s">
        <v>12665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12666</v>
      </c>
      <c r="I47" t="s">
        <v>3647</v>
      </c>
      <c r="J47" t="s">
        <v>3582</v>
      </c>
    </row>
    <row r="48" spans="1:10" x14ac:dyDescent="0.25">
      <c r="A48" t="s">
        <v>9986</v>
      </c>
      <c r="B48" t="s">
        <v>3508</v>
      </c>
      <c r="C48" t="s">
        <v>3534</v>
      </c>
      <c r="D48" t="s">
        <v>9999</v>
      </c>
      <c r="E48" t="s">
        <v>10000</v>
      </c>
      <c r="F48" t="s">
        <v>2619</v>
      </c>
      <c r="G48" t="s">
        <v>9989</v>
      </c>
      <c r="H48" t="s">
        <v>3662</v>
      </c>
      <c r="I48" t="s">
        <v>9988</v>
      </c>
      <c r="J48" t="s">
        <v>3571</v>
      </c>
    </row>
    <row r="49" spans="1:10" x14ac:dyDescent="0.25">
      <c r="A49" t="s">
        <v>12699</v>
      </c>
      <c r="B49" t="s">
        <v>3496</v>
      </c>
      <c r="C49" t="s">
        <v>3509</v>
      </c>
      <c r="D49" t="s">
        <v>12700</v>
      </c>
      <c r="E49" t="s">
        <v>12708</v>
      </c>
      <c r="F49" t="s">
        <v>7934</v>
      </c>
      <c r="G49" t="s">
        <v>4434</v>
      </c>
      <c r="I49" t="s">
        <v>12701</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14100</v>
      </c>
      <c r="E52" t="s">
        <v>14115</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14094</v>
      </c>
      <c r="B62" t="s">
        <v>41</v>
      </c>
      <c r="C62" t="s">
        <v>3517</v>
      </c>
      <c r="D62" t="s">
        <v>14095</v>
      </c>
      <c r="E62" t="s">
        <v>14116</v>
      </c>
      <c r="F62" t="s">
        <v>1951</v>
      </c>
      <c r="G62" t="s">
        <v>264</v>
      </c>
      <c r="I62" t="s">
        <v>14096</v>
      </c>
      <c r="J62" t="s">
        <v>3435</v>
      </c>
    </row>
    <row r="63" spans="1:10" x14ac:dyDescent="0.25">
      <c r="A63" t="s">
        <v>14070</v>
      </c>
      <c r="B63" t="s">
        <v>3508</v>
      </c>
      <c r="C63" t="s">
        <v>14071</v>
      </c>
      <c r="D63" t="s">
        <v>14072</v>
      </c>
      <c r="E63" t="s">
        <v>14117</v>
      </c>
      <c r="F63" t="s">
        <v>2619</v>
      </c>
      <c r="G63" t="s">
        <v>7350</v>
      </c>
      <c r="I63" t="s">
        <v>14070</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3692</v>
      </c>
      <c r="B66" t="s">
        <v>3508</v>
      </c>
      <c r="C66" t="s">
        <v>3497</v>
      </c>
      <c r="D66" t="s">
        <v>7602</v>
      </c>
      <c r="E66" t="s">
        <v>7624</v>
      </c>
      <c r="F66" t="s">
        <v>2619</v>
      </c>
      <c r="G66" t="s">
        <v>3693</v>
      </c>
      <c r="I66" t="s">
        <v>3694</v>
      </c>
      <c r="J66" t="s">
        <v>3532</v>
      </c>
    </row>
    <row r="67" spans="1:10" x14ac:dyDescent="0.25">
      <c r="A67" t="s">
        <v>3695</v>
      </c>
      <c r="B67" t="s">
        <v>3508</v>
      </c>
      <c r="C67" t="s">
        <v>3509</v>
      </c>
      <c r="D67" t="s">
        <v>3696</v>
      </c>
      <c r="E67" t="s">
        <v>3697</v>
      </c>
      <c r="F67" t="s">
        <v>160</v>
      </c>
      <c r="G67" t="s">
        <v>3681</v>
      </c>
      <c r="H67" t="s">
        <v>3698</v>
      </c>
      <c r="I67" t="s">
        <v>3695</v>
      </c>
      <c r="J67" t="s">
        <v>3699</v>
      </c>
    </row>
    <row r="68" spans="1:10" x14ac:dyDescent="0.25">
      <c r="A68" t="s">
        <v>9983</v>
      </c>
      <c r="B68" t="s">
        <v>3508</v>
      </c>
      <c r="C68" t="s">
        <v>3573</v>
      </c>
      <c r="D68" t="s">
        <v>9984</v>
      </c>
      <c r="E68" t="s">
        <v>10001</v>
      </c>
      <c r="F68" t="s">
        <v>160</v>
      </c>
      <c r="G68" t="s">
        <v>4594</v>
      </c>
      <c r="I68" t="s">
        <v>9985</v>
      </c>
      <c r="J68" t="s">
        <v>3571</v>
      </c>
    </row>
    <row r="69" spans="1:10" x14ac:dyDescent="0.25">
      <c r="A69" t="s">
        <v>3700</v>
      </c>
      <c r="B69" t="s">
        <v>3508</v>
      </c>
      <c r="C69" t="s">
        <v>3534</v>
      </c>
      <c r="D69" t="s">
        <v>3701</v>
      </c>
      <c r="E69" t="s">
        <v>3702</v>
      </c>
      <c r="F69" t="s">
        <v>160</v>
      </c>
      <c r="G69" t="s">
        <v>3703</v>
      </c>
      <c r="H69" t="s">
        <v>3537</v>
      </c>
      <c r="I69" t="s">
        <v>3704</v>
      </c>
      <c r="J69" t="s">
        <v>3514</v>
      </c>
    </row>
    <row r="70" spans="1:10" x14ac:dyDescent="0.25">
      <c r="A70" t="s">
        <v>3705</v>
      </c>
      <c r="B70" t="s">
        <v>3508</v>
      </c>
      <c r="C70" t="s">
        <v>3517</v>
      </c>
      <c r="D70" t="s">
        <v>3706</v>
      </c>
      <c r="E70" t="s">
        <v>3707</v>
      </c>
      <c r="F70" t="s">
        <v>2619</v>
      </c>
      <c r="H70" t="s">
        <v>3662</v>
      </c>
      <c r="I70" t="s">
        <v>3708</v>
      </c>
      <c r="J70" t="s">
        <v>3514</v>
      </c>
    </row>
    <row r="71" spans="1:10" x14ac:dyDescent="0.25">
      <c r="A71" t="s">
        <v>12702</v>
      </c>
      <c r="B71" t="s">
        <v>3718</v>
      </c>
      <c r="C71" t="s">
        <v>3517</v>
      </c>
      <c r="D71" t="s">
        <v>12703</v>
      </c>
      <c r="E71" t="s">
        <v>12709</v>
      </c>
      <c r="F71" t="s">
        <v>7934</v>
      </c>
      <c r="I71" t="s">
        <v>12704</v>
      </c>
      <c r="J71" t="s">
        <v>7573</v>
      </c>
    </row>
    <row r="72" spans="1:10" x14ac:dyDescent="0.25">
      <c r="A72" t="s">
        <v>3709</v>
      </c>
      <c r="B72" t="s">
        <v>3508</v>
      </c>
      <c r="C72" t="s">
        <v>3503</v>
      </c>
      <c r="D72" t="s">
        <v>3710</v>
      </c>
      <c r="E72" t="s">
        <v>3711</v>
      </c>
      <c r="F72" t="s">
        <v>553</v>
      </c>
      <c r="G72" t="s">
        <v>3712</v>
      </c>
      <c r="I72" t="s">
        <v>3713</v>
      </c>
      <c r="J72" t="s">
        <v>3571</v>
      </c>
    </row>
    <row r="73" spans="1:10" x14ac:dyDescent="0.25">
      <c r="A73" t="s">
        <v>3714</v>
      </c>
      <c r="B73" t="s">
        <v>41</v>
      </c>
      <c r="C73" t="s">
        <v>3649</v>
      </c>
      <c r="D73" t="s">
        <v>3715</v>
      </c>
      <c r="E73" t="s">
        <v>3716</v>
      </c>
      <c r="F73" t="s">
        <v>90</v>
      </c>
      <c r="I73" t="s">
        <v>3714</v>
      </c>
      <c r="J73" t="s">
        <v>3514</v>
      </c>
    </row>
    <row r="74" spans="1:10" x14ac:dyDescent="0.25">
      <c r="A74" t="s">
        <v>14097</v>
      </c>
      <c r="B74" t="s">
        <v>3508</v>
      </c>
      <c r="C74" t="s">
        <v>3517</v>
      </c>
      <c r="D74" t="s">
        <v>14098</v>
      </c>
      <c r="E74" t="s">
        <v>14118</v>
      </c>
      <c r="F74" t="s">
        <v>1951</v>
      </c>
      <c r="G74" t="s">
        <v>3632</v>
      </c>
      <c r="I74" t="s">
        <v>14099</v>
      </c>
      <c r="J74" t="s">
        <v>3435</v>
      </c>
    </row>
    <row r="75" spans="1:10" x14ac:dyDescent="0.25">
      <c r="A75" t="s">
        <v>7354</v>
      </c>
      <c r="B75" t="s">
        <v>3508</v>
      </c>
      <c r="C75" t="s">
        <v>3517</v>
      </c>
      <c r="D75" t="s">
        <v>7356</v>
      </c>
      <c r="E75" t="s">
        <v>7367</v>
      </c>
      <c r="F75" t="s">
        <v>90</v>
      </c>
      <c r="G75" t="s">
        <v>7358</v>
      </c>
      <c r="I75" t="s">
        <v>7355</v>
      </c>
      <c r="J75" t="s">
        <v>3582</v>
      </c>
    </row>
    <row r="76" spans="1:10" x14ac:dyDescent="0.25">
      <c r="A76" t="s">
        <v>3722</v>
      </c>
      <c r="B76" t="s">
        <v>41</v>
      </c>
      <c r="C76" t="s">
        <v>3665</v>
      </c>
      <c r="D76" t="s">
        <v>3723</v>
      </c>
      <c r="E76" t="s">
        <v>3724</v>
      </c>
      <c r="F76" t="s">
        <v>2619</v>
      </c>
      <c r="G76" t="s">
        <v>3725</v>
      </c>
      <c r="I76" t="s">
        <v>3726</v>
      </c>
      <c r="J76"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14051</v>
      </c>
      <c r="B9" t="s">
        <v>176</v>
      </c>
      <c r="C9" t="s">
        <v>3735</v>
      </c>
      <c r="D9" t="s">
        <v>3736</v>
      </c>
      <c r="E9" t="s">
        <v>185</v>
      </c>
      <c r="F9">
        <v>3</v>
      </c>
      <c r="G9">
        <v>1</v>
      </c>
      <c r="H9" t="s">
        <v>3744</v>
      </c>
      <c r="I9" t="s">
        <v>14053</v>
      </c>
      <c r="J9" t="s">
        <v>7394</v>
      </c>
      <c r="K9" t="s">
        <v>14052</v>
      </c>
      <c r="L9" t="s">
        <v>12691</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14123</v>
      </c>
      <c r="J35" t="s">
        <v>3452</v>
      </c>
      <c r="K35" t="s">
        <v>12690</v>
      </c>
      <c r="L35" t="s">
        <v>12691</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12692</v>
      </c>
      <c r="B2" t="s">
        <v>176</v>
      </c>
      <c r="C2" t="s">
        <v>3735</v>
      </c>
      <c r="D2" t="s">
        <v>3785</v>
      </c>
      <c r="E2" t="s">
        <v>2619</v>
      </c>
      <c r="F2">
        <v>1</v>
      </c>
      <c r="G2">
        <v>3</v>
      </c>
      <c r="H2" t="s">
        <v>3737</v>
      </c>
      <c r="I2" t="s">
        <v>12693</v>
      </c>
      <c r="J2" t="s">
        <v>3452</v>
      </c>
      <c r="K2" t="s">
        <v>12694</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14055</v>
      </c>
      <c r="B20" t="s">
        <v>176</v>
      </c>
      <c r="C20" t="s">
        <v>3903</v>
      </c>
      <c r="D20" t="s">
        <v>3952</v>
      </c>
      <c r="E20" t="s">
        <v>2619</v>
      </c>
      <c r="F20">
        <v>1</v>
      </c>
      <c r="G20">
        <v>9</v>
      </c>
      <c r="H20" t="s">
        <v>3737</v>
      </c>
      <c r="I20" t="s">
        <v>14054</v>
      </c>
      <c r="J20" t="s">
        <v>7368</v>
      </c>
      <c r="K20" t="s">
        <v>14056</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14084</v>
      </c>
      <c r="B24" t="s">
        <v>182</v>
      </c>
      <c r="C24" t="s">
        <v>3735</v>
      </c>
      <c r="D24" t="s">
        <v>3785</v>
      </c>
      <c r="E24" t="s">
        <v>1951</v>
      </c>
      <c r="F24">
        <v>1</v>
      </c>
      <c r="G24">
        <v>3</v>
      </c>
      <c r="H24" t="s">
        <v>3744</v>
      </c>
      <c r="I24" t="s">
        <v>14086</v>
      </c>
      <c r="J24" t="s">
        <v>3452</v>
      </c>
      <c r="K24" t="s">
        <v>14085</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8287</v>
      </c>
      <c r="G3" t="s">
        <v>160</v>
      </c>
      <c r="H3" t="s">
        <v>7493</v>
      </c>
      <c r="I3" t="s">
        <v>7483</v>
      </c>
    </row>
    <row r="4" spans="1:9" x14ac:dyDescent="0.25">
      <c r="A4" t="s">
        <v>7497</v>
      </c>
      <c r="B4" t="s">
        <v>3496</v>
      </c>
      <c r="C4" t="s">
        <v>4496</v>
      </c>
      <c r="D4" t="s">
        <v>7498</v>
      </c>
      <c r="E4" t="s">
        <v>7519</v>
      </c>
      <c r="F4" t="s">
        <v>8288</v>
      </c>
      <c r="G4" t="s">
        <v>160</v>
      </c>
      <c r="H4" t="s">
        <v>7502</v>
      </c>
      <c r="I4" t="s">
        <v>7496</v>
      </c>
    </row>
    <row r="5" spans="1:9" x14ac:dyDescent="0.25">
      <c r="A5" t="s">
        <v>7499</v>
      </c>
      <c r="B5" t="s">
        <v>3496</v>
      </c>
      <c r="C5" t="s">
        <v>4496</v>
      </c>
      <c r="D5" t="s">
        <v>7500</v>
      </c>
      <c r="E5" t="s">
        <v>7520</v>
      </c>
      <c r="F5" t="s">
        <v>8288</v>
      </c>
      <c r="G5" t="s">
        <v>160</v>
      </c>
      <c r="H5" t="s">
        <v>7501</v>
      </c>
      <c r="I5" t="s">
        <v>7496</v>
      </c>
    </row>
    <row r="6" spans="1:9" x14ac:dyDescent="0.25">
      <c r="A6" t="s">
        <v>7503</v>
      </c>
      <c r="B6" t="s">
        <v>3496</v>
      </c>
      <c r="C6" t="s">
        <v>4496</v>
      </c>
      <c r="D6" t="s">
        <v>7505</v>
      </c>
      <c r="E6" t="s">
        <v>7521</v>
      </c>
      <c r="F6" t="s">
        <v>8288</v>
      </c>
      <c r="G6" t="s">
        <v>160</v>
      </c>
      <c r="H6" t="s">
        <v>7504</v>
      </c>
      <c r="I6" t="s">
        <v>7496</v>
      </c>
    </row>
    <row r="7" spans="1:9" x14ac:dyDescent="0.25">
      <c r="A7" t="s">
        <v>7509</v>
      </c>
      <c r="B7" t="s">
        <v>3496</v>
      </c>
      <c r="C7" t="s">
        <v>4496</v>
      </c>
      <c r="D7" t="s">
        <v>7510</v>
      </c>
      <c r="E7" t="s">
        <v>7523</v>
      </c>
      <c r="G7" t="s">
        <v>2619</v>
      </c>
      <c r="H7" t="s">
        <v>7511</v>
      </c>
      <c r="I7" t="s">
        <v>7512</v>
      </c>
    </row>
    <row r="8" spans="1:9" x14ac:dyDescent="0.25">
      <c r="A8" t="s">
        <v>3515</v>
      </c>
      <c r="B8" t="s">
        <v>3496</v>
      </c>
      <c r="C8" t="s">
        <v>3517</v>
      </c>
      <c r="D8" t="s">
        <v>8213</v>
      </c>
      <c r="E8" t="s">
        <v>8164</v>
      </c>
      <c r="G8" t="s">
        <v>90</v>
      </c>
      <c r="H8" t="s">
        <v>3515</v>
      </c>
      <c r="I8" t="s">
        <v>7482</v>
      </c>
    </row>
    <row r="9" spans="1:9" x14ac:dyDescent="0.25">
      <c r="A9" t="s">
        <v>8154</v>
      </c>
      <c r="B9" t="s">
        <v>3496</v>
      </c>
      <c r="C9" t="s">
        <v>3517</v>
      </c>
      <c r="D9" t="s">
        <v>8212</v>
      </c>
      <c r="E9" t="s">
        <v>8165</v>
      </c>
      <c r="F9" t="s">
        <v>8289</v>
      </c>
      <c r="G9" t="s">
        <v>353</v>
      </c>
      <c r="H9" t="s">
        <v>8154</v>
      </c>
      <c r="I9" t="s">
        <v>7495</v>
      </c>
    </row>
    <row r="10" spans="1:9" x14ac:dyDescent="0.25">
      <c r="A10" t="s">
        <v>8129</v>
      </c>
      <c r="B10" t="s">
        <v>41</v>
      </c>
      <c r="C10" t="s">
        <v>3517</v>
      </c>
      <c r="D10" t="s">
        <v>8211</v>
      </c>
      <c r="E10" t="s">
        <v>8166</v>
      </c>
      <c r="F10" t="s">
        <v>8289</v>
      </c>
      <c r="G10" t="s">
        <v>353</v>
      </c>
      <c r="H10" t="s">
        <v>8130</v>
      </c>
      <c r="I10" t="s">
        <v>7495</v>
      </c>
    </row>
    <row r="11" spans="1:9" x14ac:dyDescent="0.25">
      <c r="A11" t="s">
        <v>7694</v>
      </c>
      <c r="B11" t="s">
        <v>3496</v>
      </c>
      <c r="C11" t="s">
        <v>3517</v>
      </c>
      <c r="D11" t="s">
        <v>8210</v>
      </c>
      <c r="E11" t="s">
        <v>8167</v>
      </c>
      <c r="G11" t="s">
        <v>90</v>
      </c>
      <c r="H11" t="s">
        <v>7695</v>
      </c>
      <c r="I11" t="s">
        <v>7696</v>
      </c>
    </row>
    <row r="12" spans="1:9" x14ac:dyDescent="0.25">
      <c r="A12" t="s">
        <v>8145</v>
      </c>
      <c r="B12" t="s">
        <v>41</v>
      </c>
      <c r="C12" t="s">
        <v>4496</v>
      </c>
      <c r="D12" t="s">
        <v>8146</v>
      </c>
      <c r="E12" t="s">
        <v>8168</v>
      </c>
      <c r="F12" t="s">
        <v>8287</v>
      </c>
      <c r="G12" t="s">
        <v>160</v>
      </c>
      <c r="H12" t="s">
        <v>8147</v>
      </c>
      <c r="I12" t="s">
        <v>7483</v>
      </c>
    </row>
    <row r="13" spans="1:9" x14ac:dyDescent="0.25">
      <c r="A13" t="s">
        <v>7487</v>
      </c>
      <c r="B13" t="s">
        <v>3508</v>
      </c>
      <c r="C13" t="s">
        <v>4496</v>
      </c>
      <c r="D13" t="s">
        <v>8084</v>
      </c>
      <c r="E13" t="s">
        <v>8085</v>
      </c>
      <c r="F13" t="s">
        <v>8287</v>
      </c>
      <c r="G13" t="s">
        <v>160</v>
      </c>
      <c r="H13" t="s">
        <v>7488</v>
      </c>
      <c r="I13" t="s">
        <v>7483</v>
      </c>
    </row>
    <row r="14" spans="1:9" x14ac:dyDescent="0.25">
      <c r="A14" t="s">
        <v>7506</v>
      </c>
      <c r="B14" t="s">
        <v>3496</v>
      </c>
      <c r="C14" t="s">
        <v>4496</v>
      </c>
      <c r="D14" t="s">
        <v>7507</v>
      </c>
      <c r="E14" t="s">
        <v>7522</v>
      </c>
      <c r="F14" t="s">
        <v>8288</v>
      </c>
      <c r="G14" t="s">
        <v>2619</v>
      </c>
      <c r="H14" t="s">
        <v>7508</v>
      </c>
      <c r="I14" t="s">
        <v>7496</v>
      </c>
    </row>
    <row r="15" spans="1:9" x14ac:dyDescent="0.25">
      <c r="A15" t="s">
        <v>3670</v>
      </c>
      <c r="B15" t="s">
        <v>3508</v>
      </c>
      <c r="C15" t="s">
        <v>4496</v>
      </c>
      <c r="D15" t="s">
        <v>3671</v>
      </c>
      <c r="E15" t="s">
        <v>7515</v>
      </c>
      <c r="F15" t="s">
        <v>8289</v>
      </c>
      <c r="G15" t="s">
        <v>353</v>
      </c>
      <c r="H15" t="s">
        <v>3672</v>
      </c>
      <c r="I15" t="s">
        <v>7495</v>
      </c>
    </row>
    <row r="16" spans="1:9" x14ac:dyDescent="0.25">
      <c r="A16" t="s">
        <v>8155</v>
      </c>
      <c r="B16" t="s">
        <v>3508</v>
      </c>
      <c r="C16" t="s">
        <v>3517</v>
      </c>
      <c r="D16" t="s">
        <v>8207</v>
      </c>
      <c r="E16" t="s">
        <v>8169</v>
      </c>
      <c r="F16" t="s">
        <v>8289</v>
      </c>
      <c r="G16" t="s">
        <v>353</v>
      </c>
      <c r="H16" t="s">
        <v>8155</v>
      </c>
      <c r="I16" t="s">
        <v>7495</v>
      </c>
    </row>
    <row r="17" spans="1:9" x14ac:dyDescent="0.25">
      <c r="A17" t="s">
        <v>8161</v>
      </c>
      <c r="B17" t="s">
        <v>3508</v>
      </c>
      <c r="C17" t="s">
        <v>3517</v>
      </c>
      <c r="D17" t="s">
        <v>8208</v>
      </c>
      <c r="E17" t="s">
        <v>8170</v>
      </c>
      <c r="F17" t="s">
        <v>8289</v>
      </c>
      <c r="G17" t="s">
        <v>353</v>
      </c>
      <c r="H17" t="s">
        <v>8162</v>
      </c>
      <c r="I17" t="s">
        <v>7495</v>
      </c>
    </row>
    <row r="18" spans="1:9" x14ac:dyDescent="0.25">
      <c r="A18" t="s">
        <v>8159</v>
      </c>
      <c r="B18" t="s">
        <v>3508</v>
      </c>
      <c r="C18" t="s">
        <v>3517</v>
      </c>
      <c r="D18" t="s">
        <v>8209</v>
      </c>
      <c r="E18" t="s">
        <v>8171</v>
      </c>
      <c r="F18" t="s">
        <v>8289</v>
      </c>
      <c r="G18" t="s">
        <v>353</v>
      </c>
      <c r="H18" t="s">
        <v>8160</v>
      </c>
      <c r="I18" t="s">
        <v>7495</v>
      </c>
    </row>
    <row r="19" spans="1:9" x14ac:dyDescent="0.25">
      <c r="A19" t="s">
        <v>7484</v>
      </c>
      <c r="B19" t="s">
        <v>41</v>
      </c>
      <c r="C19" t="s">
        <v>4496</v>
      </c>
      <c r="D19" t="s">
        <v>4146</v>
      </c>
      <c r="E19" t="s">
        <v>4147</v>
      </c>
      <c r="F19" t="s">
        <v>8287</v>
      </c>
      <c r="G19" t="s">
        <v>160</v>
      </c>
      <c r="H19" t="s">
        <v>7516</v>
      </c>
      <c r="I19" t="s">
        <v>7483</v>
      </c>
    </row>
    <row r="20" spans="1:9" x14ac:dyDescent="0.25">
      <c r="A20" t="s">
        <v>7485</v>
      </c>
      <c r="B20" t="s">
        <v>41</v>
      </c>
      <c r="C20" t="s">
        <v>4496</v>
      </c>
      <c r="D20" t="s">
        <v>4201</v>
      </c>
      <c r="E20" t="s">
        <v>4202</v>
      </c>
      <c r="F20" t="s">
        <v>8287</v>
      </c>
      <c r="G20" t="s">
        <v>160</v>
      </c>
      <c r="H20" t="s">
        <v>7486</v>
      </c>
      <c r="I20" t="s">
        <v>7483</v>
      </c>
    </row>
    <row r="21" spans="1:9" x14ac:dyDescent="0.25">
      <c r="A21" t="s">
        <v>7489</v>
      </c>
      <c r="B21" t="s">
        <v>41</v>
      </c>
      <c r="C21" t="s">
        <v>4496</v>
      </c>
      <c r="D21" t="s">
        <v>7491</v>
      </c>
      <c r="E21" t="s">
        <v>7517</v>
      </c>
      <c r="F21" t="s">
        <v>8287</v>
      </c>
      <c r="G21" t="s">
        <v>160</v>
      </c>
      <c r="H21" t="s">
        <v>7490</v>
      </c>
      <c r="I21" t="s">
        <v>7483</v>
      </c>
    </row>
    <row r="22" spans="1:9" x14ac:dyDescent="0.25">
      <c r="A22" t="s">
        <v>9977</v>
      </c>
      <c r="B22" t="s">
        <v>3508</v>
      </c>
      <c r="C22" t="s">
        <v>4496</v>
      </c>
      <c r="D22" t="s">
        <v>9978</v>
      </c>
      <c r="E22" t="s">
        <v>10002</v>
      </c>
      <c r="F22" t="s">
        <v>8287</v>
      </c>
      <c r="G22" t="s">
        <v>160</v>
      </c>
      <c r="H22" t="s">
        <v>9979</v>
      </c>
      <c r="I22" t="s">
        <v>7483</v>
      </c>
    </row>
    <row r="23" spans="1:9" x14ac:dyDescent="0.25">
      <c r="A23" t="s">
        <v>9980</v>
      </c>
      <c r="B23" t="s">
        <v>3496</v>
      </c>
      <c r="C23" t="s">
        <v>4496</v>
      </c>
      <c r="D23" t="s">
        <v>9981</v>
      </c>
      <c r="E23" t="s">
        <v>10003</v>
      </c>
      <c r="F23" t="s">
        <v>8288</v>
      </c>
      <c r="G23" t="s">
        <v>160</v>
      </c>
      <c r="H23" t="s">
        <v>9982</v>
      </c>
      <c r="I23"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12711</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14066</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14066</v>
      </c>
      <c r="F4">
        <v>1</v>
      </c>
      <c r="G4" t="s">
        <v>7654</v>
      </c>
      <c r="H4" t="s">
        <v>7660</v>
      </c>
      <c r="J4" t="s">
        <v>3452</v>
      </c>
    </row>
    <row r="5" spans="1:10" x14ac:dyDescent="0.25">
      <c r="A5" t="s">
        <v>7621</v>
      </c>
      <c r="B5" t="s">
        <v>3496</v>
      </c>
      <c r="C5" t="s">
        <v>2154</v>
      </c>
      <c r="D5" t="s">
        <v>4024</v>
      </c>
      <c r="E5" t="s">
        <v>14066</v>
      </c>
      <c r="F5">
        <v>3</v>
      </c>
      <c r="G5" t="s">
        <v>7648</v>
      </c>
      <c r="H5" t="s">
        <v>7629</v>
      </c>
      <c r="I5" t="s">
        <v>8198</v>
      </c>
      <c r="J5" t="s">
        <v>3452</v>
      </c>
    </row>
    <row r="6" spans="1:10" x14ac:dyDescent="0.25">
      <c r="A6" t="s">
        <v>7642</v>
      </c>
      <c r="B6" t="s">
        <v>41</v>
      </c>
      <c r="C6" t="s">
        <v>2154</v>
      </c>
      <c r="D6" t="s">
        <v>4007</v>
      </c>
      <c r="E6" t="s">
        <v>14066</v>
      </c>
      <c r="F6">
        <v>3</v>
      </c>
      <c r="G6" t="s">
        <v>7650</v>
      </c>
      <c r="H6" t="s">
        <v>7661</v>
      </c>
      <c r="J6" t="s">
        <v>3452</v>
      </c>
    </row>
    <row r="7" spans="1:10" x14ac:dyDescent="0.25">
      <c r="A7" t="s">
        <v>7641</v>
      </c>
      <c r="B7" t="s">
        <v>41</v>
      </c>
      <c r="C7" t="s">
        <v>2154</v>
      </c>
      <c r="D7" t="s">
        <v>4007</v>
      </c>
      <c r="E7" t="s">
        <v>14066</v>
      </c>
      <c r="F7">
        <v>3</v>
      </c>
      <c r="G7" t="s">
        <v>7649</v>
      </c>
      <c r="H7" t="s">
        <v>7662</v>
      </c>
      <c r="J7" t="s">
        <v>3452</v>
      </c>
    </row>
    <row r="8" spans="1:10" x14ac:dyDescent="0.25">
      <c r="A8" t="s">
        <v>7643</v>
      </c>
      <c r="B8" t="s">
        <v>41</v>
      </c>
      <c r="C8" t="s">
        <v>2154</v>
      </c>
      <c r="D8" t="s">
        <v>4024</v>
      </c>
      <c r="E8" t="s">
        <v>14066</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14066</v>
      </c>
      <c r="F10">
        <v>2</v>
      </c>
      <c r="G10" t="s">
        <v>7657</v>
      </c>
      <c r="H10" t="s">
        <v>7664</v>
      </c>
      <c r="J10" t="s">
        <v>3452</v>
      </c>
    </row>
    <row r="11" spans="1:10" x14ac:dyDescent="0.25">
      <c r="A11" t="s">
        <v>7645</v>
      </c>
      <c r="B11" t="s">
        <v>3496</v>
      </c>
      <c r="C11" t="s">
        <v>2154</v>
      </c>
      <c r="D11" t="s">
        <v>4024</v>
      </c>
      <c r="E11" t="s">
        <v>14066</v>
      </c>
      <c r="F11">
        <v>3</v>
      </c>
      <c r="G11" t="s">
        <v>7653</v>
      </c>
      <c r="H11" t="s">
        <v>7665</v>
      </c>
      <c r="J11" t="s">
        <v>3452</v>
      </c>
    </row>
    <row r="12" spans="1:10" x14ac:dyDescent="0.25">
      <c r="A12" t="s">
        <v>7647</v>
      </c>
      <c r="B12" t="s">
        <v>3496</v>
      </c>
      <c r="C12" t="s">
        <v>2154</v>
      </c>
      <c r="D12" t="s">
        <v>4024</v>
      </c>
      <c r="E12" t="s">
        <v>14066</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14080</v>
      </c>
      <c r="B2" t="s">
        <v>41</v>
      </c>
      <c r="C2" t="s">
        <v>3736</v>
      </c>
      <c r="D2" t="s">
        <v>3517</v>
      </c>
      <c r="E2" t="s">
        <v>14081</v>
      </c>
      <c r="F2" t="s">
        <v>14119</v>
      </c>
      <c r="G2" t="s">
        <v>14083</v>
      </c>
      <c r="H2" t="s">
        <v>2619</v>
      </c>
      <c r="I2" t="s">
        <v>14082</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14073</v>
      </c>
      <c r="B13" t="s">
        <v>3508</v>
      </c>
      <c r="C13" t="s">
        <v>3736</v>
      </c>
      <c r="D13" t="s">
        <v>3517</v>
      </c>
      <c r="E13" t="s">
        <v>14074</v>
      </c>
      <c r="F13" t="s">
        <v>14120</v>
      </c>
      <c r="G13" t="s">
        <v>4641</v>
      </c>
      <c r="H13" t="s">
        <v>160</v>
      </c>
      <c r="I13" t="s">
        <v>14075</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14076</v>
      </c>
      <c r="B21" t="s">
        <v>41</v>
      </c>
      <c r="C21" t="s">
        <v>3736</v>
      </c>
      <c r="D21" t="s">
        <v>3517</v>
      </c>
      <c r="E21" t="s">
        <v>14077</v>
      </c>
      <c r="F21" t="s">
        <v>14121</v>
      </c>
      <c r="G21" t="s">
        <v>14078</v>
      </c>
      <c r="H21" t="s">
        <v>2619</v>
      </c>
      <c r="I21" t="s">
        <v>14079</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14057</v>
      </c>
      <c r="B12" t="s">
        <v>41</v>
      </c>
      <c r="C12" t="s">
        <v>3785</v>
      </c>
      <c r="D12" t="s">
        <v>14065</v>
      </c>
      <c r="E12" t="s">
        <v>3952</v>
      </c>
      <c r="F12" t="s">
        <v>14064</v>
      </c>
      <c r="G12" t="s">
        <v>5437</v>
      </c>
      <c r="H12" t="s">
        <v>3452</v>
      </c>
      <c r="J12" t="s">
        <v>14058</v>
      </c>
      <c r="K12">
        <v>3</v>
      </c>
      <c r="L12" t="s">
        <v>14059</v>
      </c>
      <c r="M12" t="s">
        <v>360</v>
      </c>
      <c r="N12" t="s">
        <v>14057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14058</v>
      </c>
      <c r="B2" t="s">
        <v>3744</v>
      </c>
      <c r="D2" t="s">
        <v>5743</v>
      </c>
      <c r="E2" t="s">
        <v>14057</v>
      </c>
      <c r="G2" t="s">
        <v>8022</v>
      </c>
      <c r="H2" t="s">
        <v>8043</v>
      </c>
    </row>
    <row r="3" spans="1:10" x14ac:dyDescent="0.25">
      <c r="A3" t="s">
        <v>3889</v>
      </c>
      <c r="B3" t="s">
        <v>3831</v>
      </c>
      <c r="C3" t="s">
        <v>3735</v>
      </c>
      <c r="D3" t="s">
        <v>8023</v>
      </c>
      <c r="E3" t="s">
        <v>3888</v>
      </c>
      <c r="G3" t="s">
        <v>8022</v>
      </c>
      <c r="H3" t="s">
        <v>8043</v>
      </c>
    </row>
    <row r="4" spans="1:10" x14ac:dyDescent="0.25">
      <c r="A4" t="s">
        <v>14062</v>
      </c>
      <c r="D4" t="s">
        <v>8031</v>
      </c>
      <c r="E4" t="s">
        <v>14060</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12693</v>
      </c>
      <c r="B29" t="s">
        <v>3737</v>
      </c>
      <c r="C29" t="s">
        <v>3735</v>
      </c>
      <c r="D29" t="s">
        <v>8023</v>
      </c>
      <c r="E29" t="s">
        <v>12692</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14054</v>
      </c>
      <c r="B43" t="s">
        <v>3737</v>
      </c>
      <c r="C43" t="s">
        <v>3903</v>
      </c>
      <c r="D43" t="s">
        <v>8023</v>
      </c>
      <c r="E43" t="s">
        <v>14055</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14053</v>
      </c>
      <c r="B58" t="s">
        <v>3744</v>
      </c>
      <c r="C58" t="s">
        <v>3735</v>
      </c>
      <c r="D58" t="s">
        <v>8021</v>
      </c>
      <c r="E58" t="s">
        <v>14051</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14086</v>
      </c>
      <c r="B72" t="s">
        <v>3744</v>
      </c>
      <c r="C72" t="s">
        <v>3735</v>
      </c>
      <c r="D72" t="s">
        <v>8023</v>
      </c>
      <c r="E72" t="s">
        <v>14084</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8274</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14123</v>
      </c>
      <c r="B132" t="s">
        <v>3744</v>
      </c>
      <c r="C132" t="s">
        <v>3735</v>
      </c>
      <c r="D132" t="s">
        <v>8021</v>
      </c>
      <c r="E132" t="s">
        <v>12689</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8222</v>
      </c>
      <c r="B142" t="s">
        <v>3744</v>
      </c>
      <c r="D142" t="s">
        <v>5743</v>
      </c>
      <c r="E142" t="s">
        <v>8221</v>
      </c>
      <c r="G142" t="s">
        <v>8022</v>
      </c>
      <c r="H142" t="s">
        <v>8043</v>
      </c>
    </row>
    <row r="143" spans="1:8" x14ac:dyDescent="0.25">
      <c r="A143" t="s">
        <v>8232</v>
      </c>
      <c r="B143" t="s">
        <v>3744</v>
      </c>
      <c r="D143" t="s">
        <v>5743</v>
      </c>
      <c r="E143" t="s">
        <v>8228</v>
      </c>
      <c r="G143" t="s">
        <v>8022</v>
      </c>
      <c r="H143" t="s">
        <v>8043</v>
      </c>
    </row>
    <row r="144" spans="1:8" x14ac:dyDescent="0.25">
      <c r="A144" t="s">
        <v>8235</v>
      </c>
      <c r="B144" t="s">
        <v>3737</v>
      </c>
      <c r="D144" t="s">
        <v>5743</v>
      </c>
      <c r="E144" t="s">
        <v>8233</v>
      </c>
      <c r="G144" t="s">
        <v>8022</v>
      </c>
      <c r="H144" t="s">
        <v>8043</v>
      </c>
    </row>
    <row r="145" spans="1:8" x14ac:dyDescent="0.25">
      <c r="A145" t="s">
        <v>8222</v>
      </c>
      <c r="B145" t="s">
        <v>3744</v>
      </c>
      <c r="D145" t="s">
        <v>5743</v>
      </c>
      <c r="E145" t="s">
        <v>8242</v>
      </c>
      <c r="G145" t="s">
        <v>8022</v>
      </c>
      <c r="H145" t="s">
        <v>8043</v>
      </c>
    </row>
    <row r="146" spans="1:8" x14ac:dyDescent="0.25">
      <c r="A146" t="s">
        <v>8252</v>
      </c>
      <c r="B146" t="s">
        <v>3744</v>
      </c>
      <c r="D146" t="s">
        <v>5743</v>
      </c>
      <c r="E146" t="s">
        <v>4681</v>
      </c>
      <c r="G146" t="s">
        <v>8022</v>
      </c>
      <c r="H146" t="s">
        <v>8043</v>
      </c>
    </row>
    <row r="147" spans="1:8" x14ac:dyDescent="0.25">
      <c r="A147" t="s">
        <v>8252</v>
      </c>
      <c r="B147" t="s">
        <v>3744</v>
      </c>
      <c r="D147" t="s">
        <v>5743</v>
      </c>
      <c r="E147" t="s">
        <v>6820</v>
      </c>
      <c r="G147" t="s">
        <v>8022</v>
      </c>
      <c r="H147" t="s">
        <v>8043</v>
      </c>
    </row>
    <row r="148" spans="1:8" x14ac:dyDescent="0.25">
      <c r="A148" t="s">
        <v>8279</v>
      </c>
      <c r="B148" t="s">
        <v>3737</v>
      </c>
      <c r="D148" t="s">
        <v>5743</v>
      </c>
      <c r="E148" t="s">
        <v>8277</v>
      </c>
      <c r="G148" t="s">
        <v>8022</v>
      </c>
      <c r="H148" t="s">
        <v>8043</v>
      </c>
    </row>
    <row r="149" spans="1:8" x14ac:dyDescent="0.25">
      <c r="A149" t="s">
        <v>8279</v>
      </c>
      <c r="B149" t="s">
        <v>3737</v>
      </c>
      <c r="D149" t="s">
        <v>5743</v>
      </c>
      <c r="E149" t="s">
        <v>8282</v>
      </c>
      <c r="G149" t="s">
        <v>8022</v>
      </c>
      <c r="H149" t="s">
        <v>8043</v>
      </c>
    </row>
    <row r="150" spans="1:8" x14ac:dyDescent="0.25">
      <c r="A150" t="s">
        <v>8293</v>
      </c>
      <c r="B150" t="s">
        <v>3737</v>
      </c>
      <c r="D150" t="s">
        <v>5743</v>
      </c>
      <c r="E150" t="s">
        <v>8292</v>
      </c>
      <c r="G150" t="s">
        <v>8022</v>
      </c>
      <c r="H150" t="s">
        <v>8043</v>
      </c>
    </row>
    <row r="151" spans="1:8" x14ac:dyDescent="0.25">
      <c r="A151" t="s">
        <v>8293</v>
      </c>
      <c r="B151" t="s">
        <v>3737</v>
      </c>
      <c r="D151" t="s">
        <v>5743</v>
      </c>
      <c r="E151" t="s">
        <v>8295</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270</v>
      </c>
      <c r="L5" s="18">
        <f>IF($J5=0,0,$K5/$J5)</f>
        <v>0.66339066339066344</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583</v>
      </c>
      <c r="C6" s="17" t="s">
        <v>4306</v>
      </c>
      <c r="E6" t="s">
        <v>4307</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0.62891046386192018</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1537</v>
      </c>
      <c r="C8" s="17" t="s">
        <v>4311</v>
      </c>
      <c r="E8" t="s">
        <v>4312</v>
      </c>
      <c r="F8">
        <f>COUNTIF('Map Calc'!$D$2:$D$1200,3)</f>
        <v>137</v>
      </c>
      <c r="G8">
        <f>COUNTIFS('Map Calc'!$D$2:$D$1200,3,'Map Calc'!$P$2:$P$1200,"Yes")</f>
        <v>91</v>
      </c>
      <c r="I8" t="s">
        <v>179</v>
      </c>
      <c r="J8">
        <f>COUNTIF(games!$C$2:$C$1200,$I8)</f>
        <v>168</v>
      </c>
      <c r="K8">
        <f>COUNTIFS(games!$C$2:$C$1200,$I8,games!$H$2:$H$1200,"Yes")</f>
        <v>108</v>
      </c>
      <c r="L8" s="18">
        <f>IF($J8=0,0,$K8/$J8)</f>
        <v>0.6428571428571429</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3.3160733549083066</v>
      </c>
      <c r="C9" s="17" t="s">
        <v>4314</v>
      </c>
      <c r="E9" t="s">
        <v>4315</v>
      </c>
      <c r="F9">
        <f>COUNTIF('Map Calc'!$D$2:$D$1200,4)</f>
        <v>59</v>
      </c>
      <c r="G9">
        <f>COUNTIFS('Map Calc'!$D$2:$D$1200,4,'Map Calc'!$P$2:$P$1200,"Yes")</f>
        <v>37</v>
      </c>
      <c r="I9" s="21" t="s">
        <v>39</v>
      </c>
      <c r="J9" s="21">
        <f>SUM(J5:J8)</f>
        <v>927</v>
      </c>
      <c r="K9" s="21">
        <f>SUM(K5:K8)</f>
        <v>583</v>
      </c>
      <c r="L9" s="22">
        <f>IF($J9=0,0,$K9/$J9)</f>
        <v>0.62891046386192018</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4.1166380789022297</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120</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344</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1385</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72</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12712</v>
      </c>
      <c r="B1290" t="s">
        <v>12713</v>
      </c>
      <c r="C1290" t="s">
        <v>12714</v>
      </c>
      <c r="D1290">
        <v>1997</v>
      </c>
      <c r="E1290" t="s">
        <v>341</v>
      </c>
      <c r="F1290" t="s">
        <v>12715</v>
      </c>
    </row>
    <row r="1291" spans="1:6" x14ac:dyDescent="0.25">
      <c r="A1291" t="s">
        <v>12716</v>
      </c>
      <c r="B1291" t="s">
        <v>12713</v>
      </c>
      <c r="C1291" t="s">
        <v>12714</v>
      </c>
      <c r="D1291">
        <v>1997</v>
      </c>
      <c r="E1291" t="s">
        <v>341</v>
      </c>
      <c r="F1291" t="s">
        <v>12717</v>
      </c>
    </row>
    <row r="1292" spans="1:6" x14ac:dyDescent="0.25">
      <c r="A1292" t="s">
        <v>12718</v>
      </c>
      <c r="B1292" t="s">
        <v>12713</v>
      </c>
      <c r="C1292" t="s">
        <v>12714</v>
      </c>
      <c r="D1292">
        <v>1997</v>
      </c>
      <c r="E1292" t="s">
        <v>341</v>
      </c>
      <c r="F1292" t="s">
        <v>12719</v>
      </c>
    </row>
    <row r="1293" spans="1:6" x14ac:dyDescent="0.25">
      <c r="A1293" t="s">
        <v>12720</v>
      </c>
      <c r="B1293" t="s">
        <v>12713</v>
      </c>
      <c r="C1293" t="s">
        <v>12714</v>
      </c>
      <c r="D1293">
        <v>1997</v>
      </c>
      <c r="E1293" t="s">
        <v>341</v>
      </c>
      <c r="F1293" t="s">
        <v>12721</v>
      </c>
    </row>
    <row r="1294" spans="1:6" x14ac:dyDescent="0.25">
      <c r="A1294" t="s">
        <v>12722</v>
      </c>
      <c r="B1294" t="s">
        <v>12713</v>
      </c>
      <c r="C1294" t="s">
        <v>12714</v>
      </c>
      <c r="D1294">
        <v>1997</v>
      </c>
      <c r="E1294" t="s">
        <v>341</v>
      </c>
      <c r="F1294" t="s">
        <v>12723</v>
      </c>
    </row>
    <row r="1295" spans="1:6" x14ac:dyDescent="0.25">
      <c r="A1295" t="s">
        <v>12724</v>
      </c>
      <c r="B1295" t="s">
        <v>12713</v>
      </c>
      <c r="C1295" t="s">
        <v>12714</v>
      </c>
      <c r="D1295">
        <v>1997</v>
      </c>
      <c r="E1295" t="s">
        <v>341</v>
      </c>
      <c r="F1295" t="s">
        <v>12725</v>
      </c>
    </row>
    <row r="1296" spans="1:6" x14ac:dyDescent="0.25">
      <c r="A1296" t="s">
        <v>12726</v>
      </c>
      <c r="B1296" t="s">
        <v>12713</v>
      </c>
      <c r="C1296" t="s">
        <v>12714</v>
      </c>
      <c r="D1296">
        <v>1997</v>
      </c>
      <c r="E1296" t="s">
        <v>341</v>
      </c>
      <c r="F1296" t="s">
        <v>12727</v>
      </c>
    </row>
    <row r="1297" spans="1:6" x14ac:dyDescent="0.25">
      <c r="A1297" t="s">
        <v>12728</v>
      </c>
      <c r="B1297" t="s">
        <v>12713</v>
      </c>
      <c r="C1297" t="s">
        <v>12714</v>
      </c>
      <c r="D1297">
        <v>1997</v>
      </c>
      <c r="E1297" t="s">
        <v>341</v>
      </c>
      <c r="F1297" t="s">
        <v>12729</v>
      </c>
    </row>
    <row r="1298" spans="1:6" x14ac:dyDescent="0.25">
      <c r="A1298" t="s">
        <v>12730</v>
      </c>
      <c r="B1298" t="s">
        <v>12713</v>
      </c>
      <c r="C1298" t="s">
        <v>12714</v>
      </c>
      <c r="D1298">
        <v>1997</v>
      </c>
      <c r="E1298" t="s">
        <v>341</v>
      </c>
      <c r="F1298" t="s">
        <v>12731</v>
      </c>
    </row>
    <row r="1299" spans="1:6" x14ac:dyDescent="0.25">
      <c r="A1299" t="s">
        <v>12732</v>
      </c>
      <c r="B1299" t="s">
        <v>12713</v>
      </c>
      <c r="C1299" t="s">
        <v>12714</v>
      </c>
      <c r="D1299">
        <v>1997</v>
      </c>
      <c r="E1299" t="s">
        <v>341</v>
      </c>
      <c r="F1299" t="s">
        <v>12733</v>
      </c>
    </row>
    <row r="1300" spans="1:6" x14ac:dyDescent="0.25">
      <c r="A1300" t="s">
        <v>12734</v>
      </c>
      <c r="B1300" t="s">
        <v>12713</v>
      </c>
      <c r="C1300" t="s">
        <v>12714</v>
      </c>
      <c r="D1300">
        <v>1997</v>
      </c>
      <c r="E1300" t="s">
        <v>341</v>
      </c>
      <c r="F1300" t="s">
        <v>12735</v>
      </c>
    </row>
    <row r="1301" spans="1:6" x14ac:dyDescent="0.25">
      <c r="A1301" t="s">
        <v>12736</v>
      </c>
      <c r="B1301" t="s">
        <v>12713</v>
      </c>
      <c r="C1301" t="s">
        <v>12714</v>
      </c>
      <c r="D1301">
        <v>1997</v>
      </c>
      <c r="E1301" t="s">
        <v>341</v>
      </c>
      <c r="F1301" t="s">
        <v>12737</v>
      </c>
    </row>
    <row r="1302" spans="1:6" x14ac:dyDescent="0.25">
      <c r="A1302" t="s">
        <v>12738</v>
      </c>
      <c r="B1302" t="s">
        <v>12713</v>
      </c>
      <c r="C1302" t="s">
        <v>12714</v>
      </c>
      <c r="D1302">
        <v>1997</v>
      </c>
      <c r="E1302" t="s">
        <v>341</v>
      </c>
      <c r="F1302" t="s">
        <v>12739</v>
      </c>
    </row>
    <row r="1303" spans="1:6" x14ac:dyDescent="0.25">
      <c r="A1303" t="s">
        <v>12740</v>
      </c>
      <c r="B1303" t="s">
        <v>12713</v>
      </c>
      <c r="C1303" t="s">
        <v>12714</v>
      </c>
      <c r="D1303">
        <v>1997</v>
      </c>
      <c r="E1303" t="s">
        <v>341</v>
      </c>
      <c r="F1303" t="s">
        <v>12741</v>
      </c>
    </row>
    <row r="1304" spans="1:6" x14ac:dyDescent="0.25">
      <c r="A1304" t="s">
        <v>12742</v>
      </c>
      <c r="B1304" t="s">
        <v>12713</v>
      </c>
      <c r="C1304" t="s">
        <v>12714</v>
      </c>
      <c r="D1304">
        <v>1997</v>
      </c>
      <c r="E1304" t="s">
        <v>341</v>
      </c>
      <c r="F1304" t="s">
        <v>12743</v>
      </c>
    </row>
    <row r="1305" spans="1:6" x14ac:dyDescent="0.25">
      <c r="A1305" t="s">
        <v>12744</v>
      </c>
      <c r="B1305" t="s">
        <v>12713</v>
      </c>
      <c r="C1305" t="s">
        <v>12714</v>
      </c>
      <c r="D1305">
        <v>1997</v>
      </c>
      <c r="E1305" t="s">
        <v>341</v>
      </c>
      <c r="F1305" t="s">
        <v>12745</v>
      </c>
    </row>
    <row r="1306" spans="1:6" x14ac:dyDescent="0.25">
      <c r="A1306" t="s">
        <v>12746</v>
      </c>
      <c r="B1306" t="s">
        <v>12713</v>
      </c>
      <c r="C1306" t="s">
        <v>12714</v>
      </c>
      <c r="D1306">
        <v>1997</v>
      </c>
      <c r="E1306" t="s">
        <v>341</v>
      </c>
      <c r="F1306" t="s">
        <v>12747</v>
      </c>
    </row>
    <row r="1307" spans="1:6" x14ac:dyDescent="0.25">
      <c r="A1307" t="s">
        <v>12748</v>
      </c>
      <c r="B1307" t="s">
        <v>12713</v>
      </c>
      <c r="C1307" t="s">
        <v>12714</v>
      </c>
      <c r="D1307">
        <v>1997</v>
      </c>
      <c r="E1307" t="s">
        <v>341</v>
      </c>
      <c r="F1307" t="s">
        <v>12749</v>
      </c>
    </row>
    <row r="1308" spans="1:6" x14ac:dyDescent="0.25">
      <c r="A1308" t="s">
        <v>12750</v>
      </c>
      <c r="B1308" t="s">
        <v>12713</v>
      </c>
      <c r="C1308" t="s">
        <v>12714</v>
      </c>
      <c r="D1308">
        <v>1997</v>
      </c>
      <c r="E1308" t="s">
        <v>341</v>
      </c>
      <c r="F1308" t="s">
        <v>12751</v>
      </c>
    </row>
    <row r="1309" spans="1:6" x14ac:dyDescent="0.25">
      <c r="A1309" t="s">
        <v>12752</v>
      </c>
      <c r="B1309" t="s">
        <v>12713</v>
      </c>
      <c r="C1309" t="s">
        <v>12714</v>
      </c>
      <c r="D1309">
        <v>1997</v>
      </c>
      <c r="E1309" t="s">
        <v>341</v>
      </c>
      <c r="F1309" t="s">
        <v>12753</v>
      </c>
    </row>
    <row r="1310" spans="1:6" x14ac:dyDescent="0.25">
      <c r="A1310" t="s">
        <v>12754</v>
      </c>
      <c r="B1310" t="s">
        <v>12713</v>
      </c>
      <c r="C1310" t="s">
        <v>12714</v>
      </c>
      <c r="D1310">
        <v>1997</v>
      </c>
      <c r="E1310" t="s">
        <v>341</v>
      </c>
      <c r="F1310" t="s">
        <v>12755</v>
      </c>
    </row>
    <row r="1311" spans="1:6" x14ac:dyDescent="0.25">
      <c r="A1311" t="s">
        <v>12756</v>
      </c>
      <c r="B1311" t="s">
        <v>12713</v>
      </c>
      <c r="C1311" t="s">
        <v>12714</v>
      </c>
      <c r="D1311">
        <v>1997</v>
      </c>
      <c r="E1311" t="s">
        <v>341</v>
      </c>
      <c r="F1311" t="s">
        <v>12757</v>
      </c>
    </row>
    <row r="1312" spans="1:6" x14ac:dyDescent="0.25">
      <c r="A1312" t="s">
        <v>12758</v>
      </c>
      <c r="B1312" t="s">
        <v>12713</v>
      </c>
      <c r="C1312" t="s">
        <v>12714</v>
      </c>
      <c r="D1312">
        <v>1997</v>
      </c>
      <c r="E1312" t="s">
        <v>341</v>
      </c>
      <c r="F1312" t="s">
        <v>12759</v>
      </c>
    </row>
    <row r="1313" spans="1:6" x14ac:dyDescent="0.25">
      <c r="A1313" t="s">
        <v>12760</v>
      </c>
      <c r="B1313" t="s">
        <v>12713</v>
      </c>
      <c r="C1313" t="s">
        <v>12714</v>
      </c>
      <c r="D1313">
        <v>1997</v>
      </c>
      <c r="E1313" t="s">
        <v>341</v>
      </c>
      <c r="F1313" t="s">
        <v>12761</v>
      </c>
    </row>
    <row r="1314" spans="1:6" x14ac:dyDescent="0.25">
      <c r="A1314" t="s">
        <v>12762</v>
      </c>
      <c r="B1314" t="s">
        <v>12713</v>
      </c>
      <c r="C1314" t="s">
        <v>12714</v>
      </c>
      <c r="D1314">
        <v>1997</v>
      </c>
      <c r="E1314" t="s">
        <v>341</v>
      </c>
      <c r="F1314" t="s">
        <v>12763</v>
      </c>
    </row>
    <row r="1315" spans="1:6" x14ac:dyDescent="0.25">
      <c r="A1315" t="s">
        <v>12764</v>
      </c>
      <c r="B1315" t="s">
        <v>12713</v>
      </c>
      <c r="C1315" t="s">
        <v>12714</v>
      </c>
      <c r="D1315">
        <v>1997</v>
      </c>
      <c r="E1315" t="s">
        <v>341</v>
      </c>
      <c r="F1315" t="s">
        <v>12765</v>
      </c>
    </row>
    <row r="1316" spans="1:6" x14ac:dyDescent="0.25">
      <c r="A1316" t="s">
        <v>12766</v>
      </c>
      <c r="B1316" t="s">
        <v>12713</v>
      </c>
      <c r="C1316" t="s">
        <v>12714</v>
      </c>
      <c r="D1316">
        <v>1997</v>
      </c>
      <c r="E1316" t="s">
        <v>341</v>
      </c>
      <c r="F1316" t="s">
        <v>12767</v>
      </c>
    </row>
    <row r="1317" spans="1:6" x14ac:dyDescent="0.25">
      <c r="A1317" t="s">
        <v>12768</v>
      </c>
      <c r="B1317" t="s">
        <v>12713</v>
      </c>
      <c r="C1317" t="s">
        <v>12714</v>
      </c>
      <c r="D1317">
        <v>1997</v>
      </c>
      <c r="E1317" t="s">
        <v>341</v>
      </c>
      <c r="F1317" t="s">
        <v>12769</v>
      </c>
    </row>
    <row r="1318" spans="1:6" x14ac:dyDescent="0.25">
      <c r="A1318" t="s">
        <v>12770</v>
      </c>
      <c r="B1318" t="s">
        <v>12713</v>
      </c>
      <c r="C1318" t="s">
        <v>12714</v>
      </c>
      <c r="D1318">
        <v>1997</v>
      </c>
      <c r="E1318" t="s">
        <v>341</v>
      </c>
      <c r="F1318" t="s">
        <v>12771</v>
      </c>
    </row>
    <row r="1319" spans="1:6" x14ac:dyDescent="0.25">
      <c r="A1319" t="s">
        <v>12772</v>
      </c>
      <c r="B1319" t="s">
        <v>12713</v>
      </c>
      <c r="C1319" t="s">
        <v>12714</v>
      </c>
      <c r="D1319">
        <v>1997</v>
      </c>
      <c r="E1319" t="s">
        <v>341</v>
      </c>
      <c r="F1319" t="s">
        <v>12773</v>
      </c>
    </row>
    <row r="1320" spans="1:6" x14ac:dyDescent="0.25">
      <c r="A1320" t="s">
        <v>12774</v>
      </c>
      <c r="B1320" t="s">
        <v>12713</v>
      </c>
      <c r="C1320" t="s">
        <v>12714</v>
      </c>
      <c r="D1320">
        <v>1997</v>
      </c>
      <c r="E1320" t="s">
        <v>341</v>
      </c>
      <c r="F1320" t="s">
        <v>12775</v>
      </c>
    </row>
    <row r="1321" spans="1:6" x14ac:dyDescent="0.25">
      <c r="A1321" t="s">
        <v>12776</v>
      </c>
      <c r="B1321" t="s">
        <v>12713</v>
      </c>
      <c r="C1321" t="s">
        <v>12714</v>
      </c>
      <c r="D1321">
        <v>1997</v>
      </c>
      <c r="E1321" t="s">
        <v>341</v>
      </c>
      <c r="F1321" t="s">
        <v>12777</v>
      </c>
    </row>
    <row r="1322" spans="1:6" x14ac:dyDescent="0.25">
      <c r="A1322" t="s">
        <v>12778</v>
      </c>
      <c r="B1322" t="s">
        <v>12713</v>
      </c>
      <c r="C1322" t="s">
        <v>12714</v>
      </c>
      <c r="D1322">
        <v>1997</v>
      </c>
      <c r="E1322" t="s">
        <v>341</v>
      </c>
      <c r="F1322" t="s">
        <v>12779</v>
      </c>
    </row>
    <row r="1323" spans="1:6" x14ac:dyDescent="0.25">
      <c r="A1323" t="s">
        <v>12780</v>
      </c>
      <c r="B1323" t="s">
        <v>12713</v>
      </c>
      <c r="C1323" t="s">
        <v>12714</v>
      </c>
      <c r="D1323">
        <v>1997</v>
      </c>
      <c r="E1323" t="s">
        <v>341</v>
      </c>
      <c r="F1323" t="s">
        <v>12781</v>
      </c>
    </row>
    <row r="1324" spans="1:6" x14ac:dyDescent="0.25">
      <c r="A1324" t="s">
        <v>12782</v>
      </c>
      <c r="B1324" t="s">
        <v>12713</v>
      </c>
      <c r="C1324" t="s">
        <v>12714</v>
      </c>
      <c r="D1324">
        <v>1997</v>
      </c>
      <c r="E1324" t="s">
        <v>341</v>
      </c>
      <c r="F1324" t="s">
        <v>12783</v>
      </c>
    </row>
    <row r="1325" spans="1:6" x14ac:dyDescent="0.25">
      <c r="A1325" t="s">
        <v>12784</v>
      </c>
      <c r="B1325" t="s">
        <v>12713</v>
      </c>
      <c r="C1325" t="s">
        <v>12714</v>
      </c>
      <c r="D1325">
        <v>1997</v>
      </c>
      <c r="E1325" t="s">
        <v>341</v>
      </c>
      <c r="F1325" t="s">
        <v>12785</v>
      </c>
    </row>
    <row r="1326" spans="1:6" x14ac:dyDescent="0.25">
      <c r="A1326" t="s">
        <v>12786</v>
      </c>
      <c r="B1326" t="s">
        <v>12713</v>
      </c>
      <c r="C1326" t="s">
        <v>12714</v>
      </c>
      <c r="D1326">
        <v>1997</v>
      </c>
      <c r="E1326" t="s">
        <v>341</v>
      </c>
      <c r="F1326" t="s">
        <v>12787</v>
      </c>
    </row>
    <row r="1327" spans="1:6" x14ac:dyDescent="0.25">
      <c r="A1327" t="s">
        <v>12788</v>
      </c>
      <c r="B1327" t="s">
        <v>12713</v>
      </c>
      <c r="C1327" t="s">
        <v>12714</v>
      </c>
      <c r="D1327">
        <v>1997</v>
      </c>
      <c r="E1327" t="s">
        <v>341</v>
      </c>
      <c r="F1327" t="s">
        <v>12789</v>
      </c>
    </row>
    <row r="1328" spans="1:6" x14ac:dyDescent="0.25">
      <c r="A1328" t="s">
        <v>12790</v>
      </c>
      <c r="B1328" t="s">
        <v>12713</v>
      </c>
      <c r="C1328" t="s">
        <v>12714</v>
      </c>
      <c r="D1328">
        <v>1997</v>
      </c>
      <c r="E1328" t="s">
        <v>341</v>
      </c>
      <c r="F1328" t="s">
        <v>12791</v>
      </c>
    </row>
    <row r="1329" spans="1:7" x14ac:dyDescent="0.25">
      <c r="A1329" t="s">
        <v>12792</v>
      </c>
      <c r="B1329" t="s">
        <v>12713</v>
      </c>
      <c r="C1329" t="s">
        <v>12714</v>
      </c>
      <c r="D1329">
        <v>1997</v>
      </c>
      <c r="E1329" t="s">
        <v>341</v>
      </c>
      <c r="F1329" t="s">
        <v>12793</v>
      </c>
    </row>
    <row r="1330" spans="1:7" x14ac:dyDescent="0.25">
      <c r="A1330" t="s">
        <v>12794</v>
      </c>
      <c r="B1330" t="s">
        <v>12713</v>
      </c>
      <c r="C1330" t="s">
        <v>12714</v>
      </c>
      <c r="D1330">
        <v>1997</v>
      </c>
      <c r="E1330" t="s">
        <v>341</v>
      </c>
      <c r="F1330" t="s">
        <v>12795</v>
      </c>
    </row>
    <row r="1331" spans="1:7" x14ac:dyDescent="0.25">
      <c r="A1331" t="s">
        <v>12796</v>
      </c>
      <c r="B1331" t="s">
        <v>12713</v>
      </c>
      <c r="C1331" t="s">
        <v>12714</v>
      </c>
      <c r="D1331">
        <v>1997</v>
      </c>
      <c r="E1331" t="s">
        <v>341</v>
      </c>
      <c r="F1331" t="s">
        <v>12797</v>
      </c>
    </row>
    <row r="1332" spans="1:7" x14ac:dyDescent="0.25">
      <c r="A1332" t="s">
        <v>12798</v>
      </c>
      <c r="B1332" t="s">
        <v>12713</v>
      </c>
      <c r="C1332" t="s">
        <v>12714</v>
      </c>
      <c r="D1332">
        <v>1997</v>
      </c>
      <c r="E1332" t="s">
        <v>341</v>
      </c>
      <c r="F1332" t="s">
        <v>12799</v>
      </c>
    </row>
    <row r="1333" spans="1:7" x14ac:dyDescent="0.25">
      <c r="A1333" t="s">
        <v>12800</v>
      </c>
      <c r="B1333" t="s">
        <v>12713</v>
      </c>
      <c r="C1333" t="s">
        <v>12714</v>
      </c>
      <c r="D1333">
        <v>1997</v>
      </c>
      <c r="E1333" t="s">
        <v>341</v>
      </c>
      <c r="F1333" t="s">
        <v>12801</v>
      </c>
    </row>
    <row r="1334" spans="1:7" x14ac:dyDescent="0.25">
      <c r="A1334" t="s">
        <v>12802</v>
      </c>
      <c r="B1334" t="s">
        <v>12713</v>
      </c>
      <c r="C1334" t="s">
        <v>12714</v>
      </c>
      <c r="D1334">
        <v>1997</v>
      </c>
      <c r="E1334" t="s">
        <v>341</v>
      </c>
      <c r="F1334" t="s">
        <v>12803</v>
      </c>
    </row>
    <row r="1335" spans="1:7" x14ac:dyDescent="0.25">
      <c r="A1335" t="s">
        <v>12804</v>
      </c>
      <c r="B1335" t="s">
        <v>12713</v>
      </c>
      <c r="C1335" t="s">
        <v>12714</v>
      </c>
      <c r="D1335">
        <v>1997</v>
      </c>
      <c r="E1335" t="s">
        <v>341</v>
      </c>
      <c r="F1335" t="s">
        <v>12805</v>
      </c>
    </row>
    <row r="1336" spans="1:7" x14ac:dyDescent="0.25">
      <c r="A1336" t="s">
        <v>12806</v>
      </c>
      <c r="B1336" t="s">
        <v>12713</v>
      </c>
      <c r="C1336" t="s">
        <v>12714</v>
      </c>
      <c r="D1336">
        <v>1997</v>
      </c>
      <c r="E1336" t="s">
        <v>341</v>
      </c>
      <c r="F1336" t="s">
        <v>12807</v>
      </c>
    </row>
    <row r="1337" spans="1:7" x14ac:dyDescent="0.25">
      <c r="A1337" t="s">
        <v>12808</v>
      </c>
      <c r="B1337" t="s">
        <v>12713</v>
      </c>
      <c r="C1337" t="s">
        <v>12714</v>
      </c>
      <c r="D1337">
        <v>1997</v>
      </c>
      <c r="E1337" t="s">
        <v>341</v>
      </c>
      <c r="F1337" t="s">
        <v>12809</v>
      </c>
    </row>
    <row r="1338" spans="1:7" x14ac:dyDescent="0.25">
      <c r="A1338" t="s">
        <v>12810</v>
      </c>
      <c r="B1338" t="s">
        <v>12713</v>
      </c>
      <c r="C1338" t="s">
        <v>12714</v>
      </c>
      <c r="D1338">
        <v>1997</v>
      </c>
      <c r="E1338" t="s">
        <v>341</v>
      </c>
      <c r="F1338" t="s">
        <v>12811</v>
      </c>
    </row>
    <row r="1339" spans="1:7" x14ac:dyDescent="0.25">
      <c r="A1339" t="s">
        <v>12812</v>
      </c>
      <c r="B1339" t="s">
        <v>12713</v>
      </c>
      <c r="C1339" t="s">
        <v>12714</v>
      </c>
      <c r="D1339">
        <v>1997</v>
      </c>
      <c r="E1339" t="s">
        <v>341</v>
      </c>
      <c r="F1339" t="s">
        <v>12813</v>
      </c>
    </row>
    <row r="1340" spans="1:7" x14ac:dyDescent="0.25">
      <c r="A1340" t="s">
        <v>10696</v>
      </c>
      <c r="B1340" t="s">
        <v>12713</v>
      </c>
      <c r="C1340" t="s">
        <v>12714</v>
      </c>
      <c r="D1340">
        <v>1997</v>
      </c>
      <c r="E1340" t="s">
        <v>341</v>
      </c>
      <c r="F1340" t="s">
        <v>12814</v>
      </c>
    </row>
    <row r="1341" spans="1:7" x14ac:dyDescent="0.25">
      <c r="A1341" t="s">
        <v>12815</v>
      </c>
      <c r="B1341" t="s">
        <v>12816</v>
      </c>
      <c r="C1341" t="s">
        <v>12817</v>
      </c>
      <c r="D1341">
        <v>2022</v>
      </c>
      <c r="E1341" t="s">
        <v>1004</v>
      </c>
      <c r="F1341" t="s">
        <v>12818</v>
      </c>
      <c r="G1341" t="s">
        <v>10039</v>
      </c>
    </row>
    <row r="1342" spans="1:7" x14ac:dyDescent="0.25">
      <c r="A1342" t="s">
        <v>12819</v>
      </c>
      <c r="B1342" t="s">
        <v>12816</v>
      </c>
      <c r="C1342" t="s">
        <v>12820</v>
      </c>
      <c r="D1342">
        <v>2024</v>
      </c>
      <c r="E1342" t="s">
        <v>1004</v>
      </c>
      <c r="F1342" t="s">
        <v>12821</v>
      </c>
    </row>
    <row r="1343" spans="1:7" x14ac:dyDescent="0.25">
      <c r="A1343" t="s">
        <v>12822</v>
      </c>
      <c r="B1343" t="s">
        <v>12816</v>
      </c>
      <c r="C1343" t="s">
        <v>12817</v>
      </c>
      <c r="D1343">
        <v>2022</v>
      </c>
      <c r="E1343" t="s">
        <v>1004</v>
      </c>
      <c r="F1343" t="s">
        <v>12823</v>
      </c>
    </row>
    <row r="1344" spans="1:7" x14ac:dyDescent="0.25">
      <c r="A1344" t="s">
        <v>12824</v>
      </c>
      <c r="B1344" t="s">
        <v>12816</v>
      </c>
      <c r="C1344" t="s">
        <v>12820</v>
      </c>
      <c r="D1344">
        <v>2024</v>
      </c>
      <c r="E1344" t="s">
        <v>1004</v>
      </c>
      <c r="F1344" t="s">
        <v>12825</v>
      </c>
    </row>
    <row r="1345" spans="1:6" x14ac:dyDescent="0.25">
      <c r="A1345" t="s">
        <v>12826</v>
      </c>
      <c r="B1345" t="s">
        <v>12816</v>
      </c>
      <c r="C1345" t="s">
        <v>12820</v>
      </c>
      <c r="D1345">
        <v>2024</v>
      </c>
      <c r="E1345" t="s">
        <v>1004</v>
      </c>
      <c r="F1345" t="s">
        <v>12827</v>
      </c>
    </row>
    <row r="1346" spans="1:6" x14ac:dyDescent="0.25">
      <c r="A1346" t="s">
        <v>12828</v>
      </c>
      <c r="B1346" t="s">
        <v>12816</v>
      </c>
      <c r="C1346" t="s">
        <v>12817</v>
      </c>
      <c r="D1346">
        <v>2022</v>
      </c>
      <c r="E1346" t="s">
        <v>1004</v>
      </c>
      <c r="F1346" t="s">
        <v>12829</v>
      </c>
    </row>
    <row r="1347" spans="1:6" x14ac:dyDescent="0.25">
      <c r="A1347" t="s">
        <v>12830</v>
      </c>
      <c r="B1347" t="s">
        <v>12816</v>
      </c>
      <c r="C1347" t="s">
        <v>12820</v>
      </c>
      <c r="D1347">
        <v>2024</v>
      </c>
      <c r="E1347" t="s">
        <v>1004</v>
      </c>
      <c r="F1347" t="s">
        <v>12831</v>
      </c>
    </row>
    <row r="1348" spans="1:6" x14ac:dyDescent="0.25">
      <c r="A1348" t="s">
        <v>12832</v>
      </c>
      <c r="B1348" t="s">
        <v>12816</v>
      </c>
      <c r="C1348" t="s">
        <v>12817</v>
      </c>
      <c r="D1348">
        <v>2022</v>
      </c>
      <c r="E1348" t="s">
        <v>1004</v>
      </c>
      <c r="F1348" t="s">
        <v>12833</v>
      </c>
    </row>
    <row r="1349" spans="1:6" x14ac:dyDescent="0.25">
      <c r="A1349" t="s">
        <v>12834</v>
      </c>
      <c r="B1349" t="s">
        <v>12816</v>
      </c>
      <c r="C1349" t="s">
        <v>12820</v>
      </c>
      <c r="D1349">
        <v>2024</v>
      </c>
      <c r="E1349" t="s">
        <v>1004</v>
      </c>
      <c r="F1349" t="s">
        <v>12835</v>
      </c>
    </row>
    <row r="1350" spans="1:6" x14ac:dyDescent="0.25">
      <c r="A1350" t="s">
        <v>12836</v>
      </c>
      <c r="B1350" t="s">
        <v>12816</v>
      </c>
      <c r="C1350" t="s">
        <v>12817</v>
      </c>
      <c r="D1350">
        <v>2022</v>
      </c>
      <c r="E1350" t="s">
        <v>1004</v>
      </c>
      <c r="F1350" t="s">
        <v>12837</v>
      </c>
    </row>
    <row r="1351" spans="1:6" x14ac:dyDescent="0.25">
      <c r="A1351" t="s">
        <v>12838</v>
      </c>
      <c r="B1351" t="s">
        <v>12816</v>
      </c>
      <c r="C1351" t="s">
        <v>12820</v>
      </c>
      <c r="D1351">
        <v>2024</v>
      </c>
      <c r="E1351" t="s">
        <v>1004</v>
      </c>
      <c r="F1351" t="s">
        <v>12839</v>
      </c>
    </row>
    <row r="1352" spans="1:6" x14ac:dyDescent="0.25">
      <c r="A1352" t="s">
        <v>12840</v>
      </c>
      <c r="B1352" t="s">
        <v>12816</v>
      </c>
      <c r="C1352" t="s">
        <v>12817</v>
      </c>
      <c r="D1352">
        <v>2022</v>
      </c>
      <c r="E1352" t="s">
        <v>1004</v>
      </c>
      <c r="F1352" t="s">
        <v>12841</v>
      </c>
    </row>
    <row r="1353" spans="1:6" x14ac:dyDescent="0.25">
      <c r="A1353" t="s">
        <v>12842</v>
      </c>
      <c r="B1353" t="s">
        <v>12816</v>
      </c>
      <c r="C1353" t="s">
        <v>12820</v>
      </c>
      <c r="D1353">
        <v>2024</v>
      </c>
      <c r="E1353" t="s">
        <v>1004</v>
      </c>
      <c r="F1353" t="s">
        <v>12843</v>
      </c>
    </row>
    <row r="1354" spans="1:6" x14ac:dyDescent="0.25">
      <c r="A1354" t="s">
        <v>12844</v>
      </c>
      <c r="B1354" t="s">
        <v>12816</v>
      </c>
      <c r="C1354" t="s">
        <v>12817</v>
      </c>
      <c r="D1354">
        <v>2022</v>
      </c>
      <c r="E1354" t="s">
        <v>1004</v>
      </c>
      <c r="F1354" t="s">
        <v>12845</v>
      </c>
    </row>
    <row r="1355" spans="1:6" x14ac:dyDescent="0.25">
      <c r="A1355" t="s">
        <v>12846</v>
      </c>
      <c r="B1355" t="s">
        <v>12816</v>
      </c>
      <c r="C1355" t="s">
        <v>12817</v>
      </c>
      <c r="D1355">
        <v>2022</v>
      </c>
      <c r="E1355" t="s">
        <v>1004</v>
      </c>
      <c r="F1355" t="s">
        <v>12847</v>
      </c>
    </row>
    <row r="1356" spans="1:6" x14ac:dyDescent="0.25">
      <c r="A1356" t="s">
        <v>12848</v>
      </c>
      <c r="B1356" t="s">
        <v>12816</v>
      </c>
      <c r="C1356" t="s">
        <v>12820</v>
      </c>
      <c r="D1356">
        <v>2024</v>
      </c>
      <c r="E1356" t="s">
        <v>1004</v>
      </c>
      <c r="F1356" t="s">
        <v>12849</v>
      </c>
    </row>
    <row r="1357" spans="1:6" x14ac:dyDescent="0.25">
      <c r="A1357" t="s">
        <v>12850</v>
      </c>
      <c r="B1357" t="s">
        <v>12816</v>
      </c>
      <c r="C1357" t="s">
        <v>12817</v>
      </c>
      <c r="D1357">
        <v>2022</v>
      </c>
      <c r="E1357" t="s">
        <v>1004</v>
      </c>
      <c r="F1357" t="s">
        <v>12851</v>
      </c>
    </row>
    <row r="1358" spans="1:6" x14ac:dyDescent="0.25">
      <c r="A1358" t="s">
        <v>12852</v>
      </c>
      <c r="B1358" t="s">
        <v>12816</v>
      </c>
      <c r="C1358" t="s">
        <v>12820</v>
      </c>
      <c r="D1358">
        <v>2024</v>
      </c>
      <c r="E1358" t="s">
        <v>1004</v>
      </c>
      <c r="F1358" t="s">
        <v>12853</v>
      </c>
    </row>
    <row r="1359" spans="1:6" x14ac:dyDescent="0.25">
      <c r="A1359" t="s">
        <v>12854</v>
      </c>
      <c r="B1359" t="s">
        <v>12816</v>
      </c>
      <c r="C1359" t="s">
        <v>12820</v>
      </c>
      <c r="D1359">
        <v>2024</v>
      </c>
      <c r="E1359" t="s">
        <v>1004</v>
      </c>
      <c r="F1359" t="s">
        <v>12855</v>
      </c>
    </row>
    <row r="1360" spans="1:6" x14ac:dyDescent="0.25">
      <c r="A1360" t="s">
        <v>12856</v>
      </c>
      <c r="B1360" t="s">
        <v>12816</v>
      </c>
      <c r="C1360" t="s">
        <v>12817</v>
      </c>
      <c r="D1360">
        <v>2022</v>
      </c>
      <c r="E1360" t="s">
        <v>1004</v>
      </c>
      <c r="F1360" t="s">
        <v>12857</v>
      </c>
    </row>
    <row r="1361" spans="1:6" x14ac:dyDescent="0.25">
      <c r="A1361" t="s">
        <v>12858</v>
      </c>
      <c r="B1361" t="s">
        <v>12816</v>
      </c>
      <c r="C1361" t="s">
        <v>12817</v>
      </c>
      <c r="D1361">
        <v>2022</v>
      </c>
      <c r="E1361" t="s">
        <v>1004</v>
      </c>
      <c r="F1361" t="s">
        <v>12859</v>
      </c>
    </row>
    <row r="1362" spans="1:6" x14ac:dyDescent="0.25">
      <c r="A1362" t="s">
        <v>12860</v>
      </c>
      <c r="B1362" t="s">
        <v>12816</v>
      </c>
      <c r="C1362" t="s">
        <v>12820</v>
      </c>
      <c r="D1362">
        <v>2024</v>
      </c>
      <c r="E1362" t="s">
        <v>1004</v>
      </c>
      <c r="F1362" t="s">
        <v>12861</v>
      </c>
    </row>
    <row r="1363" spans="1:6" x14ac:dyDescent="0.25">
      <c r="A1363" t="s">
        <v>12862</v>
      </c>
      <c r="B1363" t="s">
        <v>12816</v>
      </c>
      <c r="C1363" t="s">
        <v>12817</v>
      </c>
      <c r="D1363">
        <v>2022</v>
      </c>
      <c r="E1363" t="s">
        <v>1004</v>
      </c>
      <c r="F1363" t="s">
        <v>12863</v>
      </c>
    </row>
    <row r="1364" spans="1:6" x14ac:dyDescent="0.25">
      <c r="A1364" t="s">
        <v>12864</v>
      </c>
      <c r="B1364" t="s">
        <v>12816</v>
      </c>
      <c r="C1364" t="s">
        <v>12820</v>
      </c>
      <c r="D1364">
        <v>2024</v>
      </c>
      <c r="E1364" t="s">
        <v>1004</v>
      </c>
      <c r="F1364" t="s">
        <v>12865</v>
      </c>
    </row>
    <row r="1365" spans="1:6" x14ac:dyDescent="0.25">
      <c r="A1365" t="s">
        <v>12866</v>
      </c>
      <c r="B1365" t="s">
        <v>12816</v>
      </c>
      <c r="C1365" t="s">
        <v>12820</v>
      </c>
      <c r="D1365">
        <v>2024</v>
      </c>
      <c r="E1365" t="s">
        <v>1004</v>
      </c>
      <c r="F1365" t="s">
        <v>12867</v>
      </c>
    </row>
    <row r="1366" spans="1:6" x14ac:dyDescent="0.25">
      <c r="A1366" t="s">
        <v>12868</v>
      </c>
      <c r="B1366" t="s">
        <v>12816</v>
      </c>
      <c r="C1366" t="s">
        <v>12817</v>
      </c>
      <c r="D1366">
        <v>2022</v>
      </c>
      <c r="E1366" t="s">
        <v>1004</v>
      </c>
      <c r="F1366" t="s">
        <v>12869</v>
      </c>
    </row>
    <row r="1367" spans="1:6" x14ac:dyDescent="0.25">
      <c r="A1367" t="s">
        <v>12870</v>
      </c>
      <c r="B1367" t="s">
        <v>12816</v>
      </c>
      <c r="C1367" t="s">
        <v>12817</v>
      </c>
      <c r="D1367">
        <v>2022</v>
      </c>
      <c r="E1367" t="s">
        <v>1004</v>
      </c>
      <c r="F1367" t="s">
        <v>12871</v>
      </c>
    </row>
    <row r="1368" spans="1:6" x14ac:dyDescent="0.25">
      <c r="A1368" t="s">
        <v>12872</v>
      </c>
      <c r="B1368" t="s">
        <v>12816</v>
      </c>
      <c r="C1368" t="s">
        <v>12817</v>
      </c>
      <c r="D1368">
        <v>2022</v>
      </c>
      <c r="E1368" t="s">
        <v>1004</v>
      </c>
      <c r="F1368" t="s">
        <v>12873</v>
      </c>
    </row>
    <row r="1369" spans="1:6" x14ac:dyDescent="0.25">
      <c r="A1369" t="s">
        <v>12874</v>
      </c>
      <c r="B1369" t="s">
        <v>12816</v>
      </c>
      <c r="C1369" t="s">
        <v>12817</v>
      </c>
      <c r="D1369">
        <v>2022</v>
      </c>
      <c r="E1369" t="s">
        <v>1004</v>
      </c>
      <c r="F1369" t="s">
        <v>12875</v>
      </c>
    </row>
    <row r="1370" spans="1:6" x14ac:dyDescent="0.25">
      <c r="A1370" t="s">
        <v>12876</v>
      </c>
      <c r="B1370" t="s">
        <v>12816</v>
      </c>
      <c r="C1370" t="s">
        <v>12817</v>
      </c>
      <c r="D1370">
        <v>2022</v>
      </c>
      <c r="E1370" t="s">
        <v>1004</v>
      </c>
      <c r="F1370" t="s">
        <v>12877</v>
      </c>
    </row>
    <row r="1371" spans="1:6" x14ac:dyDescent="0.25">
      <c r="A1371" t="s">
        <v>12878</v>
      </c>
      <c r="B1371" t="s">
        <v>12816</v>
      </c>
      <c r="C1371" t="s">
        <v>12817</v>
      </c>
      <c r="D1371">
        <v>2022</v>
      </c>
      <c r="E1371" t="s">
        <v>1004</v>
      </c>
      <c r="F1371" t="s">
        <v>12879</v>
      </c>
    </row>
    <row r="1372" spans="1:6" x14ac:dyDescent="0.25">
      <c r="A1372" t="s">
        <v>12880</v>
      </c>
      <c r="B1372" t="s">
        <v>12881</v>
      </c>
      <c r="C1372" t="s">
        <v>12882</v>
      </c>
      <c r="D1372">
        <v>2021</v>
      </c>
      <c r="E1372" t="s">
        <v>1435</v>
      </c>
      <c r="F1372" t="s">
        <v>12883</v>
      </c>
    </row>
    <row r="1373" spans="1:6" x14ac:dyDescent="0.25">
      <c r="A1373" t="s">
        <v>12884</v>
      </c>
      <c r="B1373" t="s">
        <v>12881</v>
      </c>
      <c r="C1373" t="s">
        <v>12882</v>
      </c>
      <c r="D1373">
        <v>2021</v>
      </c>
      <c r="E1373" t="s">
        <v>1435</v>
      </c>
      <c r="F1373" t="s">
        <v>12885</v>
      </c>
    </row>
    <row r="1374" spans="1:6" x14ac:dyDescent="0.25">
      <c r="A1374" t="s">
        <v>12886</v>
      </c>
      <c r="B1374" t="s">
        <v>12881</v>
      </c>
      <c r="C1374" t="s">
        <v>12882</v>
      </c>
      <c r="D1374">
        <v>2021</v>
      </c>
      <c r="E1374" t="s">
        <v>1435</v>
      </c>
      <c r="F1374" t="s">
        <v>12887</v>
      </c>
    </row>
    <row r="1375" spans="1:6" x14ac:dyDescent="0.25">
      <c r="A1375" t="s">
        <v>12888</v>
      </c>
      <c r="B1375" t="s">
        <v>12881</v>
      </c>
      <c r="C1375" t="s">
        <v>12882</v>
      </c>
      <c r="D1375">
        <v>2021</v>
      </c>
      <c r="E1375" t="s">
        <v>1435</v>
      </c>
      <c r="F1375" t="s">
        <v>12889</v>
      </c>
    </row>
    <row r="1376" spans="1:6" x14ac:dyDescent="0.25">
      <c r="A1376" t="s">
        <v>12890</v>
      </c>
      <c r="B1376" t="s">
        <v>12881</v>
      </c>
      <c r="C1376" t="s">
        <v>12882</v>
      </c>
      <c r="D1376">
        <v>2021</v>
      </c>
      <c r="E1376" t="s">
        <v>1435</v>
      </c>
      <c r="F1376" t="s">
        <v>12891</v>
      </c>
    </row>
    <row r="1377" spans="1:6" x14ac:dyDescent="0.25">
      <c r="A1377" t="s">
        <v>12892</v>
      </c>
      <c r="B1377" t="s">
        <v>12881</v>
      </c>
      <c r="C1377" t="s">
        <v>12882</v>
      </c>
      <c r="D1377">
        <v>2021</v>
      </c>
      <c r="E1377" t="s">
        <v>1435</v>
      </c>
      <c r="F1377" t="s">
        <v>12893</v>
      </c>
    </row>
    <row r="1378" spans="1:6" x14ac:dyDescent="0.25">
      <c r="A1378" t="s">
        <v>10126</v>
      </c>
      <c r="B1378" t="s">
        <v>12881</v>
      </c>
      <c r="C1378" t="s">
        <v>12882</v>
      </c>
      <c r="D1378">
        <v>2021</v>
      </c>
      <c r="E1378" t="s">
        <v>1435</v>
      </c>
      <c r="F1378" t="s">
        <v>12894</v>
      </c>
    </row>
    <row r="1379" spans="1:6" x14ac:dyDescent="0.25">
      <c r="A1379" t="s">
        <v>12895</v>
      </c>
      <c r="B1379" t="s">
        <v>12881</v>
      </c>
      <c r="C1379" t="s">
        <v>12882</v>
      </c>
      <c r="D1379">
        <v>2021</v>
      </c>
      <c r="E1379" t="s">
        <v>1435</v>
      </c>
      <c r="F1379" t="s">
        <v>12896</v>
      </c>
    </row>
    <row r="1380" spans="1:6" x14ac:dyDescent="0.25">
      <c r="A1380" t="s">
        <v>12897</v>
      </c>
      <c r="B1380" t="s">
        <v>12881</v>
      </c>
      <c r="C1380" t="s">
        <v>12882</v>
      </c>
      <c r="D1380">
        <v>2021</v>
      </c>
      <c r="E1380" t="s">
        <v>1435</v>
      </c>
      <c r="F1380" t="s">
        <v>12898</v>
      </c>
    </row>
    <row r="1381" spans="1:6" x14ac:dyDescent="0.25">
      <c r="A1381" t="s">
        <v>12899</v>
      </c>
      <c r="B1381" t="s">
        <v>12881</v>
      </c>
      <c r="C1381" t="s">
        <v>12882</v>
      </c>
      <c r="D1381">
        <v>2021</v>
      </c>
      <c r="E1381" t="s">
        <v>1435</v>
      </c>
      <c r="F1381" t="s">
        <v>12900</v>
      </c>
    </row>
    <row r="1382" spans="1:6" x14ac:dyDescent="0.25">
      <c r="A1382" t="s">
        <v>12901</v>
      </c>
      <c r="B1382" t="s">
        <v>12881</v>
      </c>
      <c r="C1382" t="s">
        <v>12882</v>
      </c>
      <c r="D1382">
        <v>2021</v>
      </c>
      <c r="E1382" t="s">
        <v>1435</v>
      </c>
      <c r="F1382" t="s">
        <v>12902</v>
      </c>
    </row>
    <row r="1383" spans="1:6" x14ac:dyDescent="0.25">
      <c r="A1383" t="s">
        <v>12903</v>
      </c>
      <c r="B1383" t="s">
        <v>12881</v>
      </c>
      <c r="C1383" t="s">
        <v>12882</v>
      </c>
      <c r="D1383">
        <v>2021</v>
      </c>
      <c r="E1383" t="s">
        <v>1435</v>
      </c>
      <c r="F1383" t="s">
        <v>12904</v>
      </c>
    </row>
    <row r="1384" spans="1:6" x14ac:dyDescent="0.25">
      <c r="A1384" t="s">
        <v>12905</v>
      </c>
      <c r="B1384" t="s">
        <v>12881</v>
      </c>
      <c r="C1384" t="s">
        <v>12882</v>
      </c>
      <c r="D1384">
        <v>2021</v>
      </c>
      <c r="E1384" t="s">
        <v>1435</v>
      </c>
      <c r="F1384" t="s">
        <v>12906</v>
      </c>
    </row>
    <row r="1385" spans="1:6" x14ac:dyDescent="0.25">
      <c r="A1385" t="s">
        <v>12907</v>
      </c>
      <c r="B1385" t="s">
        <v>12881</v>
      </c>
      <c r="C1385" t="s">
        <v>12882</v>
      </c>
      <c r="D1385">
        <v>2021</v>
      </c>
      <c r="E1385" t="s">
        <v>1435</v>
      </c>
      <c r="F1385" t="s">
        <v>12908</v>
      </c>
    </row>
    <row r="1386" spans="1:6" x14ac:dyDescent="0.25">
      <c r="A1386" t="s">
        <v>12909</v>
      </c>
      <c r="B1386" t="s">
        <v>12881</v>
      </c>
      <c r="C1386" t="s">
        <v>12882</v>
      </c>
      <c r="D1386">
        <v>2021</v>
      </c>
      <c r="E1386" t="s">
        <v>1435</v>
      </c>
      <c r="F1386" t="s">
        <v>12910</v>
      </c>
    </row>
    <row r="1387" spans="1:6" x14ac:dyDescent="0.25">
      <c r="A1387" t="s">
        <v>12911</v>
      </c>
      <c r="B1387" t="s">
        <v>12881</v>
      </c>
      <c r="C1387" t="s">
        <v>12882</v>
      </c>
      <c r="D1387">
        <v>2021</v>
      </c>
      <c r="E1387" t="s">
        <v>1435</v>
      </c>
      <c r="F1387" t="s">
        <v>12912</v>
      </c>
    </row>
    <row r="1388" spans="1:6" x14ac:dyDescent="0.25">
      <c r="A1388" t="s">
        <v>12913</v>
      </c>
      <c r="B1388" t="s">
        <v>12881</v>
      </c>
      <c r="C1388" t="s">
        <v>12882</v>
      </c>
      <c r="D1388">
        <v>2021</v>
      </c>
      <c r="E1388" t="s">
        <v>1435</v>
      </c>
      <c r="F1388" t="s">
        <v>12914</v>
      </c>
    </row>
    <row r="1389" spans="1:6" x14ac:dyDescent="0.25">
      <c r="A1389" t="s">
        <v>12915</v>
      </c>
      <c r="B1389" t="s">
        <v>12881</v>
      </c>
      <c r="C1389" t="s">
        <v>12882</v>
      </c>
      <c r="D1389">
        <v>2021</v>
      </c>
      <c r="E1389" t="s">
        <v>1435</v>
      </c>
      <c r="F1389" t="s">
        <v>12916</v>
      </c>
    </row>
    <row r="1390" spans="1:6" x14ac:dyDescent="0.25">
      <c r="A1390" t="s">
        <v>12917</v>
      </c>
      <c r="B1390" t="s">
        <v>12881</v>
      </c>
      <c r="C1390" t="s">
        <v>12882</v>
      </c>
      <c r="D1390">
        <v>2021</v>
      </c>
      <c r="E1390" t="s">
        <v>1435</v>
      </c>
      <c r="F1390" t="s">
        <v>12918</v>
      </c>
    </row>
    <row r="1391" spans="1:6" x14ac:dyDescent="0.25">
      <c r="A1391" t="s">
        <v>12919</v>
      </c>
      <c r="B1391" t="s">
        <v>12881</v>
      </c>
      <c r="C1391" t="s">
        <v>12882</v>
      </c>
      <c r="D1391">
        <v>2021</v>
      </c>
      <c r="E1391" t="s">
        <v>1435</v>
      </c>
      <c r="F1391" t="s">
        <v>12920</v>
      </c>
    </row>
    <row r="1392" spans="1:6" x14ac:dyDescent="0.25">
      <c r="A1392" t="s">
        <v>12921</v>
      </c>
      <c r="B1392" t="s">
        <v>12881</v>
      </c>
      <c r="C1392" t="s">
        <v>12882</v>
      </c>
      <c r="D1392">
        <v>2021</v>
      </c>
      <c r="E1392" t="s">
        <v>1435</v>
      </c>
      <c r="F1392" t="s">
        <v>12922</v>
      </c>
    </row>
    <row r="1393" spans="1:7" x14ac:dyDescent="0.25">
      <c r="A1393" t="s">
        <v>12923</v>
      </c>
      <c r="B1393" t="s">
        <v>12881</v>
      </c>
      <c r="C1393" t="s">
        <v>12882</v>
      </c>
      <c r="D1393">
        <v>2021</v>
      </c>
      <c r="E1393" t="s">
        <v>1435</v>
      </c>
      <c r="F1393" t="s">
        <v>12924</v>
      </c>
    </row>
    <row r="1394" spans="1:7" x14ac:dyDescent="0.25">
      <c r="A1394" t="s">
        <v>12925</v>
      </c>
      <c r="B1394" t="s">
        <v>12881</v>
      </c>
      <c r="C1394" t="s">
        <v>12882</v>
      </c>
      <c r="D1394">
        <v>2021</v>
      </c>
      <c r="E1394" t="s">
        <v>1435</v>
      </c>
      <c r="F1394" t="s">
        <v>12926</v>
      </c>
    </row>
    <row r="1395" spans="1:7" x14ac:dyDescent="0.25">
      <c r="A1395" t="s">
        <v>12927</v>
      </c>
      <c r="B1395" t="s">
        <v>12881</v>
      </c>
      <c r="C1395" t="s">
        <v>12882</v>
      </c>
      <c r="D1395">
        <v>2021</v>
      </c>
      <c r="E1395" t="s">
        <v>1435</v>
      </c>
      <c r="F1395" t="s">
        <v>12928</v>
      </c>
    </row>
    <row r="1396" spans="1:7" x14ac:dyDescent="0.25">
      <c r="A1396" t="s">
        <v>12929</v>
      </c>
      <c r="B1396" t="s">
        <v>12881</v>
      </c>
      <c r="C1396" t="s">
        <v>12882</v>
      </c>
      <c r="D1396">
        <v>2021</v>
      </c>
      <c r="E1396" t="s">
        <v>1435</v>
      </c>
      <c r="F1396" t="s">
        <v>12930</v>
      </c>
    </row>
    <row r="1397" spans="1:7" x14ac:dyDescent="0.25">
      <c r="A1397" t="s">
        <v>12931</v>
      </c>
      <c r="B1397" t="s">
        <v>12881</v>
      </c>
      <c r="C1397" t="s">
        <v>12882</v>
      </c>
      <c r="D1397">
        <v>2021</v>
      </c>
      <c r="E1397" t="s">
        <v>1435</v>
      </c>
      <c r="F1397" t="s">
        <v>12932</v>
      </c>
    </row>
    <row r="1398" spans="1:7" x14ac:dyDescent="0.25">
      <c r="A1398" t="s">
        <v>12933</v>
      </c>
      <c r="B1398" t="s">
        <v>12881</v>
      </c>
      <c r="C1398" t="s">
        <v>12882</v>
      </c>
      <c r="D1398">
        <v>2021</v>
      </c>
      <c r="E1398" t="s">
        <v>1435</v>
      </c>
      <c r="F1398" t="s">
        <v>12934</v>
      </c>
    </row>
    <row r="1399" spans="1:7" x14ac:dyDescent="0.25">
      <c r="A1399" t="s">
        <v>12935</v>
      </c>
      <c r="B1399" t="s">
        <v>12881</v>
      </c>
      <c r="C1399" t="s">
        <v>12882</v>
      </c>
      <c r="D1399">
        <v>2021</v>
      </c>
      <c r="E1399" t="s">
        <v>1435</v>
      </c>
      <c r="F1399" t="s">
        <v>12936</v>
      </c>
    </row>
    <row r="1400" spans="1:7" x14ac:dyDescent="0.25">
      <c r="A1400" t="s">
        <v>12937</v>
      </c>
      <c r="B1400" t="s">
        <v>12881</v>
      </c>
      <c r="C1400" t="s">
        <v>12882</v>
      </c>
      <c r="D1400">
        <v>2021</v>
      </c>
      <c r="E1400" t="s">
        <v>1435</v>
      </c>
      <c r="F1400" t="s">
        <v>12938</v>
      </c>
    </row>
    <row r="1401" spans="1:7" x14ac:dyDescent="0.25">
      <c r="A1401" t="s">
        <v>12939</v>
      </c>
      <c r="B1401" t="s">
        <v>12881</v>
      </c>
      <c r="C1401" t="s">
        <v>12882</v>
      </c>
      <c r="D1401">
        <v>2021</v>
      </c>
      <c r="E1401" t="s">
        <v>1435</v>
      </c>
      <c r="F1401" t="s">
        <v>12940</v>
      </c>
    </row>
    <row r="1402" spans="1:7" x14ac:dyDescent="0.25">
      <c r="A1402" t="s">
        <v>10075</v>
      </c>
      <c r="B1402" t="s">
        <v>12941</v>
      </c>
      <c r="C1402" t="s">
        <v>12942</v>
      </c>
      <c r="D1402">
        <v>2025</v>
      </c>
      <c r="E1402" t="s">
        <v>2045</v>
      </c>
      <c r="F1402" t="s">
        <v>12943</v>
      </c>
      <c r="G1402" t="s">
        <v>10039</v>
      </c>
    </row>
    <row r="1403" spans="1:7" x14ac:dyDescent="0.25">
      <c r="A1403" t="s">
        <v>3731</v>
      </c>
      <c r="B1403" t="s">
        <v>12941</v>
      </c>
      <c r="C1403" t="s">
        <v>12942</v>
      </c>
      <c r="D1403">
        <v>2025</v>
      </c>
      <c r="E1403" t="s">
        <v>2045</v>
      </c>
      <c r="F1403" t="s">
        <v>12944</v>
      </c>
    </row>
    <row r="1404" spans="1:7" x14ac:dyDescent="0.25">
      <c r="A1404" t="s">
        <v>3446</v>
      </c>
      <c r="B1404" t="s">
        <v>12941</v>
      </c>
      <c r="C1404" t="s">
        <v>12942</v>
      </c>
      <c r="D1404">
        <v>2025</v>
      </c>
      <c r="E1404" t="s">
        <v>2045</v>
      </c>
      <c r="F1404" t="s">
        <v>12945</v>
      </c>
    </row>
    <row r="1405" spans="1:7" x14ac:dyDescent="0.25">
      <c r="A1405" t="s">
        <v>12946</v>
      </c>
      <c r="B1405" t="s">
        <v>12941</v>
      </c>
      <c r="C1405" t="s">
        <v>12942</v>
      </c>
      <c r="D1405">
        <v>2025</v>
      </c>
      <c r="E1405" t="s">
        <v>2045</v>
      </c>
      <c r="F1405" t="s">
        <v>12947</v>
      </c>
    </row>
    <row r="1406" spans="1:7" x14ac:dyDescent="0.25">
      <c r="A1406" t="s">
        <v>12948</v>
      </c>
      <c r="B1406" t="s">
        <v>12941</v>
      </c>
      <c r="C1406" t="s">
        <v>12942</v>
      </c>
      <c r="D1406">
        <v>2025</v>
      </c>
      <c r="E1406" t="s">
        <v>2045</v>
      </c>
      <c r="F1406" t="s">
        <v>12949</v>
      </c>
    </row>
    <row r="1407" spans="1:7" x14ac:dyDescent="0.25">
      <c r="A1407" t="s">
        <v>12950</v>
      </c>
      <c r="B1407" t="s">
        <v>12941</v>
      </c>
      <c r="C1407" t="s">
        <v>12942</v>
      </c>
      <c r="D1407">
        <v>2025</v>
      </c>
      <c r="E1407" t="s">
        <v>2045</v>
      </c>
      <c r="F1407" t="s">
        <v>12951</v>
      </c>
    </row>
    <row r="1408" spans="1:7" x14ac:dyDescent="0.25">
      <c r="A1408" t="s">
        <v>12952</v>
      </c>
      <c r="B1408" t="s">
        <v>12953</v>
      </c>
      <c r="C1408" t="s">
        <v>12954</v>
      </c>
      <c r="D1408">
        <v>2017</v>
      </c>
      <c r="E1408" t="s">
        <v>2341</v>
      </c>
      <c r="F1408" t="s">
        <v>12955</v>
      </c>
    </row>
    <row r="1409" spans="1:6" x14ac:dyDescent="0.25">
      <c r="A1409" t="s">
        <v>12956</v>
      </c>
      <c r="B1409" t="s">
        <v>12953</v>
      </c>
      <c r="C1409" t="s">
        <v>12954</v>
      </c>
      <c r="D1409">
        <v>2017</v>
      </c>
      <c r="E1409" t="s">
        <v>2341</v>
      </c>
      <c r="F1409" t="s">
        <v>12957</v>
      </c>
    </row>
    <row r="1410" spans="1:6" x14ac:dyDescent="0.25">
      <c r="A1410" t="s">
        <v>12958</v>
      </c>
      <c r="B1410" t="s">
        <v>12953</v>
      </c>
      <c r="C1410" t="s">
        <v>12954</v>
      </c>
      <c r="D1410">
        <v>2017</v>
      </c>
      <c r="E1410" t="s">
        <v>2341</v>
      </c>
      <c r="F1410" t="s">
        <v>12959</v>
      </c>
    </row>
    <row r="1411" spans="1:6" x14ac:dyDescent="0.25">
      <c r="A1411" t="s">
        <v>12960</v>
      </c>
      <c r="B1411" t="s">
        <v>12953</v>
      </c>
      <c r="C1411" t="s">
        <v>12954</v>
      </c>
      <c r="D1411">
        <v>2017</v>
      </c>
      <c r="E1411" t="s">
        <v>2341</v>
      </c>
      <c r="F1411" t="s">
        <v>12961</v>
      </c>
    </row>
    <row r="1412" spans="1:6" x14ac:dyDescent="0.25">
      <c r="A1412" t="s">
        <v>12962</v>
      </c>
      <c r="B1412" t="s">
        <v>12953</v>
      </c>
      <c r="C1412" t="s">
        <v>12954</v>
      </c>
      <c r="D1412">
        <v>2017</v>
      </c>
      <c r="E1412" t="s">
        <v>2341</v>
      </c>
      <c r="F1412" t="s">
        <v>12963</v>
      </c>
    </row>
    <row r="1413" spans="1:6" x14ac:dyDescent="0.25">
      <c r="A1413" t="s">
        <v>12964</v>
      </c>
      <c r="B1413" t="s">
        <v>12953</v>
      </c>
      <c r="C1413" t="s">
        <v>12954</v>
      </c>
      <c r="D1413">
        <v>2017</v>
      </c>
      <c r="E1413" t="s">
        <v>2341</v>
      </c>
      <c r="F1413" t="s">
        <v>12965</v>
      </c>
    </row>
    <row r="1414" spans="1:6" x14ac:dyDescent="0.25">
      <c r="A1414" t="s">
        <v>12966</v>
      </c>
      <c r="B1414" t="s">
        <v>12953</v>
      </c>
      <c r="C1414" t="s">
        <v>12954</v>
      </c>
      <c r="D1414">
        <v>2017</v>
      </c>
      <c r="E1414" t="s">
        <v>2341</v>
      </c>
      <c r="F1414" t="s">
        <v>12967</v>
      </c>
    </row>
    <row r="1415" spans="1:6" x14ac:dyDescent="0.25">
      <c r="A1415" t="s">
        <v>12968</v>
      </c>
      <c r="B1415" t="s">
        <v>12969</v>
      </c>
      <c r="C1415" t="s">
        <v>12954</v>
      </c>
      <c r="D1415">
        <v>2017</v>
      </c>
      <c r="E1415" t="s">
        <v>2341</v>
      </c>
      <c r="F1415" t="s">
        <v>12970</v>
      </c>
    </row>
    <row r="1416" spans="1:6" x14ac:dyDescent="0.25">
      <c r="A1416" t="s">
        <v>12971</v>
      </c>
      <c r="B1416" t="s">
        <v>12969</v>
      </c>
      <c r="C1416" t="s">
        <v>12954</v>
      </c>
      <c r="D1416">
        <v>2017</v>
      </c>
      <c r="E1416" t="s">
        <v>2341</v>
      </c>
      <c r="F1416" t="s">
        <v>12972</v>
      </c>
    </row>
    <row r="1417" spans="1:6" x14ac:dyDescent="0.25">
      <c r="A1417" t="s">
        <v>12973</v>
      </c>
      <c r="B1417" t="s">
        <v>12953</v>
      </c>
      <c r="C1417" t="s">
        <v>12954</v>
      </c>
      <c r="D1417">
        <v>2017</v>
      </c>
      <c r="E1417" t="s">
        <v>2341</v>
      </c>
      <c r="F1417" t="s">
        <v>12974</v>
      </c>
    </row>
    <row r="1418" spans="1:6" x14ac:dyDescent="0.25">
      <c r="A1418" t="s">
        <v>12975</v>
      </c>
      <c r="B1418" t="s">
        <v>12953</v>
      </c>
      <c r="C1418" t="s">
        <v>12954</v>
      </c>
      <c r="D1418">
        <v>2017</v>
      </c>
      <c r="E1418" t="s">
        <v>2341</v>
      </c>
      <c r="F1418" t="s">
        <v>12976</v>
      </c>
    </row>
    <row r="1419" spans="1:6" x14ac:dyDescent="0.25">
      <c r="A1419" t="s">
        <v>11531</v>
      </c>
      <c r="B1419" t="s">
        <v>12977</v>
      </c>
      <c r="C1419" t="s">
        <v>12978</v>
      </c>
      <c r="E1419" t="s">
        <v>2439</v>
      </c>
      <c r="F1419" t="s">
        <v>12979</v>
      </c>
    </row>
    <row r="1420" spans="1:6" x14ac:dyDescent="0.25">
      <c r="A1420" t="s">
        <v>12980</v>
      </c>
      <c r="B1420" t="s">
        <v>12977</v>
      </c>
      <c r="C1420" t="s">
        <v>12978</v>
      </c>
      <c r="E1420" t="s">
        <v>2439</v>
      </c>
      <c r="F1420" t="s">
        <v>12981</v>
      </c>
    </row>
    <row r="1421" spans="1:6" x14ac:dyDescent="0.25">
      <c r="A1421" t="s">
        <v>12982</v>
      </c>
      <c r="B1421" t="s">
        <v>12977</v>
      </c>
      <c r="C1421" t="s">
        <v>12978</v>
      </c>
      <c r="E1421" t="s">
        <v>2439</v>
      </c>
      <c r="F1421" t="s">
        <v>12983</v>
      </c>
    </row>
    <row r="1422" spans="1:6" x14ac:dyDescent="0.25">
      <c r="A1422" t="s">
        <v>12984</v>
      </c>
      <c r="B1422" t="s">
        <v>12977</v>
      </c>
      <c r="C1422" t="s">
        <v>12978</v>
      </c>
      <c r="E1422" t="s">
        <v>2439</v>
      </c>
      <c r="F1422" t="s">
        <v>12985</v>
      </c>
    </row>
    <row r="1423" spans="1:6" x14ac:dyDescent="0.25">
      <c r="A1423" t="s">
        <v>12986</v>
      </c>
      <c r="B1423" t="s">
        <v>12977</v>
      </c>
      <c r="C1423" t="s">
        <v>12978</v>
      </c>
      <c r="E1423" t="s">
        <v>2439</v>
      </c>
      <c r="F1423" t="s">
        <v>12987</v>
      </c>
    </row>
    <row r="1424" spans="1:6" x14ac:dyDescent="0.25">
      <c r="A1424" t="s">
        <v>12988</v>
      </c>
      <c r="B1424" t="s">
        <v>12977</v>
      </c>
      <c r="C1424" t="s">
        <v>12978</v>
      </c>
      <c r="E1424" t="s">
        <v>2439</v>
      </c>
      <c r="F1424" t="s">
        <v>12989</v>
      </c>
    </row>
    <row r="1425" spans="1:6" x14ac:dyDescent="0.25">
      <c r="A1425" t="s">
        <v>12990</v>
      </c>
      <c r="B1425" t="s">
        <v>12977</v>
      </c>
      <c r="C1425" t="s">
        <v>12978</v>
      </c>
      <c r="E1425" t="s">
        <v>2439</v>
      </c>
      <c r="F1425" t="s">
        <v>12991</v>
      </c>
    </row>
    <row r="1426" spans="1:6" x14ac:dyDescent="0.25">
      <c r="A1426" t="s">
        <v>12992</v>
      </c>
      <c r="B1426" t="s">
        <v>12977</v>
      </c>
      <c r="C1426" t="s">
        <v>12978</v>
      </c>
      <c r="E1426" t="s">
        <v>2439</v>
      </c>
      <c r="F1426" t="s">
        <v>12993</v>
      </c>
    </row>
    <row r="1427" spans="1:6" x14ac:dyDescent="0.25">
      <c r="A1427" t="s">
        <v>12994</v>
      </c>
      <c r="B1427" t="s">
        <v>12977</v>
      </c>
      <c r="C1427" t="s">
        <v>12978</v>
      </c>
      <c r="E1427" t="s">
        <v>2439</v>
      </c>
      <c r="F1427" t="s">
        <v>12995</v>
      </c>
    </row>
    <row r="1428" spans="1:6" x14ac:dyDescent="0.25">
      <c r="A1428" t="s">
        <v>12996</v>
      </c>
      <c r="B1428" t="s">
        <v>12977</v>
      </c>
      <c r="C1428" t="s">
        <v>12978</v>
      </c>
      <c r="E1428" t="s">
        <v>2439</v>
      </c>
      <c r="F1428" t="s">
        <v>12997</v>
      </c>
    </row>
    <row r="1429" spans="1:6" x14ac:dyDescent="0.25">
      <c r="A1429" t="s">
        <v>12998</v>
      </c>
      <c r="B1429" t="s">
        <v>12977</v>
      </c>
      <c r="C1429" t="s">
        <v>12978</v>
      </c>
      <c r="E1429" t="s">
        <v>2439</v>
      </c>
      <c r="F1429" t="s">
        <v>12999</v>
      </c>
    </row>
    <row r="1430" spans="1:6" x14ac:dyDescent="0.25">
      <c r="A1430" t="s">
        <v>13000</v>
      </c>
      <c r="B1430" t="s">
        <v>12977</v>
      </c>
      <c r="C1430" t="s">
        <v>12978</v>
      </c>
      <c r="E1430" t="s">
        <v>2439</v>
      </c>
      <c r="F1430" t="s">
        <v>13001</v>
      </c>
    </row>
    <row r="1431" spans="1:6" x14ac:dyDescent="0.25">
      <c r="A1431" t="s">
        <v>13002</v>
      </c>
      <c r="B1431" t="s">
        <v>12977</v>
      </c>
      <c r="C1431" t="s">
        <v>12978</v>
      </c>
      <c r="E1431" t="s">
        <v>2439</v>
      </c>
      <c r="F1431" t="s">
        <v>13003</v>
      </c>
    </row>
    <row r="1432" spans="1:6" x14ac:dyDescent="0.25">
      <c r="A1432" t="s">
        <v>13004</v>
      </c>
      <c r="B1432" t="s">
        <v>12977</v>
      </c>
      <c r="C1432" t="s">
        <v>12978</v>
      </c>
      <c r="E1432" t="s">
        <v>2439</v>
      </c>
      <c r="F1432" t="s">
        <v>13005</v>
      </c>
    </row>
    <row r="1433" spans="1:6" x14ac:dyDescent="0.25">
      <c r="A1433" t="s">
        <v>13006</v>
      </c>
      <c r="B1433" t="s">
        <v>12977</v>
      </c>
      <c r="C1433" t="s">
        <v>12978</v>
      </c>
      <c r="E1433" t="s">
        <v>2439</v>
      </c>
      <c r="F1433" t="s">
        <v>13007</v>
      </c>
    </row>
    <row r="1434" spans="1:6" x14ac:dyDescent="0.25">
      <c r="A1434" t="s">
        <v>13008</v>
      </c>
      <c r="B1434" t="s">
        <v>12977</v>
      </c>
      <c r="C1434" t="s">
        <v>12978</v>
      </c>
      <c r="E1434" t="s">
        <v>2439</v>
      </c>
      <c r="F1434" t="s">
        <v>13009</v>
      </c>
    </row>
    <row r="1435" spans="1:6" x14ac:dyDescent="0.25">
      <c r="A1435" t="s">
        <v>13010</v>
      </c>
      <c r="B1435" t="s">
        <v>12977</v>
      </c>
      <c r="C1435" t="s">
        <v>12978</v>
      </c>
      <c r="E1435" t="s">
        <v>2439</v>
      </c>
      <c r="F1435" t="s">
        <v>13011</v>
      </c>
    </row>
    <row r="1436" spans="1:6" x14ac:dyDescent="0.25">
      <c r="A1436" t="s">
        <v>13012</v>
      </c>
      <c r="B1436" t="s">
        <v>12977</v>
      </c>
      <c r="C1436" t="s">
        <v>12978</v>
      </c>
      <c r="E1436" t="s">
        <v>2439</v>
      </c>
      <c r="F1436" t="s">
        <v>13013</v>
      </c>
    </row>
    <row r="1437" spans="1:6" x14ac:dyDescent="0.25">
      <c r="A1437" t="s">
        <v>13014</v>
      </c>
      <c r="B1437" t="s">
        <v>12977</v>
      </c>
      <c r="C1437" t="s">
        <v>12978</v>
      </c>
      <c r="E1437" t="s">
        <v>2439</v>
      </c>
      <c r="F1437" t="s">
        <v>13015</v>
      </c>
    </row>
    <row r="1438" spans="1:6" x14ac:dyDescent="0.25">
      <c r="A1438" t="s">
        <v>13016</v>
      </c>
      <c r="B1438" t="s">
        <v>12977</v>
      </c>
      <c r="C1438" t="s">
        <v>12978</v>
      </c>
      <c r="E1438" t="s">
        <v>2439</v>
      </c>
      <c r="F1438" t="s">
        <v>13017</v>
      </c>
    </row>
    <row r="1439" spans="1:6" x14ac:dyDescent="0.25">
      <c r="A1439" t="s">
        <v>13018</v>
      </c>
      <c r="B1439" t="s">
        <v>13019</v>
      </c>
      <c r="C1439" t="s">
        <v>13020</v>
      </c>
      <c r="D1439">
        <v>2019</v>
      </c>
      <c r="E1439" t="s">
        <v>2492</v>
      </c>
      <c r="F1439" t="s">
        <v>13021</v>
      </c>
    </row>
    <row r="1440" spans="1:6" x14ac:dyDescent="0.25">
      <c r="A1440" t="s">
        <v>13022</v>
      </c>
      <c r="B1440" t="s">
        <v>13019</v>
      </c>
      <c r="C1440" t="s">
        <v>13020</v>
      </c>
      <c r="D1440">
        <v>2019</v>
      </c>
      <c r="E1440" t="s">
        <v>2492</v>
      </c>
      <c r="F1440" t="s">
        <v>13023</v>
      </c>
    </row>
    <row r="1441" spans="1:6" x14ac:dyDescent="0.25">
      <c r="A1441" t="s">
        <v>13024</v>
      </c>
      <c r="B1441" t="s">
        <v>13019</v>
      </c>
      <c r="C1441" t="s">
        <v>13020</v>
      </c>
      <c r="D1441">
        <v>2019</v>
      </c>
      <c r="E1441" t="s">
        <v>2492</v>
      </c>
      <c r="F1441" t="s">
        <v>13025</v>
      </c>
    </row>
    <row r="1442" spans="1:6" x14ac:dyDescent="0.25">
      <c r="A1442" t="s">
        <v>13026</v>
      </c>
      <c r="B1442" t="s">
        <v>13019</v>
      </c>
      <c r="C1442" t="s">
        <v>13020</v>
      </c>
      <c r="D1442">
        <v>2019</v>
      </c>
      <c r="E1442" t="s">
        <v>2492</v>
      </c>
      <c r="F1442" t="s">
        <v>13027</v>
      </c>
    </row>
    <row r="1443" spans="1:6" x14ac:dyDescent="0.25">
      <c r="A1443" t="s">
        <v>13028</v>
      </c>
      <c r="B1443" t="s">
        <v>13019</v>
      </c>
      <c r="C1443" t="s">
        <v>13020</v>
      </c>
      <c r="D1443">
        <v>2019</v>
      </c>
      <c r="E1443" t="s">
        <v>2492</v>
      </c>
      <c r="F1443" t="s">
        <v>13029</v>
      </c>
    </row>
    <row r="1444" spans="1:6" x14ac:dyDescent="0.25">
      <c r="A1444" t="s">
        <v>13030</v>
      </c>
      <c r="B1444" t="s">
        <v>13019</v>
      </c>
      <c r="C1444" t="s">
        <v>13020</v>
      </c>
      <c r="D1444">
        <v>2019</v>
      </c>
      <c r="E1444" t="s">
        <v>2492</v>
      </c>
      <c r="F1444" t="s">
        <v>13031</v>
      </c>
    </row>
    <row r="1445" spans="1:6" x14ac:dyDescent="0.25">
      <c r="A1445" t="s">
        <v>13032</v>
      </c>
      <c r="B1445" t="s">
        <v>13019</v>
      </c>
      <c r="C1445" t="s">
        <v>13020</v>
      </c>
      <c r="D1445">
        <v>2019</v>
      </c>
      <c r="E1445" t="s">
        <v>2492</v>
      </c>
      <c r="F1445" t="s">
        <v>13033</v>
      </c>
    </row>
    <row r="1446" spans="1:6" x14ac:dyDescent="0.25">
      <c r="A1446" t="s">
        <v>13034</v>
      </c>
      <c r="B1446" t="s">
        <v>13019</v>
      </c>
      <c r="C1446" t="s">
        <v>13020</v>
      </c>
      <c r="D1446">
        <v>2019</v>
      </c>
      <c r="E1446" t="s">
        <v>2492</v>
      </c>
      <c r="F1446" t="s">
        <v>13035</v>
      </c>
    </row>
    <row r="1447" spans="1:6" x14ac:dyDescent="0.25">
      <c r="A1447" t="s">
        <v>13036</v>
      </c>
      <c r="B1447" t="s">
        <v>13019</v>
      </c>
      <c r="C1447" t="s">
        <v>13020</v>
      </c>
      <c r="D1447">
        <v>2019</v>
      </c>
      <c r="E1447" t="s">
        <v>2492</v>
      </c>
      <c r="F1447" t="s">
        <v>13037</v>
      </c>
    </row>
    <row r="1448" spans="1:6" x14ac:dyDescent="0.25">
      <c r="A1448" t="s">
        <v>13038</v>
      </c>
      <c r="B1448" t="s">
        <v>13019</v>
      </c>
      <c r="C1448" t="s">
        <v>13020</v>
      </c>
      <c r="D1448">
        <v>2019</v>
      </c>
      <c r="E1448" t="s">
        <v>2492</v>
      </c>
      <c r="F1448" t="s">
        <v>13039</v>
      </c>
    </row>
    <row r="1449" spans="1:6" x14ac:dyDescent="0.25">
      <c r="A1449" t="s">
        <v>13040</v>
      </c>
      <c r="B1449" t="s">
        <v>13019</v>
      </c>
      <c r="C1449" t="s">
        <v>13020</v>
      </c>
      <c r="D1449">
        <v>2019</v>
      </c>
      <c r="E1449" t="s">
        <v>2492</v>
      </c>
      <c r="F1449" t="s">
        <v>13041</v>
      </c>
    </row>
    <row r="1450" spans="1:6" x14ac:dyDescent="0.25">
      <c r="A1450" t="s">
        <v>13042</v>
      </c>
      <c r="B1450" t="s">
        <v>13019</v>
      </c>
      <c r="C1450" t="s">
        <v>13020</v>
      </c>
      <c r="D1450">
        <v>2019</v>
      </c>
      <c r="E1450" t="s">
        <v>2492</v>
      </c>
      <c r="F1450" t="s">
        <v>13043</v>
      </c>
    </row>
    <row r="1451" spans="1:6" x14ac:dyDescent="0.25">
      <c r="A1451" t="s">
        <v>13044</v>
      </c>
      <c r="B1451" t="s">
        <v>13019</v>
      </c>
      <c r="C1451" t="s">
        <v>13020</v>
      </c>
      <c r="D1451">
        <v>2019</v>
      </c>
      <c r="E1451" t="s">
        <v>2492</v>
      </c>
      <c r="F1451" t="s">
        <v>13045</v>
      </c>
    </row>
    <row r="1452" spans="1:6" x14ac:dyDescent="0.25">
      <c r="A1452" t="s">
        <v>13046</v>
      </c>
      <c r="B1452" t="s">
        <v>13019</v>
      </c>
      <c r="C1452" t="s">
        <v>13020</v>
      </c>
      <c r="D1452">
        <v>2019</v>
      </c>
      <c r="E1452" t="s">
        <v>2492</v>
      </c>
      <c r="F1452" t="s">
        <v>13047</v>
      </c>
    </row>
    <row r="1453" spans="1:6" x14ac:dyDescent="0.25">
      <c r="A1453" t="s">
        <v>13048</v>
      </c>
      <c r="B1453" t="s">
        <v>13019</v>
      </c>
      <c r="C1453" t="s">
        <v>13020</v>
      </c>
      <c r="D1453">
        <v>2019</v>
      </c>
      <c r="E1453" t="s">
        <v>2492</v>
      </c>
      <c r="F1453" t="s">
        <v>13049</v>
      </c>
    </row>
    <row r="1454" spans="1:6" x14ac:dyDescent="0.25">
      <c r="A1454" t="s">
        <v>13050</v>
      </c>
      <c r="B1454" t="s">
        <v>13019</v>
      </c>
      <c r="C1454" t="s">
        <v>13020</v>
      </c>
      <c r="D1454">
        <v>2019</v>
      </c>
      <c r="E1454" t="s">
        <v>2492</v>
      </c>
      <c r="F1454" t="s">
        <v>13051</v>
      </c>
    </row>
    <row r="1455" spans="1:6" x14ac:dyDescent="0.25">
      <c r="A1455" t="s">
        <v>13052</v>
      </c>
      <c r="B1455" t="s">
        <v>13019</v>
      </c>
      <c r="C1455" t="s">
        <v>13020</v>
      </c>
      <c r="D1455">
        <v>2019</v>
      </c>
      <c r="E1455" t="s">
        <v>2492</v>
      </c>
      <c r="F1455" t="s">
        <v>13053</v>
      </c>
    </row>
    <row r="1456" spans="1:6" x14ac:dyDescent="0.25">
      <c r="A1456" t="s">
        <v>13054</v>
      </c>
      <c r="B1456" t="s">
        <v>13019</v>
      </c>
      <c r="C1456" t="s">
        <v>13020</v>
      </c>
      <c r="D1456">
        <v>2019</v>
      </c>
      <c r="E1456" t="s">
        <v>2492</v>
      </c>
      <c r="F1456" t="s">
        <v>13055</v>
      </c>
    </row>
    <row r="1457" spans="1:6" x14ac:dyDescent="0.25">
      <c r="A1457" t="s">
        <v>13056</v>
      </c>
      <c r="B1457" t="s">
        <v>13019</v>
      </c>
      <c r="C1457" t="s">
        <v>13020</v>
      </c>
      <c r="D1457">
        <v>2019</v>
      </c>
      <c r="E1457" t="s">
        <v>2492</v>
      </c>
      <c r="F1457" t="s">
        <v>13057</v>
      </c>
    </row>
    <row r="1458" spans="1:6" x14ac:dyDescent="0.25">
      <c r="A1458" t="s">
        <v>13058</v>
      </c>
      <c r="B1458" t="s">
        <v>13019</v>
      </c>
      <c r="C1458" t="s">
        <v>13020</v>
      </c>
      <c r="D1458">
        <v>2019</v>
      </c>
      <c r="E1458" t="s">
        <v>2492</v>
      </c>
      <c r="F1458" t="s">
        <v>13059</v>
      </c>
    </row>
    <row r="1459" spans="1:6" x14ac:dyDescent="0.25">
      <c r="A1459" t="s">
        <v>13060</v>
      </c>
      <c r="B1459" t="s">
        <v>13019</v>
      </c>
      <c r="C1459" t="s">
        <v>13020</v>
      </c>
      <c r="D1459">
        <v>2019</v>
      </c>
      <c r="E1459" t="s">
        <v>2492</v>
      </c>
      <c r="F1459" t="s">
        <v>13061</v>
      </c>
    </row>
    <row r="1460" spans="1:6" x14ac:dyDescent="0.25">
      <c r="A1460" t="s">
        <v>13062</v>
      </c>
      <c r="B1460" t="s">
        <v>13019</v>
      </c>
      <c r="C1460" t="s">
        <v>13020</v>
      </c>
      <c r="D1460">
        <v>2019</v>
      </c>
      <c r="E1460" t="s">
        <v>2492</v>
      </c>
      <c r="F1460" t="s">
        <v>13063</v>
      </c>
    </row>
    <row r="1461" spans="1:6" x14ac:dyDescent="0.25">
      <c r="A1461" t="s">
        <v>2663</v>
      </c>
      <c r="B1461" t="s">
        <v>13064</v>
      </c>
      <c r="C1461" t="s">
        <v>13065</v>
      </c>
      <c r="D1461">
        <v>2025</v>
      </c>
      <c r="E1461" t="s">
        <v>2663</v>
      </c>
      <c r="F1461" t="s">
        <v>13066</v>
      </c>
    </row>
    <row r="1462" spans="1:6" x14ac:dyDescent="0.25">
      <c r="A1462" t="s">
        <v>13067</v>
      </c>
      <c r="B1462" t="s">
        <v>13064</v>
      </c>
      <c r="C1462" t="s">
        <v>13065</v>
      </c>
      <c r="D1462">
        <v>2025</v>
      </c>
      <c r="E1462" t="s">
        <v>2663</v>
      </c>
      <c r="F1462" t="s">
        <v>13068</v>
      </c>
    </row>
    <row r="1463" spans="1:6" x14ac:dyDescent="0.25">
      <c r="A1463" t="s">
        <v>13069</v>
      </c>
      <c r="B1463" t="s">
        <v>13064</v>
      </c>
      <c r="C1463" t="s">
        <v>13065</v>
      </c>
      <c r="D1463">
        <v>2025</v>
      </c>
      <c r="E1463" t="s">
        <v>2663</v>
      </c>
      <c r="F1463" t="s">
        <v>13070</v>
      </c>
    </row>
    <row r="1464" spans="1:6" x14ac:dyDescent="0.25">
      <c r="A1464" t="s">
        <v>13071</v>
      </c>
      <c r="B1464" t="s">
        <v>13064</v>
      </c>
      <c r="C1464" t="s">
        <v>13065</v>
      </c>
      <c r="D1464">
        <v>2025</v>
      </c>
      <c r="E1464" t="s">
        <v>2663</v>
      </c>
      <c r="F1464" t="s">
        <v>13072</v>
      </c>
    </row>
    <row r="1465" spans="1:6" x14ac:dyDescent="0.25">
      <c r="A1465" t="s">
        <v>13073</v>
      </c>
      <c r="B1465" t="s">
        <v>13064</v>
      </c>
      <c r="C1465" t="s">
        <v>13065</v>
      </c>
      <c r="D1465">
        <v>2025</v>
      </c>
      <c r="E1465" t="s">
        <v>2663</v>
      </c>
      <c r="F1465" t="s">
        <v>13074</v>
      </c>
    </row>
    <row r="1466" spans="1:6" x14ac:dyDescent="0.25">
      <c r="A1466" t="s">
        <v>13075</v>
      </c>
      <c r="B1466" t="s">
        <v>13064</v>
      </c>
      <c r="C1466" t="s">
        <v>13065</v>
      </c>
      <c r="D1466">
        <v>2025</v>
      </c>
      <c r="E1466" t="s">
        <v>2663</v>
      </c>
      <c r="F1466" t="s">
        <v>13076</v>
      </c>
    </row>
    <row r="1467" spans="1:6" x14ac:dyDescent="0.25">
      <c r="A1467" t="s">
        <v>13077</v>
      </c>
      <c r="B1467" t="s">
        <v>13064</v>
      </c>
      <c r="C1467" t="s">
        <v>13065</v>
      </c>
      <c r="D1467">
        <v>2025</v>
      </c>
      <c r="E1467" t="s">
        <v>2663</v>
      </c>
      <c r="F1467" t="s">
        <v>13078</v>
      </c>
    </row>
    <row r="1468" spans="1:6" x14ac:dyDescent="0.25">
      <c r="A1468" t="s">
        <v>13079</v>
      </c>
      <c r="B1468" t="s">
        <v>13064</v>
      </c>
      <c r="C1468" t="s">
        <v>13065</v>
      </c>
      <c r="D1468">
        <v>2025</v>
      </c>
      <c r="E1468" t="s">
        <v>2663</v>
      </c>
      <c r="F1468" t="s">
        <v>13080</v>
      </c>
    </row>
    <row r="1469" spans="1:6" x14ac:dyDescent="0.25">
      <c r="A1469" t="s">
        <v>13081</v>
      </c>
      <c r="B1469" t="s">
        <v>13064</v>
      </c>
      <c r="C1469" t="s">
        <v>13065</v>
      </c>
      <c r="D1469">
        <v>2025</v>
      </c>
      <c r="E1469" t="s">
        <v>2663</v>
      </c>
      <c r="F1469" t="s">
        <v>13082</v>
      </c>
    </row>
    <row r="1470" spans="1:6" x14ac:dyDescent="0.25">
      <c r="A1470" t="s">
        <v>13083</v>
      </c>
      <c r="B1470" t="s">
        <v>13064</v>
      </c>
      <c r="C1470" t="s">
        <v>13065</v>
      </c>
      <c r="D1470">
        <v>2025</v>
      </c>
      <c r="E1470" t="s">
        <v>2663</v>
      </c>
      <c r="F1470" t="s">
        <v>13084</v>
      </c>
    </row>
    <row r="1471" spans="1:6" x14ac:dyDescent="0.25">
      <c r="A1471" t="s">
        <v>13085</v>
      </c>
      <c r="B1471" t="s">
        <v>13064</v>
      </c>
      <c r="C1471" t="s">
        <v>13065</v>
      </c>
      <c r="D1471">
        <v>2025</v>
      </c>
      <c r="E1471" t="s">
        <v>2663</v>
      </c>
      <c r="F1471" t="s">
        <v>13086</v>
      </c>
    </row>
    <row r="1472" spans="1:6" x14ac:dyDescent="0.25">
      <c r="A1472" t="s">
        <v>13087</v>
      </c>
      <c r="B1472" t="s">
        <v>13064</v>
      </c>
      <c r="C1472" t="s">
        <v>13065</v>
      </c>
      <c r="D1472">
        <v>2025</v>
      </c>
      <c r="E1472" t="s">
        <v>2663</v>
      </c>
      <c r="F1472" t="s">
        <v>13088</v>
      </c>
    </row>
    <row r="1473" spans="1:6" x14ac:dyDescent="0.25">
      <c r="A1473" t="s">
        <v>13089</v>
      </c>
      <c r="B1473" t="s">
        <v>13064</v>
      </c>
      <c r="C1473" t="s">
        <v>13065</v>
      </c>
      <c r="D1473">
        <v>2025</v>
      </c>
      <c r="E1473" t="s">
        <v>2663</v>
      </c>
      <c r="F1473" t="s">
        <v>13090</v>
      </c>
    </row>
    <row r="1474" spans="1:6" x14ac:dyDescent="0.25">
      <c r="A1474" t="s">
        <v>13091</v>
      </c>
      <c r="B1474" t="s">
        <v>13064</v>
      </c>
      <c r="C1474" t="s">
        <v>13065</v>
      </c>
      <c r="D1474">
        <v>2025</v>
      </c>
      <c r="E1474" t="s">
        <v>2663</v>
      </c>
      <c r="F1474" t="s">
        <v>13092</v>
      </c>
    </row>
    <row r="1475" spans="1:6" x14ac:dyDescent="0.25">
      <c r="A1475" t="s">
        <v>13093</v>
      </c>
      <c r="B1475" t="s">
        <v>13064</v>
      </c>
      <c r="C1475" t="s">
        <v>13065</v>
      </c>
      <c r="D1475">
        <v>2025</v>
      </c>
      <c r="E1475" t="s">
        <v>2663</v>
      </c>
      <c r="F1475" t="s">
        <v>13094</v>
      </c>
    </row>
    <row r="1476" spans="1:6" x14ac:dyDescent="0.25">
      <c r="A1476" t="s">
        <v>13095</v>
      </c>
      <c r="B1476" t="s">
        <v>13064</v>
      </c>
      <c r="C1476" t="s">
        <v>13065</v>
      </c>
      <c r="D1476">
        <v>2025</v>
      </c>
      <c r="E1476" t="s">
        <v>2663</v>
      </c>
      <c r="F1476" t="s">
        <v>13096</v>
      </c>
    </row>
    <row r="1477" spans="1:6" x14ac:dyDescent="0.25">
      <c r="A1477" t="s">
        <v>13097</v>
      </c>
      <c r="B1477" t="s">
        <v>13064</v>
      </c>
      <c r="C1477" t="s">
        <v>13065</v>
      </c>
      <c r="D1477">
        <v>2025</v>
      </c>
      <c r="E1477" t="s">
        <v>2663</v>
      </c>
      <c r="F1477" t="s">
        <v>13098</v>
      </c>
    </row>
    <row r="1478" spans="1:6" x14ac:dyDescent="0.25">
      <c r="A1478" t="s">
        <v>13099</v>
      </c>
      <c r="B1478" t="s">
        <v>13064</v>
      </c>
      <c r="C1478" t="s">
        <v>13065</v>
      </c>
      <c r="D1478">
        <v>2025</v>
      </c>
      <c r="E1478" t="s">
        <v>2663</v>
      </c>
      <c r="F1478" t="s">
        <v>13100</v>
      </c>
    </row>
    <row r="1479" spans="1:6" x14ac:dyDescent="0.25">
      <c r="A1479" t="s">
        <v>13101</v>
      </c>
      <c r="B1479" t="s">
        <v>13064</v>
      </c>
      <c r="C1479" t="s">
        <v>13065</v>
      </c>
      <c r="D1479">
        <v>2025</v>
      </c>
      <c r="E1479" t="s">
        <v>2663</v>
      </c>
      <c r="F1479" t="s">
        <v>13102</v>
      </c>
    </row>
    <row r="1480" spans="1:6" x14ac:dyDescent="0.25">
      <c r="A1480" t="s">
        <v>13103</v>
      </c>
      <c r="B1480" t="s">
        <v>13064</v>
      </c>
      <c r="C1480" t="s">
        <v>13065</v>
      </c>
      <c r="D1480">
        <v>2025</v>
      </c>
      <c r="E1480" t="s">
        <v>2663</v>
      </c>
      <c r="F1480" t="s">
        <v>13104</v>
      </c>
    </row>
    <row r="1481" spans="1:6" x14ac:dyDescent="0.25">
      <c r="A1481" t="s">
        <v>13105</v>
      </c>
      <c r="B1481" t="s">
        <v>13064</v>
      </c>
      <c r="C1481" t="s">
        <v>13065</v>
      </c>
      <c r="D1481">
        <v>2025</v>
      </c>
      <c r="E1481" t="s">
        <v>2663</v>
      </c>
      <c r="F1481" t="s">
        <v>13106</v>
      </c>
    </row>
    <row r="1482" spans="1:6" x14ac:dyDescent="0.25">
      <c r="A1482" t="s">
        <v>13107</v>
      </c>
      <c r="B1482" t="s">
        <v>13064</v>
      </c>
      <c r="C1482" t="s">
        <v>13065</v>
      </c>
      <c r="D1482">
        <v>2025</v>
      </c>
      <c r="E1482" t="s">
        <v>2663</v>
      </c>
      <c r="F1482" t="s">
        <v>13108</v>
      </c>
    </row>
    <row r="1483" spans="1:6" x14ac:dyDescent="0.25">
      <c r="A1483" t="s">
        <v>13109</v>
      </c>
      <c r="B1483" t="s">
        <v>13064</v>
      </c>
      <c r="C1483" t="s">
        <v>13065</v>
      </c>
      <c r="D1483">
        <v>2025</v>
      </c>
      <c r="E1483" t="s">
        <v>2663</v>
      </c>
      <c r="F1483" t="s">
        <v>13110</v>
      </c>
    </row>
    <row r="1484" spans="1:6" x14ac:dyDescent="0.25">
      <c r="A1484" t="s">
        <v>13111</v>
      </c>
      <c r="B1484" t="s">
        <v>13064</v>
      </c>
      <c r="C1484" t="s">
        <v>13065</v>
      </c>
      <c r="D1484">
        <v>2025</v>
      </c>
      <c r="E1484" t="s">
        <v>2663</v>
      </c>
      <c r="F1484" t="s">
        <v>13112</v>
      </c>
    </row>
    <row r="1485" spans="1:6" x14ac:dyDescent="0.25">
      <c r="A1485" t="s">
        <v>13113</v>
      </c>
      <c r="B1485" t="s">
        <v>12141</v>
      </c>
      <c r="C1485" t="s">
        <v>13114</v>
      </c>
      <c r="D1485">
        <v>2020</v>
      </c>
      <c r="E1485" t="s">
        <v>333</v>
      </c>
      <c r="F1485" t="s">
        <v>13115</v>
      </c>
    </row>
    <row r="1486" spans="1:6" x14ac:dyDescent="0.25">
      <c r="A1486" t="s">
        <v>13116</v>
      </c>
      <c r="B1486" t="s">
        <v>12141</v>
      </c>
      <c r="C1486" t="s">
        <v>13114</v>
      </c>
      <c r="D1486">
        <v>2020</v>
      </c>
      <c r="E1486" t="s">
        <v>333</v>
      </c>
      <c r="F1486" t="s">
        <v>13117</v>
      </c>
    </row>
    <row r="1487" spans="1:6" x14ac:dyDescent="0.25">
      <c r="A1487" t="s">
        <v>13118</v>
      </c>
      <c r="B1487" t="s">
        <v>12141</v>
      </c>
      <c r="C1487" t="s">
        <v>13114</v>
      </c>
      <c r="D1487">
        <v>2020</v>
      </c>
      <c r="E1487" t="s">
        <v>333</v>
      </c>
      <c r="F1487" t="s">
        <v>13119</v>
      </c>
    </row>
    <row r="1488" spans="1:6" x14ac:dyDescent="0.25">
      <c r="A1488" t="s">
        <v>13120</v>
      </c>
      <c r="B1488" t="s">
        <v>12141</v>
      </c>
      <c r="C1488" t="s">
        <v>13114</v>
      </c>
      <c r="D1488">
        <v>2020</v>
      </c>
      <c r="E1488" t="s">
        <v>333</v>
      </c>
      <c r="F1488" t="s">
        <v>13121</v>
      </c>
    </row>
    <row r="1489" spans="1:6" x14ac:dyDescent="0.25">
      <c r="A1489" t="s">
        <v>13122</v>
      </c>
      <c r="B1489" t="s">
        <v>12141</v>
      </c>
      <c r="C1489" t="s">
        <v>13114</v>
      </c>
      <c r="D1489">
        <v>2020</v>
      </c>
      <c r="E1489" t="s">
        <v>333</v>
      </c>
      <c r="F1489" t="s">
        <v>13123</v>
      </c>
    </row>
    <row r="1490" spans="1:6" x14ac:dyDescent="0.25">
      <c r="A1490" t="s">
        <v>13124</v>
      </c>
      <c r="B1490" t="s">
        <v>12141</v>
      </c>
      <c r="C1490" t="s">
        <v>13114</v>
      </c>
      <c r="D1490">
        <v>2020</v>
      </c>
      <c r="E1490" t="s">
        <v>333</v>
      </c>
      <c r="F1490" t="s">
        <v>13125</v>
      </c>
    </row>
    <row r="1491" spans="1:6" x14ac:dyDescent="0.25">
      <c r="A1491" t="s">
        <v>13126</v>
      </c>
      <c r="B1491" t="s">
        <v>12141</v>
      </c>
      <c r="C1491" t="s">
        <v>13114</v>
      </c>
      <c r="D1491">
        <v>2020</v>
      </c>
      <c r="E1491" t="s">
        <v>333</v>
      </c>
      <c r="F1491" t="s">
        <v>13127</v>
      </c>
    </row>
    <row r="1492" spans="1:6" x14ac:dyDescent="0.25">
      <c r="A1492" t="s">
        <v>13128</v>
      </c>
      <c r="B1492" t="s">
        <v>12141</v>
      </c>
      <c r="C1492" t="s">
        <v>13114</v>
      </c>
      <c r="D1492">
        <v>2020</v>
      </c>
      <c r="E1492" t="s">
        <v>333</v>
      </c>
      <c r="F1492" t="s">
        <v>13129</v>
      </c>
    </row>
    <row r="1493" spans="1:6" x14ac:dyDescent="0.25">
      <c r="A1493" t="s">
        <v>4387</v>
      </c>
      <c r="B1493" t="s">
        <v>12141</v>
      </c>
      <c r="C1493" t="s">
        <v>13114</v>
      </c>
      <c r="D1493">
        <v>2020</v>
      </c>
      <c r="E1493" t="s">
        <v>333</v>
      </c>
      <c r="F1493" t="s">
        <v>13130</v>
      </c>
    </row>
    <row r="1494" spans="1:6" x14ac:dyDescent="0.25">
      <c r="A1494" t="s">
        <v>13131</v>
      </c>
      <c r="B1494" t="s">
        <v>12141</v>
      </c>
      <c r="C1494" t="s">
        <v>13114</v>
      </c>
      <c r="D1494">
        <v>2020</v>
      </c>
      <c r="E1494" t="s">
        <v>333</v>
      </c>
      <c r="F1494" t="s">
        <v>13132</v>
      </c>
    </row>
    <row r="1495" spans="1:6" x14ac:dyDescent="0.25">
      <c r="A1495" t="s">
        <v>13133</v>
      </c>
      <c r="B1495" t="s">
        <v>12141</v>
      </c>
      <c r="C1495" t="s">
        <v>13114</v>
      </c>
      <c r="D1495">
        <v>2020</v>
      </c>
      <c r="E1495" t="s">
        <v>333</v>
      </c>
      <c r="F1495" t="s">
        <v>13134</v>
      </c>
    </row>
    <row r="1496" spans="1:6" x14ac:dyDescent="0.25">
      <c r="A1496" t="s">
        <v>13135</v>
      </c>
      <c r="B1496" t="s">
        <v>12141</v>
      </c>
      <c r="C1496" t="s">
        <v>13114</v>
      </c>
      <c r="D1496">
        <v>2020</v>
      </c>
      <c r="E1496" t="s">
        <v>333</v>
      </c>
      <c r="F1496" t="s">
        <v>13136</v>
      </c>
    </row>
    <row r="1497" spans="1:6" x14ac:dyDescent="0.25">
      <c r="A1497" t="s">
        <v>13137</v>
      </c>
      <c r="B1497" t="s">
        <v>12141</v>
      </c>
      <c r="C1497" t="s">
        <v>13114</v>
      </c>
      <c r="D1497">
        <v>2020</v>
      </c>
      <c r="E1497" t="s">
        <v>333</v>
      </c>
      <c r="F1497" t="s">
        <v>13138</v>
      </c>
    </row>
    <row r="1498" spans="1:6" x14ac:dyDescent="0.25">
      <c r="A1498" t="s">
        <v>13139</v>
      </c>
      <c r="B1498" t="s">
        <v>12141</v>
      </c>
      <c r="C1498" t="s">
        <v>13114</v>
      </c>
      <c r="D1498">
        <v>2020</v>
      </c>
      <c r="E1498" t="s">
        <v>333</v>
      </c>
      <c r="F1498" t="s">
        <v>13140</v>
      </c>
    </row>
    <row r="1499" spans="1:6" x14ac:dyDescent="0.25">
      <c r="A1499" t="s">
        <v>13141</v>
      </c>
      <c r="B1499" t="s">
        <v>12141</v>
      </c>
      <c r="C1499" t="s">
        <v>13114</v>
      </c>
      <c r="D1499">
        <v>2020</v>
      </c>
      <c r="E1499" t="s">
        <v>333</v>
      </c>
      <c r="F1499" t="s">
        <v>13142</v>
      </c>
    </row>
    <row r="1500" spans="1:6" x14ac:dyDescent="0.25">
      <c r="A1500" t="s">
        <v>13143</v>
      </c>
      <c r="B1500" t="s">
        <v>12141</v>
      </c>
      <c r="C1500" t="s">
        <v>13114</v>
      </c>
      <c r="D1500">
        <v>2020</v>
      </c>
      <c r="E1500" t="s">
        <v>333</v>
      </c>
      <c r="F1500" t="s">
        <v>13144</v>
      </c>
    </row>
    <row r="1501" spans="1:6" x14ac:dyDescent="0.25">
      <c r="A1501" t="s">
        <v>13145</v>
      </c>
      <c r="B1501" t="s">
        <v>12141</v>
      </c>
      <c r="C1501" t="s">
        <v>13114</v>
      </c>
      <c r="D1501">
        <v>2020</v>
      </c>
      <c r="E1501" t="s">
        <v>333</v>
      </c>
      <c r="F1501" t="s">
        <v>13146</v>
      </c>
    </row>
    <row r="1502" spans="1:6" x14ac:dyDescent="0.25">
      <c r="A1502" t="s">
        <v>13147</v>
      </c>
      <c r="B1502" t="s">
        <v>12141</v>
      </c>
      <c r="C1502" t="s">
        <v>13114</v>
      </c>
      <c r="D1502">
        <v>2020</v>
      </c>
      <c r="E1502" t="s">
        <v>333</v>
      </c>
      <c r="F1502" t="s">
        <v>13148</v>
      </c>
    </row>
    <row r="1503" spans="1:6" x14ac:dyDescent="0.25">
      <c r="A1503" t="s">
        <v>13149</v>
      </c>
      <c r="B1503" t="s">
        <v>12141</v>
      </c>
      <c r="C1503" t="s">
        <v>13114</v>
      </c>
      <c r="D1503">
        <v>2020</v>
      </c>
      <c r="E1503" t="s">
        <v>333</v>
      </c>
      <c r="F1503" t="s">
        <v>13150</v>
      </c>
    </row>
    <row r="1504" spans="1:6" x14ac:dyDescent="0.25">
      <c r="A1504" t="s">
        <v>13151</v>
      </c>
      <c r="B1504" t="s">
        <v>12141</v>
      </c>
      <c r="C1504" t="s">
        <v>13114</v>
      </c>
      <c r="D1504">
        <v>2020</v>
      </c>
      <c r="E1504" t="s">
        <v>333</v>
      </c>
      <c r="F1504" t="s">
        <v>13152</v>
      </c>
    </row>
    <row r="1505" spans="1:6" x14ac:dyDescent="0.25">
      <c r="A1505" t="s">
        <v>13153</v>
      </c>
      <c r="B1505" t="s">
        <v>12141</v>
      </c>
      <c r="C1505" t="s">
        <v>13114</v>
      </c>
      <c r="D1505">
        <v>2020</v>
      </c>
      <c r="E1505" t="s">
        <v>333</v>
      </c>
      <c r="F1505" t="s">
        <v>13154</v>
      </c>
    </row>
    <row r="1506" spans="1:6" x14ac:dyDescent="0.25">
      <c r="A1506" t="s">
        <v>13155</v>
      </c>
      <c r="B1506" t="s">
        <v>12141</v>
      </c>
      <c r="C1506" t="s">
        <v>13114</v>
      </c>
      <c r="D1506">
        <v>2020</v>
      </c>
      <c r="E1506" t="s">
        <v>333</v>
      </c>
      <c r="F1506" t="s">
        <v>13156</v>
      </c>
    </row>
    <row r="1507" spans="1:6" x14ac:dyDescent="0.25">
      <c r="A1507" t="s">
        <v>10904</v>
      </c>
      <c r="B1507" t="s">
        <v>12141</v>
      </c>
      <c r="C1507" t="s">
        <v>13114</v>
      </c>
      <c r="D1507">
        <v>2020</v>
      </c>
      <c r="E1507" t="s">
        <v>333</v>
      </c>
      <c r="F1507" t="s">
        <v>13157</v>
      </c>
    </row>
    <row r="1508" spans="1:6" x14ac:dyDescent="0.25">
      <c r="A1508" t="s">
        <v>13158</v>
      </c>
      <c r="B1508" t="s">
        <v>12141</v>
      </c>
      <c r="C1508" t="s">
        <v>13114</v>
      </c>
      <c r="D1508">
        <v>2020</v>
      </c>
      <c r="E1508" t="s">
        <v>333</v>
      </c>
      <c r="F1508" t="s">
        <v>13159</v>
      </c>
    </row>
    <row r="1509" spans="1:6" x14ac:dyDescent="0.25">
      <c r="A1509" t="s">
        <v>13160</v>
      </c>
      <c r="B1509" t="s">
        <v>12141</v>
      </c>
      <c r="C1509" t="s">
        <v>13114</v>
      </c>
      <c r="D1509">
        <v>2020</v>
      </c>
      <c r="E1509" t="s">
        <v>333</v>
      </c>
      <c r="F1509" t="s">
        <v>13161</v>
      </c>
    </row>
    <row r="1510" spans="1:6" x14ac:dyDescent="0.25">
      <c r="A1510" t="s">
        <v>13162</v>
      </c>
      <c r="B1510" t="s">
        <v>12141</v>
      </c>
      <c r="C1510" t="s">
        <v>13114</v>
      </c>
      <c r="D1510">
        <v>2020</v>
      </c>
      <c r="E1510" t="s">
        <v>333</v>
      </c>
      <c r="F1510" t="s">
        <v>13163</v>
      </c>
    </row>
    <row r="1511" spans="1:6" x14ac:dyDescent="0.25">
      <c r="A1511" t="s">
        <v>13164</v>
      </c>
      <c r="B1511" t="s">
        <v>12141</v>
      </c>
      <c r="C1511" t="s">
        <v>13114</v>
      </c>
      <c r="D1511">
        <v>2020</v>
      </c>
      <c r="E1511" t="s">
        <v>333</v>
      </c>
      <c r="F1511" t="s">
        <v>13165</v>
      </c>
    </row>
    <row r="1512" spans="1:6" x14ac:dyDescent="0.25">
      <c r="A1512" t="s">
        <v>13166</v>
      </c>
      <c r="B1512" t="s">
        <v>12141</v>
      </c>
      <c r="C1512" t="s">
        <v>13114</v>
      </c>
      <c r="D1512">
        <v>2020</v>
      </c>
      <c r="E1512" t="s">
        <v>333</v>
      </c>
      <c r="F1512" t="s">
        <v>13167</v>
      </c>
    </row>
    <row r="1513" spans="1:6" x14ac:dyDescent="0.25">
      <c r="A1513" t="s">
        <v>13168</v>
      </c>
      <c r="B1513" t="s">
        <v>12141</v>
      </c>
      <c r="C1513" t="s">
        <v>13114</v>
      </c>
      <c r="D1513">
        <v>2020</v>
      </c>
      <c r="E1513" t="s">
        <v>333</v>
      </c>
      <c r="F1513" t="s">
        <v>13169</v>
      </c>
    </row>
    <row r="1514" spans="1:6" x14ac:dyDescent="0.25">
      <c r="A1514" t="s">
        <v>13170</v>
      </c>
      <c r="B1514" t="s">
        <v>12141</v>
      </c>
      <c r="C1514" t="s">
        <v>13114</v>
      </c>
      <c r="D1514">
        <v>2020</v>
      </c>
      <c r="E1514" t="s">
        <v>333</v>
      </c>
      <c r="F1514" t="s">
        <v>13171</v>
      </c>
    </row>
    <row r="1515" spans="1:6" x14ac:dyDescent="0.25">
      <c r="A1515" t="s">
        <v>13172</v>
      </c>
      <c r="B1515" t="s">
        <v>12141</v>
      </c>
      <c r="C1515" t="s">
        <v>13114</v>
      </c>
      <c r="D1515">
        <v>2020</v>
      </c>
      <c r="E1515" t="s">
        <v>333</v>
      </c>
      <c r="F1515" t="s">
        <v>13173</v>
      </c>
    </row>
    <row r="1516" spans="1:6" x14ac:dyDescent="0.25">
      <c r="A1516" t="s">
        <v>13174</v>
      </c>
      <c r="B1516" t="s">
        <v>12141</v>
      </c>
      <c r="C1516" t="s">
        <v>13114</v>
      </c>
      <c r="D1516">
        <v>2020</v>
      </c>
      <c r="E1516" t="s">
        <v>333</v>
      </c>
      <c r="F1516" t="s">
        <v>13175</v>
      </c>
    </row>
    <row r="1517" spans="1:6" x14ac:dyDescent="0.25">
      <c r="A1517" t="s">
        <v>13176</v>
      </c>
      <c r="B1517" t="s">
        <v>12141</v>
      </c>
      <c r="C1517" t="s">
        <v>13114</v>
      </c>
      <c r="D1517">
        <v>2020</v>
      </c>
      <c r="E1517" t="s">
        <v>333</v>
      </c>
      <c r="F1517" t="s">
        <v>13177</v>
      </c>
    </row>
    <row r="1518" spans="1:6" x14ac:dyDescent="0.25">
      <c r="A1518" t="s">
        <v>13178</v>
      </c>
      <c r="B1518" t="s">
        <v>12141</v>
      </c>
      <c r="C1518" t="s">
        <v>13114</v>
      </c>
      <c r="D1518">
        <v>2020</v>
      </c>
      <c r="E1518" t="s">
        <v>333</v>
      </c>
      <c r="F1518" t="s">
        <v>13179</v>
      </c>
    </row>
    <row r="1519" spans="1:6" x14ac:dyDescent="0.25">
      <c r="A1519" t="s">
        <v>13180</v>
      </c>
      <c r="B1519" t="s">
        <v>12141</v>
      </c>
      <c r="C1519" t="s">
        <v>13114</v>
      </c>
      <c r="D1519">
        <v>2020</v>
      </c>
      <c r="E1519" t="s">
        <v>333</v>
      </c>
      <c r="F1519" t="s">
        <v>13181</v>
      </c>
    </row>
    <row r="1520" spans="1:6" x14ac:dyDescent="0.25">
      <c r="A1520" t="s">
        <v>13182</v>
      </c>
      <c r="B1520" t="s">
        <v>12141</v>
      </c>
      <c r="C1520" t="s">
        <v>13114</v>
      </c>
      <c r="D1520">
        <v>2020</v>
      </c>
      <c r="E1520" t="s">
        <v>333</v>
      </c>
      <c r="F1520" t="s">
        <v>13183</v>
      </c>
    </row>
    <row r="1521" spans="1:6" x14ac:dyDescent="0.25">
      <c r="A1521" t="s">
        <v>13184</v>
      </c>
      <c r="B1521" t="s">
        <v>12141</v>
      </c>
      <c r="C1521" t="s">
        <v>13114</v>
      </c>
      <c r="D1521">
        <v>2020</v>
      </c>
      <c r="E1521" t="s">
        <v>333</v>
      </c>
      <c r="F1521" t="s">
        <v>13185</v>
      </c>
    </row>
    <row r="1522" spans="1:6" x14ac:dyDescent="0.25">
      <c r="A1522" t="s">
        <v>13186</v>
      </c>
      <c r="B1522" t="s">
        <v>12141</v>
      </c>
      <c r="C1522" t="s">
        <v>13114</v>
      </c>
      <c r="D1522">
        <v>2020</v>
      </c>
      <c r="E1522" t="s">
        <v>333</v>
      </c>
      <c r="F1522" t="s">
        <v>13187</v>
      </c>
    </row>
    <row r="1523" spans="1:6" x14ac:dyDescent="0.25">
      <c r="A1523" t="s">
        <v>13188</v>
      </c>
      <c r="B1523" t="s">
        <v>12141</v>
      </c>
      <c r="C1523" t="s">
        <v>13114</v>
      </c>
      <c r="D1523">
        <v>2020</v>
      </c>
      <c r="E1523" t="s">
        <v>333</v>
      </c>
      <c r="F1523" t="s">
        <v>13189</v>
      </c>
    </row>
    <row r="1524" spans="1:6" x14ac:dyDescent="0.25">
      <c r="A1524" t="s">
        <v>13190</v>
      </c>
      <c r="B1524" t="s">
        <v>12141</v>
      </c>
      <c r="C1524" t="s">
        <v>13114</v>
      </c>
      <c r="D1524">
        <v>2020</v>
      </c>
      <c r="E1524" t="s">
        <v>333</v>
      </c>
      <c r="F1524" t="s">
        <v>13191</v>
      </c>
    </row>
    <row r="1525" spans="1:6" x14ac:dyDescent="0.25">
      <c r="A1525" t="s">
        <v>13192</v>
      </c>
      <c r="B1525" t="s">
        <v>12141</v>
      </c>
      <c r="C1525" t="s">
        <v>13114</v>
      </c>
      <c r="D1525">
        <v>2020</v>
      </c>
      <c r="E1525" t="s">
        <v>333</v>
      </c>
      <c r="F1525" t="s">
        <v>13193</v>
      </c>
    </row>
    <row r="1526" spans="1:6" x14ac:dyDescent="0.25">
      <c r="A1526" t="s">
        <v>13194</v>
      </c>
      <c r="B1526" t="s">
        <v>12141</v>
      </c>
      <c r="C1526" t="s">
        <v>13114</v>
      </c>
      <c r="D1526">
        <v>2021</v>
      </c>
      <c r="E1526" t="s">
        <v>333</v>
      </c>
      <c r="F1526" t="s">
        <v>13195</v>
      </c>
    </row>
    <row r="1527" spans="1:6" x14ac:dyDescent="0.25">
      <c r="A1527" t="s">
        <v>383</v>
      </c>
      <c r="B1527" t="s">
        <v>13196</v>
      </c>
      <c r="C1527" t="s">
        <v>13197</v>
      </c>
      <c r="D1527">
        <v>2017</v>
      </c>
      <c r="E1527" t="s">
        <v>383</v>
      </c>
      <c r="F1527" t="s">
        <v>13198</v>
      </c>
    </row>
    <row r="1528" spans="1:6" x14ac:dyDescent="0.25">
      <c r="A1528" t="s">
        <v>13199</v>
      </c>
      <c r="B1528" t="s">
        <v>13196</v>
      </c>
      <c r="C1528" t="s">
        <v>13197</v>
      </c>
      <c r="D1528">
        <v>2017</v>
      </c>
      <c r="E1528" t="s">
        <v>383</v>
      </c>
      <c r="F1528" t="s">
        <v>13200</v>
      </c>
    </row>
    <row r="1529" spans="1:6" x14ac:dyDescent="0.25">
      <c r="A1529" t="s">
        <v>13201</v>
      </c>
      <c r="B1529" t="s">
        <v>13196</v>
      </c>
      <c r="C1529" t="s">
        <v>13197</v>
      </c>
      <c r="D1529">
        <v>2017</v>
      </c>
      <c r="E1529" t="s">
        <v>383</v>
      </c>
      <c r="F1529" t="s">
        <v>13202</v>
      </c>
    </row>
    <row r="1530" spans="1:6" x14ac:dyDescent="0.25">
      <c r="A1530" t="s">
        <v>13203</v>
      </c>
      <c r="B1530" t="s">
        <v>13196</v>
      </c>
      <c r="C1530" t="s">
        <v>13197</v>
      </c>
      <c r="D1530">
        <v>2017</v>
      </c>
      <c r="E1530" t="s">
        <v>383</v>
      </c>
      <c r="F1530" t="s">
        <v>13204</v>
      </c>
    </row>
    <row r="1531" spans="1:6" x14ac:dyDescent="0.25">
      <c r="A1531" t="s">
        <v>13205</v>
      </c>
      <c r="B1531" t="s">
        <v>13196</v>
      </c>
      <c r="C1531" t="s">
        <v>13197</v>
      </c>
      <c r="D1531">
        <v>2017</v>
      </c>
      <c r="E1531" t="s">
        <v>383</v>
      </c>
      <c r="F1531" t="s">
        <v>13206</v>
      </c>
    </row>
    <row r="1532" spans="1:6" x14ac:dyDescent="0.25">
      <c r="A1532" t="s">
        <v>13207</v>
      </c>
      <c r="B1532" t="s">
        <v>13196</v>
      </c>
      <c r="C1532" t="s">
        <v>13197</v>
      </c>
      <c r="D1532">
        <v>2017</v>
      </c>
      <c r="E1532" t="s">
        <v>383</v>
      </c>
      <c r="F1532" t="s">
        <v>13208</v>
      </c>
    </row>
    <row r="1533" spans="1:6" x14ac:dyDescent="0.25">
      <c r="A1533" t="s">
        <v>13209</v>
      </c>
      <c r="B1533" t="s">
        <v>13196</v>
      </c>
      <c r="C1533" t="s">
        <v>13197</v>
      </c>
      <c r="D1533">
        <v>2017</v>
      </c>
      <c r="E1533" t="s">
        <v>383</v>
      </c>
      <c r="F1533" t="s">
        <v>13210</v>
      </c>
    </row>
    <row r="1534" spans="1:6" x14ac:dyDescent="0.25">
      <c r="A1534" t="s">
        <v>13211</v>
      </c>
      <c r="B1534" t="s">
        <v>13196</v>
      </c>
      <c r="C1534" t="s">
        <v>13197</v>
      </c>
      <c r="D1534">
        <v>2017</v>
      </c>
      <c r="E1534" t="s">
        <v>383</v>
      </c>
      <c r="F1534" t="s">
        <v>13212</v>
      </c>
    </row>
    <row r="1535" spans="1:6" x14ac:dyDescent="0.25">
      <c r="A1535" t="s">
        <v>13213</v>
      </c>
      <c r="B1535" t="s">
        <v>13196</v>
      </c>
      <c r="C1535" t="s">
        <v>13197</v>
      </c>
      <c r="D1535">
        <v>2017</v>
      </c>
      <c r="E1535" t="s">
        <v>383</v>
      </c>
      <c r="F1535" t="s">
        <v>13214</v>
      </c>
    </row>
    <row r="1536" spans="1:6" x14ac:dyDescent="0.25">
      <c r="A1536" t="s">
        <v>13215</v>
      </c>
      <c r="B1536" t="s">
        <v>13196</v>
      </c>
      <c r="C1536" t="s">
        <v>13197</v>
      </c>
      <c r="D1536">
        <v>2017</v>
      </c>
      <c r="E1536" t="s">
        <v>383</v>
      </c>
      <c r="F1536" t="s">
        <v>13216</v>
      </c>
    </row>
    <row r="1537" spans="1:6" x14ac:dyDescent="0.25">
      <c r="A1537" t="s">
        <v>13217</v>
      </c>
      <c r="B1537" t="s">
        <v>13196</v>
      </c>
      <c r="C1537" t="s">
        <v>13197</v>
      </c>
      <c r="D1537">
        <v>2017</v>
      </c>
      <c r="E1537" t="s">
        <v>383</v>
      </c>
      <c r="F1537" t="s">
        <v>13218</v>
      </c>
    </row>
    <row r="1538" spans="1:6" x14ac:dyDescent="0.25">
      <c r="A1538" t="s">
        <v>13219</v>
      </c>
      <c r="B1538" t="s">
        <v>13196</v>
      </c>
      <c r="C1538" t="s">
        <v>13197</v>
      </c>
      <c r="D1538">
        <v>2017</v>
      </c>
      <c r="E1538" t="s">
        <v>383</v>
      </c>
      <c r="F1538" t="s">
        <v>13220</v>
      </c>
    </row>
    <row r="1539" spans="1:6" x14ac:dyDescent="0.25">
      <c r="A1539" t="s">
        <v>13221</v>
      </c>
      <c r="B1539" t="s">
        <v>13196</v>
      </c>
      <c r="C1539" t="s">
        <v>13197</v>
      </c>
      <c r="D1539">
        <v>2017</v>
      </c>
      <c r="E1539" t="s">
        <v>383</v>
      </c>
      <c r="F1539" t="s">
        <v>13222</v>
      </c>
    </row>
    <row r="1540" spans="1:6" x14ac:dyDescent="0.25">
      <c r="A1540" t="s">
        <v>13223</v>
      </c>
      <c r="B1540" t="s">
        <v>13196</v>
      </c>
      <c r="C1540" t="s">
        <v>13197</v>
      </c>
      <c r="D1540">
        <v>2017</v>
      </c>
      <c r="E1540" t="s">
        <v>383</v>
      </c>
      <c r="F1540" t="s">
        <v>13224</v>
      </c>
    </row>
    <row r="1541" spans="1:6" x14ac:dyDescent="0.25">
      <c r="A1541" t="s">
        <v>13225</v>
      </c>
      <c r="B1541" t="s">
        <v>13196</v>
      </c>
      <c r="C1541" t="s">
        <v>13197</v>
      </c>
      <c r="D1541">
        <v>2017</v>
      </c>
      <c r="E1541" t="s">
        <v>383</v>
      </c>
      <c r="F1541" t="s">
        <v>13226</v>
      </c>
    </row>
    <row r="1542" spans="1:6" x14ac:dyDescent="0.25">
      <c r="A1542" t="s">
        <v>13227</v>
      </c>
      <c r="B1542" t="s">
        <v>13196</v>
      </c>
      <c r="C1542" t="s">
        <v>13197</v>
      </c>
      <c r="D1542">
        <v>2017</v>
      </c>
      <c r="E1542" t="s">
        <v>383</v>
      </c>
      <c r="F1542" t="s">
        <v>13228</v>
      </c>
    </row>
    <row r="1543" spans="1:6" x14ac:dyDescent="0.25">
      <c r="A1543" t="s">
        <v>13229</v>
      </c>
      <c r="B1543" t="s">
        <v>13196</v>
      </c>
      <c r="C1543" t="s">
        <v>13197</v>
      </c>
      <c r="D1543">
        <v>2017</v>
      </c>
      <c r="E1543" t="s">
        <v>383</v>
      </c>
      <c r="F1543" t="s">
        <v>13230</v>
      </c>
    </row>
    <row r="1544" spans="1:6" x14ac:dyDescent="0.25">
      <c r="A1544" t="s">
        <v>13231</v>
      </c>
      <c r="B1544" t="s">
        <v>13196</v>
      </c>
      <c r="C1544" t="s">
        <v>13197</v>
      </c>
      <c r="D1544">
        <v>2017</v>
      </c>
      <c r="E1544" t="s">
        <v>383</v>
      </c>
      <c r="F1544" t="s">
        <v>13232</v>
      </c>
    </row>
    <row r="1545" spans="1:6" x14ac:dyDescent="0.25">
      <c r="A1545" t="s">
        <v>13233</v>
      </c>
      <c r="B1545" t="s">
        <v>13196</v>
      </c>
      <c r="C1545" t="s">
        <v>13197</v>
      </c>
      <c r="D1545">
        <v>2017</v>
      </c>
      <c r="E1545" t="s">
        <v>383</v>
      </c>
      <c r="F1545" t="s">
        <v>13234</v>
      </c>
    </row>
    <row r="1546" spans="1:6" x14ac:dyDescent="0.25">
      <c r="A1546" t="s">
        <v>13235</v>
      </c>
      <c r="B1546" t="s">
        <v>13196</v>
      </c>
      <c r="C1546" t="s">
        <v>13197</v>
      </c>
      <c r="D1546">
        <v>2017</v>
      </c>
      <c r="E1546" t="s">
        <v>383</v>
      </c>
      <c r="F1546" t="s">
        <v>13236</v>
      </c>
    </row>
    <row r="1547" spans="1:6" x14ac:dyDescent="0.25">
      <c r="A1547" t="s">
        <v>13237</v>
      </c>
      <c r="B1547" t="s">
        <v>13196</v>
      </c>
      <c r="C1547" t="s">
        <v>13197</v>
      </c>
      <c r="D1547">
        <v>2017</v>
      </c>
      <c r="E1547" t="s">
        <v>383</v>
      </c>
      <c r="F1547" t="s">
        <v>13238</v>
      </c>
    </row>
    <row r="1548" spans="1:6" x14ac:dyDescent="0.25">
      <c r="A1548" t="s">
        <v>13239</v>
      </c>
      <c r="B1548" t="s">
        <v>13196</v>
      </c>
      <c r="C1548" t="s">
        <v>13197</v>
      </c>
      <c r="D1548">
        <v>2017</v>
      </c>
      <c r="E1548" t="s">
        <v>383</v>
      </c>
      <c r="F1548" t="s">
        <v>13240</v>
      </c>
    </row>
    <row r="1549" spans="1:6" x14ac:dyDescent="0.25">
      <c r="A1549" t="s">
        <v>13241</v>
      </c>
      <c r="B1549" t="s">
        <v>13196</v>
      </c>
      <c r="C1549" t="s">
        <v>13197</v>
      </c>
      <c r="D1549">
        <v>2017</v>
      </c>
      <c r="E1549" t="s">
        <v>383</v>
      </c>
      <c r="F1549" t="s">
        <v>13242</v>
      </c>
    </row>
    <row r="1550" spans="1:6" x14ac:dyDescent="0.25">
      <c r="A1550" t="s">
        <v>13243</v>
      </c>
      <c r="B1550" t="s">
        <v>13196</v>
      </c>
      <c r="C1550" t="s">
        <v>13197</v>
      </c>
      <c r="D1550">
        <v>2017</v>
      </c>
      <c r="E1550" t="s">
        <v>383</v>
      </c>
      <c r="F1550" t="s">
        <v>13244</v>
      </c>
    </row>
    <row r="1551" spans="1:6" x14ac:dyDescent="0.25">
      <c r="A1551" t="s">
        <v>13245</v>
      </c>
      <c r="B1551" t="s">
        <v>13196</v>
      </c>
      <c r="C1551" t="s">
        <v>13197</v>
      </c>
      <c r="D1551">
        <v>2017</v>
      </c>
      <c r="E1551" t="s">
        <v>383</v>
      </c>
      <c r="F1551" t="s">
        <v>13246</v>
      </c>
    </row>
    <row r="1552" spans="1:6" x14ac:dyDescent="0.25">
      <c r="A1552" t="s">
        <v>13247</v>
      </c>
      <c r="B1552" t="s">
        <v>13196</v>
      </c>
      <c r="C1552" t="s">
        <v>13197</v>
      </c>
      <c r="D1552">
        <v>2017</v>
      </c>
      <c r="E1552" t="s">
        <v>383</v>
      </c>
      <c r="F1552" t="s">
        <v>13248</v>
      </c>
    </row>
    <row r="1553" spans="1:7" x14ac:dyDescent="0.25">
      <c r="A1553" t="s">
        <v>13249</v>
      </c>
      <c r="B1553" t="s">
        <v>13196</v>
      </c>
      <c r="C1553" t="s">
        <v>13197</v>
      </c>
      <c r="D1553">
        <v>2017</v>
      </c>
      <c r="E1553" t="s">
        <v>383</v>
      </c>
      <c r="F1553" t="s">
        <v>13250</v>
      </c>
    </row>
    <row r="1554" spans="1:7" x14ac:dyDescent="0.25">
      <c r="A1554" t="s">
        <v>13251</v>
      </c>
      <c r="B1554" t="s">
        <v>13196</v>
      </c>
      <c r="C1554" t="s">
        <v>13197</v>
      </c>
      <c r="D1554">
        <v>2017</v>
      </c>
      <c r="E1554" t="s">
        <v>383</v>
      </c>
      <c r="F1554" t="s">
        <v>13252</v>
      </c>
    </row>
    <row r="1555" spans="1:7" x14ac:dyDescent="0.25">
      <c r="A1555" t="s">
        <v>13253</v>
      </c>
      <c r="B1555" t="s">
        <v>13196</v>
      </c>
      <c r="C1555" t="s">
        <v>13197</v>
      </c>
      <c r="D1555">
        <v>2017</v>
      </c>
      <c r="E1555" t="s">
        <v>383</v>
      </c>
      <c r="F1555" t="s">
        <v>13254</v>
      </c>
    </row>
    <row r="1556" spans="1:7" x14ac:dyDescent="0.25">
      <c r="A1556" t="s">
        <v>13255</v>
      </c>
      <c r="B1556" t="s">
        <v>13196</v>
      </c>
      <c r="C1556" t="s">
        <v>13197</v>
      </c>
      <c r="D1556">
        <v>2017</v>
      </c>
      <c r="E1556" t="s">
        <v>383</v>
      </c>
      <c r="F1556" t="s">
        <v>13256</v>
      </c>
    </row>
    <row r="1557" spans="1:7" x14ac:dyDescent="0.25">
      <c r="A1557" t="s">
        <v>13257</v>
      </c>
      <c r="B1557" t="s">
        <v>13258</v>
      </c>
      <c r="C1557" t="s">
        <v>13259</v>
      </c>
      <c r="D1557">
        <v>2023</v>
      </c>
      <c r="E1557" t="s">
        <v>750</v>
      </c>
      <c r="F1557" t="s">
        <v>13260</v>
      </c>
      <c r="G1557" t="s">
        <v>10039</v>
      </c>
    </row>
    <row r="1558" spans="1:7" x14ac:dyDescent="0.25">
      <c r="A1558" t="s">
        <v>13261</v>
      </c>
      <c r="B1558" t="s">
        <v>13258</v>
      </c>
      <c r="C1558" t="s">
        <v>13259</v>
      </c>
      <c r="D1558">
        <v>2023</v>
      </c>
      <c r="E1558" t="s">
        <v>750</v>
      </c>
      <c r="F1558" t="s">
        <v>13262</v>
      </c>
    </row>
    <row r="1559" spans="1:7" x14ac:dyDescent="0.25">
      <c r="A1559" t="s">
        <v>13263</v>
      </c>
      <c r="B1559" t="s">
        <v>13258</v>
      </c>
      <c r="C1559" t="s">
        <v>13259</v>
      </c>
      <c r="D1559">
        <v>2023</v>
      </c>
      <c r="E1559" t="s">
        <v>750</v>
      </c>
      <c r="F1559" t="s">
        <v>13264</v>
      </c>
    </row>
    <row r="1560" spans="1:7" x14ac:dyDescent="0.25">
      <c r="A1560" t="s">
        <v>13265</v>
      </c>
      <c r="B1560" t="s">
        <v>13258</v>
      </c>
      <c r="C1560" t="s">
        <v>13259</v>
      </c>
      <c r="D1560">
        <v>2023</v>
      </c>
      <c r="E1560" t="s">
        <v>750</v>
      </c>
      <c r="F1560" t="s">
        <v>13266</v>
      </c>
    </row>
    <row r="1561" spans="1:7" x14ac:dyDescent="0.25">
      <c r="A1561" t="s">
        <v>13267</v>
      </c>
      <c r="B1561" t="s">
        <v>13258</v>
      </c>
      <c r="C1561" t="s">
        <v>13259</v>
      </c>
      <c r="D1561">
        <v>2023</v>
      </c>
      <c r="E1561" t="s">
        <v>750</v>
      </c>
      <c r="F1561" t="s">
        <v>13268</v>
      </c>
    </row>
    <row r="1562" spans="1:7" x14ac:dyDescent="0.25">
      <c r="A1562" t="s">
        <v>13269</v>
      </c>
      <c r="B1562" t="s">
        <v>13258</v>
      </c>
      <c r="C1562" t="s">
        <v>13259</v>
      </c>
      <c r="D1562">
        <v>2023</v>
      </c>
      <c r="E1562" t="s">
        <v>750</v>
      </c>
      <c r="F1562" t="s">
        <v>13270</v>
      </c>
    </row>
    <row r="1563" spans="1:7" x14ac:dyDescent="0.25">
      <c r="A1563" t="s">
        <v>13271</v>
      </c>
      <c r="B1563" t="s">
        <v>13258</v>
      </c>
      <c r="C1563" t="s">
        <v>13259</v>
      </c>
      <c r="D1563">
        <v>2023</v>
      </c>
      <c r="E1563" t="s">
        <v>750</v>
      </c>
      <c r="F1563" t="s">
        <v>13272</v>
      </c>
    </row>
    <row r="1564" spans="1:7" x14ac:dyDescent="0.25">
      <c r="A1564" t="s">
        <v>13273</v>
      </c>
      <c r="B1564" t="s">
        <v>13258</v>
      </c>
      <c r="C1564" t="s">
        <v>13259</v>
      </c>
      <c r="D1564">
        <v>2023</v>
      </c>
      <c r="E1564" t="s">
        <v>750</v>
      </c>
      <c r="F1564" t="s">
        <v>13274</v>
      </c>
    </row>
    <row r="1565" spans="1:7" x14ac:dyDescent="0.25">
      <c r="A1565" t="s">
        <v>13275</v>
      </c>
      <c r="B1565" t="s">
        <v>13258</v>
      </c>
      <c r="C1565" t="s">
        <v>13259</v>
      </c>
      <c r="D1565">
        <v>2023</v>
      </c>
      <c r="E1565" t="s">
        <v>750</v>
      </c>
      <c r="F1565" t="s">
        <v>13276</v>
      </c>
    </row>
    <row r="1566" spans="1:7" x14ac:dyDescent="0.25">
      <c r="A1566" t="s">
        <v>13277</v>
      </c>
      <c r="B1566" t="s">
        <v>13258</v>
      </c>
      <c r="C1566" t="s">
        <v>13259</v>
      </c>
      <c r="D1566">
        <v>2023</v>
      </c>
      <c r="E1566" t="s">
        <v>750</v>
      </c>
      <c r="F1566" t="s">
        <v>13278</v>
      </c>
    </row>
    <row r="1567" spans="1:7" x14ac:dyDescent="0.25">
      <c r="A1567" t="s">
        <v>13279</v>
      </c>
      <c r="B1567" t="s">
        <v>13258</v>
      </c>
      <c r="C1567" t="s">
        <v>13259</v>
      </c>
      <c r="D1567">
        <v>2023</v>
      </c>
      <c r="E1567" t="s">
        <v>750</v>
      </c>
      <c r="F1567" t="s">
        <v>13280</v>
      </c>
    </row>
    <row r="1568" spans="1:7" x14ac:dyDescent="0.25">
      <c r="A1568" t="s">
        <v>13281</v>
      </c>
      <c r="B1568" t="s">
        <v>13258</v>
      </c>
      <c r="C1568" t="s">
        <v>13259</v>
      </c>
      <c r="D1568">
        <v>2023</v>
      </c>
      <c r="E1568" t="s">
        <v>750</v>
      </c>
      <c r="F1568" t="s">
        <v>13282</v>
      </c>
    </row>
    <row r="1569" spans="1:6" x14ac:dyDescent="0.25">
      <c r="A1569" t="s">
        <v>13283</v>
      </c>
      <c r="B1569" t="s">
        <v>13258</v>
      </c>
      <c r="C1569" t="s">
        <v>13259</v>
      </c>
      <c r="D1569">
        <v>2023</v>
      </c>
      <c r="E1569" t="s">
        <v>750</v>
      </c>
      <c r="F1569" t="s">
        <v>13284</v>
      </c>
    </row>
    <row r="1570" spans="1:6" x14ac:dyDescent="0.25">
      <c r="A1570" t="s">
        <v>13285</v>
      </c>
      <c r="B1570" t="s">
        <v>13258</v>
      </c>
      <c r="C1570" t="s">
        <v>13259</v>
      </c>
      <c r="D1570">
        <v>2023</v>
      </c>
      <c r="E1570" t="s">
        <v>750</v>
      </c>
      <c r="F1570" t="s">
        <v>13286</v>
      </c>
    </row>
    <row r="1571" spans="1:6" x14ac:dyDescent="0.25">
      <c r="A1571" t="s">
        <v>13287</v>
      </c>
      <c r="B1571" t="s">
        <v>13258</v>
      </c>
      <c r="C1571" t="s">
        <v>13259</v>
      </c>
      <c r="D1571">
        <v>2023</v>
      </c>
      <c r="E1571" t="s">
        <v>750</v>
      </c>
      <c r="F1571" t="s">
        <v>13288</v>
      </c>
    </row>
    <row r="1572" spans="1:6" x14ac:dyDescent="0.25">
      <c r="A1572" t="s">
        <v>13289</v>
      </c>
      <c r="B1572" t="s">
        <v>13258</v>
      </c>
      <c r="C1572" t="s">
        <v>13259</v>
      </c>
      <c r="D1572">
        <v>2023</v>
      </c>
      <c r="E1572" t="s">
        <v>750</v>
      </c>
      <c r="F1572" t="s">
        <v>13290</v>
      </c>
    </row>
    <row r="1573" spans="1:6" x14ac:dyDescent="0.25">
      <c r="A1573" t="s">
        <v>13291</v>
      </c>
      <c r="B1573" t="s">
        <v>13258</v>
      </c>
      <c r="C1573" t="s">
        <v>13259</v>
      </c>
      <c r="D1573">
        <v>2023</v>
      </c>
      <c r="E1573" t="s">
        <v>750</v>
      </c>
      <c r="F1573" t="s">
        <v>13292</v>
      </c>
    </row>
    <row r="1574" spans="1:6" x14ac:dyDescent="0.25">
      <c r="A1574" t="s">
        <v>13293</v>
      </c>
      <c r="B1574" t="s">
        <v>13258</v>
      </c>
      <c r="C1574" t="s">
        <v>13259</v>
      </c>
      <c r="D1574">
        <v>2023</v>
      </c>
      <c r="E1574" t="s">
        <v>750</v>
      </c>
      <c r="F1574" t="s">
        <v>13294</v>
      </c>
    </row>
    <row r="1575" spans="1:6" x14ac:dyDescent="0.25">
      <c r="A1575" t="s">
        <v>13295</v>
      </c>
      <c r="B1575" t="s">
        <v>13258</v>
      </c>
      <c r="C1575" t="s">
        <v>13259</v>
      </c>
      <c r="D1575">
        <v>2023</v>
      </c>
      <c r="E1575" t="s">
        <v>750</v>
      </c>
      <c r="F1575" t="s">
        <v>13296</v>
      </c>
    </row>
    <row r="1576" spans="1:6" x14ac:dyDescent="0.25">
      <c r="A1576" t="s">
        <v>13297</v>
      </c>
      <c r="B1576" t="s">
        <v>13258</v>
      </c>
      <c r="C1576" t="s">
        <v>13259</v>
      </c>
      <c r="D1576">
        <v>2023</v>
      </c>
      <c r="E1576" t="s">
        <v>750</v>
      </c>
      <c r="F1576" t="s">
        <v>13298</v>
      </c>
    </row>
    <row r="1577" spans="1:6" x14ac:dyDescent="0.25">
      <c r="A1577" t="s">
        <v>13299</v>
      </c>
      <c r="B1577" t="s">
        <v>13258</v>
      </c>
      <c r="C1577" t="s">
        <v>13259</v>
      </c>
      <c r="D1577">
        <v>2023</v>
      </c>
      <c r="E1577" t="s">
        <v>750</v>
      </c>
      <c r="F1577" t="s">
        <v>13300</v>
      </c>
    </row>
    <row r="1578" spans="1:6" x14ac:dyDescent="0.25">
      <c r="A1578" t="s">
        <v>13301</v>
      </c>
      <c r="B1578" t="s">
        <v>13258</v>
      </c>
      <c r="C1578" t="s">
        <v>13259</v>
      </c>
      <c r="D1578">
        <v>2023</v>
      </c>
      <c r="E1578" t="s">
        <v>750</v>
      </c>
      <c r="F1578" t="s">
        <v>13302</v>
      </c>
    </row>
    <row r="1579" spans="1:6" x14ac:dyDescent="0.25">
      <c r="A1579" t="s">
        <v>13303</v>
      </c>
      <c r="B1579" t="s">
        <v>13258</v>
      </c>
      <c r="C1579" t="s">
        <v>13259</v>
      </c>
      <c r="D1579">
        <v>2023</v>
      </c>
      <c r="E1579" t="s">
        <v>750</v>
      </c>
      <c r="F1579" t="s">
        <v>13304</v>
      </c>
    </row>
    <row r="1580" spans="1:6" x14ac:dyDescent="0.25">
      <c r="A1580" t="s">
        <v>13305</v>
      </c>
      <c r="B1580" t="s">
        <v>13258</v>
      </c>
      <c r="C1580" t="s">
        <v>13259</v>
      </c>
      <c r="D1580">
        <v>2023</v>
      </c>
      <c r="E1580" t="s">
        <v>750</v>
      </c>
      <c r="F1580" t="s">
        <v>13306</v>
      </c>
    </row>
    <row r="1581" spans="1:6" x14ac:dyDescent="0.25">
      <c r="A1581" t="s">
        <v>13307</v>
      </c>
      <c r="B1581" t="s">
        <v>13308</v>
      </c>
      <c r="C1581" t="s">
        <v>13309</v>
      </c>
      <c r="D1581">
        <v>2025</v>
      </c>
      <c r="E1581" t="s">
        <v>750</v>
      </c>
      <c r="F1581" t="s">
        <v>13310</v>
      </c>
    </row>
    <row r="1582" spans="1:6" x14ac:dyDescent="0.25">
      <c r="A1582" t="s">
        <v>13311</v>
      </c>
      <c r="B1582" t="s">
        <v>13308</v>
      </c>
      <c r="C1582" t="s">
        <v>13309</v>
      </c>
      <c r="D1582">
        <v>2025</v>
      </c>
      <c r="E1582" t="s">
        <v>750</v>
      </c>
      <c r="F1582" t="s">
        <v>13312</v>
      </c>
    </row>
    <row r="1583" spans="1:6" x14ac:dyDescent="0.25">
      <c r="A1583" t="s">
        <v>13313</v>
      </c>
      <c r="B1583" t="s">
        <v>13258</v>
      </c>
      <c r="C1583" t="s">
        <v>13309</v>
      </c>
      <c r="D1583">
        <v>2025</v>
      </c>
      <c r="E1583" t="s">
        <v>750</v>
      </c>
      <c r="F1583" t="s">
        <v>13314</v>
      </c>
    </row>
    <row r="1584" spans="1:6" x14ac:dyDescent="0.25">
      <c r="A1584" t="s">
        <v>13315</v>
      </c>
      <c r="B1584" t="s">
        <v>13258</v>
      </c>
      <c r="C1584" t="s">
        <v>13309</v>
      </c>
      <c r="D1584">
        <v>2025</v>
      </c>
      <c r="E1584" t="s">
        <v>750</v>
      </c>
      <c r="F1584" t="s">
        <v>13316</v>
      </c>
    </row>
    <row r="1585" spans="1:6" x14ac:dyDescent="0.25">
      <c r="A1585" t="s">
        <v>746</v>
      </c>
      <c r="B1585" t="s">
        <v>13258</v>
      </c>
      <c r="C1585" t="s">
        <v>13317</v>
      </c>
      <c r="D1585">
        <v>2019</v>
      </c>
      <c r="E1585" t="s">
        <v>746</v>
      </c>
      <c r="F1585" t="s">
        <v>13318</v>
      </c>
    </row>
    <row r="1586" spans="1:6" x14ac:dyDescent="0.25">
      <c r="A1586" t="s">
        <v>13319</v>
      </c>
      <c r="B1586" t="s">
        <v>13258</v>
      </c>
      <c r="C1586" t="s">
        <v>13317</v>
      </c>
      <c r="D1586">
        <v>2019</v>
      </c>
      <c r="E1586" t="s">
        <v>746</v>
      </c>
      <c r="F1586" t="s">
        <v>13320</v>
      </c>
    </row>
    <row r="1587" spans="1:6" x14ac:dyDescent="0.25">
      <c r="A1587" t="s">
        <v>13321</v>
      </c>
      <c r="B1587" t="s">
        <v>13258</v>
      </c>
      <c r="C1587" t="s">
        <v>13317</v>
      </c>
      <c r="D1587">
        <v>2019</v>
      </c>
      <c r="E1587" t="s">
        <v>746</v>
      </c>
      <c r="F1587" t="s">
        <v>13322</v>
      </c>
    </row>
    <row r="1588" spans="1:6" x14ac:dyDescent="0.25">
      <c r="A1588" t="s">
        <v>13323</v>
      </c>
      <c r="B1588" t="s">
        <v>13258</v>
      </c>
      <c r="C1588" t="s">
        <v>13317</v>
      </c>
      <c r="D1588">
        <v>2019</v>
      </c>
      <c r="E1588" t="s">
        <v>746</v>
      </c>
      <c r="F1588" t="s">
        <v>13324</v>
      </c>
    </row>
    <row r="1589" spans="1:6" x14ac:dyDescent="0.25">
      <c r="A1589" t="s">
        <v>13325</v>
      </c>
      <c r="B1589" t="s">
        <v>13258</v>
      </c>
      <c r="C1589" t="s">
        <v>13317</v>
      </c>
      <c r="D1589">
        <v>2019</v>
      </c>
      <c r="E1589" t="s">
        <v>746</v>
      </c>
      <c r="F1589" t="s">
        <v>13326</v>
      </c>
    </row>
    <row r="1590" spans="1:6" x14ac:dyDescent="0.25">
      <c r="A1590" t="s">
        <v>13327</v>
      </c>
      <c r="B1590" t="s">
        <v>13258</v>
      </c>
      <c r="C1590" t="s">
        <v>13317</v>
      </c>
      <c r="D1590">
        <v>2019</v>
      </c>
      <c r="E1590" t="s">
        <v>746</v>
      </c>
      <c r="F1590" t="s">
        <v>13328</v>
      </c>
    </row>
    <row r="1591" spans="1:6" x14ac:dyDescent="0.25">
      <c r="A1591" t="s">
        <v>13329</v>
      </c>
      <c r="B1591" t="s">
        <v>13258</v>
      </c>
      <c r="C1591" t="s">
        <v>13317</v>
      </c>
      <c r="D1591">
        <v>2019</v>
      </c>
      <c r="E1591" t="s">
        <v>746</v>
      </c>
      <c r="F1591" t="s">
        <v>13330</v>
      </c>
    </row>
    <row r="1592" spans="1:6" x14ac:dyDescent="0.25">
      <c r="A1592" t="s">
        <v>13331</v>
      </c>
      <c r="B1592" t="s">
        <v>13258</v>
      </c>
      <c r="C1592" t="s">
        <v>13317</v>
      </c>
      <c r="D1592">
        <v>2019</v>
      </c>
      <c r="E1592" t="s">
        <v>746</v>
      </c>
      <c r="F1592" t="s">
        <v>13332</v>
      </c>
    </row>
    <row r="1593" spans="1:6" x14ac:dyDescent="0.25">
      <c r="A1593" t="s">
        <v>13333</v>
      </c>
      <c r="B1593" t="s">
        <v>13258</v>
      </c>
      <c r="C1593" t="s">
        <v>13317</v>
      </c>
      <c r="D1593">
        <v>2019</v>
      </c>
      <c r="E1593" t="s">
        <v>746</v>
      </c>
      <c r="F1593" t="s">
        <v>13334</v>
      </c>
    </row>
    <row r="1594" spans="1:6" x14ac:dyDescent="0.25">
      <c r="A1594" t="s">
        <v>13335</v>
      </c>
      <c r="B1594" t="s">
        <v>13258</v>
      </c>
      <c r="C1594" t="s">
        <v>13317</v>
      </c>
      <c r="D1594">
        <v>2019</v>
      </c>
      <c r="E1594" t="s">
        <v>746</v>
      </c>
      <c r="F1594" t="s">
        <v>13336</v>
      </c>
    </row>
    <row r="1595" spans="1:6" x14ac:dyDescent="0.25">
      <c r="A1595" t="s">
        <v>13337</v>
      </c>
      <c r="B1595" t="s">
        <v>13258</v>
      </c>
      <c r="C1595" t="s">
        <v>13317</v>
      </c>
      <c r="D1595">
        <v>2019</v>
      </c>
      <c r="E1595" t="s">
        <v>746</v>
      </c>
      <c r="F1595" t="s">
        <v>13338</v>
      </c>
    </row>
    <row r="1596" spans="1:6" x14ac:dyDescent="0.25">
      <c r="A1596" t="s">
        <v>13339</v>
      </c>
      <c r="B1596" t="s">
        <v>13258</v>
      </c>
      <c r="C1596" t="s">
        <v>13317</v>
      </c>
      <c r="D1596">
        <v>2019</v>
      </c>
      <c r="E1596" t="s">
        <v>746</v>
      </c>
      <c r="F1596" t="s">
        <v>13340</v>
      </c>
    </row>
    <row r="1597" spans="1:6" x14ac:dyDescent="0.25">
      <c r="A1597" t="s">
        <v>13341</v>
      </c>
      <c r="B1597" t="s">
        <v>13258</v>
      </c>
      <c r="C1597" t="s">
        <v>13317</v>
      </c>
      <c r="D1597">
        <v>2019</v>
      </c>
      <c r="E1597" t="s">
        <v>746</v>
      </c>
      <c r="F1597" t="s">
        <v>13342</v>
      </c>
    </row>
    <row r="1598" spans="1:6" x14ac:dyDescent="0.25">
      <c r="A1598" t="s">
        <v>13343</v>
      </c>
      <c r="B1598" t="s">
        <v>13258</v>
      </c>
      <c r="C1598" t="s">
        <v>13317</v>
      </c>
      <c r="D1598">
        <v>2019</v>
      </c>
      <c r="E1598" t="s">
        <v>746</v>
      </c>
      <c r="F1598" t="s">
        <v>13344</v>
      </c>
    </row>
    <row r="1599" spans="1:6" x14ac:dyDescent="0.25">
      <c r="A1599" t="s">
        <v>13345</v>
      </c>
      <c r="B1599" t="s">
        <v>13258</v>
      </c>
      <c r="C1599" t="s">
        <v>13317</v>
      </c>
      <c r="D1599">
        <v>2019</v>
      </c>
      <c r="E1599" t="s">
        <v>746</v>
      </c>
      <c r="F1599" t="s">
        <v>13346</v>
      </c>
    </row>
    <row r="1600" spans="1:6" x14ac:dyDescent="0.25">
      <c r="A1600" t="s">
        <v>13347</v>
      </c>
      <c r="B1600" t="s">
        <v>13258</v>
      </c>
      <c r="C1600" t="s">
        <v>13317</v>
      </c>
      <c r="D1600">
        <v>2019</v>
      </c>
      <c r="E1600" t="s">
        <v>746</v>
      </c>
      <c r="F1600" t="s">
        <v>13348</v>
      </c>
    </row>
    <row r="1601" spans="1:6" x14ac:dyDescent="0.25">
      <c r="A1601" t="s">
        <v>13349</v>
      </c>
      <c r="B1601" t="s">
        <v>13258</v>
      </c>
      <c r="C1601" t="s">
        <v>13317</v>
      </c>
      <c r="D1601">
        <v>2019</v>
      </c>
      <c r="E1601" t="s">
        <v>746</v>
      </c>
      <c r="F1601" t="s">
        <v>13350</v>
      </c>
    </row>
    <row r="1602" spans="1:6" x14ac:dyDescent="0.25">
      <c r="A1602" t="s">
        <v>13351</v>
      </c>
      <c r="B1602" t="s">
        <v>13258</v>
      </c>
      <c r="C1602" t="s">
        <v>13317</v>
      </c>
      <c r="D1602">
        <v>2019</v>
      </c>
      <c r="E1602" t="s">
        <v>746</v>
      </c>
      <c r="F1602" t="s">
        <v>13352</v>
      </c>
    </row>
    <row r="1603" spans="1:6" x14ac:dyDescent="0.25">
      <c r="A1603" t="s">
        <v>13353</v>
      </c>
      <c r="B1603" t="s">
        <v>13258</v>
      </c>
      <c r="C1603" t="s">
        <v>13317</v>
      </c>
      <c r="D1603">
        <v>2019</v>
      </c>
      <c r="E1603" t="s">
        <v>746</v>
      </c>
      <c r="F1603" t="s">
        <v>13354</v>
      </c>
    </row>
    <row r="1604" spans="1:6" x14ac:dyDescent="0.25">
      <c r="A1604" t="s">
        <v>13355</v>
      </c>
      <c r="B1604" t="s">
        <v>13258</v>
      </c>
      <c r="C1604" t="s">
        <v>13317</v>
      </c>
      <c r="D1604">
        <v>2019</v>
      </c>
      <c r="E1604" t="s">
        <v>746</v>
      </c>
      <c r="F1604" t="s">
        <v>13356</v>
      </c>
    </row>
    <row r="1605" spans="1:6" x14ac:dyDescent="0.25">
      <c r="A1605" t="s">
        <v>13357</v>
      </c>
      <c r="B1605" t="s">
        <v>13258</v>
      </c>
      <c r="C1605" t="s">
        <v>13317</v>
      </c>
      <c r="D1605">
        <v>2019</v>
      </c>
      <c r="E1605" t="s">
        <v>746</v>
      </c>
      <c r="F1605" t="s">
        <v>13358</v>
      </c>
    </row>
    <row r="1606" spans="1:6" x14ac:dyDescent="0.25">
      <c r="A1606" t="s">
        <v>13359</v>
      </c>
      <c r="B1606" t="s">
        <v>13258</v>
      </c>
      <c r="C1606" t="s">
        <v>13317</v>
      </c>
      <c r="D1606">
        <v>2019</v>
      </c>
      <c r="E1606" t="s">
        <v>746</v>
      </c>
      <c r="F1606" t="s">
        <v>13360</v>
      </c>
    </row>
    <row r="1607" spans="1:6" x14ac:dyDescent="0.25">
      <c r="A1607" t="s">
        <v>13361</v>
      </c>
      <c r="B1607" t="s">
        <v>13258</v>
      </c>
      <c r="C1607" t="s">
        <v>13317</v>
      </c>
      <c r="D1607">
        <v>2019</v>
      </c>
      <c r="E1607" t="s">
        <v>746</v>
      </c>
      <c r="F1607" t="s">
        <v>13362</v>
      </c>
    </row>
    <row r="1608" spans="1:6" x14ac:dyDescent="0.25">
      <c r="A1608" t="s">
        <v>763</v>
      </c>
      <c r="B1608" t="s">
        <v>13363</v>
      </c>
      <c r="C1608" t="s">
        <v>13364</v>
      </c>
      <c r="D1608">
        <v>2021</v>
      </c>
      <c r="E1608" t="s">
        <v>763</v>
      </c>
      <c r="F1608" t="s">
        <v>13365</v>
      </c>
    </row>
    <row r="1609" spans="1:6" x14ac:dyDescent="0.25">
      <c r="A1609" t="s">
        <v>13366</v>
      </c>
      <c r="B1609" t="s">
        <v>13363</v>
      </c>
      <c r="C1609" t="s">
        <v>13364</v>
      </c>
      <c r="D1609">
        <v>2021</v>
      </c>
      <c r="E1609" t="s">
        <v>763</v>
      </c>
      <c r="F1609" t="s">
        <v>13367</v>
      </c>
    </row>
    <row r="1610" spans="1:6" x14ac:dyDescent="0.25">
      <c r="A1610" t="s">
        <v>13368</v>
      </c>
      <c r="B1610" t="s">
        <v>13363</v>
      </c>
      <c r="C1610" t="s">
        <v>13364</v>
      </c>
      <c r="D1610">
        <v>2021</v>
      </c>
      <c r="E1610" t="s">
        <v>763</v>
      </c>
      <c r="F1610" t="s">
        <v>13369</v>
      </c>
    </row>
    <row r="1611" spans="1:6" x14ac:dyDescent="0.25">
      <c r="A1611" t="s">
        <v>13370</v>
      </c>
      <c r="B1611" t="s">
        <v>13363</v>
      </c>
      <c r="C1611" t="s">
        <v>13364</v>
      </c>
      <c r="D1611">
        <v>2021</v>
      </c>
      <c r="E1611" t="s">
        <v>763</v>
      </c>
      <c r="F1611" t="s">
        <v>13371</v>
      </c>
    </row>
    <row r="1612" spans="1:6" x14ac:dyDescent="0.25">
      <c r="A1612" t="s">
        <v>13372</v>
      </c>
      <c r="B1612" t="s">
        <v>13363</v>
      </c>
      <c r="C1612" t="s">
        <v>13364</v>
      </c>
      <c r="D1612">
        <v>2021</v>
      </c>
      <c r="E1612" t="s">
        <v>763</v>
      </c>
      <c r="F1612" t="s">
        <v>13373</v>
      </c>
    </row>
    <row r="1613" spans="1:6" x14ac:dyDescent="0.25">
      <c r="A1613" t="s">
        <v>13374</v>
      </c>
      <c r="B1613" t="s">
        <v>13363</v>
      </c>
      <c r="C1613" t="s">
        <v>13364</v>
      </c>
      <c r="D1613">
        <v>2021</v>
      </c>
      <c r="E1613" t="s">
        <v>763</v>
      </c>
      <c r="F1613" t="s">
        <v>13375</v>
      </c>
    </row>
    <row r="1614" spans="1:6" x14ac:dyDescent="0.25">
      <c r="A1614" t="s">
        <v>13376</v>
      </c>
      <c r="B1614" t="s">
        <v>13363</v>
      </c>
      <c r="C1614" t="s">
        <v>13364</v>
      </c>
      <c r="D1614">
        <v>2021</v>
      </c>
      <c r="E1614" t="s">
        <v>763</v>
      </c>
      <c r="F1614" t="s">
        <v>13377</v>
      </c>
    </row>
    <row r="1615" spans="1:6" x14ac:dyDescent="0.25">
      <c r="A1615" t="s">
        <v>13378</v>
      </c>
      <c r="B1615" t="s">
        <v>13363</v>
      </c>
      <c r="C1615" t="s">
        <v>13364</v>
      </c>
      <c r="D1615">
        <v>2021</v>
      </c>
      <c r="E1615" t="s">
        <v>763</v>
      </c>
      <c r="F1615" t="s">
        <v>13379</v>
      </c>
    </row>
    <row r="1616" spans="1:6" x14ac:dyDescent="0.25">
      <c r="A1616" t="s">
        <v>13380</v>
      </c>
      <c r="B1616" t="s">
        <v>13363</v>
      </c>
      <c r="C1616" t="s">
        <v>13364</v>
      </c>
      <c r="D1616">
        <v>2021</v>
      </c>
      <c r="E1616" t="s">
        <v>763</v>
      </c>
      <c r="F1616" t="s">
        <v>13381</v>
      </c>
    </row>
    <row r="1617" spans="1:6" x14ac:dyDescent="0.25">
      <c r="A1617" t="s">
        <v>13382</v>
      </c>
      <c r="B1617" t="s">
        <v>13363</v>
      </c>
      <c r="C1617" t="s">
        <v>13364</v>
      </c>
      <c r="D1617">
        <v>2021</v>
      </c>
      <c r="E1617" t="s">
        <v>763</v>
      </c>
      <c r="F1617" t="s">
        <v>13383</v>
      </c>
    </row>
    <row r="1618" spans="1:6" x14ac:dyDescent="0.25">
      <c r="A1618" t="s">
        <v>13384</v>
      </c>
      <c r="B1618" t="s">
        <v>13363</v>
      </c>
      <c r="C1618" t="s">
        <v>13364</v>
      </c>
      <c r="D1618">
        <v>2021</v>
      </c>
      <c r="E1618" t="s">
        <v>763</v>
      </c>
      <c r="F1618" t="s">
        <v>13385</v>
      </c>
    </row>
    <row r="1619" spans="1:6" x14ac:dyDescent="0.25">
      <c r="A1619" t="s">
        <v>13386</v>
      </c>
      <c r="B1619" t="s">
        <v>13363</v>
      </c>
      <c r="C1619" t="s">
        <v>13364</v>
      </c>
      <c r="D1619">
        <v>2021</v>
      </c>
      <c r="E1619" t="s">
        <v>763</v>
      </c>
      <c r="F1619" t="s">
        <v>13387</v>
      </c>
    </row>
    <row r="1620" spans="1:6" x14ac:dyDescent="0.25">
      <c r="A1620" t="s">
        <v>13388</v>
      </c>
      <c r="B1620" t="s">
        <v>13363</v>
      </c>
      <c r="C1620" t="s">
        <v>13364</v>
      </c>
      <c r="D1620">
        <v>2021</v>
      </c>
      <c r="E1620" t="s">
        <v>763</v>
      </c>
      <c r="F1620" t="s">
        <v>13389</v>
      </c>
    </row>
    <row r="1621" spans="1:6" x14ac:dyDescent="0.25">
      <c r="A1621" t="s">
        <v>13390</v>
      </c>
      <c r="B1621" t="s">
        <v>13363</v>
      </c>
      <c r="C1621" t="s">
        <v>13364</v>
      </c>
      <c r="D1621">
        <v>2021</v>
      </c>
      <c r="E1621" t="s">
        <v>763</v>
      </c>
      <c r="F1621" t="s">
        <v>13391</v>
      </c>
    </row>
    <row r="1622" spans="1:6" x14ac:dyDescent="0.25">
      <c r="A1622" t="s">
        <v>13392</v>
      </c>
      <c r="B1622" t="s">
        <v>13363</v>
      </c>
      <c r="C1622" t="s">
        <v>13364</v>
      </c>
      <c r="D1622">
        <v>2021</v>
      </c>
      <c r="E1622" t="s">
        <v>763</v>
      </c>
      <c r="F1622" t="s">
        <v>13393</v>
      </c>
    </row>
    <row r="1623" spans="1:6" x14ac:dyDescent="0.25">
      <c r="A1623" t="s">
        <v>13394</v>
      </c>
      <c r="B1623" t="s">
        <v>13363</v>
      </c>
      <c r="C1623" t="s">
        <v>13364</v>
      </c>
      <c r="D1623">
        <v>2021</v>
      </c>
      <c r="E1623" t="s">
        <v>763</v>
      </c>
      <c r="F1623" t="s">
        <v>13395</v>
      </c>
    </row>
    <row r="1624" spans="1:6" x14ac:dyDescent="0.25">
      <c r="A1624" t="s">
        <v>13396</v>
      </c>
      <c r="B1624" t="s">
        <v>13363</v>
      </c>
      <c r="C1624" t="s">
        <v>13364</v>
      </c>
      <c r="D1624">
        <v>2021</v>
      </c>
      <c r="E1624" t="s">
        <v>763</v>
      </c>
      <c r="F1624" t="s">
        <v>13397</v>
      </c>
    </row>
    <row r="1625" spans="1:6" x14ac:dyDescent="0.25">
      <c r="A1625" t="s">
        <v>13398</v>
      </c>
      <c r="B1625" t="s">
        <v>13363</v>
      </c>
      <c r="C1625" t="s">
        <v>13364</v>
      </c>
      <c r="D1625">
        <v>2021</v>
      </c>
      <c r="E1625" t="s">
        <v>763</v>
      </c>
      <c r="F1625" t="s">
        <v>13399</v>
      </c>
    </row>
    <row r="1626" spans="1:6" x14ac:dyDescent="0.25">
      <c r="A1626" t="s">
        <v>13400</v>
      </c>
      <c r="B1626" t="s">
        <v>13363</v>
      </c>
      <c r="C1626" t="s">
        <v>13364</v>
      </c>
      <c r="D1626">
        <v>2021</v>
      </c>
      <c r="E1626" t="s">
        <v>763</v>
      </c>
      <c r="F1626" t="s">
        <v>13401</v>
      </c>
    </row>
    <row r="1627" spans="1:6" x14ac:dyDescent="0.25">
      <c r="A1627" t="s">
        <v>13402</v>
      </c>
      <c r="B1627" t="s">
        <v>13363</v>
      </c>
      <c r="C1627" t="s">
        <v>13364</v>
      </c>
      <c r="D1627">
        <v>2021</v>
      </c>
      <c r="E1627" t="s">
        <v>763</v>
      </c>
      <c r="F1627" t="s">
        <v>13403</v>
      </c>
    </row>
    <row r="1628" spans="1:6" x14ac:dyDescent="0.25">
      <c r="A1628" t="s">
        <v>13404</v>
      </c>
      <c r="B1628" t="s">
        <v>13363</v>
      </c>
      <c r="C1628" t="s">
        <v>13364</v>
      </c>
      <c r="D1628">
        <v>2021</v>
      </c>
      <c r="E1628" t="s">
        <v>763</v>
      </c>
      <c r="F1628" t="s">
        <v>13405</v>
      </c>
    </row>
    <row r="1629" spans="1:6" x14ac:dyDescent="0.25">
      <c r="A1629" t="s">
        <v>13406</v>
      </c>
      <c r="B1629" t="s">
        <v>13363</v>
      </c>
      <c r="C1629" t="s">
        <v>13364</v>
      </c>
      <c r="D1629">
        <v>2021</v>
      </c>
      <c r="E1629" t="s">
        <v>763</v>
      </c>
      <c r="F1629" t="s">
        <v>13407</v>
      </c>
    </row>
    <row r="1630" spans="1:6" x14ac:dyDescent="0.25">
      <c r="A1630" t="s">
        <v>13408</v>
      </c>
      <c r="B1630" t="s">
        <v>13363</v>
      </c>
      <c r="C1630" t="s">
        <v>13364</v>
      </c>
      <c r="D1630">
        <v>2021</v>
      </c>
      <c r="E1630" t="s">
        <v>763</v>
      </c>
      <c r="F1630" t="s">
        <v>13409</v>
      </c>
    </row>
    <row r="1631" spans="1:6" x14ac:dyDescent="0.25">
      <c r="A1631" t="s">
        <v>13410</v>
      </c>
      <c r="B1631" t="s">
        <v>13363</v>
      </c>
      <c r="C1631" t="s">
        <v>13364</v>
      </c>
      <c r="D1631">
        <v>2021</v>
      </c>
      <c r="E1631" t="s">
        <v>763</v>
      </c>
      <c r="F1631" t="s">
        <v>13411</v>
      </c>
    </row>
    <row r="1632" spans="1:6" x14ac:dyDescent="0.25">
      <c r="A1632" t="s">
        <v>13412</v>
      </c>
      <c r="B1632" t="s">
        <v>13363</v>
      </c>
      <c r="C1632" t="s">
        <v>13364</v>
      </c>
      <c r="D1632">
        <v>2021</v>
      </c>
      <c r="E1632" t="s">
        <v>763</v>
      </c>
      <c r="F1632" t="s">
        <v>13413</v>
      </c>
    </row>
    <row r="1633" spans="1:6" x14ac:dyDescent="0.25">
      <c r="A1633" t="s">
        <v>13414</v>
      </c>
      <c r="B1633" t="s">
        <v>13363</v>
      </c>
      <c r="C1633" t="s">
        <v>13364</v>
      </c>
      <c r="D1633">
        <v>2021</v>
      </c>
      <c r="E1633" t="s">
        <v>763</v>
      </c>
      <c r="F1633" t="s">
        <v>13415</v>
      </c>
    </row>
    <row r="1634" spans="1:6" x14ac:dyDescent="0.25">
      <c r="A1634" t="s">
        <v>13416</v>
      </c>
      <c r="B1634" t="s">
        <v>13363</v>
      </c>
      <c r="C1634" t="s">
        <v>13364</v>
      </c>
      <c r="D1634">
        <v>2021</v>
      </c>
      <c r="E1634" t="s">
        <v>763</v>
      </c>
      <c r="F1634" t="s">
        <v>13417</v>
      </c>
    </row>
    <row r="1635" spans="1:6" x14ac:dyDescent="0.25">
      <c r="A1635" t="s">
        <v>13418</v>
      </c>
      <c r="B1635" t="s">
        <v>13363</v>
      </c>
      <c r="C1635" t="s">
        <v>13364</v>
      </c>
      <c r="D1635">
        <v>2021</v>
      </c>
      <c r="E1635" t="s">
        <v>763</v>
      </c>
      <c r="F1635" t="s">
        <v>13419</v>
      </c>
    </row>
    <row r="1636" spans="1:6" x14ac:dyDescent="0.25">
      <c r="A1636" t="s">
        <v>13420</v>
      </c>
      <c r="B1636" t="s">
        <v>13363</v>
      </c>
      <c r="C1636" t="s">
        <v>13364</v>
      </c>
      <c r="D1636">
        <v>2021</v>
      </c>
      <c r="E1636" t="s">
        <v>763</v>
      </c>
      <c r="F1636" t="s">
        <v>13421</v>
      </c>
    </row>
    <row r="1637" spans="1:6" x14ac:dyDescent="0.25">
      <c r="A1637" t="s">
        <v>13422</v>
      </c>
      <c r="B1637" t="s">
        <v>13363</v>
      </c>
      <c r="C1637" t="s">
        <v>13364</v>
      </c>
      <c r="D1637">
        <v>2021</v>
      </c>
      <c r="E1637" t="s">
        <v>763</v>
      </c>
      <c r="F1637" t="s">
        <v>13423</v>
      </c>
    </row>
    <row r="1638" spans="1:6" x14ac:dyDescent="0.25">
      <c r="A1638" t="s">
        <v>13424</v>
      </c>
      <c r="B1638" t="s">
        <v>13363</v>
      </c>
      <c r="C1638" t="s">
        <v>13364</v>
      </c>
      <c r="D1638">
        <v>2021</v>
      </c>
      <c r="E1638" t="s">
        <v>763</v>
      </c>
      <c r="F1638" t="s">
        <v>13425</v>
      </c>
    </row>
    <row r="1639" spans="1:6" x14ac:dyDescent="0.25">
      <c r="A1639" t="s">
        <v>13426</v>
      </c>
      <c r="B1639" t="s">
        <v>13363</v>
      </c>
      <c r="C1639" t="s">
        <v>13364</v>
      </c>
      <c r="D1639">
        <v>2021</v>
      </c>
      <c r="E1639" t="s">
        <v>763</v>
      </c>
      <c r="F1639" t="s">
        <v>13427</v>
      </c>
    </row>
    <row r="1640" spans="1:6" x14ac:dyDescent="0.25">
      <c r="A1640" t="s">
        <v>13428</v>
      </c>
      <c r="B1640" t="s">
        <v>13363</v>
      </c>
      <c r="C1640" t="s">
        <v>13364</v>
      </c>
      <c r="D1640">
        <v>2021</v>
      </c>
      <c r="E1640" t="s">
        <v>763</v>
      </c>
      <c r="F1640" t="s">
        <v>13429</v>
      </c>
    </row>
    <row r="1641" spans="1:6" x14ac:dyDescent="0.25">
      <c r="A1641" t="s">
        <v>13430</v>
      </c>
      <c r="B1641" t="s">
        <v>13363</v>
      </c>
      <c r="C1641" t="s">
        <v>13364</v>
      </c>
      <c r="D1641">
        <v>2021</v>
      </c>
      <c r="E1641" t="s">
        <v>763</v>
      </c>
      <c r="F1641" t="s">
        <v>13431</v>
      </c>
    </row>
    <row r="1642" spans="1:6" x14ac:dyDescent="0.25">
      <c r="A1642" t="s">
        <v>13432</v>
      </c>
      <c r="B1642" t="s">
        <v>13363</v>
      </c>
      <c r="C1642" t="s">
        <v>13364</v>
      </c>
      <c r="D1642">
        <v>2021</v>
      </c>
      <c r="E1642" t="s">
        <v>763</v>
      </c>
      <c r="F1642" t="s">
        <v>13433</v>
      </c>
    </row>
    <row r="1643" spans="1:6" x14ac:dyDescent="0.25">
      <c r="A1643" t="s">
        <v>13434</v>
      </c>
      <c r="B1643" t="s">
        <v>13363</v>
      </c>
      <c r="C1643" t="s">
        <v>13364</v>
      </c>
      <c r="D1643">
        <v>2021</v>
      </c>
      <c r="E1643" t="s">
        <v>763</v>
      </c>
      <c r="F1643" t="s">
        <v>13435</v>
      </c>
    </row>
    <row r="1644" spans="1:6" x14ac:dyDescent="0.25">
      <c r="A1644" t="s">
        <v>13436</v>
      </c>
      <c r="B1644" t="s">
        <v>13363</v>
      </c>
      <c r="C1644" t="s">
        <v>13364</v>
      </c>
      <c r="D1644">
        <v>2021</v>
      </c>
      <c r="E1644" t="s">
        <v>763</v>
      </c>
      <c r="F1644" t="s">
        <v>13437</v>
      </c>
    </row>
    <row r="1645" spans="1:6" x14ac:dyDescent="0.25">
      <c r="A1645" t="s">
        <v>13438</v>
      </c>
      <c r="B1645" t="s">
        <v>13363</v>
      </c>
      <c r="C1645" t="s">
        <v>13364</v>
      </c>
      <c r="D1645">
        <v>2021</v>
      </c>
      <c r="E1645" t="s">
        <v>763</v>
      </c>
      <c r="F1645" t="s">
        <v>13439</v>
      </c>
    </row>
    <row r="1646" spans="1:6" x14ac:dyDescent="0.25">
      <c r="A1646" t="s">
        <v>13440</v>
      </c>
      <c r="B1646" t="s">
        <v>13363</v>
      </c>
      <c r="C1646" t="s">
        <v>13364</v>
      </c>
      <c r="D1646">
        <v>2021</v>
      </c>
      <c r="E1646" t="s">
        <v>763</v>
      </c>
      <c r="F1646" t="s">
        <v>13441</v>
      </c>
    </row>
    <row r="1647" spans="1:6" x14ac:dyDescent="0.25">
      <c r="A1647" t="s">
        <v>13442</v>
      </c>
      <c r="B1647" t="s">
        <v>13363</v>
      </c>
      <c r="C1647" t="s">
        <v>13364</v>
      </c>
      <c r="D1647">
        <v>2021</v>
      </c>
      <c r="E1647" t="s">
        <v>763</v>
      </c>
      <c r="F1647" t="s">
        <v>13443</v>
      </c>
    </row>
    <row r="1648" spans="1:6" x14ac:dyDescent="0.25">
      <c r="A1648" t="s">
        <v>13444</v>
      </c>
      <c r="B1648" t="s">
        <v>13363</v>
      </c>
      <c r="C1648" t="s">
        <v>13364</v>
      </c>
      <c r="D1648">
        <v>2021</v>
      </c>
      <c r="E1648" t="s">
        <v>763</v>
      </c>
      <c r="F1648" t="s">
        <v>13445</v>
      </c>
    </row>
    <row r="1649" spans="1:6" x14ac:dyDescent="0.25">
      <c r="A1649" t="s">
        <v>13446</v>
      </c>
      <c r="B1649" t="s">
        <v>13363</v>
      </c>
      <c r="C1649" t="s">
        <v>13364</v>
      </c>
      <c r="D1649">
        <v>2021</v>
      </c>
      <c r="E1649" t="s">
        <v>763</v>
      </c>
      <c r="F1649" t="s">
        <v>13447</v>
      </c>
    </row>
    <row r="1650" spans="1:6" x14ac:dyDescent="0.25">
      <c r="A1650" t="s">
        <v>13448</v>
      </c>
      <c r="B1650" t="s">
        <v>13363</v>
      </c>
      <c r="C1650" t="s">
        <v>13364</v>
      </c>
      <c r="D1650">
        <v>2021</v>
      </c>
      <c r="E1650" t="s">
        <v>763</v>
      </c>
      <c r="F1650" t="s">
        <v>13449</v>
      </c>
    </row>
    <row r="1651" spans="1:6" x14ac:dyDescent="0.25">
      <c r="A1651" t="s">
        <v>13450</v>
      </c>
      <c r="B1651" t="s">
        <v>13363</v>
      </c>
      <c r="C1651" t="s">
        <v>13364</v>
      </c>
      <c r="D1651">
        <v>2021</v>
      </c>
      <c r="E1651" t="s">
        <v>763</v>
      </c>
      <c r="F1651" t="s">
        <v>13451</v>
      </c>
    </row>
    <row r="1652" spans="1:6" x14ac:dyDescent="0.25">
      <c r="A1652" t="s">
        <v>13452</v>
      </c>
      <c r="B1652" t="s">
        <v>13363</v>
      </c>
      <c r="C1652" t="s">
        <v>13364</v>
      </c>
      <c r="D1652">
        <v>2021</v>
      </c>
      <c r="E1652" t="s">
        <v>763</v>
      </c>
      <c r="F1652" t="s">
        <v>13453</v>
      </c>
    </row>
    <row r="1653" spans="1:6" x14ac:dyDescent="0.25">
      <c r="A1653" t="s">
        <v>13454</v>
      </c>
      <c r="B1653" t="s">
        <v>13363</v>
      </c>
      <c r="C1653" t="s">
        <v>13364</v>
      </c>
      <c r="D1653">
        <v>2021</v>
      </c>
      <c r="E1653" t="s">
        <v>763</v>
      </c>
      <c r="F1653" t="s">
        <v>13455</v>
      </c>
    </row>
    <row r="1654" spans="1:6" x14ac:dyDescent="0.25">
      <c r="A1654" t="s">
        <v>13456</v>
      </c>
      <c r="B1654" t="s">
        <v>13363</v>
      </c>
      <c r="C1654" t="s">
        <v>13364</v>
      </c>
      <c r="D1654">
        <v>2021</v>
      </c>
      <c r="E1654" t="s">
        <v>763</v>
      </c>
      <c r="F1654" t="s">
        <v>13457</v>
      </c>
    </row>
    <row r="1655" spans="1:6" x14ac:dyDescent="0.25">
      <c r="A1655" t="s">
        <v>13458</v>
      </c>
      <c r="B1655" t="s">
        <v>13363</v>
      </c>
      <c r="C1655" t="s">
        <v>13364</v>
      </c>
      <c r="D1655">
        <v>2021</v>
      </c>
      <c r="E1655" t="s">
        <v>763</v>
      </c>
      <c r="F1655" t="s">
        <v>13459</v>
      </c>
    </row>
    <row r="1656" spans="1:6" x14ac:dyDescent="0.25">
      <c r="A1656" t="s">
        <v>13460</v>
      </c>
      <c r="B1656" t="s">
        <v>13363</v>
      </c>
      <c r="C1656" t="s">
        <v>13364</v>
      </c>
      <c r="D1656">
        <v>2021</v>
      </c>
      <c r="E1656" t="s">
        <v>763</v>
      </c>
      <c r="F1656" t="s">
        <v>13461</v>
      </c>
    </row>
    <row r="1657" spans="1:6" x14ac:dyDescent="0.25">
      <c r="A1657" t="s">
        <v>13462</v>
      </c>
      <c r="B1657" t="s">
        <v>13363</v>
      </c>
      <c r="C1657" t="s">
        <v>13364</v>
      </c>
      <c r="D1657">
        <v>2021</v>
      </c>
      <c r="E1657" t="s">
        <v>763</v>
      </c>
      <c r="F1657" t="s">
        <v>13463</v>
      </c>
    </row>
    <row r="1658" spans="1:6" x14ac:dyDescent="0.25">
      <c r="A1658" t="s">
        <v>13464</v>
      </c>
      <c r="B1658" t="s">
        <v>13363</v>
      </c>
      <c r="C1658" t="s">
        <v>13364</v>
      </c>
      <c r="D1658">
        <v>2021</v>
      </c>
      <c r="E1658" t="s">
        <v>763</v>
      </c>
      <c r="F1658" t="s">
        <v>13465</v>
      </c>
    </row>
    <row r="1659" spans="1:6" x14ac:dyDescent="0.25">
      <c r="A1659" t="s">
        <v>13466</v>
      </c>
      <c r="B1659" t="s">
        <v>13363</v>
      </c>
      <c r="C1659" t="s">
        <v>13364</v>
      </c>
      <c r="D1659">
        <v>2021</v>
      </c>
      <c r="E1659" t="s">
        <v>763</v>
      </c>
      <c r="F1659" t="s">
        <v>13467</v>
      </c>
    </row>
    <row r="1660" spans="1:6" x14ac:dyDescent="0.25">
      <c r="A1660" t="s">
        <v>13468</v>
      </c>
      <c r="B1660" t="s">
        <v>13363</v>
      </c>
      <c r="C1660" t="s">
        <v>13364</v>
      </c>
      <c r="D1660">
        <v>2021</v>
      </c>
      <c r="E1660" t="s">
        <v>763</v>
      </c>
      <c r="F1660" t="s">
        <v>13469</v>
      </c>
    </row>
    <row r="1661" spans="1:6" x14ac:dyDescent="0.25">
      <c r="A1661" t="s">
        <v>13470</v>
      </c>
      <c r="B1661" t="s">
        <v>13363</v>
      </c>
      <c r="C1661" t="s">
        <v>13364</v>
      </c>
      <c r="D1661">
        <v>2021</v>
      </c>
      <c r="E1661" t="s">
        <v>763</v>
      </c>
      <c r="F1661" t="s">
        <v>13471</v>
      </c>
    </row>
    <row r="1662" spans="1:6" x14ac:dyDescent="0.25">
      <c r="A1662" t="s">
        <v>13472</v>
      </c>
      <c r="B1662" t="s">
        <v>13363</v>
      </c>
      <c r="C1662" t="s">
        <v>13364</v>
      </c>
      <c r="D1662">
        <v>2021</v>
      </c>
      <c r="E1662" t="s">
        <v>763</v>
      </c>
      <c r="F1662" t="s">
        <v>13473</v>
      </c>
    </row>
    <row r="1663" spans="1:6" x14ac:dyDescent="0.25">
      <c r="A1663" t="s">
        <v>13474</v>
      </c>
      <c r="B1663" t="s">
        <v>13363</v>
      </c>
      <c r="C1663" t="s">
        <v>13364</v>
      </c>
      <c r="D1663">
        <v>2021</v>
      </c>
      <c r="E1663" t="s">
        <v>763</v>
      </c>
      <c r="F1663" t="s">
        <v>13475</v>
      </c>
    </row>
    <row r="1664" spans="1:6" x14ac:dyDescent="0.25">
      <c r="A1664" t="s">
        <v>13476</v>
      </c>
      <c r="B1664" t="s">
        <v>13363</v>
      </c>
      <c r="C1664" t="s">
        <v>13364</v>
      </c>
      <c r="D1664">
        <v>2021</v>
      </c>
      <c r="E1664" t="s">
        <v>763</v>
      </c>
      <c r="F1664" t="s">
        <v>13477</v>
      </c>
    </row>
    <row r="1665" spans="1:6" x14ac:dyDescent="0.25">
      <c r="A1665" t="s">
        <v>13478</v>
      </c>
      <c r="B1665" t="s">
        <v>13363</v>
      </c>
      <c r="C1665" t="s">
        <v>13364</v>
      </c>
      <c r="D1665">
        <v>2021</v>
      </c>
      <c r="E1665" t="s">
        <v>763</v>
      </c>
      <c r="F1665" t="s">
        <v>13479</v>
      </c>
    </row>
    <row r="1666" spans="1:6" x14ac:dyDescent="0.25">
      <c r="A1666" t="s">
        <v>13480</v>
      </c>
      <c r="B1666" t="s">
        <v>13363</v>
      </c>
      <c r="C1666" t="s">
        <v>13364</v>
      </c>
      <c r="D1666">
        <v>2021</v>
      </c>
      <c r="E1666" t="s">
        <v>763</v>
      </c>
      <c r="F1666" t="s">
        <v>13481</v>
      </c>
    </row>
    <row r="1667" spans="1:6" x14ac:dyDescent="0.25">
      <c r="A1667" t="s">
        <v>13482</v>
      </c>
      <c r="B1667" t="s">
        <v>13363</v>
      </c>
      <c r="C1667" t="s">
        <v>13364</v>
      </c>
      <c r="D1667">
        <v>2021</v>
      </c>
      <c r="E1667" t="s">
        <v>763</v>
      </c>
      <c r="F1667" t="s">
        <v>13483</v>
      </c>
    </row>
    <row r="1668" spans="1:6" x14ac:dyDescent="0.25">
      <c r="A1668" t="s">
        <v>13484</v>
      </c>
      <c r="B1668" t="s">
        <v>13363</v>
      </c>
      <c r="C1668" t="s">
        <v>13364</v>
      </c>
      <c r="D1668">
        <v>2021</v>
      </c>
      <c r="E1668" t="s">
        <v>763</v>
      </c>
      <c r="F1668" t="s">
        <v>13485</v>
      </c>
    </row>
    <row r="1669" spans="1:6" x14ac:dyDescent="0.25">
      <c r="A1669" t="s">
        <v>13486</v>
      </c>
      <c r="B1669" t="s">
        <v>13363</v>
      </c>
      <c r="C1669" t="s">
        <v>13364</v>
      </c>
      <c r="D1669">
        <v>2021</v>
      </c>
      <c r="E1669" t="s">
        <v>763</v>
      </c>
      <c r="F1669" t="s">
        <v>13487</v>
      </c>
    </row>
    <row r="1670" spans="1:6" x14ac:dyDescent="0.25">
      <c r="A1670" t="s">
        <v>13488</v>
      </c>
      <c r="B1670" t="s">
        <v>13363</v>
      </c>
      <c r="C1670" t="s">
        <v>13364</v>
      </c>
      <c r="D1670">
        <v>2021</v>
      </c>
      <c r="E1670" t="s">
        <v>763</v>
      </c>
      <c r="F1670" t="s">
        <v>13489</v>
      </c>
    </row>
    <row r="1671" spans="1:6" x14ac:dyDescent="0.25">
      <c r="A1671" t="s">
        <v>13490</v>
      </c>
      <c r="B1671" t="s">
        <v>13363</v>
      </c>
      <c r="C1671" t="s">
        <v>13491</v>
      </c>
      <c r="D1671">
        <v>2023</v>
      </c>
      <c r="E1671" t="s">
        <v>763</v>
      </c>
      <c r="F1671" t="s">
        <v>13492</v>
      </c>
    </row>
    <row r="1672" spans="1:6" x14ac:dyDescent="0.25">
      <c r="A1672" t="s">
        <v>13493</v>
      </c>
      <c r="B1672" t="s">
        <v>13363</v>
      </c>
      <c r="C1672" t="s">
        <v>13491</v>
      </c>
      <c r="D1672">
        <v>2023</v>
      </c>
      <c r="E1672" t="s">
        <v>763</v>
      </c>
      <c r="F1672" t="s">
        <v>13494</v>
      </c>
    </row>
    <row r="1673" spans="1:6" x14ac:dyDescent="0.25">
      <c r="A1673" t="s">
        <v>13495</v>
      </c>
      <c r="B1673" t="s">
        <v>13363</v>
      </c>
      <c r="C1673" t="s">
        <v>13491</v>
      </c>
      <c r="D1673">
        <v>2023</v>
      </c>
      <c r="E1673" t="s">
        <v>763</v>
      </c>
      <c r="F1673" t="s">
        <v>13496</v>
      </c>
    </row>
    <row r="1674" spans="1:6" x14ac:dyDescent="0.25">
      <c r="A1674" t="s">
        <v>13497</v>
      </c>
      <c r="B1674" t="s">
        <v>13363</v>
      </c>
      <c r="C1674" t="s">
        <v>13491</v>
      </c>
      <c r="D1674">
        <v>2023</v>
      </c>
      <c r="E1674" t="s">
        <v>763</v>
      </c>
      <c r="F1674" t="s">
        <v>13498</v>
      </c>
    </row>
    <row r="1675" spans="1:6" x14ac:dyDescent="0.25">
      <c r="A1675" t="s">
        <v>13499</v>
      </c>
      <c r="B1675" t="s">
        <v>13363</v>
      </c>
      <c r="C1675" t="s">
        <v>13491</v>
      </c>
      <c r="D1675">
        <v>2023</v>
      </c>
      <c r="E1675" t="s">
        <v>763</v>
      </c>
      <c r="F1675" t="s">
        <v>13500</v>
      </c>
    </row>
    <row r="1676" spans="1:6" x14ac:dyDescent="0.25">
      <c r="A1676" t="s">
        <v>13501</v>
      </c>
      <c r="B1676" t="s">
        <v>13363</v>
      </c>
      <c r="C1676" t="s">
        <v>13491</v>
      </c>
      <c r="D1676">
        <v>2023</v>
      </c>
      <c r="E1676" t="s">
        <v>763</v>
      </c>
      <c r="F1676" t="s">
        <v>13502</v>
      </c>
    </row>
    <row r="1677" spans="1:6" x14ac:dyDescent="0.25">
      <c r="A1677" t="s">
        <v>13503</v>
      </c>
      <c r="B1677" t="s">
        <v>13363</v>
      </c>
      <c r="C1677" t="s">
        <v>13491</v>
      </c>
      <c r="D1677">
        <v>2023</v>
      </c>
      <c r="E1677" t="s">
        <v>763</v>
      </c>
      <c r="F1677" t="s">
        <v>13504</v>
      </c>
    </row>
    <row r="1678" spans="1:6" x14ac:dyDescent="0.25">
      <c r="A1678" t="s">
        <v>13505</v>
      </c>
      <c r="B1678" t="s">
        <v>13363</v>
      </c>
      <c r="C1678" t="s">
        <v>13491</v>
      </c>
      <c r="D1678">
        <v>2023</v>
      </c>
      <c r="E1678" t="s">
        <v>763</v>
      </c>
      <c r="F1678" t="s">
        <v>13506</v>
      </c>
    </row>
    <row r="1679" spans="1:6" x14ac:dyDescent="0.25">
      <c r="A1679" t="s">
        <v>13507</v>
      </c>
      <c r="B1679" t="s">
        <v>13363</v>
      </c>
      <c r="C1679" t="s">
        <v>13491</v>
      </c>
      <c r="D1679">
        <v>2023</v>
      </c>
      <c r="E1679" t="s">
        <v>763</v>
      </c>
      <c r="F1679" t="s">
        <v>13508</v>
      </c>
    </row>
    <row r="1680" spans="1:6" x14ac:dyDescent="0.25">
      <c r="A1680" t="s">
        <v>13509</v>
      </c>
      <c r="B1680" t="s">
        <v>13363</v>
      </c>
      <c r="C1680" t="s">
        <v>13491</v>
      </c>
      <c r="D1680">
        <v>2023</v>
      </c>
      <c r="E1680" t="s">
        <v>763</v>
      </c>
      <c r="F1680" t="s">
        <v>13510</v>
      </c>
    </row>
    <row r="1681" spans="1:6" x14ac:dyDescent="0.25">
      <c r="A1681" t="s">
        <v>13511</v>
      </c>
      <c r="B1681" t="s">
        <v>13363</v>
      </c>
      <c r="C1681" t="s">
        <v>13491</v>
      </c>
      <c r="D1681">
        <v>2023</v>
      </c>
      <c r="E1681" t="s">
        <v>763</v>
      </c>
      <c r="F1681" t="s">
        <v>13512</v>
      </c>
    </row>
    <row r="1682" spans="1:6" x14ac:dyDescent="0.25">
      <c r="A1682" t="s">
        <v>13513</v>
      </c>
      <c r="B1682" t="s">
        <v>13363</v>
      </c>
      <c r="C1682" t="s">
        <v>13491</v>
      </c>
      <c r="D1682">
        <v>2023</v>
      </c>
      <c r="E1682" t="s">
        <v>763</v>
      </c>
      <c r="F1682" t="s">
        <v>13514</v>
      </c>
    </row>
    <row r="1683" spans="1:6" x14ac:dyDescent="0.25">
      <c r="A1683" t="s">
        <v>13515</v>
      </c>
      <c r="B1683" t="s">
        <v>13363</v>
      </c>
      <c r="C1683" t="s">
        <v>13491</v>
      </c>
      <c r="D1683">
        <v>2023</v>
      </c>
      <c r="E1683" t="s">
        <v>763</v>
      </c>
      <c r="F1683" t="s">
        <v>13516</v>
      </c>
    </row>
    <row r="1684" spans="1:6" x14ac:dyDescent="0.25">
      <c r="A1684" t="s">
        <v>13517</v>
      </c>
      <c r="B1684" t="s">
        <v>13363</v>
      </c>
      <c r="C1684" t="s">
        <v>13491</v>
      </c>
      <c r="D1684">
        <v>2023</v>
      </c>
      <c r="E1684" t="s">
        <v>763</v>
      </c>
      <c r="F1684" t="s">
        <v>13518</v>
      </c>
    </row>
    <row r="1685" spans="1:6" x14ac:dyDescent="0.25">
      <c r="A1685" t="s">
        <v>13519</v>
      </c>
      <c r="B1685" t="s">
        <v>13363</v>
      </c>
      <c r="C1685" t="s">
        <v>13491</v>
      </c>
      <c r="D1685">
        <v>2023</v>
      </c>
      <c r="E1685" t="s">
        <v>763</v>
      </c>
      <c r="F1685" t="s">
        <v>13520</v>
      </c>
    </row>
    <row r="1686" spans="1:6" x14ac:dyDescent="0.25">
      <c r="A1686" t="s">
        <v>13521</v>
      </c>
      <c r="B1686" t="s">
        <v>13363</v>
      </c>
      <c r="C1686" t="s">
        <v>13491</v>
      </c>
      <c r="D1686">
        <v>2023</v>
      </c>
      <c r="E1686" t="s">
        <v>763</v>
      </c>
      <c r="F1686" t="s">
        <v>13522</v>
      </c>
    </row>
    <row r="1687" spans="1:6" x14ac:dyDescent="0.25">
      <c r="A1687" t="s">
        <v>13523</v>
      </c>
      <c r="E1687" t="s">
        <v>904</v>
      </c>
      <c r="F1687" t="s">
        <v>13524</v>
      </c>
    </row>
    <row r="1688" spans="1:6" x14ac:dyDescent="0.25">
      <c r="A1688" t="s">
        <v>13525</v>
      </c>
      <c r="E1688" t="s">
        <v>904</v>
      </c>
      <c r="F1688" t="s">
        <v>13526</v>
      </c>
    </row>
    <row r="1689" spans="1:6" x14ac:dyDescent="0.25">
      <c r="A1689" t="s">
        <v>13527</v>
      </c>
      <c r="E1689" t="s">
        <v>904</v>
      </c>
      <c r="F1689" t="s">
        <v>13528</v>
      </c>
    </row>
    <row r="1690" spans="1:6" x14ac:dyDescent="0.25">
      <c r="A1690" t="s">
        <v>13529</v>
      </c>
      <c r="E1690" t="s">
        <v>904</v>
      </c>
      <c r="F1690" t="s">
        <v>13530</v>
      </c>
    </row>
    <row r="1691" spans="1:6" x14ac:dyDescent="0.25">
      <c r="A1691" t="s">
        <v>13531</v>
      </c>
      <c r="E1691" t="s">
        <v>904</v>
      </c>
      <c r="F1691" t="s">
        <v>13532</v>
      </c>
    </row>
    <row r="1692" spans="1:6" x14ac:dyDescent="0.25">
      <c r="A1692" t="s">
        <v>13533</v>
      </c>
      <c r="E1692" t="s">
        <v>904</v>
      </c>
      <c r="F1692" t="s">
        <v>13534</v>
      </c>
    </row>
    <row r="1693" spans="1:6" x14ac:dyDescent="0.25">
      <c r="A1693" t="s">
        <v>13535</v>
      </c>
      <c r="E1693" t="s">
        <v>904</v>
      </c>
      <c r="F1693" t="s">
        <v>13536</v>
      </c>
    </row>
    <row r="1694" spans="1:6" x14ac:dyDescent="0.25">
      <c r="A1694" t="s">
        <v>13537</v>
      </c>
      <c r="E1694" t="s">
        <v>904</v>
      </c>
      <c r="F1694" t="s">
        <v>13538</v>
      </c>
    </row>
    <row r="1695" spans="1:6" x14ac:dyDescent="0.25">
      <c r="A1695" t="s">
        <v>13539</v>
      </c>
      <c r="E1695" t="s">
        <v>904</v>
      </c>
      <c r="F1695" t="s">
        <v>13540</v>
      </c>
    </row>
    <row r="1696" spans="1:6" x14ac:dyDescent="0.25">
      <c r="A1696" t="s">
        <v>13541</v>
      </c>
      <c r="E1696" t="s">
        <v>904</v>
      </c>
      <c r="F1696" t="s">
        <v>13542</v>
      </c>
    </row>
    <row r="1697" spans="1:6" x14ac:dyDescent="0.25">
      <c r="A1697" t="s">
        <v>13543</v>
      </c>
      <c r="E1697" t="s">
        <v>904</v>
      </c>
      <c r="F1697" t="s">
        <v>13544</v>
      </c>
    </row>
    <row r="1698" spans="1:6" x14ac:dyDescent="0.25">
      <c r="A1698" t="s">
        <v>13545</v>
      </c>
      <c r="E1698" t="s">
        <v>904</v>
      </c>
      <c r="F1698" t="s">
        <v>13546</v>
      </c>
    </row>
    <row r="1699" spans="1:6" x14ac:dyDescent="0.25">
      <c r="A1699" t="s">
        <v>13547</v>
      </c>
      <c r="E1699" t="s">
        <v>904</v>
      </c>
      <c r="F1699" t="s">
        <v>13548</v>
      </c>
    </row>
    <row r="1700" spans="1:6" x14ac:dyDescent="0.25">
      <c r="A1700" t="s">
        <v>13549</v>
      </c>
      <c r="E1700" t="s">
        <v>904</v>
      </c>
      <c r="F1700" t="s">
        <v>13550</v>
      </c>
    </row>
    <row r="1701" spans="1:6" x14ac:dyDescent="0.25">
      <c r="A1701" t="s">
        <v>13551</v>
      </c>
      <c r="E1701" t="s">
        <v>904</v>
      </c>
      <c r="F1701" t="s">
        <v>13552</v>
      </c>
    </row>
    <row r="1702" spans="1:6" x14ac:dyDescent="0.25">
      <c r="A1702" t="s">
        <v>13553</v>
      </c>
      <c r="E1702" t="s">
        <v>904</v>
      </c>
      <c r="F1702" t="s">
        <v>13554</v>
      </c>
    </row>
    <row r="1703" spans="1:6" x14ac:dyDescent="0.25">
      <c r="A1703" t="s">
        <v>13555</v>
      </c>
      <c r="E1703" t="s">
        <v>904</v>
      </c>
      <c r="F1703" t="s">
        <v>13556</v>
      </c>
    </row>
    <row r="1704" spans="1:6" x14ac:dyDescent="0.25">
      <c r="A1704" t="s">
        <v>13557</v>
      </c>
      <c r="E1704" t="s">
        <v>904</v>
      </c>
      <c r="F1704" t="s">
        <v>13558</v>
      </c>
    </row>
    <row r="1705" spans="1:6" x14ac:dyDescent="0.25">
      <c r="A1705" t="s">
        <v>13559</v>
      </c>
      <c r="B1705" t="s">
        <v>13560</v>
      </c>
      <c r="C1705" t="s">
        <v>13561</v>
      </c>
      <c r="E1705" t="s">
        <v>904</v>
      </c>
      <c r="F1705" t="s">
        <v>13562</v>
      </c>
    </row>
    <row r="1706" spans="1:6" x14ac:dyDescent="0.25">
      <c r="A1706" t="s">
        <v>13563</v>
      </c>
      <c r="B1706" t="s">
        <v>13560</v>
      </c>
      <c r="C1706" t="s">
        <v>13561</v>
      </c>
      <c r="E1706" t="s">
        <v>904</v>
      </c>
      <c r="F1706" t="s">
        <v>13564</v>
      </c>
    </row>
    <row r="1707" spans="1:6" x14ac:dyDescent="0.25">
      <c r="A1707" t="s">
        <v>13565</v>
      </c>
      <c r="B1707" t="s">
        <v>13560</v>
      </c>
      <c r="C1707" t="s">
        <v>13561</v>
      </c>
      <c r="E1707" t="s">
        <v>904</v>
      </c>
      <c r="F1707" t="s">
        <v>13566</v>
      </c>
    </row>
    <row r="1708" spans="1:6" x14ac:dyDescent="0.25">
      <c r="A1708" t="s">
        <v>13567</v>
      </c>
      <c r="B1708" t="s">
        <v>13560</v>
      </c>
      <c r="C1708" t="s">
        <v>13561</v>
      </c>
      <c r="E1708" t="s">
        <v>904</v>
      </c>
      <c r="F1708" t="s">
        <v>13568</v>
      </c>
    </row>
    <row r="1709" spans="1:6" x14ac:dyDescent="0.25">
      <c r="A1709" t="s">
        <v>13569</v>
      </c>
      <c r="B1709" t="s">
        <v>13560</v>
      </c>
      <c r="C1709" t="s">
        <v>13561</v>
      </c>
      <c r="E1709" t="s">
        <v>904</v>
      </c>
      <c r="F1709" t="s">
        <v>13570</v>
      </c>
    </row>
    <row r="1710" spans="1:6" x14ac:dyDescent="0.25">
      <c r="A1710" t="s">
        <v>13571</v>
      </c>
      <c r="B1710" t="s">
        <v>13560</v>
      </c>
      <c r="C1710" t="s">
        <v>13561</v>
      </c>
      <c r="E1710" t="s">
        <v>904</v>
      </c>
      <c r="F1710" t="s">
        <v>13572</v>
      </c>
    </row>
    <row r="1711" spans="1:6" x14ac:dyDescent="0.25">
      <c r="A1711" t="s">
        <v>13573</v>
      </c>
      <c r="B1711" t="s">
        <v>13560</v>
      </c>
      <c r="C1711" t="s">
        <v>13561</v>
      </c>
      <c r="E1711" t="s">
        <v>904</v>
      </c>
      <c r="F1711" t="s">
        <v>13574</v>
      </c>
    </row>
    <row r="1712" spans="1:6" x14ac:dyDescent="0.25">
      <c r="A1712" t="s">
        <v>13575</v>
      </c>
      <c r="B1712" t="s">
        <v>13560</v>
      </c>
      <c r="C1712" t="s">
        <v>13561</v>
      </c>
      <c r="E1712" t="s">
        <v>904</v>
      </c>
      <c r="F1712" t="s">
        <v>13576</v>
      </c>
    </row>
    <row r="1713" spans="1:6" x14ac:dyDescent="0.25">
      <c r="A1713" t="s">
        <v>13577</v>
      </c>
      <c r="B1713" t="s">
        <v>13560</v>
      </c>
      <c r="C1713" t="s">
        <v>13561</v>
      </c>
      <c r="E1713" t="s">
        <v>904</v>
      </c>
      <c r="F1713" t="s">
        <v>13578</v>
      </c>
    </row>
    <row r="1714" spans="1:6" x14ac:dyDescent="0.25">
      <c r="A1714" t="s">
        <v>13579</v>
      </c>
      <c r="B1714" t="s">
        <v>13560</v>
      </c>
      <c r="C1714" t="s">
        <v>13561</v>
      </c>
      <c r="E1714" t="s">
        <v>904</v>
      </c>
      <c r="F1714" t="s">
        <v>13580</v>
      </c>
    </row>
    <row r="1715" spans="1:6" x14ac:dyDescent="0.25">
      <c r="A1715" t="s">
        <v>13581</v>
      </c>
      <c r="B1715" t="s">
        <v>13560</v>
      </c>
      <c r="C1715" t="s">
        <v>13561</v>
      </c>
      <c r="E1715" t="s">
        <v>904</v>
      </c>
      <c r="F1715" t="s">
        <v>13582</v>
      </c>
    </row>
    <row r="1716" spans="1:6" x14ac:dyDescent="0.25">
      <c r="A1716" t="s">
        <v>13583</v>
      </c>
      <c r="B1716" t="s">
        <v>13560</v>
      </c>
      <c r="C1716" t="s">
        <v>13561</v>
      </c>
      <c r="E1716" t="s">
        <v>904</v>
      </c>
      <c r="F1716" t="s">
        <v>13584</v>
      </c>
    </row>
    <row r="1717" spans="1:6" x14ac:dyDescent="0.25">
      <c r="A1717" t="s">
        <v>13585</v>
      </c>
      <c r="B1717" t="s">
        <v>13560</v>
      </c>
      <c r="C1717" t="s">
        <v>13561</v>
      </c>
      <c r="E1717" t="s">
        <v>904</v>
      </c>
      <c r="F1717" t="s">
        <v>13586</v>
      </c>
    </row>
    <row r="1718" spans="1:6" x14ac:dyDescent="0.25">
      <c r="A1718" t="s">
        <v>13587</v>
      </c>
      <c r="B1718" t="s">
        <v>13560</v>
      </c>
      <c r="C1718" t="s">
        <v>13561</v>
      </c>
      <c r="E1718" t="s">
        <v>904</v>
      </c>
      <c r="F1718" t="s">
        <v>13588</v>
      </c>
    </row>
    <row r="1719" spans="1:6" x14ac:dyDescent="0.25">
      <c r="A1719" t="s">
        <v>13589</v>
      </c>
      <c r="B1719" t="s">
        <v>13560</v>
      </c>
      <c r="C1719" t="s">
        <v>13561</v>
      </c>
      <c r="E1719" t="s">
        <v>904</v>
      </c>
      <c r="F1719" t="s">
        <v>13590</v>
      </c>
    </row>
    <row r="1720" spans="1:6" x14ac:dyDescent="0.25">
      <c r="A1720" t="s">
        <v>13591</v>
      </c>
      <c r="B1720" t="s">
        <v>13560</v>
      </c>
      <c r="C1720" t="s">
        <v>13592</v>
      </c>
      <c r="D1720">
        <v>2023</v>
      </c>
      <c r="E1720" t="s">
        <v>904</v>
      </c>
      <c r="F1720" t="s">
        <v>13593</v>
      </c>
    </row>
    <row r="1721" spans="1:6" x14ac:dyDescent="0.25">
      <c r="A1721" t="s">
        <v>13594</v>
      </c>
      <c r="B1721" t="s">
        <v>13560</v>
      </c>
      <c r="C1721" t="s">
        <v>13592</v>
      </c>
      <c r="D1721">
        <v>2023</v>
      </c>
      <c r="E1721" t="s">
        <v>904</v>
      </c>
      <c r="F1721" t="s">
        <v>13595</v>
      </c>
    </row>
    <row r="1722" spans="1:6" x14ac:dyDescent="0.25">
      <c r="A1722" t="s">
        <v>13596</v>
      </c>
      <c r="E1722" t="s">
        <v>904</v>
      </c>
      <c r="F1722" t="s">
        <v>13597</v>
      </c>
    </row>
    <row r="1723" spans="1:6" x14ac:dyDescent="0.25">
      <c r="A1723" t="s">
        <v>13598</v>
      </c>
      <c r="E1723" t="s">
        <v>904</v>
      </c>
      <c r="F1723" t="s">
        <v>13599</v>
      </c>
    </row>
    <row r="1724" spans="1:6" x14ac:dyDescent="0.25">
      <c r="A1724" t="s">
        <v>13600</v>
      </c>
      <c r="E1724" t="s">
        <v>904</v>
      </c>
      <c r="F1724" t="s">
        <v>13601</v>
      </c>
    </row>
    <row r="1725" spans="1:6" x14ac:dyDescent="0.25">
      <c r="A1725" t="s">
        <v>13602</v>
      </c>
      <c r="E1725" t="s">
        <v>904</v>
      </c>
      <c r="F1725" t="s">
        <v>13603</v>
      </c>
    </row>
    <row r="1726" spans="1:6" x14ac:dyDescent="0.25">
      <c r="A1726" t="s">
        <v>13604</v>
      </c>
      <c r="E1726" t="s">
        <v>904</v>
      </c>
      <c r="F1726" t="s">
        <v>13605</v>
      </c>
    </row>
    <row r="1727" spans="1:6" x14ac:dyDescent="0.25">
      <c r="A1727" t="s">
        <v>13606</v>
      </c>
      <c r="E1727" t="s">
        <v>904</v>
      </c>
      <c r="F1727" t="s">
        <v>13607</v>
      </c>
    </row>
    <row r="1728" spans="1:6" x14ac:dyDescent="0.25">
      <c r="A1728" t="s">
        <v>13608</v>
      </c>
      <c r="E1728" t="s">
        <v>904</v>
      </c>
      <c r="F1728" t="s">
        <v>13609</v>
      </c>
    </row>
    <row r="1729" spans="1:6" x14ac:dyDescent="0.25">
      <c r="A1729" t="s">
        <v>13610</v>
      </c>
      <c r="E1729" t="s">
        <v>904</v>
      </c>
      <c r="F1729" t="s">
        <v>13611</v>
      </c>
    </row>
    <row r="1730" spans="1:6" x14ac:dyDescent="0.25">
      <c r="A1730" t="s">
        <v>13612</v>
      </c>
      <c r="E1730" t="s">
        <v>904</v>
      </c>
      <c r="F1730" t="s">
        <v>13613</v>
      </c>
    </row>
    <row r="1731" spans="1:6" x14ac:dyDescent="0.25">
      <c r="A1731" t="s">
        <v>13614</v>
      </c>
      <c r="E1731" t="s">
        <v>904</v>
      </c>
      <c r="F1731" t="s">
        <v>13615</v>
      </c>
    </row>
    <row r="1732" spans="1:6" x14ac:dyDescent="0.25">
      <c r="A1732" t="s">
        <v>13616</v>
      </c>
      <c r="E1732" t="s">
        <v>904</v>
      </c>
      <c r="F1732" t="s">
        <v>13617</v>
      </c>
    </row>
    <row r="1733" spans="1:6" x14ac:dyDescent="0.25">
      <c r="A1733" t="s">
        <v>13618</v>
      </c>
      <c r="E1733" t="s">
        <v>904</v>
      </c>
      <c r="F1733" t="s">
        <v>13619</v>
      </c>
    </row>
    <row r="1734" spans="1:6" x14ac:dyDescent="0.25">
      <c r="A1734" t="s">
        <v>13620</v>
      </c>
      <c r="E1734" t="s">
        <v>904</v>
      </c>
      <c r="F1734" t="s">
        <v>13621</v>
      </c>
    </row>
    <row r="1735" spans="1:6" x14ac:dyDescent="0.25">
      <c r="A1735" t="s">
        <v>13622</v>
      </c>
      <c r="E1735" t="s">
        <v>904</v>
      </c>
      <c r="F1735" t="s">
        <v>13623</v>
      </c>
    </row>
    <row r="1736" spans="1:6" x14ac:dyDescent="0.25">
      <c r="A1736" t="s">
        <v>13624</v>
      </c>
      <c r="E1736" t="s">
        <v>904</v>
      </c>
      <c r="F1736" t="s">
        <v>13625</v>
      </c>
    </row>
    <row r="1737" spans="1:6" x14ac:dyDescent="0.25">
      <c r="A1737" t="s">
        <v>13626</v>
      </c>
      <c r="E1737" t="s">
        <v>904</v>
      </c>
      <c r="F1737" t="s">
        <v>13627</v>
      </c>
    </row>
    <row r="1738" spans="1:6" x14ac:dyDescent="0.25">
      <c r="A1738" t="s">
        <v>13628</v>
      </c>
      <c r="E1738" t="s">
        <v>904</v>
      </c>
      <c r="F1738" t="s">
        <v>13629</v>
      </c>
    </row>
    <row r="1739" spans="1:6" x14ac:dyDescent="0.25">
      <c r="A1739" t="s">
        <v>13630</v>
      </c>
      <c r="E1739" t="s">
        <v>904</v>
      </c>
      <c r="F1739" t="s">
        <v>13631</v>
      </c>
    </row>
    <row r="1740" spans="1:6" x14ac:dyDescent="0.25">
      <c r="A1740" t="s">
        <v>13632</v>
      </c>
      <c r="B1740" t="s">
        <v>13560</v>
      </c>
      <c r="C1740" t="s">
        <v>13633</v>
      </c>
      <c r="E1740" t="s">
        <v>904</v>
      </c>
      <c r="F1740" t="s">
        <v>13634</v>
      </c>
    </row>
    <row r="1741" spans="1:6" x14ac:dyDescent="0.25">
      <c r="A1741" t="s">
        <v>13635</v>
      </c>
      <c r="B1741" t="s">
        <v>13560</v>
      </c>
      <c r="C1741" t="s">
        <v>13633</v>
      </c>
      <c r="E1741" t="s">
        <v>904</v>
      </c>
      <c r="F1741" t="s">
        <v>13636</v>
      </c>
    </row>
    <row r="1742" spans="1:6" x14ac:dyDescent="0.25">
      <c r="A1742" t="s">
        <v>13637</v>
      </c>
      <c r="B1742" t="s">
        <v>13560</v>
      </c>
      <c r="C1742" t="s">
        <v>13633</v>
      </c>
      <c r="E1742" t="s">
        <v>904</v>
      </c>
      <c r="F1742" t="s">
        <v>13638</v>
      </c>
    </row>
    <row r="1743" spans="1:6" x14ac:dyDescent="0.25">
      <c r="A1743" t="s">
        <v>13639</v>
      </c>
      <c r="B1743" t="s">
        <v>13560</v>
      </c>
      <c r="C1743" t="s">
        <v>13633</v>
      </c>
      <c r="E1743" t="s">
        <v>904</v>
      </c>
      <c r="F1743" t="s">
        <v>13640</v>
      </c>
    </row>
    <row r="1744" spans="1:6" x14ac:dyDescent="0.25">
      <c r="A1744" t="s">
        <v>13641</v>
      </c>
      <c r="B1744" t="s">
        <v>13560</v>
      </c>
      <c r="C1744" t="s">
        <v>13633</v>
      </c>
      <c r="E1744" t="s">
        <v>904</v>
      </c>
      <c r="F1744" t="s">
        <v>13642</v>
      </c>
    </row>
    <row r="1745" spans="1:6" x14ac:dyDescent="0.25">
      <c r="A1745" t="s">
        <v>13643</v>
      </c>
      <c r="B1745" t="s">
        <v>13560</v>
      </c>
      <c r="C1745" t="s">
        <v>13633</v>
      </c>
      <c r="E1745" t="s">
        <v>904</v>
      </c>
      <c r="F1745" t="s">
        <v>13644</v>
      </c>
    </row>
    <row r="1746" spans="1:6" x14ac:dyDescent="0.25">
      <c r="A1746" t="s">
        <v>13645</v>
      </c>
      <c r="B1746" t="s">
        <v>13560</v>
      </c>
      <c r="C1746" t="s">
        <v>13633</v>
      </c>
      <c r="E1746" t="s">
        <v>904</v>
      </c>
      <c r="F1746" t="s">
        <v>13646</v>
      </c>
    </row>
    <row r="1747" spans="1:6" x14ac:dyDescent="0.25">
      <c r="A1747" t="s">
        <v>13647</v>
      </c>
      <c r="B1747" t="s">
        <v>13560</v>
      </c>
      <c r="C1747" t="s">
        <v>13633</v>
      </c>
      <c r="E1747" t="s">
        <v>904</v>
      </c>
      <c r="F1747" t="s">
        <v>13648</v>
      </c>
    </row>
    <row r="1748" spans="1:6" x14ac:dyDescent="0.25">
      <c r="A1748" t="s">
        <v>13649</v>
      </c>
      <c r="B1748" t="s">
        <v>13560</v>
      </c>
      <c r="C1748" t="s">
        <v>13633</v>
      </c>
      <c r="E1748" t="s">
        <v>904</v>
      </c>
      <c r="F1748" t="s">
        <v>13650</v>
      </c>
    </row>
    <row r="1749" spans="1:6" x14ac:dyDescent="0.25">
      <c r="A1749" t="s">
        <v>13651</v>
      </c>
      <c r="B1749" t="s">
        <v>13560</v>
      </c>
      <c r="C1749" t="s">
        <v>13633</v>
      </c>
      <c r="E1749" t="s">
        <v>904</v>
      </c>
      <c r="F1749" t="s">
        <v>13652</v>
      </c>
    </row>
    <row r="1750" spans="1:6" x14ac:dyDescent="0.25">
      <c r="A1750" t="s">
        <v>13653</v>
      </c>
      <c r="B1750" t="s">
        <v>13560</v>
      </c>
      <c r="C1750" t="s">
        <v>13633</v>
      </c>
      <c r="E1750" t="s">
        <v>904</v>
      </c>
      <c r="F1750" t="s">
        <v>13654</v>
      </c>
    </row>
    <row r="1751" spans="1:6" x14ac:dyDescent="0.25">
      <c r="A1751" t="s">
        <v>13655</v>
      </c>
      <c r="B1751" t="s">
        <v>13560</v>
      </c>
      <c r="C1751" t="s">
        <v>13633</v>
      </c>
      <c r="E1751" t="s">
        <v>904</v>
      </c>
      <c r="F1751" t="s">
        <v>13656</v>
      </c>
    </row>
    <row r="1752" spans="1:6" x14ac:dyDescent="0.25">
      <c r="A1752" t="s">
        <v>13657</v>
      </c>
      <c r="B1752" t="s">
        <v>13560</v>
      </c>
      <c r="C1752" t="s">
        <v>13633</v>
      </c>
      <c r="E1752" t="s">
        <v>904</v>
      </c>
      <c r="F1752" t="s">
        <v>13658</v>
      </c>
    </row>
    <row r="1753" spans="1:6" x14ac:dyDescent="0.25">
      <c r="A1753" t="s">
        <v>13659</v>
      </c>
      <c r="B1753" t="s">
        <v>13560</v>
      </c>
      <c r="C1753" t="s">
        <v>13633</v>
      </c>
      <c r="E1753" t="s">
        <v>904</v>
      </c>
      <c r="F1753" t="s">
        <v>13660</v>
      </c>
    </row>
    <row r="1754" spans="1:6" x14ac:dyDescent="0.25">
      <c r="A1754" t="s">
        <v>13661</v>
      </c>
      <c r="B1754" t="s">
        <v>13560</v>
      </c>
      <c r="C1754" t="s">
        <v>13633</v>
      </c>
      <c r="E1754" t="s">
        <v>904</v>
      </c>
      <c r="F1754" t="s">
        <v>13662</v>
      </c>
    </row>
    <row r="1755" spans="1:6" x14ac:dyDescent="0.25">
      <c r="A1755" t="s">
        <v>13663</v>
      </c>
      <c r="B1755" t="s">
        <v>13664</v>
      </c>
      <c r="C1755" t="s">
        <v>13665</v>
      </c>
      <c r="D1755">
        <v>2022</v>
      </c>
      <c r="E1755" t="s">
        <v>904</v>
      </c>
      <c r="F1755" t="s">
        <v>13666</v>
      </c>
    </row>
    <row r="1756" spans="1:6" x14ac:dyDescent="0.25">
      <c r="A1756" t="s">
        <v>13667</v>
      </c>
      <c r="B1756" t="s">
        <v>13664</v>
      </c>
      <c r="C1756" t="s">
        <v>13665</v>
      </c>
      <c r="D1756">
        <v>2022</v>
      </c>
      <c r="E1756" t="s">
        <v>904</v>
      </c>
      <c r="F1756" t="s">
        <v>13668</v>
      </c>
    </row>
    <row r="1757" spans="1:6" x14ac:dyDescent="0.25">
      <c r="A1757" t="s">
        <v>13669</v>
      </c>
      <c r="B1757" t="s">
        <v>10036</v>
      </c>
      <c r="C1757" t="s">
        <v>13670</v>
      </c>
      <c r="D1757">
        <v>2025</v>
      </c>
      <c r="E1757" t="s">
        <v>1298</v>
      </c>
      <c r="F1757" t="s">
        <v>13671</v>
      </c>
    </row>
    <row r="1758" spans="1:6" x14ac:dyDescent="0.25">
      <c r="A1758" t="s">
        <v>13672</v>
      </c>
      <c r="B1758" t="s">
        <v>10036</v>
      </c>
      <c r="C1758" t="s">
        <v>13670</v>
      </c>
      <c r="D1758">
        <v>2025</v>
      </c>
      <c r="E1758" t="s">
        <v>1298</v>
      </c>
      <c r="F1758" t="s">
        <v>13673</v>
      </c>
    </row>
    <row r="1759" spans="1:6" x14ac:dyDescent="0.25">
      <c r="A1759" t="s">
        <v>13674</v>
      </c>
      <c r="B1759" t="s">
        <v>10036</v>
      </c>
      <c r="C1759" t="s">
        <v>13670</v>
      </c>
      <c r="D1759">
        <v>2025</v>
      </c>
      <c r="E1759" t="s">
        <v>1298</v>
      </c>
      <c r="F1759" t="s">
        <v>13675</v>
      </c>
    </row>
    <row r="1760" spans="1:6" x14ac:dyDescent="0.25">
      <c r="A1760" t="s">
        <v>13676</v>
      </c>
      <c r="B1760" t="s">
        <v>10036</v>
      </c>
      <c r="C1760" t="s">
        <v>13670</v>
      </c>
      <c r="D1760">
        <v>2025</v>
      </c>
      <c r="E1760" t="s">
        <v>1298</v>
      </c>
      <c r="F1760" t="s">
        <v>13677</v>
      </c>
    </row>
    <row r="1761" spans="1:6" x14ac:dyDescent="0.25">
      <c r="A1761" t="s">
        <v>13678</v>
      </c>
      <c r="B1761" t="s">
        <v>10036</v>
      </c>
      <c r="C1761" t="s">
        <v>13670</v>
      </c>
      <c r="D1761">
        <v>2025</v>
      </c>
      <c r="E1761" t="s">
        <v>1298</v>
      </c>
      <c r="F1761" t="s">
        <v>13679</v>
      </c>
    </row>
    <row r="1762" spans="1:6" x14ac:dyDescent="0.25">
      <c r="A1762" t="s">
        <v>13680</v>
      </c>
      <c r="B1762" t="s">
        <v>10036</v>
      </c>
      <c r="C1762" t="s">
        <v>13670</v>
      </c>
      <c r="D1762">
        <v>2025</v>
      </c>
      <c r="E1762" t="s">
        <v>1298</v>
      </c>
      <c r="F1762" t="s">
        <v>13681</v>
      </c>
    </row>
    <row r="1763" spans="1:6" x14ac:dyDescent="0.25">
      <c r="A1763" t="s">
        <v>13682</v>
      </c>
      <c r="B1763" t="s">
        <v>10036</v>
      </c>
      <c r="C1763" t="s">
        <v>13670</v>
      </c>
      <c r="D1763">
        <v>2025</v>
      </c>
      <c r="E1763" t="s">
        <v>1298</v>
      </c>
      <c r="F1763" t="s">
        <v>13683</v>
      </c>
    </row>
    <row r="1764" spans="1:6" x14ac:dyDescent="0.25">
      <c r="A1764" t="s">
        <v>13684</v>
      </c>
      <c r="B1764" t="s">
        <v>10036</v>
      </c>
      <c r="C1764" t="s">
        <v>13670</v>
      </c>
      <c r="D1764">
        <v>2025</v>
      </c>
      <c r="E1764" t="s">
        <v>1298</v>
      </c>
      <c r="F1764" t="s">
        <v>13685</v>
      </c>
    </row>
    <row r="1765" spans="1:6" x14ac:dyDescent="0.25">
      <c r="A1765" t="s">
        <v>13686</v>
      </c>
      <c r="B1765" t="s">
        <v>10036</v>
      </c>
      <c r="C1765" t="s">
        <v>13670</v>
      </c>
      <c r="D1765">
        <v>2025</v>
      </c>
      <c r="E1765" t="s">
        <v>1298</v>
      </c>
      <c r="F1765" t="s">
        <v>13687</v>
      </c>
    </row>
    <row r="1766" spans="1:6" x14ac:dyDescent="0.25">
      <c r="A1766" t="s">
        <v>13688</v>
      </c>
      <c r="B1766" t="s">
        <v>10036</v>
      </c>
      <c r="C1766" t="s">
        <v>13670</v>
      </c>
      <c r="D1766">
        <v>2025</v>
      </c>
      <c r="E1766" t="s">
        <v>1298</v>
      </c>
      <c r="F1766" t="s">
        <v>13689</v>
      </c>
    </row>
    <row r="1767" spans="1:6" x14ac:dyDescent="0.25">
      <c r="A1767" t="s">
        <v>13690</v>
      </c>
      <c r="B1767" t="s">
        <v>10036</v>
      </c>
      <c r="C1767" t="s">
        <v>13670</v>
      </c>
      <c r="D1767">
        <v>2025</v>
      </c>
      <c r="E1767" t="s">
        <v>1298</v>
      </c>
      <c r="F1767" t="s">
        <v>13691</v>
      </c>
    </row>
    <row r="1768" spans="1:6" x14ac:dyDescent="0.25">
      <c r="A1768" t="s">
        <v>13692</v>
      </c>
      <c r="B1768" t="s">
        <v>10036</v>
      </c>
      <c r="C1768" t="s">
        <v>13670</v>
      </c>
      <c r="D1768">
        <v>2025</v>
      </c>
      <c r="E1768" t="s">
        <v>1298</v>
      </c>
      <c r="F1768" t="s">
        <v>13693</v>
      </c>
    </row>
    <row r="1769" spans="1:6" x14ac:dyDescent="0.25">
      <c r="A1769" t="s">
        <v>13694</v>
      </c>
      <c r="B1769" t="s">
        <v>10036</v>
      </c>
      <c r="C1769" t="s">
        <v>13670</v>
      </c>
      <c r="D1769">
        <v>2025</v>
      </c>
      <c r="E1769" t="s">
        <v>1298</v>
      </c>
      <c r="F1769" t="s">
        <v>13695</v>
      </c>
    </row>
    <row r="1770" spans="1:6" x14ac:dyDescent="0.25">
      <c r="A1770" t="s">
        <v>13696</v>
      </c>
      <c r="B1770" t="s">
        <v>10036</v>
      </c>
      <c r="C1770" t="s">
        <v>13670</v>
      </c>
      <c r="D1770">
        <v>2025</v>
      </c>
      <c r="E1770" t="s">
        <v>1298</v>
      </c>
      <c r="F1770" t="s">
        <v>13697</v>
      </c>
    </row>
    <row r="1771" spans="1:6" x14ac:dyDescent="0.25">
      <c r="A1771" t="s">
        <v>13698</v>
      </c>
      <c r="B1771" t="s">
        <v>10036</v>
      </c>
      <c r="C1771" t="s">
        <v>13670</v>
      </c>
      <c r="D1771">
        <v>2025</v>
      </c>
      <c r="E1771" t="s">
        <v>1298</v>
      </c>
      <c r="F1771" t="s">
        <v>13699</v>
      </c>
    </row>
    <row r="1772" spans="1:6" x14ac:dyDescent="0.25">
      <c r="A1772" t="s">
        <v>13700</v>
      </c>
      <c r="B1772" t="s">
        <v>10036</v>
      </c>
      <c r="C1772" t="s">
        <v>13670</v>
      </c>
      <c r="D1772">
        <v>2025</v>
      </c>
      <c r="E1772" t="s">
        <v>1298</v>
      </c>
      <c r="F1772" t="s">
        <v>13701</v>
      </c>
    </row>
    <row r="1773" spans="1:6" x14ac:dyDescent="0.25">
      <c r="A1773" t="s">
        <v>13702</v>
      </c>
      <c r="B1773" t="s">
        <v>10036</v>
      </c>
      <c r="C1773" t="s">
        <v>13670</v>
      </c>
      <c r="D1773">
        <v>2025</v>
      </c>
      <c r="E1773" t="s">
        <v>1298</v>
      </c>
      <c r="F1773" t="s">
        <v>13703</v>
      </c>
    </row>
    <row r="1774" spans="1:6" x14ac:dyDescent="0.25">
      <c r="A1774" t="s">
        <v>13704</v>
      </c>
      <c r="B1774" t="s">
        <v>10036</v>
      </c>
      <c r="C1774" t="s">
        <v>13670</v>
      </c>
      <c r="D1774">
        <v>2025</v>
      </c>
      <c r="E1774" t="s">
        <v>1298</v>
      </c>
      <c r="F1774" t="s">
        <v>13705</v>
      </c>
    </row>
    <row r="1775" spans="1:6" x14ac:dyDescent="0.25">
      <c r="A1775" t="s">
        <v>13706</v>
      </c>
      <c r="B1775" t="s">
        <v>10036</v>
      </c>
      <c r="C1775" t="s">
        <v>13670</v>
      </c>
      <c r="D1775">
        <v>2025</v>
      </c>
      <c r="E1775" t="s">
        <v>1298</v>
      </c>
      <c r="F1775" t="s">
        <v>13707</v>
      </c>
    </row>
    <row r="1776" spans="1:6" x14ac:dyDescent="0.25">
      <c r="A1776" t="s">
        <v>13708</v>
      </c>
      <c r="B1776" t="s">
        <v>10036</v>
      </c>
      <c r="C1776" t="s">
        <v>13670</v>
      </c>
      <c r="D1776">
        <v>2025</v>
      </c>
      <c r="E1776" t="s">
        <v>1298</v>
      </c>
      <c r="F1776" t="s">
        <v>13709</v>
      </c>
    </row>
    <row r="1777" spans="1:6" x14ac:dyDescent="0.25">
      <c r="A1777" t="s">
        <v>13710</v>
      </c>
      <c r="B1777" t="s">
        <v>10036</v>
      </c>
      <c r="C1777" t="s">
        <v>13670</v>
      </c>
      <c r="D1777">
        <v>2025</v>
      </c>
      <c r="E1777" t="s">
        <v>1298</v>
      </c>
      <c r="F1777" t="s">
        <v>13711</v>
      </c>
    </row>
    <row r="1778" spans="1:6" x14ac:dyDescent="0.25">
      <c r="A1778" t="s">
        <v>13712</v>
      </c>
      <c r="B1778" t="s">
        <v>10036</v>
      </c>
      <c r="C1778" t="s">
        <v>13670</v>
      </c>
      <c r="D1778">
        <v>2025</v>
      </c>
      <c r="E1778" t="s">
        <v>1298</v>
      </c>
      <c r="F1778" t="s">
        <v>13713</v>
      </c>
    </row>
    <row r="1779" spans="1:6" x14ac:dyDescent="0.25">
      <c r="A1779" t="s">
        <v>13714</v>
      </c>
      <c r="B1779" t="s">
        <v>10036</v>
      </c>
      <c r="C1779" t="s">
        <v>13670</v>
      </c>
      <c r="D1779">
        <v>2025</v>
      </c>
      <c r="E1779" t="s">
        <v>1298</v>
      </c>
      <c r="F1779" t="s">
        <v>13715</v>
      </c>
    </row>
    <row r="1780" spans="1:6" x14ac:dyDescent="0.25">
      <c r="A1780" t="s">
        <v>13716</v>
      </c>
      <c r="B1780" t="s">
        <v>10036</v>
      </c>
      <c r="C1780" t="s">
        <v>13670</v>
      </c>
      <c r="D1780">
        <v>2025</v>
      </c>
      <c r="E1780" t="s">
        <v>1298</v>
      </c>
      <c r="F1780" t="s">
        <v>13717</v>
      </c>
    </row>
    <row r="1781" spans="1:6" x14ac:dyDescent="0.25">
      <c r="A1781" t="s">
        <v>13718</v>
      </c>
      <c r="B1781" t="s">
        <v>10036</v>
      </c>
      <c r="C1781" t="s">
        <v>13670</v>
      </c>
      <c r="D1781">
        <v>2025</v>
      </c>
      <c r="E1781" t="s">
        <v>1298</v>
      </c>
      <c r="F1781" t="s">
        <v>13719</v>
      </c>
    </row>
    <row r="1782" spans="1:6" x14ac:dyDescent="0.25">
      <c r="A1782" t="s">
        <v>13720</v>
      </c>
      <c r="B1782" t="s">
        <v>10036</v>
      </c>
      <c r="C1782" t="s">
        <v>13670</v>
      </c>
      <c r="D1782">
        <v>2025</v>
      </c>
      <c r="E1782" t="s">
        <v>1298</v>
      </c>
      <c r="F1782" t="s">
        <v>13721</v>
      </c>
    </row>
    <row r="1783" spans="1:6" x14ac:dyDescent="0.25">
      <c r="A1783" t="s">
        <v>13722</v>
      </c>
      <c r="B1783" t="s">
        <v>10036</v>
      </c>
      <c r="C1783" t="s">
        <v>13670</v>
      </c>
      <c r="D1783">
        <v>2025</v>
      </c>
      <c r="E1783" t="s">
        <v>1298</v>
      </c>
      <c r="F1783" t="s">
        <v>13723</v>
      </c>
    </row>
    <row r="1784" spans="1:6" x14ac:dyDescent="0.25">
      <c r="A1784" t="s">
        <v>13724</v>
      </c>
      <c r="B1784" t="s">
        <v>10036</v>
      </c>
      <c r="C1784" t="s">
        <v>13670</v>
      </c>
      <c r="D1784">
        <v>2025</v>
      </c>
      <c r="E1784" t="s">
        <v>1298</v>
      </c>
      <c r="F1784" t="s">
        <v>13725</v>
      </c>
    </row>
    <row r="1785" spans="1:6" x14ac:dyDescent="0.25">
      <c r="A1785" t="s">
        <v>13726</v>
      </c>
      <c r="B1785" t="s">
        <v>10036</v>
      </c>
      <c r="C1785" t="s">
        <v>13670</v>
      </c>
      <c r="D1785">
        <v>2025</v>
      </c>
      <c r="E1785" t="s">
        <v>1298</v>
      </c>
      <c r="F1785" t="s">
        <v>13727</v>
      </c>
    </row>
    <row r="1786" spans="1:6" x14ac:dyDescent="0.25">
      <c r="A1786" t="s">
        <v>13728</v>
      </c>
      <c r="B1786" t="s">
        <v>10036</v>
      </c>
      <c r="C1786" t="s">
        <v>13670</v>
      </c>
      <c r="D1786">
        <v>2025</v>
      </c>
      <c r="E1786" t="s">
        <v>1298</v>
      </c>
      <c r="F1786" t="s">
        <v>13729</v>
      </c>
    </row>
    <row r="1787" spans="1:6" x14ac:dyDescent="0.25">
      <c r="A1787" t="s">
        <v>13730</v>
      </c>
      <c r="B1787" t="s">
        <v>10036</v>
      </c>
      <c r="C1787" t="s">
        <v>13670</v>
      </c>
      <c r="D1787">
        <v>2025</v>
      </c>
      <c r="E1787" t="s">
        <v>1298</v>
      </c>
      <c r="F1787" t="s">
        <v>13731</v>
      </c>
    </row>
    <row r="1788" spans="1:6" x14ac:dyDescent="0.25">
      <c r="A1788" t="s">
        <v>13732</v>
      </c>
      <c r="B1788" t="s">
        <v>10036</v>
      </c>
      <c r="C1788" t="s">
        <v>13670</v>
      </c>
      <c r="D1788">
        <v>2025</v>
      </c>
      <c r="E1788" t="s">
        <v>1298</v>
      </c>
      <c r="F1788" t="s">
        <v>13733</v>
      </c>
    </row>
    <row r="1789" spans="1:6" x14ac:dyDescent="0.25">
      <c r="A1789" t="s">
        <v>13734</v>
      </c>
      <c r="B1789" t="s">
        <v>10036</v>
      </c>
      <c r="C1789" t="s">
        <v>13670</v>
      </c>
      <c r="D1789">
        <v>2025</v>
      </c>
      <c r="E1789" t="s">
        <v>1298</v>
      </c>
      <c r="F1789" t="s">
        <v>13735</v>
      </c>
    </row>
    <row r="1790" spans="1:6" x14ac:dyDescent="0.25">
      <c r="A1790" t="s">
        <v>13736</v>
      </c>
      <c r="B1790" t="s">
        <v>10036</v>
      </c>
      <c r="C1790" t="s">
        <v>13670</v>
      </c>
      <c r="D1790">
        <v>2025</v>
      </c>
      <c r="E1790" t="s">
        <v>1298</v>
      </c>
      <c r="F1790" t="s">
        <v>13737</v>
      </c>
    </row>
    <row r="1791" spans="1:6" x14ac:dyDescent="0.25">
      <c r="A1791" t="s">
        <v>13738</v>
      </c>
      <c r="B1791" t="s">
        <v>10036</v>
      </c>
      <c r="C1791" t="s">
        <v>13670</v>
      </c>
      <c r="D1791">
        <v>2025</v>
      </c>
      <c r="E1791" t="s">
        <v>1298</v>
      </c>
      <c r="F1791" t="s">
        <v>13739</v>
      </c>
    </row>
    <row r="1792" spans="1:6" x14ac:dyDescent="0.25">
      <c r="A1792" t="s">
        <v>13740</v>
      </c>
      <c r="B1792" t="s">
        <v>10036</v>
      </c>
      <c r="C1792" t="s">
        <v>13670</v>
      </c>
      <c r="D1792">
        <v>2025</v>
      </c>
      <c r="E1792" t="s">
        <v>1298</v>
      </c>
      <c r="F1792" t="s">
        <v>13741</v>
      </c>
    </row>
    <row r="1793" spans="1:6" x14ac:dyDescent="0.25">
      <c r="A1793" t="s">
        <v>13742</v>
      </c>
      <c r="B1793" t="s">
        <v>10036</v>
      </c>
      <c r="C1793" t="s">
        <v>13670</v>
      </c>
      <c r="D1793">
        <v>2025</v>
      </c>
      <c r="E1793" t="s">
        <v>1298</v>
      </c>
      <c r="F1793" t="s">
        <v>13743</v>
      </c>
    </row>
    <row r="1794" spans="1:6" x14ac:dyDescent="0.25">
      <c r="A1794" t="s">
        <v>13744</v>
      </c>
      <c r="B1794" t="s">
        <v>10036</v>
      </c>
      <c r="C1794" t="s">
        <v>13670</v>
      </c>
      <c r="D1794">
        <v>2025</v>
      </c>
      <c r="E1794" t="s">
        <v>1298</v>
      </c>
      <c r="F1794" t="s">
        <v>13745</v>
      </c>
    </row>
    <row r="1795" spans="1:6" x14ac:dyDescent="0.25">
      <c r="A1795" t="s">
        <v>13746</v>
      </c>
      <c r="B1795" t="s">
        <v>10036</v>
      </c>
      <c r="C1795" t="s">
        <v>13670</v>
      </c>
      <c r="D1795">
        <v>2025</v>
      </c>
      <c r="E1795" t="s">
        <v>1298</v>
      </c>
      <c r="F1795" t="s">
        <v>13747</v>
      </c>
    </row>
    <row r="1796" spans="1:6" x14ac:dyDescent="0.25">
      <c r="A1796" t="s">
        <v>13748</v>
      </c>
      <c r="B1796" t="s">
        <v>10036</v>
      </c>
      <c r="C1796" t="s">
        <v>13670</v>
      </c>
      <c r="D1796">
        <v>2025</v>
      </c>
      <c r="E1796" t="s">
        <v>1298</v>
      </c>
      <c r="F1796" t="s">
        <v>13749</v>
      </c>
    </row>
    <row r="1797" spans="1:6" x14ac:dyDescent="0.25">
      <c r="A1797" t="s">
        <v>13750</v>
      </c>
      <c r="B1797" t="s">
        <v>10036</v>
      </c>
      <c r="C1797" t="s">
        <v>13670</v>
      </c>
      <c r="D1797">
        <v>2025</v>
      </c>
      <c r="E1797" t="s">
        <v>1298</v>
      </c>
      <c r="F1797" t="s">
        <v>13751</v>
      </c>
    </row>
    <row r="1798" spans="1:6" x14ac:dyDescent="0.25">
      <c r="A1798" t="s">
        <v>13752</v>
      </c>
      <c r="B1798" t="s">
        <v>10036</v>
      </c>
      <c r="C1798" t="s">
        <v>13670</v>
      </c>
      <c r="D1798">
        <v>2025</v>
      </c>
      <c r="E1798" t="s">
        <v>1298</v>
      </c>
      <c r="F1798" t="s">
        <v>13753</v>
      </c>
    </row>
    <row r="1799" spans="1:6" x14ac:dyDescent="0.25">
      <c r="A1799" t="s">
        <v>13754</v>
      </c>
      <c r="B1799" t="s">
        <v>10036</v>
      </c>
      <c r="C1799" t="s">
        <v>13670</v>
      </c>
      <c r="D1799">
        <v>2025</v>
      </c>
      <c r="E1799" t="s">
        <v>1298</v>
      </c>
      <c r="F1799" t="s">
        <v>13755</v>
      </c>
    </row>
    <row r="1800" spans="1:6" x14ac:dyDescent="0.25">
      <c r="A1800" t="s">
        <v>13756</v>
      </c>
      <c r="B1800" t="s">
        <v>10036</v>
      </c>
      <c r="C1800" t="s">
        <v>13670</v>
      </c>
      <c r="D1800">
        <v>2025</v>
      </c>
      <c r="E1800" t="s">
        <v>1298</v>
      </c>
      <c r="F1800" t="s">
        <v>13757</v>
      </c>
    </row>
    <row r="1801" spans="1:6" x14ac:dyDescent="0.25">
      <c r="A1801" t="s">
        <v>13758</v>
      </c>
      <c r="B1801" t="s">
        <v>10036</v>
      </c>
      <c r="C1801" t="s">
        <v>13670</v>
      </c>
      <c r="D1801">
        <v>2025</v>
      </c>
      <c r="E1801" t="s">
        <v>1298</v>
      </c>
      <c r="F1801" t="s">
        <v>13759</v>
      </c>
    </row>
    <row r="1802" spans="1:6" x14ac:dyDescent="0.25">
      <c r="A1802" t="s">
        <v>13760</v>
      </c>
      <c r="B1802" t="s">
        <v>10036</v>
      </c>
      <c r="C1802" t="s">
        <v>13670</v>
      </c>
      <c r="D1802">
        <v>2025</v>
      </c>
      <c r="E1802" t="s">
        <v>1298</v>
      </c>
      <c r="F1802" t="s">
        <v>13761</v>
      </c>
    </row>
    <row r="1803" spans="1:6" x14ac:dyDescent="0.25">
      <c r="A1803" t="s">
        <v>13762</v>
      </c>
      <c r="B1803" t="s">
        <v>10036</v>
      </c>
      <c r="C1803" t="s">
        <v>13670</v>
      </c>
      <c r="D1803">
        <v>2025</v>
      </c>
      <c r="E1803" t="s">
        <v>1298</v>
      </c>
      <c r="F1803" t="s">
        <v>13763</v>
      </c>
    </row>
    <row r="1804" spans="1:6" x14ac:dyDescent="0.25">
      <c r="A1804" t="s">
        <v>13764</v>
      </c>
      <c r="B1804" t="s">
        <v>10036</v>
      </c>
      <c r="C1804" t="s">
        <v>13670</v>
      </c>
      <c r="D1804">
        <v>2025</v>
      </c>
      <c r="E1804" t="s">
        <v>1298</v>
      </c>
      <c r="F1804" t="s">
        <v>13765</v>
      </c>
    </row>
    <row r="1805" spans="1:6" x14ac:dyDescent="0.25">
      <c r="A1805" t="s">
        <v>13766</v>
      </c>
      <c r="B1805" t="s">
        <v>10036</v>
      </c>
      <c r="C1805" t="s">
        <v>13670</v>
      </c>
      <c r="D1805">
        <v>2025</v>
      </c>
      <c r="E1805" t="s">
        <v>1298</v>
      </c>
      <c r="F1805" t="s">
        <v>13767</v>
      </c>
    </row>
    <row r="1806" spans="1:6" x14ac:dyDescent="0.25">
      <c r="A1806" t="s">
        <v>13768</v>
      </c>
      <c r="B1806" t="s">
        <v>10036</v>
      </c>
      <c r="C1806" t="s">
        <v>13670</v>
      </c>
      <c r="D1806">
        <v>2025</v>
      </c>
      <c r="E1806" t="s">
        <v>1298</v>
      </c>
      <c r="F1806" t="s">
        <v>13769</v>
      </c>
    </row>
    <row r="1807" spans="1:6" x14ac:dyDescent="0.25">
      <c r="A1807" t="s">
        <v>13770</v>
      </c>
      <c r="B1807" t="s">
        <v>10036</v>
      </c>
      <c r="C1807" t="s">
        <v>13670</v>
      </c>
      <c r="D1807">
        <v>2025</v>
      </c>
      <c r="E1807" t="s">
        <v>1298</v>
      </c>
      <c r="F1807" t="s">
        <v>13771</v>
      </c>
    </row>
    <row r="1808" spans="1:6" x14ac:dyDescent="0.25">
      <c r="A1808" t="s">
        <v>13772</v>
      </c>
      <c r="B1808" t="s">
        <v>10036</v>
      </c>
      <c r="C1808" t="s">
        <v>13670</v>
      </c>
      <c r="D1808">
        <v>2025</v>
      </c>
      <c r="E1808" t="s">
        <v>1298</v>
      </c>
      <c r="F1808" t="s">
        <v>13773</v>
      </c>
    </row>
    <row r="1809" spans="1:6" x14ac:dyDescent="0.25">
      <c r="A1809" t="s">
        <v>13774</v>
      </c>
      <c r="B1809" t="s">
        <v>13775</v>
      </c>
      <c r="C1809" t="s">
        <v>13776</v>
      </c>
      <c r="D1809">
        <v>2018</v>
      </c>
      <c r="E1809" t="s">
        <v>1713</v>
      </c>
      <c r="F1809" t="s">
        <v>13777</v>
      </c>
    </row>
    <row r="1810" spans="1:6" x14ac:dyDescent="0.25">
      <c r="A1810" t="s">
        <v>13778</v>
      </c>
      <c r="B1810" t="s">
        <v>13779</v>
      </c>
      <c r="C1810" t="s">
        <v>13780</v>
      </c>
      <c r="E1810" t="s">
        <v>1713</v>
      </c>
      <c r="F1810" t="s">
        <v>13781</v>
      </c>
    </row>
    <row r="1811" spans="1:6" x14ac:dyDescent="0.25">
      <c r="A1811" t="s">
        <v>13782</v>
      </c>
      <c r="B1811" t="s">
        <v>13779</v>
      </c>
      <c r="C1811" t="s">
        <v>13780</v>
      </c>
      <c r="E1811" t="s">
        <v>1713</v>
      </c>
      <c r="F1811" t="s">
        <v>13783</v>
      </c>
    </row>
    <row r="1812" spans="1:6" x14ac:dyDescent="0.25">
      <c r="A1812" t="s">
        <v>13784</v>
      </c>
      <c r="B1812" t="s">
        <v>13775</v>
      </c>
      <c r="C1812" t="s">
        <v>13776</v>
      </c>
      <c r="D1812">
        <v>2018</v>
      </c>
      <c r="E1812" t="s">
        <v>1713</v>
      </c>
      <c r="F1812" t="s">
        <v>13785</v>
      </c>
    </row>
    <row r="1813" spans="1:6" x14ac:dyDescent="0.25">
      <c r="A1813" t="s">
        <v>13786</v>
      </c>
      <c r="B1813" t="s">
        <v>13779</v>
      </c>
      <c r="C1813" t="s">
        <v>13780</v>
      </c>
      <c r="E1813" t="s">
        <v>1713</v>
      </c>
      <c r="F1813" t="s">
        <v>13787</v>
      </c>
    </row>
    <row r="1814" spans="1:6" x14ac:dyDescent="0.25">
      <c r="A1814" t="s">
        <v>13788</v>
      </c>
      <c r="B1814" t="s">
        <v>13775</v>
      </c>
      <c r="C1814" t="s">
        <v>13776</v>
      </c>
      <c r="D1814">
        <v>2018</v>
      </c>
      <c r="E1814" t="s">
        <v>1713</v>
      </c>
      <c r="F1814" t="s">
        <v>13789</v>
      </c>
    </row>
    <row r="1815" spans="1:6" x14ac:dyDescent="0.25">
      <c r="A1815" t="s">
        <v>13790</v>
      </c>
      <c r="B1815" t="s">
        <v>13779</v>
      </c>
      <c r="C1815" t="s">
        <v>13780</v>
      </c>
      <c r="E1815" t="s">
        <v>1713</v>
      </c>
      <c r="F1815" t="s">
        <v>13791</v>
      </c>
    </row>
    <row r="1816" spans="1:6" x14ac:dyDescent="0.25">
      <c r="A1816" t="s">
        <v>13792</v>
      </c>
      <c r="B1816" t="s">
        <v>13775</v>
      </c>
      <c r="C1816" t="s">
        <v>13776</v>
      </c>
      <c r="D1816">
        <v>2018</v>
      </c>
      <c r="E1816" t="s">
        <v>1713</v>
      </c>
      <c r="F1816" t="s">
        <v>13793</v>
      </c>
    </row>
    <row r="1817" spans="1:6" x14ac:dyDescent="0.25">
      <c r="A1817" t="s">
        <v>13794</v>
      </c>
      <c r="B1817" t="s">
        <v>13775</v>
      </c>
      <c r="C1817" t="s">
        <v>13776</v>
      </c>
      <c r="D1817">
        <v>2018</v>
      </c>
      <c r="E1817" t="s">
        <v>1713</v>
      </c>
      <c r="F1817" t="s">
        <v>13795</v>
      </c>
    </row>
    <row r="1818" spans="1:6" x14ac:dyDescent="0.25">
      <c r="A1818" t="s">
        <v>13796</v>
      </c>
      <c r="B1818" t="s">
        <v>13779</v>
      </c>
      <c r="C1818" t="s">
        <v>13780</v>
      </c>
      <c r="E1818" t="s">
        <v>1713</v>
      </c>
      <c r="F1818" t="s">
        <v>13797</v>
      </c>
    </row>
    <row r="1819" spans="1:6" x14ac:dyDescent="0.25">
      <c r="A1819" t="s">
        <v>13798</v>
      </c>
      <c r="B1819" t="s">
        <v>13779</v>
      </c>
      <c r="C1819" t="s">
        <v>13780</v>
      </c>
      <c r="E1819" t="s">
        <v>1713</v>
      </c>
      <c r="F1819" t="s">
        <v>13799</v>
      </c>
    </row>
    <row r="1820" spans="1:6" x14ac:dyDescent="0.25">
      <c r="A1820" t="s">
        <v>13800</v>
      </c>
      <c r="B1820" t="s">
        <v>13775</v>
      </c>
      <c r="C1820" t="s">
        <v>13776</v>
      </c>
      <c r="D1820">
        <v>2018</v>
      </c>
      <c r="E1820" t="s">
        <v>1713</v>
      </c>
      <c r="F1820" t="s">
        <v>13801</v>
      </c>
    </row>
    <row r="1821" spans="1:6" x14ac:dyDescent="0.25">
      <c r="A1821" t="s">
        <v>13802</v>
      </c>
      <c r="B1821" t="s">
        <v>13779</v>
      </c>
      <c r="C1821" t="s">
        <v>13780</v>
      </c>
      <c r="E1821" t="s">
        <v>1713</v>
      </c>
      <c r="F1821" t="s">
        <v>13803</v>
      </c>
    </row>
    <row r="1822" spans="1:6" x14ac:dyDescent="0.25">
      <c r="A1822" t="s">
        <v>13804</v>
      </c>
      <c r="B1822" t="s">
        <v>13775</v>
      </c>
      <c r="C1822" t="s">
        <v>13776</v>
      </c>
      <c r="D1822">
        <v>2018</v>
      </c>
      <c r="E1822" t="s">
        <v>1713</v>
      </c>
      <c r="F1822" t="s">
        <v>13805</v>
      </c>
    </row>
    <row r="1823" spans="1:6" x14ac:dyDescent="0.25">
      <c r="A1823" t="s">
        <v>13806</v>
      </c>
      <c r="B1823" t="s">
        <v>13779</v>
      </c>
      <c r="C1823" t="s">
        <v>13780</v>
      </c>
      <c r="E1823" t="s">
        <v>1713</v>
      </c>
      <c r="F1823" t="s">
        <v>13807</v>
      </c>
    </row>
    <row r="1824" spans="1:6" x14ac:dyDescent="0.25">
      <c r="A1824" t="s">
        <v>13808</v>
      </c>
      <c r="B1824" t="s">
        <v>13775</v>
      </c>
      <c r="C1824" t="s">
        <v>13776</v>
      </c>
      <c r="D1824">
        <v>2018</v>
      </c>
      <c r="E1824" t="s">
        <v>1713</v>
      </c>
      <c r="F1824" t="s">
        <v>13809</v>
      </c>
    </row>
    <row r="1825" spans="1:6" x14ac:dyDescent="0.25">
      <c r="A1825" t="s">
        <v>13810</v>
      </c>
      <c r="B1825" t="s">
        <v>13775</v>
      </c>
      <c r="C1825" t="s">
        <v>13776</v>
      </c>
      <c r="D1825">
        <v>2018</v>
      </c>
      <c r="E1825" t="s">
        <v>1713</v>
      </c>
      <c r="F1825" t="s">
        <v>13811</v>
      </c>
    </row>
    <row r="1826" spans="1:6" x14ac:dyDescent="0.25">
      <c r="A1826" t="s">
        <v>13812</v>
      </c>
      <c r="B1826" t="s">
        <v>13775</v>
      </c>
      <c r="C1826" t="s">
        <v>13776</v>
      </c>
      <c r="D1826">
        <v>2018</v>
      </c>
      <c r="E1826" t="s">
        <v>1713</v>
      </c>
      <c r="F1826" t="s">
        <v>13813</v>
      </c>
    </row>
    <row r="1827" spans="1:6" x14ac:dyDescent="0.25">
      <c r="A1827" t="s">
        <v>13814</v>
      </c>
      <c r="B1827" t="s">
        <v>13775</v>
      </c>
      <c r="C1827" t="s">
        <v>13776</v>
      </c>
      <c r="D1827">
        <v>2018</v>
      </c>
      <c r="E1827" t="s">
        <v>1713</v>
      </c>
      <c r="F1827" t="s">
        <v>13815</v>
      </c>
    </row>
    <row r="1828" spans="1:6" x14ac:dyDescent="0.25">
      <c r="A1828" t="s">
        <v>13816</v>
      </c>
      <c r="B1828" t="s">
        <v>13775</v>
      </c>
      <c r="C1828" t="s">
        <v>13776</v>
      </c>
      <c r="D1828">
        <v>2018</v>
      </c>
      <c r="E1828" t="s">
        <v>1713</v>
      </c>
      <c r="F1828" t="s">
        <v>13817</v>
      </c>
    </row>
    <row r="1829" spans="1:6" x14ac:dyDescent="0.25">
      <c r="A1829" t="s">
        <v>13818</v>
      </c>
      <c r="B1829" t="s">
        <v>13775</v>
      </c>
      <c r="C1829" t="s">
        <v>13776</v>
      </c>
      <c r="D1829">
        <v>2018</v>
      </c>
      <c r="E1829" t="s">
        <v>1713</v>
      </c>
      <c r="F1829" t="s">
        <v>13819</v>
      </c>
    </row>
    <row r="1830" spans="1:6" x14ac:dyDescent="0.25">
      <c r="A1830" t="s">
        <v>13820</v>
      </c>
      <c r="B1830" t="s">
        <v>13775</v>
      </c>
      <c r="C1830" t="s">
        <v>13776</v>
      </c>
      <c r="D1830">
        <v>2018</v>
      </c>
      <c r="E1830" t="s">
        <v>1713</v>
      </c>
      <c r="F1830" t="s">
        <v>13821</v>
      </c>
    </row>
    <row r="1831" spans="1:6" x14ac:dyDescent="0.25">
      <c r="A1831" t="s">
        <v>13822</v>
      </c>
      <c r="B1831" t="s">
        <v>13775</v>
      </c>
      <c r="C1831" t="s">
        <v>13776</v>
      </c>
      <c r="D1831">
        <v>2018</v>
      </c>
      <c r="E1831" t="s">
        <v>1713</v>
      </c>
      <c r="F1831" t="s">
        <v>13823</v>
      </c>
    </row>
    <row r="1832" spans="1:6" x14ac:dyDescent="0.25">
      <c r="A1832" t="s">
        <v>13824</v>
      </c>
      <c r="B1832" t="s">
        <v>13775</v>
      </c>
      <c r="C1832" t="s">
        <v>13776</v>
      </c>
      <c r="D1832">
        <v>2018</v>
      </c>
      <c r="E1832" t="s">
        <v>1713</v>
      </c>
      <c r="F1832" t="s">
        <v>13825</v>
      </c>
    </row>
    <row r="1833" spans="1:6" x14ac:dyDescent="0.25">
      <c r="A1833" t="s">
        <v>13826</v>
      </c>
      <c r="B1833" t="s">
        <v>13775</v>
      </c>
      <c r="C1833" t="s">
        <v>13776</v>
      </c>
      <c r="D1833">
        <v>2018</v>
      </c>
      <c r="E1833" t="s">
        <v>1713</v>
      </c>
      <c r="F1833" t="s">
        <v>13827</v>
      </c>
    </row>
    <row r="1834" spans="1:6" x14ac:dyDescent="0.25">
      <c r="A1834" t="s">
        <v>13828</v>
      </c>
      <c r="B1834" t="s">
        <v>13775</v>
      </c>
      <c r="C1834" t="s">
        <v>13776</v>
      </c>
      <c r="D1834">
        <v>2018</v>
      </c>
      <c r="E1834" t="s">
        <v>1713</v>
      </c>
      <c r="F1834" t="s">
        <v>13829</v>
      </c>
    </row>
    <row r="1835" spans="1:6" x14ac:dyDescent="0.25">
      <c r="A1835" t="s">
        <v>13830</v>
      </c>
      <c r="B1835" t="s">
        <v>13775</v>
      </c>
      <c r="C1835" t="s">
        <v>13776</v>
      </c>
      <c r="D1835">
        <v>2018</v>
      </c>
      <c r="E1835" t="s">
        <v>1713</v>
      </c>
      <c r="F1835" t="s">
        <v>13831</v>
      </c>
    </row>
    <row r="1836" spans="1:6" x14ac:dyDescent="0.25">
      <c r="A1836" t="s">
        <v>13832</v>
      </c>
      <c r="B1836" t="s">
        <v>13775</v>
      </c>
      <c r="C1836" t="s">
        <v>13776</v>
      </c>
      <c r="D1836">
        <v>2018</v>
      </c>
      <c r="E1836" t="s">
        <v>1713</v>
      </c>
      <c r="F1836" t="s">
        <v>13833</v>
      </c>
    </row>
    <row r="1837" spans="1:6" x14ac:dyDescent="0.25">
      <c r="A1837" t="s">
        <v>13834</v>
      </c>
      <c r="B1837" t="s">
        <v>13775</v>
      </c>
      <c r="C1837" t="s">
        <v>13776</v>
      </c>
      <c r="D1837">
        <v>2018</v>
      </c>
      <c r="E1837" t="s">
        <v>1713</v>
      </c>
      <c r="F1837" t="s">
        <v>13835</v>
      </c>
    </row>
    <row r="1838" spans="1:6" x14ac:dyDescent="0.25">
      <c r="A1838" t="s">
        <v>4376</v>
      </c>
      <c r="B1838" t="s">
        <v>13775</v>
      </c>
      <c r="C1838" t="s">
        <v>13776</v>
      </c>
      <c r="D1838">
        <v>2018</v>
      </c>
      <c r="E1838" t="s">
        <v>1713</v>
      </c>
      <c r="F1838" t="s">
        <v>13836</v>
      </c>
    </row>
    <row r="1839" spans="1:6" x14ac:dyDescent="0.25">
      <c r="A1839" t="s">
        <v>13837</v>
      </c>
      <c r="B1839" t="s">
        <v>13775</v>
      </c>
      <c r="C1839" t="s">
        <v>13776</v>
      </c>
      <c r="D1839">
        <v>2018</v>
      </c>
      <c r="E1839" t="s">
        <v>1713</v>
      </c>
      <c r="F1839" t="s">
        <v>13838</v>
      </c>
    </row>
    <row r="1840" spans="1:6" x14ac:dyDescent="0.25">
      <c r="A1840" t="s">
        <v>13839</v>
      </c>
      <c r="B1840" t="s">
        <v>13775</v>
      </c>
      <c r="C1840" t="s">
        <v>13776</v>
      </c>
      <c r="D1840">
        <v>2018</v>
      </c>
      <c r="E1840" t="s">
        <v>1713</v>
      </c>
      <c r="F1840" t="s">
        <v>13840</v>
      </c>
    </row>
    <row r="1841" spans="1:6" x14ac:dyDescent="0.25">
      <c r="A1841" t="s">
        <v>13841</v>
      </c>
      <c r="B1841" t="s">
        <v>13775</v>
      </c>
      <c r="C1841" t="s">
        <v>13776</v>
      </c>
      <c r="D1841">
        <v>2018</v>
      </c>
      <c r="E1841" t="s">
        <v>1713</v>
      </c>
      <c r="F1841" t="s">
        <v>13842</v>
      </c>
    </row>
    <row r="1842" spans="1:6" x14ac:dyDescent="0.25">
      <c r="A1842" t="s">
        <v>13843</v>
      </c>
      <c r="B1842" t="s">
        <v>13844</v>
      </c>
      <c r="C1842" t="s">
        <v>13776</v>
      </c>
      <c r="D1842">
        <v>2018</v>
      </c>
      <c r="E1842" t="s">
        <v>1713</v>
      </c>
      <c r="F1842" t="s">
        <v>13845</v>
      </c>
    </row>
    <row r="1843" spans="1:6" x14ac:dyDescent="0.25">
      <c r="A1843" t="s">
        <v>13846</v>
      </c>
      <c r="B1843" t="s">
        <v>13847</v>
      </c>
      <c r="C1843" t="s">
        <v>13848</v>
      </c>
      <c r="D1843">
        <v>2019</v>
      </c>
      <c r="E1843" t="s">
        <v>1817</v>
      </c>
      <c r="F1843" t="s">
        <v>13849</v>
      </c>
    </row>
    <row r="1844" spans="1:6" x14ac:dyDescent="0.25">
      <c r="A1844" t="s">
        <v>13850</v>
      </c>
      <c r="B1844" t="s">
        <v>13847</v>
      </c>
      <c r="C1844" t="s">
        <v>13851</v>
      </c>
      <c r="D1844">
        <v>2020</v>
      </c>
      <c r="E1844" t="s">
        <v>1817</v>
      </c>
      <c r="F1844" t="s">
        <v>13852</v>
      </c>
    </row>
    <row r="1845" spans="1:6" x14ac:dyDescent="0.25">
      <c r="A1845" t="s">
        <v>13853</v>
      </c>
      <c r="B1845" t="s">
        <v>13847</v>
      </c>
      <c r="C1845" t="s">
        <v>13854</v>
      </c>
      <c r="D1845">
        <v>2022</v>
      </c>
      <c r="E1845" t="s">
        <v>1817</v>
      </c>
      <c r="F1845" t="s">
        <v>13855</v>
      </c>
    </row>
    <row r="1846" spans="1:6" x14ac:dyDescent="0.25">
      <c r="A1846" t="s">
        <v>13856</v>
      </c>
      <c r="B1846" t="s">
        <v>13847</v>
      </c>
      <c r="C1846" t="s">
        <v>13848</v>
      </c>
      <c r="D1846">
        <v>2019</v>
      </c>
      <c r="E1846" t="s">
        <v>1817</v>
      </c>
      <c r="F1846" t="s">
        <v>13857</v>
      </c>
    </row>
    <row r="1847" spans="1:6" x14ac:dyDescent="0.25">
      <c r="A1847" t="s">
        <v>13858</v>
      </c>
      <c r="B1847" t="s">
        <v>13847</v>
      </c>
      <c r="C1847" t="s">
        <v>13851</v>
      </c>
      <c r="D1847">
        <v>2020</v>
      </c>
      <c r="E1847" t="s">
        <v>1817</v>
      </c>
      <c r="F1847" t="s">
        <v>13859</v>
      </c>
    </row>
    <row r="1848" spans="1:6" x14ac:dyDescent="0.25">
      <c r="A1848" t="s">
        <v>13860</v>
      </c>
      <c r="B1848" t="s">
        <v>13847</v>
      </c>
      <c r="C1848" t="s">
        <v>13854</v>
      </c>
      <c r="D1848">
        <v>2022</v>
      </c>
      <c r="E1848" t="s">
        <v>1817</v>
      </c>
      <c r="F1848" t="s">
        <v>13861</v>
      </c>
    </row>
    <row r="1849" spans="1:6" x14ac:dyDescent="0.25">
      <c r="A1849" t="s">
        <v>13862</v>
      </c>
      <c r="B1849" t="s">
        <v>13847</v>
      </c>
      <c r="C1849" t="s">
        <v>13848</v>
      </c>
      <c r="D1849">
        <v>2019</v>
      </c>
      <c r="E1849" t="s">
        <v>1817</v>
      </c>
      <c r="F1849" t="s">
        <v>13863</v>
      </c>
    </row>
    <row r="1850" spans="1:6" x14ac:dyDescent="0.25">
      <c r="A1850" t="s">
        <v>13864</v>
      </c>
      <c r="B1850" t="s">
        <v>13847</v>
      </c>
      <c r="C1850" t="s">
        <v>13854</v>
      </c>
      <c r="D1850">
        <v>2022</v>
      </c>
      <c r="E1850" t="s">
        <v>1817</v>
      </c>
      <c r="F1850" t="s">
        <v>13865</v>
      </c>
    </row>
    <row r="1851" spans="1:6" x14ac:dyDescent="0.25">
      <c r="A1851" t="s">
        <v>13866</v>
      </c>
      <c r="B1851" t="s">
        <v>13847</v>
      </c>
      <c r="C1851" t="s">
        <v>13851</v>
      </c>
      <c r="D1851">
        <v>2020</v>
      </c>
      <c r="E1851" t="s">
        <v>1817</v>
      </c>
      <c r="F1851" t="s">
        <v>13867</v>
      </c>
    </row>
    <row r="1852" spans="1:6" x14ac:dyDescent="0.25">
      <c r="A1852" t="s">
        <v>13868</v>
      </c>
      <c r="B1852" t="s">
        <v>13847</v>
      </c>
      <c r="C1852" t="s">
        <v>13848</v>
      </c>
      <c r="D1852">
        <v>2019</v>
      </c>
      <c r="E1852" t="s">
        <v>1817</v>
      </c>
      <c r="F1852" t="s">
        <v>13869</v>
      </c>
    </row>
    <row r="1853" spans="1:6" x14ac:dyDescent="0.25">
      <c r="A1853" t="s">
        <v>13870</v>
      </c>
      <c r="B1853" t="s">
        <v>13847</v>
      </c>
      <c r="C1853" t="s">
        <v>13851</v>
      </c>
      <c r="D1853">
        <v>2020</v>
      </c>
      <c r="E1853" t="s">
        <v>1817</v>
      </c>
      <c r="F1853" t="s">
        <v>13871</v>
      </c>
    </row>
    <row r="1854" spans="1:6" x14ac:dyDescent="0.25">
      <c r="A1854" t="s">
        <v>13872</v>
      </c>
      <c r="B1854" t="s">
        <v>13847</v>
      </c>
      <c r="C1854" t="s">
        <v>13854</v>
      </c>
      <c r="D1854">
        <v>2022</v>
      </c>
      <c r="E1854" t="s">
        <v>1817</v>
      </c>
      <c r="F1854" t="s">
        <v>13873</v>
      </c>
    </row>
    <row r="1855" spans="1:6" x14ac:dyDescent="0.25">
      <c r="A1855" t="s">
        <v>13874</v>
      </c>
      <c r="B1855" t="s">
        <v>13847</v>
      </c>
      <c r="C1855" t="s">
        <v>13848</v>
      </c>
      <c r="D1855">
        <v>2019</v>
      </c>
      <c r="E1855" t="s">
        <v>1817</v>
      </c>
      <c r="F1855" t="s">
        <v>13875</v>
      </c>
    </row>
    <row r="1856" spans="1:6" x14ac:dyDescent="0.25">
      <c r="A1856" t="s">
        <v>13876</v>
      </c>
      <c r="B1856" t="s">
        <v>13847</v>
      </c>
      <c r="C1856" t="s">
        <v>13854</v>
      </c>
      <c r="D1856">
        <v>2022</v>
      </c>
      <c r="E1856" t="s">
        <v>1817</v>
      </c>
      <c r="F1856" t="s">
        <v>13877</v>
      </c>
    </row>
    <row r="1857" spans="1:6" x14ac:dyDescent="0.25">
      <c r="A1857" t="s">
        <v>13878</v>
      </c>
      <c r="B1857" t="s">
        <v>13847</v>
      </c>
      <c r="C1857" t="s">
        <v>13851</v>
      </c>
      <c r="D1857">
        <v>2020</v>
      </c>
      <c r="E1857" t="s">
        <v>1817</v>
      </c>
      <c r="F1857" t="s">
        <v>13879</v>
      </c>
    </row>
    <row r="1858" spans="1:6" x14ac:dyDescent="0.25">
      <c r="A1858" t="s">
        <v>13880</v>
      </c>
      <c r="B1858" t="s">
        <v>13847</v>
      </c>
      <c r="C1858" t="s">
        <v>13848</v>
      </c>
      <c r="D1858">
        <v>2019</v>
      </c>
      <c r="E1858" t="s">
        <v>1817</v>
      </c>
      <c r="F1858" t="s">
        <v>13881</v>
      </c>
    </row>
    <row r="1859" spans="1:6" x14ac:dyDescent="0.25">
      <c r="A1859" t="s">
        <v>13882</v>
      </c>
      <c r="B1859" t="s">
        <v>13847</v>
      </c>
      <c r="C1859" t="s">
        <v>13854</v>
      </c>
      <c r="D1859">
        <v>2022</v>
      </c>
      <c r="E1859" t="s">
        <v>1817</v>
      </c>
      <c r="F1859" t="s">
        <v>13883</v>
      </c>
    </row>
    <row r="1860" spans="1:6" x14ac:dyDescent="0.25">
      <c r="A1860" t="s">
        <v>13884</v>
      </c>
      <c r="B1860" t="s">
        <v>13847</v>
      </c>
      <c r="C1860" t="s">
        <v>13851</v>
      </c>
      <c r="D1860">
        <v>2020</v>
      </c>
      <c r="E1860" t="s">
        <v>1817</v>
      </c>
      <c r="F1860" t="s">
        <v>13885</v>
      </c>
    </row>
    <row r="1861" spans="1:6" x14ac:dyDescent="0.25">
      <c r="A1861" t="s">
        <v>13886</v>
      </c>
      <c r="B1861" t="s">
        <v>13847</v>
      </c>
      <c r="C1861" t="s">
        <v>13848</v>
      </c>
      <c r="D1861">
        <v>2019</v>
      </c>
      <c r="E1861" t="s">
        <v>1817</v>
      </c>
      <c r="F1861" t="s">
        <v>13887</v>
      </c>
    </row>
    <row r="1862" spans="1:6" x14ac:dyDescent="0.25">
      <c r="A1862" t="s">
        <v>13888</v>
      </c>
      <c r="B1862" t="s">
        <v>13847</v>
      </c>
      <c r="C1862" t="s">
        <v>13854</v>
      </c>
      <c r="D1862">
        <v>2022</v>
      </c>
      <c r="E1862" t="s">
        <v>1817</v>
      </c>
      <c r="F1862" t="s">
        <v>13889</v>
      </c>
    </row>
    <row r="1863" spans="1:6" x14ac:dyDescent="0.25">
      <c r="A1863" t="s">
        <v>13890</v>
      </c>
      <c r="B1863" t="s">
        <v>13847</v>
      </c>
      <c r="C1863" t="s">
        <v>13851</v>
      </c>
      <c r="D1863">
        <v>2020</v>
      </c>
      <c r="E1863" t="s">
        <v>1817</v>
      </c>
      <c r="F1863" t="s">
        <v>13891</v>
      </c>
    </row>
    <row r="1864" spans="1:6" x14ac:dyDescent="0.25">
      <c r="A1864" t="s">
        <v>13892</v>
      </c>
      <c r="B1864" t="s">
        <v>13847</v>
      </c>
      <c r="C1864" t="s">
        <v>13848</v>
      </c>
      <c r="D1864">
        <v>2019</v>
      </c>
      <c r="E1864" t="s">
        <v>1817</v>
      </c>
      <c r="F1864" t="s">
        <v>13893</v>
      </c>
    </row>
    <row r="1865" spans="1:6" x14ac:dyDescent="0.25">
      <c r="A1865" t="s">
        <v>13894</v>
      </c>
      <c r="B1865" t="s">
        <v>13847</v>
      </c>
      <c r="C1865" t="s">
        <v>13854</v>
      </c>
      <c r="D1865">
        <v>2022</v>
      </c>
      <c r="E1865" t="s">
        <v>1817</v>
      </c>
      <c r="F1865" t="s">
        <v>13895</v>
      </c>
    </row>
    <row r="1866" spans="1:6" x14ac:dyDescent="0.25">
      <c r="A1866" t="s">
        <v>13896</v>
      </c>
      <c r="B1866" t="s">
        <v>13847</v>
      </c>
      <c r="C1866" t="s">
        <v>13851</v>
      </c>
      <c r="D1866">
        <v>2020</v>
      </c>
      <c r="E1866" t="s">
        <v>1817</v>
      </c>
      <c r="F1866" t="s">
        <v>13897</v>
      </c>
    </row>
    <row r="1867" spans="1:6" x14ac:dyDescent="0.25">
      <c r="A1867" t="s">
        <v>13898</v>
      </c>
      <c r="B1867" t="s">
        <v>13847</v>
      </c>
      <c r="C1867" t="s">
        <v>13848</v>
      </c>
      <c r="D1867">
        <v>2019</v>
      </c>
      <c r="E1867" t="s">
        <v>1817</v>
      </c>
      <c r="F1867" t="s">
        <v>13899</v>
      </c>
    </row>
    <row r="1868" spans="1:6" x14ac:dyDescent="0.25">
      <c r="A1868" t="s">
        <v>13900</v>
      </c>
      <c r="B1868" t="s">
        <v>13847</v>
      </c>
      <c r="C1868" t="s">
        <v>13854</v>
      </c>
      <c r="D1868">
        <v>2022</v>
      </c>
      <c r="E1868" t="s">
        <v>1817</v>
      </c>
      <c r="F1868" t="s">
        <v>13901</v>
      </c>
    </row>
    <row r="1869" spans="1:6" x14ac:dyDescent="0.25">
      <c r="A1869" t="s">
        <v>13902</v>
      </c>
      <c r="B1869" t="s">
        <v>13847</v>
      </c>
      <c r="C1869" t="s">
        <v>13851</v>
      </c>
      <c r="D1869">
        <v>2020</v>
      </c>
      <c r="E1869" t="s">
        <v>1817</v>
      </c>
      <c r="F1869" t="s">
        <v>13903</v>
      </c>
    </row>
    <row r="1870" spans="1:6" x14ac:dyDescent="0.25">
      <c r="A1870" t="s">
        <v>13904</v>
      </c>
      <c r="B1870" t="s">
        <v>13847</v>
      </c>
      <c r="C1870" t="s">
        <v>13848</v>
      </c>
      <c r="D1870">
        <v>2019</v>
      </c>
      <c r="E1870" t="s">
        <v>1817</v>
      </c>
      <c r="F1870" t="s">
        <v>13905</v>
      </c>
    </row>
    <row r="1871" spans="1:6" x14ac:dyDescent="0.25">
      <c r="A1871" t="s">
        <v>13906</v>
      </c>
      <c r="B1871" t="s">
        <v>13847</v>
      </c>
      <c r="C1871" t="s">
        <v>13851</v>
      </c>
      <c r="D1871">
        <v>2020</v>
      </c>
      <c r="E1871" t="s">
        <v>1817</v>
      </c>
      <c r="F1871" t="s">
        <v>13907</v>
      </c>
    </row>
    <row r="1872" spans="1:6" x14ac:dyDescent="0.25">
      <c r="A1872" t="s">
        <v>13908</v>
      </c>
      <c r="B1872" t="s">
        <v>13847</v>
      </c>
      <c r="C1872" t="s">
        <v>13854</v>
      </c>
      <c r="D1872">
        <v>2022</v>
      </c>
      <c r="E1872" t="s">
        <v>1817</v>
      </c>
      <c r="F1872" t="s">
        <v>13909</v>
      </c>
    </row>
    <row r="1873" spans="1:6" x14ac:dyDescent="0.25">
      <c r="A1873" t="s">
        <v>13910</v>
      </c>
      <c r="B1873" t="s">
        <v>13847</v>
      </c>
      <c r="C1873" t="s">
        <v>13848</v>
      </c>
      <c r="D1873">
        <v>2019</v>
      </c>
      <c r="E1873" t="s">
        <v>1817</v>
      </c>
      <c r="F1873" t="s">
        <v>13911</v>
      </c>
    </row>
    <row r="1874" spans="1:6" x14ac:dyDescent="0.25">
      <c r="A1874" t="s">
        <v>13912</v>
      </c>
      <c r="B1874" t="s">
        <v>13847</v>
      </c>
      <c r="C1874" t="s">
        <v>13851</v>
      </c>
      <c r="D1874">
        <v>2020</v>
      </c>
      <c r="E1874" t="s">
        <v>1817</v>
      </c>
      <c r="F1874" t="s">
        <v>13913</v>
      </c>
    </row>
    <row r="1875" spans="1:6" x14ac:dyDescent="0.25">
      <c r="A1875" t="s">
        <v>13914</v>
      </c>
      <c r="B1875" t="s">
        <v>13847</v>
      </c>
      <c r="C1875" t="s">
        <v>13854</v>
      </c>
      <c r="D1875">
        <v>2022</v>
      </c>
      <c r="E1875" t="s">
        <v>1817</v>
      </c>
      <c r="F1875" t="s">
        <v>13915</v>
      </c>
    </row>
    <row r="1876" spans="1:6" x14ac:dyDescent="0.25">
      <c r="A1876" t="s">
        <v>13916</v>
      </c>
      <c r="B1876" t="s">
        <v>13847</v>
      </c>
      <c r="C1876" t="s">
        <v>13848</v>
      </c>
      <c r="D1876">
        <v>2019</v>
      </c>
      <c r="E1876" t="s">
        <v>1817</v>
      </c>
      <c r="F1876" t="s">
        <v>13917</v>
      </c>
    </row>
    <row r="1877" spans="1:6" x14ac:dyDescent="0.25">
      <c r="A1877" t="s">
        <v>13918</v>
      </c>
      <c r="B1877" t="s">
        <v>13847</v>
      </c>
      <c r="C1877" t="s">
        <v>13854</v>
      </c>
      <c r="D1877">
        <v>2022</v>
      </c>
      <c r="E1877" t="s">
        <v>1817</v>
      </c>
      <c r="F1877" t="s">
        <v>13919</v>
      </c>
    </row>
    <row r="1878" spans="1:6" x14ac:dyDescent="0.25">
      <c r="A1878" t="s">
        <v>13920</v>
      </c>
      <c r="B1878" t="s">
        <v>13847</v>
      </c>
      <c r="C1878" t="s">
        <v>13851</v>
      </c>
      <c r="D1878">
        <v>2020</v>
      </c>
      <c r="E1878" t="s">
        <v>1817</v>
      </c>
      <c r="F1878" t="s">
        <v>13921</v>
      </c>
    </row>
    <row r="1879" spans="1:6" x14ac:dyDescent="0.25">
      <c r="A1879" t="s">
        <v>13922</v>
      </c>
      <c r="B1879" t="s">
        <v>13847</v>
      </c>
      <c r="C1879" t="s">
        <v>13848</v>
      </c>
      <c r="D1879">
        <v>2019</v>
      </c>
      <c r="E1879" t="s">
        <v>1817</v>
      </c>
      <c r="F1879" t="s">
        <v>13923</v>
      </c>
    </row>
    <row r="1880" spans="1:6" x14ac:dyDescent="0.25">
      <c r="A1880" t="s">
        <v>13924</v>
      </c>
      <c r="B1880" t="s">
        <v>13847</v>
      </c>
      <c r="C1880" t="s">
        <v>13854</v>
      </c>
      <c r="D1880">
        <v>2022</v>
      </c>
      <c r="E1880" t="s">
        <v>1817</v>
      </c>
      <c r="F1880" t="s">
        <v>13925</v>
      </c>
    </row>
    <row r="1881" spans="1:6" x14ac:dyDescent="0.25">
      <c r="A1881" t="s">
        <v>13926</v>
      </c>
      <c r="B1881" t="s">
        <v>13847</v>
      </c>
      <c r="C1881" t="s">
        <v>13851</v>
      </c>
      <c r="D1881">
        <v>2020</v>
      </c>
      <c r="E1881" t="s">
        <v>1817</v>
      </c>
      <c r="F1881" t="s">
        <v>13927</v>
      </c>
    </row>
    <row r="1882" spans="1:6" x14ac:dyDescent="0.25">
      <c r="A1882" t="s">
        <v>13928</v>
      </c>
      <c r="B1882" t="s">
        <v>13847</v>
      </c>
      <c r="C1882" t="s">
        <v>13848</v>
      </c>
      <c r="D1882">
        <v>2019</v>
      </c>
      <c r="E1882" t="s">
        <v>1817</v>
      </c>
      <c r="F1882" t="s">
        <v>13929</v>
      </c>
    </row>
    <row r="1883" spans="1:6" x14ac:dyDescent="0.25">
      <c r="A1883" t="s">
        <v>13930</v>
      </c>
      <c r="B1883" t="s">
        <v>13847</v>
      </c>
      <c r="C1883" t="s">
        <v>13854</v>
      </c>
      <c r="D1883">
        <v>2022</v>
      </c>
      <c r="E1883" t="s">
        <v>1817</v>
      </c>
      <c r="F1883" t="s">
        <v>13931</v>
      </c>
    </row>
    <row r="1884" spans="1:6" x14ac:dyDescent="0.25">
      <c r="A1884" t="s">
        <v>13932</v>
      </c>
      <c r="B1884" t="s">
        <v>13847</v>
      </c>
      <c r="C1884" t="s">
        <v>13851</v>
      </c>
      <c r="D1884">
        <v>2020</v>
      </c>
      <c r="E1884" t="s">
        <v>1817</v>
      </c>
      <c r="F1884" t="s">
        <v>13933</v>
      </c>
    </row>
    <row r="1885" spans="1:6" x14ac:dyDescent="0.25">
      <c r="A1885" t="s">
        <v>13934</v>
      </c>
      <c r="B1885" t="s">
        <v>13847</v>
      </c>
      <c r="C1885" t="s">
        <v>13848</v>
      </c>
      <c r="D1885">
        <v>2019</v>
      </c>
      <c r="E1885" t="s">
        <v>1817</v>
      </c>
      <c r="F1885" t="s">
        <v>13935</v>
      </c>
    </row>
    <row r="1886" spans="1:6" x14ac:dyDescent="0.25">
      <c r="A1886" t="s">
        <v>13936</v>
      </c>
      <c r="B1886" t="s">
        <v>13847</v>
      </c>
      <c r="C1886" t="s">
        <v>13854</v>
      </c>
      <c r="D1886">
        <v>2022</v>
      </c>
      <c r="E1886" t="s">
        <v>1817</v>
      </c>
      <c r="F1886" t="s">
        <v>13937</v>
      </c>
    </row>
    <row r="1887" spans="1:6" x14ac:dyDescent="0.25">
      <c r="A1887" t="s">
        <v>13938</v>
      </c>
      <c r="B1887" t="s">
        <v>13847</v>
      </c>
      <c r="C1887" t="s">
        <v>13851</v>
      </c>
      <c r="D1887">
        <v>2020</v>
      </c>
      <c r="E1887" t="s">
        <v>1817</v>
      </c>
      <c r="F1887" t="s">
        <v>13939</v>
      </c>
    </row>
    <row r="1888" spans="1:6" x14ac:dyDescent="0.25">
      <c r="A1888" t="s">
        <v>13940</v>
      </c>
      <c r="B1888" t="s">
        <v>13847</v>
      </c>
      <c r="C1888" t="s">
        <v>13848</v>
      </c>
      <c r="D1888">
        <v>2019</v>
      </c>
      <c r="E1888" t="s">
        <v>1817</v>
      </c>
      <c r="F1888" t="s">
        <v>13941</v>
      </c>
    </row>
    <row r="1889" spans="1:6" x14ac:dyDescent="0.25">
      <c r="A1889" t="s">
        <v>13942</v>
      </c>
      <c r="B1889" t="s">
        <v>13847</v>
      </c>
      <c r="C1889" t="s">
        <v>13851</v>
      </c>
      <c r="D1889">
        <v>2020</v>
      </c>
      <c r="E1889" t="s">
        <v>1817</v>
      </c>
      <c r="F1889" t="s">
        <v>13943</v>
      </c>
    </row>
    <row r="1890" spans="1:6" x14ac:dyDescent="0.25">
      <c r="A1890" t="s">
        <v>13944</v>
      </c>
      <c r="B1890" t="s">
        <v>13847</v>
      </c>
      <c r="C1890" t="s">
        <v>13854</v>
      </c>
      <c r="D1890">
        <v>2022</v>
      </c>
      <c r="E1890" t="s">
        <v>1817</v>
      </c>
      <c r="F1890" t="s">
        <v>13945</v>
      </c>
    </row>
    <row r="1891" spans="1:6" x14ac:dyDescent="0.25">
      <c r="A1891" t="s">
        <v>13946</v>
      </c>
      <c r="B1891" t="s">
        <v>13847</v>
      </c>
      <c r="C1891" t="s">
        <v>13848</v>
      </c>
      <c r="D1891">
        <v>2019</v>
      </c>
      <c r="E1891" t="s">
        <v>1817</v>
      </c>
      <c r="F1891" t="s">
        <v>13947</v>
      </c>
    </row>
    <row r="1892" spans="1:6" x14ac:dyDescent="0.25">
      <c r="A1892" t="s">
        <v>13948</v>
      </c>
      <c r="B1892" t="s">
        <v>13847</v>
      </c>
      <c r="C1892" t="s">
        <v>13854</v>
      </c>
      <c r="D1892">
        <v>2022</v>
      </c>
      <c r="E1892" t="s">
        <v>1817</v>
      </c>
      <c r="F1892" t="s">
        <v>13949</v>
      </c>
    </row>
    <row r="1893" spans="1:6" x14ac:dyDescent="0.25">
      <c r="A1893" t="s">
        <v>13950</v>
      </c>
      <c r="B1893" t="s">
        <v>13847</v>
      </c>
      <c r="C1893" t="s">
        <v>13851</v>
      </c>
      <c r="D1893">
        <v>2020</v>
      </c>
      <c r="E1893" t="s">
        <v>1817</v>
      </c>
      <c r="F1893" t="s">
        <v>13951</v>
      </c>
    </row>
    <row r="1894" spans="1:6" x14ac:dyDescent="0.25">
      <c r="A1894" t="s">
        <v>13952</v>
      </c>
      <c r="B1894" t="s">
        <v>13847</v>
      </c>
      <c r="C1894" t="s">
        <v>13848</v>
      </c>
      <c r="D1894">
        <v>2019</v>
      </c>
      <c r="E1894" t="s">
        <v>1817</v>
      </c>
      <c r="F1894" t="s">
        <v>13953</v>
      </c>
    </row>
    <row r="1895" spans="1:6" x14ac:dyDescent="0.25">
      <c r="A1895" t="s">
        <v>13954</v>
      </c>
      <c r="B1895" t="s">
        <v>13847</v>
      </c>
      <c r="C1895" t="s">
        <v>13851</v>
      </c>
      <c r="D1895">
        <v>2020</v>
      </c>
      <c r="E1895" t="s">
        <v>1817</v>
      </c>
      <c r="F1895" t="s">
        <v>13955</v>
      </c>
    </row>
    <row r="1896" spans="1:6" x14ac:dyDescent="0.25">
      <c r="A1896" t="s">
        <v>13956</v>
      </c>
      <c r="B1896" t="s">
        <v>13847</v>
      </c>
      <c r="C1896" t="s">
        <v>13854</v>
      </c>
      <c r="D1896">
        <v>2022</v>
      </c>
      <c r="E1896" t="s">
        <v>1817</v>
      </c>
      <c r="F1896" t="s">
        <v>13957</v>
      </c>
    </row>
    <row r="1897" spans="1:6" x14ac:dyDescent="0.25">
      <c r="A1897" t="s">
        <v>13958</v>
      </c>
      <c r="B1897" t="s">
        <v>13847</v>
      </c>
      <c r="C1897" t="s">
        <v>13848</v>
      </c>
      <c r="D1897">
        <v>2019</v>
      </c>
      <c r="E1897" t="s">
        <v>1817</v>
      </c>
      <c r="F1897" t="s">
        <v>13959</v>
      </c>
    </row>
    <row r="1898" spans="1:6" x14ac:dyDescent="0.25">
      <c r="A1898" t="s">
        <v>13960</v>
      </c>
      <c r="B1898" t="s">
        <v>13847</v>
      </c>
      <c r="C1898" t="s">
        <v>13851</v>
      </c>
      <c r="D1898">
        <v>2020</v>
      </c>
      <c r="E1898" t="s">
        <v>1817</v>
      </c>
      <c r="F1898" t="s">
        <v>13961</v>
      </c>
    </row>
    <row r="1899" spans="1:6" x14ac:dyDescent="0.25">
      <c r="A1899" t="s">
        <v>10476</v>
      </c>
      <c r="B1899" t="s">
        <v>13847</v>
      </c>
      <c r="C1899" t="s">
        <v>13854</v>
      </c>
      <c r="D1899">
        <v>2022</v>
      </c>
      <c r="E1899" t="s">
        <v>1817</v>
      </c>
      <c r="F1899" t="s">
        <v>13962</v>
      </c>
    </row>
    <row r="1900" spans="1:6" x14ac:dyDescent="0.25">
      <c r="A1900" t="s">
        <v>13963</v>
      </c>
      <c r="B1900" t="s">
        <v>13847</v>
      </c>
      <c r="C1900" t="s">
        <v>13848</v>
      </c>
      <c r="D1900">
        <v>2019</v>
      </c>
      <c r="E1900" t="s">
        <v>1817</v>
      </c>
      <c r="F1900" t="s">
        <v>13964</v>
      </c>
    </row>
    <row r="1901" spans="1:6" x14ac:dyDescent="0.25">
      <c r="A1901" t="s">
        <v>13965</v>
      </c>
      <c r="B1901" t="s">
        <v>13847</v>
      </c>
      <c r="C1901" t="s">
        <v>13854</v>
      </c>
      <c r="D1901">
        <v>2022</v>
      </c>
      <c r="E1901" t="s">
        <v>1817</v>
      </c>
      <c r="F1901" t="s">
        <v>13966</v>
      </c>
    </row>
    <row r="1902" spans="1:6" x14ac:dyDescent="0.25">
      <c r="A1902" t="s">
        <v>13967</v>
      </c>
      <c r="B1902" t="s">
        <v>13847</v>
      </c>
      <c r="C1902" t="s">
        <v>13851</v>
      </c>
      <c r="D1902">
        <v>2020</v>
      </c>
      <c r="E1902" t="s">
        <v>1817</v>
      </c>
      <c r="F1902" t="s">
        <v>13968</v>
      </c>
    </row>
    <row r="1903" spans="1:6" x14ac:dyDescent="0.25">
      <c r="A1903" t="s">
        <v>13848</v>
      </c>
      <c r="B1903" t="s">
        <v>13847</v>
      </c>
      <c r="C1903" t="s">
        <v>13848</v>
      </c>
      <c r="D1903">
        <v>2019</v>
      </c>
      <c r="E1903" t="s">
        <v>1817</v>
      </c>
      <c r="F1903" t="s">
        <v>13969</v>
      </c>
    </row>
    <row r="1904" spans="1:6" x14ac:dyDescent="0.25">
      <c r="A1904" t="s">
        <v>13970</v>
      </c>
      <c r="B1904" t="s">
        <v>13847</v>
      </c>
      <c r="C1904" t="s">
        <v>13851</v>
      </c>
      <c r="D1904">
        <v>2020</v>
      </c>
      <c r="E1904" t="s">
        <v>1817</v>
      </c>
      <c r="F1904" t="s">
        <v>13971</v>
      </c>
    </row>
    <row r="1905" spans="1:6" x14ac:dyDescent="0.25">
      <c r="A1905" t="s">
        <v>13972</v>
      </c>
      <c r="B1905" t="s">
        <v>13847</v>
      </c>
      <c r="C1905" t="s">
        <v>13848</v>
      </c>
      <c r="D1905">
        <v>2019</v>
      </c>
      <c r="E1905" t="s">
        <v>1817</v>
      </c>
      <c r="F1905" t="s">
        <v>13973</v>
      </c>
    </row>
    <row r="1906" spans="1:6" x14ac:dyDescent="0.25">
      <c r="A1906" t="s">
        <v>13974</v>
      </c>
      <c r="B1906" t="s">
        <v>13847</v>
      </c>
      <c r="C1906" t="s">
        <v>13851</v>
      </c>
      <c r="D1906">
        <v>2020</v>
      </c>
      <c r="E1906" t="s">
        <v>1817</v>
      </c>
      <c r="F1906" t="s">
        <v>13975</v>
      </c>
    </row>
    <row r="1907" spans="1:6" x14ac:dyDescent="0.25">
      <c r="A1907" t="s">
        <v>13976</v>
      </c>
      <c r="B1907" t="s">
        <v>13847</v>
      </c>
      <c r="C1907" t="s">
        <v>13851</v>
      </c>
      <c r="D1907">
        <v>2020</v>
      </c>
      <c r="E1907" t="s">
        <v>1817</v>
      </c>
      <c r="F1907" t="s">
        <v>13977</v>
      </c>
    </row>
    <row r="1908" spans="1:6" x14ac:dyDescent="0.25">
      <c r="A1908" t="s">
        <v>13978</v>
      </c>
      <c r="B1908" t="s">
        <v>13979</v>
      </c>
      <c r="C1908" t="s">
        <v>13980</v>
      </c>
      <c r="E1908" t="s">
        <v>2648</v>
      </c>
      <c r="F1908" t="s">
        <v>13981</v>
      </c>
    </row>
    <row r="1909" spans="1:6" x14ac:dyDescent="0.25">
      <c r="A1909" t="s">
        <v>13982</v>
      </c>
      <c r="B1909" t="s">
        <v>13979</v>
      </c>
      <c r="C1909" t="s">
        <v>13980</v>
      </c>
      <c r="E1909" t="s">
        <v>2648</v>
      </c>
      <c r="F1909" t="s">
        <v>13983</v>
      </c>
    </row>
    <row r="1910" spans="1:6" x14ac:dyDescent="0.25">
      <c r="A1910" t="s">
        <v>13984</v>
      </c>
      <c r="B1910" t="s">
        <v>13979</v>
      </c>
      <c r="C1910" t="s">
        <v>13980</v>
      </c>
      <c r="E1910" t="s">
        <v>2648</v>
      </c>
      <c r="F1910" t="s">
        <v>13985</v>
      </c>
    </row>
    <row r="1911" spans="1:6" x14ac:dyDescent="0.25">
      <c r="A1911" t="s">
        <v>13986</v>
      </c>
      <c r="B1911" t="s">
        <v>13979</v>
      </c>
      <c r="C1911" t="s">
        <v>13980</v>
      </c>
      <c r="E1911" t="s">
        <v>2648</v>
      </c>
      <c r="F1911" t="s">
        <v>13987</v>
      </c>
    </row>
    <row r="1912" spans="1:6" x14ac:dyDescent="0.25">
      <c r="A1912" t="s">
        <v>13988</v>
      </c>
      <c r="B1912" t="s">
        <v>13979</v>
      </c>
      <c r="C1912" t="s">
        <v>13980</v>
      </c>
      <c r="E1912" t="s">
        <v>2648</v>
      </c>
      <c r="F1912" t="s">
        <v>13989</v>
      </c>
    </row>
    <row r="1913" spans="1:6" x14ac:dyDescent="0.25">
      <c r="A1913" t="s">
        <v>13990</v>
      </c>
      <c r="B1913" t="s">
        <v>13979</v>
      </c>
      <c r="C1913" t="s">
        <v>13980</v>
      </c>
      <c r="E1913" t="s">
        <v>2648</v>
      </c>
      <c r="F1913" t="s">
        <v>13991</v>
      </c>
    </row>
    <row r="1914" spans="1:6" x14ac:dyDescent="0.25">
      <c r="A1914" t="s">
        <v>13992</v>
      </c>
      <c r="B1914" t="s">
        <v>13979</v>
      </c>
      <c r="C1914" t="s">
        <v>13980</v>
      </c>
      <c r="E1914" t="s">
        <v>2648</v>
      </c>
      <c r="F1914" t="s">
        <v>13993</v>
      </c>
    </row>
    <row r="1915" spans="1:6" x14ac:dyDescent="0.25">
      <c r="A1915" t="s">
        <v>13994</v>
      </c>
      <c r="B1915" t="s">
        <v>13979</v>
      </c>
      <c r="C1915" t="s">
        <v>13980</v>
      </c>
      <c r="E1915" t="s">
        <v>2648</v>
      </c>
      <c r="F1915" t="s">
        <v>13995</v>
      </c>
    </row>
    <row r="1916" spans="1:6" x14ac:dyDescent="0.25">
      <c r="A1916" t="s">
        <v>13996</v>
      </c>
      <c r="B1916" t="s">
        <v>13979</v>
      </c>
      <c r="C1916" t="s">
        <v>13980</v>
      </c>
      <c r="E1916" t="s">
        <v>2648</v>
      </c>
      <c r="F1916" t="s">
        <v>13997</v>
      </c>
    </row>
    <row r="1917" spans="1:6" x14ac:dyDescent="0.25">
      <c r="A1917" t="s">
        <v>13998</v>
      </c>
      <c r="B1917" t="s">
        <v>13979</v>
      </c>
      <c r="C1917" t="s">
        <v>13980</v>
      </c>
      <c r="E1917" t="s">
        <v>2648</v>
      </c>
      <c r="F1917" t="s">
        <v>13999</v>
      </c>
    </row>
    <row r="1918" spans="1:6" x14ac:dyDescent="0.25">
      <c r="A1918" t="s">
        <v>14000</v>
      </c>
      <c r="B1918" t="s">
        <v>13979</v>
      </c>
      <c r="C1918" t="s">
        <v>13980</v>
      </c>
      <c r="E1918" t="s">
        <v>2648</v>
      </c>
      <c r="F1918" t="s">
        <v>14001</v>
      </c>
    </row>
    <row r="1919" spans="1:6" x14ac:dyDescent="0.25">
      <c r="A1919" t="s">
        <v>14002</v>
      </c>
      <c r="B1919" t="s">
        <v>13979</v>
      </c>
      <c r="C1919" t="s">
        <v>13980</v>
      </c>
      <c r="E1919" t="s">
        <v>2648</v>
      </c>
      <c r="F1919" t="s">
        <v>14003</v>
      </c>
    </row>
    <row r="1920" spans="1:6" x14ac:dyDescent="0.25">
      <c r="A1920" t="s">
        <v>14004</v>
      </c>
      <c r="B1920" t="s">
        <v>13979</v>
      </c>
      <c r="C1920" t="s">
        <v>13980</v>
      </c>
      <c r="E1920" t="s">
        <v>2648</v>
      </c>
      <c r="F1920" t="s">
        <v>14005</v>
      </c>
    </row>
    <row r="1921" spans="1:6" x14ac:dyDescent="0.25">
      <c r="A1921" t="s">
        <v>14006</v>
      </c>
      <c r="B1921" t="s">
        <v>13979</v>
      </c>
      <c r="C1921" t="s">
        <v>13980</v>
      </c>
      <c r="E1921" t="s">
        <v>2648</v>
      </c>
      <c r="F1921" t="s">
        <v>14007</v>
      </c>
    </row>
    <row r="1922" spans="1:6" x14ac:dyDescent="0.25">
      <c r="A1922" t="s">
        <v>14008</v>
      </c>
      <c r="B1922" t="s">
        <v>13979</v>
      </c>
      <c r="C1922" t="s">
        <v>13980</v>
      </c>
      <c r="E1922" t="s">
        <v>2648</v>
      </c>
      <c r="F1922" t="s">
        <v>14009</v>
      </c>
    </row>
    <row r="1923" spans="1:6" x14ac:dyDescent="0.25">
      <c r="A1923" t="s">
        <v>14010</v>
      </c>
      <c r="B1923" t="s">
        <v>13979</v>
      </c>
      <c r="C1923" t="s">
        <v>13980</v>
      </c>
      <c r="E1923" t="s">
        <v>2648</v>
      </c>
      <c r="F1923" t="s">
        <v>14011</v>
      </c>
    </row>
    <row r="1924" spans="1:6" x14ac:dyDescent="0.25">
      <c r="A1924" t="s">
        <v>14012</v>
      </c>
      <c r="B1924" t="s">
        <v>13979</v>
      </c>
      <c r="C1924" t="s">
        <v>13980</v>
      </c>
      <c r="E1924" t="s">
        <v>2648</v>
      </c>
      <c r="F1924" t="s">
        <v>14013</v>
      </c>
    </row>
    <row r="1925" spans="1:6" x14ac:dyDescent="0.25">
      <c r="A1925" t="s">
        <v>14014</v>
      </c>
      <c r="B1925" t="s">
        <v>13979</v>
      </c>
      <c r="C1925" t="s">
        <v>13980</v>
      </c>
      <c r="E1925" t="s">
        <v>2648</v>
      </c>
      <c r="F1925" t="s">
        <v>14015</v>
      </c>
    </row>
    <row r="1926" spans="1:6" x14ac:dyDescent="0.25">
      <c r="A1926" t="s">
        <v>14016</v>
      </c>
      <c r="B1926" t="s">
        <v>13979</v>
      </c>
      <c r="C1926" t="s">
        <v>13980</v>
      </c>
      <c r="E1926" t="s">
        <v>2648</v>
      </c>
      <c r="F1926" t="s">
        <v>14017</v>
      </c>
    </row>
    <row r="1927" spans="1:6" x14ac:dyDescent="0.25">
      <c r="A1927" t="s">
        <v>14018</v>
      </c>
      <c r="B1927" t="s">
        <v>13979</v>
      </c>
      <c r="C1927" t="s">
        <v>13980</v>
      </c>
      <c r="E1927" t="s">
        <v>2648</v>
      </c>
      <c r="F1927" t="s">
        <v>14019</v>
      </c>
    </row>
    <row r="1928" spans="1:6" x14ac:dyDescent="0.25">
      <c r="A1928" t="s">
        <v>14020</v>
      </c>
      <c r="B1928" t="s">
        <v>13979</v>
      </c>
      <c r="C1928" t="s">
        <v>13980</v>
      </c>
      <c r="E1928" t="s">
        <v>2648</v>
      </c>
      <c r="F1928" t="s">
        <v>14021</v>
      </c>
    </row>
    <row r="1929" spans="1:6" x14ac:dyDescent="0.25">
      <c r="A1929" t="s">
        <v>14022</v>
      </c>
      <c r="B1929" t="s">
        <v>13979</v>
      </c>
      <c r="C1929" t="s">
        <v>13980</v>
      </c>
      <c r="E1929" t="s">
        <v>2648</v>
      </c>
      <c r="F1929" t="s">
        <v>14023</v>
      </c>
    </row>
    <row r="1930" spans="1:6" x14ac:dyDescent="0.25">
      <c r="A1930" t="s">
        <v>14024</v>
      </c>
      <c r="B1930" t="s">
        <v>13979</v>
      </c>
      <c r="C1930" t="s">
        <v>13980</v>
      </c>
      <c r="E1930" t="s">
        <v>2648</v>
      </c>
      <c r="F1930" t="s">
        <v>14025</v>
      </c>
    </row>
    <row r="1931" spans="1:6" x14ac:dyDescent="0.25">
      <c r="A1931" t="s">
        <v>14026</v>
      </c>
      <c r="B1931" t="s">
        <v>13979</v>
      </c>
      <c r="C1931" t="s">
        <v>13980</v>
      </c>
      <c r="E1931" t="s">
        <v>2648</v>
      </c>
      <c r="F1931" t="s">
        <v>14027</v>
      </c>
    </row>
    <row r="1932" spans="1:6" x14ac:dyDescent="0.25">
      <c r="A1932" t="s">
        <v>14028</v>
      </c>
      <c r="B1932" t="s">
        <v>13979</v>
      </c>
      <c r="C1932" t="s">
        <v>13980</v>
      </c>
      <c r="E1932" t="s">
        <v>2648</v>
      </c>
      <c r="F1932" t="s">
        <v>14029</v>
      </c>
    </row>
    <row r="1933" spans="1:6" x14ac:dyDescent="0.25">
      <c r="A1933" t="s">
        <v>14030</v>
      </c>
      <c r="B1933" t="s">
        <v>13979</v>
      </c>
      <c r="C1933" t="s">
        <v>13980</v>
      </c>
      <c r="E1933" t="s">
        <v>2648</v>
      </c>
      <c r="F1933" t="s">
        <v>14031</v>
      </c>
    </row>
    <row r="1934" spans="1:6" x14ac:dyDescent="0.25">
      <c r="A1934" t="s">
        <v>14032</v>
      </c>
      <c r="B1934" t="s">
        <v>13979</v>
      </c>
      <c r="C1934" t="s">
        <v>13980</v>
      </c>
      <c r="E1934" t="s">
        <v>2648</v>
      </c>
      <c r="F1934" t="s">
        <v>14033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14124</v>
      </c>
    </row>
    <row r="3" spans="1:8" x14ac:dyDescent="0.25">
      <c r="B3" t="s">
        <v>4265</v>
      </c>
      <c r="C3" t="s">
        <v>3769</v>
      </c>
      <c r="D3" t="s">
        <v>41</v>
      </c>
      <c r="E3" t="s">
        <v>4267</v>
      </c>
      <c r="G3" t="s">
        <v>14126</v>
      </c>
    </row>
    <row r="4" spans="1:8" x14ac:dyDescent="0.25">
      <c r="B4" t="s">
        <v>4265</v>
      </c>
      <c r="C4" t="s">
        <v>3783</v>
      </c>
      <c r="D4" t="s">
        <v>41</v>
      </c>
      <c r="E4" t="s">
        <v>4268</v>
      </c>
      <c r="G4" t="s">
        <v>14125</v>
      </c>
    </row>
    <row r="5" spans="1:8" x14ac:dyDescent="0.25">
      <c r="B5" t="s">
        <v>4269</v>
      </c>
      <c r="C5" t="s">
        <v>3735</v>
      </c>
      <c r="D5" t="s">
        <v>41</v>
      </c>
      <c r="E5" t="s">
        <v>4270</v>
      </c>
      <c r="F5" t="s">
        <v>3452</v>
      </c>
      <c r="G5" t="s">
        <v>14127</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14128</v>
      </c>
    </row>
    <row r="9" spans="1:8" x14ac:dyDescent="0.25">
      <c r="B9" t="s">
        <v>4275</v>
      </c>
      <c r="C9" t="s">
        <v>3769</v>
      </c>
      <c r="D9" t="s">
        <v>41</v>
      </c>
      <c r="E9" t="s">
        <v>4277</v>
      </c>
      <c r="G9" t="s">
        <v>14129</v>
      </c>
    </row>
    <row r="10" spans="1:8" x14ac:dyDescent="0.25">
      <c r="B10" t="s">
        <v>4275</v>
      </c>
      <c r="C10" t="s">
        <v>3783</v>
      </c>
      <c r="D10" t="s">
        <v>41</v>
      </c>
      <c r="E10" t="s">
        <v>4278</v>
      </c>
      <c r="G10" t="s">
        <v>14130</v>
      </c>
    </row>
    <row r="11" spans="1:8" x14ac:dyDescent="0.25">
      <c r="B11" t="s">
        <v>4275</v>
      </c>
      <c r="C11" t="s">
        <v>3903</v>
      </c>
      <c r="D11" t="s">
        <v>41</v>
      </c>
      <c r="E11" t="s">
        <v>4279</v>
      </c>
      <c r="G11" t="s">
        <v>14131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7</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7.0006320000000004</v>
      </c>
      <c r="P632" t="str">
        <f>IF(OR($A632="",games!$H632=""),"",games!$H632)</f>
        <v>Yes</v>
      </c>
      <c r="Q632">
        <f t="shared" si="128"/>
        <v>7.0006320000000004</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3</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3.0006620000000002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
      </c>
      <c r="Q694" t="str">
        <f t="shared" si="141"/>
        <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
      </c>
      <c r="Q768" t="str">
        <f t="shared" si="154"/>
        <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
      </c>
      <c r="Q915" t="str">
        <f t="shared" si="193"/>
        <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2026-10-14T23:23:52Z</dcterms:modified>
  <dc:language>en-US</dc:language>
</cp:coreProperties>
</file>