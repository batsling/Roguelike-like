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<sst xmlns="http://schemas.openxmlformats.org/spreadsheetml/2006/main" count="34606" uniqueCount="12739">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</sst>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Calc'!$H$1:$H$1200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Calc'!$J$1:$J$1200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Calc'!$L$1:$L$1200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Calc'!$N$1:$N$1200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inlineStr">
        <is>
          <t xml:space="preserve">cult_of_the_lamb-risk_of_rain_2---pax_autocratica</t>
        </is>
      </c>
      <c r="G1524" t="s">
        <v>3993</v>
      </c>
    </row>
    <row r="1525" spans="1:7" x14ac:dyDescent="0.25">
      <c r="A1525" t="s">
        <v>709</v>
      </c>
      <c r="B1525" t="s">
        <v>12712</v>
      </c>
      <c r="C1525">
        <v>2022</v>
      </c>
      <c r="E1525" s="10" t="s">
        <v>12715</v>
      </c>
      <c r="F1525" t="inlineStr">
        <is>
          <t xml:space="preserve">cult_of_the_lamb-risk_of_rain_2---pax_autocratica</t>
        </is>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COUNTA(games!$A$2:$A$1200)</f>
        <v>923</v>
      </c>
      <c r="C5" s="17" t="s">
        <v>4311</v>
      </c>
      <c r="E5" t="s">
        <v>4312</v>
      </c>
      <c r="F5">
        <f>COUNTIF('Map Calc'!$D$2:$D$1200,0)</f>
        <v>70</v>
      </c>
      <c r="G5">
        <f>COUNTIFS('Map Calc'!$D$2:$D$1200,0,'Map Calc'!$P$2:$P$1200,"Yes")</f>
        <v>36</v>
      </c>
      <c r="I5" t="s">
        <v>176</v>
      </c>
      <c r="J5">
        <f>COUNTIF(games!$C$2:$C$1200,$I5)</f>
        <v>405</v>
      </c>
      <c r="K5">
        <f>COUNTIFS(games!$C$2:$C$1200,$I5,games!$H$2:$H$1200,"Yes")</f>
        <v>270</v>
      </c>
      <c r="L5" s="18">
        <f>IF($J5=0,0,$K5/$J5)</f>
        <v>0.66666666666666663</v>
      </c>
      <c r="N5">
        <v>1</v>
      </c>
      <c r="O5" t="str">
        <f>IFERROR(INDEX('Map Calc'!$A$2:$A$1200,MATCH(LARGE('Map Calc'!$O$2:$O$1200,1),'Map Calc'!$O$2:$O$1200,0)),"")</f>
        <v/>
      </c>
      <c r="P5" t="str">
        <f>IFERROR(INDEX('Map Calc'!$D$2:$D$1200,MATCH(LARGE('Map Calc'!$O$2:$O$1200,1),'Map Calc'!$O$2:$O$1200,0)),"")</f>
        <v/>
      </c>
      <c r="R5">
        <v>1</v>
      </c>
      <c r="S5" t="str">
        <f>IFERROR(INDEX('Map Calc'!$A$2:$A$1200,MATCH(LARGE('Map Calc'!$Q$2:$Q$1200,1),'Map Calc'!$Q$2:$Q$1200,0)),"")</f>
        <v/>
      </c>
      <c r="T5" t="str">
        <f>IFERROR(INDEX('Map Calc'!$D$2:$D$1200,MATCH(LARGE('Map Calc'!$Q$2:$Q$1200,1),'Map Calc'!$Q$2:$Q$1200,0)),"")</f>
        <v/>
      </c>
      <c r="V5">
        <v>1978</v>
      </c>
      <c r="W5">
        <f>COUNTIF(games!$B$2:$B$1200,$V5)</f>
        <v>1</v>
      </c>
      <c r="X5">
        <f>COUNTIFS(games!$B$2:$B$1200,$V5,games!$H$2:$H$1200,"Yes")</f>
        <v>1</v>
      </c>
      <c r="Y5">
        <f>COUNTIF('Map Calc'!$T$2:$T$2500,$V5)</f>
        <v>0</v>
      </c>
      <c r="AA5">
        <v>0</v>
      </c>
      <c r="AB5">
        <f>COUNTIF('Map Calc'!$V$2:$V$2500,$AA5)</f>
        <v>14</v>
      </c>
    </row>
    <row r="6" spans="1:28" x14ac:dyDescent="0.25">
      <c r="A6" s="15" t="s">
        <v>4313</v>
      </c>
      <c r="B6" s="16">
        <f>COUNTIF(games!$H$2:$H$1200,"Yes")</f>
        <v>583</v>
      </c>
      <c r="C6" s="17" t="s">
        <v>4314</v>
      </c>
      <c r="E6" t="s">
        <v>4315</v>
      </c>
      <c r="F6">
        <f>COUNTIF('Map Calc'!$D$2:$D$1200,1)</f>
        <v>333</v>
      </c>
      <c r="G6">
        <f>COUNTIFS('Map Calc'!$D$2:$D$1200,1,'Map Calc'!$P$2:$P$1200,"Yes")</f>
        <v>204</v>
      </c>
      <c r="I6" t="s">
        <v>222</v>
      </c>
      <c r="J6">
        <f>COUNTIF(games!$C$2:$C$1200,$I6)</f>
        <v>163</v>
      </c>
      <c r="K6">
        <f>COUNTIFS(games!$C$2:$C$1200,$I6,games!$H$2:$H$1200,"Yes")</f>
        <v>105</v>
      </c>
      <c r="L6" s="18">
        <f>IF($J6=0,0,$K6/$J6)</f>
        <v>0.64417177914110424</v>
      </c>
      <c r="N6">
        <v>2</v>
      </c>
      <c r="O6" t="str">
        <f>IFERROR(INDEX('Map Calc'!$A$2:$A$1200,MATCH(LARGE('Map Calc'!$O$2:$O$1200,2),'Map Calc'!$O$2:$O$1200,0)),"")</f>
        <v/>
      </c>
      <c r="P6" t="str">
        <f>IFERROR(INDEX('Map Calc'!$D$2:$D$1200,MATCH(LARGE('Map Calc'!$O$2:$O$1200,2),'Map Calc'!$O$2:$O$1200,0)),"")</f>
        <v/>
      </c>
      <c r="R6">
        <v>2</v>
      </c>
      <c r="S6" t="str">
        <f>IFERROR(INDEX('Map Calc'!$A$2:$A$1200,MATCH(LARGE('Map Calc'!$Q$2:$Q$1200,2),'Map Calc'!$Q$2:$Q$1200,0)),"")</f>
        <v/>
      </c>
      <c r="T6" t="str">
        <f>IFERROR(INDEX('Map Calc'!$D$2:$D$1200,MATCH(LARGE('Map Calc'!$Q$2:$Q$1200,2),'Map Calc'!$Q$2:$Q$1200,0)),"")</f>
        <v/>
      </c>
      <c r="V6">
        <v>1979</v>
      </c>
      <c r="W6">
        <f>COUNTIF(games!$B$2:$B$1200,$V6)</f>
        <v>0</v>
      </c>
      <c r="X6">
        <f>COUNTIFS(games!$B$2:$B$1200,$V6,games!$H$2:$H$1200,"Yes")</f>
        <v>0</v>
      </c>
      <c r="Y6">
        <f>COUNTIF('Map Calc'!$T$2:$T$2500,$V6)</f>
        <v>0</v>
      </c>
      <c r="AA6">
        <v>1</v>
      </c>
      <c r="AB6">
        <f>COUNTIF('Map Calc'!$V$2:$V$2500,$AA6)</f>
        <v>106</v>
      </c>
    </row>
    <row r="7" spans="1:28" x14ac:dyDescent="0.25">
      <c r="A7" s="15" t="s">
        <v>4316</v>
      </c>
      <c r="B7" s="19">
        <f>IF(B5=0,0,B6/B5)</f>
        <v>0.63163596966413871</v>
      </c>
      <c r="C7" s="17" t="s">
        <v>4317</v>
      </c>
      <c r="E7" t="s">
        <v>4318</v>
      </c>
      <c r="F7">
        <f>COUNTIF('Map Calc'!$D$2:$D$1200,2)</f>
        <v>210</v>
      </c>
      <c r="G7">
        <f>COUNTIFS('Map Calc'!$D$2:$D$1200,2,'Map Calc'!$P$2:$P$1200,"Yes")</f>
        <v>124</v>
      </c>
      <c r="I7" t="s">
        <v>182</v>
      </c>
      <c r="J7">
        <f>COUNTIF(games!$C$2:$C$1200,$I7)</f>
        <v>188</v>
      </c>
      <c r="K7">
        <f>COUNTIFS(games!$C$2:$C$1200,$I7,games!$H$2:$H$1200,"Yes")</f>
        <v>100</v>
      </c>
      <c r="L7" s="18">
        <f>IF($J7=0,0,$K7/$J7)</f>
        <v>0.53191489361702127</v>
      </c>
      <c r="N7">
        <v>3</v>
      </c>
      <c r="O7" t="str">
        <f>IFERROR(INDEX('Map Calc'!$A$2:$A$1200,MATCH(LARGE('Map Calc'!$O$2:$O$1200,3),'Map Calc'!$O$2:$O$1200,0)),"")</f>
        <v/>
      </c>
      <c r="P7" t="str">
        <f>IFERROR(INDEX('Map Calc'!$D$2:$D$1200,MATCH(LARGE('Map Calc'!$O$2:$O$1200,3),'Map Calc'!$O$2:$O$1200,0)),"")</f>
        <v/>
      </c>
      <c r="R7">
        <v>3</v>
      </c>
      <c r="S7" t="str">
        <f>IFERROR(INDEX('Map Calc'!$A$2:$A$1200,MATCH(LARGE('Map Calc'!$Q$2:$Q$1200,3),'Map Calc'!$Q$2:$Q$1200,0)),"")</f>
        <v/>
      </c>
      <c r="T7" t="str">
        <f>IFERROR(INDEX('Map Calc'!$D$2:$D$1200,MATCH(LARGE('Map Calc'!$Q$2:$Q$1200,3),'Map Calc'!$Q$2:$Q$1200,0)),"")</f>
        <v/>
      </c>
      <c r="V7">
        <v>1980</v>
      </c>
      <c r="W7">
        <f>COUNTIF(games!$B$2:$B$1200,$V7)</f>
        <v>1</v>
      </c>
      <c r="X7">
        <f>COUNTIFS(games!$B$2:$B$1200,$V7,games!$H$2:$H$1200,"Yes")</f>
        <v>1</v>
      </c>
      <c r="Y7">
        <f>COUNTIF('Map Calc'!$T$2:$T$2500,$V7)</f>
        <v>28</v>
      </c>
      <c r="AA7">
        <v>2</v>
      </c>
      <c r="AB7">
        <f>COUNTIF('Map Calc'!$V$2:$V$2500,$AA7)</f>
        <v>169</v>
      </c>
    </row>
    <row r="8" spans="1:28" x14ac:dyDescent="0.25">
      <c r="A8" s="15" t="s">
        <v>4309</v>
      </c>
      <c r="B8" s="25">
        <f>COUNTA(connections!$A$2:$A$2500)</f>
        <v>1525</v>
      </c>
      <c r="C8" s="17" t="s">
        <v>4319</v>
      </c>
      <c r="E8" t="s">
        <v>4320</v>
      </c>
      <c r="F8">
        <f>COUNTIF('Map Calc'!$D$2:$D$1200,3)</f>
        <v>135</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
      </c>
      <c r="P8" t="str">
        <f>IFERROR(INDEX('Map Calc'!$D$2:$D$1200,MATCH(LARGE('Map Calc'!$O$2:$O$1200,4),'Map Calc'!$O$2:$O$1200,0)),"")</f>
        <v/>
      </c>
      <c r="R8">
        <v>4</v>
      </c>
      <c r="S8" t="str">
        <f>IFERROR(INDEX('Map Calc'!$A$2:$A$1200,MATCH(LARGE('Map Calc'!$Q$2:$Q$1200,4),'Map Calc'!$Q$2:$Q$1200,0)),"")</f>
        <v/>
      </c>
      <c r="T8" t="str">
        <f>IFERROR(INDEX('Map Calc'!$D$2:$D$1200,MATCH(LARGE('Map Calc'!$Q$2:$Q$1200,4),'Map Calc'!$Q$2:$Q$1200,0)),"")</f>
        <v/>
      </c>
      <c r="V8">
        <v>1981</v>
      </c>
      <c r="W8">
        <f>COUNTIF(games!$B$2:$B$1200,$V8)</f>
        <v>0</v>
      </c>
      <c r="X8">
        <f>COUNTIFS(games!$B$2:$B$1200,$V8,games!$H$2:$H$1200,"Yes")</f>
        <v>0</v>
      </c>
      <c r="Y8">
        <f>COUNTIF('Map Calc'!$T$2:$T$2500,$V8)</f>
        <v>0</v>
      </c>
      <c r="AA8">
        <v>3</v>
      </c>
      <c r="AB8">
        <f>COUNTIF('Map Calc'!$V$2:$V$2500,$AA8)</f>
        <v>172</v>
      </c>
    </row>
    <row r="9" spans="1:28" x14ac:dyDescent="0.25">
      <c r="A9" s="15" t="s">
        <v>4321</v>
      </c>
      <c r="B9" s="20">
        <f>IF(B5=0,0,2*B8/B5)</f>
        <v>3.3044420368364031</v>
      </c>
      <c r="C9" s="17" t="s">
        <v>4322</v>
      </c>
      <c r="E9" t="s">
        <v>4323</v>
      </c>
      <c r="F9">
        <f>COUNTIF('Map Calc'!$D$2:$D$1200,4)</f>
        <v>59</v>
      </c>
      <c r="G9">
        <f>COUNTIFS('Map Calc'!$D$2:$D$1200,4,'Map Calc'!$P$2:$P$1200,"Yes")</f>
        <v>36</v>
      </c>
      <c r="I9" s="21" t="s">
        <v>39</v>
      </c>
      <c r="J9" s="21">
        <f>SUM(J5:J8)</f>
        <v>923</v>
      </c>
      <c r="K9" s="21">
        <f>SUM(K5:K8)</f>
        <v>583</v>
      </c>
      <c r="L9" s="22">
        <f>IF($J9=0,0,$K9/$J9)</f>
        <v>0.63163596966413871</v>
      </c>
      <c r="N9">
        <v>5</v>
      </c>
      <c r="O9" t="str">
        <f>IFERROR(INDEX('Map Calc'!$A$2:$A$1200,MATCH(LARGE('Map Calc'!$O$2:$O$1200,5),'Map Calc'!$O$2:$O$1200,0)),"")</f>
        <v/>
      </c>
      <c r="P9" t="str">
        <f>IFERROR(INDEX('Map Calc'!$D$2:$D$1200,MATCH(LARGE('Map Calc'!$O$2:$O$1200,5),'Map Calc'!$O$2:$O$1200,0)),"")</f>
        <v/>
      </c>
      <c r="R9">
        <v>5</v>
      </c>
      <c r="S9" t="str">
        <f>IFERROR(INDEX('Map Calc'!$A$2:$A$1200,MATCH(LARGE('Map Calc'!$Q$2:$Q$1200,5),'Map Calc'!$Q$2:$Q$1200,0)),"")</f>
        <v/>
      </c>
      <c r="T9" t="str">
        <f>IFERROR(INDEX('Map Calc'!$D$2:$D$1200,MATCH(LARGE('Map Calc'!$Q$2:$Q$1200,5),'Map Calc'!$Q$2:$Q$1200,0)),"")</f>
        <v/>
      </c>
      <c r="V9">
        <v>1982</v>
      </c>
      <c r="W9">
        <f>COUNTIF(games!$B$2:$B$1200,$V9)</f>
        <v>1</v>
      </c>
      <c r="X9">
        <f>COUNTIFS(games!$B$2:$B$1200,$V9,games!$H$2:$H$1200,"Yes")</f>
        <v>0</v>
      </c>
      <c r="Y9">
        <f>COUNTIF('Map Calc'!$T$2:$T$2500,$V9)</f>
        <v>1</v>
      </c>
      <c r="AA9">
        <v>4</v>
      </c>
      <c r="AB9">
        <f>COUNTIF('Map Calc'!$V$2:$V$2500,$AA9)</f>
        <v>161</v>
      </c>
    </row>
    <row r="10" spans="1:28" x14ac:dyDescent="0.25">
      <c r="A10" s="15" t="s">
        <v>4324</v>
      </c>
      <c r="B10" s="20">
        <f>IFERROR(SUMIFS('Map Calc'!$D$2:$D$1200,games!$H$2:$H$1200,"Yes")/B6,0)</f>
        <v>4.0943396226415096</v>
      </c>
      <c r="C10" s="17" t="s">
        <v>4325</v>
      </c>
      <c r="E10" t="s">
        <v>4326</v>
      </c>
      <c r="F10">
        <f>COUNTIF('Map Calc'!$D$2:$D$1200,5)</f>
        <v>35</v>
      </c>
      <c r="G10">
        <f>COUNTIFS('Map Calc'!$D$2:$D$1200,5,'Map Calc'!$P$2:$P$1200,"Yes")</f>
        <v>21</v>
      </c>
      <c r="N10">
        <v>6</v>
      </c>
      <c r="O10" t="str">
        <f>IFERROR(INDEX('Map Calc'!$A$2:$A$1200,MATCH(LARGE('Map Calc'!$O$2:$O$1200,6),'Map Calc'!$O$2:$O$1200,0)),"")</f>
        <v/>
      </c>
      <c r="P10" t="str">
        <f>IFERROR(INDEX('Map Calc'!$D$2:$D$1200,MATCH(LARGE('Map Calc'!$O$2:$O$1200,6),'Map Calc'!$O$2:$O$1200,0)),"")</f>
        <v/>
      </c>
      <c r="R10">
        <v>6</v>
      </c>
      <c r="S10" t="str">
        <f>IFERROR(INDEX('Map Calc'!$A$2:$A$1200,MATCH(LARGE('Map Calc'!$Q$2:$Q$1200,6),'Map Calc'!$Q$2:$Q$1200,0)),"")</f>
        <v/>
      </c>
      <c r="T10" t="str">
        <f>IFERROR(INDEX('Map Calc'!$D$2:$D$1200,MATCH(LARGE('Map Calc'!$Q$2:$Q$1200,6),'Map Calc'!$Q$2:$Q$1200,0)),"")</f>
        <v/>
      </c>
      <c r="V10">
        <v>1983</v>
      </c>
      <c r="W10">
        <f>COUNTIF(games!$B$2:$B$1200,$V10)</f>
        <v>1</v>
      </c>
      <c r="X10">
        <f>COUNTIFS(games!$B$2:$B$1200,$V10,games!$H$2:$H$1200,"Yes")</f>
        <v>1</v>
      </c>
      <c r="Y10">
        <f>COUNTIF('Map Calc'!$T$2:$T$2500,$V10)</f>
        <v>4</v>
      </c>
      <c r="AA10">
        <v>5</v>
      </c>
      <c r="AB10">
        <f>COUNTIF('Map Calc'!$V$2:$V$2500,$AA10)</f>
        <v>136</v>
      </c>
    </row>
    <row r="11" spans="1:28" x14ac:dyDescent="0.25">
      <c r="A11" s="15" t="s">
        <v>4327</v>
      </c>
      <c r="B11" s="16">
        <f>MEDIAN('Map Calc'!$D$2:$D$1200)</f>
      </c>
      <c r="C11" s="17" t="s">
        <v>4328</v>
      </c>
      <c r="E11" t="s">
        <v>4329</v>
      </c>
      <c r="F11">
        <f>COUNTIFS('Map Calc'!$D$2:$D$1200,"&gt;=6",'Map Calc'!$D$2:$D$1200,"&lt;=9")</f>
        <v>42</v>
      </c>
      <c r="G11">
        <f>COUNTIFS('Map Calc'!$D$2:$D$1200,"&gt;=6",'Map Calc'!$D$2:$D$1200,"&lt;=9",'Map Calc'!$P$2:$P$1200,"Yes")</f>
        <v>32</v>
      </c>
      <c r="N11">
        <v>7</v>
      </c>
      <c r="O11" t="str">
        <f>IFERROR(INDEX('Map Calc'!$A$2:$A$1200,MATCH(LARGE('Map Calc'!$O$2:$O$1200,7),'Map Calc'!$O$2:$O$1200,0)),"")</f>
        <v/>
      </c>
      <c r="P11" t="str">
        <f>IFERROR(INDEX('Map Calc'!$D$2:$D$1200,MATCH(LARGE('Map Calc'!$O$2:$O$1200,7),'Map Calc'!$O$2:$O$1200,0)),"")</f>
        <v/>
      </c>
      <c r="R11">
        <v>7</v>
      </c>
      <c r="S11" t="str">
        <f>IFERROR(INDEX('Map Calc'!$A$2:$A$1200,MATCH(LARGE('Map Calc'!$Q$2:$Q$1200,7),'Map Calc'!$Q$2:$Q$1200,0)),"")</f>
        <v/>
      </c>
      <c r="T11" t="str">
        <f>IFERROR(INDEX('Map Calc'!$D$2:$D$1200,MATCH(LARGE('Map Calc'!$Q$2:$Q$1200,7),'Map Calc'!$Q$2:$Q$1200,0)),"")</f>
        <v/>
      </c>
      <c r="V11">
        <v>1984</v>
      </c>
      <c r="W11">
        <f>COUNTIF(games!$B$2:$B$1200,$V11)</f>
        <v>1</v>
      </c>
      <c r="X11">
        <f>COUNTIFS(games!$B$2:$B$1200,$V11,games!$H$2:$H$1200,"Yes")</f>
        <v>1</v>
      </c>
      <c r="Y11">
        <f>COUNTIF('Map Calc'!$T$2:$T$2500,$V11)</f>
        <v>6</v>
      </c>
      <c r="AA11">
        <v>6</v>
      </c>
      <c r="AB11">
        <f>COUNTIF('Map Calc'!$V$2:$V$2500,$AA11)</f>
        <v>106</v>
      </c>
    </row>
    <row r="12" spans="1:28" x14ac:dyDescent="0.25">
      <c r="A12" s="15" t="s">
        <v>4330</v>
      </c>
      <c r="B12" s="16">
        <f>MAX('Map Calc'!$D$2:$D$1200)</f>
      </c>
      <c r="C12" s="17" t="s">
        <v>4331</v>
      </c>
      <c r="E12" t="s">
        <v>4332</v>
      </c>
      <c r="F12">
        <f>COUNTIFS('Map Calc'!$D$2:$D$1200,"&gt;=10",'Map Calc'!$D$2:$D$1200,"&lt;=24")</f>
        <v>22</v>
      </c>
      <c r="G12">
        <f>COUNTIFS('Map Calc'!$D$2:$D$1200,"&gt;=10",'Map Calc'!$D$2:$D$1200,"&lt;=24",'Map Calc'!$P$2:$P$1200,"Yes")</f>
        <v>22</v>
      </c>
      <c r="N12">
        <v>8</v>
      </c>
      <c r="O12" t="str">
        <f>IFERROR(INDEX('Map Calc'!$A$2:$A$1200,MATCH(LARGE('Map Calc'!$O$2:$O$1200,8),'Map Calc'!$O$2:$O$1200,0)),"")</f>
        <v/>
      </c>
      <c r="P12" t="str">
        <f>IFERROR(INDEX('Map Calc'!$D$2:$D$1200,MATCH(LARGE('Map Calc'!$O$2:$O$1200,8),'Map Calc'!$O$2:$O$1200,0)),"")</f>
        <v/>
      </c>
      <c r="R12">
        <v>8</v>
      </c>
      <c r="S12" t="str">
        <f>IFERROR(INDEX('Map Calc'!$A$2:$A$1200,MATCH(LARGE('Map Calc'!$Q$2:$Q$1200,8),'Map Calc'!$Q$2:$Q$1200,0)),"")</f>
        <v/>
      </c>
      <c r="T12" t="str">
        <f>IFERROR(INDEX('Map Calc'!$D$2:$D$1200,MATCH(LARGE('Map Calc'!$Q$2:$Q$1200,8),'Map Calc'!$Q$2:$Q$1200,0)),"")</f>
        <v/>
      </c>
      <c r="V12">
        <v>1985</v>
      </c>
      <c r="W12">
        <f>COUNTIF(games!$B$2:$B$1200,$V12)</f>
        <v>0</v>
      </c>
      <c r="X12">
        <f>COUNTIFS(games!$B$2:$B$1200,$V12,games!$H$2:$H$1200,"Yes")</f>
        <v>0</v>
      </c>
      <c r="Y12">
        <f>COUNTIF('Map Calc'!$T$2:$T$2500,$V12)</f>
        <v>0</v>
      </c>
      <c r="AA12">
        <v>7</v>
      </c>
      <c r="AB12">
        <f>COUNTIF('Map Calc'!$V$2:$V$2500,$AA12)</f>
        <v>97</v>
      </c>
    </row>
    <row r="13" spans="1:28" x14ac:dyDescent="0.25">
      <c r="A13" s="15" t="s">
        <v>4333</v>
      </c>
      <c r="B13" s="16">
        <f>COUNTIF('Map Calc'!$D$2:$D$1200,1)</f>
        <v>333</v>
      </c>
      <c r="C13" s="17" t="s">
        <v>4334</v>
      </c>
      <c r="E13" t="s">
        <v>4335</v>
      </c>
      <c r="F13">
        <f>COUNTIF('Map Calc'!$D$2:$D$1200,"&gt;=25")</f>
        <v>17</v>
      </c>
      <c r="G13">
        <f>COUNTIFS('Map Calc'!$D$2:$D$1200,"&gt;=25",'Map Calc'!$P$2:$P$1200,"Yes")</f>
        <v>17</v>
      </c>
      <c r="N13">
        <v>9</v>
      </c>
      <c r="O13" t="str">
        <f>IFERROR(INDEX('Map Calc'!$A$2:$A$1200,MATCH(LARGE('Map Calc'!$O$2:$O$1200,9),'Map Calc'!$O$2:$O$1200,0)),"")</f>
        <v/>
      </c>
      <c r="P13" t="str">
        <f>IFERROR(INDEX('Map Calc'!$D$2:$D$1200,MATCH(LARGE('Map Calc'!$O$2:$O$1200,9),'Map Calc'!$O$2:$O$1200,0)),"")</f>
        <v/>
      </c>
      <c r="R13">
        <v>9</v>
      </c>
      <c r="S13" t="str">
        <f>IFERROR(INDEX('Map Calc'!$A$2:$A$1200,MATCH(LARGE('Map Calc'!$Q$2:$Q$1200,9),'Map Calc'!$Q$2:$Q$1200,0)),"")</f>
        <v/>
      </c>
      <c r="T13" t="str">
        <f>IFERROR(INDEX('Map Calc'!$D$2:$D$1200,MATCH(LARGE('Map Calc'!$Q$2:$Q$1200,9),'Map Calc'!$Q$2:$Q$1200,0)),"")</f>
        <v/>
      </c>
      <c r="V13">
        <v>1986</v>
      </c>
      <c r="W13">
        <f>COUNTIF(games!$B$2:$B$1200,$V13)</f>
        <v>1</v>
      </c>
      <c r="X13">
        <f>COUNTIFS(games!$B$2:$B$1200,$V13,games!$H$2:$H$1200,"Yes")</f>
        <v>1</v>
      </c>
      <c r="Y13">
        <f>COUNTIF('Map Calc'!$T$2:$T$2500,$V13)</f>
        <v>1</v>
      </c>
      <c r="AA13">
        <v>8</v>
      </c>
      <c r="AB13">
        <f>COUNTIF('Map Calc'!$V$2:$V$2500,$AA13)</f>
        <v>75</v>
      </c>
    </row>
    <row r="14" spans="1:28" x14ac:dyDescent="0.25">
      <c r="A14" s="15" t="s">
        <v>4336</v>
      </c>
      <c r="B14" s="16">
        <f>COUNTIF('Map Calc'!$D$2:$D$1200,0)</f>
        <v>70</v>
      </c>
      <c r="C14" s="17" t="s">
        <v>4337</v>
      </c>
      <c r="N14">
        <v>10</v>
      </c>
      <c r="O14" t="str">
        <f>IFERROR(INDEX('Map Calc'!$A$2:$A$1200,MATCH(LARGE('Map Calc'!$O$2:$O$1200,10),'Map Calc'!$O$2:$O$1200,0)),"")</f>
        <v/>
      </c>
      <c r="P14" t="str">
        <f>IFERROR(INDEX('Map Calc'!$D$2:$D$1200,MATCH(LARGE('Map Calc'!$O$2:$O$1200,10),'Map Calc'!$O$2:$O$1200,0)),"")</f>
        <v/>
      </c>
      <c r="R14">
        <v>10</v>
      </c>
      <c r="S14" t="str">
        <f>IFERROR(INDEX('Map Calc'!$A$2:$A$1200,MATCH(LARGE('Map Calc'!$Q$2:$Q$1200,10),'Map Calc'!$Q$2:$Q$1200,0)),"")</f>
        <v/>
      </c>
      <c r="T14" t="str">
        <f>IFERROR(INDEX('Map Calc'!$D$2:$D$1200,MATCH(LARGE('Map Calc'!$Q$2:$Q$1200,10),'Map Calc'!$Q$2:$Q$1200,0)),"")</f>
        <v/>
      </c>
      <c r="V14">
        <v>1987</v>
      </c>
      <c r="W14">
        <f>COUNTIF(games!$B$2:$B$1200,$V14)</f>
        <v>3</v>
      </c>
      <c r="X14">
        <f>COUNTIFS(games!$B$2:$B$1200,$V14,games!$H$2:$H$1200,"Yes")</f>
        <v>3</v>
      </c>
      <c r="Y14">
        <f>COUNTIF('Map Calc'!$T$2:$T$2500,$V14)</f>
        <v>35</v>
      </c>
      <c r="AA14">
        <v>9</v>
      </c>
      <c r="AB14">
        <f>COUNTIF('Map Calc'!$V$2:$V$2500,$AA14)</f>
        <v>68</v>
      </c>
    </row>
    <row r="15" spans="1:28" x14ac:dyDescent="0.25">
      <c r="A15" s="15" t="s">
        <v>4338</v>
      </c>
      <c r="B15" s="16">
        <f>B13+B14</f>
        <v>403</v>
      </c>
      <c r="C15" s="17" t="s">
        <v>4339</v>
      </c>
      <c r="N15">
        <v>11</v>
      </c>
      <c r="O15" t="str">
        <f>IFERROR(INDEX('Map Calc'!$A$2:$A$1200,MATCH(LARGE('Map Calc'!$O$2:$O$1200,11),'Map Calc'!$O$2:$O$1200,0)),"")</f>
        <v/>
      </c>
      <c r="P15" t="str">
        <f>IFERROR(INDEX('Map Calc'!$D$2:$D$1200,MATCH(LARGE('Map Calc'!$O$2:$O$1200,11),'Map Calc'!$O$2:$O$1200,0)),"")</f>
        <v/>
      </c>
      <c r="R15">
        <v>11</v>
      </c>
      <c r="S15" t="str">
        <f>IFERROR(INDEX('Map Calc'!$A$2:$A$1200,MATCH(LARGE('Map Calc'!$Q$2:$Q$1200,11),'Map Calc'!$Q$2:$Q$1200,0)),"")</f>
        <v/>
      </c>
      <c r="T15" t="str">
        <f>IFERROR(INDEX('Map Calc'!$D$2:$D$1200,MATCH(LARGE('Map Calc'!$Q$2:$Q$1200,11),'Map Calc'!$Q$2:$Q$1200,0)),"")</f>
        <v/>
      </c>
      <c r="V15">
        <v>1988</v>
      </c>
      <c r="W15">
        <f>COUNTIF(games!$B$2:$B$1200,$V15)</f>
        <v>0</v>
      </c>
      <c r="X15">
        <f>COUNTIFS(games!$B$2:$B$1200,$V15,games!$H$2:$H$1200,"Yes")</f>
        <v>0</v>
      </c>
      <c r="Y15">
        <f>COUNTIF('Map Calc'!$T$2:$T$2500,$V15)</f>
        <v>0</v>
      </c>
      <c r="AA15">
        <v>10</v>
      </c>
      <c r="AB15">
        <f>COUNTIF('Map Calc'!$V$2:$V$2500,$AA15)</f>
        <v>32</v>
      </c>
    </row>
    <row r="16" spans="1:28" x14ac:dyDescent="0.25">
      <c r="A16" s="15" t="s">
        <v>4340</v>
      </c>
      <c r="B16" s="16">
        <f>COUNTIFS(games!$H$2:$H$1200,"Yes",'Map Calc'!$D$2:$D$1200,"&gt;1")</f>
        <v>343</v>
      </c>
      <c r="C16" s="17" t="s">
        <v>4341</v>
      </c>
      <c r="N16">
        <v>12</v>
      </c>
      <c r="O16" t="str">
        <f>IFERROR(INDEX('Map Calc'!$A$2:$A$1200,MATCH(LARGE('Map Calc'!$O$2:$O$1200,12),'Map Calc'!$O$2:$O$1200,0)),"")</f>
        <v/>
      </c>
      <c r="P16" t="str">
        <f>IFERROR(INDEX('Map Calc'!$D$2:$D$1200,MATCH(LARGE('Map Calc'!$O$2:$O$1200,12),'Map Calc'!$O$2:$O$1200,0)),"")</f>
        <v/>
      </c>
      <c r="R16">
        <v>12</v>
      </c>
      <c r="S16" t="str">
        <f>IFERROR(INDEX('Map Calc'!$A$2:$A$1200,MATCH(LARGE('Map Calc'!$Q$2:$Q$1200,12),'Map Calc'!$Q$2:$Q$1200,0)),"")</f>
        <v/>
      </c>
      <c r="T16" t="str">
        <f>IFERROR(INDEX('Map Calc'!$D$2:$D$1200,MATCH(LARGE('Map Calc'!$Q$2:$Q$1200,12),'Map Calc'!$Q$2:$Q$1200,0)),"")</f>
        <v/>
      </c>
      <c r="V16">
        <v>1989</v>
      </c>
      <c r="W16">
        <f>COUNTIF(games!$B$2:$B$1200,$V16)</f>
        <v>0</v>
      </c>
      <c r="X16">
        <f>COUNTIFS(games!$B$2:$B$1200,$V16,games!$H$2:$H$1200,"Yes")</f>
        <v>0</v>
      </c>
      <c r="Y16">
        <f>COUNTIF('Map Calc'!$T$2:$T$2500,$V16)</f>
        <v>0</v>
      </c>
      <c r="AA16" t="s">
        <v>4342</v>
      </c>
      <c r="AB16">
        <f>COUNTIFS('Map Calc'!$V$2:$V$2500,"&gt;=11",'Map Calc'!$V$2:$V$2500,"&lt;=20")</f>
        <v>154</v>
      </c>
    </row>
    <row r="17" spans="1:28" x14ac:dyDescent="0.25">
      <c r="A17" s="15" t="s">
        <v>4343</v>
      </c>
      <c r="B17" s="16">
        <f>COUNTIFS(games!$H$2:$H$1200,"Yes",'Map Calc'!$D$2:$D$1200,"&lt;=1")</f>
        <v>240</v>
      </c>
      <c r="C17" s="17" t="s">
        <v>4344</v>
      </c>
      <c r="N17">
        <v>13</v>
      </c>
      <c r="O17" t="str">
        <f>IFERROR(INDEX('Map Calc'!$A$2:$A$1200,MATCH(LARGE('Map Calc'!$O$2:$O$1200,13),'Map Calc'!$O$2:$O$1200,0)),"")</f>
        <v/>
      </c>
      <c r="P17" t="str">
        <f>IFERROR(INDEX('Map Calc'!$D$2:$D$1200,MATCH(LARGE('Map Calc'!$O$2:$O$1200,13),'Map Calc'!$O$2:$O$1200,0)),"")</f>
        <v/>
      </c>
      <c r="R17">
        <v>13</v>
      </c>
      <c r="S17" t="str">
        <f>IFERROR(INDEX('Map Calc'!$A$2:$A$1200,MATCH(LARGE('Map Calc'!$Q$2:$Q$1200,13),'Map Calc'!$Q$2:$Q$1200,0)),"")</f>
        <v/>
      </c>
      <c r="T17" t="str">
        <f>IFERROR(INDEX('Map Calc'!$D$2:$D$1200,MATCH(LARGE('Map Calc'!$Q$2:$Q$1200,13),'Map Calc'!$Q$2:$Q$1200,0)),"")</f>
        <v/>
      </c>
      <c r="V17">
        <v>1990</v>
      </c>
      <c r="W17">
        <f>COUNTIF(games!$B$2:$B$1200,$V17)</f>
        <v>3</v>
      </c>
      <c r="X17">
        <f>COUNTIFS(games!$B$2:$B$1200,$V17,games!$H$2:$H$1200,"Yes")</f>
        <v>3</v>
      </c>
      <c r="Y17">
        <f>COUNTIF('Map Calc'!$T$2:$T$2500,$V17)</f>
        <v>12</v>
      </c>
      <c r="AA17" t="s">
        <v>4345</v>
      </c>
      <c r="AB17">
        <f>COUNTIF('Map Calc'!$V$2:$V$2500,"&gt;=21")</f>
        <v>104</v>
      </c>
    </row>
    <row r="18" spans="1:28" x14ac:dyDescent="0.25">
      <c r="A18" s="15" t="s">
        <v>4346</v>
      </c>
      <c r="B18" s="23">
        <f>SUMPRODUCT(('Map Calc'!$V$2:$V$2500&lt;&gt;"")*('Map Calc'!$V$2:$V$2500&lt;0))</f>
      </c>
      <c r="C18" s="17" t="s">
        <v>4347</v>
      </c>
      <c r="N18">
        <v>14</v>
      </c>
      <c r="O18" t="str">
        <f>IFERROR(INDEX('Map Calc'!$A$2:$A$1200,MATCH(LARGE('Map Calc'!$O$2:$O$1200,14),'Map Calc'!$O$2:$O$1200,0)),"")</f>
        <v/>
      </c>
      <c r="P18" t="str">
        <f>IFERROR(INDEX('Map Calc'!$D$2:$D$1200,MATCH(LARGE('Map Calc'!$O$2:$O$1200,14),'Map Calc'!$O$2:$O$1200,0)),"")</f>
        <v/>
      </c>
      <c r="R18">
        <v>14</v>
      </c>
      <c r="S18" t="str">
        <f>IFERROR(INDEX('Map Calc'!$A$2:$A$1200,MATCH(LARGE('Map Calc'!$Q$2:$Q$1200,14),'Map Calc'!$Q$2:$Q$1200,0)),"")</f>
        <v/>
      </c>
      <c r="T18" t="str">
        <f>IFERROR(INDEX('Map Calc'!$D$2:$D$1200,MATCH(LARGE('Map Calc'!$Q$2:$Q$1200,14),'Map Calc'!$Q$2:$Q$1200,0)),"")</f>
        <v/>
      </c>
      <c r="V18">
        <v>1991</v>
      </c>
      <c r="W18">
        <f>COUNTIF(games!$B$2:$B$1200,$V18)</f>
        <v>2</v>
      </c>
      <c r="X18">
        <f>COUNTIFS(games!$B$2:$B$1200,$V18,games!$H$2:$H$1200,"Yes")</f>
        <v>2</v>
      </c>
      <c r="Y18">
        <f>COUNTIF('Map Calc'!$T$2:$T$2500,$V18)</f>
        <v>2</v>
      </c>
    </row>
    <row r="19" spans="1:28" x14ac:dyDescent="0.25">
      <c r="A19" s="15" t="s">
        <v>4348</v>
      </c>
      <c r="B19" s="16">
        <f>SUMPRODUCT(('Map Calc'!$V$2:$V$2500&lt;&gt;"")*('Map Calc'!$V$2:$V$2500=0))</f>
      </c>
      <c r="C19" s="17" t="s">
        <v>4349</v>
      </c>
      <c r="N19">
        <v>15</v>
      </c>
      <c r="O19" t="str">
        <f>IFERROR(INDEX('Map Calc'!$A$2:$A$1200,MATCH(LARGE('Map Calc'!$O$2:$O$1200,15),'Map Calc'!$O$2:$O$1200,0)),"")</f>
        <v/>
      </c>
      <c r="P19" t="str">
        <f>IFERROR(INDEX('Map Calc'!$D$2:$D$1200,MATCH(LARGE('Map Calc'!$O$2:$O$1200,15),'Map Calc'!$O$2:$O$1200,0)),"")</f>
        <v/>
      </c>
      <c r="R19">
        <v>15</v>
      </c>
      <c r="S19" t="str">
        <f>IFERROR(INDEX('Map Calc'!$A$2:$A$1200,MATCH(LARGE('Map Calc'!$Q$2:$Q$1200,15),'Map Calc'!$Q$2:$Q$1200,0)),"")</f>
        <v/>
      </c>
      <c r="T19" t="str">
        <f>IFERROR(INDEX('Map Calc'!$D$2:$D$1200,MATCH(LARGE('Map Calc'!$Q$2:$Q$1200,15),'Map Calc'!$Q$2:$Q$1200,0)),"")</f>
        <v/>
      </c>
      <c r="V19">
        <v>1992</v>
      </c>
      <c r="W19">
        <f>COUNTIF(games!$B$2:$B$1200,$V19)</f>
        <v>2</v>
      </c>
      <c r="X19">
        <f>COUNTIFS(games!$B$2:$B$1200,$V19,games!$H$2:$H$1200,"Yes")</f>
        <v>2</v>
      </c>
      <c r="Y19">
        <f>COUNTIF('Map Calc'!$T$2:$T$2500,$V19)</f>
        <v>2</v>
      </c>
    </row>
    <row r="20" spans="1:28" x14ac:dyDescent="0.25">
      <c r="A20" s="15" t="s">
        <v>4350</v>
      </c>
      <c r="B20" s="24">
        <f>MEDIAN('Map Calc'!$V$2:$V$2500)</f>
      </c>
      <c r="C20" s="17" t="s">
        <v>4351</v>
      </c>
      <c r="N20">
        <v>16</v>
      </c>
      <c r="O20" t="str">
        <f>IFERROR(INDEX('Map Calc'!$A$2:$A$1200,MATCH(LARGE('Map Calc'!$O$2:$O$1200,16),'Map Calc'!$O$2:$O$1200,0)),"")</f>
        <v/>
      </c>
      <c r="P20" t="str">
        <f>IFERROR(INDEX('Map Calc'!$D$2:$D$1200,MATCH(LARGE('Map Calc'!$O$2:$O$1200,16),'Map Calc'!$O$2:$O$1200,0)),"")</f>
        <v/>
      </c>
      <c r="V20">
        <v>1993</v>
      </c>
      <c r="W20">
        <f>COUNTIF(games!$B$2:$B$1200,$V20)</f>
        <v>2</v>
      </c>
      <c r="X20">
        <f>COUNTIFS(games!$B$2:$B$1200,$V20,games!$H$2:$H$1200,"Yes")</f>
        <v>1</v>
      </c>
      <c r="Y20">
        <f>COUNTIF('Map Calc'!$T$2:$T$2500,$V20)</f>
        <v>24</v>
      </c>
    </row>
    <row r="21" spans="1:28" x14ac:dyDescent="0.25">
      <c r="A21" s="15" t="s">
        <v>4352</v>
      </c>
      <c r="B21" s="25">
        <f>COUNTIF(connections!$D$2:$D$2500,"Yes")</f>
        <v>154</v>
      </c>
      <c r="C21" s="17" t="s">
        <v>4353</v>
      </c>
      <c r="N21">
        <v>17</v>
      </c>
      <c r="O21" t="str">
        <f>IFERROR(INDEX('Map Calc'!$A$2:$A$1200,MATCH(LARGE('Map Calc'!$O$2:$O$1200,17),'Map Calc'!$O$2:$O$1200,0)),"")</f>
        <v/>
      </c>
      <c r="P21" t="str">
        <f>IFERROR(INDEX('Map Calc'!$D$2:$D$1200,MATCH(LARGE('Map Calc'!$O$2:$O$1200,17),'Map Calc'!$O$2:$O$1200,0)),"")</f>
        <v/>
      </c>
      <c r="V21">
        <v>1994</v>
      </c>
      <c r="W21">
        <f>COUNTIF(games!$B$2:$B$1200,$V21)</f>
        <v>3</v>
      </c>
      <c r="X21">
        <f>COUNTIFS(games!$B$2:$B$1200,$V21,games!$H$2:$H$1200,"Yes")</f>
        <v>3</v>
      </c>
      <c r="Y21">
        <f>COUNTIF('Map Calc'!$T$2:$T$2500,$V21)</f>
        <v>21</v>
      </c>
    </row>
    <row r="22" spans="1:28" x14ac:dyDescent="0.25">
      <c r="A22" s="15" t="s">
        <v>4354</v>
      </c>
      <c r="B22" s="25">
        <f>COUNTA(connections!$E$2:$E$2500)</f>
        <v>1374</v>
      </c>
      <c r="C22" s="17" t="s">
        <v>4355</v>
      </c>
      <c r="N22">
        <v>18</v>
      </c>
      <c r="O22" t="str">
        <f>IFERROR(INDEX('Map Calc'!$A$2:$A$1200,MATCH(LARGE('Map Calc'!$O$2:$O$1200,18),'Map Calc'!$O$2:$O$1200,0)),"")</f>
        <v/>
      </c>
      <c r="P22" t="str">
        <f>IFERROR(INDEX('Map Calc'!$D$2:$D$1200,MATCH(LARGE('Map Calc'!$O$2:$O$1200,18),'Map Calc'!$O$2:$O$1200,0)),"")</f>
        <v/>
      </c>
      <c r="V22">
        <v>1995</v>
      </c>
      <c r="W22">
        <f>COUNTIF(games!$B$2:$B$1200,$V22)</f>
        <v>2</v>
      </c>
      <c r="X22">
        <f>COUNTIFS(games!$B$2:$B$1200,$V22,games!$H$2:$H$1200,"Yes")</f>
        <v>2</v>
      </c>
      <c r="Y22">
        <f>COUNTIF('Map Calc'!$T$2:$T$2500,$V22)</f>
        <v>16</v>
      </c>
    </row>
    <row r="23" spans="1:28" x14ac:dyDescent="0.25">
      <c r="A23" s="15" t="s">
        <v>4356</v>
      </c>
      <c r="B23" s="16">
        <f>COUNTIFS(games!$H$2:$H$1200,"Yes",games!$J$2:$J$1200,"")</f>
        <v>90</v>
      </c>
      <c r="C23" s="17" t="s">
        <v>4357</v>
      </c>
      <c r="N23">
        <v>19</v>
      </c>
      <c r="O23" t="str">
        <f>IFERROR(INDEX('Map Calc'!$A$2:$A$1200,MATCH(LARGE('Map Calc'!$O$2:$O$1200,19),'Map Calc'!$O$2:$O$1200,0)),"")</f>
        <v/>
      </c>
      <c r="P23" t="str">
        <f>IFERROR(INDEX('Map Calc'!$D$2:$D$1200,MATCH(LARGE('Map Calc'!$O$2:$O$1200,19),'Map Calc'!$O$2:$O$1200,0)),"")</f>
        <v/>
      </c>
      <c r="V23">
        <v>1996</v>
      </c>
      <c r="W23">
        <f>COUNTIF(games!$B$2:$B$1200,$V23)</f>
        <v>2</v>
      </c>
      <c r="X23">
        <f>COUNTIFS(games!$B$2:$B$1200,$V23,games!$H$2:$H$1200,"Yes")</f>
        <v>2</v>
      </c>
      <c r="Y23">
        <f>COUNTIF('Map Calc'!$T$2:$T$2500,$V23)</f>
        <v>30</v>
      </c>
    </row>
    <row r="24" spans="1:28" x14ac:dyDescent="0.25">
      <c r="N24">
        <v>20</v>
      </c>
      <c r="O24" t="str">
        <f>IFERROR(INDEX('Map Calc'!$A$2:$A$1200,MATCH(LARGE('Map Calc'!$O$2:$O$1200,20),'Map Calc'!$O$2:$O$1200,0)),"")</f>
        <v/>
      </c>
      <c r="P24" t="str">
        <f>IFERROR(INDEX('Map Calc'!$D$2:$D$1200,MATCH(LARGE('Map Calc'!$O$2:$O$1200,20),'Map Calc'!$O$2:$O$1200,0)),"")</f>
        <v/>
      </c>
      <c r="V24">
        <v>1997</v>
      </c>
      <c r="W24">
        <f>COUNTIF(games!$B$2:$B$1200,$V24)</f>
        <v>2</v>
      </c>
      <c r="X24">
        <f>COUNTIFS(games!$B$2:$B$1200,$V24,games!$H$2:$H$1200,"Yes")</f>
        <v>2</v>
      </c>
      <c r="Y24">
        <f>COUNTIF('Map Calc'!$T$2:$T$2500,$V24)</f>
        <v>5</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11</v>
      </c>
    </row>
    <row r="30" spans="1:28" x14ac:dyDescent="0.25">
      <c r="V30">
        <v>2003</v>
      </c>
      <c r="W30">
        <f>COUNTIF(games!$B$2:$B$1200,$V30)</f>
        <v>3</v>
      </c>
      <c r="X30">
        <f>COUNTIFS(games!$B$2:$B$1200,$V30,games!$H$2:$H$1200,"Yes")</f>
        <v>2</v>
      </c>
      <c r="Y30">
        <f>COUNTIF('Map Calc'!$T$2:$T$2500,$V30)</f>
        <v>4</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8</v>
      </c>
    </row>
    <row r="33" spans="22:25" x14ac:dyDescent="0.25">
      <c r="V33">
        <v>2006</v>
      </c>
      <c r="W33">
        <f>COUNTIF(games!$B$2:$B$1200,$V33)</f>
        <v>8</v>
      </c>
      <c r="X33">
        <f>COUNTIFS(games!$B$2:$B$1200,$V33,games!$H$2:$H$1200,"Yes")</f>
        <v>8</v>
      </c>
      <c r="Y33">
        <f>COUNTIF('Map Calc'!$T$2:$T$2500,$V33)</f>
        <v>17</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46</v>
      </c>
    </row>
    <row r="36" spans="22:25" x14ac:dyDescent="0.25">
      <c r="V36">
        <v>2009</v>
      </c>
      <c r="W36">
        <f>COUNTIF(games!$B$2:$B$1200,$V36)</f>
        <v>2</v>
      </c>
      <c r="X36">
        <f>COUNTIFS(games!$B$2:$B$1200,$V36,games!$H$2:$H$1200,"Yes")</f>
        <v>2</v>
      </c>
      <c r="Y36">
        <f>COUNTIF('Map Calc'!$T$2:$T$2500,$V36)</f>
        <v>8</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80</v>
      </c>
    </row>
    <row r="39" spans="22:25" x14ac:dyDescent="0.25">
      <c r="V39">
        <v>2012</v>
      </c>
      <c r="W39">
        <f>COUNTIF(games!$B$2:$B$1200,$V39)</f>
        <v>11</v>
      </c>
      <c r="X39">
        <f>COUNTIFS(games!$B$2:$B$1200,$V39,games!$H$2:$H$1200,"Yes")</f>
        <v>5</v>
      </c>
      <c r="Y39">
        <f>COUNTIF('Map Calc'!$T$2:$T$2500,$V39)</f>
        <v>45</v>
      </c>
    </row>
    <row r="40" spans="22:25" x14ac:dyDescent="0.25">
      <c r="V40">
        <v>2013</v>
      </c>
      <c r="W40">
        <f>COUNTIF(games!$B$2:$B$1200,$V40)</f>
        <v>13</v>
      </c>
      <c r="X40">
        <f>COUNTIFS(games!$B$2:$B$1200,$V40,games!$H$2:$H$1200,"Yes")</f>
        <v>8</v>
      </c>
      <c r="Y40">
        <f>COUNTIF('Map Calc'!$T$2:$T$2500,$V40)</f>
        <v>38</v>
      </c>
    </row>
    <row r="41" spans="22:25" x14ac:dyDescent="0.25">
      <c r="V41">
        <v>2014</v>
      </c>
      <c r="W41">
        <f>COUNTIF(games!$B$2:$B$1200,$V41)</f>
        <v>23</v>
      </c>
      <c r="X41">
        <f>COUNTIFS(games!$B$2:$B$1200,$V41,games!$H$2:$H$1200,"Yes")</f>
        <v>14</v>
      </c>
      <c r="Y41">
        <f>COUNTIF('Map Calc'!$T$2:$T$2500,$V41)</f>
        <v>15</v>
      </c>
    </row>
    <row r="42" spans="22:25" x14ac:dyDescent="0.25">
      <c r="V42">
        <v>2015</v>
      </c>
      <c r="W42">
        <f>COUNTIF(games!$B$2:$B$1200,$V42)</f>
        <v>21</v>
      </c>
      <c r="X42">
        <f>COUNTIFS(games!$B$2:$B$1200,$V42,games!$H$2:$H$1200,"Yes")</f>
        <v>14</v>
      </c>
      <c r="Y42">
        <f>COUNTIF('Map Calc'!$T$2:$T$2500,$V42)</f>
        <v>79</v>
      </c>
    </row>
    <row r="43" spans="22:25" x14ac:dyDescent="0.25">
      <c r="V43">
        <v>2016</v>
      </c>
      <c r="W43">
        <f>COUNTIF(games!$B$2:$B$1200,$V43)</f>
        <v>15</v>
      </c>
      <c r="X43">
        <f>COUNTIFS(games!$B$2:$B$1200,$V43,games!$H$2:$H$1200,"Yes")</f>
        <v>13</v>
      </c>
      <c r="Y43">
        <f>COUNTIF('Map Calc'!$T$2:$T$2500,$V43)</f>
        <v>41</v>
      </c>
    </row>
    <row r="44" spans="22:25" x14ac:dyDescent="0.25">
      <c r="V44">
        <v>2017</v>
      </c>
      <c r="W44">
        <f>COUNTIF(games!$B$2:$B$1200,$V44)</f>
        <v>33</v>
      </c>
      <c r="X44">
        <f>COUNTIFS(games!$B$2:$B$1200,$V44,games!$H$2:$H$1200,"Yes")</f>
        <v>23</v>
      </c>
      <c r="Y44">
        <f>COUNTIF('Map Calc'!$T$2:$T$2500,$V44)</f>
        <v>155</v>
      </c>
    </row>
    <row r="45" spans="22:25" x14ac:dyDescent="0.25">
      <c r="V45">
        <v>2018</v>
      </c>
      <c r="W45">
        <f>COUNTIF(games!$B$2:$B$1200,$V45)</f>
        <v>24</v>
      </c>
      <c r="X45">
        <f>COUNTIFS(games!$B$2:$B$1200,$V45,games!$H$2:$H$1200,"Yes")</f>
        <v>17</v>
      </c>
      <c r="Y45">
        <f>COUNTIF('Map Calc'!$T$2:$T$2500,$V45)</f>
        <v>77</v>
      </c>
    </row>
    <row r="46" spans="22:25" x14ac:dyDescent="0.25">
      <c r="V46">
        <v>2019</v>
      </c>
      <c r="W46">
        <f>COUNTIF(games!$B$2:$B$1200,$V46)</f>
        <v>39</v>
      </c>
      <c r="X46">
        <f>COUNTIFS(games!$B$2:$B$1200,$V46,games!$H$2:$H$1200,"Yes")</f>
        <v>27</v>
      </c>
      <c r="Y46">
        <f>COUNTIF('Map Calc'!$T$2:$T$2500,$V46)</f>
        <v>101</v>
      </c>
    </row>
    <row r="47" spans="22:25" x14ac:dyDescent="0.25">
      <c r="V47">
        <v>2020</v>
      </c>
      <c r="W47">
        <f>COUNTIF(games!$B$2:$B$1200,$V47)</f>
        <v>52</v>
      </c>
      <c r="X47">
        <f>COUNTIFS(games!$B$2:$B$1200,$V47,games!$H$2:$H$1200,"Yes")</f>
        <v>43</v>
      </c>
      <c r="Y47">
        <f>COUNTIF('Map Calc'!$T$2:$T$2500,$V47)</f>
        <v>61</v>
      </c>
    </row>
    <row r="48" spans="22:25" x14ac:dyDescent="0.25">
      <c r="V48">
        <v>2021</v>
      </c>
      <c r="W48">
        <f>COUNTIF(games!$B$2:$B$1200,$V48)</f>
        <v>47</v>
      </c>
      <c r="X48">
        <f>COUNTIFS(games!$B$2:$B$1200,$V48,games!$H$2:$H$1200,"Yes")</f>
        <v>41</v>
      </c>
      <c r="Y48">
        <f>COUNTIF('Map Calc'!$T$2:$T$2500,$V48)</f>
        <v>172</v>
      </c>
    </row>
    <row r="49" spans="22:25" x14ac:dyDescent="0.25">
      <c r="V49">
        <v>2022</v>
      </c>
      <c r="W49">
        <f>COUNTIF(games!$B$2:$B$1200,$V49)</f>
        <v>72</v>
      </c>
      <c r="X49">
        <f>COUNTIFS(games!$B$2:$B$1200,$V49,games!$H$2:$H$1200,"Yes")</f>
        <v>59</v>
      </c>
      <c r="Y49">
        <f>COUNTIF('Map Calc'!$T$2:$T$2500,$V49)</f>
        <v>76</v>
      </c>
    </row>
    <row r="50" spans="22:25" x14ac:dyDescent="0.25">
      <c r="V50">
        <v>2023</v>
      </c>
      <c r="W50">
        <f>COUNTIF(games!$B$2:$B$1200,$V50)</f>
        <v>97</v>
      </c>
      <c r="X50">
        <f>COUNTIFS(games!$B$2:$B$1200,$V50,games!$H$2:$H$1200,"Yes")</f>
        <v>79</v>
      </c>
      <c r="Y50">
        <f>COUNTIF('Map Calc'!$T$2:$T$2500,$V50)</f>
        <v>94</v>
      </c>
    </row>
    <row r="51" spans="22:25" x14ac:dyDescent="0.25">
      <c r="V51">
        <v>2024</v>
      </c>
      <c r="W51">
        <f>COUNTIF(games!$B$2:$B$1200,$V51)</f>
        <v>103</v>
      </c>
      <c r="X51">
        <f>COUNTIFS(games!$B$2:$B$1200,$V51,games!$H$2:$H$1200,"Yes")</f>
        <v>61</v>
      </c>
      <c r="Y51">
        <f>COUNTIF('Map Calc'!$T$2:$T$2500,$V51)</f>
        <v>21</v>
      </c>
    </row>
    <row r="52" spans="22:25" x14ac:dyDescent="0.25">
      <c r="V52">
        <v>2025</v>
      </c>
      <c r="W52">
        <f>COUNTIF(games!$B$2:$B$1200,$V52)</f>
        <v>161</v>
      </c>
      <c r="X52">
        <f>COUNTIFS(games!$B$2:$B$1200,$V52,games!$H$2:$H$1200,"Yes")</f>
        <v>84</v>
      </c>
      <c r="Y52">
        <f>COUNTIF('Map Calc'!$T$2:$T$2500,$V52)</f>
        <v>13</v>
      </c>
    </row>
    <row r="53" spans="22:25" x14ac:dyDescent="0.25">
      <c r="V53">
        <v>2026</v>
      </c>
      <c r="W53">
        <f>COUNTIF(games!$B$2:$B$1200,$V53)</f>
        <v>119</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row r="1485" spans="1:7">
      <c r="A1485" t="inlineStr">
        <is>
          <t xml:space="preserve">Welcome to the world of Atomic</t>
        </is>
      </c>
      <c r="B1485" t="inlineStr">
        <is>
          <t xml:space="preserve">Joonas Turner</t>
        </is>
      </c>
      <c r="C1485" t="inlineStr">
        <is>
          <t xml:space="preserve">Atomicrops Original Soundtrack</t>
        </is>
      </c>
      <c r="D1485">
        <v>2020</v>
      </c>
      <c r="E1485" t="inlineStr">
        <is>
          <t xml:space="preserve">Atomicrops</t>
        </is>
      </c>
      <c r="F1485" t="inlineStr">
        <is>
          <t xml:space="preserve">Atomicrops/01. Welcome to the world of Atomicrops.mp3</t>
        </is>
      </c>
    </row>
    <row r="1486" spans="1:7">
      <c r="A1486" t="inlineStr">
        <is>
          <t xml:space="preserve">Town Theme</t>
        </is>
      </c>
      <c r="B1486" t="inlineStr">
        <is>
          <t xml:space="preserve">Joonas Turner</t>
        </is>
      </c>
      <c r="C1486" t="inlineStr">
        <is>
          <t xml:space="preserve">Atomicrops Original Soundtrack</t>
        </is>
      </c>
      <c r="D1486">
        <v>2020</v>
      </c>
      <c r="E1486" t="inlineStr">
        <is>
          <t xml:space="preserve">Atomicrops</t>
        </is>
      </c>
      <c r="F1486" t="inlineStr">
        <is>
          <t xml:space="preserve">Atomicrops/02. Town Theme.mp3</t>
        </is>
      </c>
    </row>
    <row r="1487" spans="1:7">
      <c r="A1487" t="inlineStr">
        <is>
          <t xml:space="preserve">Kicking it back at the Farm Ho</t>
        </is>
      </c>
      <c r="B1487" t="inlineStr">
        <is>
          <t xml:space="preserve">Joonas Turner</t>
        </is>
      </c>
      <c r="C1487" t="inlineStr">
        <is>
          <t xml:space="preserve">Atomicrops Original Soundtrack</t>
        </is>
      </c>
      <c r="D1487">
        <v>2020</v>
      </c>
      <c r="E1487" t="inlineStr">
        <is>
          <t xml:space="preserve">Atomicrops</t>
        </is>
      </c>
      <c r="F1487" t="inlineStr">
        <is>
          <t xml:space="preserve">Atomicrops/03. Kicking it back at the Farm House.mp3</t>
        </is>
      </c>
    </row>
    <row r="1488" spans="1:7">
      <c r="A1488" t="inlineStr">
        <is>
          <t xml:space="preserve">Spring Festival</t>
        </is>
      </c>
      <c r="B1488" t="inlineStr">
        <is>
          <t xml:space="preserve">Joonas Turner</t>
        </is>
      </c>
      <c r="C1488" t="inlineStr">
        <is>
          <t xml:space="preserve">Atomicrops Original Soundtrack</t>
        </is>
      </c>
      <c r="D1488">
        <v>2020</v>
      </c>
      <c r="E1488" t="inlineStr">
        <is>
          <t xml:space="preserve">Atomicrops</t>
        </is>
      </c>
      <c r="F1488" t="inlineStr">
        <is>
          <t xml:space="preserve">Atomicrops/04. Spring Festival.mp3</t>
        </is>
      </c>
    </row>
    <row r="1489" spans="1:7">
      <c r="A1489" t="inlineStr">
        <is>
          <t xml:space="preserve">Summer Festival</t>
        </is>
      </c>
      <c r="B1489" t="inlineStr">
        <is>
          <t xml:space="preserve">Joonas Turner</t>
        </is>
      </c>
      <c r="C1489" t="inlineStr">
        <is>
          <t xml:space="preserve">Atomicrops Original Soundtrack</t>
        </is>
      </c>
      <c r="D1489">
        <v>2020</v>
      </c>
      <c r="E1489" t="inlineStr">
        <is>
          <t xml:space="preserve">Atomicrops</t>
        </is>
      </c>
      <c r="F1489" t="inlineStr">
        <is>
          <t xml:space="preserve">Atomicrops/05. Summer Festival.mp3</t>
        </is>
      </c>
    </row>
    <row r="1490" spans="1:7">
      <c r="A1490" t="inlineStr">
        <is>
          <t xml:space="preserve">Fall Festival</t>
        </is>
      </c>
      <c r="B1490" t="inlineStr">
        <is>
          <t xml:space="preserve">Joonas Turner</t>
        </is>
      </c>
      <c r="C1490" t="inlineStr">
        <is>
          <t xml:space="preserve">Atomicrops Original Soundtrack</t>
        </is>
      </c>
      <c r="D1490">
        <v>2020</v>
      </c>
      <c r="E1490" t="inlineStr">
        <is>
          <t xml:space="preserve">Atomicrops</t>
        </is>
      </c>
      <c r="F1490" t="inlineStr">
        <is>
          <t xml:space="preserve">Atomicrops/06. Fall Festival.mp3</t>
        </is>
      </c>
    </row>
    <row r="1491" spans="1:7">
      <c r="A1491" t="inlineStr">
        <is>
          <t xml:space="preserve">Winter Festival</t>
        </is>
      </c>
      <c r="B1491" t="inlineStr">
        <is>
          <t xml:space="preserve">Joonas Turner</t>
        </is>
      </c>
      <c r="C1491" t="inlineStr">
        <is>
          <t xml:space="preserve">Atomicrops Original Soundtrack</t>
        </is>
      </c>
      <c r="D1491">
        <v>2020</v>
      </c>
      <c r="E1491" t="inlineStr">
        <is>
          <t xml:space="preserve">Atomicrops</t>
        </is>
      </c>
      <c r="F1491" t="inlineStr">
        <is>
          <t xml:space="preserve">Atomicrops/07. Winter Festival.mp3</t>
        </is>
      </c>
    </row>
    <row r="1492" spans="1:7">
      <c r="A1492" t="inlineStr">
        <is>
          <t xml:space="preserve">Bundit Theme</t>
        </is>
      </c>
      <c r="B1492" t="inlineStr">
        <is>
          <t xml:space="preserve">Joonas Turner</t>
        </is>
      </c>
      <c r="C1492" t="inlineStr">
        <is>
          <t xml:space="preserve">Atomicrops Original Soundtrack</t>
        </is>
      </c>
      <c r="D1492">
        <v>2020</v>
      </c>
      <c r="E1492" t="inlineStr">
        <is>
          <t xml:space="preserve">Atomicrops</t>
        </is>
      </c>
      <c r="F1492" t="inlineStr">
        <is>
          <t xml:space="preserve">Atomicrops/08. Bundit Theme.mp3</t>
        </is>
      </c>
    </row>
    <row r="1493" spans="1:7">
      <c r="A1493" t="inlineStr">
        <is>
          <t xml:space="preserve">Desert</t>
        </is>
      </c>
      <c r="B1493" t="inlineStr">
        <is>
          <t xml:space="preserve">Joonas Turner</t>
        </is>
      </c>
      <c r="C1493" t="inlineStr">
        <is>
          <t xml:space="preserve">Atomicrops Original Soundtrack</t>
        </is>
      </c>
      <c r="D1493">
        <v>2020</v>
      </c>
      <c r="E1493" t="inlineStr">
        <is>
          <t xml:space="preserve">Atomicrops</t>
        </is>
      </c>
      <c r="F1493" t="inlineStr">
        <is>
          <t xml:space="preserve">Atomicrops/09. Desert.mp3</t>
        </is>
      </c>
    </row>
    <row r="1494" spans="1:7">
      <c r="A1494" t="inlineStr">
        <is>
          <t xml:space="preserve">Jungle</t>
        </is>
      </c>
      <c r="B1494" t="inlineStr">
        <is>
          <t xml:space="preserve">Joonas Turner</t>
        </is>
      </c>
      <c r="C1494" t="inlineStr">
        <is>
          <t xml:space="preserve">Atomicrops Original Soundtrack</t>
        </is>
      </c>
      <c r="D1494">
        <v>2020</v>
      </c>
      <c r="E1494" t="inlineStr">
        <is>
          <t xml:space="preserve">Atomicrops</t>
        </is>
      </c>
      <c r="F1494" t="inlineStr">
        <is>
          <t xml:space="preserve">Atomicrops/10. Jungle.mp3</t>
        </is>
      </c>
    </row>
    <row r="1495" spans="1:7">
      <c r="A1495" t="inlineStr">
        <is>
          <t xml:space="preserve">Plains</t>
        </is>
      </c>
      <c r="B1495" t="inlineStr">
        <is>
          <t xml:space="preserve">Joonas Turner</t>
        </is>
      </c>
      <c r="C1495" t="inlineStr">
        <is>
          <t xml:space="preserve">Atomicrops Original Soundtrack</t>
        </is>
      </c>
      <c r="D1495">
        <v>2020</v>
      </c>
      <c r="E1495" t="inlineStr">
        <is>
          <t xml:space="preserve">Atomicrops</t>
        </is>
      </c>
      <c r="F1495" t="inlineStr">
        <is>
          <t xml:space="preserve">Atomicrops/11. Plains.mp3</t>
        </is>
      </c>
    </row>
    <row r="1496" spans="1:7">
      <c r="A1496" t="inlineStr">
        <is>
          <t xml:space="preserve">Tundra</t>
        </is>
      </c>
      <c r="B1496" t="inlineStr">
        <is>
          <t xml:space="preserve">Joonas Turner</t>
        </is>
      </c>
      <c r="C1496" t="inlineStr">
        <is>
          <t xml:space="preserve">Atomicrops Original Soundtrack</t>
        </is>
      </c>
      <c r="D1496">
        <v>2020</v>
      </c>
      <c r="E1496" t="inlineStr">
        <is>
          <t xml:space="preserve">Atomicrops</t>
        </is>
      </c>
      <c r="F1496" t="inlineStr">
        <is>
          <t xml:space="preserve">Atomicrops/12. Tundra.mp3</t>
        </is>
      </c>
    </row>
    <row r="1497" spans="1:7">
      <c r="A1497" t="inlineStr">
        <is>
          <t xml:space="preserve">Nights of Spring</t>
        </is>
      </c>
      <c r="B1497" t="inlineStr">
        <is>
          <t xml:space="preserve">Joonas Turner</t>
        </is>
      </c>
      <c r="C1497" t="inlineStr">
        <is>
          <t xml:space="preserve">Atomicrops Original Soundtrack</t>
        </is>
      </c>
      <c r="D1497">
        <v>2020</v>
      </c>
      <c r="E1497" t="inlineStr">
        <is>
          <t xml:space="preserve">Atomicrops</t>
        </is>
      </c>
      <c r="F1497" t="inlineStr">
        <is>
          <t xml:space="preserve">Atomicrops/13. Nights of Spring.mp3</t>
        </is>
      </c>
    </row>
    <row r="1498" spans="1:7">
      <c r="A1498" t="inlineStr">
        <is>
          <t xml:space="preserve">Nights of Summer</t>
        </is>
      </c>
      <c r="B1498" t="inlineStr">
        <is>
          <t xml:space="preserve">Joonas Turner</t>
        </is>
      </c>
      <c r="C1498" t="inlineStr">
        <is>
          <t xml:space="preserve">Atomicrops Original Soundtrack</t>
        </is>
      </c>
      <c r="D1498">
        <v>2020</v>
      </c>
      <c r="E1498" t="inlineStr">
        <is>
          <t xml:space="preserve">Atomicrops</t>
        </is>
      </c>
      <c r="F1498" t="inlineStr">
        <is>
          <t xml:space="preserve">Atomicrops/14. Nights of Summer.mp3</t>
        </is>
      </c>
    </row>
    <row r="1499" spans="1:7">
      <c r="A1499" t="inlineStr">
        <is>
          <t xml:space="preserve">Nights of Fall</t>
        </is>
      </c>
      <c r="B1499" t="inlineStr">
        <is>
          <t xml:space="preserve">Joonas Turner</t>
        </is>
      </c>
      <c r="C1499" t="inlineStr">
        <is>
          <t xml:space="preserve">Atomicrops Original Soundtrack</t>
        </is>
      </c>
      <c r="D1499">
        <v>2020</v>
      </c>
      <c r="E1499" t="inlineStr">
        <is>
          <t xml:space="preserve">Atomicrops</t>
        </is>
      </c>
      <c r="F1499" t="inlineStr">
        <is>
          <t xml:space="preserve">Atomicrops/15. Nights of Fall.mp3</t>
        </is>
      </c>
    </row>
    <row r="1500" spans="1:7">
      <c r="A1500" t="inlineStr">
        <is>
          <t xml:space="preserve">Nights of Winter</t>
        </is>
      </c>
      <c r="B1500" t="inlineStr">
        <is>
          <t xml:space="preserve">Joonas Turner</t>
        </is>
      </c>
      <c r="C1500" t="inlineStr">
        <is>
          <t xml:space="preserve">Atomicrops Original Soundtrack</t>
        </is>
      </c>
      <c r="D1500">
        <v>2020</v>
      </c>
      <c r="E1500" t="inlineStr">
        <is>
          <t xml:space="preserve">Atomicrops</t>
        </is>
      </c>
      <c r="F1500" t="inlineStr">
        <is>
          <t xml:space="preserve">Atomicrops/16. Nights of Winter.mp3</t>
        </is>
      </c>
    </row>
    <row r="1501" spans="1:7">
      <c r="A1501" t="inlineStr">
        <is>
          <t xml:space="preserve">Nights of Atomic</t>
        </is>
      </c>
      <c r="B1501" t="inlineStr">
        <is>
          <t xml:space="preserve">Joonas Turner</t>
        </is>
      </c>
      <c r="C1501" t="inlineStr">
        <is>
          <t xml:space="preserve">Atomicrops Original Soundtrack</t>
        </is>
      </c>
      <c r="D1501">
        <v>2020</v>
      </c>
      <c r="E1501" t="inlineStr">
        <is>
          <t xml:space="preserve">Atomicrops</t>
        </is>
      </c>
      <c r="F1501" t="inlineStr">
        <is>
          <t xml:space="preserve">Atomicrops/17. Nights of Atomic.mp3</t>
        </is>
      </c>
    </row>
    <row r="1502" spans="1:7">
      <c r="A1502" t="inlineStr">
        <is>
          <t xml:space="preserve">Monstropod</t>
        </is>
      </c>
      <c r="B1502" t="inlineStr">
        <is>
          <t xml:space="preserve">Joonas Turner</t>
        </is>
      </c>
      <c r="C1502" t="inlineStr">
        <is>
          <t xml:space="preserve">Atomicrops Original Soundtrack</t>
        </is>
      </c>
      <c r="D1502">
        <v>2020</v>
      </c>
      <c r="E1502" t="inlineStr">
        <is>
          <t xml:space="preserve">Atomicrops</t>
        </is>
      </c>
      <c r="F1502" t="inlineStr">
        <is>
          <t xml:space="preserve">Atomicrops/18. Monstropod.mp3</t>
        </is>
      </c>
    </row>
    <row r="1503" spans="1:7">
      <c r="A1503" t="inlineStr">
        <is>
          <t xml:space="preserve">Sol Crusher</t>
        </is>
      </c>
      <c r="B1503" t="inlineStr">
        <is>
          <t xml:space="preserve">Joonas Turner</t>
        </is>
      </c>
      <c r="C1503" t="inlineStr">
        <is>
          <t xml:space="preserve">Atomicrops Original Soundtrack</t>
        </is>
      </c>
      <c r="D1503">
        <v>2020</v>
      </c>
      <c r="E1503" t="inlineStr">
        <is>
          <t xml:space="preserve">Atomicrops</t>
        </is>
      </c>
      <c r="F1503" t="inlineStr">
        <is>
          <t xml:space="preserve">Atomicrops/19. Sol Crusher.mp3</t>
        </is>
      </c>
    </row>
    <row r="1504" spans="1:7">
      <c r="A1504" t="inlineStr">
        <is>
          <t xml:space="preserve">Old Mech-Donald</t>
        </is>
      </c>
      <c r="B1504" t="inlineStr">
        <is>
          <t xml:space="preserve">Joonas Turner</t>
        </is>
      </c>
      <c r="C1504" t="inlineStr">
        <is>
          <t xml:space="preserve">Atomicrops Original Soundtrack</t>
        </is>
      </c>
      <c r="D1504">
        <v>2020</v>
      </c>
      <c r="E1504" t="inlineStr">
        <is>
          <t xml:space="preserve">Atomicrops</t>
        </is>
      </c>
      <c r="F1504" t="inlineStr">
        <is>
          <t xml:space="preserve">Atomicrops/20. Old Mech-Donald.mp3</t>
        </is>
      </c>
    </row>
    <row r="1505" spans="1:7">
      <c r="A1505" t="inlineStr">
        <is>
          <t xml:space="preserve">Bundertaker</t>
        </is>
      </c>
      <c r="B1505" t="inlineStr">
        <is>
          <t xml:space="preserve">Joonas Turner</t>
        </is>
      </c>
      <c r="C1505" t="inlineStr">
        <is>
          <t xml:space="preserve">Atomicrops Original Soundtrack</t>
        </is>
      </c>
      <c r="D1505">
        <v>2020</v>
      </c>
      <c r="E1505" t="inlineStr">
        <is>
          <t xml:space="preserve">Atomicrops</t>
        </is>
      </c>
      <c r="F1505" t="inlineStr">
        <is>
          <t xml:space="preserve">Atomicrops/21. Bundertaker.mp3</t>
        </is>
      </c>
    </row>
    <row r="1506" spans="1:7">
      <c r="A1506" t="inlineStr">
        <is>
          <t xml:space="preserve">Corpse-a-copia</t>
        </is>
      </c>
      <c r="B1506" t="inlineStr">
        <is>
          <t xml:space="preserve">Joonas Turner</t>
        </is>
      </c>
      <c r="C1506" t="inlineStr">
        <is>
          <t xml:space="preserve">Atomicrops Original Soundtrack</t>
        </is>
      </c>
      <c r="D1506">
        <v>2020</v>
      </c>
      <c r="E1506" t="inlineStr">
        <is>
          <t xml:space="preserve">Atomicrops</t>
        </is>
      </c>
      <c r="F1506" t="inlineStr">
        <is>
          <t xml:space="preserve">Atomicrops/22. Corpse-a-copia.mp3</t>
        </is>
      </c>
    </row>
    <row r="1507" spans="1:7">
      <c r="A1507" t="inlineStr">
        <is>
          <t xml:space="preserve">Victory</t>
        </is>
      </c>
      <c r="B1507" t="inlineStr">
        <is>
          <t xml:space="preserve">Joonas Turner</t>
        </is>
      </c>
      <c r="C1507" t="inlineStr">
        <is>
          <t xml:space="preserve">Atomicrops Original Soundtrack</t>
        </is>
      </c>
      <c r="D1507">
        <v>2020</v>
      </c>
      <c r="E1507" t="inlineStr">
        <is>
          <t xml:space="preserve">Atomicrops</t>
        </is>
      </c>
      <c r="F1507" t="inlineStr">
        <is>
          <t xml:space="preserve">Atomicrops/23. Victory.mp3</t>
        </is>
      </c>
    </row>
    <row r="1508" spans="1:7">
      <c r="A1508" t="inlineStr">
        <is>
          <t xml:space="preserve">How to Till Soil</t>
        </is>
      </c>
      <c r="B1508" t="inlineStr">
        <is>
          <t xml:space="preserve">Joonas Turner</t>
        </is>
      </c>
      <c r="C1508" t="inlineStr">
        <is>
          <t xml:space="preserve">Atomicrops Original Soundtrack</t>
        </is>
      </c>
      <c r="D1508">
        <v>2020</v>
      </c>
      <c r="E1508" t="inlineStr">
        <is>
          <t xml:space="preserve">Atomicrops</t>
        </is>
      </c>
      <c r="F1508" t="inlineStr">
        <is>
          <t xml:space="preserve">Atomicrops/24. How to Till Soil.mp3</t>
        </is>
      </c>
    </row>
    <row r="1509" spans="1:7">
      <c r="A1509" t="inlineStr">
        <is>
          <t xml:space="preserve">Farming Through Spring</t>
        </is>
      </c>
      <c r="B1509" t="inlineStr">
        <is>
          <t xml:space="preserve">Joonas Turner</t>
        </is>
      </c>
      <c r="C1509" t="inlineStr">
        <is>
          <t xml:space="preserve">Atomicrops Original Soundtrack</t>
        </is>
      </c>
      <c r="D1509">
        <v>2020</v>
      </c>
      <c r="E1509" t="inlineStr">
        <is>
          <t xml:space="preserve">Atomicrops</t>
        </is>
      </c>
      <c r="F1509" t="inlineStr">
        <is>
          <t xml:space="preserve">Atomicrops/25. Farming Through Spring.mp3</t>
        </is>
      </c>
    </row>
    <row r="1510" spans="1:7">
      <c r="A1510" t="inlineStr">
        <is>
          <t xml:space="preserve">Farming Through Summer</t>
        </is>
      </c>
      <c r="B1510" t="inlineStr">
        <is>
          <t xml:space="preserve">Joonas Turner</t>
        </is>
      </c>
      <c r="C1510" t="inlineStr">
        <is>
          <t xml:space="preserve">Atomicrops Original Soundtrack</t>
        </is>
      </c>
      <c r="D1510">
        <v>2020</v>
      </c>
      <c r="E1510" t="inlineStr">
        <is>
          <t xml:space="preserve">Atomicrops</t>
        </is>
      </c>
      <c r="F1510" t="inlineStr">
        <is>
          <t xml:space="preserve">Atomicrops/26. Farming Through Summer.mp3</t>
        </is>
      </c>
    </row>
    <row r="1511" spans="1:7">
      <c r="A1511" t="inlineStr">
        <is>
          <t xml:space="preserve">Farming Through Fall</t>
        </is>
      </c>
      <c r="B1511" t="inlineStr">
        <is>
          <t xml:space="preserve">Joonas Turner</t>
        </is>
      </c>
      <c r="C1511" t="inlineStr">
        <is>
          <t xml:space="preserve">Atomicrops Original Soundtrack</t>
        </is>
      </c>
      <c r="D1511">
        <v>2020</v>
      </c>
      <c r="E1511" t="inlineStr">
        <is>
          <t xml:space="preserve">Atomicrops</t>
        </is>
      </c>
      <c r="F1511" t="inlineStr">
        <is>
          <t xml:space="preserve">Atomicrops/27. Farming Through Fall.mp3</t>
        </is>
      </c>
    </row>
    <row r="1512" spans="1:7">
      <c r="A1512" t="inlineStr">
        <is>
          <t xml:space="preserve">Farming Through Winter</t>
        </is>
      </c>
      <c r="B1512" t="inlineStr">
        <is>
          <t xml:space="preserve">Joonas Turner</t>
        </is>
      </c>
      <c r="C1512" t="inlineStr">
        <is>
          <t xml:space="preserve">Atomicrops Original Soundtrack</t>
        </is>
      </c>
      <c r="D1512">
        <v>2020</v>
      </c>
      <c r="E1512" t="inlineStr">
        <is>
          <t xml:space="preserve">Atomicrops</t>
        </is>
      </c>
      <c r="F1512" t="inlineStr">
        <is>
          <t xml:space="preserve">Atomicrops/28. Farming Through Winter.mp3</t>
        </is>
      </c>
    </row>
    <row r="1513" spans="1:7">
      <c r="A1513" t="inlineStr">
        <is>
          <t xml:space="preserve">Farming during the Atomic Seas</t>
        </is>
      </c>
      <c r="B1513" t="inlineStr">
        <is>
          <t xml:space="preserve">Joonas Turner</t>
        </is>
      </c>
      <c r="C1513" t="inlineStr">
        <is>
          <t xml:space="preserve">Atomicrops Original Soundtrack</t>
        </is>
      </c>
      <c r="D1513">
        <v>2020</v>
      </c>
      <c r="E1513" t="inlineStr">
        <is>
          <t xml:space="preserve">Atomicrops</t>
        </is>
      </c>
      <c r="F1513" t="inlineStr">
        <is>
          <t xml:space="preserve">Atomicrops/29. Farming during the Atomic Season.mp3</t>
        </is>
      </c>
    </row>
    <row r="1514" spans="1:7">
      <c r="A1514" t="inlineStr">
        <is>
          <t xml:space="preserve">Bloodmoon Spook</t>
        </is>
      </c>
      <c r="B1514" t="inlineStr">
        <is>
          <t xml:space="preserve">Joonas Turner</t>
        </is>
      </c>
      <c r="C1514" t="inlineStr">
        <is>
          <t xml:space="preserve">Atomicrops Original Soundtrack</t>
        </is>
      </c>
      <c r="D1514">
        <v>2020</v>
      </c>
      <c r="E1514" t="inlineStr">
        <is>
          <t xml:space="preserve">Atomicrops</t>
        </is>
      </c>
      <c r="F1514" t="inlineStr">
        <is>
          <t xml:space="preserve">Atomicrops/30. Bloodmoon Spook.mp3</t>
        </is>
      </c>
    </row>
    <row r="1515" spans="1:7">
      <c r="A1515" t="inlineStr">
        <is>
          <t xml:space="preserve">Deeper into the Desert</t>
        </is>
      </c>
      <c r="B1515" t="inlineStr">
        <is>
          <t xml:space="preserve">Joonas Turner</t>
        </is>
      </c>
      <c r="C1515" t="inlineStr">
        <is>
          <t xml:space="preserve">Atomicrops Original Soundtrack</t>
        </is>
      </c>
      <c r="D1515">
        <v>2020</v>
      </c>
      <c r="E1515" t="inlineStr">
        <is>
          <t xml:space="preserve">Atomicrops</t>
        </is>
      </c>
      <c r="F1515" t="inlineStr">
        <is>
          <t xml:space="preserve">Atomicrops/31. Deeper into the Desert.mp3</t>
        </is>
      </c>
    </row>
    <row r="1516" spans="1:7">
      <c r="A1516" t="inlineStr">
        <is>
          <t xml:space="preserve">Thicket Dance</t>
        </is>
      </c>
      <c r="B1516" t="inlineStr">
        <is>
          <t xml:space="preserve">Joonas Turner</t>
        </is>
      </c>
      <c r="C1516" t="inlineStr">
        <is>
          <t xml:space="preserve">Atomicrops Original Soundtrack</t>
        </is>
      </c>
      <c r="D1516">
        <v>2020</v>
      </c>
      <c r="E1516" t="inlineStr">
        <is>
          <t xml:space="preserve">Atomicrops</t>
        </is>
      </c>
      <c r="F1516" t="inlineStr">
        <is>
          <t xml:space="preserve">Atomicrops/32. Thicket Dance.mp3</t>
        </is>
      </c>
    </row>
    <row r="1517" spans="1:7">
      <c r="A1517" t="inlineStr">
        <is>
          <t xml:space="preserve">Distant Fields</t>
        </is>
      </c>
      <c r="B1517" t="inlineStr">
        <is>
          <t xml:space="preserve">Joonas Turner</t>
        </is>
      </c>
      <c r="C1517" t="inlineStr">
        <is>
          <t xml:space="preserve">Atomicrops Original Soundtrack</t>
        </is>
      </c>
      <c r="D1517">
        <v>2020</v>
      </c>
      <c r="E1517" t="inlineStr">
        <is>
          <t xml:space="preserve">Atomicrops</t>
        </is>
      </c>
      <c r="F1517" t="inlineStr">
        <is>
          <t xml:space="preserve">Atomicrops/33. Distant Fields.mp3</t>
        </is>
      </c>
    </row>
    <row r="1518" spans="1:7">
      <c r="A1518" t="inlineStr">
        <is>
          <t xml:space="preserve">Arctic Chill</t>
        </is>
      </c>
      <c r="B1518" t="inlineStr">
        <is>
          <t xml:space="preserve">Joonas Turner</t>
        </is>
      </c>
      <c r="C1518" t="inlineStr">
        <is>
          <t xml:space="preserve">Atomicrops Original Soundtrack</t>
        </is>
      </c>
      <c r="D1518">
        <v>2020</v>
      </c>
      <c r="E1518" t="inlineStr">
        <is>
          <t xml:space="preserve">Atomicrops</t>
        </is>
      </c>
      <c r="F1518" t="inlineStr">
        <is>
          <t xml:space="preserve">Atomicrops/34. Arctic Chill.mp3</t>
        </is>
      </c>
    </row>
    <row r="1519" spans="1:7">
      <c r="A1519" t="inlineStr">
        <is>
          <t xml:space="preserve">Deepest depths of the Desert</t>
        </is>
      </c>
      <c r="B1519" t="inlineStr">
        <is>
          <t xml:space="preserve">Joonas Turner</t>
        </is>
      </c>
      <c r="C1519" t="inlineStr">
        <is>
          <t xml:space="preserve">Atomicrops Original Soundtrack</t>
        </is>
      </c>
      <c r="D1519">
        <v>2020</v>
      </c>
      <c r="E1519" t="inlineStr">
        <is>
          <t xml:space="preserve">Atomicrops</t>
        </is>
      </c>
      <c r="F1519" t="inlineStr">
        <is>
          <t xml:space="preserve">Atomicrops/35. Deepest depths of the Desert.mp3</t>
        </is>
      </c>
    </row>
    <row r="1520" spans="1:7">
      <c r="A1520" t="inlineStr">
        <is>
          <t xml:space="preserve">Unseen depths of the Jungle</t>
        </is>
      </c>
      <c r="B1520" t="inlineStr">
        <is>
          <t xml:space="preserve">Joonas Turner</t>
        </is>
      </c>
      <c r="C1520" t="inlineStr">
        <is>
          <t xml:space="preserve">Atomicrops Original Soundtrack</t>
        </is>
      </c>
      <c r="D1520">
        <v>2020</v>
      </c>
      <c r="E1520" t="inlineStr">
        <is>
          <t xml:space="preserve">Atomicrops</t>
        </is>
      </c>
      <c r="F1520" t="inlineStr">
        <is>
          <t xml:space="preserve">Atomicrops/36. Unseen depths of the Jungle.mp3</t>
        </is>
      </c>
    </row>
    <row r="1521" spans="1:7">
      <c r="A1521" t="inlineStr">
        <is>
          <t xml:space="preserve">In the furthest of reach in th</t>
        </is>
      </c>
      <c r="B1521" t="inlineStr">
        <is>
          <t xml:space="preserve">Joonas Turner</t>
        </is>
      </c>
      <c r="C1521" t="inlineStr">
        <is>
          <t xml:space="preserve">Atomicrops Original Soundtrack</t>
        </is>
      </c>
      <c r="D1521">
        <v>2020</v>
      </c>
      <c r="E1521" t="inlineStr">
        <is>
          <t xml:space="preserve">Atomicrops</t>
        </is>
      </c>
      <c r="F1521" t="inlineStr">
        <is>
          <t xml:space="preserve">Atomicrops/37. In the furthest of reach in the darkest of Plains.mp3</t>
        </is>
      </c>
    </row>
    <row r="1522" spans="1:7">
      <c r="A1522" t="inlineStr">
        <is>
          <t xml:space="preserve">The Coldest Peak</t>
        </is>
      </c>
      <c r="B1522" t="inlineStr">
        <is>
          <t xml:space="preserve">Joonas Turner</t>
        </is>
      </c>
      <c r="C1522" t="inlineStr">
        <is>
          <t xml:space="preserve">Atomicrops Original Soundtrack</t>
        </is>
      </c>
      <c r="D1522">
        <v>2020</v>
      </c>
      <c r="E1522" t="inlineStr">
        <is>
          <t xml:space="preserve">Atomicrops</t>
        </is>
      </c>
      <c r="F1522" t="inlineStr">
        <is>
          <t xml:space="preserve">Atomicrops/38. The Coldest Peak.mp3</t>
        </is>
      </c>
    </row>
    <row r="1523" spans="1:7">
      <c r="A1523" t="inlineStr">
        <is>
          <t xml:space="preserve">The Farm awaits for another Fa</t>
        </is>
      </c>
      <c r="B1523" t="inlineStr">
        <is>
          <t xml:space="preserve">Joonas Turner</t>
        </is>
      </c>
      <c r="C1523" t="inlineStr">
        <is>
          <t xml:space="preserve">Atomicrops Original Soundtrack</t>
        </is>
      </c>
      <c r="D1523">
        <v>2020</v>
      </c>
      <c r="E1523" t="inlineStr">
        <is>
          <t xml:space="preserve">Atomicrops</t>
        </is>
      </c>
      <c r="F1523" t="inlineStr">
        <is>
          <t xml:space="preserve">Atomicrops/39. The Farm awaits for another Farmer.mp3</t>
        </is>
      </c>
    </row>
    <row r="1524" spans="1:7">
      <c r="A1524" t="inlineStr">
        <is>
          <t xml:space="preserve">Atomicats</t>
        </is>
      </c>
      <c r="B1524" t="inlineStr">
        <is>
          <t xml:space="preserve">Joonas Turner</t>
        </is>
      </c>
      <c r="C1524" t="inlineStr">
        <is>
          <t xml:space="preserve">Atomicrops Original Soundtrack</t>
        </is>
      </c>
      <c r="D1524">
        <v>2020</v>
      </c>
      <c r="E1524" t="inlineStr">
        <is>
          <t xml:space="preserve">Atomicrops</t>
        </is>
      </c>
      <c r="F1524" t="inlineStr">
        <is>
          <t xml:space="preserve">Atomicrops/40. Atomicats.mp3</t>
        </is>
      </c>
    </row>
    <row r="1525" spans="1:7">
      <c r="A1525" t="inlineStr">
        <is>
          <t xml:space="preserve">Wedding Jingle</t>
        </is>
      </c>
      <c r="B1525" t="inlineStr">
        <is>
          <t xml:space="preserve">Joonas Turner</t>
        </is>
      </c>
      <c r="C1525" t="inlineStr">
        <is>
          <t xml:space="preserve">Atomicrops Original Soundtrack</t>
        </is>
      </c>
      <c r="D1525">
        <v>2020</v>
      </c>
      <c r="E1525" t="inlineStr">
        <is>
          <t xml:space="preserve">Atomicrops</t>
        </is>
      </c>
      <c r="F1525" t="inlineStr">
        <is>
          <t xml:space="preserve">Atomicrops/41. Wedding Jingle.mp3</t>
        </is>
      </c>
    </row>
    <row r="1526" spans="1:7">
      <c r="A1526" t="inlineStr">
        <is>
          <t xml:space="preserve">Tranquil Moon</t>
        </is>
      </c>
      <c r="B1526" t="inlineStr">
        <is>
          <t xml:space="preserve">Joonas Turner</t>
        </is>
      </c>
      <c r="C1526" t="inlineStr">
        <is>
          <t xml:space="preserve">Atomicrops Original Soundtrack</t>
        </is>
      </c>
      <c r="D1526">
        <v>2021</v>
      </c>
      <c r="E1526" t="inlineStr">
        <is>
          <t xml:space="preserve">Atomicrops</t>
        </is>
      </c>
      <c r="F1526" t="inlineStr">
        <is>
          <t xml:space="preserve">Atomicrops/42. Tranquil Moon.mp3</t>
        </is>
      </c>
    </row>
    <row r="1527" spans="1:7">
      <c r="A1527" t="inlineStr">
        <is>
          <t xml:space="preserve">Battle Brothers</t>
        </is>
      </c>
      <c r="B1527" t="inlineStr">
        <is>
          <t xml:space="preserve">Breakdown Epiphanies</t>
        </is>
      </c>
      <c r="C1527" t="inlineStr">
        <is>
          <t xml:space="preserve">Battle Brothers (Original Soundtrack)</t>
        </is>
      </c>
      <c r="D1527">
        <v>2017</v>
      </c>
      <c r="E1527" t="inlineStr">
        <is>
          <t xml:space="preserve">Battle Brothers</t>
        </is>
      </c>
      <c r="F1527" t="inlineStr">
        <is>
          <t xml:space="preserve">Battle Brothers/01. Battle Brothers.mp3</t>
        </is>
      </c>
    </row>
    <row r="1528" spans="1:7">
      <c r="A1528" t="inlineStr">
        <is>
          <t xml:space="preserve">Thug Life (Brigands)</t>
        </is>
      </c>
      <c r="B1528" t="inlineStr">
        <is>
          <t xml:space="preserve">Breakdown Epiphanies</t>
        </is>
      </c>
      <c r="C1528" t="inlineStr">
        <is>
          <t xml:space="preserve">Battle Brothers (Original Soundtrack)</t>
        </is>
      </c>
      <c r="D1528">
        <v>2017</v>
      </c>
      <c r="E1528" t="inlineStr">
        <is>
          <t xml:space="preserve">Battle Brothers</t>
        </is>
      </c>
      <c r="F1528" t="inlineStr">
        <is>
          <t xml:space="preserve">Battle Brothers/02. Thug Life (Brigands).mp3</t>
        </is>
      </c>
    </row>
    <row r="1529" spans="1:7">
      <c r="A1529" t="inlineStr">
        <is>
          <t xml:space="preserve">Alleys of Weissenhaven</t>
        </is>
      </c>
      <c r="B1529" t="inlineStr">
        <is>
          <t xml:space="preserve">Breakdown Epiphanies</t>
        </is>
      </c>
      <c r="C1529" t="inlineStr">
        <is>
          <t xml:space="preserve">Battle Brothers (Original Soundtrack)</t>
        </is>
      </c>
      <c r="D1529">
        <v>2017</v>
      </c>
      <c r="E1529" t="inlineStr">
        <is>
          <t xml:space="preserve">Battle Brothers</t>
        </is>
      </c>
      <c r="F1529" t="inlineStr">
        <is>
          <t xml:space="preserve">Battle Brothers/03. Alleys of Weissenhaven.mp3</t>
        </is>
      </c>
    </row>
    <row r="1530" spans="1:7">
      <c r="A1530" t="inlineStr">
        <is>
          <t xml:space="preserve">The Humming Hills</t>
        </is>
      </c>
      <c r="B1530" t="inlineStr">
        <is>
          <t xml:space="preserve">Breakdown Epiphanies</t>
        </is>
      </c>
      <c r="C1530" t="inlineStr">
        <is>
          <t xml:space="preserve">Battle Brothers (Original Soundtrack)</t>
        </is>
      </c>
      <c r="D1530">
        <v>2017</v>
      </c>
      <c r="E1530" t="inlineStr">
        <is>
          <t xml:space="preserve">Battle Brothers</t>
        </is>
      </c>
      <c r="F1530" t="inlineStr">
        <is>
          <t xml:space="preserve">Battle Brothers/04. The Humming Hills.mp3</t>
        </is>
      </c>
    </row>
    <row r="1531" spans="1:7">
      <c r="A1531" t="inlineStr">
        <is>
          <t xml:space="preserve">Bone March (Undead)</t>
        </is>
      </c>
      <c r="B1531" t="inlineStr">
        <is>
          <t xml:space="preserve">Breakdown Epiphanies</t>
        </is>
      </c>
      <c r="C1531" t="inlineStr">
        <is>
          <t xml:space="preserve">Battle Brothers (Original Soundtrack)</t>
        </is>
      </c>
      <c r="D1531">
        <v>2017</v>
      </c>
      <c r="E1531" t="inlineStr">
        <is>
          <t xml:space="preserve">Battle Brothers</t>
        </is>
      </c>
      <c r="F1531" t="inlineStr">
        <is>
          <t xml:space="preserve">Battle Brothers/05. Bone March (Undead).mp3</t>
        </is>
      </c>
    </row>
    <row r="1532" spans="1:7">
      <c r="A1532" t="inlineStr">
        <is>
          <t xml:space="preserve">The Black Iron Pact (Orcs)</t>
        </is>
      </c>
      <c r="B1532" t="inlineStr">
        <is>
          <t xml:space="preserve">Breakdown Epiphanies</t>
        </is>
      </c>
      <c r="C1532" t="inlineStr">
        <is>
          <t xml:space="preserve">Battle Brothers (Original Soundtrack)</t>
        </is>
      </c>
      <c r="D1532">
        <v>2017</v>
      </c>
      <c r="E1532" t="inlineStr">
        <is>
          <t xml:space="preserve">Battle Brothers</t>
        </is>
      </c>
      <c r="F1532" t="inlineStr">
        <is>
          <t xml:space="preserve">Battle Brothers/06. The Black Iron Pact (Orcs).mp3</t>
        </is>
      </c>
    </row>
    <row r="1533" spans="1:7">
      <c r="A1533" t="inlineStr">
        <is>
          <t xml:space="preserve">Nightfall in Valeshire</t>
        </is>
      </c>
      <c r="B1533" t="inlineStr">
        <is>
          <t xml:space="preserve">Breakdown Epiphanies</t>
        </is>
      </c>
      <c r="C1533" t="inlineStr">
        <is>
          <t xml:space="preserve">Battle Brothers (Original Soundtrack)</t>
        </is>
      </c>
      <c r="D1533">
        <v>2017</v>
      </c>
      <c r="E1533" t="inlineStr">
        <is>
          <t xml:space="preserve">Battle Brothers</t>
        </is>
      </c>
      <c r="F1533" t="inlineStr">
        <is>
          <t xml:space="preserve">Battle Brothers/07. Nightfall in Valeshire.mp3</t>
        </is>
      </c>
    </row>
    <row r="1534" spans="1:7">
      <c r="A1534" t="inlineStr">
        <is>
          <t xml:space="preserve">Laying Siege to Hammerburg (Noble Houses)</t>
        </is>
      </c>
      <c r="B1534" t="inlineStr">
        <is>
          <t xml:space="preserve">Breakdown Epiphanies</t>
        </is>
      </c>
      <c r="C1534" t="inlineStr">
        <is>
          <t xml:space="preserve">Battle Brothers (Original Soundtrack)</t>
        </is>
      </c>
      <c r="D1534">
        <v>2017</v>
      </c>
      <c r="E1534" t="inlineStr">
        <is>
          <t xml:space="preserve">Battle Brothers</t>
        </is>
      </c>
      <c r="F1534" t="inlineStr">
        <is>
          <t xml:space="preserve">Battle Brothers/08. Laying Siege to Hammerburg (Noble Houses).mp3</t>
        </is>
      </c>
    </row>
    <row r="1535" spans="1:7">
      <c r="A1535" t="inlineStr">
        <is>
          <t xml:space="preserve">Traversing the Northern Clanlands</t>
        </is>
      </c>
      <c r="B1535" t="inlineStr">
        <is>
          <t xml:space="preserve">Breakdown Epiphanies</t>
        </is>
      </c>
      <c r="C1535" t="inlineStr">
        <is>
          <t xml:space="preserve">Battle Brothers (Original Soundtrack)</t>
        </is>
      </c>
      <c r="D1535">
        <v>2017</v>
      </c>
      <c r="E1535" t="inlineStr">
        <is>
          <t xml:space="preserve">Battle Brothers</t>
        </is>
      </c>
      <c r="F1535" t="inlineStr">
        <is>
          <t xml:space="preserve">Battle Brothers/09. Traversing the Northern Clanlands.mp3</t>
        </is>
      </c>
    </row>
    <row r="1536" spans="1:7">
      <c r="A1536" t="inlineStr">
        <is>
          <t xml:space="preserve">The Pillage</t>
        </is>
      </c>
      <c r="B1536" t="inlineStr">
        <is>
          <t xml:space="preserve">Breakdown Epiphanies</t>
        </is>
      </c>
      <c r="C1536" t="inlineStr">
        <is>
          <t xml:space="preserve">Battle Brothers (Original Soundtrack)</t>
        </is>
      </c>
      <c r="D1536">
        <v>2017</v>
      </c>
      <c r="E1536" t="inlineStr">
        <is>
          <t xml:space="preserve">Battle Brothers</t>
        </is>
      </c>
      <c r="F1536" t="inlineStr">
        <is>
          <t xml:space="preserve">Battle Brothers/10. The Pillage.mp3</t>
        </is>
      </c>
    </row>
    <row r="1537" spans="1:7">
      <c r="A1537" t="inlineStr">
        <is>
          <t xml:space="preserve">Hoggart's Hideout (Brigands)</t>
        </is>
      </c>
      <c r="B1537" t="inlineStr">
        <is>
          <t xml:space="preserve">Breakdown Epiphanies</t>
        </is>
      </c>
      <c r="C1537" t="inlineStr">
        <is>
          <t xml:space="preserve">Battle Brothers (Original Soundtrack)</t>
        </is>
      </c>
      <c r="D1537">
        <v>2017</v>
      </c>
      <c r="E1537" t="inlineStr">
        <is>
          <t xml:space="preserve">Battle Brothers</t>
        </is>
      </c>
      <c r="F1537" t="inlineStr">
        <is>
          <t xml:space="preserve">Battle Brothers/11. Hoggart's Hideout (Brigands).mp3</t>
        </is>
      </c>
    </row>
    <row r="1538" spans="1:7">
      <c r="A1538" t="inlineStr">
        <is>
          <t xml:space="preserve">The Homestead</t>
        </is>
      </c>
      <c r="B1538" t="inlineStr">
        <is>
          <t xml:space="preserve">Breakdown Epiphanies</t>
        </is>
      </c>
      <c r="C1538" t="inlineStr">
        <is>
          <t xml:space="preserve">Battle Brothers (Original Soundtrack)</t>
        </is>
      </c>
      <c r="D1538">
        <v>2017</v>
      </c>
      <c r="E1538" t="inlineStr">
        <is>
          <t xml:space="preserve">Battle Brothers</t>
        </is>
      </c>
      <c r="F1538" t="inlineStr">
        <is>
          <t xml:space="preserve">Battle Brothers/12. The Homestead.mp3</t>
        </is>
      </c>
    </row>
    <row r="1539" spans="1:7">
      <c r="A1539" t="inlineStr">
        <is>
          <t xml:space="preserve">Warpath Ceremony (Goblins)</t>
        </is>
      </c>
      <c r="B1539" t="inlineStr">
        <is>
          <t xml:space="preserve">Breakdown Epiphanies</t>
        </is>
      </c>
      <c r="C1539" t="inlineStr">
        <is>
          <t xml:space="preserve">Battle Brothers (Original Soundtrack)</t>
        </is>
      </c>
      <c r="D1539">
        <v>2017</v>
      </c>
      <c r="E1539" t="inlineStr">
        <is>
          <t xml:space="preserve">Battle Brothers</t>
        </is>
      </c>
      <c r="F1539" t="inlineStr">
        <is>
          <t xml:space="preserve">Battle Brothers/13. Warpath Ceremony (Goblins).mp3</t>
        </is>
      </c>
    </row>
    <row r="1540" spans="1:7">
      <c r="A1540" t="inlineStr">
        <is>
          <t xml:space="preserve">Unleashing the Clans (Orcs)</t>
        </is>
      </c>
      <c r="B1540" t="inlineStr">
        <is>
          <t xml:space="preserve">Breakdown Epiphanies</t>
        </is>
      </c>
      <c r="C1540" t="inlineStr">
        <is>
          <t xml:space="preserve">Battle Brothers (Original Soundtrack)</t>
        </is>
      </c>
      <c r="D1540">
        <v>2017</v>
      </c>
      <c r="E1540" t="inlineStr">
        <is>
          <t xml:space="preserve">Battle Brothers</t>
        </is>
      </c>
      <c r="F1540" t="inlineStr">
        <is>
          <t xml:space="preserve">Battle Brothers/14. Unleashing the Clans (Orcs).mp3</t>
        </is>
      </c>
    </row>
    <row r="1541" spans="1:7">
      <c r="A1541" t="inlineStr">
        <is>
          <t xml:space="preserve">The Hunt (Beasts)</t>
        </is>
      </c>
      <c r="B1541" t="inlineStr">
        <is>
          <t xml:space="preserve">Breakdown Epiphanies</t>
        </is>
      </c>
      <c r="C1541" t="inlineStr">
        <is>
          <t xml:space="preserve">Battle Brothers (Original Soundtrack)</t>
        </is>
      </c>
      <c r="D1541">
        <v>2017</v>
      </c>
      <c r="E1541" t="inlineStr">
        <is>
          <t xml:space="preserve">Battle Brothers</t>
        </is>
      </c>
      <c r="F1541" t="inlineStr">
        <is>
          <t xml:space="preserve">Battle Brothers/15. The Hunt (Beasts).mp3</t>
        </is>
      </c>
    </row>
    <row r="1542" spans="1:7">
      <c r="A1542" t="inlineStr">
        <is>
          <t xml:space="preserve">Making a Name</t>
        </is>
      </c>
      <c r="B1542" t="inlineStr">
        <is>
          <t xml:space="preserve">Breakdown Epiphanies</t>
        </is>
      </c>
      <c r="C1542" t="inlineStr">
        <is>
          <t xml:space="preserve">Battle Brothers (Original Soundtrack)</t>
        </is>
      </c>
      <c r="D1542">
        <v>2017</v>
      </c>
      <c r="E1542" t="inlineStr">
        <is>
          <t xml:space="preserve">Battle Brothers</t>
        </is>
      </c>
      <c r="F1542" t="inlineStr">
        <is>
          <t xml:space="preserve">Battle Brothers/16. Making a Name.mp3</t>
        </is>
      </c>
    </row>
    <row r="1543" spans="1:7">
      <c r="A1543" t="inlineStr">
        <is>
          <t xml:space="preserve">Bloody Toll</t>
        </is>
      </c>
      <c r="B1543" t="inlineStr">
        <is>
          <t xml:space="preserve">Breakdown Epiphanies</t>
        </is>
      </c>
      <c r="C1543" t="inlineStr">
        <is>
          <t xml:space="preserve">Battle Brothers (Original Soundtrack)</t>
        </is>
      </c>
      <c r="D1543">
        <v>2017</v>
      </c>
      <c r="E1543" t="inlineStr">
        <is>
          <t xml:space="preserve">Battle Brothers</t>
        </is>
      </c>
      <c r="F1543" t="inlineStr">
        <is>
          <t xml:space="preserve">Battle Brothers/17. Bloody Toll.mp3</t>
        </is>
      </c>
    </row>
    <row r="1544" spans="1:7">
      <c r="A1544" t="inlineStr">
        <is>
          <t xml:space="preserve">Dreaded Mire</t>
        </is>
      </c>
      <c r="B1544" t="inlineStr">
        <is>
          <t xml:space="preserve">Breakdown Epiphanies</t>
        </is>
      </c>
      <c r="C1544" t="inlineStr">
        <is>
          <t xml:space="preserve">Battle Brothers (Original Soundtrack)</t>
        </is>
      </c>
      <c r="D1544">
        <v>2017</v>
      </c>
      <c r="E1544" t="inlineStr">
        <is>
          <t xml:space="preserve">Battle Brothers</t>
        </is>
      </c>
      <c r="F1544" t="inlineStr">
        <is>
          <t xml:space="preserve">Battle Brothers/18. Dreaded Mire.mp3</t>
        </is>
      </c>
    </row>
    <row r="1545" spans="1:7">
      <c r="A1545" t="inlineStr">
        <is>
          <t xml:space="preserve">The Legion Awakens (Undead)</t>
        </is>
      </c>
      <c r="B1545" t="inlineStr">
        <is>
          <t xml:space="preserve">Breakdown Epiphanies</t>
        </is>
      </c>
      <c r="C1545" t="inlineStr">
        <is>
          <t xml:space="preserve">Battle Brothers (Original Soundtrack)</t>
        </is>
      </c>
      <c r="D1545">
        <v>2017</v>
      </c>
      <c r="E1545" t="inlineStr">
        <is>
          <t xml:space="preserve">Battle Brothers</t>
        </is>
      </c>
      <c r="F1545" t="inlineStr">
        <is>
          <t xml:space="preserve">Battle Brothers/19. The Legion Awakens (Undead).mp3</t>
        </is>
      </c>
    </row>
    <row r="1546" spans="1:7">
      <c r="A1546" t="inlineStr">
        <is>
          <t xml:space="preserve">Direwolf Woods (Beasts)</t>
        </is>
      </c>
      <c r="B1546" t="inlineStr">
        <is>
          <t xml:space="preserve">Breakdown Epiphanies</t>
        </is>
      </c>
      <c r="C1546" t="inlineStr">
        <is>
          <t xml:space="preserve">Battle Brothers (Original Soundtrack)</t>
        </is>
      </c>
      <c r="D1546">
        <v>2017</v>
      </c>
      <c r="E1546" t="inlineStr">
        <is>
          <t xml:space="preserve">Battle Brothers</t>
        </is>
      </c>
      <c r="F1546" t="inlineStr">
        <is>
          <t xml:space="preserve">Battle Brothers/20. Direwolf Woods (Beasts).mp3</t>
        </is>
      </c>
    </row>
    <row r="1547" spans="1:7">
      <c r="A1547" t="inlineStr">
        <is>
          <t xml:space="preserve">Four Days to Crows Nest</t>
        </is>
      </c>
      <c r="B1547" t="inlineStr">
        <is>
          <t xml:space="preserve">Breakdown Epiphanies</t>
        </is>
      </c>
      <c r="C1547" t="inlineStr">
        <is>
          <t xml:space="preserve">Battle Brothers (Original Soundtrack)</t>
        </is>
      </c>
      <c r="D1547">
        <v>2017</v>
      </c>
      <c r="E1547" t="inlineStr">
        <is>
          <t xml:space="preserve">Battle Brothers</t>
        </is>
      </c>
      <c r="F1547" t="inlineStr">
        <is>
          <t xml:space="preserve">Battle Brothers/21. Four Days to Crows Nest.mp3</t>
        </is>
      </c>
    </row>
    <row r="1548" spans="1:7">
      <c r="A1548" t="inlineStr">
        <is>
          <t xml:space="preserve">Rise and Fall of House Kaltenborn (Noble Houses)</t>
        </is>
      </c>
      <c r="B1548" t="inlineStr">
        <is>
          <t xml:space="preserve">Breakdown Epiphanies</t>
        </is>
      </c>
      <c r="C1548" t="inlineStr">
        <is>
          <t xml:space="preserve">Battle Brothers (Original Soundtrack)</t>
        </is>
      </c>
      <c r="D1548">
        <v>2017</v>
      </c>
      <c r="E1548" t="inlineStr">
        <is>
          <t xml:space="preserve">Battle Brothers</t>
        </is>
      </c>
      <c r="F1548" t="inlineStr">
        <is>
          <t xml:space="preserve">Battle Brothers/22. Rise and Fall of House Kaltenborn (Noble Houses).mp3</t>
        </is>
      </c>
    </row>
    <row r="1549" spans="1:7">
      <c r="A1549" t="inlineStr">
        <is>
          <t xml:space="preserve">Walls of Dunenburg</t>
        </is>
      </c>
      <c r="B1549" t="inlineStr">
        <is>
          <t xml:space="preserve">Breakdown Epiphanies</t>
        </is>
      </c>
      <c r="C1549" t="inlineStr">
        <is>
          <t xml:space="preserve">Battle Brothers (Original Soundtrack)</t>
        </is>
      </c>
      <c r="D1549">
        <v>2017</v>
      </c>
      <c r="E1549" t="inlineStr">
        <is>
          <t xml:space="preserve">Battle Brothers</t>
        </is>
      </c>
      <c r="F1549" t="inlineStr">
        <is>
          <t xml:space="preserve">Battle Brothers/23. Walls of Dunenburg.mp3</t>
        </is>
      </c>
    </row>
    <row r="1550" spans="1:7">
      <c r="A1550" t="inlineStr">
        <is>
          <t xml:space="preserve">The Might of Obrokk (Orcs)</t>
        </is>
      </c>
      <c r="B1550" t="inlineStr">
        <is>
          <t xml:space="preserve">Breakdown Epiphanies</t>
        </is>
      </c>
      <c r="C1550" t="inlineStr">
        <is>
          <t xml:space="preserve">Battle Brothers (Original Soundtrack)</t>
        </is>
      </c>
      <c r="D1550">
        <v>2017</v>
      </c>
      <c r="E1550" t="inlineStr">
        <is>
          <t xml:space="preserve">Battle Brothers</t>
        </is>
      </c>
      <c r="F1550" t="inlineStr">
        <is>
          <t xml:space="preserve">Battle Brothers/24. The Might of Obrokk (Orcs).mp3</t>
        </is>
      </c>
    </row>
    <row r="1551" spans="1:7">
      <c r="A1551" t="inlineStr">
        <is>
          <t xml:space="preserve">A Hidden Menace (Goblins)</t>
        </is>
      </c>
      <c r="B1551" t="inlineStr">
        <is>
          <t xml:space="preserve">Breakdown Epiphanies</t>
        </is>
      </c>
      <c r="C1551" t="inlineStr">
        <is>
          <t xml:space="preserve">Battle Brothers (Original Soundtrack)</t>
        </is>
      </c>
      <c r="D1551">
        <v>2017</v>
      </c>
      <c r="E1551" t="inlineStr">
        <is>
          <t xml:space="preserve">Battle Brothers</t>
        </is>
      </c>
      <c r="F1551" t="inlineStr">
        <is>
          <t xml:space="preserve">Battle Brothers/25. A Hidden Menace (Goblins).mp3</t>
        </is>
      </c>
    </row>
    <row r="1552" spans="1:7">
      <c r="A1552" t="inlineStr">
        <is>
          <t xml:space="preserve">Curse of the Emperor (Undead)</t>
        </is>
      </c>
      <c r="B1552" t="inlineStr">
        <is>
          <t xml:space="preserve">Breakdown Epiphanies</t>
        </is>
      </c>
      <c r="C1552" t="inlineStr">
        <is>
          <t xml:space="preserve">Battle Brothers (Original Soundtrack)</t>
        </is>
      </c>
      <c r="D1552">
        <v>2017</v>
      </c>
      <c r="E1552" t="inlineStr">
        <is>
          <t xml:space="preserve">Battle Brothers</t>
        </is>
      </c>
      <c r="F1552" t="inlineStr">
        <is>
          <t xml:space="preserve">Battle Brothers/26. Curse of the Emperor (Undead).mp3</t>
        </is>
      </c>
    </row>
    <row r="1553" spans="1:7">
      <c r="A1553" t="inlineStr">
        <is>
          <t xml:space="preserve">Grinded in the Gears of War</t>
        </is>
      </c>
      <c r="B1553" t="inlineStr">
        <is>
          <t xml:space="preserve">Breakdown Epiphanies</t>
        </is>
      </c>
      <c r="C1553" t="inlineStr">
        <is>
          <t xml:space="preserve">Battle Brothers (Original Soundtrack)</t>
        </is>
      </c>
      <c r="D1553">
        <v>2017</v>
      </c>
      <c r="E1553" t="inlineStr">
        <is>
          <t xml:space="preserve">Battle Brothers</t>
        </is>
      </c>
      <c r="F1553" t="inlineStr">
        <is>
          <t xml:space="preserve">Battle Brothers/27. Grinded in the Gears of War.mp3</t>
        </is>
      </c>
    </row>
    <row r="1554" spans="1:7">
      <c r="A1554" t="inlineStr">
        <is>
          <t xml:space="preserve">Battle Brothers, Pt. 2</t>
        </is>
      </c>
      <c r="B1554" t="inlineStr">
        <is>
          <t xml:space="preserve">Breakdown Epiphanies</t>
        </is>
      </c>
      <c r="C1554" t="inlineStr">
        <is>
          <t xml:space="preserve">Battle Brothers (Original Soundtrack)</t>
        </is>
      </c>
      <c r="D1554">
        <v>2017</v>
      </c>
      <c r="E1554" t="inlineStr">
        <is>
          <t xml:space="preserve">Battle Brothers</t>
        </is>
      </c>
      <c r="F1554" t="inlineStr">
        <is>
          <t xml:space="preserve">Battle Brothers/28. Battle Brothers, Pt. 2.mp3</t>
        </is>
      </c>
    </row>
    <row r="1555" spans="1:7">
      <c r="A1555" t="inlineStr">
        <is>
          <t xml:space="preserve">Mercenary's Rest</t>
        </is>
      </c>
      <c r="B1555" t="inlineStr">
        <is>
          <t xml:space="preserve">Breakdown Epiphanies</t>
        </is>
      </c>
      <c r="C1555" t="inlineStr">
        <is>
          <t xml:space="preserve">Battle Brothers (Original Soundtrack)</t>
        </is>
      </c>
      <c r="D1555">
        <v>2017</v>
      </c>
      <c r="E1555" t="inlineStr">
        <is>
          <t xml:space="preserve">Battle Brothers</t>
        </is>
      </c>
      <c r="F1555" t="inlineStr">
        <is>
          <t xml:space="preserve">Battle Brothers/29. Mercenary's Rest.mp3</t>
        </is>
      </c>
    </row>
    <row r="1556" spans="1:7">
      <c r="A1556" t="inlineStr">
        <is>
          <t xml:space="preserve">Forging a Legacy (Release Trailer)</t>
        </is>
      </c>
      <c r="B1556" t="inlineStr">
        <is>
          <t xml:space="preserve">Breakdown Epiphanies</t>
        </is>
      </c>
      <c r="C1556" t="inlineStr">
        <is>
          <t xml:space="preserve">Battle Brothers (Original Soundtrack)</t>
        </is>
      </c>
      <c r="D1556">
        <v>2017</v>
      </c>
      <c r="E1556" t="inlineStr">
        <is>
          <t xml:space="preserve">Battle Brothers</t>
        </is>
      </c>
      <c r="F1556" t="inlineStr">
        <is>
          <t xml:space="preserve">Battle Brothers/30. Forging a Legacy (Release Trailer).mp3</t>
        </is>
      </c>
    </row>
    <row r="1557" spans="1:7">
      <c r="A1557" t="inlineStr">
        <is>
          <t xml:space="preserve">Darkest Dungeon II Main Theme</t>
        </is>
      </c>
      <c r="B1557" t="inlineStr">
        <is>
          <t xml:space="preserve">Stuart Chatwood</t>
        </is>
      </c>
      <c r="C1557" t="inlineStr">
        <is>
          <t xml:space="preserve">Darkest Dungeon II (Original Video Game Soundtrack)</t>
        </is>
      </c>
      <c r="D1557">
        <v>2023</v>
      </c>
      <c r="E1557" t="inlineStr">
        <is>
          <t xml:space="preserve">Darkest Dungeon 2</t>
        </is>
      </c>
      <c r="F1557" t="inlineStr">
        <is>
          <t xml:space="preserve">Darkest Dungeon II/1-01. Darkest Dungeon II Main Theme.mp3</t>
        </is>
      </c>
      <c r="G1557" t="inlineStr">
        <is>
          <t xml:space="preserve">menu</t>
        </is>
      </c>
    </row>
    <row r="1558" spans="1:7">
      <c r="A1558" t="inlineStr">
        <is>
          <t xml:space="preserve">Be Bold Once More (Cutscene)</t>
        </is>
      </c>
      <c r="B1558" t="inlineStr">
        <is>
          <t xml:space="preserve">Stuart Chatwood</t>
        </is>
      </c>
      <c r="C1558" t="inlineStr">
        <is>
          <t xml:space="preserve">Darkest Dungeon II (Original Video Game Soundtrack)</t>
        </is>
      </c>
      <c r="D1558">
        <v>2023</v>
      </c>
      <c r="E1558" t="inlineStr">
        <is>
          <t xml:space="preserve">Darkest Dungeon 2</t>
        </is>
      </c>
      <c r="F1558" t="inlineStr">
        <is>
          <t xml:space="preserve">Darkest Dungeon II/1-02. Be Bold Once More (Cutscene).mp3</t>
        </is>
      </c>
    </row>
    <row r="1559" spans="1:7">
      <c r="A1559" t="inlineStr">
        <is>
          <t xml:space="preserve">The Winding Valley (Abridged)</t>
        </is>
      </c>
      <c r="B1559" t="inlineStr">
        <is>
          <t xml:space="preserve">Stuart Chatwood</t>
        </is>
      </c>
      <c r="C1559" t="inlineStr">
        <is>
          <t xml:space="preserve">Darkest Dungeon II (Original Video Game Soundtrack)</t>
        </is>
      </c>
      <c r="D1559">
        <v>2023</v>
      </c>
      <c r="E1559" t="inlineStr">
        <is>
          <t xml:space="preserve">Darkest Dungeon 2</t>
        </is>
      </c>
      <c r="F1559" t="inlineStr">
        <is>
          <t xml:space="preserve">Darkest Dungeon II/1-03. The Winding Valley (Abridged).mp3</t>
        </is>
      </c>
    </row>
    <row r="1560" spans="1:7">
      <c r="A1560" t="inlineStr">
        <is>
          <t xml:space="preserve">Foetor Fight</t>
        </is>
      </c>
      <c r="B1560" t="inlineStr">
        <is>
          <t xml:space="preserve">Stuart Chatwood</t>
        </is>
      </c>
      <c r="C1560" t="inlineStr">
        <is>
          <t xml:space="preserve">Darkest Dungeon II (Original Video Game Soundtrack)</t>
        </is>
      </c>
      <c r="D1560">
        <v>2023</v>
      </c>
      <c r="E1560" t="inlineStr">
        <is>
          <t xml:space="preserve">Darkest Dungeon 2</t>
        </is>
      </c>
      <c r="F1560" t="inlineStr">
        <is>
          <t xml:space="preserve">Darkest Dungeon II/1-04. Foetor Fight.mp3</t>
        </is>
      </c>
    </row>
    <row r="1561" spans="1:7">
      <c r="A1561" t="inlineStr">
        <is>
          <t xml:space="preserve">The Inn</t>
        </is>
      </c>
      <c r="B1561" t="inlineStr">
        <is>
          <t xml:space="preserve">Stuart Chatwood</t>
        </is>
      </c>
      <c r="C1561" t="inlineStr">
        <is>
          <t xml:space="preserve">Darkest Dungeon II (Original Video Game Soundtrack)</t>
        </is>
      </c>
      <c r="D1561">
        <v>2023</v>
      </c>
      <c r="E1561" t="inlineStr">
        <is>
          <t xml:space="preserve">Darkest Dungeon 2</t>
        </is>
      </c>
      <c r="F1561" t="inlineStr">
        <is>
          <t xml:space="preserve">Darkest Dungeon II/1-05. The Inn.mp3</t>
        </is>
      </c>
    </row>
    <row r="1562" spans="1:7">
      <c r="A1562" t="inlineStr">
        <is>
          <t xml:space="preserve">Sprawl Battle</t>
        </is>
      </c>
      <c r="B1562" t="inlineStr">
        <is>
          <t xml:space="preserve">Stuart Chatwood</t>
        </is>
      </c>
      <c r="C1562" t="inlineStr">
        <is>
          <t xml:space="preserve">Darkest Dungeon II (Original Video Game Soundtrack)</t>
        </is>
      </c>
      <c r="D1562">
        <v>2023</v>
      </c>
      <c r="E1562" t="inlineStr">
        <is>
          <t xml:space="preserve">Darkest Dungeon 2</t>
        </is>
      </c>
      <c r="F1562" t="inlineStr">
        <is>
          <t xml:space="preserve">Darkest Dungeon II/1-06. Sprawl Battle.mp3</t>
        </is>
      </c>
    </row>
    <row r="1563" spans="1:7">
      <c r="A1563" t="inlineStr">
        <is>
          <t xml:space="preserve">Conflict in the Tangle</t>
        </is>
      </c>
      <c r="B1563" t="inlineStr">
        <is>
          <t xml:space="preserve">Stuart Chatwood</t>
        </is>
      </c>
      <c r="C1563" t="inlineStr">
        <is>
          <t xml:space="preserve">Darkest Dungeon II (Original Video Game Soundtrack)</t>
        </is>
      </c>
      <c r="D1563">
        <v>2023</v>
      </c>
      <c r="E1563" t="inlineStr">
        <is>
          <t xml:space="preserve">Darkest Dungeon 2</t>
        </is>
      </c>
      <c r="F1563" t="inlineStr">
        <is>
          <t xml:space="preserve">Darkest Dungeon II/1-07. Conflict in the Tangle.mp3</t>
        </is>
      </c>
    </row>
    <row r="1564" spans="1:7">
      <c r="A1564" t="inlineStr">
        <is>
          <t xml:space="preserve">The Sluice</t>
        </is>
      </c>
      <c r="B1564" t="inlineStr">
        <is>
          <t xml:space="preserve">Stuart Chatwood</t>
        </is>
      </c>
      <c r="C1564" t="inlineStr">
        <is>
          <t xml:space="preserve">Darkest Dungeon II (Original Video Game Soundtrack)</t>
        </is>
      </c>
      <c r="D1564">
        <v>2023</v>
      </c>
      <c r="E1564" t="inlineStr">
        <is>
          <t xml:space="preserve">Darkest Dungeon 2</t>
        </is>
      </c>
      <c r="F1564" t="inlineStr">
        <is>
          <t xml:space="preserve">Darkest Dungeon II/1-08. The Sluice.mp3</t>
        </is>
      </c>
    </row>
    <row r="1565" spans="1:7">
      <c r="A1565" t="inlineStr">
        <is>
          <t xml:space="preserve">Traverse the Mountain</t>
        </is>
      </c>
      <c r="B1565" t="inlineStr">
        <is>
          <t xml:space="preserve">Stuart Chatwood</t>
        </is>
      </c>
      <c r="C1565" t="inlineStr">
        <is>
          <t xml:space="preserve">Darkest Dungeon II (Original Video Game Soundtrack)</t>
        </is>
      </c>
      <c r="D1565">
        <v>2023</v>
      </c>
      <c r="E1565" t="inlineStr">
        <is>
          <t xml:space="preserve">Darkest Dungeon 2</t>
        </is>
      </c>
      <c r="F1565" t="inlineStr">
        <is>
          <t xml:space="preserve">Darkest Dungeon II/1-09. Traverse the Mountain.mp3</t>
        </is>
      </c>
    </row>
    <row r="1566" spans="1:7">
      <c r="A1566" t="inlineStr">
        <is>
          <t xml:space="preserve">Battle of the Mountain</t>
        </is>
      </c>
      <c r="B1566" t="inlineStr">
        <is>
          <t xml:space="preserve">Stuart Chatwood</t>
        </is>
      </c>
      <c r="C1566" t="inlineStr">
        <is>
          <t xml:space="preserve">Darkest Dungeon II (Original Video Game Soundtrack)</t>
        </is>
      </c>
      <c r="D1566">
        <v>2023</v>
      </c>
      <c r="E1566" t="inlineStr">
        <is>
          <t xml:space="preserve">Darkest Dungeon 2</t>
        </is>
      </c>
      <c r="F1566" t="inlineStr">
        <is>
          <t xml:space="preserve">Darkest Dungeon II/1-10. Battle of the Mountain.mp3</t>
        </is>
      </c>
    </row>
    <row r="1567" spans="1:7">
      <c r="A1567" t="inlineStr">
        <is>
          <t xml:space="preserve">The Winding Valley (Complete)</t>
        </is>
      </c>
      <c r="B1567" t="inlineStr">
        <is>
          <t xml:space="preserve">Stuart Chatwood</t>
        </is>
      </c>
      <c r="C1567" t="inlineStr">
        <is>
          <t xml:space="preserve">Darkest Dungeon II (Original Video Game Soundtrack)</t>
        </is>
      </c>
      <c r="D1567">
        <v>2023</v>
      </c>
      <c r="E1567" t="inlineStr">
        <is>
          <t xml:space="preserve">Darkest Dungeon 2</t>
        </is>
      </c>
      <c r="F1567" t="inlineStr">
        <is>
          <t xml:space="preserve">Darkest Dungeon II/1-11. The Winding Valley (Complete).mp3</t>
        </is>
      </c>
    </row>
    <row r="1568" spans="1:7">
      <c r="A1568" t="inlineStr">
        <is>
          <t xml:space="preserve">A Glimmer of Hope (Trailer)</t>
        </is>
      </c>
      <c r="B1568" t="inlineStr">
        <is>
          <t xml:space="preserve">Stuart Chatwood</t>
        </is>
      </c>
      <c r="C1568" t="inlineStr">
        <is>
          <t xml:space="preserve">Darkest Dungeon II (Original Video Game Soundtrack)</t>
        </is>
      </c>
      <c r="D1568">
        <v>2023</v>
      </c>
      <c r="E1568" t="inlineStr">
        <is>
          <t xml:space="preserve">Darkest Dungeon 2</t>
        </is>
      </c>
      <c r="F1568" t="inlineStr">
        <is>
          <t xml:space="preserve">Darkest Dungeon II/1-12. A Glimmer of Hope (Trailer).mp3</t>
        </is>
      </c>
    </row>
    <row r="1569" spans="1:7">
      <c r="A1569" t="inlineStr">
        <is>
          <t xml:space="preserve">The Howling End (Trailer)</t>
        </is>
      </c>
      <c r="B1569" t="inlineStr">
        <is>
          <t xml:space="preserve">Stuart Chatwood</t>
        </is>
      </c>
      <c r="C1569" t="inlineStr">
        <is>
          <t xml:space="preserve">Darkest Dungeon II (Original Video Game Soundtrack)</t>
        </is>
      </c>
      <c r="D1569">
        <v>2023</v>
      </c>
      <c r="E1569" t="inlineStr">
        <is>
          <t xml:space="preserve">Darkest Dungeon 2</t>
        </is>
      </c>
      <c r="F1569" t="inlineStr">
        <is>
          <t xml:space="preserve">Darkest Dungeon II/1-13. The Howling End (Trailer).mp3</t>
        </is>
      </c>
    </row>
    <row r="1570" spans="1:7">
      <c r="A1570" t="inlineStr">
        <is>
          <t xml:space="preserve">Music of the Night (The Jester)</t>
        </is>
      </c>
      <c r="B1570" t="inlineStr">
        <is>
          <t xml:space="preserve">Stuart Chatwood</t>
        </is>
      </c>
      <c r="C1570" t="inlineStr">
        <is>
          <t xml:space="preserve">Darkest Dungeon II (Original Video Game Soundtrack)</t>
        </is>
      </c>
      <c r="D1570">
        <v>2023</v>
      </c>
      <c r="E1570" t="inlineStr">
        <is>
          <t xml:space="preserve">Darkest Dungeon 2</t>
        </is>
      </c>
      <c r="F1570" t="inlineStr">
        <is>
          <t xml:space="preserve">Darkest Dungeon II/1-14. Music of the Night (The Jester).mp3</t>
        </is>
      </c>
    </row>
    <row r="1571" spans="1:7">
      <c r="A1571" t="inlineStr">
        <is>
          <t xml:space="preserve">A Dark Song (The Jester)</t>
        </is>
      </c>
      <c r="B1571" t="inlineStr">
        <is>
          <t xml:space="preserve">Stuart Chatwood</t>
        </is>
      </c>
      <c r="C1571" t="inlineStr">
        <is>
          <t xml:space="preserve">Darkest Dungeon II (Original Video Game Soundtrack)</t>
        </is>
      </c>
      <c r="D1571">
        <v>2023</v>
      </c>
      <c r="E1571" t="inlineStr">
        <is>
          <t xml:space="preserve">Darkest Dungeon 2</t>
        </is>
      </c>
      <c r="F1571" t="inlineStr">
        <is>
          <t xml:space="preserve">Darkest Dungeon II/1-15. A Dark Song (The Jester).mp3</t>
        </is>
      </c>
    </row>
    <row r="1572" spans="1:7">
      <c r="A1572" t="inlineStr">
        <is>
          <t xml:space="preserve">The Shroud of the Deep</t>
        </is>
      </c>
      <c r="B1572" t="inlineStr">
        <is>
          <t xml:space="preserve">Stuart Chatwood</t>
        </is>
      </c>
      <c r="C1572" t="inlineStr">
        <is>
          <t xml:space="preserve">Darkest Dungeon II (Original Video Game Soundtrack)</t>
        </is>
      </c>
      <c r="D1572">
        <v>2023</v>
      </c>
      <c r="E1572" t="inlineStr">
        <is>
          <t xml:space="preserve">Darkest Dungeon 2</t>
        </is>
      </c>
      <c r="F1572" t="inlineStr">
        <is>
          <t xml:space="preserve">Darkest Dungeon II/1-16. The Shroud of the Deep.mp3</t>
        </is>
      </c>
    </row>
    <row r="1573" spans="1:7">
      <c r="A1573" t="inlineStr">
        <is>
          <t xml:space="preserve">Altar of Hope (Act 1)</t>
        </is>
      </c>
      <c r="B1573" t="inlineStr">
        <is>
          <t xml:space="preserve">Stuart Chatwood</t>
        </is>
      </c>
      <c r="C1573" t="inlineStr">
        <is>
          <t xml:space="preserve">Darkest Dungeon II (Original Video Game Soundtrack)</t>
        </is>
      </c>
      <c r="D1573">
        <v>2023</v>
      </c>
      <c r="E1573" t="inlineStr">
        <is>
          <t xml:space="preserve">Darkest Dungeon 2</t>
        </is>
      </c>
      <c r="F1573" t="inlineStr">
        <is>
          <t xml:space="preserve">Darkest Dungeon II/1-17. Altar of Hope (Act 1).mp3</t>
        </is>
      </c>
    </row>
    <row r="1574" spans="1:7">
      <c r="A1574" t="inlineStr">
        <is>
          <t xml:space="preserve">Altar of Hope (Act 2)</t>
        </is>
      </c>
      <c r="B1574" t="inlineStr">
        <is>
          <t xml:space="preserve">Stuart Chatwood</t>
        </is>
      </c>
      <c r="C1574" t="inlineStr">
        <is>
          <t xml:space="preserve">Darkest Dungeon II (Original Video Game Soundtrack)</t>
        </is>
      </c>
      <c r="D1574">
        <v>2023</v>
      </c>
      <c r="E1574" t="inlineStr">
        <is>
          <t xml:space="preserve">Darkest Dungeon 2</t>
        </is>
      </c>
      <c r="F1574" t="inlineStr">
        <is>
          <t xml:space="preserve">Darkest Dungeon II/1-18. Altar of Hope (Act 2).mp3</t>
        </is>
      </c>
    </row>
    <row r="1575" spans="1:7">
      <c r="A1575" t="inlineStr">
        <is>
          <t xml:space="preserve">Altar of Hope (Act 3)</t>
        </is>
      </c>
      <c r="B1575" t="inlineStr">
        <is>
          <t xml:space="preserve">Stuart Chatwood</t>
        </is>
      </c>
      <c r="C1575" t="inlineStr">
        <is>
          <t xml:space="preserve">Darkest Dungeon II (Original Video Game Soundtrack)</t>
        </is>
      </c>
      <c r="D1575">
        <v>2023</v>
      </c>
      <c r="E1575" t="inlineStr">
        <is>
          <t xml:space="preserve">Darkest Dungeon 2</t>
        </is>
      </c>
      <c r="F1575" t="inlineStr">
        <is>
          <t xml:space="preserve">Darkest Dungeon II/1-19. Altar of Hope (Act 3).mp3</t>
        </is>
      </c>
    </row>
    <row r="1576" spans="1:7">
      <c r="A1576" t="inlineStr">
        <is>
          <t xml:space="preserve">Altar of Hope (Act 4)</t>
        </is>
      </c>
      <c r="B1576" t="inlineStr">
        <is>
          <t xml:space="preserve">Stuart Chatwood</t>
        </is>
      </c>
      <c r="C1576" t="inlineStr">
        <is>
          <t xml:space="preserve">Darkest Dungeon II (Original Video Game Soundtrack)</t>
        </is>
      </c>
      <c r="D1576">
        <v>2023</v>
      </c>
      <c r="E1576" t="inlineStr">
        <is>
          <t xml:space="preserve">Darkest Dungeon 2</t>
        </is>
      </c>
      <c r="F1576" t="inlineStr">
        <is>
          <t xml:space="preserve">Darkest Dungeon II/1-20. Altar of Hope (Act 4).mp3</t>
        </is>
      </c>
    </row>
    <row r="1577" spans="1:7">
      <c r="A1577" t="inlineStr">
        <is>
          <t xml:space="preserve">Your Confession is Complete</t>
        </is>
      </c>
      <c r="B1577" t="inlineStr">
        <is>
          <t xml:space="preserve">Stuart Chatwood</t>
        </is>
      </c>
      <c r="C1577" t="inlineStr">
        <is>
          <t xml:space="preserve">Darkest Dungeon II (Original Video Game Soundtrack)</t>
        </is>
      </c>
      <c r="D1577">
        <v>2023</v>
      </c>
      <c r="E1577" t="inlineStr">
        <is>
          <t xml:space="preserve">Darkest Dungeon 2</t>
        </is>
      </c>
      <c r="F1577" t="inlineStr">
        <is>
          <t xml:space="preserve">Darkest Dungeon II/1-21. Your Confession is Complete.mp3</t>
        </is>
      </c>
    </row>
    <row r="1578" spans="1:7">
      <c r="A1578" t="inlineStr">
        <is>
          <t xml:space="preserve">Face Your Failures</t>
        </is>
      </c>
      <c r="B1578" t="inlineStr">
        <is>
          <t xml:space="preserve">Stuart Chatwood</t>
        </is>
      </c>
      <c r="C1578" t="inlineStr">
        <is>
          <t xml:space="preserve">Darkest Dungeon II (Original Video Game Soundtrack)</t>
        </is>
      </c>
      <c r="D1578">
        <v>2023</v>
      </c>
      <c r="E1578" t="inlineStr">
        <is>
          <t xml:space="preserve">Darkest Dungeon 2</t>
        </is>
      </c>
      <c r="F1578" t="inlineStr">
        <is>
          <t xml:space="preserve">Darkest Dungeon II/1-22. Face Your Failures.mp3</t>
        </is>
      </c>
    </row>
    <row r="1579" spans="1:7">
      <c r="A1579" t="inlineStr">
        <is>
          <t xml:space="preserve">The Decisive Combat</t>
        </is>
      </c>
      <c r="B1579" t="inlineStr">
        <is>
          <t xml:space="preserve">Stuart Chatwood</t>
        </is>
      </c>
      <c r="C1579" t="inlineStr">
        <is>
          <t xml:space="preserve">Darkest Dungeon II (Original Video Game Soundtrack)</t>
        </is>
      </c>
      <c r="D1579">
        <v>2023</v>
      </c>
      <c r="E1579" t="inlineStr">
        <is>
          <t xml:space="preserve">Darkest Dungeon 2</t>
        </is>
      </c>
      <c r="F1579" t="inlineStr">
        <is>
          <t xml:space="preserve">Darkest Dungeon II/1-23. The Decisive Combat.mp3</t>
        </is>
      </c>
    </row>
    <row r="1580" spans="1:7">
      <c r="A1580" t="inlineStr">
        <is>
          <t xml:space="preserve">Reflections</t>
        </is>
      </c>
      <c r="B1580" t="inlineStr">
        <is>
          <t xml:space="preserve">Stuart Chatwood</t>
        </is>
      </c>
      <c r="C1580" t="inlineStr">
        <is>
          <t xml:space="preserve">Darkest Dungeon II (Original Video Game Soundtrack)</t>
        </is>
      </c>
      <c r="D1580">
        <v>2023</v>
      </c>
      <c r="E1580" t="inlineStr">
        <is>
          <t xml:space="preserve">Darkest Dungeon 2</t>
        </is>
      </c>
      <c r="F1580" t="inlineStr">
        <is>
          <t xml:space="preserve">Darkest Dungeon II/1-24. Reflections.mp3</t>
        </is>
      </c>
    </row>
    <row r="1581" spans="1:7">
      <c r="A1581" t="inlineStr">
        <is>
          <t xml:space="preserve">Hunger of the Beast Clan (Beastmen Combat)</t>
        </is>
      </c>
      <c r="B1581" t="inlineStr">
        <is>
          <t xml:space="preserve">Stuart Chatwood;Stuart Chatwood</t>
        </is>
      </c>
      <c r="C1581" t="inlineStr">
        <is>
          <t xml:space="preserve">Darkest Dungeon II-Kingdoms (Original Video Game Soundtrack)</t>
        </is>
      </c>
      <c r="D1581">
        <v>2025</v>
      </c>
      <c r="E1581" t="inlineStr">
        <is>
          <t xml:space="preserve">Darkest Dungeon 2</t>
        </is>
      </c>
      <c r="F1581" t="inlineStr">
        <is>
          <t xml:space="preserve">Darkest Dungeon II/2-01. Hunger of the Beast Clan (Beastmen Combat).mp3</t>
        </is>
      </c>
    </row>
    <row r="1582" spans="1:7">
      <c r="A1582" t="inlineStr">
        <is>
          <t xml:space="preserve">Beneath The Kingdom (Catacombs Combat)</t>
        </is>
      </c>
      <c r="B1582" t="inlineStr">
        <is>
          <t xml:space="preserve">Stuart Chatwood;Stuart Chatwood</t>
        </is>
      </c>
      <c r="C1582" t="inlineStr">
        <is>
          <t xml:space="preserve">Darkest Dungeon II-Kingdoms (Original Video Game Soundtrack)</t>
        </is>
      </c>
      <c r="D1582">
        <v>2025</v>
      </c>
      <c r="E1582" t="inlineStr">
        <is>
          <t xml:space="preserve">Darkest Dungeon 2</t>
        </is>
      </c>
      <c r="F1582" t="inlineStr">
        <is>
          <t xml:space="preserve">Darkest Dungeon II/2-02. Beneath The Kingdom (Catacombs Combat).mp3</t>
        </is>
      </c>
    </row>
    <row r="1583" spans="1:7">
      <c r="A1583" t="inlineStr">
        <is>
          <t xml:space="preserve">A Brief Respite</t>
        </is>
      </c>
      <c r="B1583" t="inlineStr">
        <is>
          <t xml:space="preserve">Stuart Chatwood</t>
        </is>
      </c>
      <c r="C1583" t="inlineStr">
        <is>
          <t xml:space="preserve">Darkest Dungeon II-Kingdoms (Original Video Game Soundtrack)</t>
        </is>
      </c>
      <c r="D1583">
        <v>2025</v>
      </c>
      <c r="E1583" t="inlineStr">
        <is>
          <t xml:space="preserve">Darkest Dungeon 2</t>
        </is>
      </c>
      <c r="F1583" t="inlineStr">
        <is>
          <t xml:space="preserve">Darkest Dungeon II/2-03. A Brief Respite.mp3</t>
        </is>
      </c>
    </row>
    <row r="1584" spans="1:7">
      <c r="A1584" t="inlineStr">
        <is>
          <t xml:space="preserve">Secrets of the Coven (Coven Combat)</t>
        </is>
      </c>
      <c r="B1584" t="inlineStr">
        <is>
          <t xml:space="preserve">Stuart Chatwood</t>
        </is>
      </c>
      <c r="C1584" t="inlineStr">
        <is>
          <t xml:space="preserve">Darkest Dungeon II-Kingdoms (Original Video Game Soundtrack)</t>
        </is>
      </c>
      <c r="D1584">
        <v>2025</v>
      </c>
      <c r="E1584" t="inlineStr">
        <is>
          <t xml:space="preserve">Darkest Dungeon 2</t>
        </is>
      </c>
      <c r="F1584" t="inlineStr">
        <is>
          <t xml:space="preserve">Darkest Dungeon II/2-04. Secrets of the Coven (Coven Combat).mp3</t>
        </is>
      </c>
    </row>
    <row r="1585" spans="1:7">
      <c r="A1585" t="inlineStr">
        <is>
          <t xml:space="preserve">Darkest Dungeon</t>
        </is>
      </c>
      <c r="B1585" t="inlineStr">
        <is>
          <t xml:space="preserve">Stuart Chatwood</t>
        </is>
      </c>
      <c r="C1585" t="inlineStr">
        <is>
          <t xml:space="preserve">Darkest Dungeon: Collector's Edition Original Soundtrack</t>
        </is>
      </c>
      <c r="D1585">
        <v>2019</v>
      </c>
      <c r="E1585" t="inlineStr">
        <is>
          <t xml:space="preserve">Darkest Dungeon</t>
        </is>
      </c>
      <c r="F1585" t="inlineStr">
        <is>
          <t xml:space="preserve">Darkest Dungeon/01 Darkest Dungeon (Theme).mp3</t>
        </is>
      </c>
    </row>
    <row r="1586" spans="1:7">
      <c r="A1586" t="inlineStr">
        <is>
          <t xml:space="preserve">The Hamlet</t>
        </is>
      </c>
      <c r="B1586" t="inlineStr">
        <is>
          <t xml:space="preserve">Stuart Chatwood</t>
        </is>
      </c>
      <c r="C1586" t="inlineStr">
        <is>
          <t xml:space="preserve">Darkest Dungeon: Collector's Edition Original Soundtrack</t>
        </is>
      </c>
      <c r="D1586">
        <v>2019</v>
      </c>
      <c r="E1586" t="inlineStr">
        <is>
          <t xml:space="preserve">Darkest Dungeon</t>
        </is>
      </c>
      <c r="F1586" t="inlineStr">
        <is>
          <t xml:space="preserve">Darkest Dungeon/02 The Hamlet.mp3</t>
        </is>
      </c>
    </row>
    <row r="1587" spans="1:7">
      <c r="A1587" t="inlineStr">
        <is>
          <t xml:space="preserve">Explore The Ruins</t>
        </is>
      </c>
      <c r="B1587" t="inlineStr">
        <is>
          <t xml:space="preserve">Stuart Chatwood</t>
        </is>
      </c>
      <c r="C1587" t="inlineStr">
        <is>
          <t xml:space="preserve">Darkest Dungeon: Collector's Edition Original Soundtrack</t>
        </is>
      </c>
      <c r="D1587">
        <v>2019</v>
      </c>
      <c r="E1587" t="inlineStr">
        <is>
          <t xml:space="preserve">Darkest Dungeon</t>
        </is>
      </c>
      <c r="F1587" t="inlineStr">
        <is>
          <t xml:space="preserve">Darkest Dungeon/03 Explore the Ruins.mp3</t>
        </is>
      </c>
    </row>
    <row r="1588" spans="1:7">
      <c r="A1588" t="inlineStr">
        <is>
          <t xml:space="preserve">Combat In The Ruins</t>
        </is>
      </c>
      <c r="B1588" t="inlineStr">
        <is>
          <t xml:space="preserve">Stuart Chatwood</t>
        </is>
      </c>
      <c r="C1588" t="inlineStr">
        <is>
          <t xml:space="preserve">Darkest Dungeon: Collector's Edition Original Soundtrack</t>
        </is>
      </c>
      <c r="D1588">
        <v>2019</v>
      </c>
      <c r="E1588" t="inlineStr">
        <is>
          <t xml:space="preserve">Darkest Dungeon</t>
        </is>
      </c>
      <c r="F1588" t="inlineStr">
        <is>
          <t xml:space="preserve">Darkest Dungeon/04 Combat in the Ruins.mp3</t>
        </is>
      </c>
    </row>
    <row r="1589" spans="1:7">
      <c r="A1589" t="inlineStr">
        <is>
          <t xml:space="preserve">A Brief Respite (Darkest Dungeon)</t>
        </is>
      </c>
      <c r="B1589" t="inlineStr">
        <is>
          <t xml:space="preserve">Stuart Chatwood</t>
        </is>
      </c>
      <c r="C1589" t="inlineStr">
        <is>
          <t xml:space="preserve">Darkest Dungeon: Collector's Edition Original Soundtrack</t>
        </is>
      </c>
      <c r="D1589">
        <v>2019</v>
      </c>
      <c r="E1589" t="inlineStr">
        <is>
          <t xml:space="preserve">Darkest Dungeon</t>
        </is>
      </c>
      <c r="F1589" t="inlineStr">
        <is>
          <t xml:space="preserve">Darkest Dungeon/05. A Brief Respite (Camp Theme).mp3</t>
        </is>
      </c>
    </row>
    <row r="1590" spans="1:7">
      <c r="A1590" t="inlineStr">
        <is>
          <t xml:space="preserve">Battle In The Warrens</t>
        </is>
      </c>
      <c r="B1590" t="inlineStr">
        <is>
          <t xml:space="preserve">Stuart Chatwood</t>
        </is>
      </c>
      <c r="C1590" t="inlineStr">
        <is>
          <t xml:space="preserve">Darkest Dungeon: Collector's Edition Original Soundtrack</t>
        </is>
      </c>
      <c r="D1590">
        <v>2019</v>
      </c>
      <c r="E1590" t="inlineStr">
        <is>
          <t xml:space="preserve">Darkest Dungeon</t>
        </is>
      </c>
      <c r="F1590" t="inlineStr">
        <is>
          <t xml:space="preserve">Darkest Dungeon/06 Battle in the Warrens.mp3</t>
        </is>
      </c>
    </row>
    <row r="1591" spans="1:7">
      <c r="A1591" t="inlineStr">
        <is>
          <t xml:space="preserve">Return To The Warrens</t>
        </is>
      </c>
      <c r="B1591" t="inlineStr">
        <is>
          <t xml:space="preserve">Stuart Chatwood</t>
        </is>
      </c>
      <c r="C1591" t="inlineStr">
        <is>
          <t xml:space="preserve">Darkest Dungeon: Collector's Edition Original Soundtrack</t>
        </is>
      </c>
      <c r="D1591">
        <v>2019</v>
      </c>
      <c r="E1591" t="inlineStr">
        <is>
          <t xml:space="preserve">Darkest Dungeon</t>
        </is>
      </c>
      <c r="F1591" t="inlineStr">
        <is>
          <t xml:space="preserve">Darkest Dungeon/07 Return to the Warrens.mp3</t>
        </is>
      </c>
    </row>
    <row r="1592" spans="1:7">
      <c r="A1592" t="inlineStr">
        <is>
          <t xml:space="preserve">Mournweald Encounter</t>
        </is>
      </c>
      <c r="B1592" t="inlineStr">
        <is>
          <t xml:space="preserve">Stuart Chatwood</t>
        </is>
      </c>
      <c r="C1592" t="inlineStr">
        <is>
          <t xml:space="preserve">Darkest Dungeon: Collector's Edition Original Soundtrack</t>
        </is>
      </c>
      <c r="D1592">
        <v>2019</v>
      </c>
      <c r="E1592" t="inlineStr">
        <is>
          <t xml:space="preserve">Darkest Dungeon</t>
        </is>
      </c>
      <c r="F1592" t="inlineStr">
        <is>
          <t xml:space="preserve">Darkest Dungeon/08 Mournweald Encounter.mp3</t>
        </is>
      </c>
    </row>
    <row r="1593" spans="1:7">
      <c r="A1593" t="inlineStr">
        <is>
          <t xml:space="preserve">Terror And Madness</t>
        </is>
      </c>
      <c r="B1593" t="inlineStr">
        <is>
          <t xml:space="preserve">Stuart Chatwood</t>
        </is>
      </c>
      <c r="C1593" t="inlineStr">
        <is>
          <t xml:space="preserve">Darkest Dungeon: Collector's Edition Original Soundtrack</t>
        </is>
      </c>
      <c r="D1593">
        <v>2019</v>
      </c>
      <c r="E1593" t="inlineStr">
        <is>
          <t xml:space="preserve">Darkest Dungeon</t>
        </is>
      </c>
      <c r="F1593" t="inlineStr">
        <is>
          <t xml:space="preserve">Darkest Dungeon/09. Terror and Madness (Trailer).mp3</t>
        </is>
      </c>
    </row>
    <row r="1594" spans="1:7">
      <c r="A1594" t="inlineStr">
        <is>
          <t xml:space="preserve">House Of Ruin</t>
        </is>
      </c>
      <c r="B1594" t="inlineStr">
        <is>
          <t xml:space="preserve">Stuart Chatwood</t>
        </is>
      </c>
      <c r="C1594" t="inlineStr">
        <is>
          <t xml:space="preserve">Darkest Dungeon: Collector's Edition Original Soundtrack</t>
        </is>
      </c>
      <c r="D1594">
        <v>2019</v>
      </c>
      <c r="E1594" t="inlineStr">
        <is>
          <t xml:space="preserve">Darkest Dungeon</t>
        </is>
      </c>
      <c r="F1594" t="inlineStr">
        <is>
          <t xml:space="preserve">Darkest Dungeon/10. House of Ruin (Trailer).mp3</t>
        </is>
      </c>
    </row>
    <row r="1595" spans="1:7">
      <c r="A1595" t="inlineStr">
        <is>
          <t xml:space="preserve">The Cove Battle</t>
        </is>
      </c>
      <c r="B1595" t="inlineStr">
        <is>
          <t xml:space="preserve">Stuart Chatwood</t>
        </is>
      </c>
      <c r="C1595" t="inlineStr">
        <is>
          <t xml:space="preserve">Darkest Dungeon: Collector's Edition Original Soundtrack</t>
        </is>
      </c>
      <c r="D1595">
        <v>2019</v>
      </c>
      <c r="E1595" t="inlineStr">
        <is>
          <t xml:space="preserve">Darkest Dungeon</t>
        </is>
      </c>
      <c r="F1595" t="inlineStr">
        <is>
          <t xml:space="preserve">Darkest Dungeon/11 The Cove Battle.mp3</t>
        </is>
      </c>
    </row>
    <row r="1596" spans="1:7">
      <c r="A1596" t="inlineStr">
        <is>
          <t xml:space="preserve">The Final Combat</t>
        </is>
      </c>
      <c r="B1596" t="inlineStr">
        <is>
          <t xml:space="preserve">Stuart Chatwood</t>
        </is>
      </c>
      <c r="C1596" t="inlineStr">
        <is>
          <t xml:space="preserve">Darkest Dungeon: Collector's Edition Original Soundtrack</t>
        </is>
      </c>
      <c r="D1596">
        <v>2019</v>
      </c>
      <c r="E1596" t="inlineStr">
        <is>
          <t xml:space="preserve">Darkest Dungeon</t>
        </is>
      </c>
      <c r="F1596" t="inlineStr">
        <is>
          <t xml:space="preserve">Darkest Dungeon/12 The Final Combat.mp3</t>
        </is>
      </c>
    </row>
    <row r="1597" spans="1:7">
      <c r="A1597" t="inlineStr">
        <is>
          <t xml:space="preserve">The End</t>
        </is>
      </c>
      <c r="B1597" t="inlineStr">
        <is>
          <t xml:space="preserve">Stuart Chatwood</t>
        </is>
      </c>
      <c r="C1597" t="inlineStr">
        <is>
          <t xml:space="preserve">Darkest Dungeon: Collector's Edition Original Soundtrack</t>
        </is>
      </c>
      <c r="D1597">
        <v>2019</v>
      </c>
      <c r="E1597" t="inlineStr">
        <is>
          <t xml:space="preserve">Darkest Dungeon</t>
        </is>
      </c>
      <c r="F1597" t="inlineStr">
        <is>
          <t xml:space="preserve">Darkest Dungeon/13 The End.mp3</t>
        </is>
      </c>
    </row>
    <row r="1598" spans="1:7">
      <c r="A1598" t="inlineStr">
        <is>
          <t xml:space="preserve">Town In Chaos</t>
        </is>
      </c>
      <c r="B1598" t="inlineStr">
        <is>
          <t xml:space="preserve">Stuart Chatwood</t>
        </is>
      </c>
      <c r="C1598" t="inlineStr">
        <is>
          <t xml:space="preserve">Darkest Dungeon: Collector's Edition Original Soundtrack</t>
        </is>
      </c>
      <c r="D1598">
        <v>2019</v>
      </c>
      <c r="E1598" t="inlineStr">
        <is>
          <t xml:space="preserve">Darkest Dungeon</t>
        </is>
      </c>
      <c r="F1598" t="inlineStr">
        <is>
          <t xml:space="preserve">Darkest Dungeon/14 Town in Chaos.mp3</t>
        </is>
      </c>
    </row>
    <row r="1599" spans="1:7">
      <c r="A1599" t="inlineStr">
        <is>
          <t xml:space="preserve">The Cove Battle Siren (feat. Jennifer Chao)</t>
        </is>
      </c>
      <c r="B1599" t="inlineStr">
        <is>
          <t xml:space="preserve">Stuart Chatwood</t>
        </is>
      </c>
      <c r="C1599" t="inlineStr">
        <is>
          <t xml:space="preserve">Darkest Dungeon: Collector's Edition Original Soundtrack</t>
        </is>
      </c>
      <c r="D1599">
        <v>2019</v>
      </c>
      <c r="E1599" t="inlineStr">
        <is>
          <t xml:space="preserve">Darkest Dungeon</t>
        </is>
      </c>
      <c r="F1599" t="inlineStr">
        <is>
          <t xml:space="preserve">Darkest Dungeon/15 The Cove Battle Siren (feat. Jennifer Chao).mp3</t>
        </is>
      </c>
    </row>
    <row r="1600" spans="1:7">
      <c r="A1600" t="inlineStr">
        <is>
          <t xml:space="preserve">Bloodletting Of The Crimson Court</t>
        </is>
      </c>
      <c r="B1600" t="inlineStr">
        <is>
          <t xml:space="preserve">Stuart Chatwood</t>
        </is>
      </c>
      <c r="C1600" t="inlineStr">
        <is>
          <t xml:space="preserve">Darkest Dungeon: Collector's Edition Original Soundtrack</t>
        </is>
      </c>
      <c r="D1600">
        <v>2019</v>
      </c>
      <c r="E1600" t="inlineStr">
        <is>
          <t xml:space="preserve">Darkest Dungeon</t>
        </is>
      </c>
      <c r="F1600" t="inlineStr">
        <is>
          <t xml:space="preserve">Darkest Dungeon/16 Bloodletting of the Crimson Court.mp3</t>
        </is>
      </c>
    </row>
    <row r="1601" spans="1:7">
      <c r="A1601" t="inlineStr">
        <is>
          <t xml:space="preserve">A Mocking Thirst</t>
        </is>
      </c>
      <c r="B1601" t="inlineStr">
        <is>
          <t xml:space="preserve">Stuart Chatwood</t>
        </is>
      </c>
      <c r="C1601" t="inlineStr">
        <is>
          <t xml:space="preserve">Darkest Dungeon: Collector's Edition Original Soundtrack</t>
        </is>
      </c>
      <c r="D1601">
        <v>2019</v>
      </c>
      <c r="E1601" t="inlineStr">
        <is>
          <t xml:space="preserve">Darkest Dungeon</t>
        </is>
      </c>
      <c r="F1601" t="inlineStr">
        <is>
          <t xml:space="preserve">Darkest Dungeon/17 A Mocking Thirst.mp3</t>
        </is>
      </c>
    </row>
    <row r="1602" spans="1:7">
      <c r="A1602" t="inlineStr">
        <is>
          <t xml:space="preserve">Forbidden Tannin</t>
        </is>
      </c>
      <c r="B1602" t="inlineStr">
        <is>
          <t xml:space="preserve">Stuart Chatwood</t>
        </is>
      </c>
      <c r="C1602" t="inlineStr">
        <is>
          <t xml:space="preserve">Darkest Dungeon: Collector's Edition Original Soundtrack</t>
        </is>
      </c>
      <c r="D1602">
        <v>2019</v>
      </c>
      <c r="E1602" t="inlineStr">
        <is>
          <t xml:space="preserve">Darkest Dungeon</t>
        </is>
      </c>
      <c r="F1602" t="inlineStr">
        <is>
          <t xml:space="preserve">Darkest Dungeon/18 Forbidden Tannin.mp3</t>
        </is>
      </c>
    </row>
    <row r="1603" spans="1:7">
      <c r="A1603" t="inlineStr">
        <is>
          <t xml:space="preserve">The Blasted Heath</t>
        </is>
      </c>
      <c r="B1603" t="inlineStr">
        <is>
          <t xml:space="preserve">Stuart Chatwood</t>
        </is>
      </c>
      <c r="C1603" t="inlineStr">
        <is>
          <t xml:space="preserve">Darkest Dungeon: Collector's Edition Original Soundtrack</t>
        </is>
      </c>
      <c r="D1603">
        <v>2019</v>
      </c>
      <c r="E1603" t="inlineStr">
        <is>
          <t xml:space="preserve">Darkest Dungeon</t>
        </is>
      </c>
      <c r="F1603" t="inlineStr">
        <is>
          <t xml:space="preserve">Darkest Dungeon/19 The Blasted Heath.mp3</t>
        </is>
      </c>
    </row>
    <row r="1604" spans="1:7">
      <c r="A1604" t="inlineStr">
        <is>
          <t xml:space="preserve">Dark Mitochondria</t>
        </is>
      </c>
      <c r="B1604" t="inlineStr">
        <is>
          <t xml:space="preserve">Stuart Chatwood</t>
        </is>
      </c>
      <c r="C1604" t="inlineStr">
        <is>
          <t xml:space="preserve">Darkest Dungeon: Collector's Edition Original Soundtrack</t>
        </is>
      </c>
      <c r="D1604">
        <v>2019</v>
      </c>
      <c r="E1604" t="inlineStr">
        <is>
          <t xml:space="preserve">Darkest Dungeon</t>
        </is>
      </c>
      <c r="F1604" t="inlineStr">
        <is>
          <t xml:space="preserve">Darkest Dungeon/20 Dark Mitochondria.mp3</t>
        </is>
      </c>
    </row>
    <row r="1605" spans="1:7">
      <c r="A1605" t="inlineStr">
        <is>
          <t xml:space="preserve">The Senescence</t>
        </is>
      </c>
      <c r="B1605" t="inlineStr">
        <is>
          <t xml:space="preserve">Stuart Chatwood</t>
        </is>
      </c>
      <c r="C1605" t="inlineStr">
        <is>
          <t xml:space="preserve">Darkest Dungeon: Collector's Edition Original Soundtrack</t>
        </is>
      </c>
      <c r="D1605">
        <v>2019</v>
      </c>
      <c r="E1605" t="inlineStr">
        <is>
          <t xml:space="preserve">Darkest Dungeon</t>
        </is>
      </c>
      <c r="F1605" t="inlineStr">
        <is>
          <t xml:space="preserve">Darkest Dungeon/21 The Senescence.mp3</t>
        </is>
      </c>
    </row>
    <row r="1606" spans="1:7">
      <c r="A1606" t="inlineStr">
        <is>
          <t xml:space="preserve">The Chloroplast of Cosmarium</t>
        </is>
      </c>
      <c r="B1606" t="inlineStr">
        <is>
          <t xml:space="preserve">Stuart Chatwood</t>
        </is>
      </c>
      <c r="C1606" t="inlineStr">
        <is>
          <t xml:space="preserve">Darkest Dungeon: Collector's Edition Original Soundtrack</t>
        </is>
      </c>
      <c r="D1606">
        <v>2019</v>
      </c>
      <c r="E1606" t="inlineStr">
        <is>
          <t xml:space="preserve">Darkest Dungeon</t>
        </is>
      </c>
      <c r="F1606" t="inlineStr">
        <is>
          <t xml:space="preserve">Darkest Dungeon/22 The Chloroplast of Cosmarium.mp3</t>
        </is>
      </c>
    </row>
    <row r="1607" spans="1:7">
      <c r="A1607" t="inlineStr">
        <is>
          <t xml:space="preserve">All Things Must Come</t>
        </is>
      </c>
      <c r="B1607" t="inlineStr">
        <is>
          <t xml:space="preserve">Stuart Chatwood</t>
        </is>
      </c>
      <c r="C1607" t="inlineStr">
        <is>
          <t xml:space="preserve">Darkest Dungeon: Collector's Edition Original Soundtrack</t>
        </is>
      </c>
      <c r="D1607">
        <v>2019</v>
      </c>
      <c r="E1607" t="inlineStr">
        <is>
          <t xml:space="preserve">Darkest Dungeon</t>
        </is>
      </c>
      <c r="F1607" t="inlineStr">
        <is>
          <t xml:space="preserve">Darkest Dungeon/23 All Things Must Come.mp3</t>
        </is>
      </c>
    </row>
    <row r="1608" spans="1:7">
      <c r="A1608" t="inlineStr">
        <is>
          <t xml:space="preserve">Dead Estate</t>
        </is>
      </c>
      <c r="B1608" t="inlineStr">
        <is>
          <t xml:space="preserve">MajorWipeout</t>
        </is>
      </c>
      <c r="C1608" t="inlineStr">
        <is>
          <t xml:space="preserve">Dead Estate OST</t>
        </is>
      </c>
      <c r="D1608">
        <v>2021</v>
      </c>
      <c r="E1608" t="inlineStr">
        <is>
          <t xml:space="preserve">Dead Estate</t>
        </is>
      </c>
      <c r="F1608" t="inlineStr">
        <is>
          <t xml:space="preserve">Dead Estate/1-01. Dead Estate.mp3</t>
        </is>
      </c>
    </row>
    <row r="1609" spans="1:7">
      <c r="A1609" t="inlineStr">
        <is>
          <t xml:space="preserve">Here We Go (Again)</t>
        </is>
      </c>
      <c r="B1609" t="inlineStr">
        <is>
          <t xml:space="preserve">MajorWipeout</t>
        </is>
      </c>
      <c r="C1609" t="inlineStr">
        <is>
          <t xml:space="preserve">Dead Estate OST</t>
        </is>
      </c>
      <c r="D1609">
        <v>2021</v>
      </c>
      <c r="E1609" t="inlineStr">
        <is>
          <t xml:space="preserve">Dead Estate</t>
        </is>
      </c>
      <c r="F1609" t="inlineStr">
        <is>
          <t xml:space="preserve">Dead Estate/1-02. Here We Go (Again).mp3</t>
        </is>
      </c>
    </row>
    <row r="1610" spans="1:7">
      <c r="A1610" t="inlineStr">
        <is>
          <t xml:space="preserve">Sex Sells</t>
        </is>
      </c>
      <c r="B1610" t="inlineStr">
        <is>
          <t xml:space="preserve">MajorWipeout</t>
        </is>
      </c>
      <c r="C1610" t="inlineStr">
        <is>
          <t xml:space="preserve">Dead Estate OST</t>
        </is>
      </c>
      <c r="D1610">
        <v>2021</v>
      </c>
      <c r="E1610" t="inlineStr">
        <is>
          <t xml:space="preserve">Dead Estate</t>
        </is>
      </c>
      <c r="F1610" t="inlineStr">
        <is>
          <t xml:space="preserve">Dead Estate/1-03. Sex Sells.mp3</t>
        </is>
      </c>
    </row>
    <row r="1611" spans="1:7">
      <c r="A1611" t="inlineStr">
        <is>
          <t xml:space="preserve">Combative Dissonance</t>
        </is>
      </c>
      <c r="B1611" t="inlineStr">
        <is>
          <t xml:space="preserve">MajorWipeout</t>
        </is>
      </c>
      <c r="C1611" t="inlineStr">
        <is>
          <t xml:space="preserve">Dead Estate OST</t>
        </is>
      </c>
      <c r="D1611">
        <v>2021</v>
      </c>
      <c r="E1611" t="inlineStr">
        <is>
          <t xml:space="preserve">Dead Estate</t>
        </is>
      </c>
      <c r="F1611" t="inlineStr">
        <is>
          <t xml:space="preserve">Dead Estate/1-04. Combative Dissonance.mp3</t>
        </is>
      </c>
    </row>
    <row r="1612" spans="1:7">
      <c r="A1612" t="inlineStr">
        <is>
          <t xml:space="preserve">RUN!</t>
        </is>
      </c>
      <c r="B1612" t="inlineStr">
        <is>
          <t xml:space="preserve">MajorWipeout</t>
        </is>
      </c>
      <c r="C1612" t="inlineStr">
        <is>
          <t xml:space="preserve">Dead Estate OST</t>
        </is>
      </c>
      <c r="D1612">
        <v>2021</v>
      </c>
      <c r="E1612" t="inlineStr">
        <is>
          <t xml:space="preserve">Dead Estate</t>
        </is>
      </c>
      <c r="F1612" t="inlineStr">
        <is>
          <t xml:space="preserve">Dead Estate/1-05. RUN!.mp3</t>
        </is>
      </c>
    </row>
    <row r="1613" spans="1:7">
      <c r="A1613" t="inlineStr">
        <is>
          <t xml:space="preserve">Rising Tension</t>
        </is>
      </c>
      <c r="B1613" t="inlineStr">
        <is>
          <t xml:space="preserve">MajorWipeout</t>
        </is>
      </c>
      <c r="C1613" t="inlineStr">
        <is>
          <t xml:space="preserve">Dead Estate OST</t>
        </is>
      </c>
      <c r="D1613">
        <v>2021</v>
      </c>
      <c r="E1613" t="inlineStr">
        <is>
          <t xml:space="preserve">Dead Estate</t>
        </is>
      </c>
      <c r="F1613" t="inlineStr">
        <is>
          <t xml:space="preserve">Dead Estate/1-06. Rising Tension.mp3</t>
        </is>
      </c>
    </row>
    <row r="1614" spans="1:7">
      <c r="A1614" t="inlineStr">
        <is>
          <t xml:space="preserve">Deadline</t>
        </is>
      </c>
      <c r="B1614" t="inlineStr">
        <is>
          <t xml:space="preserve">MajorWipeout</t>
        </is>
      </c>
      <c r="C1614" t="inlineStr">
        <is>
          <t xml:space="preserve">Dead Estate OST</t>
        </is>
      </c>
      <c r="D1614">
        <v>2021</v>
      </c>
      <c r="E1614" t="inlineStr">
        <is>
          <t xml:space="preserve">Dead Estate</t>
        </is>
      </c>
      <c r="F1614" t="inlineStr">
        <is>
          <t xml:space="preserve">Dead Estate/1-07. Deadline.mp3</t>
        </is>
      </c>
    </row>
    <row r="1615" spans="1:7">
      <c r="A1615" t="inlineStr">
        <is>
          <t xml:space="preserve">Getting Experimental</t>
        </is>
      </c>
      <c r="B1615" t="inlineStr">
        <is>
          <t xml:space="preserve">MajorWipeout</t>
        </is>
      </c>
      <c r="C1615" t="inlineStr">
        <is>
          <t xml:space="preserve">Dead Estate OST</t>
        </is>
      </c>
      <c r="D1615">
        <v>2021</v>
      </c>
      <c r="E1615" t="inlineStr">
        <is>
          <t xml:space="preserve">Dead Estate</t>
        </is>
      </c>
      <c r="F1615" t="inlineStr">
        <is>
          <t xml:space="preserve">Dead Estate/1-08. Getting Experimental.mp3</t>
        </is>
      </c>
    </row>
    <row r="1616" spans="1:7">
      <c r="A1616" t="inlineStr">
        <is>
          <t xml:space="preserve">Bigger and Better</t>
        </is>
      </c>
      <c r="B1616" t="inlineStr">
        <is>
          <t xml:space="preserve">MajorWipeout</t>
        </is>
      </c>
      <c r="C1616" t="inlineStr">
        <is>
          <t xml:space="preserve">Dead Estate OST</t>
        </is>
      </c>
      <c r="D1616">
        <v>2021</v>
      </c>
      <c r="E1616" t="inlineStr">
        <is>
          <t xml:space="preserve">Dead Estate</t>
        </is>
      </c>
      <c r="F1616" t="inlineStr">
        <is>
          <t xml:space="preserve">Dead Estate/1-09. Bigger and Better.mp3</t>
        </is>
      </c>
    </row>
    <row r="1617" spans="1:7">
      <c r="A1617" t="inlineStr">
        <is>
          <t xml:space="preserve">Steady Yourself</t>
        </is>
      </c>
      <c r="B1617" t="inlineStr">
        <is>
          <t xml:space="preserve">MajorWipeout</t>
        </is>
      </c>
      <c r="C1617" t="inlineStr">
        <is>
          <t xml:space="preserve">Dead Estate OST</t>
        </is>
      </c>
      <c r="D1617">
        <v>2021</v>
      </c>
      <c r="E1617" t="inlineStr">
        <is>
          <t xml:space="preserve">Dead Estate</t>
        </is>
      </c>
      <c r="F1617" t="inlineStr">
        <is>
          <t xml:space="preserve">Dead Estate/1-10. Steady Yourself.mp3</t>
        </is>
      </c>
    </row>
    <row r="1618" spans="1:7">
      <c r="A1618" t="inlineStr">
        <is>
          <t xml:space="preserve">And Then There's Chunks</t>
        </is>
      </c>
      <c r="B1618" t="inlineStr">
        <is>
          <t xml:space="preserve">MajorWipeout</t>
        </is>
      </c>
      <c r="C1618" t="inlineStr">
        <is>
          <t xml:space="preserve">Dead Estate OST</t>
        </is>
      </c>
      <c r="D1618">
        <v>2021</v>
      </c>
      <c r="E1618" t="inlineStr">
        <is>
          <t xml:space="preserve">Dead Estate</t>
        </is>
      </c>
      <c r="F1618" t="inlineStr">
        <is>
          <t xml:space="preserve">Dead Estate/1-11. And Then There's Chunks.mp3</t>
        </is>
      </c>
    </row>
    <row r="1619" spans="1:7">
      <c r="A1619" t="inlineStr">
        <is>
          <t xml:space="preserve">The End?</t>
        </is>
      </c>
      <c r="B1619" t="inlineStr">
        <is>
          <t xml:space="preserve">MajorWipeout</t>
        </is>
      </c>
      <c r="C1619" t="inlineStr">
        <is>
          <t xml:space="preserve">Dead Estate OST</t>
        </is>
      </c>
      <c r="D1619">
        <v>2021</v>
      </c>
      <c r="E1619" t="inlineStr">
        <is>
          <t xml:space="preserve">Dead Estate</t>
        </is>
      </c>
      <c r="F1619" t="inlineStr">
        <is>
          <t xml:space="preserve">Dead Estate/1-12. The End-.mp3</t>
        </is>
      </c>
    </row>
    <row r="1620" spans="1:7">
      <c r="A1620" t="inlineStr">
        <is>
          <t xml:space="preserve">Victory Lap</t>
        </is>
      </c>
      <c r="B1620" t="inlineStr">
        <is>
          <t xml:space="preserve">MajorWipeout</t>
        </is>
      </c>
      <c r="C1620" t="inlineStr">
        <is>
          <t xml:space="preserve">Dead Estate OST</t>
        </is>
      </c>
      <c r="D1620">
        <v>2021</v>
      </c>
      <c r="E1620" t="inlineStr">
        <is>
          <t xml:space="preserve">Dead Estate</t>
        </is>
      </c>
      <c r="F1620" t="inlineStr">
        <is>
          <t xml:space="preserve">Dead Estate/1-13. Victory Lap.mp3</t>
        </is>
      </c>
    </row>
    <row r="1621" spans="1:7">
      <c r="A1621" t="inlineStr">
        <is>
          <t xml:space="preserve">Memory Stroll</t>
        </is>
      </c>
      <c r="B1621" t="inlineStr">
        <is>
          <t xml:space="preserve">MajorWipeout</t>
        </is>
      </c>
      <c r="C1621" t="inlineStr">
        <is>
          <t xml:space="preserve">Dead Estate OST</t>
        </is>
      </c>
      <c r="D1621">
        <v>2021</v>
      </c>
      <c r="E1621" t="inlineStr">
        <is>
          <t xml:space="preserve">Dead Estate</t>
        </is>
      </c>
      <c r="F1621" t="inlineStr">
        <is>
          <t xml:space="preserve">Dead Estate/1-14. Memory Stroll.mp3</t>
        </is>
      </c>
    </row>
    <row r="1622" spans="1:7">
      <c r="A1622" t="inlineStr">
        <is>
          <t xml:space="preserve">Badge Scouting</t>
        </is>
      </c>
      <c r="B1622" t="inlineStr">
        <is>
          <t xml:space="preserve">MajorWipeout</t>
        </is>
      </c>
      <c r="C1622" t="inlineStr">
        <is>
          <t xml:space="preserve">Dead Estate OST</t>
        </is>
      </c>
      <c r="D1622">
        <v>2021</v>
      </c>
      <c r="E1622" t="inlineStr">
        <is>
          <t xml:space="preserve">Dead Estate</t>
        </is>
      </c>
      <c r="F1622" t="inlineStr">
        <is>
          <t xml:space="preserve">Dead Estate/1-15. Badge Scouting.mp3</t>
        </is>
      </c>
    </row>
    <row r="1623" spans="1:7">
      <c r="A1623" t="inlineStr">
        <is>
          <t xml:space="preserve">Sudden Vacancy</t>
        </is>
      </c>
      <c r="B1623" t="inlineStr">
        <is>
          <t xml:space="preserve">MajorWipeout</t>
        </is>
      </c>
      <c r="C1623" t="inlineStr">
        <is>
          <t xml:space="preserve">Dead Estate OST</t>
        </is>
      </c>
      <c r="D1623">
        <v>2021</v>
      </c>
      <c r="E1623" t="inlineStr">
        <is>
          <t xml:space="preserve">Dead Estate</t>
        </is>
      </c>
      <c r="F1623" t="inlineStr">
        <is>
          <t xml:space="preserve">Dead Estate/1-16. Sudden Vacancy.mp3</t>
        </is>
      </c>
    </row>
    <row r="1624" spans="1:7">
      <c r="A1624" t="inlineStr">
        <is>
          <t xml:space="preserve">Missing Persons</t>
        </is>
      </c>
      <c r="B1624" t="inlineStr">
        <is>
          <t xml:space="preserve">MajorWipeout</t>
        </is>
      </c>
      <c r="C1624" t="inlineStr">
        <is>
          <t xml:space="preserve">Dead Estate OST</t>
        </is>
      </c>
      <c r="D1624">
        <v>2021</v>
      </c>
      <c r="E1624" t="inlineStr">
        <is>
          <t xml:space="preserve">Dead Estate</t>
        </is>
      </c>
      <c r="F1624" t="inlineStr">
        <is>
          <t xml:space="preserve">Dead Estate/1-17. Missing Persons.mp3</t>
        </is>
      </c>
    </row>
    <row r="1625" spans="1:7">
      <c r="A1625" t="inlineStr">
        <is>
          <t xml:space="preserve">Renovation</t>
        </is>
      </c>
      <c r="B1625" t="inlineStr">
        <is>
          <t xml:space="preserve">MajorWipeout</t>
        </is>
      </c>
      <c r="C1625" t="inlineStr">
        <is>
          <t xml:space="preserve">Dead Estate OST</t>
        </is>
      </c>
      <c r="D1625">
        <v>2021</v>
      </c>
      <c r="E1625" t="inlineStr">
        <is>
          <t xml:space="preserve">Dead Estate</t>
        </is>
      </c>
      <c r="F1625" t="inlineStr">
        <is>
          <t xml:space="preserve">Dead Estate/1-18. Renovation.mp3</t>
        </is>
      </c>
    </row>
    <row r="1626" spans="1:7">
      <c r="A1626" t="inlineStr">
        <is>
          <t xml:space="preserve">Experimentation</t>
        </is>
      </c>
      <c r="B1626" t="inlineStr">
        <is>
          <t xml:space="preserve">MajorWipeout</t>
        </is>
      </c>
      <c r="C1626" t="inlineStr">
        <is>
          <t xml:space="preserve">Dead Estate OST</t>
        </is>
      </c>
      <c r="D1626">
        <v>2021</v>
      </c>
      <c r="E1626" t="inlineStr">
        <is>
          <t xml:space="preserve">Dead Estate</t>
        </is>
      </c>
      <c r="F1626" t="inlineStr">
        <is>
          <t xml:space="preserve">Dead Estate/1-19. Experimentation.mp3</t>
        </is>
      </c>
    </row>
    <row r="1627" spans="1:7">
      <c r="A1627" t="inlineStr">
        <is>
          <t xml:space="preserve">FREEDOM</t>
        </is>
      </c>
      <c r="B1627" t="inlineStr">
        <is>
          <t xml:space="preserve">MajorWipeout</t>
        </is>
      </c>
      <c r="C1627" t="inlineStr">
        <is>
          <t xml:space="preserve">Dead Estate OST</t>
        </is>
      </c>
      <c r="D1627">
        <v>2021</v>
      </c>
      <c r="E1627" t="inlineStr">
        <is>
          <t xml:space="preserve">Dead Estate</t>
        </is>
      </c>
      <c r="F1627" t="inlineStr">
        <is>
          <t xml:space="preserve">Dead Estate/1-20. FREEDOM.mp3</t>
        </is>
      </c>
    </row>
    <row r="1628" spans="1:7">
      <c r="A1628" t="inlineStr">
        <is>
          <t xml:space="preserve">That's Showbiz, Baby</t>
        </is>
      </c>
      <c r="B1628" t="inlineStr">
        <is>
          <t xml:space="preserve">MajorWipeout</t>
        </is>
      </c>
      <c r="C1628" t="inlineStr">
        <is>
          <t xml:space="preserve">Dead Estate OST</t>
        </is>
      </c>
      <c r="D1628">
        <v>2021</v>
      </c>
      <c r="E1628" t="inlineStr">
        <is>
          <t xml:space="preserve">Dead Estate</t>
        </is>
      </c>
      <c r="F1628" t="inlineStr">
        <is>
          <t xml:space="preserve">Dead Estate/1-21. That's Showbiz, Baby.mp3</t>
        </is>
      </c>
    </row>
    <row r="1629" spans="1:7">
      <c r="A1629" t="inlineStr">
        <is>
          <t xml:space="preserve">The Man Cave</t>
        </is>
      </c>
      <c r="B1629" t="inlineStr">
        <is>
          <t xml:space="preserve">MajorWipeout</t>
        </is>
      </c>
      <c r="C1629" t="inlineStr">
        <is>
          <t xml:space="preserve">Dead Estate OST</t>
        </is>
      </c>
      <c r="D1629">
        <v>2021</v>
      </c>
      <c r="E1629" t="inlineStr">
        <is>
          <t xml:space="preserve">Dead Estate</t>
        </is>
      </c>
      <c r="F1629" t="inlineStr">
        <is>
          <t xml:space="preserve">Dead Estate/1-22. The Man Cave.mp3</t>
        </is>
      </c>
    </row>
    <row r="1630" spans="1:7">
      <c r="A1630" t="inlineStr">
        <is>
          <t xml:space="preserve">A Warning From Beyond</t>
        </is>
      </c>
      <c r="B1630" t="inlineStr">
        <is>
          <t xml:space="preserve">MajorWipeout</t>
        </is>
      </c>
      <c r="C1630" t="inlineStr">
        <is>
          <t xml:space="preserve">Dead Estate OST</t>
        </is>
      </c>
      <c r="D1630">
        <v>2021</v>
      </c>
      <c r="E1630" t="inlineStr">
        <is>
          <t xml:space="preserve">Dead Estate</t>
        </is>
      </c>
      <c r="F1630" t="inlineStr">
        <is>
          <t xml:space="preserve">Dead Estate/1-23. A Warning From Beyond.mp3</t>
        </is>
      </c>
    </row>
    <row r="1631" spans="1:7">
      <c r="A1631" t="inlineStr">
        <is>
          <t xml:space="preserve">Secrets Revealed</t>
        </is>
      </c>
      <c r="B1631" t="inlineStr">
        <is>
          <t xml:space="preserve">MajorWipeout</t>
        </is>
      </c>
      <c r="C1631" t="inlineStr">
        <is>
          <t xml:space="preserve">Dead Estate OST</t>
        </is>
      </c>
      <c r="D1631">
        <v>2021</v>
      </c>
      <c r="E1631" t="inlineStr">
        <is>
          <t xml:space="preserve">Dead Estate</t>
        </is>
      </c>
      <c r="F1631" t="inlineStr">
        <is>
          <t xml:space="preserve">Dead Estate/1-24. Secrets Revealed.mp3</t>
        </is>
      </c>
    </row>
    <row r="1632" spans="1:7">
      <c r="A1632" t="inlineStr">
        <is>
          <t xml:space="preserve">D34D-357473</t>
        </is>
      </c>
      <c r="B1632" t="inlineStr">
        <is>
          <t xml:space="preserve">MajorWipeout</t>
        </is>
      </c>
      <c r="C1632" t="inlineStr">
        <is>
          <t xml:space="preserve">Dead Estate OST</t>
        </is>
      </c>
      <c r="D1632">
        <v>2021</v>
      </c>
      <c r="E1632" t="inlineStr">
        <is>
          <t xml:space="preserve">Dead Estate</t>
        </is>
      </c>
      <c r="F1632" t="inlineStr">
        <is>
          <t xml:space="preserve">Dead Estate/1-25. D34D-357473.mp3</t>
        </is>
      </c>
    </row>
    <row r="1633" spans="1:7">
      <c r="A1633" t="inlineStr">
        <is>
          <t xml:space="preserve">Sneaking Out</t>
        </is>
      </c>
      <c r="B1633" t="inlineStr">
        <is>
          <t xml:space="preserve">MajorWipeout</t>
        </is>
      </c>
      <c r="C1633" t="inlineStr">
        <is>
          <t xml:space="preserve">Dead Estate OST</t>
        </is>
      </c>
      <c r="D1633">
        <v>2021</v>
      </c>
      <c r="E1633" t="inlineStr">
        <is>
          <t xml:space="preserve">Dead Estate</t>
        </is>
      </c>
      <c r="F1633" t="inlineStr">
        <is>
          <t xml:space="preserve">Dead Estate/1-26. Sneaking Out.mp3</t>
        </is>
      </c>
    </row>
    <row r="1634" spans="1:7">
      <c r="A1634" t="inlineStr">
        <is>
          <t xml:space="preserve">Pharaoh's Tomb</t>
        </is>
      </c>
      <c r="B1634" t="inlineStr">
        <is>
          <t xml:space="preserve">MajorWipeout</t>
        </is>
      </c>
      <c r="C1634" t="inlineStr">
        <is>
          <t xml:space="preserve">Dead Estate OST</t>
        </is>
      </c>
      <c r="D1634">
        <v>2021</v>
      </c>
      <c r="E1634" t="inlineStr">
        <is>
          <t xml:space="preserve">Dead Estate</t>
        </is>
      </c>
      <c r="F1634" t="inlineStr">
        <is>
          <t xml:space="preserve">Dead Estate/1-27. Pharaoh's Tomb.mp3</t>
        </is>
      </c>
    </row>
    <row r="1635" spans="1:7">
      <c r="A1635" t="inlineStr">
        <is>
          <t xml:space="preserve">Lights, Camera,</t>
        </is>
      </c>
      <c r="B1635" t="inlineStr">
        <is>
          <t xml:space="preserve">MajorWipeout</t>
        </is>
      </c>
      <c r="C1635" t="inlineStr">
        <is>
          <t xml:space="preserve">Dead Estate OST</t>
        </is>
      </c>
      <c r="D1635">
        <v>2021</v>
      </c>
      <c r="E1635" t="inlineStr">
        <is>
          <t xml:space="preserve">Dead Estate</t>
        </is>
      </c>
      <c r="F1635" t="inlineStr">
        <is>
          <t xml:space="preserve">Dead Estate/1-28. Lights, Camera,.mp3</t>
        </is>
      </c>
    </row>
    <row r="1636" spans="1:7">
      <c r="A1636" t="inlineStr">
        <is>
          <t xml:space="preserve">ACTION</t>
        </is>
      </c>
      <c r="B1636" t="inlineStr">
        <is>
          <t xml:space="preserve">MajorWipeout</t>
        </is>
      </c>
      <c r="C1636" t="inlineStr">
        <is>
          <t xml:space="preserve">Dead Estate OST</t>
        </is>
      </c>
      <c r="D1636">
        <v>2021</v>
      </c>
      <c r="E1636" t="inlineStr">
        <is>
          <t xml:space="preserve">Dead Estate</t>
        </is>
      </c>
      <c r="F1636" t="inlineStr">
        <is>
          <t xml:space="preserve">Dead Estate/1-29. ACTION.mp3</t>
        </is>
      </c>
    </row>
    <row r="1637" spans="1:7">
      <c r="A1637" t="inlineStr">
        <is>
          <t xml:space="preserve">Sunken Dreams</t>
        </is>
      </c>
      <c r="B1637" t="inlineStr">
        <is>
          <t xml:space="preserve">MajorWipeout</t>
        </is>
      </c>
      <c r="C1637" t="inlineStr">
        <is>
          <t xml:space="preserve">Dead Estate OST</t>
        </is>
      </c>
      <c r="D1637">
        <v>2021</v>
      </c>
      <c r="E1637" t="inlineStr">
        <is>
          <t xml:space="preserve">Dead Estate</t>
        </is>
      </c>
      <c r="F1637" t="inlineStr">
        <is>
          <t xml:space="preserve">Dead Estate/1-30. Sunken Dreams.mp3</t>
        </is>
      </c>
    </row>
    <row r="1638" spans="1:7">
      <c r="A1638" t="inlineStr">
        <is>
          <t xml:space="preserve">One-Way 3X1T</t>
        </is>
      </c>
      <c r="B1638" t="inlineStr">
        <is>
          <t xml:space="preserve">MajorWipeout</t>
        </is>
      </c>
      <c r="C1638" t="inlineStr">
        <is>
          <t xml:space="preserve">Dead Estate OST</t>
        </is>
      </c>
      <c r="D1638">
        <v>2021</v>
      </c>
      <c r="E1638" t="inlineStr">
        <is>
          <t xml:space="preserve">Dead Estate</t>
        </is>
      </c>
      <c r="F1638" t="inlineStr">
        <is>
          <t xml:space="preserve">Dead Estate/1-31. One-Way 3X1T.mp3</t>
        </is>
      </c>
    </row>
    <row r="1639" spans="1:7">
      <c r="A1639" t="inlineStr">
        <is>
          <t xml:space="preserve">Diavola's Cage</t>
        </is>
      </c>
      <c r="B1639" t="inlineStr">
        <is>
          <t xml:space="preserve">MajorWipeout</t>
        </is>
      </c>
      <c r="C1639" t="inlineStr">
        <is>
          <t xml:space="preserve">Dead Estate OST</t>
        </is>
      </c>
      <c r="D1639">
        <v>2021</v>
      </c>
      <c r="E1639" t="inlineStr">
        <is>
          <t xml:space="preserve">Dead Estate</t>
        </is>
      </c>
      <c r="F1639" t="inlineStr">
        <is>
          <t xml:space="preserve">Dead Estate/1-32. Diavola's Cage.mp3</t>
        </is>
      </c>
    </row>
    <row r="1640" spans="1:7">
      <c r="A1640" t="inlineStr">
        <is>
          <t xml:space="preserve">Diavola's Rage</t>
        </is>
      </c>
      <c r="B1640" t="inlineStr">
        <is>
          <t xml:space="preserve">MajorWipeout</t>
        </is>
      </c>
      <c r="C1640" t="inlineStr">
        <is>
          <t xml:space="preserve">Dead Estate OST</t>
        </is>
      </c>
      <c r="D1640">
        <v>2021</v>
      </c>
      <c r="E1640" t="inlineStr">
        <is>
          <t xml:space="preserve">Dead Estate</t>
        </is>
      </c>
      <c r="F1640" t="inlineStr">
        <is>
          <t xml:space="preserve">Dead Estate/1-33. Diavola's Rage.mp3</t>
        </is>
      </c>
    </row>
    <row r="1641" spans="1:7">
      <c r="A1641" t="inlineStr">
        <is>
          <t xml:space="preserve">A Grand Escape</t>
        </is>
      </c>
      <c r="B1641" t="inlineStr">
        <is>
          <t xml:space="preserve">MajorWipeout</t>
        </is>
      </c>
      <c r="C1641" t="inlineStr">
        <is>
          <t xml:space="preserve">Dead Estate OST</t>
        </is>
      </c>
      <c r="D1641">
        <v>2021</v>
      </c>
      <c r="E1641" t="inlineStr">
        <is>
          <t xml:space="preserve">Dead Estate</t>
        </is>
      </c>
      <c r="F1641" t="inlineStr">
        <is>
          <t xml:space="preserve">Dead Estate/1-34. A Grand Escape.mp3</t>
        </is>
      </c>
    </row>
    <row r="1642" spans="1:7">
      <c r="A1642" t="inlineStr">
        <is>
          <t xml:space="preserve">Safe and Sound</t>
        </is>
      </c>
      <c r="B1642" t="inlineStr">
        <is>
          <t xml:space="preserve">MajorWipeout</t>
        </is>
      </c>
      <c r="C1642" t="inlineStr">
        <is>
          <t xml:space="preserve">Dead Estate OST</t>
        </is>
      </c>
      <c r="D1642">
        <v>2021</v>
      </c>
      <c r="E1642" t="inlineStr">
        <is>
          <t xml:space="preserve">Dead Estate</t>
        </is>
      </c>
      <c r="F1642" t="inlineStr">
        <is>
          <t xml:space="preserve">Dead Estate/1-35. Safe and Sound.mp3</t>
        </is>
      </c>
    </row>
    <row r="1643" spans="1:7">
      <c r="A1643" t="inlineStr">
        <is>
          <t xml:space="preserve">Diavola Conquered</t>
        </is>
      </c>
      <c r="B1643" t="inlineStr">
        <is>
          <t xml:space="preserve">MajorWipeout</t>
        </is>
      </c>
      <c r="C1643" t="inlineStr">
        <is>
          <t xml:space="preserve">Dead Estate OST</t>
        </is>
      </c>
      <c r="D1643">
        <v>2021</v>
      </c>
      <c r="E1643" t="inlineStr">
        <is>
          <t xml:space="preserve">Dead Estate</t>
        </is>
      </c>
      <c r="F1643" t="inlineStr">
        <is>
          <t xml:space="preserve">Dead Estate/1-36. Diavola Conquered.mp3</t>
        </is>
      </c>
    </row>
    <row r="1644" spans="1:7">
      <c r="A1644" t="inlineStr">
        <is>
          <t xml:space="preserve">Vault of Valuables</t>
        </is>
      </c>
      <c r="B1644" t="inlineStr">
        <is>
          <t xml:space="preserve">MajorWipeout</t>
        </is>
      </c>
      <c r="C1644" t="inlineStr">
        <is>
          <t xml:space="preserve">Dead Estate OST</t>
        </is>
      </c>
      <c r="D1644">
        <v>2021</v>
      </c>
      <c r="E1644" t="inlineStr">
        <is>
          <t xml:space="preserve">Dead Estate</t>
        </is>
      </c>
      <c r="F1644" t="inlineStr">
        <is>
          <t xml:space="preserve">Dead Estate/1-37. Vault of Valuables.mp3</t>
        </is>
      </c>
    </row>
    <row r="1645" spans="1:7">
      <c r="A1645" t="inlineStr">
        <is>
          <t xml:space="preserve">I nerfed my HP for this...?</t>
        </is>
      </c>
      <c r="B1645" t="inlineStr">
        <is>
          <t xml:space="preserve">MajorWipeout</t>
        </is>
      </c>
      <c r="C1645" t="inlineStr">
        <is>
          <t xml:space="preserve">Dead Estate OST</t>
        </is>
      </c>
      <c r="D1645">
        <v>2021</v>
      </c>
      <c r="E1645" t="inlineStr">
        <is>
          <t xml:space="preserve">Dead Estate</t>
        </is>
      </c>
      <c r="F1645" t="inlineStr">
        <is>
          <t xml:space="preserve">Dead Estate/1-38. I nerfed my HP for this...-.mp3</t>
        </is>
      </c>
    </row>
    <row r="1646" spans="1:7">
      <c r="A1646" t="inlineStr">
        <is>
          <t xml:space="preserve">Made With Love</t>
        </is>
      </c>
      <c r="B1646" t="inlineStr">
        <is>
          <t xml:space="preserve">MajorWipeout</t>
        </is>
      </c>
      <c r="C1646" t="inlineStr">
        <is>
          <t xml:space="preserve">Dead Estate OST</t>
        </is>
      </c>
      <c r="D1646">
        <v>2021</v>
      </c>
      <c r="E1646" t="inlineStr">
        <is>
          <t xml:space="preserve">Dead Estate</t>
        </is>
      </c>
      <c r="F1646" t="inlineStr">
        <is>
          <t xml:space="preserve">Dead Estate/1-39. Made With Love.mp3</t>
        </is>
      </c>
    </row>
    <row r="1647" spans="1:7">
      <c r="A1647" t="inlineStr">
        <is>
          <t xml:space="preserve">Feeling the Pressure</t>
        </is>
      </c>
      <c r="B1647" t="inlineStr">
        <is>
          <t xml:space="preserve">MajorWipeout</t>
        </is>
      </c>
      <c r="C1647" t="inlineStr">
        <is>
          <t xml:space="preserve">Dead Estate OST</t>
        </is>
      </c>
      <c r="D1647">
        <v>2021</v>
      </c>
      <c r="E1647" t="inlineStr">
        <is>
          <t xml:space="preserve">Dead Estate</t>
        </is>
      </c>
      <c r="F1647" t="inlineStr">
        <is>
          <t xml:space="preserve">Dead Estate/1-40. Feeling the Pressure.mp3</t>
        </is>
      </c>
    </row>
    <row r="1648" spans="1:7">
      <c r="A1648" t="inlineStr">
        <is>
          <t xml:space="preserve">Perfectly Normal Item Shop</t>
        </is>
      </c>
      <c r="B1648" t="inlineStr">
        <is>
          <t xml:space="preserve">MajorWipeout</t>
        </is>
      </c>
      <c r="C1648" t="inlineStr">
        <is>
          <t xml:space="preserve">Dead Estate OST</t>
        </is>
      </c>
      <c r="D1648">
        <v>2021</v>
      </c>
      <c r="E1648" t="inlineStr">
        <is>
          <t xml:space="preserve">Dead Estate</t>
        </is>
      </c>
      <c r="F1648" t="inlineStr">
        <is>
          <t xml:space="preserve">Dead Estate/1-41. Perfectly Normal Item Shop.mp3</t>
        </is>
      </c>
    </row>
    <row r="1649" spans="1:7">
      <c r="A1649" t="inlineStr">
        <is>
          <t xml:space="preserve">Boon From Above</t>
        </is>
      </c>
      <c r="B1649" t="inlineStr">
        <is>
          <t xml:space="preserve">MajorWipeout</t>
        </is>
      </c>
      <c r="C1649" t="inlineStr">
        <is>
          <t xml:space="preserve">Dead Estate OST</t>
        </is>
      </c>
      <c r="D1649">
        <v>2021</v>
      </c>
      <c r="E1649" t="inlineStr">
        <is>
          <t xml:space="preserve">Dead Estate</t>
        </is>
      </c>
      <c r="F1649" t="inlineStr">
        <is>
          <t xml:space="preserve">Dead Estate/1-42. Boon From Above.mp3</t>
        </is>
      </c>
    </row>
    <row r="1650" spans="1:7">
      <c r="A1650" t="inlineStr">
        <is>
          <t xml:space="preserve">Goon From Below</t>
        </is>
      </c>
      <c r="B1650" t="inlineStr">
        <is>
          <t xml:space="preserve">MajorWipeout</t>
        </is>
      </c>
      <c r="C1650" t="inlineStr">
        <is>
          <t xml:space="preserve">Dead Estate OST</t>
        </is>
      </c>
      <c r="D1650">
        <v>2021</v>
      </c>
      <c r="E1650" t="inlineStr">
        <is>
          <t xml:space="preserve">Dead Estate</t>
        </is>
      </c>
      <c r="F1650" t="inlineStr">
        <is>
          <t xml:space="preserve">Dead Estate/1-43. Goon From Below.mp3</t>
        </is>
      </c>
    </row>
    <row r="1651" spans="1:7">
      <c r="A1651" t="inlineStr">
        <is>
          <t xml:space="preserve">Hell and Back</t>
        </is>
      </c>
      <c r="B1651" t="inlineStr">
        <is>
          <t xml:space="preserve">MajorWipeout</t>
        </is>
      </c>
      <c r="C1651" t="inlineStr">
        <is>
          <t xml:space="preserve">Dead Estate OST</t>
        </is>
      </c>
      <c r="D1651">
        <v>2021</v>
      </c>
      <c r="E1651" t="inlineStr">
        <is>
          <t xml:space="preserve">Dead Estate</t>
        </is>
      </c>
      <c r="F1651" t="inlineStr">
        <is>
          <t xml:space="preserve">Dead Estate/1-44. Hell and Back.mp3</t>
        </is>
      </c>
    </row>
    <row r="1652" spans="1:7">
      <c r="A1652" t="inlineStr">
        <is>
          <t xml:space="preserve">Aggroculture</t>
        </is>
      </c>
      <c r="B1652" t="inlineStr">
        <is>
          <t xml:space="preserve">MajorWipeout</t>
        </is>
      </c>
      <c r="C1652" t="inlineStr">
        <is>
          <t xml:space="preserve">Dead Estate OST</t>
        </is>
      </c>
      <c r="D1652">
        <v>2021</v>
      </c>
      <c r="E1652" t="inlineStr">
        <is>
          <t xml:space="preserve">Dead Estate</t>
        </is>
      </c>
      <c r="F1652" t="inlineStr">
        <is>
          <t xml:space="preserve">Dead Estate/1-45. Aggroculture.mp3</t>
        </is>
      </c>
    </row>
    <row r="1653" spans="1:7">
      <c r="A1653" t="inlineStr">
        <is>
          <t xml:space="preserve">Formless Mirage</t>
        </is>
      </c>
      <c r="B1653" t="inlineStr">
        <is>
          <t xml:space="preserve">MajorWipeout</t>
        </is>
      </c>
      <c r="C1653" t="inlineStr">
        <is>
          <t xml:space="preserve">Dead Estate OST</t>
        </is>
      </c>
      <c r="D1653">
        <v>2021</v>
      </c>
      <c r="E1653" t="inlineStr">
        <is>
          <t xml:space="preserve">Dead Estate</t>
        </is>
      </c>
      <c r="F1653" t="inlineStr">
        <is>
          <t xml:space="preserve">Dead Estate/1-46. Formless Mirage.mp3</t>
        </is>
      </c>
    </row>
    <row r="1654" spans="1:7">
      <c r="A1654" t="inlineStr">
        <is>
          <t xml:space="preserve">Blood and Rust</t>
        </is>
      </c>
      <c r="B1654" t="inlineStr">
        <is>
          <t xml:space="preserve">MajorWipeout</t>
        </is>
      </c>
      <c r="C1654" t="inlineStr">
        <is>
          <t xml:space="preserve">Dead Estate OST</t>
        </is>
      </c>
      <c r="D1654">
        <v>2021</v>
      </c>
      <c r="E1654" t="inlineStr">
        <is>
          <t xml:space="preserve">Dead Estate</t>
        </is>
      </c>
      <c r="F1654" t="inlineStr">
        <is>
          <t xml:space="preserve">Dead Estate/1-47. Blood and Rust.mp3</t>
        </is>
      </c>
    </row>
    <row r="1655" spans="1:7">
      <c r="A1655" t="inlineStr">
        <is>
          <t xml:space="preserve">Leviathan's Dream</t>
        </is>
      </c>
      <c r="B1655" t="inlineStr">
        <is>
          <t xml:space="preserve">MajorWipeout</t>
        </is>
      </c>
      <c r="C1655" t="inlineStr">
        <is>
          <t xml:space="preserve">Dead Estate OST</t>
        </is>
      </c>
      <c r="D1655">
        <v>2021</v>
      </c>
      <c r="E1655" t="inlineStr">
        <is>
          <t xml:space="preserve">Dead Estate</t>
        </is>
      </c>
      <c r="F1655" t="inlineStr">
        <is>
          <t xml:space="preserve">Dead Estate/1-48. Leviathan's Dream.mp3</t>
        </is>
      </c>
    </row>
    <row r="1656" spans="1:7">
      <c r="A1656" t="inlineStr">
        <is>
          <t xml:space="preserve">Leviathan's Wake</t>
        </is>
      </c>
      <c r="B1656" t="inlineStr">
        <is>
          <t xml:space="preserve">MajorWipeout</t>
        </is>
      </c>
      <c r="C1656" t="inlineStr">
        <is>
          <t xml:space="preserve">Dead Estate OST</t>
        </is>
      </c>
      <c r="D1656">
        <v>2021</v>
      </c>
      <c r="E1656" t="inlineStr">
        <is>
          <t xml:space="preserve">Dead Estate</t>
        </is>
      </c>
      <c r="F1656" t="inlineStr">
        <is>
          <t xml:space="preserve">Dead Estate/1-49. Leviathan's Wake.mp3</t>
        </is>
      </c>
    </row>
    <row r="1657" spans="1:7">
      <c r="A1657" t="inlineStr">
        <is>
          <t xml:space="preserve">Sacred Grounds</t>
        </is>
      </c>
      <c r="B1657" t="inlineStr">
        <is>
          <t xml:space="preserve">MajorWipeout</t>
        </is>
      </c>
      <c r="C1657" t="inlineStr">
        <is>
          <t xml:space="preserve">Dead Estate OST</t>
        </is>
      </c>
      <c r="D1657">
        <v>2021</v>
      </c>
      <c r="E1657" t="inlineStr">
        <is>
          <t xml:space="preserve">Dead Estate</t>
        </is>
      </c>
      <c r="F1657" t="inlineStr">
        <is>
          <t xml:space="preserve">Dead Estate/1-50. Sacred Grounds.mp3</t>
        </is>
      </c>
    </row>
    <row r="1658" spans="1:7">
      <c r="A1658" t="inlineStr">
        <is>
          <t xml:space="preserve">Darkness Will Fall</t>
        </is>
      </c>
      <c r="B1658" t="inlineStr">
        <is>
          <t xml:space="preserve">MajorWipeout</t>
        </is>
      </c>
      <c r="C1658" t="inlineStr">
        <is>
          <t xml:space="preserve">Dead Estate OST</t>
        </is>
      </c>
      <c r="D1658">
        <v>2021</v>
      </c>
      <c r="E1658" t="inlineStr">
        <is>
          <t xml:space="preserve">Dead Estate</t>
        </is>
      </c>
      <c r="F1658" t="inlineStr">
        <is>
          <t xml:space="preserve">Dead Estate/1-51. Darkness Will Fall.mp3</t>
        </is>
      </c>
    </row>
    <row r="1659" spans="1:7">
      <c r="A1659" t="inlineStr">
        <is>
          <t xml:space="preserve">Everything's Changing</t>
        </is>
      </c>
      <c r="B1659" t="inlineStr">
        <is>
          <t xml:space="preserve">MajorWipeout</t>
        </is>
      </c>
      <c r="C1659" t="inlineStr">
        <is>
          <t xml:space="preserve">Dead Estate OST</t>
        </is>
      </c>
      <c r="D1659">
        <v>2021</v>
      </c>
      <c r="E1659" t="inlineStr">
        <is>
          <t xml:space="preserve">Dead Estate</t>
        </is>
      </c>
      <c r="F1659" t="inlineStr">
        <is>
          <t xml:space="preserve">Dead Estate/1-52. Everything's Changing.mp3</t>
        </is>
      </c>
    </row>
    <row r="1660" spans="1:7">
      <c r="A1660" t="inlineStr">
        <is>
          <t xml:space="preserve">Always On Call</t>
        </is>
      </c>
      <c r="B1660" t="inlineStr">
        <is>
          <t xml:space="preserve">MajorWipeout</t>
        </is>
      </c>
      <c r="C1660" t="inlineStr">
        <is>
          <t xml:space="preserve">Dead Estate OST</t>
        </is>
      </c>
      <c r="D1660">
        <v>2021</v>
      </c>
      <c r="E1660" t="inlineStr">
        <is>
          <t xml:space="preserve">Dead Estate</t>
        </is>
      </c>
      <c r="F1660" t="inlineStr">
        <is>
          <t xml:space="preserve">Dead Estate/1-53. Always On Call.mp3</t>
        </is>
      </c>
    </row>
    <row r="1661" spans="1:7">
      <c r="A1661" t="inlineStr">
        <is>
          <t xml:space="preserve">Don't Go Estranging</t>
        </is>
      </c>
      <c r="B1661" t="inlineStr">
        <is>
          <t xml:space="preserve">MajorWipeout</t>
        </is>
      </c>
      <c r="C1661" t="inlineStr">
        <is>
          <t xml:space="preserve">Dead Estate OST</t>
        </is>
      </c>
      <c r="D1661">
        <v>2021</v>
      </c>
      <c r="E1661" t="inlineStr">
        <is>
          <t xml:space="preserve">Dead Estate</t>
        </is>
      </c>
      <c r="F1661" t="inlineStr">
        <is>
          <t xml:space="preserve">Dead Estate/1-54. Don't Go Estranging.mp3</t>
        </is>
      </c>
    </row>
    <row r="1662" spans="1:7">
      <c r="A1662" t="inlineStr">
        <is>
          <t xml:space="preserve">Ethereal Danger</t>
        </is>
      </c>
      <c r="B1662" t="inlineStr">
        <is>
          <t xml:space="preserve">MajorWipeout</t>
        </is>
      </c>
      <c r="C1662" t="inlineStr">
        <is>
          <t xml:space="preserve">Dead Estate OST</t>
        </is>
      </c>
      <c r="D1662">
        <v>2021</v>
      </c>
      <c r="E1662" t="inlineStr">
        <is>
          <t xml:space="preserve">Dead Estate</t>
        </is>
      </c>
      <c r="F1662" t="inlineStr">
        <is>
          <t xml:space="preserve">Dead Estate/1-55. Ethereal Danger.mp3</t>
        </is>
      </c>
    </row>
    <row r="1663" spans="1:7">
      <c r="A1663" t="inlineStr">
        <is>
          <t xml:space="preserve">Scion Ascending</t>
        </is>
      </c>
      <c r="B1663" t="inlineStr">
        <is>
          <t xml:space="preserve">MajorWipeout</t>
        </is>
      </c>
      <c r="C1663" t="inlineStr">
        <is>
          <t xml:space="preserve">Dead Estate OST</t>
        </is>
      </c>
      <c r="D1663">
        <v>2021</v>
      </c>
      <c r="E1663" t="inlineStr">
        <is>
          <t xml:space="preserve">Dead Estate</t>
        </is>
      </c>
      <c r="F1663" t="inlineStr">
        <is>
          <t xml:space="preserve">Dead Estate/1-56. Scion Ascending.mp3</t>
        </is>
      </c>
    </row>
    <row r="1664" spans="1:7">
      <c r="A1664" t="inlineStr">
        <is>
          <t xml:space="preserve">Try Not To Panic</t>
        </is>
      </c>
      <c r="B1664" t="inlineStr">
        <is>
          <t xml:space="preserve">MajorWipeout</t>
        </is>
      </c>
      <c r="C1664" t="inlineStr">
        <is>
          <t xml:space="preserve">Dead Estate OST</t>
        </is>
      </c>
      <c r="D1664">
        <v>2021</v>
      </c>
      <c r="E1664" t="inlineStr">
        <is>
          <t xml:space="preserve">Dead Estate</t>
        </is>
      </c>
      <c r="F1664" t="inlineStr">
        <is>
          <t xml:space="preserve">Dead Estate/1-57. Try Not To Panic.mp3</t>
        </is>
      </c>
    </row>
    <row r="1665" spans="1:7">
      <c r="A1665" t="inlineStr">
        <is>
          <t xml:space="preserve">Apocalypse Pending</t>
        </is>
      </c>
      <c r="B1665" t="inlineStr">
        <is>
          <t xml:space="preserve">MajorWipeout</t>
        </is>
      </c>
      <c r="C1665" t="inlineStr">
        <is>
          <t xml:space="preserve">Dead Estate OST</t>
        </is>
      </c>
      <c r="D1665">
        <v>2021</v>
      </c>
      <c r="E1665" t="inlineStr">
        <is>
          <t xml:space="preserve">Dead Estate</t>
        </is>
      </c>
      <c r="F1665" t="inlineStr">
        <is>
          <t xml:space="preserve">Dead Estate/1-58. Apocalypse Pending.mp3</t>
        </is>
      </c>
    </row>
    <row r="1666" spans="1:7">
      <c r="A1666" t="inlineStr">
        <is>
          <t xml:space="preserve">Tremors In The Night</t>
        </is>
      </c>
      <c r="B1666" t="inlineStr">
        <is>
          <t xml:space="preserve">MajorWipeout</t>
        </is>
      </c>
      <c r="C1666" t="inlineStr">
        <is>
          <t xml:space="preserve">Dead Estate OST</t>
        </is>
      </c>
      <c r="D1666">
        <v>2021</v>
      </c>
      <c r="E1666" t="inlineStr">
        <is>
          <t xml:space="preserve">Dead Estate</t>
        </is>
      </c>
      <c r="F1666" t="inlineStr">
        <is>
          <t xml:space="preserve">Dead Estate/1-59. Tremors In The Night.mp3</t>
        </is>
      </c>
    </row>
    <row r="1667" spans="1:7">
      <c r="A1667" t="inlineStr">
        <is>
          <t xml:space="preserve">Embers on the Ground</t>
        </is>
      </c>
      <c r="B1667" t="inlineStr">
        <is>
          <t xml:space="preserve">MajorWipeout</t>
        </is>
      </c>
      <c r="C1667" t="inlineStr">
        <is>
          <t xml:space="preserve">Dead Estate OST</t>
        </is>
      </c>
      <c r="D1667">
        <v>2021</v>
      </c>
      <c r="E1667" t="inlineStr">
        <is>
          <t xml:space="preserve">Dead Estate</t>
        </is>
      </c>
      <c r="F1667" t="inlineStr">
        <is>
          <t xml:space="preserve">Dead Estate/1-60. Embers on the Ground.mp3</t>
        </is>
      </c>
    </row>
    <row r="1668" spans="1:7">
      <c r="A1668" t="inlineStr">
        <is>
          <t xml:space="preserve">Two Moons In The Sky, No Stars To Be Found</t>
        </is>
      </c>
      <c r="B1668" t="inlineStr">
        <is>
          <t xml:space="preserve">MajorWipeout</t>
        </is>
      </c>
      <c r="C1668" t="inlineStr">
        <is>
          <t xml:space="preserve">Dead Estate OST</t>
        </is>
      </c>
      <c r="D1668">
        <v>2021</v>
      </c>
      <c r="E1668" t="inlineStr">
        <is>
          <t xml:space="preserve">Dead Estate</t>
        </is>
      </c>
      <c r="F1668" t="inlineStr">
        <is>
          <t xml:space="preserve">Dead Estate/1-61. Two Moons In The Sky, No Stars To Be Found.mp3</t>
        </is>
      </c>
    </row>
    <row r="1669" spans="1:7">
      <c r="A1669" t="inlineStr">
        <is>
          <t xml:space="preserve">Fireside Respite</t>
        </is>
      </c>
      <c r="B1669" t="inlineStr">
        <is>
          <t xml:space="preserve">MajorWipeout</t>
        </is>
      </c>
      <c r="C1669" t="inlineStr">
        <is>
          <t xml:space="preserve">Dead Estate OST</t>
        </is>
      </c>
      <c r="D1669">
        <v>2021</v>
      </c>
      <c r="E1669" t="inlineStr">
        <is>
          <t xml:space="preserve">Dead Estate</t>
        </is>
      </c>
      <c r="F1669" t="inlineStr">
        <is>
          <t xml:space="preserve">Dead Estate/1-62. Fireside Respite.mp3</t>
        </is>
      </c>
    </row>
    <row r="1670" spans="1:7">
      <c r="A1670" t="inlineStr">
        <is>
          <t xml:space="preserve">Good Night</t>
        </is>
      </c>
      <c r="B1670" t="inlineStr">
        <is>
          <t xml:space="preserve">MajorWipeout</t>
        </is>
      </c>
      <c r="C1670" t="inlineStr">
        <is>
          <t xml:space="preserve">Dead Estate OST</t>
        </is>
      </c>
      <c r="D1670">
        <v>2021</v>
      </c>
      <c r="E1670" t="inlineStr">
        <is>
          <t xml:space="preserve">Dead Estate</t>
        </is>
      </c>
      <c r="F1670" t="inlineStr">
        <is>
          <t xml:space="preserve">Dead Estate/1-63. Good Night.mp3</t>
        </is>
      </c>
    </row>
    <row r="1671" spans="1:7">
      <c r="A1671" t="inlineStr">
        <is>
          <t xml:space="preserve">Assignment Anya</t>
        </is>
      </c>
      <c r="B1671" t="inlineStr">
        <is>
          <t xml:space="preserve">MajorWipeout</t>
        </is>
      </c>
      <c r="C1671" t="inlineStr">
        <is>
          <t xml:space="preserve">Dead Estate - Assignment Anya OST</t>
        </is>
      </c>
      <c r="D1671">
        <v>2023</v>
      </c>
      <c r="E1671" t="inlineStr">
        <is>
          <t xml:space="preserve">Dead Estate</t>
        </is>
      </c>
      <c r="F1671" t="inlineStr">
        <is>
          <t xml:space="preserve">Dead Estate/2-01. Assignment Anya.mp3</t>
        </is>
      </c>
    </row>
    <row r="1672" spans="1:7">
      <c r="A1672" t="inlineStr">
        <is>
          <t xml:space="preserve">Fend 4 Yourself</t>
        </is>
      </c>
      <c r="B1672" t="inlineStr">
        <is>
          <t xml:space="preserve">MajorWipeout</t>
        </is>
      </c>
      <c r="C1672" t="inlineStr">
        <is>
          <t xml:space="preserve">Dead Estate - Assignment Anya OST</t>
        </is>
      </c>
      <c r="D1672">
        <v>2023</v>
      </c>
      <c r="E1672" t="inlineStr">
        <is>
          <t xml:space="preserve">Dead Estate</t>
        </is>
      </c>
      <c r="F1672" t="inlineStr">
        <is>
          <t xml:space="preserve">Dead Estate/2-02. Fend 4 Yourself.mp3</t>
        </is>
      </c>
    </row>
    <row r="1673" spans="1:7">
      <c r="A1673" t="inlineStr">
        <is>
          <t xml:space="preserve">Overrun</t>
        </is>
      </c>
      <c r="B1673" t="inlineStr">
        <is>
          <t xml:space="preserve">MajorWipeout</t>
        </is>
      </c>
      <c r="C1673" t="inlineStr">
        <is>
          <t xml:space="preserve">Dead Estate - Assignment Anya OST</t>
        </is>
      </c>
      <c r="D1673">
        <v>2023</v>
      </c>
      <c r="E1673" t="inlineStr">
        <is>
          <t xml:space="preserve">Dead Estate</t>
        </is>
      </c>
      <c r="F1673" t="inlineStr">
        <is>
          <t xml:space="preserve">Dead Estate/2-03. Overrun.mp3</t>
        </is>
      </c>
    </row>
    <row r="1674" spans="1:7">
      <c r="A1674" t="inlineStr">
        <is>
          <t xml:space="preserve">Here You Are Again</t>
        </is>
      </c>
      <c r="B1674" t="inlineStr">
        <is>
          <t xml:space="preserve">MajorWipeout</t>
        </is>
      </c>
      <c r="C1674" t="inlineStr">
        <is>
          <t xml:space="preserve">Dead Estate - Assignment Anya OST</t>
        </is>
      </c>
      <c r="D1674">
        <v>2023</v>
      </c>
      <c r="E1674" t="inlineStr">
        <is>
          <t xml:space="preserve">Dead Estate</t>
        </is>
      </c>
      <c r="F1674" t="inlineStr">
        <is>
          <t xml:space="preserve">Dead Estate/2-04. Here You Are Again.mp3</t>
        </is>
      </c>
    </row>
    <row r="1675" spans="1:7">
      <c r="A1675" t="inlineStr">
        <is>
          <t xml:space="preserve">Outward</t>
        </is>
      </c>
      <c r="B1675" t="inlineStr">
        <is>
          <t xml:space="preserve">MajorWipeout</t>
        </is>
      </c>
      <c r="C1675" t="inlineStr">
        <is>
          <t xml:space="preserve">Dead Estate - Assignment Anya OST</t>
        </is>
      </c>
      <c r="D1675">
        <v>2023</v>
      </c>
      <c r="E1675" t="inlineStr">
        <is>
          <t xml:space="preserve">Dead Estate</t>
        </is>
      </c>
      <c r="F1675" t="inlineStr">
        <is>
          <t xml:space="preserve">Dead Estate/2-05. Outward.mp3</t>
        </is>
      </c>
    </row>
    <row r="1676" spans="1:7">
      <c r="A1676" t="inlineStr">
        <is>
          <t xml:space="preserve">Westward</t>
        </is>
      </c>
      <c r="B1676" t="inlineStr">
        <is>
          <t xml:space="preserve">MajorWipeout</t>
        </is>
      </c>
      <c r="C1676" t="inlineStr">
        <is>
          <t xml:space="preserve">Dead Estate - Assignment Anya OST</t>
        </is>
      </c>
      <c r="D1676">
        <v>2023</v>
      </c>
      <c r="E1676" t="inlineStr">
        <is>
          <t xml:space="preserve">Dead Estate</t>
        </is>
      </c>
      <c r="F1676" t="inlineStr">
        <is>
          <t xml:space="preserve">Dead Estate/2-06. Westward.mp3</t>
        </is>
      </c>
    </row>
    <row r="1677" spans="1:7">
      <c r="A1677" t="inlineStr">
        <is>
          <t xml:space="preserve">Inward</t>
        </is>
      </c>
      <c r="B1677" t="inlineStr">
        <is>
          <t xml:space="preserve">MajorWipeout</t>
        </is>
      </c>
      <c r="C1677" t="inlineStr">
        <is>
          <t xml:space="preserve">Dead Estate - Assignment Anya OST</t>
        </is>
      </c>
      <c r="D1677">
        <v>2023</v>
      </c>
      <c r="E1677" t="inlineStr">
        <is>
          <t xml:space="preserve">Dead Estate</t>
        </is>
      </c>
      <c r="F1677" t="inlineStr">
        <is>
          <t xml:space="preserve">Dead Estate/2-07. Inward.mp3</t>
        </is>
      </c>
    </row>
    <row r="1678" spans="1:7">
      <c r="A1678" t="inlineStr">
        <is>
          <t xml:space="preserve">Eastward</t>
        </is>
      </c>
      <c r="B1678" t="inlineStr">
        <is>
          <t xml:space="preserve">MajorWipeout</t>
        </is>
      </c>
      <c r="C1678" t="inlineStr">
        <is>
          <t xml:space="preserve">Dead Estate - Assignment Anya OST</t>
        </is>
      </c>
      <c r="D1678">
        <v>2023</v>
      </c>
      <c r="E1678" t="inlineStr">
        <is>
          <t xml:space="preserve">Dead Estate</t>
        </is>
      </c>
      <c r="F1678" t="inlineStr">
        <is>
          <t xml:space="preserve">Dead Estate/2-08. Eastward.mp3</t>
        </is>
      </c>
    </row>
    <row r="1679" spans="1:7">
      <c r="A1679" t="inlineStr">
        <is>
          <t xml:space="preserve">Busy Halls</t>
        </is>
      </c>
      <c r="B1679" t="inlineStr">
        <is>
          <t xml:space="preserve">MajorWipeout</t>
        </is>
      </c>
      <c r="C1679" t="inlineStr">
        <is>
          <t xml:space="preserve">Dead Estate - Assignment Anya OST</t>
        </is>
      </c>
      <c r="D1679">
        <v>2023</v>
      </c>
      <c r="E1679" t="inlineStr">
        <is>
          <t xml:space="preserve">Dead Estate</t>
        </is>
      </c>
      <c r="F1679" t="inlineStr">
        <is>
          <t xml:space="preserve">Dead Estate/2-09. Busy Halls.mp3</t>
        </is>
      </c>
    </row>
    <row r="1680" spans="1:7">
      <c r="A1680" t="inlineStr">
        <is>
          <t xml:space="preserve">Empty Graves</t>
        </is>
      </c>
      <c r="B1680" t="inlineStr">
        <is>
          <t xml:space="preserve">MajorWipeout</t>
        </is>
      </c>
      <c r="C1680" t="inlineStr">
        <is>
          <t xml:space="preserve">Dead Estate - Assignment Anya OST</t>
        </is>
      </c>
      <c r="D1680">
        <v>2023</v>
      </c>
      <c r="E1680" t="inlineStr">
        <is>
          <t xml:space="preserve">Dead Estate</t>
        </is>
      </c>
      <c r="F1680" t="inlineStr">
        <is>
          <t xml:space="preserve">Dead Estate/2-10. Empty Graves.mp3</t>
        </is>
      </c>
    </row>
    <row r="1681" spans="1:7">
      <c r="A1681" t="inlineStr">
        <is>
          <t xml:space="preserve">Morose Murmurs</t>
        </is>
      </c>
      <c r="B1681" t="inlineStr">
        <is>
          <t xml:space="preserve">MajorWipeout</t>
        </is>
      </c>
      <c r="C1681" t="inlineStr">
        <is>
          <t xml:space="preserve">Dead Estate - Assignment Anya OST</t>
        </is>
      </c>
      <c r="D1681">
        <v>2023</v>
      </c>
      <c r="E1681" t="inlineStr">
        <is>
          <t xml:space="preserve">Dead Estate</t>
        </is>
      </c>
      <c r="F1681" t="inlineStr">
        <is>
          <t xml:space="preserve">Dead Estate/2-11. Morose Murmurs.mp3</t>
        </is>
      </c>
    </row>
    <row r="1682" spans="1:7">
      <c r="A1682" t="inlineStr">
        <is>
          <t xml:space="preserve">Occult Pursuit</t>
        </is>
      </c>
      <c r="B1682" t="inlineStr">
        <is>
          <t xml:space="preserve">MajorWipeout</t>
        </is>
      </c>
      <c r="C1682" t="inlineStr">
        <is>
          <t xml:space="preserve">Dead Estate - Assignment Anya OST</t>
        </is>
      </c>
      <c r="D1682">
        <v>2023</v>
      </c>
      <c r="E1682" t="inlineStr">
        <is>
          <t xml:space="preserve">Dead Estate</t>
        </is>
      </c>
      <c r="F1682" t="inlineStr">
        <is>
          <t xml:space="preserve">Dead Estate/2-12. Occult Pursuit.mp3</t>
        </is>
      </c>
    </row>
    <row r="1683" spans="1:7">
      <c r="A1683" t="inlineStr">
        <is>
          <t xml:space="preserve">sxxsslls</t>
        </is>
      </c>
      <c r="B1683" t="inlineStr">
        <is>
          <t xml:space="preserve">MajorWipeout</t>
        </is>
      </c>
      <c r="C1683" t="inlineStr">
        <is>
          <t xml:space="preserve">Dead Estate - Assignment Anya OST</t>
        </is>
      </c>
      <c r="D1683">
        <v>2023</v>
      </c>
      <c r="E1683" t="inlineStr">
        <is>
          <t xml:space="preserve">Dead Estate</t>
        </is>
      </c>
      <c r="F1683" t="inlineStr">
        <is>
          <t xml:space="preserve">Dead Estate/2-13. sxxsslls.mp3</t>
        </is>
      </c>
    </row>
    <row r="1684" spans="1:7">
      <c r="A1684" t="inlineStr">
        <is>
          <t xml:space="preserve">He Doesn't Bite</t>
        </is>
      </c>
      <c r="B1684" t="inlineStr">
        <is>
          <t xml:space="preserve">MajorWipeout</t>
        </is>
      </c>
      <c r="C1684" t="inlineStr">
        <is>
          <t xml:space="preserve">Dead Estate - Assignment Anya OST</t>
        </is>
      </c>
      <c r="D1684">
        <v>2023</v>
      </c>
      <c r="E1684" t="inlineStr">
        <is>
          <t xml:space="preserve">Dead Estate</t>
        </is>
      </c>
      <c r="F1684" t="inlineStr">
        <is>
          <t xml:space="preserve">Dead Estate/2-14. He Doesn't Bite.mp3</t>
        </is>
      </c>
    </row>
    <row r="1685" spans="1:7">
      <c r="A1685" t="inlineStr">
        <is>
          <t xml:space="preserve">Home Stretch</t>
        </is>
      </c>
      <c r="B1685" t="inlineStr">
        <is>
          <t xml:space="preserve">MajorWipeout</t>
        </is>
      </c>
      <c r="C1685" t="inlineStr">
        <is>
          <t xml:space="preserve">Dead Estate - Assignment Anya OST</t>
        </is>
      </c>
      <c r="D1685">
        <v>2023</v>
      </c>
      <c r="E1685" t="inlineStr">
        <is>
          <t xml:space="preserve">Dead Estate</t>
        </is>
      </c>
      <c r="F1685" t="inlineStr">
        <is>
          <t xml:space="preserve">Dead Estate/2-15. Home Stretch.mp3</t>
        </is>
      </c>
    </row>
    <row r="1686" spans="1:7">
      <c r="A1686" t="inlineStr">
        <is>
          <t xml:space="preserve">Based on a True* Story</t>
        </is>
      </c>
      <c r="B1686" t="inlineStr">
        <is>
          <t xml:space="preserve">MajorWipeout</t>
        </is>
      </c>
      <c r="C1686" t="inlineStr">
        <is>
          <t xml:space="preserve">Dead Estate - Assignment Anya OST</t>
        </is>
      </c>
      <c r="D1686">
        <v>2023</v>
      </c>
      <c r="E1686" t="inlineStr">
        <is>
          <t xml:space="preserve">Dead Estate</t>
        </is>
      </c>
      <c r="F1686" t="inlineStr">
        <is>
          <t xml:space="preserve">Dead Estate/2-16. Based on a True- Story.mp3</t>
        </is>
      </c>
    </row>
    <row r="1687" spans="1:7">
      <c r="A1687" t="inlineStr">
        <is>
          <t xml:space="preserve">01 Dome Keeper - Beastmaster</t>
        </is>
      </c>
      <c r="E1687" t="inlineStr">
        <is>
          <t xml:space="preserve">Dome Keeper</t>
        </is>
      </c>
      <c r="F1687" t="inlineStr">
        <is>
          <t xml:space="preserve">Dome Keeper/01. Dome Keeper - Beastmaster.mp3</t>
        </is>
      </c>
    </row>
    <row r="1688" spans="1:7">
      <c r="A1688" t="inlineStr">
        <is>
          <t xml:space="preserve">01 Dome Keeper - Infiltrator</t>
        </is>
      </c>
      <c r="E1688" t="inlineStr">
        <is>
          <t xml:space="preserve">Dome Keeper</t>
        </is>
      </c>
      <c r="F1688" t="inlineStr">
        <is>
          <t xml:space="preserve">Dome Keeper/01. Dome Keeper - Infiltrator.mp3</t>
        </is>
      </c>
    </row>
    <row r="1689" spans="1:7">
      <c r="A1689" t="inlineStr">
        <is>
          <t xml:space="preserve">02 A Stone Falling</t>
        </is>
      </c>
      <c r="E1689" t="inlineStr">
        <is>
          <t xml:space="preserve">Dome Keeper</t>
        </is>
      </c>
      <c r="F1689" t="inlineStr">
        <is>
          <t xml:space="preserve">Dome Keeper/02. A Stone Falling.mp3</t>
        </is>
      </c>
    </row>
    <row r="1690" spans="1:7">
      <c r="A1690" t="inlineStr">
        <is>
          <t xml:space="preserve">02 Snake of Lights</t>
        </is>
      </c>
      <c r="E1690" t="inlineStr">
        <is>
          <t xml:space="preserve">Dome Keeper</t>
        </is>
      </c>
      <c r="F1690" t="inlineStr">
        <is>
          <t xml:space="preserve">Dome Keeper/02. Snake of Lights.mp3</t>
        </is>
      </c>
    </row>
    <row r="1691" spans="1:7">
      <c r="A1691" t="inlineStr">
        <is>
          <t xml:space="preserve">03 Kyōmei</t>
        </is>
      </c>
      <c r="E1691" t="inlineStr">
        <is>
          <t xml:space="preserve">Dome Keeper</t>
        </is>
      </c>
      <c r="F1691" t="inlineStr">
        <is>
          <t xml:space="preserve">Dome Keeper/03. Kyōmei.mp3</t>
        </is>
      </c>
    </row>
    <row r="1692" spans="1:7">
      <c r="A1692" t="inlineStr">
        <is>
          <t xml:space="preserve">03 Land of the Stalks</t>
        </is>
      </c>
      <c r="E1692" t="inlineStr">
        <is>
          <t xml:space="preserve">Dome Keeper</t>
        </is>
      </c>
      <c r="F1692" t="inlineStr">
        <is>
          <t xml:space="preserve">Dome Keeper/03. Land of the Stalks.mp3</t>
        </is>
      </c>
    </row>
    <row r="1693" spans="1:7">
      <c r="A1693" t="inlineStr">
        <is>
          <t xml:space="preserve">04 A Friend in the Dome</t>
        </is>
      </c>
      <c r="E1693" t="inlineStr">
        <is>
          <t xml:space="preserve">Dome Keeper</t>
        </is>
      </c>
      <c r="F1693" t="inlineStr">
        <is>
          <t xml:space="preserve">Dome Keeper/04. A Friend in the Dome.mp3</t>
        </is>
      </c>
    </row>
    <row r="1694" spans="1:7">
      <c r="A1694" t="inlineStr">
        <is>
          <t xml:space="preserve">04 Deep Chill</t>
        </is>
      </c>
      <c r="E1694" t="inlineStr">
        <is>
          <t xml:space="preserve">Dome Keeper</t>
        </is>
      </c>
      <c r="F1694" t="inlineStr">
        <is>
          <t xml:space="preserve">Dome Keeper/04. Deep Chill.mp3</t>
        </is>
      </c>
    </row>
    <row r="1695" spans="1:7">
      <c r="A1695" t="inlineStr">
        <is>
          <t xml:space="preserve">05 Shuriken Heart</t>
        </is>
      </c>
      <c r="E1695" t="inlineStr">
        <is>
          <t xml:space="preserve">Dome Keeper</t>
        </is>
      </c>
      <c r="F1695" t="inlineStr">
        <is>
          <t xml:space="preserve">Dome Keeper/05. Shuriken Heart.mp3</t>
        </is>
      </c>
    </row>
    <row r="1696" spans="1:7">
      <c r="A1696" t="inlineStr">
        <is>
          <t xml:space="preserve">05 To Each a Task</t>
        </is>
      </c>
      <c r="E1696" t="inlineStr">
        <is>
          <t xml:space="preserve">Dome Keeper</t>
        </is>
      </c>
      <c r="F1696" t="inlineStr">
        <is>
          <t xml:space="preserve">Dome Keeper/05. To Each a Task.mp3</t>
        </is>
      </c>
    </row>
    <row r="1697" spans="1:7">
      <c r="A1697" t="inlineStr">
        <is>
          <t xml:space="preserve">06 Luminesce</t>
        </is>
      </c>
      <c r="E1697" t="inlineStr">
        <is>
          <t xml:space="preserve">Dome Keeper</t>
        </is>
      </c>
      <c r="F1697" t="inlineStr">
        <is>
          <t xml:space="preserve">Dome Keeper/06. Luminesce.mp3</t>
        </is>
      </c>
    </row>
    <row r="1698" spans="1:7">
      <c r="A1698" t="inlineStr">
        <is>
          <t xml:space="preserve">06 Parabolas in Nature</t>
        </is>
      </c>
      <c r="E1698" t="inlineStr">
        <is>
          <t xml:space="preserve">Dome Keeper</t>
        </is>
      </c>
      <c r="F1698" t="inlineStr">
        <is>
          <t xml:space="preserve">Dome Keeper/06. Parabolas in Nature.mp3</t>
        </is>
      </c>
    </row>
    <row r="1699" spans="1:7">
      <c r="A1699" t="inlineStr">
        <is>
          <t xml:space="preserve">07 The Beastmaster</t>
        </is>
      </c>
      <c r="E1699" t="inlineStr">
        <is>
          <t xml:space="preserve">Dome Keeper</t>
        </is>
      </c>
      <c r="F1699" t="inlineStr">
        <is>
          <t xml:space="preserve">Dome Keeper/07. The Beastmaster.mp3</t>
        </is>
      </c>
    </row>
    <row r="1700" spans="1:7">
      <c r="A1700" t="inlineStr">
        <is>
          <t xml:space="preserve">07 The Infiltrator</t>
        </is>
      </c>
      <c r="E1700" t="inlineStr">
        <is>
          <t xml:space="preserve">Dome Keeper</t>
        </is>
      </c>
      <c r="F1700" t="inlineStr">
        <is>
          <t xml:space="preserve">Dome Keeper/07. The Infiltrator.mp3</t>
        </is>
      </c>
    </row>
    <row r="1701" spans="1:7">
      <c r="A1701" t="inlineStr">
        <is>
          <t xml:space="preserve">08 Lunar Dragon</t>
        </is>
      </c>
      <c r="E1701" t="inlineStr">
        <is>
          <t xml:space="preserve">Dome Keeper</t>
        </is>
      </c>
      <c r="F1701" t="inlineStr">
        <is>
          <t xml:space="preserve">Dome Keeper/08. Lunar Dragon.mp3</t>
        </is>
      </c>
    </row>
    <row r="1702" spans="1:7">
      <c r="A1702" t="inlineStr">
        <is>
          <t xml:space="preserve">08 Mizu no Dōkutsu</t>
        </is>
      </c>
      <c r="E1702" t="inlineStr">
        <is>
          <t xml:space="preserve">Dome Keeper</t>
        </is>
      </c>
      <c r="F1702" t="inlineStr">
        <is>
          <t xml:space="preserve">Dome Keeper/08. Mizu no Dōkutsu.mp3</t>
        </is>
      </c>
    </row>
    <row r="1703" spans="1:7">
      <c r="A1703" t="inlineStr">
        <is>
          <t xml:space="preserve">09 Owl Hour</t>
        </is>
      </c>
      <c r="E1703" t="inlineStr">
        <is>
          <t xml:space="preserve">Dome Keeper</t>
        </is>
      </c>
      <c r="F1703" t="inlineStr">
        <is>
          <t xml:space="preserve">Dome Keeper/09. Owl Hour.mp3</t>
        </is>
      </c>
    </row>
    <row r="1704" spans="1:7">
      <c r="A1704" t="inlineStr">
        <is>
          <t xml:space="preserve">09 The Cobalt Chord</t>
        </is>
      </c>
      <c r="E1704" t="inlineStr">
        <is>
          <t xml:space="preserve">Dome Keeper</t>
        </is>
      </c>
      <c r="F1704" t="inlineStr">
        <is>
          <t xml:space="preserve">Dome Keeper/09. The Cobalt Chord.mp3</t>
        </is>
      </c>
    </row>
    <row r="1705" spans="1:7">
      <c r="A1705" t="inlineStr">
        <is>
          <t xml:space="preserve">Dome Keeper: Assessor</t>
        </is>
      </c>
      <c r="B1705" t="inlineStr">
        <is>
          <t xml:space="preserve">Cameron Paxton</t>
        </is>
      </c>
      <c r="C1705" t="inlineStr">
        <is>
          <t xml:space="preserve">Dome Keeper, Vol. II: The Assessor (Original Soundtrack)</t>
        </is>
      </c>
      <c r="E1705" t="inlineStr">
        <is>
          <t xml:space="preserve">Dome Keeper</t>
        </is>
      </c>
      <c r="F1705" t="inlineStr">
        <is>
          <t xml:space="preserve">Dome Keeper/1-01. Dome Keeper - Assessor.mp3</t>
        </is>
      </c>
    </row>
    <row r="1706" spans="1:7">
      <c r="A1706" t="inlineStr">
        <is>
          <t xml:space="preserve">Lonely Job</t>
        </is>
      </c>
      <c r="B1706" t="inlineStr">
        <is>
          <t xml:space="preserve">Cameron Paxton</t>
        </is>
      </c>
      <c r="C1706" t="inlineStr">
        <is>
          <t xml:space="preserve">Dome Keeper, Vol. II: The Assessor (Original Soundtrack)</t>
        </is>
      </c>
      <c r="E1706" t="inlineStr">
        <is>
          <t xml:space="preserve">Dome Keeper</t>
        </is>
      </c>
      <c r="F1706" t="inlineStr">
        <is>
          <t xml:space="preserve">Dome Keeper/1-02. Lonely Job.mp3</t>
        </is>
      </c>
    </row>
    <row r="1707" spans="1:7">
      <c r="A1707" t="inlineStr">
        <is>
          <t xml:space="preserve">Alchemy</t>
        </is>
      </c>
      <c r="B1707" t="inlineStr">
        <is>
          <t xml:space="preserve">Cameron Paxton</t>
        </is>
      </c>
      <c r="C1707" t="inlineStr">
        <is>
          <t xml:space="preserve">Dome Keeper, Vol. II: The Assessor (Original Soundtrack)</t>
        </is>
      </c>
      <c r="E1707" t="inlineStr">
        <is>
          <t xml:space="preserve">Dome Keeper</t>
        </is>
      </c>
      <c r="F1707" t="inlineStr">
        <is>
          <t xml:space="preserve">Dome Keeper/1-03. Alchemy.mp3</t>
        </is>
      </c>
    </row>
    <row r="1708" spans="1:7">
      <c r="A1708" t="inlineStr">
        <is>
          <t xml:space="preserve">Sombre</t>
        </is>
      </c>
      <c r="B1708" t="inlineStr">
        <is>
          <t xml:space="preserve">Cameron Paxton</t>
        </is>
      </c>
      <c r="C1708" t="inlineStr">
        <is>
          <t xml:space="preserve">Dome Keeper, Vol. II: The Assessor (Original Soundtrack)</t>
        </is>
      </c>
      <c r="E1708" t="inlineStr">
        <is>
          <t xml:space="preserve">Dome Keeper</t>
        </is>
      </c>
      <c r="F1708" t="inlineStr">
        <is>
          <t xml:space="preserve">Dome Keeper/1-04. Sombre.mp3</t>
        </is>
      </c>
    </row>
    <row r="1709" spans="1:7">
      <c r="A1709" t="inlineStr">
        <is>
          <t xml:space="preserve">Eternal Dust</t>
        </is>
      </c>
      <c r="B1709" t="inlineStr">
        <is>
          <t xml:space="preserve">Cameron Paxton</t>
        </is>
      </c>
      <c r="C1709" t="inlineStr">
        <is>
          <t xml:space="preserve">Dome Keeper, Vol. II: The Assessor (Original Soundtrack)</t>
        </is>
      </c>
      <c r="E1709" t="inlineStr">
        <is>
          <t xml:space="preserve">Dome Keeper</t>
        </is>
      </c>
      <c r="F1709" t="inlineStr">
        <is>
          <t xml:space="preserve">Dome Keeper/1-05. Eternal Dust.mp3</t>
        </is>
      </c>
    </row>
    <row r="1710" spans="1:7">
      <c r="A1710" t="inlineStr">
        <is>
          <t xml:space="preserve">Layer By Layer</t>
        </is>
      </c>
      <c r="B1710" t="inlineStr">
        <is>
          <t xml:space="preserve">Cameron Paxton</t>
        </is>
      </c>
      <c r="C1710" t="inlineStr">
        <is>
          <t xml:space="preserve">Dome Keeper, Vol. II: The Assessor (Original Soundtrack)</t>
        </is>
      </c>
      <c r="E1710" t="inlineStr">
        <is>
          <t xml:space="preserve">Dome Keeper</t>
        </is>
      </c>
      <c r="F1710" t="inlineStr">
        <is>
          <t xml:space="preserve">Dome Keeper/1-06. Layer By Layer.mp3</t>
        </is>
      </c>
    </row>
    <row r="1711" spans="1:7">
      <c r="A1711" t="inlineStr">
        <is>
          <t xml:space="preserve">The Assessor</t>
        </is>
      </c>
      <c r="B1711" t="inlineStr">
        <is>
          <t xml:space="preserve">Cameron Paxton</t>
        </is>
      </c>
      <c r="C1711" t="inlineStr">
        <is>
          <t xml:space="preserve">Dome Keeper, Vol. II: The Assessor (Original Soundtrack)</t>
        </is>
      </c>
      <c r="E1711" t="inlineStr">
        <is>
          <t xml:space="preserve">Dome Keeper</t>
        </is>
      </c>
      <c r="F1711" t="inlineStr">
        <is>
          <t xml:space="preserve">Dome Keeper/1-07. The Assessor.mp3</t>
        </is>
      </c>
    </row>
    <row r="1712" spans="1:7">
      <c r="A1712" t="inlineStr">
        <is>
          <t xml:space="preserve">Vestigial Eye</t>
        </is>
      </c>
      <c r="B1712" t="inlineStr">
        <is>
          <t xml:space="preserve">Cameron Paxton</t>
        </is>
      </c>
      <c r="C1712" t="inlineStr">
        <is>
          <t xml:space="preserve">Dome Keeper, Vol. II: The Assessor (Original Soundtrack)</t>
        </is>
      </c>
      <c r="E1712" t="inlineStr">
        <is>
          <t xml:space="preserve">Dome Keeper</t>
        </is>
      </c>
      <c r="F1712" t="inlineStr">
        <is>
          <t xml:space="preserve">Dome Keeper/1-08. Vestigial Eye.mp3</t>
        </is>
      </c>
    </row>
    <row r="1713" spans="1:7">
      <c r="A1713" t="inlineStr">
        <is>
          <t xml:space="preserve">Claustrophobe</t>
        </is>
      </c>
      <c r="B1713" t="inlineStr">
        <is>
          <t xml:space="preserve">Cameron Paxton</t>
        </is>
      </c>
      <c r="C1713" t="inlineStr">
        <is>
          <t xml:space="preserve">Dome Keeper, Vol. II: The Assessor (Original Soundtrack)</t>
        </is>
      </c>
      <c r="E1713" t="inlineStr">
        <is>
          <t xml:space="preserve">Dome Keeper</t>
        </is>
      </c>
      <c r="F1713" t="inlineStr">
        <is>
          <t xml:space="preserve">Dome Keeper/1-09. Claustrophobe.mp3</t>
        </is>
      </c>
    </row>
    <row r="1714" spans="1:7">
      <c r="A1714" t="inlineStr">
        <is>
          <t xml:space="preserve">The Very Last Egg</t>
        </is>
      </c>
      <c r="B1714" t="inlineStr">
        <is>
          <t xml:space="preserve">Cameron Paxton</t>
        </is>
      </c>
      <c r="C1714" t="inlineStr">
        <is>
          <t xml:space="preserve">Dome Keeper, Vol. II: The Assessor (Original Soundtrack)</t>
        </is>
      </c>
      <c r="E1714" t="inlineStr">
        <is>
          <t xml:space="preserve">Dome Keeper</t>
        </is>
      </c>
      <c r="F1714" t="inlineStr">
        <is>
          <t xml:space="preserve">Dome Keeper/1-10. The Very Last Egg.mp3</t>
        </is>
      </c>
    </row>
    <row r="1715" spans="1:7">
      <c r="A1715" t="inlineStr">
        <is>
          <t xml:space="preserve">Caves Beyond</t>
        </is>
      </c>
      <c r="B1715" t="inlineStr">
        <is>
          <t xml:space="preserve">Cameron Paxton</t>
        </is>
      </c>
      <c r="C1715" t="inlineStr">
        <is>
          <t xml:space="preserve">Dome Keeper, Vol. II: The Assessor (Original Soundtrack)</t>
        </is>
      </c>
      <c r="E1715" t="inlineStr">
        <is>
          <t xml:space="preserve">Dome Keeper</t>
        </is>
      </c>
      <c r="F1715" t="inlineStr">
        <is>
          <t xml:space="preserve">Dome Keeper/1-11. Caves Beyond.mp3</t>
        </is>
      </c>
    </row>
    <row r="1716" spans="1:7">
      <c r="A1716" t="inlineStr">
        <is>
          <t xml:space="preserve">All Too Familiar</t>
        </is>
      </c>
      <c r="B1716" t="inlineStr">
        <is>
          <t xml:space="preserve">Cameron Paxton</t>
        </is>
      </c>
      <c r="C1716" t="inlineStr">
        <is>
          <t xml:space="preserve">Dome Keeper, Vol. II: The Assessor (Original Soundtrack)</t>
        </is>
      </c>
      <c r="E1716" t="inlineStr">
        <is>
          <t xml:space="preserve">Dome Keeper</t>
        </is>
      </c>
      <c r="F1716" t="inlineStr">
        <is>
          <t xml:space="preserve">Dome Keeper/1-12. All Too Familiar.mp3</t>
        </is>
      </c>
    </row>
    <row r="1717" spans="1:7">
      <c r="A1717" t="inlineStr">
        <is>
          <t xml:space="preserve">Ascension Cloak</t>
        </is>
      </c>
      <c r="B1717" t="inlineStr">
        <is>
          <t xml:space="preserve">Cameron Paxton</t>
        </is>
      </c>
      <c r="C1717" t="inlineStr">
        <is>
          <t xml:space="preserve">Dome Keeper, Vol. II: The Assessor (Original Soundtrack)</t>
        </is>
      </c>
      <c r="E1717" t="inlineStr">
        <is>
          <t xml:space="preserve">Dome Keeper</t>
        </is>
      </c>
      <c r="F1717" t="inlineStr">
        <is>
          <t xml:space="preserve">Dome Keeper/1-13. Ascension Cloak.mp3</t>
        </is>
      </c>
    </row>
    <row r="1718" spans="1:7">
      <c r="A1718" t="inlineStr">
        <is>
          <t xml:space="preserve">Final Push</t>
        </is>
      </c>
      <c r="B1718" t="inlineStr">
        <is>
          <t xml:space="preserve">Cameron Paxton</t>
        </is>
      </c>
      <c r="C1718" t="inlineStr">
        <is>
          <t xml:space="preserve">Dome Keeper, Vol. II: The Assessor (Original Soundtrack)</t>
        </is>
      </c>
      <c r="E1718" t="inlineStr">
        <is>
          <t xml:space="preserve">Dome Keeper</t>
        </is>
      </c>
      <c r="F1718" t="inlineStr">
        <is>
          <t xml:space="preserve">Dome Keeper/1-14. Final Push.mp3</t>
        </is>
      </c>
    </row>
    <row r="1719" spans="1:7">
      <c r="A1719" t="inlineStr">
        <is>
          <t xml:space="preserve">The Perfect Bounce</t>
        </is>
      </c>
      <c r="B1719" t="inlineStr">
        <is>
          <t xml:space="preserve">Cameron Paxton</t>
        </is>
      </c>
      <c r="C1719" t="inlineStr">
        <is>
          <t xml:space="preserve">Dome Keeper, Vol. II: The Assessor (Original Soundtrack)</t>
        </is>
      </c>
      <c r="E1719" t="inlineStr">
        <is>
          <t xml:space="preserve">Dome Keeper</t>
        </is>
      </c>
      <c r="F1719" t="inlineStr">
        <is>
          <t xml:space="preserve">Dome Keeper/1-15. The Perfect Bounce.mp3</t>
        </is>
      </c>
    </row>
    <row r="1720" spans="1:7">
      <c r="A1720" t="inlineStr">
        <is>
          <t xml:space="preserve">Crooked Path</t>
        </is>
      </c>
      <c r="B1720" t="inlineStr">
        <is>
          <t xml:space="preserve">Cameron Paxton</t>
        </is>
      </c>
      <c r="C1720" t="inlineStr">
        <is>
          <t xml:space="preserve">Dome Keeper: Assessor Gear Pack</t>
        </is>
      </c>
      <c r="D1720">
        <v>2023</v>
      </c>
      <c r="E1720" t="inlineStr">
        <is>
          <t xml:space="preserve">Dome Keeper</t>
        </is>
      </c>
      <c r="F1720" t="inlineStr">
        <is>
          <t xml:space="preserve">Dome Keeper/1-16. Crooked Path.mp3</t>
        </is>
      </c>
    </row>
    <row r="1721" spans="1:7">
      <c r="A1721" t="inlineStr">
        <is>
          <t xml:space="preserve">Gravity Waltz</t>
        </is>
      </c>
      <c r="B1721" t="inlineStr">
        <is>
          <t xml:space="preserve">Cameron Paxton</t>
        </is>
      </c>
      <c r="C1721" t="inlineStr">
        <is>
          <t xml:space="preserve">Dome Keeper: Assessor Gear Pack</t>
        </is>
      </c>
      <c r="D1721">
        <v>2023</v>
      </c>
      <c r="E1721" t="inlineStr">
        <is>
          <t xml:space="preserve">Dome Keeper</t>
        </is>
      </c>
      <c r="F1721" t="inlineStr">
        <is>
          <t xml:space="preserve">Dome Keeper/1-17. Gravity Waltz.mp3</t>
        </is>
      </c>
    </row>
    <row r="1722" spans="1:7">
      <c r="A1722" t="inlineStr">
        <is>
          <t xml:space="preserve">10 Looming</t>
        </is>
      </c>
      <c r="E1722" t="inlineStr">
        <is>
          <t xml:space="preserve">Dome Keeper</t>
        </is>
      </c>
      <c r="F1722" t="inlineStr">
        <is>
          <t xml:space="preserve">Dome Keeper/10. Looming.mp3</t>
        </is>
      </c>
    </row>
    <row r="1723" spans="1:7">
      <c r="A1723" t="inlineStr">
        <is>
          <t xml:space="preserve">10 Symbiote</t>
        </is>
      </c>
      <c r="E1723" t="inlineStr">
        <is>
          <t xml:space="preserve">Dome Keeper</t>
        </is>
      </c>
      <c r="F1723" t="inlineStr">
        <is>
          <t xml:space="preserve">Dome Keeper/10. Symbiote.mp3</t>
        </is>
      </c>
    </row>
    <row r="1724" spans="1:7">
      <c r="A1724" t="inlineStr">
        <is>
          <t xml:space="preserve">11 Catgoblin Canto</t>
        </is>
      </c>
      <c r="E1724" t="inlineStr">
        <is>
          <t xml:space="preserve">Dome Keeper</t>
        </is>
      </c>
      <c r="F1724" t="inlineStr">
        <is>
          <t xml:space="preserve">Dome Keeper/11. Catgoblin Canto.mp3</t>
        </is>
      </c>
    </row>
    <row r="1725" spans="1:7">
      <c r="A1725" t="inlineStr">
        <is>
          <t xml:space="preserve">11 Kunai Lullaby</t>
        </is>
      </c>
      <c r="E1725" t="inlineStr">
        <is>
          <t xml:space="preserve">Dome Keeper</t>
        </is>
      </c>
      <c r="F1725" t="inlineStr">
        <is>
          <t xml:space="preserve">Dome Keeper/11. Kunai Lullaby.mp3</t>
        </is>
      </c>
    </row>
    <row r="1726" spans="1:7">
      <c r="A1726" t="inlineStr">
        <is>
          <t xml:space="preserve">12 Green Sky</t>
        </is>
      </c>
      <c r="E1726" t="inlineStr">
        <is>
          <t xml:space="preserve">Dome Keeper</t>
        </is>
      </c>
      <c r="F1726" t="inlineStr">
        <is>
          <t xml:space="preserve">Dome Keeper/12. Green Sky.mp3</t>
        </is>
      </c>
    </row>
    <row r="1727" spans="1:7">
      <c r="A1727" t="inlineStr">
        <is>
          <t xml:space="preserve">12 La Sérénade de Squidley</t>
        </is>
      </c>
      <c r="E1727" t="inlineStr">
        <is>
          <t xml:space="preserve">Dome Keeper</t>
        </is>
      </c>
      <c r="F1727" t="inlineStr">
        <is>
          <t xml:space="preserve">Dome Keeper/12. La Sérénade de Squidley.mp3</t>
        </is>
      </c>
    </row>
    <row r="1728" spans="1:7">
      <c r="A1728" t="inlineStr">
        <is>
          <t xml:space="preserve">13 Air Control</t>
        </is>
      </c>
      <c r="E1728" t="inlineStr">
        <is>
          <t xml:space="preserve">Dome Keeper</t>
        </is>
      </c>
      <c r="F1728" t="inlineStr">
        <is>
          <t xml:space="preserve">Dome Keeper/13. Air Control.mp3</t>
        </is>
      </c>
    </row>
    <row r="1729" spans="1:7">
      <c r="A1729" t="inlineStr">
        <is>
          <t xml:space="preserve">13 Counting Arms</t>
        </is>
      </c>
      <c r="E1729" t="inlineStr">
        <is>
          <t xml:space="preserve">Dome Keeper</t>
        </is>
      </c>
      <c r="F1729" t="inlineStr">
        <is>
          <t xml:space="preserve">Dome Keeper/13. Counting Arms.mp3</t>
        </is>
      </c>
    </row>
    <row r="1730" spans="1:7">
      <c r="A1730" t="inlineStr">
        <is>
          <t xml:space="preserve">14 Dirges Drillberti</t>
        </is>
      </c>
      <c r="E1730" t="inlineStr">
        <is>
          <t xml:space="preserve">Dome Keeper</t>
        </is>
      </c>
      <c r="F1730" t="inlineStr">
        <is>
          <t xml:space="preserve">Dome Keeper/14. Dirges Drillberti.mp3</t>
        </is>
      </c>
    </row>
    <row r="1731" spans="1:7">
      <c r="A1731" t="inlineStr">
        <is>
          <t xml:space="preserve">14 So Far to Fall</t>
        </is>
      </c>
      <c r="E1731" t="inlineStr">
        <is>
          <t xml:space="preserve">Dome Keeper</t>
        </is>
      </c>
      <c r="F1731" t="inlineStr">
        <is>
          <t xml:space="preserve">Dome Keeper/14. So Far to Fall.mp3</t>
        </is>
      </c>
    </row>
    <row r="1732" spans="1:7">
      <c r="A1732" t="inlineStr">
        <is>
          <t xml:space="preserve">15 All Rise</t>
        </is>
      </c>
      <c r="E1732" t="inlineStr">
        <is>
          <t xml:space="preserve">Dome Keeper</t>
        </is>
      </c>
      <c r="F1732" t="inlineStr">
        <is>
          <t xml:space="preserve">Dome Keeper/15. All Rise.mp3</t>
        </is>
      </c>
    </row>
    <row r="1733" spans="1:7">
      <c r="A1733" t="inlineStr">
        <is>
          <t xml:space="preserve">15 Crowning Climb</t>
        </is>
      </c>
      <c r="E1733" t="inlineStr">
        <is>
          <t xml:space="preserve">Dome Keeper</t>
        </is>
      </c>
      <c r="F1733" t="inlineStr">
        <is>
          <t xml:space="preserve">Dome Keeper/15. Crowning Climb.mp3</t>
        </is>
      </c>
    </row>
    <row r="1734" spans="1:7">
      <c r="A1734" t="inlineStr">
        <is>
          <t xml:space="preserve">16 Nemesis</t>
        </is>
      </c>
      <c r="E1734" t="inlineStr">
        <is>
          <t xml:space="preserve">Dome Keeper</t>
        </is>
      </c>
      <c r="F1734" t="inlineStr">
        <is>
          <t xml:space="preserve">Dome Keeper/16. Nemesis.mp3</t>
        </is>
      </c>
    </row>
    <row r="1735" spans="1:7">
      <c r="A1735" t="inlineStr">
        <is>
          <t xml:space="preserve">16 The Scarab</t>
        </is>
      </c>
      <c r="E1735" t="inlineStr">
        <is>
          <t xml:space="preserve">Dome Keeper</t>
        </is>
      </c>
      <c r="F1735" t="inlineStr">
        <is>
          <t xml:space="preserve">Dome Keeper/16. The Scarab.mp3</t>
        </is>
      </c>
    </row>
    <row r="1736" spans="1:7">
      <c r="A1736" t="inlineStr">
        <is>
          <t xml:space="preserve">17 Squad Goals</t>
        </is>
      </c>
      <c r="E1736" t="inlineStr">
        <is>
          <t xml:space="preserve">Dome Keeper</t>
        </is>
      </c>
      <c r="F1736" t="inlineStr">
        <is>
          <t xml:space="preserve">Dome Keeper/17. Squad Goals.mp3</t>
        </is>
      </c>
    </row>
    <row r="1737" spans="1:7">
      <c r="A1737" t="inlineStr">
        <is>
          <t xml:space="preserve">17 Swing Another Day</t>
        </is>
      </c>
      <c r="E1737" t="inlineStr">
        <is>
          <t xml:space="preserve">Dome Keeper</t>
        </is>
      </c>
      <c r="F1737" t="inlineStr">
        <is>
          <t xml:space="preserve">Dome Keeper/17. Swing Another Day.mp3</t>
        </is>
      </c>
    </row>
    <row r="1738" spans="1:7">
      <c r="A1738" t="inlineStr">
        <is>
          <t xml:space="preserve">18 Hyperathletic</t>
        </is>
      </c>
      <c r="E1738" t="inlineStr">
        <is>
          <t xml:space="preserve">Dome Keeper</t>
        </is>
      </c>
      <c r="F1738" t="inlineStr">
        <is>
          <t xml:space="preserve">Dome Keeper/18. Hyperathletic.mp3</t>
        </is>
      </c>
    </row>
    <row r="1739" spans="1:7">
      <c r="A1739" t="inlineStr">
        <is>
          <t xml:space="preserve">18 Overseer Anthem</t>
        </is>
      </c>
      <c r="E1739" t="inlineStr">
        <is>
          <t xml:space="preserve">Dome Keeper</t>
        </is>
      </c>
      <c r="F1739" t="inlineStr">
        <is>
          <t xml:space="preserve">Dome Keeper/18. Overseer Anthem.mp3</t>
        </is>
      </c>
    </row>
    <row r="1740" spans="1:7">
      <c r="A1740" t="inlineStr">
        <is>
          <t xml:space="preserve">Dome Keeper: Engineer</t>
        </is>
      </c>
      <c r="B1740" t="inlineStr">
        <is>
          <t xml:space="preserve">Cameron Paxton</t>
        </is>
      </c>
      <c r="C1740" t="inlineStr">
        <is>
          <t xml:space="preserve">Dome Keeper Original Soundtrack</t>
        </is>
      </c>
      <c r="E1740" t="inlineStr">
        <is>
          <t xml:space="preserve">Dome Keeper</t>
        </is>
      </c>
      <c r="F1740" t="inlineStr">
        <is>
          <t xml:space="preserve">Dome Keeper/2-01. Dome Keeper - Engineer.mp3</t>
        </is>
      </c>
    </row>
    <row r="1741" spans="1:7">
      <c r="A1741" t="inlineStr">
        <is>
          <t xml:space="preserve">Between the Waves</t>
        </is>
      </c>
      <c r="B1741" t="inlineStr">
        <is>
          <t xml:space="preserve">Cameron Paxton</t>
        </is>
      </c>
      <c r="C1741" t="inlineStr">
        <is>
          <t xml:space="preserve">Dome Keeper Original Soundtrack</t>
        </is>
      </c>
      <c r="E1741" t="inlineStr">
        <is>
          <t xml:space="preserve">Dome Keeper</t>
        </is>
      </c>
      <c r="F1741" t="inlineStr">
        <is>
          <t xml:space="preserve">Dome Keeper/2-02. Between the Waves.mp3</t>
        </is>
      </c>
    </row>
    <row r="1742" spans="1:7">
      <c r="A1742" t="inlineStr">
        <is>
          <t xml:space="preserve">Lost in the Mines</t>
        </is>
      </c>
      <c r="B1742" t="inlineStr">
        <is>
          <t xml:space="preserve">Cameron Paxton</t>
        </is>
      </c>
      <c r="C1742" t="inlineStr">
        <is>
          <t xml:space="preserve">Dome Keeper Original Soundtrack</t>
        </is>
      </c>
      <c r="E1742" t="inlineStr">
        <is>
          <t xml:space="preserve">Dome Keeper</t>
        </is>
      </c>
      <c r="F1742" t="inlineStr">
        <is>
          <t xml:space="preserve">Dome Keeper/2-03. Lost in the Mines.mp3</t>
        </is>
      </c>
    </row>
    <row r="1743" spans="1:7">
      <c r="A1743" t="inlineStr">
        <is>
          <t xml:space="preserve">Ancient Artifact</t>
        </is>
      </c>
      <c r="B1743" t="inlineStr">
        <is>
          <t xml:space="preserve">Cameron Paxton</t>
        </is>
      </c>
      <c r="C1743" t="inlineStr">
        <is>
          <t xml:space="preserve">Dome Keeper Original Soundtrack</t>
        </is>
      </c>
      <c r="E1743" t="inlineStr">
        <is>
          <t xml:space="preserve">Dome Keeper</t>
        </is>
      </c>
      <c r="F1743" t="inlineStr">
        <is>
          <t xml:space="preserve">Dome Keeper/2-04. Ancient Artifact.mp3</t>
        </is>
      </c>
    </row>
    <row r="1744" spans="1:7">
      <c r="A1744" t="inlineStr">
        <is>
          <t xml:space="preserve">Deeper and Deeper</t>
        </is>
      </c>
      <c r="B1744" t="inlineStr">
        <is>
          <t xml:space="preserve">Cameron Paxton</t>
        </is>
      </c>
      <c r="C1744" t="inlineStr">
        <is>
          <t xml:space="preserve">Dome Keeper Original Soundtrack</t>
        </is>
      </c>
      <c r="E1744" t="inlineStr">
        <is>
          <t xml:space="preserve">Dome Keeper</t>
        </is>
      </c>
      <c r="F1744" t="inlineStr">
        <is>
          <t xml:space="preserve">Dome Keeper/2-05. Deeper and Deeper.mp3</t>
        </is>
      </c>
    </row>
    <row r="1745" spans="1:7">
      <c r="A1745" t="inlineStr">
        <is>
          <t xml:space="preserve">Further Underneath</t>
        </is>
      </c>
      <c r="B1745" t="inlineStr">
        <is>
          <t xml:space="preserve">Cameron Paxton</t>
        </is>
      </c>
      <c r="C1745" t="inlineStr">
        <is>
          <t xml:space="preserve">Dome Keeper Original Soundtrack</t>
        </is>
      </c>
      <c r="E1745" t="inlineStr">
        <is>
          <t xml:space="preserve">Dome Keeper</t>
        </is>
      </c>
      <c r="F1745" t="inlineStr">
        <is>
          <t xml:space="preserve">Dome Keeper/2-06. Further Underneath.mp3</t>
        </is>
      </c>
    </row>
    <row r="1746" spans="1:7">
      <c r="A1746" t="inlineStr">
        <is>
          <t xml:space="preserve">The Engineer</t>
        </is>
      </c>
      <c r="B1746" t="inlineStr">
        <is>
          <t xml:space="preserve">Cameron Paxton</t>
        </is>
      </c>
      <c r="C1746" t="inlineStr">
        <is>
          <t xml:space="preserve">Dome Keeper Original Soundtrack</t>
        </is>
      </c>
      <c r="E1746" t="inlineStr">
        <is>
          <t xml:space="preserve">Dome Keeper</t>
        </is>
      </c>
      <c r="F1746" t="inlineStr">
        <is>
          <t xml:space="preserve">Dome Keeper/2-07. The Engineer.mp3</t>
        </is>
      </c>
    </row>
    <row r="1747" spans="1:7">
      <c r="A1747" t="inlineStr">
        <is>
          <t xml:space="preserve">A Moment to Breathe</t>
        </is>
      </c>
      <c r="B1747" t="inlineStr">
        <is>
          <t xml:space="preserve">Cameron Paxton</t>
        </is>
      </c>
      <c r="C1747" t="inlineStr">
        <is>
          <t xml:space="preserve">Dome Keeper Original Soundtrack</t>
        </is>
      </c>
      <c r="E1747" t="inlineStr">
        <is>
          <t xml:space="preserve">Dome Keeper</t>
        </is>
      </c>
      <c r="F1747" t="inlineStr">
        <is>
          <t xml:space="preserve">Dome Keeper/2-08. A Moment to Breathe.mp3</t>
        </is>
      </c>
    </row>
    <row r="1748" spans="1:7">
      <c r="A1748" t="inlineStr">
        <is>
          <t xml:space="preserve">Undiscovered Flora</t>
        </is>
      </c>
      <c r="B1748" t="inlineStr">
        <is>
          <t xml:space="preserve">Cameron Paxton</t>
        </is>
      </c>
      <c r="C1748" t="inlineStr">
        <is>
          <t xml:space="preserve">Dome Keeper Original Soundtrack</t>
        </is>
      </c>
      <c r="E1748" t="inlineStr">
        <is>
          <t xml:space="preserve">Dome Keeper</t>
        </is>
      </c>
      <c r="F1748" t="inlineStr">
        <is>
          <t xml:space="preserve">Dome Keeper/2-09. Undiscovered Flora.mp3</t>
        </is>
      </c>
    </row>
    <row r="1749" spans="1:7">
      <c r="A1749" t="inlineStr">
        <is>
          <t xml:space="preserve">Delving</t>
        </is>
      </c>
      <c r="B1749" t="inlineStr">
        <is>
          <t xml:space="preserve">Cameron Paxton</t>
        </is>
      </c>
      <c r="C1749" t="inlineStr">
        <is>
          <t xml:space="preserve">Dome Keeper Original Soundtrack</t>
        </is>
      </c>
      <c r="E1749" t="inlineStr">
        <is>
          <t xml:space="preserve">Dome Keeper</t>
        </is>
      </c>
      <c r="F1749" t="inlineStr">
        <is>
          <t xml:space="preserve">Dome Keeper/2-10. Delving.mp3</t>
        </is>
      </c>
    </row>
    <row r="1750" spans="1:7">
      <c r="A1750" t="inlineStr">
        <is>
          <t xml:space="preserve">Ode to Iron</t>
        </is>
      </c>
      <c r="B1750" t="inlineStr">
        <is>
          <t xml:space="preserve">Cameron Paxton</t>
        </is>
      </c>
      <c r="C1750" t="inlineStr">
        <is>
          <t xml:space="preserve">Dome Keeper Original Soundtrack</t>
        </is>
      </c>
      <c r="E1750" t="inlineStr">
        <is>
          <t xml:space="preserve">Dome Keeper</t>
        </is>
      </c>
      <c r="F1750" t="inlineStr">
        <is>
          <t xml:space="preserve">Dome Keeper/2-11. Ode to Iron.mp3</t>
        </is>
      </c>
    </row>
    <row r="1751" spans="1:7">
      <c r="A1751" t="inlineStr">
        <is>
          <t xml:space="preserve">Collapse</t>
        </is>
      </c>
      <c r="B1751" t="inlineStr">
        <is>
          <t xml:space="preserve">Cameron Paxton</t>
        </is>
      </c>
      <c r="C1751" t="inlineStr">
        <is>
          <t xml:space="preserve">Dome Keeper Original Soundtrack</t>
        </is>
      </c>
      <c r="E1751" t="inlineStr">
        <is>
          <t xml:space="preserve">Dome Keeper</t>
        </is>
      </c>
      <c r="F1751" t="inlineStr">
        <is>
          <t xml:space="preserve">Dome Keeper/2-12. Collapse.mp3</t>
        </is>
      </c>
    </row>
    <row r="1752" spans="1:7">
      <c r="A1752" t="inlineStr">
        <is>
          <t xml:space="preserve">Jetpack Requiem</t>
        </is>
      </c>
      <c r="B1752" t="inlineStr">
        <is>
          <t xml:space="preserve">Cameron Paxton</t>
        </is>
      </c>
      <c r="C1752" t="inlineStr">
        <is>
          <t xml:space="preserve">Dome Keeper Original Soundtrack</t>
        </is>
      </c>
      <c r="E1752" t="inlineStr">
        <is>
          <t xml:space="preserve">Dome Keeper</t>
        </is>
      </c>
      <c r="F1752" t="inlineStr">
        <is>
          <t xml:space="preserve">Dome Keeper/2-13. Jetpack Requiem.mp3</t>
        </is>
      </c>
    </row>
    <row r="1753" spans="1:7">
      <c r="A1753" t="inlineStr">
        <is>
          <t xml:space="preserve">Desperation</t>
        </is>
      </c>
      <c r="B1753" t="inlineStr">
        <is>
          <t xml:space="preserve">Cameron Paxton</t>
        </is>
      </c>
      <c r="C1753" t="inlineStr">
        <is>
          <t xml:space="preserve">Dome Keeper Original Soundtrack</t>
        </is>
      </c>
      <c r="E1753" t="inlineStr">
        <is>
          <t xml:space="preserve">Dome Keeper</t>
        </is>
      </c>
      <c r="F1753" t="inlineStr">
        <is>
          <t xml:space="preserve">Dome Keeper/2-14. Desperation.mp3</t>
        </is>
      </c>
    </row>
    <row r="1754" spans="1:7">
      <c r="A1754" t="inlineStr">
        <is>
          <t xml:space="preserve">Laser Party</t>
        </is>
      </c>
      <c r="B1754" t="inlineStr">
        <is>
          <t xml:space="preserve">Cameron Paxton</t>
        </is>
      </c>
      <c r="C1754" t="inlineStr">
        <is>
          <t xml:space="preserve">Dome Keeper Original Soundtrack</t>
        </is>
      </c>
      <c r="E1754" t="inlineStr">
        <is>
          <t xml:space="preserve">Dome Keeper</t>
        </is>
      </c>
      <c r="F1754" t="inlineStr">
        <is>
          <t xml:space="preserve">Dome Keeper/2-15. Laser Party.mp3</t>
        </is>
      </c>
    </row>
    <row r="1755" spans="1:7">
      <c r="A1755" t="inlineStr">
        <is>
          <t xml:space="preserve">Alone With One's Thoughts</t>
        </is>
      </c>
      <c r="B1755" t="inlineStr">
        <is>
          <t xml:space="preserve">Cameron Paxton;Cameron Paxton</t>
        </is>
      </c>
      <c r="C1755" t="inlineStr">
        <is>
          <t xml:space="preserve">Dome Keeper: Engineer Gear Pack</t>
        </is>
      </c>
      <c r="D1755">
        <v>2022</v>
      </c>
      <c r="E1755" t="inlineStr">
        <is>
          <t xml:space="preserve">Dome Keeper</t>
        </is>
      </c>
      <c r="F1755" t="inlineStr">
        <is>
          <t xml:space="preserve">Dome Keeper/2-16. Alone With One's Thoughts.mp3</t>
        </is>
      </c>
    </row>
    <row r="1756" spans="1:7">
      <c r="A1756" t="inlineStr">
        <is>
          <t xml:space="preserve">Glowworms</t>
        </is>
      </c>
      <c r="B1756" t="inlineStr">
        <is>
          <t xml:space="preserve">Cameron Paxton;Cameron Paxton</t>
        </is>
      </c>
      <c r="C1756" t="inlineStr">
        <is>
          <t xml:space="preserve">Dome Keeper: Engineer Gear Pack</t>
        </is>
      </c>
      <c r="D1756">
        <v>2022</v>
      </c>
      <c r="E1756" t="inlineStr">
        <is>
          <t xml:space="preserve">Dome Keeper</t>
        </is>
      </c>
      <c r="F1756" t="inlineStr">
        <is>
          <t xml:space="preserve">Dome Keeper/2-17. Glowworms.mp3</t>
        </is>
      </c>
    </row>
    <row r="1757" spans="1:7">
      <c r="A1757" t="inlineStr">
        <is>
          <t xml:space="preserve">Death to Chronos</t>
        </is>
      </c>
      <c r="B1757" t="inlineStr">
        <is>
          <t xml:space="preserve">Darren Korb</t>
        </is>
      </c>
      <c r="C1757" t="inlineStr">
        <is>
          <t xml:space="preserve">Hades II (Original Soundtrack)</t>
        </is>
      </c>
      <c r="D1757">
        <v>2025</v>
      </c>
      <c r="E1757" t="inlineStr">
        <is>
          <t xml:space="preserve">Hades II</t>
        </is>
      </c>
      <c r="F1757" t="inlineStr">
        <is>
          <t xml:space="preserve">Hades II/01. Death to Chronos.mp3</t>
        </is>
      </c>
    </row>
    <row r="1758" spans="1:7">
      <c r="A1758" t="inlineStr">
        <is>
          <t xml:space="preserve">Edge of Erebus</t>
        </is>
      </c>
      <c r="B1758" t="inlineStr">
        <is>
          <t xml:space="preserve">Darren Korb</t>
        </is>
      </c>
      <c r="C1758" t="inlineStr">
        <is>
          <t xml:space="preserve">Hades II (Original Soundtrack)</t>
        </is>
      </c>
      <c r="D1758">
        <v>2025</v>
      </c>
      <c r="E1758" t="inlineStr">
        <is>
          <t xml:space="preserve">Hades II</t>
        </is>
      </c>
      <c r="F1758" t="inlineStr">
        <is>
          <t xml:space="preserve">Hades II/02. Edge of Erebus.mp3</t>
        </is>
      </c>
    </row>
    <row r="1759" spans="1:7">
      <c r="A1759" t="inlineStr">
        <is>
          <t xml:space="preserve">The Silver Sisters</t>
        </is>
      </c>
      <c r="B1759" t="inlineStr">
        <is>
          <t xml:space="preserve">Darren Korb</t>
        </is>
      </c>
      <c r="C1759" t="inlineStr">
        <is>
          <t xml:space="preserve">Hades II (Original Soundtrack)</t>
        </is>
      </c>
      <c r="D1759">
        <v>2025</v>
      </c>
      <c r="E1759" t="inlineStr">
        <is>
          <t xml:space="preserve">Hades II</t>
        </is>
      </c>
      <c r="F1759" t="inlineStr">
        <is>
          <t xml:space="preserve">Hades II/03. The Silver Sisters.mp3</t>
        </is>
      </c>
    </row>
    <row r="1760" spans="1:7">
      <c r="A1760" t="inlineStr">
        <is>
          <t xml:space="preserve">The Crossroads</t>
        </is>
      </c>
      <c r="B1760" t="inlineStr">
        <is>
          <t xml:space="preserve">Darren Korb</t>
        </is>
      </c>
      <c r="C1760" t="inlineStr">
        <is>
          <t xml:space="preserve">Hades II (Original Soundtrack)</t>
        </is>
      </c>
      <c r="D1760">
        <v>2025</v>
      </c>
      <c r="E1760" t="inlineStr">
        <is>
          <t xml:space="preserve">Hades II</t>
        </is>
      </c>
      <c r="F1760" t="inlineStr">
        <is>
          <t xml:space="preserve">Hades II/04. The Crossroads.mp3</t>
        </is>
      </c>
    </row>
    <row r="1761" spans="1:7">
      <c r="A1761" t="inlineStr">
        <is>
          <t xml:space="preserve">Lost Souls</t>
        </is>
      </c>
      <c r="B1761" t="inlineStr">
        <is>
          <t xml:space="preserve">Darren Korb</t>
        </is>
      </c>
      <c r="C1761" t="inlineStr">
        <is>
          <t xml:space="preserve">Hades II (Original Soundtrack)</t>
        </is>
      </c>
      <c r="D1761">
        <v>2025</v>
      </c>
      <c r="E1761" t="inlineStr">
        <is>
          <t xml:space="preserve">Hades II</t>
        </is>
      </c>
      <c r="F1761" t="inlineStr">
        <is>
          <t xml:space="preserve">Hades II/05. Lost Souls.mp3</t>
        </is>
      </c>
    </row>
    <row r="1762" spans="1:7">
      <c r="A1762" t="inlineStr">
        <is>
          <t xml:space="preserve">Moonlight Guide Us (feat. Ashley Barrett &amp; Judy Alice Lee)</t>
        </is>
      </c>
      <c r="B1762" t="inlineStr">
        <is>
          <t xml:space="preserve">Darren Korb</t>
        </is>
      </c>
      <c r="C1762" t="inlineStr">
        <is>
          <t xml:space="preserve">Hades II (Original Soundtrack)</t>
        </is>
      </c>
      <c r="D1762">
        <v>2025</v>
      </c>
      <c r="E1762" t="inlineStr">
        <is>
          <t xml:space="preserve">Hades II</t>
        </is>
      </c>
      <c r="F1762" t="inlineStr">
        <is>
          <t xml:space="preserve">Hades II/06. Moonlight Guide Us (feat. Ashley Barrett &amp; Judy Alice Lee).mp3</t>
        </is>
      </c>
    </row>
    <row r="1763" spans="1:7">
      <c r="A1763" t="inlineStr">
        <is>
          <t xml:space="preserve">Crossed Flames</t>
        </is>
      </c>
      <c r="B1763" t="inlineStr">
        <is>
          <t xml:space="preserve">Darren Korb</t>
        </is>
      </c>
      <c r="C1763" t="inlineStr">
        <is>
          <t xml:space="preserve">Hades II (Original Soundtrack)</t>
        </is>
      </c>
      <c r="D1763">
        <v>2025</v>
      </c>
      <c r="E1763" t="inlineStr">
        <is>
          <t xml:space="preserve">Hades II</t>
        </is>
      </c>
      <c r="F1763" t="inlineStr">
        <is>
          <t xml:space="preserve">Hades II/07. Crossed Flames.mp3</t>
        </is>
      </c>
    </row>
    <row r="1764" spans="1:7">
      <c r="A1764" t="inlineStr">
        <is>
          <t xml:space="preserve">Time Cannot Be Stopped</t>
        </is>
      </c>
      <c r="B1764" t="inlineStr">
        <is>
          <t xml:space="preserve">Darren Korb</t>
        </is>
      </c>
      <c r="C1764" t="inlineStr">
        <is>
          <t xml:space="preserve">Hades II (Original Soundtrack)</t>
        </is>
      </c>
      <c r="D1764">
        <v>2025</v>
      </c>
      <c r="E1764" t="inlineStr">
        <is>
          <t xml:space="preserve">Hades II</t>
        </is>
      </c>
      <c r="F1764" t="inlineStr">
        <is>
          <t xml:space="preserve">Hades II/08. Time Cannot Be Stopped.mp3</t>
        </is>
      </c>
    </row>
    <row r="1765" spans="1:7">
      <c r="A1765" t="inlineStr">
        <is>
          <t xml:space="preserve">Spider Silk</t>
        </is>
      </c>
      <c r="B1765" t="inlineStr">
        <is>
          <t xml:space="preserve">Darren Korb</t>
        </is>
      </c>
      <c r="C1765" t="inlineStr">
        <is>
          <t xml:space="preserve">Hades II (Original Soundtrack)</t>
        </is>
      </c>
      <c r="D1765">
        <v>2025</v>
      </c>
      <c r="E1765" t="inlineStr">
        <is>
          <t xml:space="preserve">Hades II</t>
        </is>
      </c>
      <c r="F1765" t="inlineStr">
        <is>
          <t xml:space="preserve">Hades II/09. Spider Silk.mp3</t>
        </is>
      </c>
    </row>
    <row r="1766" spans="1:7">
      <c r="A1766" t="inlineStr">
        <is>
          <t xml:space="preserve">Song of the Sirens</t>
        </is>
      </c>
      <c r="B1766" t="inlineStr">
        <is>
          <t xml:space="preserve">Darren Korb</t>
        </is>
      </c>
      <c r="C1766" t="inlineStr">
        <is>
          <t xml:space="preserve">Hades II (Original Soundtrack)</t>
        </is>
      </c>
      <c r="D1766">
        <v>2025</v>
      </c>
      <c r="E1766" t="inlineStr">
        <is>
          <t xml:space="preserve">Hades II</t>
        </is>
      </c>
      <c r="F1766" t="inlineStr">
        <is>
          <t xml:space="preserve">Hades II/10. Song of the Sirens.mp3</t>
        </is>
      </c>
    </row>
    <row r="1767" spans="1:7">
      <c r="A1767" t="inlineStr">
        <is>
          <t xml:space="preserve">Coral Crown</t>
        </is>
      </c>
      <c r="B1767" t="inlineStr">
        <is>
          <t xml:space="preserve">Darren Korb</t>
        </is>
      </c>
      <c r="C1767" t="inlineStr">
        <is>
          <t xml:space="preserve">Hades II (Original Soundtrack)</t>
        </is>
      </c>
      <c r="D1767">
        <v>2025</v>
      </c>
      <c r="E1767" t="inlineStr">
        <is>
          <t xml:space="preserve">Hades II</t>
        </is>
      </c>
      <c r="F1767" t="inlineStr">
        <is>
          <t xml:space="preserve">Hades II/11. Coral Crown.mp3</t>
        </is>
      </c>
    </row>
    <row r="1768" spans="1:7">
      <c r="A1768" t="inlineStr">
        <is>
          <t xml:space="preserve">Time Cannot Be Stopped (Scylla &amp; the Sirens)</t>
        </is>
      </c>
      <c r="B1768" t="inlineStr">
        <is>
          <t xml:space="preserve">Darren Korb</t>
        </is>
      </c>
      <c r="C1768" t="inlineStr">
        <is>
          <t xml:space="preserve">Hades II (Original Soundtrack)</t>
        </is>
      </c>
      <c r="D1768">
        <v>2025</v>
      </c>
      <c r="E1768" t="inlineStr">
        <is>
          <t xml:space="preserve">Hades II</t>
        </is>
      </c>
      <c r="F1768" t="inlineStr">
        <is>
          <t xml:space="preserve">Hades II/12. Time Cannot Be Stopped (Scylla &amp; the Sirens).mp3</t>
        </is>
      </c>
    </row>
    <row r="1769" spans="1:7">
      <c r="A1769" t="inlineStr">
        <is>
          <t xml:space="preserve">Visions of the Past</t>
        </is>
      </c>
      <c r="B1769" t="inlineStr">
        <is>
          <t xml:space="preserve">Darren Korb</t>
        </is>
      </c>
      <c r="C1769" t="inlineStr">
        <is>
          <t xml:space="preserve">Hades II (Original Soundtrack)</t>
        </is>
      </c>
      <c r="D1769">
        <v>2025</v>
      </c>
      <c r="E1769" t="inlineStr">
        <is>
          <t xml:space="preserve">Hades II</t>
        </is>
      </c>
      <c r="F1769" t="inlineStr">
        <is>
          <t xml:space="preserve">Hades II/13. Visions of the Past.mp3</t>
        </is>
      </c>
    </row>
    <row r="1770" spans="1:7">
      <c r="A1770" t="inlineStr">
        <is>
          <t xml:space="preserve">Eternal Longing</t>
        </is>
      </c>
      <c r="B1770" t="inlineStr">
        <is>
          <t xml:space="preserve">Darren Korb</t>
        </is>
      </c>
      <c r="C1770" t="inlineStr">
        <is>
          <t xml:space="preserve">Hades II (Original Soundtrack)</t>
        </is>
      </c>
      <c r="D1770">
        <v>2025</v>
      </c>
      <c r="E1770" t="inlineStr">
        <is>
          <t xml:space="preserve">Hades II</t>
        </is>
      </c>
      <c r="F1770" t="inlineStr">
        <is>
          <t xml:space="preserve">Hades II/14. Eternal Longing.mp3</t>
        </is>
      </c>
    </row>
    <row r="1771" spans="1:7">
      <c r="A1771" t="inlineStr">
        <is>
          <t xml:space="preserve">Reflection Affection (feat. Pau Figueres)</t>
        </is>
      </c>
      <c r="B1771" t="inlineStr">
        <is>
          <t xml:space="preserve">Darren Korb</t>
        </is>
      </c>
      <c r="C1771" t="inlineStr">
        <is>
          <t xml:space="preserve">Hades II (Original Soundtrack)</t>
        </is>
      </c>
      <c r="D1771">
        <v>2025</v>
      </c>
      <c r="E1771" t="inlineStr">
        <is>
          <t xml:space="preserve">Hades II</t>
        </is>
      </c>
      <c r="F1771" t="inlineStr">
        <is>
          <t xml:space="preserve">Hades II/15. Reflection Affection (feat. Pau Figueres).mp3</t>
        </is>
      </c>
    </row>
    <row r="1772" spans="1:7">
      <c r="A1772" t="inlineStr">
        <is>
          <t xml:space="preserve">Sprigs of Sorrow</t>
        </is>
      </c>
      <c r="B1772" t="inlineStr">
        <is>
          <t xml:space="preserve">Darren Korb</t>
        </is>
      </c>
      <c r="C1772" t="inlineStr">
        <is>
          <t xml:space="preserve">Hades II (Original Soundtrack)</t>
        </is>
      </c>
      <c r="D1772">
        <v>2025</v>
      </c>
      <c r="E1772" t="inlineStr">
        <is>
          <t xml:space="preserve">Hades II</t>
        </is>
      </c>
      <c r="F1772" t="inlineStr">
        <is>
          <t xml:space="preserve">Hades II/16. Sprigs of Sorrow.mp3</t>
        </is>
      </c>
    </row>
    <row r="1773" spans="1:7">
      <c r="A1773" t="inlineStr">
        <is>
          <t xml:space="preserve">Evil Eye</t>
        </is>
      </c>
      <c r="B1773" t="inlineStr">
        <is>
          <t xml:space="preserve">Darren Korb</t>
        </is>
      </c>
      <c r="C1773" t="inlineStr">
        <is>
          <t xml:space="preserve">Hades II (Original Soundtrack)</t>
        </is>
      </c>
      <c r="D1773">
        <v>2025</v>
      </c>
      <c r="E1773" t="inlineStr">
        <is>
          <t xml:space="preserve">Hades II</t>
        </is>
      </c>
      <c r="F1773" t="inlineStr">
        <is>
          <t xml:space="preserve">Hades II/17. Evil Eye.mp3</t>
        </is>
      </c>
    </row>
    <row r="1774" spans="1:7">
      <c r="A1774" t="inlineStr">
        <is>
          <t xml:space="preserve">Final Expense (Renegade Mix)</t>
        </is>
      </c>
      <c r="B1774" t="inlineStr">
        <is>
          <t xml:space="preserve">Darren Korb</t>
        </is>
      </c>
      <c r="C1774" t="inlineStr">
        <is>
          <t xml:space="preserve">Hades II (Original Soundtrack)</t>
        </is>
      </c>
      <c r="D1774">
        <v>2025</v>
      </c>
      <c r="E1774" t="inlineStr">
        <is>
          <t xml:space="preserve">Hades II</t>
        </is>
      </c>
      <c r="F1774" t="inlineStr">
        <is>
          <t xml:space="preserve">Hades II/18. Final Expense (Renegade Mix).mp3</t>
        </is>
      </c>
    </row>
    <row r="1775" spans="1:7">
      <c r="A1775" t="inlineStr">
        <is>
          <t xml:space="preserve">Fading Fading</t>
        </is>
      </c>
      <c r="B1775" t="inlineStr">
        <is>
          <t xml:space="preserve">Darren Korb</t>
        </is>
      </c>
      <c r="C1775" t="inlineStr">
        <is>
          <t xml:space="preserve">Hades II (Original Soundtrack)</t>
        </is>
      </c>
      <c r="D1775">
        <v>2025</v>
      </c>
      <c r="E1775" t="inlineStr">
        <is>
          <t xml:space="preserve">Hades II</t>
        </is>
      </c>
      <c r="F1775" t="inlineStr">
        <is>
          <t xml:space="preserve">Hades II/19. Fading Fading.mp3</t>
        </is>
      </c>
    </row>
    <row r="1776" spans="1:7">
      <c r="A1776" t="inlineStr">
        <is>
          <t xml:space="preserve">Song of the Deep</t>
        </is>
      </c>
      <c r="B1776" t="inlineStr">
        <is>
          <t xml:space="preserve">Darren Korb</t>
        </is>
      </c>
      <c r="C1776" t="inlineStr">
        <is>
          <t xml:space="preserve">Hades II (Original Soundtrack)</t>
        </is>
      </c>
      <c r="D1776">
        <v>2025</v>
      </c>
      <c r="E1776" t="inlineStr">
        <is>
          <t xml:space="preserve">Hades II</t>
        </is>
      </c>
      <c r="F1776" t="inlineStr">
        <is>
          <t xml:space="preserve">Hades II/20. Song of the Deep.mp3</t>
        </is>
      </c>
    </row>
    <row r="1777" spans="1:7">
      <c r="A1777" t="inlineStr">
        <is>
          <t xml:space="preserve">I Am Gonna Claw (Out Your Eyes then Drown You to Death)</t>
        </is>
      </c>
      <c r="B1777" t="inlineStr">
        <is>
          <t xml:space="preserve">Darren Korb</t>
        </is>
      </c>
      <c r="C1777" t="inlineStr">
        <is>
          <t xml:space="preserve">Hades II (Original Soundtrack)</t>
        </is>
      </c>
      <c r="D1777">
        <v>2025</v>
      </c>
      <c r="E1777" t="inlineStr">
        <is>
          <t xml:space="preserve">Hades II</t>
        </is>
      </c>
      <c r="F1777" t="inlineStr">
        <is>
          <t xml:space="preserve">Hades II/21. I Am Gonna Claw (Out Your Eyes then Drown You to Death).mp3</t>
        </is>
      </c>
    </row>
    <row r="1778" spans="1:7">
      <c r="A1778" t="inlineStr">
        <is>
          <t xml:space="preserve">King Vermin</t>
        </is>
      </c>
      <c r="B1778" t="inlineStr">
        <is>
          <t xml:space="preserve">Darren Korb</t>
        </is>
      </c>
      <c r="C1778" t="inlineStr">
        <is>
          <t xml:space="preserve">Hades II (Original Soundtrack)</t>
        </is>
      </c>
      <c r="D1778">
        <v>2025</v>
      </c>
      <c r="E1778" t="inlineStr">
        <is>
          <t xml:space="preserve">Hades II</t>
        </is>
      </c>
      <c r="F1778" t="inlineStr">
        <is>
          <t xml:space="preserve">Hades II/22. King Vermin.mp3</t>
        </is>
      </c>
    </row>
    <row r="1779" spans="1:7">
      <c r="A1779" t="inlineStr">
        <is>
          <t xml:space="preserve">Into Tartarus</t>
        </is>
      </c>
      <c r="B1779" t="inlineStr">
        <is>
          <t xml:space="preserve">Darren Korb</t>
        </is>
      </c>
      <c r="C1779" t="inlineStr">
        <is>
          <t xml:space="preserve">Hades II (Original Soundtrack)</t>
        </is>
      </c>
      <c r="D1779">
        <v>2025</v>
      </c>
      <c r="E1779" t="inlineStr">
        <is>
          <t xml:space="preserve">Hades II</t>
        </is>
      </c>
      <c r="F1779" t="inlineStr">
        <is>
          <t xml:space="preserve">Hades II/23. Into Tartarus.mp3</t>
        </is>
      </c>
    </row>
    <row r="1780" spans="1:7">
      <c r="A1780" t="inlineStr">
        <is>
          <t xml:space="preserve">In the Darkness</t>
        </is>
      </c>
      <c r="B1780" t="inlineStr">
        <is>
          <t xml:space="preserve">Darren Korb</t>
        </is>
      </c>
      <c r="C1780" t="inlineStr">
        <is>
          <t xml:space="preserve">Hades II (Original Soundtrack)</t>
        </is>
      </c>
      <c r="D1780">
        <v>2025</v>
      </c>
      <c r="E1780" t="inlineStr">
        <is>
          <t xml:space="preserve">Hades II</t>
        </is>
      </c>
      <c r="F1780" t="inlineStr">
        <is>
          <t xml:space="preserve">Hades II/24. In the Darkness.mp3</t>
        </is>
      </c>
    </row>
    <row r="1781" spans="1:7">
      <c r="A1781" t="inlineStr">
        <is>
          <t xml:space="preserve">The Titan of Time</t>
        </is>
      </c>
      <c r="B1781" t="inlineStr">
        <is>
          <t xml:space="preserve">Darren Korb</t>
        </is>
      </c>
      <c r="C1781" t="inlineStr">
        <is>
          <t xml:space="preserve">Hades II (Original Soundtrack)</t>
        </is>
      </c>
      <c r="D1781">
        <v>2025</v>
      </c>
      <c r="E1781" t="inlineStr">
        <is>
          <t xml:space="preserve">Hades II</t>
        </is>
      </c>
      <c r="F1781" t="inlineStr">
        <is>
          <t xml:space="preserve">Hades II/25. The Titan of Time.mp3</t>
        </is>
      </c>
    </row>
    <row r="1782" spans="1:7">
      <c r="A1782" t="inlineStr">
        <is>
          <t xml:space="preserve">(Thrashing) Into Tartarus</t>
        </is>
      </c>
      <c r="B1782" t="inlineStr">
        <is>
          <t xml:space="preserve">Darren Korb</t>
        </is>
      </c>
      <c r="C1782" t="inlineStr">
        <is>
          <t xml:space="preserve">Hades II (Original Soundtrack)</t>
        </is>
      </c>
      <c r="D1782">
        <v>2025</v>
      </c>
      <c r="E1782" t="inlineStr">
        <is>
          <t xml:space="preserve">Hades II</t>
        </is>
      </c>
      <c r="F1782" t="inlineStr">
        <is>
          <t xml:space="preserve">Hades II/26. (Thrashing) Into Tartarus.mp3</t>
        </is>
      </c>
    </row>
    <row r="1783" spans="1:7">
      <c r="A1783" t="inlineStr">
        <is>
          <t xml:space="preserve">Sightless Shepherd (feat. Sam Gendel)</t>
        </is>
      </c>
      <c r="B1783" t="inlineStr">
        <is>
          <t xml:space="preserve">Darren Korb</t>
        </is>
      </c>
      <c r="C1783" t="inlineStr">
        <is>
          <t xml:space="preserve">Hades II (Original Soundtrack)</t>
        </is>
      </c>
      <c r="D1783">
        <v>2025</v>
      </c>
      <c r="E1783" t="inlineStr">
        <is>
          <t xml:space="preserve">Hades II</t>
        </is>
      </c>
      <c r="F1783" t="inlineStr">
        <is>
          <t xml:space="preserve">Hades II/27. Sightless Shepherd (feat. Sam Gendel).mp3</t>
        </is>
      </c>
    </row>
    <row r="1784" spans="1:7">
      <c r="A1784" t="inlineStr">
        <is>
          <t xml:space="preserve">Witch of Shadows</t>
        </is>
      </c>
      <c r="B1784" t="inlineStr">
        <is>
          <t xml:space="preserve">Darren Korb</t>
        </is>
      </c>
      <c r="C1784" t="inlineStr">
        <is>
          <t xml:space="preserve">Hades II (Original Soundtrack)</t>
        </is>
      </c>
      <c r="D1784">
        <v>2025</v>
      </c>
      <c r="E1784" t="inlineStr">
        <is>
          <t xml:space="preserve">Hades II</t>
        </is>
      </c>
      <c r="F1784" t="inlineStr">
        <is>
          <t xml:space="preserve">Hades II/28. Witch of Shadows.mp3</t>
        </is>
      </c>
    </row>
    <row r="1785" spans="1:7">
      <c r="A1785" t="inlineStr">
        <is>
          <t xml:space="preserve">Doomed City</t>
        </is>
      </c>
      <c r="B1785" t="inlineStr">
        <is>
          <t xml:space="preserve">Darren Korb</t>
        </is>
      </c>
      <c r="C1785" t="inlineStr">
        <is>
          <t xml:space="preserve">Hades II (Original Soundtrack)</t>
        </is>
      </c>
      <c r="D1785">
        <v>2025</v>
      </c>
      <c r="E1785" t="inlineStr">
        <is>
          <t xml:space="preserve">Hades II</t>
        </is>
      </c>
      <c r="F1785" t="inlineStr">
        <is>
          <t xml:space="preserve">Hades II/29. Doomed City.mp3</t>
        </is>
      </c>
    </row>
    <row r="1786" spans="1:7">
      <c r="A1786" t="inlineStr">
        <is>
          <t xml:space="preserve">Monstrous Might</t>
        </is>
      </c>
      <c r="B1786" t="inlineStr">
        <is>
          <t xml:space="preserve">Darren Korb</t>
        </is>
      </c>
      <c r="C1786" t="inlineStr">
        <is>
          <t xml:space="preserve">Hades II (Original Soundtrack)</t>
        </is>
      </c>
      <c r="D1786">
        <v>2025</v>
      </c>
      <c r="E1786" t="inlineStr">
        <is>
          <t xml:space="preserve">Hades II</t>
        </is>
      </c>
      <c r="F1786" t="inlineStr">
        <is>
          <t xml:space="preserve">Hades II/30. Monstrous Might.mp3</t>
        </is>
      </c>
    </row>
    <row r="1787" spans="1:7">
      <c r="A1787" t="inlineStr">
        <is>
          <t xml:space="preserve">The Necropolis (feat. Josh Plotner)</t>
        </is>
      </c>
      <c r="B1787" t="inlineStr">
        <is>
          <t xml:space="preserve">Darren Korb</t>
        </is>
      </c>
      <c r="C1787" t="inlineStr">
        <is>
          <t xml:space="preserve">Hades II (Original Soundtrack)</t>
        </is>
      </c>
      <c r="D1787">
        <v>2025</v>
      </c>
      <c r="E1787" t="inlineStr">
        <is>
          <t xml:space="preserve">Hades II</t>
        </is>
      </c>
      <c r="F1787" t="inlineStr">
        <is>
          <t xml:space="preserve">Hades II/31. The Necropolis (feat. Josh Plotner).mp3</t>
        </is>
      </c>
    </row>
    <row r="1788" spans="1:7">
      <c r="A1788" t="inlineStr">
        <is>
          <t xml:space="preserve">Song of the Isles</t>
        </is>
      </c>
      <c r="B1788" t="inlineStr">
        <is>
          <t xml:space="preserve">Darren Korb</t>
        </is>
      </c>
      <c r="C1788" t="inlineStr">
        <is>
          <t xml:space="preserve">Hades II (Original Soundtrack)</t>
        </is>
      </c>
      <c r="D1788">
        <v>2025</v>
      </c>
      <c r="E1788" t="inlineStr">
        <is>
          <t xml:space="preserve">Hades II</t>
        </is>
      </c>
      <c r="F1788" t="inlineStr">
        <is>
          <t xml:space="preserve">Hades II/32. Song of the Isles.mp3</t>
        </is>
      </c>
    </row>
    <row r="1789" spans="1:7">
      <c r="A1789" t="inlineStr">
        <is>
          <t xml:space="preserve">Rock and a Hard Place (feat. Charybdis)</t>
        </is>
      </c>
      <c r="B1789" t="inlineStr">
        <is>
          <t xml:space="preserve">Darren Korb</t>
        </is>
      </c>
      <c r="C1789" t="inlineStr">
        <is>
          <t xml:space="preserve">Hades II (Original Soundtrack)</t>
        </is>
      </c>
      <c r="D1789">
        <v>2025</v>
      </c>
      <c r="E1789" t="inlineStr">
        <is>
          <t xml:space="preserve">Hades II</t>
        </is>
      </c>
      <c r="F1789" t="inlineStr">
        <is>
          <t xml:space="preserve">Hades II/33. Rock and a Hard Place (feat. Charybdis).mp3</t>
        </is>
      </c>
    </row>
    <row r="1790" spans="1:7">
      <c r="A1790" t="inlineStr">
        <is>
          <t xml:space="preserve">The Risen Fleet</t>
        </is>
      </c>
      <c r="B1790" t="inlineStr">
        <is>
          <t xml:space="preserve">Darren Korb</t>
        </is>
      </c>
      <c r="C1790" t="inlineStr">
        <is>
          <t xml:space="preserve">Hades II (Original Soundtrack)</t>
        </is>
      </c>
      <c r="D1790">
        <v>2025</v>
      </c>
      <c r="E1790" t="inlineStr">
        <is>
          <t xml:space="preserve">Hades II</t>
        </is>
      </c>
      <c r="F1790" t="inlineStr">
        <is>
          <t xml:space="preserve">Hades II/34. The Risen Fleet.mp3</t>
        </is>
      </c>
    </row>
    <row r="1791" spans="1:7">
      <c r="A1791" t="inlineStr">
        <is>
          <t xml:space="preserve">Winged Apprentice</t>
        </is>
      </c>
      <c r="B1791" t="inlineStr">
        <is>
          <t xml:space="preserve">Darren Korb</t>
        </is>
      </c>
      <c r="C1791" t="inlineStr">
        <is>
          <t xml:space="preserve">Hades II (Original Soundtrack)</t>
        </is>
      </c>
      <c r="D1791">
        <v>2025</v>
      </c>
      <c r="E1791" t="inlineStr">
        <is>
          <t xml:space="preserve">Hades II</t>
        </is>
      </c>
      <c r="F1791" t="inlineStr">
        <is>
          <t xml:space="preserve">Hades II/35. Winged Apprentice.mp3</t>
        </is>
      </c>
    </row>
    <row r="1792" spans="1:7">
      <c r="A1792" t="inlineStr">
        <is>
          <t xml:space="preserve">Across the RIft</t>
        </is>
      </c>
      <c r="B1792" t="inlineStr">
        <is>
          <t xml:space="preserve">Darren Korb</t>
        </is>
      </c>
      <c r="C1792" t="inlineStr">
        <is>
          <t xml:space="preserve">Hades II (Original Soundtrack)</t>
        </is>
      </c>
      <c r="D1792">
        <v>2025</v>
      </c>
      <c r="E1792" t="inlineStr">
        <is>
          <t xml:space="preserve">Hades II</t>
        </is>
      </c>
      <c r="F1792" t="inlineStr">
        <is>
          <t xml:space="preserve">Hades II/36. Across the RIft.mp3</t>
        </is>
      </c>
    </row>
    <row r="1793" spans="1:7">
      <c r="A1793" t="inlineStr">
        <is>
          <t xml:space="preserve">Witch of Changing</t>
        </is>
      </c>
      <c r="B1793" t="inlineStr">
        <is>
          <t xml:space="preserve">Darren Korb</t>
        </is>
      </c>
      <c r="C1793" t="inlineStr">
        <is>
          <t xml:space="preserve">Hades II (Original Soundtrack)</t>
        </is>
      </c>
      <c r="D1793">
        <v>2025</v>
      </c>
      <c r="E1793" t="inlineStr">
        <is>
          <t xml:space="preserve">Hades II</t>
        </is>
      </c>
      <c r="F1793" t="inlineStr">
        <is>
          <t xml:space="preserve">Hades II/37. Witch of Changing.mp3</t>
        </is>
      </c>
    </row>
    <row r="1794" spans="1:7">
      <c r="A1794" t="inlineStr">
        <is>
          <t xml:space="preserve">Mountain of the Gods</t>
        </is>
      </c>
      <c r="B1794" t="inlineStr">
        <is>
          <t xml:space="preserve">Darren Korb</t>
        </is>
      </c>
      <c r="C1794" t="inlineStr">
        <is>
          <t xml:space="preserve">Hades II (Original Soundtrack)</t>
        </is>
      </c>
      <c r="D1794">
        <v>2025</v>
      </c>
      <c r="E1794" t="inlineStr">
        <is>
          <t xml:space="preserve">Hades II</t>
        </is>
      </c>
      <c r="F1794" t="inlineStr">
        <is>
          <t xml:space="preserve">Hades II/38. Mountain of the Gods.mp3</t>
        </is>
      </c>
    </row>
    <row r="1795" spans="1:7">
      <c r="A1795" t="inlineStr">
        <is>
          <t xml:space="preserve">Wrath of the Heavens</t>
        </is>
      </c>
      <c r="B1795" t="inlineStr">
        <is>
          <t xml:space="preserve">Darren Korb</t>
        </is>
      </c>
      <c r="C1795" t="inlineStr">
        <is>
          <t xml:space="preserve">Hades II (Original Soundtrack)</t>
        </is>
      </c>
      <c r="D1795">
        <v>2025</v>
      </c>
      <c r="E1795" t="inlineStr">
        <is>
          <t xml:space="preserve">Hades II</t>
        </is>
      </c>
      <c r="F1795" t="inlineStr">
        <is>
          <t xml:space="preserve">Hades II/39. Wrath of the Heavens.mp3</t>
        </is>
      </c>
    </row>
    <row r="1796" spans="1:7">
      <c r="A1796" t="inlineStr">
        <is>
          <t xml:space="preserve">Olympus Aflame</t>
        </is>
      </c>
      <c r="B1796" t="inlineStr">
        <is>
          <t xml:space="preserve">Darren Korb</t>
        </is>
      </c>
      <c r="C1796" t="inlineStr">
        <is>
          <t xml:space="preserve">Hades II (Original Soundtrack)</t>
        </is>
      </c>
      <c r="D1796">
        <v>2025</v>
      </c>
      <c r="E1796" t="inlineStr">
        <is>
          <t xml:space="preserve">Hades II</t>
        </is>
      </c>
      <c r="F1796" t="inlineStr">
        <is>
          <t xml:space="preserve">Hades II/40. Olympus Aflame.mp3</t>
        </is>
      </c>
    </row>
    <row r="1797" spans="1:7">
      <c r="A1797" t="inlineStr">
        <is>
          <t xml:space="preserve">Lap of Luxury (feat. Kristin Naigus)</t>
        </is>
      </c>
      <c r="B1797" t="inlineStr">
        <is>
          <t xml:space="preserve">Darren Korb</t>
        </is>
      </c>
      <c r="C1797" t="inlineStr">
        <is>
          <t xml:space="preserve">Hades II (Original Soundtrack)</t>
        </is>
      </c>
      <c r="D1797">
        <v>2025</v>
      </c>
      <c r="E1797" t="inlineStr">
        <is>
          <t xml:space="preserve">Hades II</t>
        </is>
      </c>
      <c r="F1797" t="inlineStr">
        <is>
          <t xml:space="preserve">Hades II/41. Lap of Luxury (feat. Kristin Naigus).mp3</t>
        </is>
      </c>
    </row>
    <row r="1798" spans="1:7">
      <c r="A1798" t="inlineStr">
        <is>
          <t xml:space="preserve">Mother of All Storms</t>
        </is>
      </c>
      <c r="B1798" t="inlineStr">
        <is>
          <t xml:space="preserve">Darren Korb</t>
        </is>
      </c>
      <c r="C1798" t="inlineStr">
        <is>
          <t xml:space="preserve">Hades II (Original Soundtrack)</t>
        </is>
      </c>
      <c r="D1798">
        <v>2025</v>
      </c>
      <c r="E1798" t="inlineStr">
        <is>
          <t xml:space="preserve">Hades II</t>
        </is>
      </c>
      <c r="F1798" t="inlineStr">
        <is>
          <t xml:space="preserve">Hades II/42. Mother of All Storms.mp3</t>
        </is>
      </c>
    </row>
    <row r="1799" spans="1:7">
      <c r="A1799" t="inlineStr">
        <is>
          <t xml:space="preserve">Father of All Monsters</t>
        </is>
      </c>
      <c r="B1799" t="inlineStr">
        <is>
          <t xml:space="preserve">Darren Korb</t>
        </is>
      </c>
      <c r="C1799" t="inlineStr">
        <is>
          <t xml:space="preserve">Hades II (Original Soundtrack)</t>
        </is>
      </c>
      <c r="D1799">
        <v>2025</v>
      </c>
      <c r="E1799" t="inlineStr">
        <is>
          <t xml:space="preserve">Hades II</t>
        </is>
      </c>
      <c r="F1799" t="inlineStr">
        <is>
          <t xml:space="preserve">Hades II/43. Father of All Monsters.mp3</t>
        </is>
      </c>
    </row>
    <row r="1800" spans="1:7">
      <c r="A1800" t="inlineStr">
        <is>
          <t xml:space="preserve">Fated Glory (feat. Colin Ryan)</t>
        </is>
      </c>
      <c r="B1800" t="inlineStr">
        <is>
          <t xml:space="preserve">Darren Korb</t>
        </is>
      </c>
      <c r="C1800" t="inlineStr">
        <is>
          <t xml:space="preserve">Hades II (Original Soundtrack)</t>
        </is>
      </c>
      <c r="D1800">
        <v>2025</v>
      </c>
      <c r="E1800" t="inlineStr">
        <is>
          <t xml:space="preserve">Hades II</t>
        </is>
      </c>
      <c r="F1800" t="inlineStr">
        <is>
          <t xml:space="preserve">Hades II/44. Fated Glory (feat. Colin Ryan).mp3</t>
        </is>
      </c>
    </row>
    <row r="1801" spans="1:7">
      <c r="A1801" t="inlineStr">
        <is>
          <t xml:space="preserve">In the Blood (Reunion Mix)</t>
        </is>
      </c>
      <c r="B1801" t="inlineStr">
        <is>
          <t xml:space="preserve">Darren Korb</t>
        </is>
      </c>
      <c r="C1801" t="inlineStr">
        <is>
          <t xml:space="preserve">Hades II (Original Soundtrack)</t>
        </is>
      </c>
      <c r="D1801">
        <v>2025</v>
      </c>
      <c r="E1801" t="inlineStr">
        <is>
          <t xml:space="preserve">Hades II</t>
        </is>
      </c>
      <c r="F1801" t="inlineStr">
        <is>
          <t xml:space="preserve">Hades II/45. In the Blood (Reunion Mix).mp3</t>
        </is>
      </c>
    </row>
    <row r="1802" spans="1:7">
      <c r="A1802" t="inlineStr">
        <is>
          <t xml:space="preserve">Time Belongs to Us (feat. Colin Ryan &amp; Ashley Barrett)</t>
        </is>
      </c>
      <c r="B1802" t="inlineStr">
        <is>
          <t xml:space="preserve">Darren Korb</t>
        </is>
      </c>
      <c r="C1802" t="inlineStr">
        <is>
          <t xml:space="preserve">Hades II (Original Soundtrack)</t>
        </is>
      </c>
      <c r="D1802">
        <v>2025</v>
      </c>
      <c r="E1802" t="inlineStr">
        <is>
          <t xml:space="preserve">Hades II</t>
        </is>
      </c>
      <c r="F1802" t="inlineStr">
        <is>
          <t xml:space="preserve">Hades II/46. Time Belongs to Us (feat. Colin Ryan &amp; Ashley Barrett).mp3</t>
        </is>
      </c>
    </row>
    <row r="1803" spans="1:7">
      <c r="A1803" t="inlineStr">
        <is>
          <t xml:space="preserve">Deep Sleep</t>
        </is>
      </c>
      <c r="B1803" t="inlineStr">
        <is>
          <t xml:space="preserve">Darren Korb</t>
        </is>
      </c>
      <c r="C1803" t="inlineStr">
        <is>
          <t xml:space="preserve">Hades II (Original Soundtrack)</t>
        </is>
      </c>
      <c r="D1803">
        <v>2025</v>
      </c>
      <c r="E1803" t="inlineStr">
        <is>
          <t xml:space="preserve">Hades II</t>
        </is>
      </c>
      <c r="F1803" t="inlineStr">
        <is>
          <t xml:space="preserve">Hades II/47. Deep Sleep.mp3</t>
        </is>
      </c>
    </row>
    <row r="1804" spans="1:7">
      <c r="A1804" t="inlineStr">
        <is>
          <t xml:space="preserve">Song of the Pearls</t>
        </is>
      </c>
      <c r="B1804" t="inlineStr">
        <is>
          <t xml:space="preserve">Darren Korb</t>
        </is>
      </c>
      <c r="C1804" t="inlineStr">
        <is>
          <t xml:space="preserve">Hades II (Original Soundtrack)</t>
        </is>
      </c>
      <c r="D1804">
        <v>2025</v>
      </c>
      <c r="E1804" t="inlineStr">
        <is>
          <t xml:space="preserve">Hades II</t>
        </is>
      </c>
      <c r="F1804" t="inlineStr">
        <is>
          <t xml:space="preserve">Hades II/48. Song of the Pearls.mp3</t>
        </is>
      </c>
    </row>
    <row r="1805" spans="1:7">
      <c r="A1805" t="inlineStr">
        <is>
          <t xml:space="preserve">Bewitching Eyes</t>
        </is>
      </c>
      <c r="B1805" t="inlineStr">
        <is>
          <t xml:space="preserve">Darren Korb</t>
        </is>
      </c>
      <c r="C1805" t="inlineStr">
        <is>
          <t xml:space="preserve">Hades II (Original Soundtrack)</t>
        </is>
      </c>
      <c r="D1805">
        <v>2025</v>
      </c>
      <c r="E1805" t="inlineStr">
        <is>
          <t xml:space="preserve">Hades II</t>
        </is>
      </c>
      <c r="F1805" t="inlineStr">
        <is>
          <t xml:space="preserve">Hades II/49. Bewitching Eyes.mp3</t>
        </is>
      </c>
    </row>
    <row r="1806" spans="1:7">
      <c r="A1806" t="inlineStr">
        <is>
          <t xml:space="preserve">Father of All Monsters (Titan Mix)</t>
        </is>
      </c>
      <c r="B1806" t="inlineStr">
        <is>
          <t xml:space="preserve">Darren Korb</t>
        </is>
      </c>
      <c r="C1806" t="inlineStr">
        <is>
          <t xml:space="preserve">Hades II (Original Soundtrack)</t>
        </is>
      </c>
      <c r="D1806">
        <v>2025</v>
      </c>
      <c r="E1806" t="inlineStr">
        <is>
          <t xml:space="preserve">Hades II</t>
        </is>
      </c>
      <c r="F1806" t="inlineStr">
        <is>
          <t xml:space="preserve">Hades II/50. Father of All Monsters (Titan Mix).mp3</t>
        </is>
      </c>
    </row>
    <row r="1807" spans="1:7">
      <c r="A1807" t="inlineStr">
        <is>
          <t xml:space="preserve">The End of Time (feat. Louis Cole)</t>
        </is>
      </c>
      <c r="B1807" t="inlineStr">
        <is>
          <t xml:space="preserve">Darren Korb</t>
        </is>
      </c>
      <c r="C1807" t="inlineStr">
        <is>
          <t xml:space="preserve">Hades II (Original Soundtrack)</t>
        </is>
      </c>
      <c r="D1807">
        <v>2025</v>
      </c>
      <c r="E1807" t="inlineStr">
        <is>
          <t xml:space="preserve">Hades II</t>
        </is>
      </c>
      <c r="F1807" t="inlineStr">
        <is>
          <t xml:space="preserve">Hades II/51. The End of Time (feat. Louis Cole).mp3</t>
        </is>
      </c>
    </row>
    <row r="1808" spans="1:7">
      <c r="A1808" t="inlineStr">
        <is>
          <t xml:space="preserve">Time Belongs to Us (Crossroads Mix) (feat. Judy Alice Lee &amp; Ashley Barrett)</t>
        </is>
      </c>
      <c r="B1808" t="inlineStr">
        <is>
          <t xml:space="preserve">Darren Korb</t>
        </is>
      </c>
      <c r="C1808" t="inlineStr">
        <is>
          <t xml:space="preserve">Hades II (Original Soundtrack)</t>
        </is>
      </c>
      <c r="D1808">
        <v>2025</v>
      </c>
      <c r="E1808" t="inlineStr">
        <is>
          <t xml:space="preserve">Hades II</t>
        </is>
      </c>
      <c r="F1808" t="inlineStr">
        <is>
          <t xml:space="preserve">Hades II/52. Time Belongs to Us (Crossroads Mix) (feat. Judy Alice Lee &amp; Ashley Barrett).mp3</t>
        </is>
      </c>
    </row>
    <row r="1809" spans="1:7">
      <c r="A1809" t="inlineStr">
        <is>
          <t xml:space="preserve">Beyond the Gates</t>
        </is>
      </c>
      <c r="B1809" t="inlineStr">
        <is>
          <t xml:space="preserve">David Fenn</t>
        </is>
      </c>
      <c r="C1809" t="inlineStr">
        <is>
          <t xml:space="preserve">Moonlighter (Original Game Soundtrack)</t>
        </is>
      </c>
      <c r="D1809">
        <v>2018</v>
      </c>
      <c r="E1809" t="inlineStr">
        <is>
          <t xml:space="preserve">Moonlighter</t>
        </is>
      </c>
      <c r="F1809" t="inlineStr">
        <is>
          <t xml:space="preserve">Moonlighter/01. Beyond the Gates.mp3</t>
        </is>
      </c>
    </row>
    <row r="1810" spans="1:7">
      <c r="A1810" t="inlineStr">
        <is>
          <t xml:space="preserve">New Adventures</t>
        </is>
      </c>
      <c r="B1810" t="inlineStr">
        <is>
          <t xml:space="preserve">Alex Benet</t>
        </is>
      </c>
      <c r="C1810" t="inlineStr">
        <is>
          <t xml:space="preserve">Moonlighter Between Dimensions</t>
        </is>
      </c>
      <c r="E1810" t="inlineStr">
        <is>
          <t xml:space="preserve">Moonlighter</t>
        </is>
      </c>
      <c r="F1810" t="inlineStr">
        <is>
          <t xml:space="preserve">Moonlighter/01. New Adventures.mp3</t>
        </is>
      </c>
    </row>
    <row r="1811" spans="1:7">
      <c r="A1811" t="inlineStr">
        <is>
          <t xml:space="preserve">Strange Grounds</t>
        </is>
      </c>
      <c r="B1811" t="inlineStr">
        <is>
          <t xml:space="preserve">Alex Benet</t>
        </is>
      </c>
      <c r="C1811" t="inlineStr">
        <is>
          <t xml:space="preserve">Moonlighter Between Dimensions</t>
        </is>
      </c>
      <c r="E1811" t="inlineStr">
        <is>
          <t xml:space="preserve">Moonlighter</t>
        </is>
      </c>
      <c r="F1811" t="inlineStr">
        <is>
          <t xml:space="preserve">Moonlighter/02. Strange Grounds.mp3</t>
        </is>
      </c>
    </row>
    <row r="1812" spans="1:7">
      <c r="A1812" t="inlineStr">
        <is>
          <t xml:space="preserve">Will's Theme</t>
        </is>
      </c>
      <c r="B1812" t="inlineStr">
        <is>
          <t xml:space="preserve">David Fenn</t>
        </is>
      </c>
      <c r="C1812" t="inlineStr">
        <is>
          <t xml:space="preserve">Moonlighter (Original Game Soundtrack)</t>
        </is>
      </c>
      <c r="D1812">
        <v>2018</v>
      </c>
      <c r="E1812" t="inlineStr">
        <is>
          <t xml:space="preserve">Moonlighter</t>
        </is>
      </c>
      <c r="F1812" t="inlineStr">
        <is>
          <t xml:space="preserve">Moonlighter/02. Will's Theme.mp3</t>
        </is>
      </c>
    </row>
    <row r="1813" spans="1:7">
      <c r="A1813" t="inlineStr">
        <is>
          <t xml:space="preserve">Lost Between Dimensions</t>
        </is>
      </c>
      <c r="B1813" t="inlineStr">
        <is>
          <t xml:space="preserve">Alex Benet</t>
        </is>
      </c>
      <c r="C1813" t="inlineStr">
        <is>
          <t xml:space="preserve">Moonlighter Between Dimensions</t>
        </is>
      </c>
      <c r="E1813" t="inlineStr">
        <is>
          <t xml:space="preserve">Moonlighter</t>
        </is>
      </c>
      <c r="F1813" t="inlineStr">
        <is>
          <t xml:space="preserve">Moonlighter/03. Lost Between Dimensions.mp3</t>
        </is>
      </c>
    </row>
    <row r="1814" spans="1:7">
      <c r="A1814" t="inlineStr">
        <is>
          <t xml:space="preserve">Village of Rynoka</t>
        </is>
      </c>
      <c r="B1814" t="inlineStr">
        <is>
          <t xml:space="preserve">David Fenn</t>
        </is>
      </c>
      <c r="C1814" t="inlineStr">
        <is>
          <t xml:space="preserve">Moonlighter (Original Game Soundtrack)</t>
        </is>
      </c>
      <c r="D1814">
        <v>2018</v>
      </c>
      <c r="E1814" t="inlineStr">
        <is>
          <t xml:space="preserve">Moonlighter</t>
        </is>
      </c>
      <c r="F1814" t="inlineStr">
        <is>
          <t xml:space="preserve">Moonlighter/03. Village of Rynoka.mp3</t>
        </is>
      </c>
    </row>
    <row r="1815" spans="1:7">
      <c r="A1815" t="inlineStr">
        <is>
          <t xml:space="preserve">Realms Edge</t>
        </is>
      </c>
      <c r="B1815" t="inlineStr">
        <is>
          <t xml:space="preserve">Alex Benet</t>
        </is>
      </c>
      <c r="C1815" t="inlineStr">
        <is>
          <t xml:space="preserve">Moonlighter Between Dimensions</t>
        </is>
      </c>
      <c r="E1815" t="inlineStr">
        <is>
          <t xml:space="preserve">Moonlighter</t>
        </is>
      </c>
      <c r="F1815" t="inlineStr">
        <is>
          <t xml:space="preserve">Moonlighter/04. Realms Edge.mp3</t>
        </is>
      </c>
    </row>
    <row r="1816" spans="1:7">
      <c r="A1816" t="inlineStr">
        <is>
          <t xml:space="preserve">The Moonlighter</t>
        </is>
      </c>
      <c r="B1816" t="inlineStr">
        <is>
          <t xml:space="preserve">David Fenn</t>
        </is>
      </c>
      <c r="C1816" t="inlineStr">
        <is>
          <t xml:space="preserve">Moonlighter (Original Game Soundtrack)</t>
        </is>
      </c>
      <c r="D1816">
        <v>2018</v>
      </c>
      <c r="E1816" t="inlineStr">
        <is>
          <t xml:space="preserve">Moonlighter</t>
        </is>
      </c>
      <c r="F1816" t="inlineStr">
        <is>
          <t xml:space="preserve">Moonlighter/04. The Moonlighter.mp3</t>
        </is>
      </c>
    </row>
    <row r="1817" spans="1:7">
      <c r="A1817" t="inlineStr">
        <is>
          <t xml:space="preserve">Forbidden Steps</t>
        </is>
      </c>
      <c r="B1817" t="inlineStr">
        <is>
          <t xml:space="preserve">David Fenn</t>
        </is>
      </c>
      <c r="C1817" t="inlineStr">
        <is>
          <t xml:space="preserve">Moonlighter (Original Game Soundtrack)</t>
        </is>
      </c>
      <c r="D1817">
        <v>2018</v>
      </c>
      <c r="E1817" t="inlineStr">
        <is>
          <t xml:space="preserve">Moonlighter</t>
        </is>
      </c>
      <c r="F1817" t="inlineStr">
        <is>
          <t xml:space="preserve">Moonlighter/05. Forbidden Steps.mp3</t>
        </is>
      </c>
    </row>
    <row r="1818" spans="1:7">
      <c r="A1818" t="inlineStr">
        <is>
          <t xml:space="preserve">Sealed Nightmare</t>
        </is>
      </c>
      <c r="B1818" t="inlineStr">
        <is>
          <t xml:space="preserve">Alex Benet</t>
        </is>
      </c>
      <c r="C1818" t="inlineStr">
        <is>
          <t xml:space="preserve">Moonlighter Between Dimensions</t>
        </is>
      </c>
      <c r="E1818" t="inlineStr">
        <is>
          <t xml:space="preserve">Moonlighter</t>
        </is>
      </c>
      <c r="F1818" t="inlineStr">
        <is>
          <t xml:space="preserve">Moonlighter/05. Sealed Nightmare.mp3</t>
        </is>
      </c>
    </row>
    <row r="1819" spans="1:7">
      <c r="A1819" t="inlineStr">
        <is>
          <t xml:space="preserve">Confined Oponent</t>
        </is>
      </c>
      <c r="B1819" t="inlineStr">
        <is>
          <t xml:space="preserve">Alex Benet</t>
        </is>
      </c>
      <c r="C1819" t="inlineStr">
        <is>
          <t xml:space="preserve">Moonlighter Between Dimensions</t>
        </is>
      </c>
      <c r="E1819" t="inlineStr">
        <is>
          <t xml:space="preserve">Moonlighter</t>
        </is>
      </c>
      <c r="F1819" t="inlineStr">
        <is>
          <t xml:space="preserve">Moonlighter/06. Confined Oponent.mp3</t>
        </is>
      </c>
    </row>
    <row r="1820" spans="1:7">
      <c r="A1820" t="inlineStr">
        <is>
          <t xml:space="preserve">Sentient Stone</t>
        </is>
      </c>
      <c r="B1820" t="inlineStr">
        <is>
          <t xml:space="preserve">David Fenn</t>
        </is>
      </c>
      <c r="C1820" t="inlineStr">
        <is>
          <t xml:space="preserve">Moonlighter (Original Game Soundtrack)</t>
        </is>
      </c>
      <c r="D1820">
        <v>2018</v>
      </c>
      <c r="E1820" t="inlineStr">
        <is>
          <t xml:space="preserve">Moonlighter</t>
        </is>
      </c>
      <c r="F1820" t="inlineStr">
        <is>
          <t xml:space="preserve">Moonlighter/06. Sentient Stone.mp3</t>
        </is>
      </c>
    </row>
    <row r="1821" spans="1:7">
      <c r="A1821" t="inlineStr">
        <is>
          <t xml:space="preserve">Dimension Lord</t>
        </is>
      </c>
      <c r="B1821" t="inlineStr">
        <is>
          <t xml:space="preserve">Alex Benet</t>
        </is>
      </c>
      <c r="C1821" t="inlineStr">
        <is>
          <t xml:space="preserve">Moonlighter Between Dimensions</t>
        </is>
      </c>
      <c r="E1821" t="inlineStr">
        <is>
          <t xml:space="preserve">Moonlighter</t>
        </is>
      </c>
      <c r="F1821" t="inlineStr">
        <is>
          <t xml:space="preserve">Moonlighter/07. Dimension Lord.mp3</t>
        </is>
      </c>
    </row>
    <row r="1822" spans="1:7">
      <c r="A1822" t="inlineStr">
        <is>
          <t xml:space="preserve">Gaining Courage</t>
        </is>
      </c>
      <c r="B1822" t="inlineStr">
        <is>
          <t xml:space="preserve">David Fenn</t>
        </is>
      </c>
      <c r="C1822" t="inlineStr">
        <is>
          <t xml:space="preserve">Moonlighter (Original Game Soundtrack)</t>
        </is>
      </c>
      <c r="D1822">
        <v>2018</v>
      </c>
      <c r="E1822" t="inlineStr">
        <is>
          <t xml:space="preserve">Moonlighter</t>
        </is>
      </c>
      <c r="F1822" t="inlineStr">
        <is>
          <t xml:space="preserve">Moonlighter/07. Gaining Courage.mp3</t>
        </is>
      </c>
    </row>
    <row r="1823" spans="1:7">
      <c r="A1823" t="inlineStr">
        <is>
          <t xml:space="preserve">Eternal Fight</t>
        </is>
      </c>
      <c r="B1823" t="inlineStr">
        <is>
          <t xml:space="preserve">Alex Benet</t>
        </is>
      </c>
      <c r="C1823" t="inlineStr">
        <is>
          <t xml:space="preserve">Moonlighter Between Dimensions</t>
        </is>
      </c>
      <c r="E1823" t="inlineStr">
        <is>
          <t xml:space="preserve">Moonlighter</t>
        </is>
      </c>
      <c r="F1823" t="inlineStr">
        <is>
          <t xml:space="preserve">Moonlighter/08. Eternal Fight.mp3</t>
        </is>
      </c>
    </row>
    <row r="1824" spans="1:7">
      <c r="A1824" t="inlineStr">
        <is>
          <t xml:space="preserve">Golem King</t>
        </is>
      </c>
      <c r="B1824" t="inlineStr">
        <is>
          <t xml:space="preserve">David Fenn</t>
        </is>
      </c>
      <c r="C1824" t="inlineStr">
        <is>
          <t xml:space="preserve">Moonlighter (Original Game Soundtrack)</t>
        </is>
      </c>
      <c r="D1824">
        <v>2018</v>
      </c>
      <c r="E1824" t="inlineStr">
        <is>
          <t xml:space="preserve">Moonlighter</t>
        </is>
      </c>
      <c r="F1824" t="inlineStr">
        <is>
          <t xml:space="preserve">Moonlighter/08. Golem King.mp3</t>
        </is>
      </c>
    </row>
    <row r="1825" spans="1:7">
      <c r="A1825" t="inlineStr">
        <is>
          <t xml:space="preserve">Onsen</t>
        </is>
      </c>
      <c r="B1825" t="inlineStr">
        <is>
          <t xml:space="preserve">David Fenn</t>
        </is>
      </c>
      <c r="C1825" t="inlineStr">
        <is>
          <t xml:space="preserve">Moonlighter (Original Game Soundtrack)</t>
        </is>
      </c>
      <c r="D1825">
        <v>2018</v>
      </c>
      <c r="E1825" t="inlineStr">
        <is>
          <t xml:space="preserve">Moonlighter</t>
        </is>
      </c>
      <c r="F1825" t="inlineStr">
        <is>
          <t xml:space="preserve">Moonlighter/09. Onsen.mp3</t>
        </is>
      </c>
    </row>
    <row r="1826" spans="1:7">
      <c r="A1826" t="inlineStr">
        <is>
          <t xml:space="preserve">Macadamia Mayhem</t>
        </is>
      </c>
      <c r="B1826" t="inlineStr">
        <is>
          <t xml:space="preserve">David Fenn</t>
        </is>
      </c>
      <c r="C1826" t="inlineStr">
        <is>
          <t xml:space="preserve">Moonlighter (Original Game Soundtrack)</t>
        </is>
      </c>
      <c r="D1826">
        <v>2018</v>
      </c>
      <c r="E1826" t="inlineStr">
        <is>
          <t xml:space="preserve">Moonlighter</t>
        </is>
      </c>
      <c r="F1826" t="inlineStr">
        <is>
          <t xml:space="preserve">Moonlighter/10. Macadamia Mayhem.mp3</t>
        </is>
      </c>
    </row>
    <row r="1827" spans="1:7">
      <c r="A1827" t="inlineStr">
        <is>
          <t xml:space="preserve">Restless Roots</t>
        </is>
      </c>
      <c r="B1827" t="inlineStr">
        <is>
          <t xml:space="preserve">David Fenn</t>
        </is>
      </c>
      <c r="C1827" t="inlineStr">
        <is>
          <t xml:space="preserve">Moonlighter (Original Game Soundtrack)</t>
        </is>
      </c>
      <c r="D1827">
        <v>2018</v>
      </c>
      <c r="E1827" t="inlineStr">
        <is>
          <t xml:space="preserve">Moonlighter</t>
        </is>
      </c>
      <c r="F1827" t="inlineStr">
        <is>
          <t xml:space="preserve">Moonlighter/11. Restless Roots.mp3</t>
        </is>
      </c>
    </row>
    <row r="1828" spans="1:7">
      <c r="A1828" t="inlineStr">
        <is>
          <t xml:space="preserve">Botanical Brigade</t>
        </is>
      </c>
      <c r="B1828" t="inlineStr">
        <is>
          <t xml:space="preserve">David Fenn</t>
        </is>
      </c>
      <c r="C1828" t="inlineStr">
        <is>
          <t xml:space="preserve">Moonlighter (Original Game Soundtrack)</t>
        </is>
      </c>
      <c r="D1828">
        <v>2018</v>
      </c>
      <c r="E1828" t="inlineStr">
        <is>
          <t xml:space="preserve">Moonlighter</t>
        </is>
      </c>
      <c r="F1828" t="inlineStr">
        <is>
          <t xml:space="preserve">Moonlighter/12. Botanical Brigade.mp3</t>
        </is>
      </c>
    </row>
    <row r="1829" spans="1:7">
      <c r="A1829" t="inlineStr">
        <is>
          <t xml:space="preserve">Carnivorous Mutae</t>
        </is>
      </c>
      <c r="B1829" t="inlineStr">
        <is>
          <t xml:space="preserve">David Fenn</t>
        </is>
      </c>
      <c r="C1829" t="inlineStr">
        <is>
          <t xml:space="preserve">Moonlighter (Original Game Soundtrack)</t>
        </is>
      </c>
      <c r="D1829">
        <v>2018</v>
      </c>
      <c r="E1829" t="inlineStr">
        <is>
          <t xml:space="preserve">Moonlighter</t>
        </is>
      </c>
      <c r="F1829" t="inlineStr">
        <is>
          <t xml:space="preserve">Moonlighter/13. Carnivorous Mutae.mp3</t>
        </is>
      </c>
    </row>
    <row r="1830" spans="1:7">
      <c r="A1830" t="inlineStr">
        <is>
          <t xml:space="preserve">Journey through the Ancient Sands</t>
        </is>
      </c>
      <c r="B1830" t="inlineStr">
        <is>
          <t xml:space="preserve">David Fenn</t>
        </is>
      </c>
      <c r="C1830" t="inlineStr">
        <is>
          <t xml:space="preserve">Moonlighter (Original Game Soundtrack)</t>
        </is>
      </c>
      <c r="D1830">
        <v>2018</v>
      </c>
      <c r="E1830" t="inlineStr">
        <is>
          <t xml:space="preserve">Moonlighter</t>
        </is>
      </c>
      <c r="F1830" t="inlineStr">
        <is>
          <t xml:space="preserve">Moonlighter/14. Journey through the Ancient Sands.mp3</t>
        </is>
      </c>
    </row>
    <row r="1831" spans="1:7">
      <c r="A1831" t="inlineStr">
        <is>
          <t xml:space="preserve">Dancing Fire</t>
        </is>
      </c>
      <c r="B1831" t="inlineStr">
        <is>
          <t xml:space="preserve">David Fenn</t>
        </is>
      </c>
      <c r="C1831" t="inlineStr">
        <is>
          <t xml:space="preserve">Moonlighter (Original Game Soundtrack)</t>
        </is>
      </c>
      <c r="D1831">
        <v>2018</v>
      </c>
      <c r="E1831" t="inlineStr">
        <is>
          <t xml:space="preserve">Moonlighter</t>
        </is>
      </c>
      <c r="F1831" t="inlineStr">
        <is>
          <t xml:space="preserve">Moonlighter/15. Dancing Fire.mp3</t>
        </is>
      </c>
    </row>
    <row r="1832" spans="1:7">
      <c r="A1832" t="inlineStr">
        <is>
          <t xml:space="preserve">Naja</t>
        </is>
      </c>
      <c r="B1832" t="inlineStr">
        <is>
          <t xml:space="preserve">David Fenn</t>
        </is>
      </c>
      <c r="C1832" t="inlineStr">
        <is>
          <t xml:space="preserve">Moonlighter (Original Game Soundtrack)</t>
        </is>
      </c>
      <c r="D1832">
        <v>2018</v>
      </c>
      <c r="E1832" t="inlineStr">
        <is>
          <t xml:space="preserve">Moonlighter</t>
        </is>
      </c>
      <c r="F1832" t="inlineStr">
        <is>
          <t xml:space="preserve">Moonlighter/16. Naja.mp3</t>
        </is>
      </c>
    </row>
    <row r="1833" spans="1:7">
      <c r="A1833" t="inlineStr">
        <is>
          <t xml:space="preserve">Tired Rynoka</t>
        </is>
      </c>
      <c r="B1833" t="inlineStr">
        <is>
          <t xml:space="preserve">David Fenn</t>
        </is>
      </c>
      <c r="C1833" t="inlineStr">
        <is>
          <t xml:space="preserve">Moonlighter (Original Game Soundtrack)</t>
        </is>
      </c>
      <c r="D1833">
        <v>2018</v>
      </c>
      <c r="E1833" t="inlineStr">
        <is>
          <t xml:space="preserve">Moonlighter</t>
        </is>
      </c>
      <c r="F1833" t="inlineStr">
        <is>
          <t xml:space="preserve">Moonlighter/17. Tired Rynoka.mp3</t>
        </is>
      </c>
    </row>
    <row r="1834" spans="1:7">
      <c r="A1834" t="inlineStr">
        <is>
          <t xml:space="preserve">The Abandoned Laboratory</t>
        </is>
      </c>
      <c r="B1834" t="inlineStr">
        <is>
          <t xml:space="preserve">David Fenn</t>
        </is>
      </c>
      <c r="C1834" t="inlineStr">
        <is>
          <t xml:space="preserve">Moonlighter (Original Game Soundtrack)</t>
        </is>
      </c>
      <c r="D1834">
        <v>2018</v>
      </c>
      <c r="E1834" t="inlineStr">
        <is>
          <t xml:space="preserve">Moonlighter</t>
        </is>
      </c>
      <c r="F1834" t="inlineStr">
        <is>
          <t xml:space="preserve">Moonlighter/18. The Abandoned Laboratory.mp3</t>
        </is>
      </c>
    </row>
    <row r="1835" spans="1:7">
      <c r="A1835" t="inlineStr">
        <is>
          <t xml:space="preserve">Haywire</t>
        </is>
      </c>
      <c r="B1835" t="inlineStr">
        <is>
          <t xml:space="preserve">David Fenn</t>
        </is>
      </c>
      <c r="C1835" t="inlineStr">
        <is>
          <t xml:space="preserve">Moonlighter (Original Game Soundtrack)</t>
        </is>
      </c>
      <c r="D1835">
        <v>2018</v>
      </c>
      <c r="E1835" t="inlineStr">
        <is>
          <t xml:space="preserve">Moonlighter</t>
        </is>
      </c>
      <c r="F1835" t="inlineStr">
        <is>
          <t xml:space="preserve">Moonlighter/19. Haywire.mp3</t>
        </is>
      </c>
    </row>
    <row r="1836" spans="1:7">
      <c r="A1836" t="inlineStr">
        <is>
          <t xml:space="preserve">Uncontrolled Variables</t>
        </is>
      </c>
      <c r="B1836" t="inlineStr">
        <is>
          <t xml:space="preserve">David Fenn</t>
        </is>
      </c>
      <c r="C1836" t="inlineStr">
        <is>
          <t xml:space="preserve">Moonlighter (Original Game Soundtrack)</t>
        </is>
      </c>
      <c r="D1836">
        <v>2018</v>
      </c>
      <c r="E1836" t="inlineStr">
        <is>
          <t xml:space="preserve">Moonlighter</t>
        </is>
      </c>
      <c r="F1836" t="inlineStr">
        <is>
          <t xml:space="preserve">Moonlighter/20. Uncontrolled Variables.mp3</t>
        </is>
      </c>
    </row>
    <row r="1837" spans="1:7">
      <c r="A1837" t="inlineStr">
        <is>
          <t xml:space="preserve">Energy Flux</t>
        </is>
      </c>
      <c r="B1837" t="inlineStr">
        <is>
          <t xml:space="preserve">David Fenn</t>
        </is>
      </c>
      <c r="C1837" t="inlineStr">
        <is>
          <t xml:space="preserve">Moonlighter (Original Game Soundtrack)</t>
        </is>
      </c>
      <c r="D1837">
        <v>2018</v>
      </c>
      <c r="E1837" t="inlineStr">
        <is>
          <t xml:space="preserve">Moonlighter</t>
        </is>
      </c>
      <c r="F1837" t="inlineStr">
        <is>
          <t xml:space="preserve">Moonlighter/21. Energy Flux.mp3</t>
        </is>
      </c>
    </row>
    <row r="1838" spans="1:7">
      <c r="A1838" t="inlineStr">
        <is>
          <t xml:space="preserve">The Void</t>
        </is>
      </c>
      <c r="B1838" t="inlineStr">
        <is>
          <t xml:space="preserve">David Fenn</t>
        </is>
      </c>
      <c r="C1838" t="inlineStr">
        <is>
          <t xml:space="preserve">Moonlighter (Original Game Soundtrack)</t>
        </is>
      </c>
      <c r="D1838">
        <v>2018</v>
      </c>
      <c r="E1838" t="inlineStr">
        <is>
          <t xml:space="preserve">Moonlighter</t>
        </is>
      </c>
      <c r="F1838" t="inlineStr">
        <is>
          <t xml:space="preserve">Moonlighter/22. The Void.mp3</t>
        </is>
      </c>
    </row>
    <row r="1839" spans="1:7">
      <c r="A1839" t="inlineStr">
        <is>
          <t xml:space="preserve">The Heroic Merchant</t>
        </is>
      </c>
      <c r="B1839" t="inlineStr">
        <is>
          <t xml:space="preserve">David Fenn</t>
        </is>
      </c>
      <c r="C1839" t="inlineStr">
        <is>
          <t xml:space="preserve">Moonlighter (Original Game Soundtrack)</t>
        </is>
      </c>
      <c r="D1839">
        <v>2018</v>
      </c>
      <c r="E1839" t="inlineStr">
        <is>
          <t xml:space="preserve">Moonlighter</t>
        </is>
      </c>
      <c r="F1839" t="inlineStr">
        <is>
          <t xml:space="preserve">Moonlighter/23. The Heroic Merchant.mp3</t>
        </is>
      </c>
    </row>
    <row r="1840" spans="1:7">
      <c r="A1840" t="inlineStr">
        <is>
          <t xml:space="preserve">Rynoka Variations (Bonus Track)</t>
        </is>
      </c>
      <c r="B1840" t="inlineStr">
        <is>
          <t xml:space="preserve">David Fenn</t>
        </is>
      </c>
      <c r="C1840" t="inlineStr">
        <is>
          <t xml:space="preserve">Moonlighter (Original Game Soundtrack)</t>
        </is>
      </c>
      <c r="D1840">
        <v>2018</v>
      </c>
      <c r="E1840" t="inlineStr">
        <is>
          <t xml:space="preserve">Moonlighter</t>
        </is>
      </c>
      <c r="F1840" t="inlineStr">
        <is>
          <t xml:space="preserve">Moonlighter/24. Rynoka Variations (Bonus Track).mp3</t>
        </is>
      </c>
    </row>
    <row r="1841" spans="1:7">
      <c r="A1841" t="inlineStr">
        <is>
          <t xml:space="preserve">Dreams of Adventures (Bonus Track)</t>
        </is>
      </c>
      <c r="B1841" t="inlineStr">
        <is>
          <t xml:space="preserve">David Fenn</t>
        </is>
      </c>
      <c r="C1841" t="inlineStr">
        <is>
          <t xml:space="preserve">Moonlighter (Original Game Soundtrack)</t>
        </is>
      </c>
      <c r="D1841">
        <v>2018</v>
      </c>
      <c r="E1841" t="inlineStr">
        <is>
          <t xml:space="preserve">Moonlighter</t>
        </is>
      </c>
      <c r="F1841" t="inlineStr">
        <is>
          <t xml:space="preserve">Moonlighter/25. Dreams of Adventures (Bonus Track).mp3</t>
        </is>
      </c>
    </row>
    <row r="1842" spans="1:7">
      <c r="A1842" t="inlineStr">
        <is>
          <t xml:space="preserve">Moonlighter (Nintendo Switch™ Announcement Trailer)</t>
        </is>
      </c>
      <c r="B1842" t="inlineStr">
        <is>
          <t xml:space="preserve">pablo, Caballero</t>
        </is>
      </c>
      <c r="C1842" t="inlineStr">
        <is>
          <t xml:space="preserve">Moonlighter (Original Game Soundtrack)</t>
        </is>
      </c>
      <c r="D1842">
        <v>2018</v>
      </c>
      <c r="E1842" t="inlineStr">
        <is>
          <t xml:space="preserve">Moonlighter</t>
        </is>
      </c>
      <c r="F1842" t="inlineStr">
        <is>
          <t xml:space="preserve">Moonlighter/26. Moonlighter Nintendo Switch Announcement Trailer (Pablo Caballero).mp3</t>
        </is>
      </c>
    </row>
    <row r="1843" spans="1:7">
      <c r="A1843" t="inlineStr">
        <is>
          <t xml:space="preserve">Enter the Caves</t>
        </is>
      </c>
      <c r="B1843" t="inlineStr">
        <is>
          <t xml:space="preserve">From Grotto &amp; Niilo Takalainen</t>
        </is>
      </c>
      <c r="C1843" t="inlineStr">
        <is>
          <t xml:space="preserve">Noita Official Sountrack vol. 1</t>
        </is>
      </c>
      <c r="D1843">
        <v>2019</v>
      </c>
      <c r="E1843" t="inlineStr">
        <is>
          <t xml:space="preserve">Noita</t>
        </is>
      </c>
      <c r="F1843" t="inlineStr">
        <is>
          <t xml:space="preserve">Noita/01 - Enter the Caves.mp3</t>
        </is>
      </c>
    </row>
    <row r="1844" spans="1:7">
      <c r="A1844" t="inlineStr">
        <is>
          <t xml:space="preserve">Kick the Cart!</t>
        </is>
      </c>
      <c r="B1844" t="inlineStr">
        <is>
          <t xml:space="preserve">From Grotto &amp; Niilo Takalainen</t>
        </is>
      </c>
      <c r="C1844" t="inlineStr">
        <is>
          <t xml:space="preserve">Noita, Vol. 2 (Original Game Soundtrack)</t>
        </is>
      </c>
      <c r="D1844">
        <v>2020</v>
      </c>
      <c r="E1844" t="inlineStr">
        <is>
          <t xml:space="preserve">Noita</t>
        </is>
      </c>
      <c r="F1844" t="inlineStr">
        <is>
          <t xml:space="preserve">Noita/01. Kick the Cart!.mp3</t>
        </is>
      </c>
    </row>
    <row r="1845" spans="1:7">
      <c r="A1845" t="inlineStr">
        <is>
          <t xml:space="preserve">Modern Times</t>
        </is>
      </c>
      <c r="B1845" t="inlineStr">
        <is>
          <t xml:space="preserve">From Grotto &amp; Niilo Takalainen</t>
        </is>
      </c>
      <c r="C1845" t="inlineStr">
        <is>
          <t xml:space="preserve">Noita, Vol. 3 (Original Game Soundtrack)</t>
        </is>
      </c>
      <c r="D1845">
        <v>2022</v>
      </c>
      <c r="E1845" t="inlineStr">
        <is>
          <t xml:space="preserve">Noita</t>
        </is>
      </c>
      <c r="F1845" t="inlineStr">
        <is>
          <t xml:space="preserve">Noita/01. Modern Times.mp3</t>
        </is>
      </c>
    </row>
    <row r="1846" spans="1:7">
      <c r="A1846" t="inlineStr">
        <is>
          <t xml:space="preserve">Daddy Long-Leg's Surprise</t>
        </is>
      </c>
      <c r="B1846" t="inlineStr">
        <is>
          <t xml:space="preserve">From Grotto &amp; Niilo Takalainen</t>
        </is>
      </c>
      <c r="C1846" t="inlineStr">
        <is>
          <t xml:space="preserve">Noita Official Sountrack vol. 1</t>
        </is>
      </c>
      <c r="D1846">
        <v>2019</v>
      </c>
      <c r="E1846" t="inlineStr">
        <is>
          <t xml:space="preserve">Noita</t>
        </is>
      </c>
      <c r="F1846" t="inlineStr">
        <is>
          <t xml:space="preserve">Noita/02 - Daddy Long-Leg's Surprise .mp3</t>
        </is>
      </c>
    </row>
    <row r="1847" spans="1:7">
      <c r="A1847" t="inlineStr">
        <is>
          <t xml:space="preserve">Cobalt Worm Aftermath</t>
        </is>
      </c>
      <c r="B1847" t="inlineStr">
        <is>
          <t xml:space="preserve">From Grotto &amp; Niilo Takalainen</t>
        </is>
      </c>
      <c r="C1847" t="inlineStr">
        <is>
          <t xml:space="preserve">Noita, Vol. 2 (Original Game Soundtrack)</t>
        </is>
      </c>
      <c r="D1847">
        <v>2020</v>
      </c>
      <c r="E1847" t="inlineStr">
        <is>
          <t xml:space="preserve">Noita</t>
        </is>
      </c>
      <c r="F1847" t="inlineStr">
        <is>
          <t xml:space="preserve">Noita/02. Cobalt Worm Aftermath.mp3</t>
        </is>
      </c>
    </row>
    <row r="1848" spans="1:7">
      <c r="A1848" t="inlineStr">
        <is>
          <t xml:space="preserve">Timing Chain</t>
        </is>
      </c>
      <c r="B1848" t="inlineStr">
        <is>
          <t xml:space="preserve">From Grotto &amp; Niilo Takalainen</t>
        </is>
      </c>
      <c r="C1848" t="inlineStr">
        <is>
          <t xml:space="preserve">Noita, Vol. 3 (Original Game Soundtrack)</t>
        </is>
      </c>
      <c r="D1848">
        <v>2022</v>
      </c>
      <c r="E1848" t="inlineStr">
        <is>
          <t xml:space="preserve">Noita</t>
        </is>
      </c>
      <c r="F1848" t="inlineStr">
        <is>
          <t xml:space="preserve">Noita/02. Timing Chain.mp3</t>
        </is>
      </c>
    </row>
    <row r="1849" spans="1:7">
      <c r="A1849" t="inlineStr">
        <is>
          <t xml:space="preserve">Out-take I - Herkku</t>
        </is>
      </c>
      <c r="B1849" t="inlineStr">
        <is>
          <t xml:space="preserve">From Grotto &amp; Niilo Takalainen</t>
        </is>
      </c>
      <c r="C1849" t="inlineStr">
        <is>
          <t xml:space="preserve">Noita Official Sountrack vol. 1</t>
        </is>
      </c>
      <c r="D1849">
        <v>2019</v>
      </c>
      <c r="E1849" t="inlineStr">
        <is>
          <t xml:space="preserve">Noita</t>
        </is>
      </c>
      <c r="F1849" t="inlineStr">
        <is>
          <t xml:space="preserve">Noita/03 - Out-take I - Herkku.mp3</t>
        </is>
      </c>
    </row>
    <row r="1850" spans="1:7">
      <c r="A1850" t="inlineStr">
        <is>
          <t xml:space="preserve">Needs Maintenance</t>
        </is>
      </c>
      <c r="B1850" t="inlineStr">
        <is>
          <t xml:space="preserve">From Grotto &amp; Niilo Takalainen</t>
        </is>
      </c>
      <c r="C1850" t="inlineStr">
        <is>
          <t xml:space="preserve">Noita, Vol. 3 (Original Game Soundtrack)</t>
        </is>
      </c>
      <c r="D1850">
        <v>2022</v>
      </c>
      <c r="E1850" t="inlineStr">
        <is>
          <t xml:space="preserve">Noita</t>
        </is>
      </c>
      <c r="F1850" t="inlineStr">
        <is>
          <t xml:space="preserve">Noita/03. Needs Maintenance.mp3</t>
        </is>
      </c>
    </row>
    <row r="1851" spans="1:7">
      <c r="A1851" t="inlineStr">
        <is>
          <t xml:space="preserve">Out-take I - Taikasauvojen maa</t>
        </is>
      </c>
      <c r="B1851" t="inlineStr">
        <is>
          <t xml:space="preserve">From Grotto &amp; Niilo Takalainen</t>
        </is>
      </c>
      <c r="C1851" t="inlineStr">
        <is>
          <t xml:space="preserve">Noita, Vol. 2 (Original Game Soundtrack)</t>
        </is>
      </c>
      <c r="D1851">
        <v>2020</v>
      </c>
      <c r="E1851" t="inlineStr">
        <is>
          <t xml:space="preserve">Noita</t>
        </is>
      </c>
      <c r="F1851" t="inlineStr">
        <is>
          <t xml:space="preserve">Noita/03. Out-take I - Taikasauvojen maa.mp3</t>
        </is>
      </c>
    </row>
    <row r="1852" spans="1:7">
      <c r="A1852" t="inlineStr">
        <is>
          <t xml:space="preserve">Sweet Depths</t>
        </is>
      </c>
      <c r="B1852" t="inlineStr">
        <is>
          <t xml:space="preserve">From Grotto &amp; Niilo Takalainen</t>
        </is>
      </c>
      <c r="C1852" t="inlineStr">
        <is>
          <t xml:space="preserve">Noita Official Sountrack vol. 1</t>
        </is>
      </c>
      <c r="D1852">
        <v>2019</v>
      </c>
      <c r="E1852" t="inlineStr">
        <is>
          <t xml:space="preserve">Noita</t>
        </is>
      </c>
      <c r="F1852" t="inlineStr">
        <is>
          <t xml:space="preserve">Noita/04 - Sweet Depths.mp3</t>
        </is>
      </c>
    </row>
    <row r="1853" spans="1:7">
      <c r="A1853" t="inlineStr">
        <is>
          <t xml:space="preserve">I'm a Sheep and My Wool Protects Me from the Cold</t>
        </is>
      </c>
      <c r="B1853" t="inlineStr">
        <is>
          <t xml:space="preserve">From Grotto &amp; Niilo Takalainen</t>
        </is>
      </c>
      <c r="C1853" t="inlineStr">
        <is>
          <t xml:space="preserve">Noita, Vol. 2 (Original Game Soundtrack)</t>
        </is>
      </c>
      <c r="D1853">
        <v>2020</v>
      </c>
      <c r="E1853" t="inlineStr">
        <is>
          <t xml:space="preserve">Noita</t>
        </is>
      </c>
      <c r="F1853" t="inlineStr">
        <is>
          <t xml:space="preserve">Noita/04. I'm a Sheep and My Wool Protects Me from the Cold.mp3</t>
        </is>
      </c>
    </row>
    <row r="1854" spans="1:7">
      <c r="A1854" t="inlineStr">
        <is>
          <t xml:space="preserve">Out-take I - Pyramidista kuuluu kummia</t>
        </is>
      </c>
      <c r="B1854" t="inlineStr">
        <is>
          <t xml:space="preserve">From Grotto &amp; Niilo Takalainen</t>
        </is>
      </c>
      <c r="C1854" t="inlineStr">
        <is>
          <t xml:space="preserve">Noita, Vol. 3 (Original Game Soundtrack)</t>
        </is>
      </c>
      <c r="D1854">
        <v>2022</v>
      </c>
      <c r="E1854" t="inlineStr">
        <is>
          <t xml:space="preserve">Noita</t>
        </is>
      </c>
      <c r="F1854" t="inlineStr">
        <is>
          <t xml:space="preserve">Noita/04. Out-take I - Pyramidista kuuluu kummia.mp3</t>
        </is>
      </c>
    </row>
    <row r="1855" spans="1:7">
      <c r="A1855" t="inlineStr">
        <is>
          <t xml:space="preserve">Teleport to Happier Times</t>
        </is>
      </c>
      <c r="B1855" t="inlineStr">
        <is>
          <t xml:space="preserve">From Grotto &amp; Niilo Takalainen</t>
        </is>
      </c>
      <c r="C1855" t="inlineStr">
        <is>
          <t xml:space="preserve">Noita Official Sountrack vol. 1</t>
        </is>
      </c>
      <c r="D1855">
        <v>2019</v>
      </c>
      <c r="E1855" t="inlineStr">
        <is>
          <t xml:space="preserve">Noita</t>
        </is>
      </c>
      <c r="F1855" t="inlineStr">
        <is>
          <t xml:space="preserve">Noita/05 - Teleport to Happier Times.mp3</t>
        </is>
      </c>
    </row>
    <row r="1856" spans="1:7">
      <c r="A1856" t="inlineStr">
        <is>
          <t xml:space="preserve">Noises All Around Us</t>
        </is>
      </c>
      <c r="B1856" t="inlineStr">
        <is>
          <t xml:space="preserve">From Grotto &amp; Niilo Takalainen</t>
        </is>
      </c>
      <c r="C1856" t="inlineStr">
        <is>
          <t xml:space="preserve">Noita, Vol. 3 (Original Game Soundtrack)</t>
        </is>
      </c>
      <c r="D1856">
        <v>2022</v>
      </c>
      <c r="E1856" t="inlineStr">
        <is>
          <t xml:space="preserve">Noita</t>
        </is>
      </c>
      <c r="F1856" t="inlineStr">
        <is>
          <t xml:space="preserve">Noita/05. Noises All Around Us.mp3</t>
        </is>
      </c>
    </row>
    <row r="1857" spans="1:7">
      <c r="A1857" t="inlineStr">
        <is>
          <t xml:space="preserve">Out-take II - Hiiden kivi</t>
        </is>
      </c>
      <c r="B1857" t="inlineStr">
        <is>
          <t xml:space="preserve">From Grotto &amp; Niilo Takalainen</t>
        </is>
      </c>
      <c r="C1857" t="inlineStr">
        <is>
          <t xml:space="preserve">Noita, Vol. 2 (Original Game Soundtrack)</t>
        </is>
      </c>
      <c r="D1857">
        <v>2020</v>
      </c>
      <c r="E1857" t="inlineStr">
        <is>
          <t xml:space="preserve">Noita</t>
        </is>
      </c>
      <c r="F1857" t="inlineStr">
        <is>
          <t xml:space="preserve">Noita/05. Out-take II - Hiiden kivi.mp3</t>
        </is>
      </c>
    </row>
    <row r="1858" spans="1:7">
      <c r="A1858" t="inlineStr">
        <is>
          <t xml:space="preserve">There's Sand in My Wand</t>
        </is>
      </c>
      <c r="B1858" t="inlineStr">
        <is>
          <t xml:space="preserve">From Grotto &amp; Niilo Takalainen</t>
        </is>
      </c>
      <c r="C1858" t="inlineStr">
        <is>
          <t xml:space="preserve">Noita Official Sountrack vol. 1</t>
        </is>
      </c>
      <c r="D1858">
        <v>2019</v>
      </c>
      <c r="E1858" t="inlineStr">
        <is>
          <t xml:space="preserve">Noita</t>
        </is>
      </c>
      <c r="F1858" t="inlineStr">
        <is>
          <t xml:space="preserve">Noita/06 - There's Sand in My Wand.mp3</t>
        </is>
      </c>
    </row>
    <row r="1859" spans="1:7">
      <c r="A1859" t="inlineStr">
        <is>
          <t xml:space="preserve">Mindless Machine</t>
        </is>
      </c>
      <c r="B1859" t="inlineStr">
        <is>
          <t xml:space="preserve">From Grotto &amp; Niilo Takalainen</t>
        </is>
      </c>
      <c r="C1859" t="inlineStr">
        <is>
          <t xml:space="preserve">Noita, Vol. 3 (Original Game Soundtrack)</t>
        </is>
      </c>
      <c r="D1859">
        <v>2022</v>
      </c>
      <c r="E1859" t="inlineStr">
        <is>
          <t xml:space="preserve">Noita</t>
        </is>
      </c>
      <c r="F1859" t="inlineStr">
        <is>
          <t xml:space="preserve">Noita/06. Mindless Machine.mp3</t>
        </is>
      </c>
    </row>
    <row r="1860" spans="1:7">
      <c r="A1860" t="inlineStr">
        <is>
          <t xml:space="preserve">Stop for a Brew</t>
        </is>
      </c>
      <c r="B1860" t="inlineStr">
        <is>
          <t xml:space="preserve">From Grotto &amp; Niilo Takalainen</t>
        </is>
      </c>
      <c r="C1860" t="inlineStr">
        <is>
          <t xml:space="preserve">Noita, Vol. 2 (Original Game Soundtrack)</t>
        </is>
      </c>
      <c r="D1860">
        <v>2020</v>
      </c>
      <c r="E1860" t="inlineStr">
        <is>
          <t xml:space="preserve">Noita</t>
        </is>
      </c>
      <c r="F1860" t="inlineStr">
        <is>
          <t xml:space="preserve">Noita/06. Stop for a Brew.mp3</t>
        </is>
      </c>
    </row>
    <row r="1861" spans="1:7">
      <c r="A1861" t="inlineStr">
        <is>
          <t xml:space="preserve">Beat of The Kosmos</t>
        </is>
      </c>
      <c r="B1861" t="inlineStr">
        <is>
          <t xml:space="preserve">From Grotto &amp; Niilo Takalainen</t>
        </is>
      </c>
      <c r="C1861" t="inlineStr">
        <is>
          <t xml:space="preserve">Noita Official Sountrack vol. 1</t>
        </is>
      </c>
      <c r="D1861">
        <v>2019</v>
      </c>
      <c r="E1861" t="inlineStr">
        <is>
          <t xml:space="preserve">Noita</t>
        </is>
      </c>
      <c r="F1861" t="inlineStr">
        <is>
          <t xml:space="preserve">Noita/07 - Beat of The Kosmos.mp3</t>
        </is>
      </c>
    </row>
    <row r="1862" spans="1:7">
      <c r="A1862" t="inlineStr">
        <is>
          <t xml:space="preserve">Out-take II - Vaarallisen yön lumo</t>
        </is>
      </c>
      <c r="B1862" t="inlineStr">
        <is>
          <t xml:space="preserve">From Grotto &amp; Niilo Takalainen</t>
        </is>
      </c>
      <c r="C1862" t="inlineStr">
        <is>
          <t xml:space="preserve">Noita, Vol. 3 (Original Game Soundtrack)</t>
        </is>
      </c>
      <c r="D1862">
        <v>2022</v>
      </c>
      <c r="E1862" t="inlineStr">
        <is>
          <t xml:space="preserve">Noita</t>
        </is>
      </c>
      <c r="F1862" t="inlineStr">
        <is>
          <t xml:space="preserve">Noita/07. Out-take II - Vaarallisen yön lumo.mp3</t>
        </is>
      </c>
    </row>
    <row r="1863" spans="1:7">
      <c r="A1863" t="inlineStr">
        <is>
          <t xml:space="preserve">Out-take III - Lupaus paremmasta</t>
        </is>
      </c>
      <c r="B1863" t="inlineStr">
        <is>
          <t xml:space="preserve">From Grotto &amp; Niilo Takalainen</t>
        </is>
      </c>
      <c r="C1863" t="inlineStr">
        <is>
          <t xml:space="preserve">Noita, Vol. 2 (Original Game Soundtrack)</t>
        </is>
      </c>
      <c r="D1863">
        <v>2020</v>
      </c>
      <c r="E1863" t="inlineStr">
        <is>
          <t xml:space="preserve">Noita</t>
        </is>
      </c>
      <c r="F1863" t="inlineStr">
        <is>
          <t xml:space="preserve">Noita/07. Out-take III - Lupaus paremmasta.mp3</t>
        </is>
      </c>
    </row>
    <row r="1864" spans="1:7">
      <c r="A1864" t="inlineStr">
        <is>
          <t xml:space="preserve">Peace At Last</t>
        </is>
      </c>
      <c r="B1864" t="inlineStr">
        <is>
          <t xml:space="preserve">From Grotto &amp; Niilo Takalainen</t>
        </is>
      </c>
      <c r="C1864" t="inlineStr">
        <is>
          <t xml:space="preserve">Noita Official Sountrack vol. 1</t>
        </is>
      </c>
      <c r="D1864">
        <v>2019</v>
      </c>
      <c r="E1864" t="inlineStr">
        <is>
          <t xml:space="preserve">Noita</t>
        </is>
      </c>
      <c r="F1864" t="inlineStr">
        <is>
          <t xml:space="preserve">Noita/08 - Peace At Last.mp3</t>
        </is>
      </c>
    </row>
    <row r="1865" spans="1:7">
      <c r="A1865" t="inlineStr">
        <is>
          <t xml:space="preserve">Out-take III - Eikö ole letkeetä</t>
        </is>
      </c>
      <c r="B1865" t="inlineStr">
        <is>
          <t xml:space="preserve">From Grotto &amp; Niilo Takalainen</t>
        </is>
      </c>
      <c r="C1865" t="inlineStr">
        <is>
          <t xml:space="preserve">Noita, Vol. 3 (Original Game Soundtrack)</t>
        </is>
      </c>
      <c r="D1865">
        <v>2022</v>
      </c>
      <c r="E1865" t="inlineStr">
        <is>
          <t xml:space="preserve">Noita</t>
        </is>
      </c>
      <c r="F1865" t="inlineStr">
        <is>
          <t xml:space="preserve">Noita/08. Out-take III - Eikö ole letkeetä.mp3</t>
        </is>
      </c>
    </row>
    <row r="1866" spans="1:7">
      <c r="A1866" t="inlineStr">
        <is>
          <t xml:space="preserve">Out-take IV - Orbin arvoitus</t>
        </is>
      </c>
      <c r="B1866" t="inlineStr">
        <is>
          <t xml:space="preserve">From Grotto &amp; Niilo Takalainen</t>
        </is>
      </c>
      <c r="C1866" t="inlineStr">
        <is>
          <t xml:space="preserve">Noita, Vol. 2 (Original Game Soundtrack)</t>
        </is>
      </c>
      <c r="D1866">
        <v>2020</v>
      </c>
      <c r="E1866" t="inlineStr">
        <is>
          <t xml:space="preserve">Noita</t>
        </is>
      </c>
      <c r="F1866" t="inlineStr">
        <is>
          <t xml:space="preserve">Noita/08. Out-take IV - Orbin arvoitus.mp3</t>
        </is>
      </c>
    </row>
    <row r="1867" spans="1:7">
      <c r="A1867" t="inlineStr">
        <is>
          <t xml:space="preserve">Holy Mountain Theme</t>
        </is>
      </c>
      <c r="B1867" t="inlineStr">
        <is>
          <t xml:space="preserve">From Grotto &amp; Niilo Takalainen</t>
        </is>
      </c>
      <c r="C1867" t="inlineStr">
        <is>
          <t xml:space="preserve">Noita Official Sountrack vol. 1</t>
        </is>
      </c>
      <c r="D1867">
        <v>2019</v>
      </c>
      <c r="E1867" t="inlineStr">
        <is>
          <t xml:space="preserve">Noita</t>
        </is>
      </c>
      <c r="F1867" t="inlineStr">
        <is>
          <t xml:space="preserve">Noita/09 - Holy Mountain Theme.mp3</t>
        </is>
      </c>
    </row>
    <row r="1868" spans="1:7">
      <c r="A1868" t="inlineStr">
        <is>
          <t xml:space="preserve">Looting the Rainforest</t>
        </is>
      </c>
      <c r="B1868" t="inlineStr">
        <is>
          <t xml:space="preserve">From Grotto &amp; Niilo Takalainen</t>
        </is>
      </c>
      <c r="C1868" t="inlineStr">
        <is>
          <t xml:space="preserve">Noita, Vol. 3 (Original Game Soundtrack)</t>
        </is>
      </c>
      <c r="D1868">
        <v>2022</v>
      </c>
      <c r="E1868" t="inlineStr">
        <is>
          <t xml:space="preserve">Noita</t>
        </is>
      </c>
      <c r="F1868" t="inlineStr">
        <is>
          <t xml:space="preserve">Noita/09. Looting the Rainforest.mp3</t>
        </is>
      </c>
    </row>
    <row r="1869" spans="1:7">
      <c r="A1869" t="inlineStr">
        <is>
          <t xml:space="preserve">Three Eggs</t>
        </is>
      </c>
      <c r="B1869" t="inlineStr">
        <is>
          <t xml:space="preserve">From Grotto &amp; Niilo Takalainen</t>
        </is>
      </c>
      <c r="C1869" t="inlineStr">
        <is>
          <t xml:space="preserve">Noita, Vol. 2 (Original Game Soundtrack)</t>
        </is>
      </c>
      <c r="D1869">
        <v>2020</v>
      </c>
      <c r="E1869" t="inlineStr">
        <is>
          <t xml:space="preserve">Noita</t>
        </is>
      </c>
      <c r="F1869" t="inlineStr">
        <is>
          <t xml:space="preserve">Noita/09. Three Eggs.mp3</t>
        </is>
      </c>
    </row>
    <row r="1870" spans="1:7">
      <c r="A1870" t="inlineStr">
        <is>
          <t xml:space="preserve">Lava Lake</t>
        </is>
      </c>
      <c r="B1870" t="inlineStr">
        <is>
          <t xml:space="preserve">From Grotto &amp; Niilo Takalainen</t>
        </is>
      </c>
      <c r="C1870" t="inlineStr">
        <is>
          <t xml:space="preserve">Noita Official Sountrack vol. 1</t>
        </is>
      </c>
      <c r="D1870">
        <v>2019</v>
      </c>
      <c r="E1870" t="inlineStr">
        <is>
          <t xml:space="preserve">Noita</t>
        </is>
      </c>
      <c r="F1870" t="inlineStr">
        <is>
          <t xml:space="preserve">Noita/10 - Lava Lake.mp3</t>
        </is>
      </c>
    </row>
    <row r="1871" spans="1:7">
      <c r="A1871" t="inlineStr">
        <is>
          <t xml:space="preserve">Burning Garbage Bins</t>
        </is>
      </c>
      <c r="B1871" t="inlineStr">
        <is>
          <t xml:space="preserve">From Grotto &amp; Niilo Takalainen</t>
        </is>
      </c>
      <c r="C1871" t="inlineStr">
        <is>
          <t xml:space="preserve">Noita, Vol. 2 (Original Game Soundtrack)</t>
        </is>
      </c>
      <c r="D1871">
        <v>2020</v>
      </c>
      <c r="E1871" t="inlineStr">
        <is>
          <t xml:space="preserve">Noita</t>
        </is>
      </c>
      <c r="F1871" t="inlineStr">
        <is>
          <t xml:space="preserve">Noita/10. Burning Garbage Bins.mp3</t>
        </is>
      </c>
    </row>
    <row r="1872" spans="1:7">
      <c r="A1872" t="inlineStr">
        <is>
          <t xml:space="preserve">Happy Nature Boy</t>
        </is>
      </c>
      <c r="B1872" t="inlineStr">
        <is>
          <t xml:space="preserve">From Grotto &amp; Niilo Takalainen</t>
        </is>
      </c>
      <c r="C1872" t="inlineStr">
        <is>
          <t xml:space="preserve">Noita, Vol. 3 (Original Game Soundtrack)</t>
        </is>
      </c>
      <c r="D1872">
        <v>2022</v>
      </c>
      <c r="E1872" t="inlineStr">
        <is>
          <t xml:space="preserve">Noita</t>
        </is>
      </c>
      <c r="F1872" t="inlineStr">
        <is>
          <t xml:space="preserve">Noita/10. Happy Nature Boy.mp3</t>
        </is>
      </c>
    </row>
    <row r="1873" spans="1:7">
      <c r="A1873" t="inlineStr">
        <is>
          <t xml:space="preserve">All-Seeing Eye</t>
        </is>
      </c>
      <c r="B1873" t="inlineStr">
        <is>
          <t xml:space="preserve">From Grotto &amp; Niilo Takalainen</t>
        </is>
      </c>
      <c r="C1873" t="inlineStr">
        <is>
          <t xml:space="preserve">Noita Official Sountrack vol. 1</t>
        </is>
      </c>
      <c r="D1873">
        <v>2019</v>
      </c>
      <c r="E1873" t="inlineStr">
        <is>
          <t xml:space="preserve">Noita</t>
        </is>
      </c>
      <c r="F1873" t="inlineStr">
        <is>
          <t xml:space="preserve">Noita/11 - All-Seeing Eye.mp3</t>
        </is>
      </c>
    </row>
    <row r="1874" spans="1:7">
      <c r="A1874" t="inlineStr">
        <is>
          <t xml:space="preserve">Hiisi Ambush</t>
        </is>
      </c>
      <c r="B1874" t="inlineStr">
        <is>
          <t xml:space="preserve">From Grotto &amp; Niilo Takalainen</t>
        </is>
      </c>
      <c r="C1874" t="inlineStr">
        <is>
          <t xml:space="preserve">Noita, Vol. 2 (Original Game Soundtrack)</t>
        </is>
      </c>
      <c r="D1874">
        <v>2020</v>
      </c>
      <c r="E1874" t="inlineStr">
        <is>
          <t xml:space="preserve">Noita</t>
        </is>
      </c>
      <c r="F1874" t="inlineStr">
        <is>
          <t xml:space="preserve">Noita/11. Hiisi Ambush.mp3</t>
        </is>
      </c>
    </row>
    <row r="1875" spans="1:7">
      <c r="A1875" t="inlineStr">
        <is>
          <t xml:space="preserve">Marchin` with the Swamp Spiders</t>
        </is>
      </c>
      <c r="B1875" t="inlineStr">
        <is>
          <t xml:space="preserve">From Grotto &amp; Niilo Takalainen</t>
        </is>
      </c>
      <c r="C1875" t="inlineStr">
        <is>
          <t xml:space="preserve">Noita, Vol. 3 (Original Game Soundtrack)</t>
        </is>
      </c>
      <c r="D1875">
        <v>2022</v>
      </c>
      <c r="E1875" t="inlineStr">
        <is>
          <t xml:space="preserve">Noita</t>
        </is>
      </c>
      <c r="F1875" t="inlineStr">
        <is>
          <t xml:space="preserve">Noita/11. Marchin` with the Swamp Spiders.mp3</t>
        </is>
      </c>
    </row>
    <row r="1876" spans="1:7">
      <c r="A1876" t="inlineStr">
        <is>
          <t xml:space="preserve">Out-take II - Sukelletaan syvyyksiin</t>
        </is>
      </c>
      <c r="B1876" t="inlineStr">
        <is>
          <t xml:space="preserve">From Grotto &amp; Niilo Takalainen</t>
        </is>
      </c>
      <c r="C1876" t="inlineStr">
        <is>
          <t xml:space="preserve">Noita Official Sountrack vol. 1</t>
        </is>
      </c>
      <c r="D1876">
        <v>2019</v>
      </c>
      <c r="E1876" t="inlineStr">
        <is>
          <t xml:space="preserve">Noita</t>
        </is>
      </c>
      <c r="F1876" t="inlineStr">
        <is>
          <t xml:space="preserve">Noita/12 - Out-take II - Sukelletaan syvyyksiin.mp3</t>
        </is>
      </c>
    </row>
    <row r="1877" spans="1:7">
      <c r="A1877" t="inlineStr">
        <is>
          <t xml:space="preserve">Intriguing Fruit</t>
        </is>
      </c>
      <c r="B1877" t="inlineStr">
        <is>
          <t xml:space="preserve">From Grotto &amp; Niilo Takalainen</t>
        </is>
      </c>
      <c r="C1877" t="inlineStr">
        <is>
          <t xml:space="preserve">Noita, Vol. 3 (Original Game Soundtrack)</t>
        </is>
      </c>
      <c r="D1877">
        <v>2022</v>
      </c>
      <c r="E1877" t="inlineStr">
        <is>
          <t xml:space="preserve">Noita</t>
        </is>
      </c>
      <c r="F1877" t="inlineStr">
        <is>
          <t xml:space="preserve">Noita/12. Intriguing Fruit.mp3</t>
        </is>
      </c>
    </row>
    <row r="1878" spans="1:7">
      <c r="A1878" t="inlineStr">
        <is>
          <t xml:space="preserve">Out-take V - Leimuavat Roskat (alternative version)</t>
        </is>
      </c>
      <c r="B1878" t="inlineStr">
        <is>
          <t xml:space="preserve">From Grotto &amp; Niilo Takalainen</t>
        </is>
      </c>
      <c r="C1878" t="inlineStr">
        <is>
          <t xml:space="preserve">Noita, Vol. 2 (Original Game Soundtrack)</t>
        </is>
      </c>
      <c r="D1878">
        <v>2020</v>
      </c>
      <c r="E1878" t="inlineStr">
        <is>
          <t xml:space="preserve">Noita</t>
        </is>
      </c>
      <c r="F1878" t="inlineStr">
        <is>
          <t xml:space="preserve">Noita/12. Out-take V - Leimuavat Roskat (alternative take).mp3</t>
        </is>
      </c>
    </row>
    <row r="1879" spans="1:7">
      <c r="A1879" t="inlineStr">
        <is>
          <t xml:space="preserve">Walk by the Gesterby Cemetery</t>
        </is>
      </c>
      <c r="B1879" t="inlineStr">
        <is>
          <t xml:space="preserve">From Grotto &amp; Niilo Takalainen</t>
        </is>
      </c>
      <c r="C1879" t="inlineStr">
        <is>
          <t xml:space="preserve">Noita Official Sountrack vol. 1</t>
        </is>
      </c>
      <c r="D1879">
        <v>2019</v>
      </c>
      <c r="E1879" t="inlineStr">
        <is>
          <t xml:space="preserve">Noita</t>
        </is>
      </c>
      <c r="F1879" t="inlineStr">
        <is>
          <t xml:space="preserve">Noita/13 - Walk by the Gesterby Cemetery.mp3</t>
        </is>
      </c>
    </row>
    <row r="1880" spans="1:7">
      <c r="A1880" t="inlineStr">
        <is>
          <t xml:space="preserve">Out-take IV - Torni</t>
        </is>
      </c>
      <c r="B1880" t="inlineStr">
        <is>
          <t xml:space="preserve">From Grotto &amp; Niilo Takalainen</t>
        </is>
      </c>
      <c r="C1880" t="inlineStr">
        <is>
          <t xml:space="preserve">Noita, Vol. 3 (Original Game Soundtrack)</t>
        </is>
      </c>
      <c r="D1880">
        <v>2022</v>
      </c>
      <c r="E1880" t="inlineStr">
        <is>
          <t xml:space="preserve">Noita</t>
        </is>
      </c>
      <c r="F1880" t="inlineStr">
        <is>
          <t xml:space="preserve">Noita/13. Out-take IV - Torni.mp3</t>
        </is>
      </c>
    </row>
    <row r="1881" spans="1:7">
      <c r="A1881" t="inlineStr">
        <is>
          <t xml:space="preserve">Tormented Staff</t>
        </is>
      </c>
      <c r="B1881" t="inlineStr">
        <is>
          <t xml:space="preserve">From Grotto &amp; Niilo Takalainen</t>
        </is>
      </c>
      <c r="C1881" t="inlineStr">
        <is>
          <t xml:space="preserve">Noita, Vol. 2 (Original Game Soundtrack)</t>
        </is>
      </c>
      <c r="D1881">
        <v>2020</v>
      </c>
      <c r="E1881" t="inlineStr">
        <is>
          <t xml:space="preserve">Noita</t>
        </is>
      </c>
      <c r="F1881" t="inlineStr">
        <is>
          <t xml:space="preserve">Noita/13. Tormented Staff.mp3</t>
        </is>
      </c>
    </row>
    <row r="1882" spans="1:7">
      <c r="A1882" t="inlineStr">
        <is>
          <t xml:space="preserve">Audition of the Fungi King</t>
        </is>
      </c>
      <c r="B1882" t="inlineStr">
        <is>
          <t xml:space="preserve">From Grotto &amp; Niilo Takalainen</t>
        </is>
      </c>
      <c r="C1882" t="inlineStr">
        <is>
          <t xml:space="preserve">Noita Official Sountrack vol. 1</t>
        </is>
      </c>
      <c r="D1882">
        <v>2019</v>
      </c>
      <c r="E1882" t="inlineStr">
        <is>
          <t xml:space="preserve">Noita</t>
        </is>
      </c>
      <c r="F1882" t="inlineStr">
        <is>
          <t xml:space="preserve">Noita/14 - Audition of the Fungi King.mp3</t>
        </is>
      </c>
    </row>
    <row r="1883" spans="1:7">
      <c r="A1883" t="inlineStr">
        <is>
          <t xml:space="preserve">Old Magician´s Last Wish</t>
        </is>
      </c>
      <c r="B1883" t="inlineStr">
        <is>
          <t xml:space="preserve">From Grotto &amp; Niilo Takalainen</t>
        </is>
      </c>
      <c r="C1883" t="inlineStr">
        <is>
          <t xml:space="preserve">Noita, Vol. 3 (Original Game Soundtrack)</t>
        </is>
      </c>
      <c r="D1883">
        <v>2022</v>
      </c>
      <c r="E1883" t="inlineStr">
        <is>
          <t xml:space="preserve">Noita</t>
        </is>
      </c>
      <c r="F1883" t="inlineStr">
        <is>
          <t xml:space="preserve">Noita/14. Old Magician´s Last Wish.mp3</t>
        </is>
      </c>
    </row>
    <row r="1884" spans="1:7">
      <c r="A1884" t="inlineStr">
        <is>
          <t xml:space="preserve">Ukko Has Other Plans</t>
        </is>
      </c>
      <c r="B1884" t="inlineStr">
        <is>
          <t xml:space="preserve">From Grotto &amp; Niilo Takalainen</t>
        </is>
      </c>
      <c r="C1884" t="inlineStr">
        <is>
          <t xml:space="preserve">Noita, Vol. 2 (Original Game Soundtrack)</t>
        </is>
      </c>
      <c r="D1884">
        <v>2020</v>
      </c>
      <c r="E1884" t="inlineStr">
        <is>
          <t xml:space="preserve">Noita</t>
        </is>
      </c>
      <c r="F1884" t="inlineStr">
        <is>
          <t xml:space="preserve">Noita/14. Ukko Has Other Plans.mp3</t>
        </is>
      </c>
    </row>
    <row r="1885" spans="1:7">
      <c r="A1885" t="inlineStr">
        <is>
          <t xml:space="preserve">Sun-Coloured Liquid</t>
        </is>
      </c>
      <c r="B1885" t="inlineStr">
        <is>
          <t xml:space="preserve">From Grotto &amp; Niilo Takalainen</t>
        </is>
      </c>
      <c r="C1885" t="inlineStr">
        <is>
          <t xml:space="preserve">Noita Official Sountrack vol. 1</t>
        </is>
      </c>
      <c r="D1885">
        <v>2019</v>
      </c>
      <c r="E1885" t="inlineStr">
        <is>
          <t xml:space="preserve">Noita</t>
        </is>
      </c>
      <c r="F1885" t="inlineStr">
        <is>
          <t xml:space="preserve">Noita/15 - Sun-Coloured Liquid.mp3</t>
        </is>
      </c>
    </row>
    <row r="1886" spans="1:7">
      <c r="A1886" t="inlineStr">
        <is>
          <t xml:space="preserve">Haunted Palace</t>
        </is>
      </c>
      <c r="B1886" t="inlineStr">
        <is>
          <t xml:space="preserve">From Grotto &amp; Niilo Takalainen</t>
        </is>
      </c>
      <c r="C1886" t="inlineStr">
        <is>
          <t xml:space="preserve">Noita, Vol. 3 (Original Game Soundtrack)</t>
        </is>
      </c>
      <c r="D1886">
        <v>2022</v>
      </c>
      <c r="E1886" t="inlineStr">
        <is>
          <t xml:space="preserve">Noita</t>
        </is>
      </c>
      <c r="F1886" t="inlineStr">
        <is>
          <t xml:space="preserve">Noita/15. Haunted Palace.mp3</t>
        </is>
      </c>
    </row>
    <row r="1887" spans="1:7">
      <c r="A1887" t="inlineStr">
        <is>
          <t xml:space="preserve">Out-take VI - Ei oo mitää järkeä</t>
        </is>
      </c>
      <c r="B1887" t="inlineStr">
        <is>
          <t xml:space="preserve">From Grotto &amp; Niilo Takalainen</t>
        </is>
      </c>
      <c r="C1887" t="inlineStr">
        <is>
          <t xml:space="preserve">Noita, Vol. 2 (Original Game Soundtrack)</t>
        </is>
      </c>
      <c r="D1887">
        <v>2020</v>
      </c>
      <c r="E1887" t="inlineStr">
        <is>
          <t xml:space="preserve">Noita</t>
        </is>
      </c>
      <c r="F1887" t="inlineStr">
        <is>
          <t xml:space="preserve">Noita/15. Out-take VI - Ei oo mitää järkeä.mp3</t>
        </is>
      </c>
    </row>
    <row r="1888" spans="1:7">
      <c r="A1888" t="inlineStr">
        <is>
          <t xml:space="preserve">Underground Tram</t>
        </is>
      </c>
      <c r="B1888" t="inlineStr">
        <is>
          <t xml:space="preserve">From Grotto &amp; Niilo Takalainen</t>
        </is>
      </c>
      <c r="C1888" t="inlineStr">
        <is>
          <t xml:space="preserve">Noita Official Sountrack vol. 1</t>
        </is>
      </c>
      <c r="D1888">
        <v>2019</v>
      </c>
      <c r="E1888" t="inlineStr">
        <is>
          <t xml:space="preserve">Noita</t>
        </is>
      </c>
      <c r="F1888" t="inlineStr">
        <is>
          <t xml:space="preserve">Noita/16 - Underground Tram.mp3</t>
        </is>
      </c>
    </row>
    <row r="1889" spans="1:7">
      <c r="A1889" t="inlineStr">
        <is>
          <t xml:space="preserve">It Was All Written in These Scrolls</t>
        </is>
      </c>
      <c r="B1889" t="inlineStr">
        <is>
          <t xml:space="preserve">From Grotto &amp; Niilo Takalainen</t>
        </is>
      </c>
      <c r="C1889" t="inlineStr">
        <is>
          <t xml:space="preserve">Noita, Vol. 2 (Original Game Soundtrack)</t>
        </is>
      </c>
      <c r="D1889">
        <v>2020</v>
      </c>
      <c r="E1889" t="inlineStr">
        <is>
          <t xml:space="preserve">Noita</t>
        </is>
      </c>
      <c r="F1889" t="inlineStr">
        <is>
          <t xml:space="preserve">Noita/16. It Was All Written in These Scrolls.mp3</t>
        </is>
      </c>
    </row>
    <row r="1890" spans="1:7">
      <c r="A1890" t="inlineStr">
        <is>
          <t xml:space="preserve">You Have Angered the Gods</t>
        </is>
      </c>
      <c r="B1890" t="inlineStr">
        <is>
          <t xml:space="preserve">From Grotto &amp; Niilo Takalainen</t>
        </is>
      </c>
      <c r="C1890" t="inlineStr">
        <is>
          <t xml:space="preserve">Noita, Vol. 3 (Original Game Soundtrack)</t>
        </is>
      </c>
      <c r="D1890">
        <v>2022</v>
      </c>
      <c r="E1890" t="inlineStr">
        <is>
          <t xml:space="preserve">Noita</t>
        </is>
      </c>
      <c r="F1890" t="inlineStr">
        <is>
          <t xml:space="preserve">Noita/16. You Have Angered the Gods.mp3</t>
        </is>
      </c>
    </row>
    <row r="1891" spans="1:7">
      <c r="A1891" t="inlineStr">
        <is>
          <t xml:space="preserve">Out-take III - Sammalta</t>
        </is>
      </c>
      <c r="B1891" t="inlineStr">
        <is>
          <t xml:space="preserve">From Grotto &amp; Niilo Takalainen</t>
        </is>
      </c>
      <c r="C1891" t="inlineStr">
        <is>
          <t xml:space="preserve">Noita Official Sountrack vol. 1</t>
        </is>
      </c>
      <c r="D1891">
        <v>2019</v>
      </c>
      <c r="E1891" t="inlineStr">
        <is>
          <t xml:space="preserve">Noita</t>
        </is>
      </c>
      <c r="F1891" t="inlineStr">
        <is>
          <t xml:space="preserve">Noita/17 - Out-take III - Sammalta.mp3</t>
        </is>
      </c>
    </row>
    <row r="1892" spans="1:7">
      <c r="A1892" t="inlineStr">
        <is>
          <t xml:space="preserve">Apparition</t>
        </is>
      </c>
      <c r="B1892" t="inlineStr">
        <is>
          <t xml:space="preserve">From Grotto &amp; Niilo Takalainen</t>
        </is>
      </c>
      <c r="C1892" t="inlineStr">
        <is>
          <t xml:space="preserve">Noita, Vol. 3 (Original Game Soundtrack)</t>
        </is>
      </c>
      <c r="D1892">
        <v>2022</v>
      </c>
      <c r="E1892" t="inlineStr">
        <is>
          <t xml:space="preserve">Noita</t>
        </is>
      </c>
      <c r="F1892" t="inlineStr">
        <is>
          <t xml:space="preserve">Noita/17. Apparition.mp3</t>
        </is>
      </c>
    </row>
    <row r="1893" spans="1:7">
      <c r="A1893" t="inlineStr">
        <is>
          <t xml:space="preserve">Icy Bowels</t>
        </is>
      </c>
      <c r="B1893" t="inlineStr">
        <is>
          <t xml:space="preserve">From Grotto &amp; Niilo Takalainen</t>
        </is>
      </c>
      <c r="C1893" t="inlineStr">
        <is>
          <t xml:space="preserve">Noita, Vol. 2 (Original Game Soundtrack)</t>
        </is>
      </c>
      <c r="D1893">
        <v>2020</v>
      </c>
      <c r="E1893" t="inlineStr">
        <is>
          <t xml:space="preserve">Noita</t>
        </is>
      </c>
      <c r="F1893" t="inlineStr">
        <is>
          <t xml:space="preserve">Noita/17. Icy Bowels.mp3</t>
        </is>
      </c>
    </row>
    <row r="1894" spans="1:7">
      <c r="A1894" t="inlineStr">
        <is>
          <t xml:space="preserve">Taste of Fabulous Tentacles</t>
        </is>
      </c>
      <c r="B1894" t="inlineStr">
        <is>
          <t xml:space="preserve">From Grotto &amp; Niilo Takalainen</t>
        </is>
      </c>
      <c r="C1894" t="inlineStr">
        <is>
          <t xml:space="preserve">Noita Official Sountrack vol. 1</t>
        </is>
      </c>
      <c r="D1894">
        <v>2019</v>
      </c>
      <c r="E1894" t="inlineStr">
        <is>
          <t xml:space="preserve">Noita</t>
        </is>
      </c>
      <c r="F1894" t="inlineStr">
        <is>
          <t xml:space="preserve">Noita/18 - Taste of Fabulous Tentacles.mp3</t>
        </is>
      </c>
    </row>
    <row r="1895" spans="1:7">
      <c r="A1895" t="inlineStr">
        <is>
          <t xml:space="preserve">Kolmisilmän Koipi</t>
        </is>
      </c>
      <c r="B1895" t="inlineStr">
        <is>
          <t xml:space="preserve">From Grotto &amp; Niilo Takalainen</t>
        </is>
      </c>
      <c r="C1895" t="inlineStr">
        <is>
          <t xml:space="preserve">Noita, Vol. 2 (Original Game Soundtrack)</t>
        </is>
      </c>
      <c r="D1895">
        <v>2020</v>
      </c>
      <c r="E1895" t="inlineStr">
        <is>
          <t xml:space="preserve">Noita</t>
        </is>
      </c>
      <c r="F1895" t="inlineStr">
        <is>
          <t xml:space="preserve">Noita/18. Kolmisilmän Koipi.mp3</t>
        </is>
      </c>
    </row>
    <row r="1896" spans="1:7">
      <c r="A1896" t="inlineStr">
        <is>
          <t xml:space="preserve">Triangular Structure</t>
        </is>
      </c>
      <c r="B1896" t="inlineStr">
        <is>
          <t xml:space="preserve">From Grotto &amp; Niilo Takalainen</t>
        </is>
      </c>
      <c r="C1896" t="inlineStr">
        <is>
          <t xml:space="preserve">Noita, Vol. 3 (Original Game Soundtrack)</t>
        </is>
      </c>
      <c r="D1896">
        <v>2022</v>
      </c>
      <c r="E1896" t="inlineStr">
        <is>
          <t xml:space="preserve">Noita</t>
        </is>
      </c>
      <c r="F1896" t="inlineStr">
        <is>
          <t xml:space="preserve">Noita/18. Triangular Structure.mp3</t>
        </is>
      </c>
    </row>
    <row r="1897" spans="1:7">
      <c r="A1897" t="inlineStr">
        <is>
          <t xml:space="preserve">Out-take IV - Toiselle puolelle</t>
        </is>
      </c>
      <c r="B1897" t="inlineStr">
        <is>
          <t xml:space="preserve">From Grotto &amp; Niilo Takalainen</t>
        </is>
      </c>
      <c r="C1897" t="inlineStr">
        <is>
          <t xml:space="preserve">Noita Official Sountrack vol. 1</t>
        </is>
      </c>
      <c r="D1897">
        <v>2019</v>
      </c>
      <c r="E1897" t="inlineStr">
        <is>
          <t xml:space="preserve">Noita</t>
        </is>
      </c>
      <c r="F1897" t="inlineStr">
        <is>
          <t xml:space="preserve">Noita/19 - Out-take IV - Toiselle puolelle.mp3</t>
        </is>
      </c>
    </row>
    <row r="1898" spans="1:7">
      <c r="A1898" t="inlineStr">
        <is>
          <t xml:space="preserve">Another Ancient Ruin</t>
        </is>
      </c>
      <c r="B1898" t="inlineStr">
        <is>
          <t xml:space="preserve">From Grotto &amp; Niilo Takalainen</t>
        </is>
      </c>
      <c r="C1898" t="inlineStr">
        <is>
          <t xml:space="preserve">Noita, Vol. 2 (Original Game Soundtrack)</t>
        </is>
      </c>
      <c r="D1898">
        <v>2020</v>
      </c>
      <c r="E1898" t="inlineStr">
        <is>
          <t xml:space="preserve">Noita</t>
        </is>
      </c>
      <c r="F1898" t="inlineStr">
        <is>
          <t xml:space="preserve">Noita/19. Another Ancient Ruin.mp3</t>
        </is>
      </c>
    </row>
    <row r="1899" spans="1:7">
      <c r="A1899" t="inlineStr">
        <is>
          <t xml:space="preserve">Temptation</t>
        </is>
      </c>
      <c r="B1899" t="inlineStr">
        <is>
          <t xml:space="preserve">From Grotto &amp; Niilo Takalainen</t>
        </is>
      </c>
      <c r="C1899" t="inlineStr">
        <is>
          <t xml:space="preserve">Noita, Vol. 3 (Original Game Soundtrack)</t>
        </is>
      </c>
      <c r="D1899">
        <v>2022</v>
      </c>
      <c r="E1899" t="inlineStr">
        <is>
          <t xml:space="preserve">Noita</t>
        </is>
      </c>
      <c r="F1899" t="inlineStr">
        <is>
          <t xml:space="preserve">Noita/19. Temptation.mp3</t>
        </is>
      </c>
    </row>
    <row r="1900" spans="1:7">
      <c r="A1900" t="inlineStr">
        <is>
          <t xml:space="preserve">Until Next Time (Outro)</t>
        </is>
      </c>
      <c r="B1900" t="inlineStr">
        <is>
          <t xml:space="preserve">From Grotto &amp; Niilo Takalainen</t>
        </is>
      </c>
      <c r="C1900" t="inlineStr">
        <is>
          <t xml:space="preserve">Noita Official Sountrack vol. 1</t>
        </is>
      </c>
      <c r="D1900">
        <v>2019</v>
      </c>
      <c r="E1900" t="inlineStr">
        <is>
          <t xml:space="preserve">Noita</t>
        </is>
      </c>
      <c r="F1900" t="inlineStr">
        <is>
          <t xml:space="preserve">Noita/20 - Until Next Time (Outro).mp3</t>
        </is>
      </c>
    </row>
    <row r="1901" spans="1:7">
      <c r="A1901" t="inlineStr">
        <is>
          <t xml:space="preserve">Kolmisilmä</t>
        </is>
      </c>
      <c r="B1901" t="inlineStr">
        <is>
          <t xml:space="preserve">From Grotto &amp; Niilo Takalainen</t>
        </is>
      </c>
      <c r="C1901" t="inlineStr">
        <is>
          <t xml:space="preserve">Noita, Vol. 3 (Original Game Soundtrack)</t>
        </is>
      </c>
      <c r="D1901">
        <v>2022</v>
      </c>
      <c r="E1901" t="inlineStr">
        <is>
          <t xml:space="preserve">Noita</t>
        </is>
      </c>
      <c r="F1901" t="inlineStr">
        <is>
          <t xml:space="preserve">Noita/20. Kolmisilmä.mp3</t>
        </is>
      </c>
    </row>
    <row r="1902" spans="1:7">
      <c r="A1902" t="inlineStr">
        <is>
          <t xml:space="preserve">Questionable Excavations</t>
        </is>
      </c>
      <c r="B1902" t="inlineStr">
        <is>
          <t xml:space="preserve">From Grotto &amp; Niilo Takalainen</t>
        </is>
      </c>
      <c r="C1902" t="inlineStr">
        <is>
          <t xml:space="preserve">Noita, Vol. 2 (Original Game Soundtrack)</t>
        </is>
      </c>
      <c r="D1902">
        <v>2020</v>
      </c>
      <c r="E1902" t="inlineStr">
        <is>
          <t xml:space="preserve">Noita</t>
        </is>
      </c>
      <c r="F1902" t="inlineStr">
        <is>
          <t xml:space="preserve">Noita/20. Questionable Excavations.mp3</t>
        </is>
      </c>
    </row>
    <row r="1903" spans="1:7">
      <c r="A1903" t="inlineStr">
        <is>
          <t xml:space="preserve">Noita Official Sountrack vol. 1</t>
        </is>
      </c>
      <c r="B1903" t="inlineStr">
        <is>
          <t xml:space="preserve">From Grotto &amp; Niilo Takalainen</t>
        </is>
      </c>
      <c r="C1903" t="inlineStr">
        <is>
          <t xml:space="preserve">Noita Official Sountrack vol. 1</t>
        </is>
      </c>
      <c r="D1903">
        <v>2019</v>
      </c>
      <c r="E1903" t="inlineStr">
        <is>
          <t xml:space="preserve">Noita</t>
        </is>
      </c>
      <c r="F1903" t="inlineStr">
        <is>
          <t xml:space="preserve">Noita/21 - Noita Official Sountrack vol. 1  A-side.mp3</t>
        </is>
      </c>
    </row>
    <row r="1904" spans="1:7">
      <c r="A1904" t="inlineStr">
        <is>
          <t xml:space="preserve">The Walls Want Your Attention</t>
        </is>
      </c>
      <c r="B1904" t="inlineStr">
        <is>
          <t xml:space="preserve">From Grotto &amp; Niilo Takalainen</t>
        </is>
      </c>
      <c r="C1904" t="inlineStr">
        <is>
          <t xml:space="preserve">Noita, Vol. 2 (Original Game Soundtrack)</t>
        </is>
      </c>
      <c r="D1904">
        <v>2020</v>
      </c>
      <c r="E1904" t="inlineStr">
        <is>
          <t xml:space="preserve">Noita</t>
        </is>
      </c>
      <c r="F1904" t="inlineStr">
        <is>
          <t xml:space="preserve">Noita/21. The Walls Want Your Attention.mp3</t>
        </is>
      </c>
    </row>
    <row r="1905" spans="1:7">
      <c r="A1905" t="inlineStr">
        <is>
          <t xml:space="preserve">Noita Official Sountrack vol. 1  B-side</t>
        </is>
      </c>
      <c r="B1905" t="inlineStr">
        <is>
          <t xml:space="preserve">From Grotto &amp; Niilo Takalainen</t>
        </is>
      </c>
      <c r="C1905" t="inlineStr">
        <is>
          <t xml:space="preserve">Noita Official Sountrack vol. 1</t>
        </is>
      </c>
      <c r="D1905">
        <v>2019</v>
      </c>
      <c r="E1905" t="inlineStr">
        <is>
          <t xml:space="preserve">Noita</t>
        </is>
      </c>
      <c r="F1905" t="inlineStr">
        <is>
          <t xml:space="preserve">Noita/22 - Noita Official Sountrack vol. 1  B-side.mp3</t>
        </is>
      </c>
    </row>
    <row r="1906" spans="1:7">
      <c r="A1906" t="inlineStr">
        <is>
          <t xml:space="preserve">Out-take VII - Kultaa jahtaan</t>
        </is>
      </c>
      <c r="B1906" t="inlineStr">
        <is>
          <t xml:space="preserve">From Grotto &amp; Niilo Takalainen</t>
        </is>
      </c>
      <c r="C1906" t="inlineStr">
        <is>
          <t xml:space="preserve">Noita, Vol. 2 (Original Game Soundtrack)</t>
        </is>
      </c>
      <c r="D1906">
        <v>2020</v>
      </c>
      <c r="E1906" t="inlineStr">
        <is>
          <t xml:space="preserve">Noita</t>
        </is>
      </c>
      <c r="F1906" t="inlineStr">
        <is>
          <t xml:space="preserve">Noita/22. Out-take VII - Kultaa jahtaan.mp3</t>
        </is>
      </c>
    </row>
    <row r="1907" spans="1:7">
      <c r="A1907" t="inlineStr">
        <is>
          <t xml:space="preserve">Liekkiö</t>
        </is>
      </c>
      <c r="B1907" t="inlineStr">
        <is>
          <t xml:space="preserve">From Grotto &amp; Niilo Takalainen</t>
        </is>
      </c>
      <c r="C1907" t="inlineStr">
        <is>
          <t xml:space="preserve">Noita, Vol. 2 (Original Game Soundtrack)</t>
        </is>
      </c>
      <c r="D1907">
        <v>2020</v>
      </c>
      <c r="E1907" t="inlineStr">
        <is>
          <t xml:space="preserve">Noita</t>
        </is>
      </c>
      <c r="F1907" t="inlineStr">
        <is>
          <t xml:space="preserve">Noita/23. Liekkiö.mp3</t>
        </is>
      </c>
    </row>
    <row r="1908" spans="1:7">
      <c r="A1908" t="inlineStr">
        <is>
          <t xml:space="preserve">Commander's Theme</t>
        </is>
      </c>
      <c r="B1908" t="inlineStr">
        <is>
          <t xml:space="preserve">Remi Gallego</t>
        </is>
      </c>
      <c r="C1908" t="inlineStr">
        <is>
          <t xml:space="preserve">The Last Spell (Official Game Soundtrack)</t>
        </is>
      </c>
      <c r="E1908" t="inlineStr">
        <is>
          <t xml:space="preserve">The Last Spell</t>
        </is>
      </c>
      <c r="F1908" t="inlineStr">
        <is>
          <t xml:space="preserve">The Last Spell/01 - Commander's Theme.mp3</t>
        </is>
      </c>
    </row>
    <row r="1909" spans="1:7">
      <c r="A1909" t="inlineStr">
        <is>
          <t xml:space="preserve">In Memoriam</t>
        </is>
      </c>
      <c r="B1909" t="inlineStr">
        <is>
          <t xml:space="preserve">Remi Gallego</t>
        </is>
      </c>
      <c r="C1909" t="inlineStr">
        <is>
          <t xml:space="preserve">The Last Spell (Official Game Soundtrack)</t>
        </is>
      </c>
      <c r="E1909" t="inlineStr">
        <is>
          <t xml:space="preserve">The Last Spell</t>
        </is>
      </c>
      <c r="F1909" t="inlineStr">
        <is>
          <t xml:space="preserve">The Last Spell/02 - In Memoriam.mp3</t>
        </is>
      </c>
    </row>
    <row r="1910" spans="1:7">
      <c r="A1910" t="inlineStr">
        <is>
          <t xml:space="preserve">Distant Memories</t>
        </is>
      </c>
      <c r="B1910" t="inlineStr">
        <is>
          <t xml:space="preserve">Remi Gallego</t>
        </is>
      </c>
      <c r="C1910" t="inlineStr">
        <is>
          <t xml:space="preserve">The Last Spell (Official Game Soundtrack)</t>
        </is>
      </c>
      <c r="E1910" t="inlineStr">
        <is>
          <t xml:space="preserve">The Last Spell</t>
        </is>
      </c>
      <c r="F1910" t="inlineStr">
        <is>
          <t xml:space="preserve">The Last Spell/03 - Distant Memories.mp3</t>
        </is>
      </c>
    </row>
    <row r="1911" spans="1:7">
      <c r="A1911" t="inlineStr">
        <is>
          <t xml:space="preserve">Mist</t>
        </is>
      </c>
      <c r="B1911" t="inlineStr">
        <is>
          <t xml:space="preserve">Remi Gallego</t>
        </is>
      </c>
      <c r="C1911" t="inlineStr">
        <is>
          <t xml:space="preserve">The Last Spell (Official Game Soundtrack)</t>
        </is>
      </c>
      <c r="E1911" t="inlineStr">
        <is>
          <t xml:space="preserve">The Last Spell</t>
        </is>
      </c>
      <c r="F1911" t="inlineStr">
        <is>
          <t xml:space="preserve">The Last Spell/04 - Mist.mp3</t>
        </is>
      </c>
    </row>
    <row r="1912" spans="1:7">
      <c r="A1912" t="inlineStr">
        <is>
          <t xml:space="preserve">A Sea Of Laments</t>
        </is>
      </c>
      <c r="B1912" t="inlineStr">
        <is>
          <t xml:space="preserve">Remi Gallego</t>
        </is>
      </c>
      <c r="C1912" t="inlineStr">
        <is>
          <t xml:space="preserve">The Last Spell (Official Game Soundtrack)</t>
        </is>
      </c>
      <c r="E1912" t="inlineStr">
        <is>
          <t xml:space="preserve">The Last Spell</t>
        </is>
      </c>
      <c r="F1912" t="inlineStr">
        <is>
          <t xml:space="preserve">The Last Spell/05 - A Sea Of Laments.mp3</t>
        </is>
      </c>
    </row>
    <row r="1913" spans="1:7">
      <c r="A1913" t="inlineStr">
        <is>
          <t xml:space="preserve">Hordes Descend</t>
        </is>
      </c>
      <c r="B1913" t="inlineStr">
        <is>
          <t xml:space="preserve">Remi Gallego</t>
        </is>
      </c>
      <c r="C1913" t="inlineStr">
        <is>
          <t xml:space="preserve">The Last Spell (Official Game Soundtrack)</t>
        </is>
      </c>
      <c r="E1913" t="inlineStr">
        <is>
          <t xml:space="preserve">The Last Spell</t>
        </is>
      </c>
      <c r="F1913" t="inlineStr">
        <is>
          <t xml:space="preserve">The Last Spell/06 - Hordes Descend.mp3</t>
        </is>
      </c>
    </row>
    <row r="1914" spans="1:7">
      <c r="A1914" t="inlineStr">
        <is>
          <t xml:space="preserve">The Spirits</t>
        </is>
      </c>
      <c r="B1914" t="inlineStr">
        <is>
          <t xml:space="preserve">Remi Gallego</t>
        </is>
      </c>
      <c r="C1914" t="inlineStr">
        <is>
          <t xml:space="preserve">The Last Spell (Official Game Soundtrack)</t>
        </is>
      </c>
      <c r="E1914" t="inlineStr">
        <is>
          <t xml:space="preserve">The Last Spell</t>
        </is>
      </c>
      <c r="F1914" t="inlineStr">
        <is>
          <t xml:space="preserve">The Last Spell/07 - The Spirits.mp3</t>
        </is>
      </c>
    </row>
    <row r="1915" spans="1:7">
      <c r="A1915" t="inlineStr">
        <is>
          <t xml:space="preserve">Invocation</t>
        </is>
      </c>
      <c r="B1915" t="inlineStr">
        <is>
          <t xml:space="preserve">Remi Gallego</t>
        </is>
      </c>
      <c r="C1915" t="inlineStr">
        <is>
          <t xml:space="preserve">The Last Spell (Official Game Soundtrack)</t>
        </is>
      </c>
      <c r="E1915" t="inlineStr">
        <is>
          <t xml:space="preserve">The Last Spell</t>
        </is>
      </c>
      <c r="F1915" t="inlineStr">
        <is>
          <t xml:space="preserve">The Last Spell/08 - Invocation.mp3</t>
        </is>
      </c>
    </row>
    <row r="1916" spans="1:7">
      <c r="A1916" t="inlineStr">
        <is>
          <t xml:space="preserve">All Hope Gone</t>
        </is>
      </c>
      <c r="B1916" t="inlineStr">
        <is>
          <t xml:space="preserve">Remi Gallego</t>
        </is>
      </c>
      <c r="C1916" t="inlineStr">
        <is>
          <t xml:space="preserve">The Last Spell (Official Game Soundtrack)</t>
        </is>
      </c>
      <c r="E1916" t="inlineStr">
        <is>
          <t xml:space="preserve">The Last Spell</t>
        </is>
      </c>
      <c r="F1916" t="inlineStr">
        <is>
          <t xml:space="preserve">The Last Spell/09 - All Hope Gone.mp3</t>
        </is>
      </c>
    </row>
    <row r="1917" spans="1:7">
      <c r="A1917" t="inlineStr">
        <is>
          <t xml:space="preserve">Tainted Essence</t>
        </is>
      </c>
      <c r="B1917" t="inlineStr">
        <is>
          <t xml:space="preserve">Remi Gallego</t>
        </is>
      </c>
      <c r="C1917" t="inlineStr">
        <is>
          <t xml:space="preserve">The Last Spell (Official Game Soundtrack)</t>
        </is>
      </c>
      <c r="E1917" t="inlineStr">
        <is>
          <t xml:space="preserve">The Last Spell</t>
        </is>
      </c>
      <c r="F1917" t="inlineStr">
        <is>
          <t xml:space="preserve">The Last Spell/10 - Tainted Essence.mp3</t>
        </is>
      </c>
    </row>
    <row r="1918" spans="1:7">
      <c r="A1918" t="inlineStr">
        <is>
          <t xml:space="preserve">Nocturnus</t>
        </is>
      </c>
      <c r="B1918" t="inlineStr">
        <is>
          <t xml:space="preserve">Remi Gallego</t>
        </is>
      </c>
      <c r="C1918" t="inlineStr">
        <is>
          <t xml:space="preserve">The Last Spell (Official Game Soundtrack)</t>
        </is>
      </c>
      <c r="E1918" t="inlineStr">
        <is>
          <t xml:space="preserve">The Last Spell</t>
        </is>
      </c>
      <c r="F1918" t="inlineStr">
        <is>
          <t xml:space="preserve">The Last Spell/11 - Nocturnus.mp3</t>
        </is>
      </c>
    </row>
    <row r="1919" spans="1:7">
      <c r="A1919" t="inlineStr">
        <is>
          <t xml:space="preserve">Awake In The Dark</t>
        </is>
      </c>
      <c r="B1919" t="inlineStr">
        <is>
          <t xml:space="preserve">Remi Gallego</t>
        </is>
      </c>
      <c r="C1919" t="inlineStr">
        <is>
          <t xml:space="preserve">The Last Spell (Official Game Soundtrack)</t>
        </is>
      </c>
      <c r="E1919" t="inlineStr">
        <is>
          <t xml:space="preserve">The Last Spell</t>
        </is>
      </c>
      <c r="F1919" t="inlineStr">
        <is>
          <t xml:space="preserve">The Last Spell/12 - Awake In The Dark.mp3</t>
        </is>
      </c>
    </row>
    <row r="1920" spans="1:7">
      <c r="A1920" t="inlineStr">
        <is>
          <t xml:space="preserve">Oraculum</t>
        </is>
      </c>
      <c r="B1920" t="inlineStr">
        <is>
          <t xml:space="preserve">Remi Gallego</t>
        </is>
      </c>
      <c r="C1920" t="inlineStr">
        <is>
          <t xml:space="preserve">The Last Spell (Official Game Soundtrack)</t>
        </is>
      </c>
      <c r="E1920" t="inlineStr">
        <is>
          <t xml:space="preserve">The Last Spell</t>
        </is>
      </c>
      <c r="F1920" t="inlineStr">
        <is>
          <t xml:space="preserve">The Last Spell/13 - Oraculum.mp3</t>
        </is>
      </c>
    </row>
    <row r="1921" spans="1:7">
      <c r="A1921" t="inlineStr">
        <is>
          <t xml:space="preserve">Shadow Battles</t>
        </is>
      </c>
      <c r="B1921" t="inlineStr">
        <is>
          <t xml:space="preserve">Remi Gallego</t>
        </is>
      </c>
      <c r="C1921" t="inlineStr">
        <is>
          <t xml:space="preserve">The Last Spell (Official Game Soundtrack)</t>
        </is>
      </c>
      <c r="E1921" t="inlineStr">
        <is>
          <t xml:space="preserve">The Last Spell</t>
        </is>
      </c>
      <c r="F1921" t="inlineStr">
        <is>
          <t xml:space="preserve">The Last Spell/14 - Shadow Battles.mp3</t>
        </is>
      </c>
    </row>
    <row r="1922" spans="1:7">
      <c r="A1922" t="inlineStr">
        <is>
          <t xml:space="preserve">The Great War</t>
        </is>
      </c>
      <c r="B1922" t="inlineStr">
        <is>
          <t xml:space="preserve">Remi Gallego</t>
        </is>
      </c>
      <c r="C1922" t="inlineStr">
        <is>
          <t xml:space="preserve">The Last Spell (Official Game Soundtrack)</t>
        </is>
      </c>
      <c r="E1922" t="inlineStr">
        <is>
          <t xml:space="preserve">The Last Spell</t>
        </is>
      </c>
      <c r="F1922" t="inlineStr">
        <is>
          <t xml:space="preserve">The Last Spell/15 - The Great War.mp3</t>
        </is>
      </c>
    </row>
    <row r="1923" spans="1:7">
      <c r="A1923" t="inlineStr">
        <is>
          <t xml:space="preserve">The Infected Lands</t>
        </is>
      </c>
      <c r="B1923" t="inlineStr">
        <is>
          <t xml:space="preserve">Remi Gallego</t>
        </is>
      </c>
      <c r="C1923" t="inlineStr">
        <is>
          <t xml:space="preserve">The Last Spell (Official Game Soundtrack)</t>
        </is>
      </c>
      <c r="E1923" t="inlineStr">
        <is>
          <t xml:space="preserve">The Last Spell</t>
        </is>
      </c>
      <c r="F1923" t="inlineStr">
        <is>
          <t xml:space="preserve">The Last Spell/16 - The Infected Lands.mp3</t>
        </is>
      </c>
    </row>
    <row r="1924" spans="1:7">
      <c r="A1924" t="inlineStr">
        <is>
          <t xml:space="preserve">Oath</t>
        </is>
      </c>
      <c r="B1924" t="inlineStr">
        <is>
          <t xml:space="preserve">Remi Gallego</t>
        </is>
      </c>
      <c r="C1924" t="inlineStr">
        <is>
          <t xml:space="preserve">The Last Spell (Official Game Soundtrack)</t>
        </is>
      </c>
      <c r="E1924" t="inlineStr">
        <is>
          <t xml:space="preserve">The Last Spell</t>
        </is>
      </c>
      <c r="F1924" t="inlineStr">
        <is>
          <t xml:space="preserve">The Last Spell/17 - Oath.mp3</t>
        </is>
      </c>
    </row>
    <row r="1925" spans="1:7">
      <c r="A1925" t="inlineStr">
        <is>
          <t xml:space="preserve">Erebus</t>
        </is>
      </c>
      <c r="B1925" t="inlineStr">
        <is>
          <t xml:space="preserve">Remi Gallego</t>
        </is>
      </c>
      <c r="C1925" t="inlineStr">
        <is>
          <t xml:space="preserve">The Last Spell (Official Game Soundtrack)</t>
        </is>
      </c>
      <c r="E1925" t="inlineStr">
        <is>
          <t xml:space="preserve">The Last Spell</t>
        </is>
      </c>
      <c r="F1925" t="inlineStr">
        <is>
          <t xml:space="preserve">The Last Spell/18 - Erebus.mp3</t>
        </is>
      </c>
    </row>
    <row r="1926" spans="1:7">
      <c r="A1926" t="inlineStr">
        <is>
          <t xml:space="preserve">Possessed</t>
        </is>
      </c>
      <c r="B1926" t="inlineStr">
        <is>
          <t xml:space="preserve">Remi Gallego</t>
        </is>
      </c>
      <c r="C1926" t="inlineStr">
        <is>
          <t xml:space="preserve">The Last Spell (Official Game Soundtrack)</t>
        </is>
      </c>
      <c r="E1926" t="inlineStr">
        <is>
          <t xml:space="preserve">The Last Spell</t>
        </is>
      </c>
      <c r="F1926" t="inlineStr">
        <is>
          <t xml:space="preserve">The Last Spell/19 - Possessed.mp3</t>
        </is>
      </c>
    </row>
    <row r="1927" spans="1:7">
      <c r="A1927" t="inlineStr">
        <is>
          <t xml:space="preserve">A Mission</t>
        </is>
      </c>
      <c r="B1927" t="inlineStr">
        <is>
          <t xml:space="preserve">Remi Gallego</t>
        </is>
      </c>
      <c r="C1927" t="inlineStr">
        <is>
          <t xml:space="preserve">The Last Spell (Official Game Soundtrack)</t>
        </is>
      </c>
      <c r="E1927" t="inlineStr">
        <is>
          <t xml:space="preserve">The Last Spell</t>
        </is>
      </c>
      <c r="F1927" t="inlineStr">
        <is>
          <t xml:space="preserve">The Last Spell/20 - A Mission.mp3</t>
        </is>
      </c>
    </row>
    <row r="1928" spans="1:7">
      <c r="A1928" t="inlineStr">
        <is>
          <t xml:space="preserve">Old Woods</t>
        </is>
      </c>
      <c r="B1928" t="inlineStr">
        <is>
          <t xml:space="preserve">Remi Gallego</t>
        </is>
      </c>
      <c r="C1928" t="inlineStr">
        <is>
          <t xml:space="preserve">The Last Spell (Official Game Soundtrack)</t>
        </is>
      </c>
      <c r="E1928" t="inlineStr">
        <is>
          <t xml:space="preserve">The Last Spell</t>
        </is>
      </c>
      <c r="F1928" t="inlineStr">
        <is>
          <t xml:space="preserve">The Last Spell/21 - Old Woods.mp3</t>
        </is>
      </c>
    </row>
    <row r="1929" spans="1:7">
      <c r="A1929" t="inlineStr">
        <is>
          <t xml:space="preserve">Forgotten</t>
        </is>
      </c>
      <c r="B1929" t="inlineStr">
        <is>
          <t xml:space="preserve">Remi Gallego</t>
        </is>
      </c>
      <c r="C1929" t="inlineStr">
        <is>
          <t xml:space="preserve">The Last Spell (Official Game Soundtrack)</t>
        </is>
      </c>
      <c r="E1929" t="inlineStr">
        <is>
          <t xml:space="preserve">The Last Spell</t>
        </is>
      </c>
      <c r="F1929" t="inlineStr">
        <is>
          <t xml:space="preserve">The Last Spell/22 - Forgotten.mp3</t>
        </is>
      </c>
    </row>
    <row r="1930" spans="1:7">
      <c r="A1930" t="inlineStr">
        <is>
          <t xml:space="preserve">Wild Hearts</t>
        </is>
      </c>
      <c r="B1930" t="inlineStr">
        <is>
          <t xml:space="preserve">Remi Gallego</t>
        </is>
      </c>
      <c r="C1930" t="inlineStr">
        <is>
          <t xml:space="preserve">The Last Spell (Official Game Soundtrack)</t>
        </is>
      </c>
      <c r="E1930" t="inlineStr">
        <is>
          <t xml:space="preserve">The Last Spell</t>
        </is>
      </c>
      <c r="F1930" t="inlineStr">
        <is>
          <t xml:space="preserve">The Last Spell/23 - Wild Hearts.mp3</t>
        </is>
      </c>
    </row>
    <row r="1931" spans="1:7">
      <c r="A1931" t="inlineStr">
        <is>
          <t xml:space="preserve">Creeps</t>
        </is>
      </c>
      <c r="B1931" t="inlineStr">
        <is>
          <t xml:space="preserve">Remi Gallego</t>
        </is>
      </c>
      <c r="C1931" t="inlineStr">
        <is>
          <t xml:space="preserve">The Last Spell (Official Game Soundtrack)</t>
        </is>
      </c>
      <c r="E1931" t="inlineStr">
        <is>
          <t xml:space="preserve">The Last Spell</t>
        </is>
      </c>
      <c r="F1931" t="inlineStr">
        <is>
          <t xml:space="preserve">The Last Spell/24 - Creeps.mp3</t>
        </is>
      </c>
    </row>
    <row r="1932" spans="1:7">
      <c r="A1932" t="inlineStr">
        <is>
          <t xml:space="preserve">Bleak Visions</t>
        </is>
      </c>
      <c r="B1932" t="inlineStr">
        <is>
          <t xml:space="preserve">Remi Gallego</t>
        </is>
      </c>
      <c r="C1932" t="inlineStr">
        <is>
          <t xml:space="preserve">The Last Spell (Official Game Soundtrack)</t>
        </is>
      </c>
      <c r="E1932" t="inlineStr">
        <is>
          <t xml:space="preserve">The Last Spell</t>
        </is>
      </c>
      <c r="F1932" t="inlineStr">
        <is>
          <t xml:space="preserve">The Last Spell/25 - Bleak Visions.mp3</t>
        </is>
      </c>
    </row>
    <row r="1933" spans="1:7">
      <c r="A1933" t="inlineStr">
        <is>
          <t xml:space="preserve">Sanctus Overdrive</t>
        </is>
      </c>
      <c r="B1933" t="inlineStr">
        <is>
          <t xml:space="preserve">Remi Gallego</t>
        </is>
      </c>
      <c r="C1933" t="inlineStr">
        <is>
          <t xml:space="preserve">The Last Spell (Official Game Soundtrack)</t>
        </is>
      </c>
      <c r="E1933" t="inlineStr">
        <is>
          <t xml:space="preserve">The Last Spell</t>
        </is>
      </c>
      <c r="F1933" t="inlineStr">
        <is>
          <t xml:space="preserve">The Last Spell/26 - Sanctus Overdrive.mp3</t>
        </is>
      </c>
    </row>
    <row r="1934" spans="1:7">
      <c r="A1934" t="inlineStr">
        <is>
          <t xml:space="preserve">Commander's Theme (The Last Spell)</t>
        </is>
      </c>
      <c r="B1934" t="inlineStr">
        <is>
          <t xml:space="preserve">Remi Gallego</t>
        </is>
      </c>
      <c r="C1934" t="inlineStr">
        <is>
          <t xml:space="preserve">The Last Spell (Official Game Soundtrack)</t>
        </is>
      </c>
      <c r="E1934" t="inlineStr">
        <is>
          <t xml:space="preserve">The Last Spell</t>
        </is>
      </c>
      <c r="F1934" t="inlineStr">
        <is>
          <t xml:space="preserve">The Last Spell/27 - Commander's Theme (Trailer Version).mp3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c r="A2" t="str">
        <f>IF(games!$A2="","",games!$A2)</f>
      </c>
      <c r="B2">
        <f>IF($A2="","",games!$B2)</f>
      </c>
      <c r="C2" t="str">
        <f>IF($A2="","",games!$C2)</f>
      </c>
      <c r="D2">
        <f>IF($A2="","",COUNTIF(connections!$A$2:$A$2500,$A2)+COUNTIF(connections!$B$2:$B$2500,$A2))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IF(OR($A2="",games!$H2=""),"",games!$H2)</f>
      </c>
      <c r="Q2">
        <f>IF(OR($A2="",$P2&lt;&gt;"Yes"),"",$D2+ROW()/1000000)</f>
      </c>
      <c r="R2" s="11" t="s">
        <v>176</v>
      </c>
      <c r="T2" t="str">
        <f>IF(connections!$A2="","",IFERROR(INDEX(games!$B$2:$B$1200,MATCH(connections!$A2,games!$A$2:$A$1200,0)),""))</f>
      </c>
      <c r="U2">
        <f>IF(connections!$A2="","",IFERROR(INDEX(games!$B$2:$B$1200,MATCH(connections!$B2,games!$A$2:$A$1200,0)),""))</f>
      </c>
      <c r="V2">
        <f>IF(OR($T2="",$U2=""),"",$U2-$T2)</f>
      </c>
    </row>
    <row r="3">
      <c r="A3" t="str">
        <f>IF(games!$A3="","",games!$A3)</f>
      </c>
      <c r="B3">
        <f>IF($A3="","",games!$B3)</f>
      </c>
      <c r="C3" t="str">
        <f>IF($A3="","",games!$C3)</f>
      </c>
      <c r="D3">
        <f>IF($A3="","",COUNTIF(connections!$A$2:$A$2500,$A3)+COUNTIF(connections!$B$2:$B$2500,$A3))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IF(OR($A3="",games!$H3=""),"",games!$H3)</f>
      </c>
      <c r="Q3">
        <f>IF(OR($A3="",$P3&lt;&gt;"Yes"),"",$D3+ROW()/1000000)</f>
      </c>
      <c r="R3" s="11" t="s">
        <v>222</v>
      </c>
      <c r="T3" t="str">
        <f>IF(connections!$A3="","",IFERROR(INDEX(games!$B$2:$B$1200,MATCH(connections!$A3,games!$A$2:$A$1200,0)),""))</f>
      </c>
      <c r="U3">
        <f>IF(connections!$A3="","",IFERROR(INDEX(games!$B$2:$B$1200,MATCH(connections!$B3,games!$A$2:$A$1200,0)),""))</f>
      </c>
      <c r="V3">
        <f>IF(OR($T3="",$U3=""),"",$U3-$T3)</f>
      </c>
    </row>
    <row r="4">
      <c r="A4" t="str">
        <f>IF(games!$A4="","",games!$A4)</f>
      </c>
      <c r="B4">
        <f>IF($A4="","",games!$B4)</f>
      </c>
      <c r="C4" t="str">
        <f>IF($A4="","",games!$C4)</f>
      </c>
      <c r="D4">
        <f>IF($A4="","",COUNTIF(connections!$A$2:$A$2500,$A4)+COUNTIF(connections!$B$2:$B$2500,$A4))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IF(OR($A4="",games!$H4=""),"",games!$H4)</f>
      </c>
      <c r="Q4">
        <f>IF(OR($A4="",$P4&lt;&gt;"Yes"),"",$D4+ROW()/1000000)</f>
      </c>
      <c r="R4" s="11" t="s">
        <v>182</v>
      </c>
      <c r="T4" t="str">
        <f>IF(connections!$A4="","",IFERROR(INDEX(games!$B$2:$B$1200,MATCH(connections!$A4,games!$A$2:$A$1200,0)),""))</f>
      </c>
      <c r="U4">
        <f>IF(connections!$A4="","",IFERROR(INDEX(games!$B$2:$B$1200,MATCH(connections!$B4,games!$A$2:$A$1200,0)),""))</f>
      </c>
      <c r="V4">
        <f>IF(OR($T4="",$U4=""),"",$U4-$T4)</f>
      </c>
    </row>
    <row r="5">
      <c r="A5" t="str">
        <f>IF(games!$A5="","",games!$A5)</f>
      </c>
      <c r="B5">
        <f>IF($A5="","",games!$B5)</f>
      </c>
      <c r="C5" t="str">
        <f>IF($A5="","",games!$C5)</f>
      </c>
      <c r="D5">
        <f>IF($A5="","",COUNTIF(connections!$A$2:$A$2500,$A5)+COUNTIF(connections!$B$2:$B$2500,$A5))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IF(OR($A5="",games!$H5=""),"",games!$H5)</f>
      </c>
      <c r="Q5">
        <f>IF(OR($A5="",$P5&lt;&gt;"Yes"),"",$D5+ROW()/1000000)</f>
      </c>
      <c r="R5" s="11" t="s">
        <v>179</v>
      </c>
      <c r="T5" t="str">
        <f>IF(connections!$A5="","",IFERROR(INDEX(games!$B$2:$B$1200,MATCH(connections!$A5,games!$A$2:$A$1200,0)),""))</f>
      </c>
      <c r="U5">
        <f>IF(connections!$A5="","",IFERROR(INDEX(games!$B$2:$B$1200,MATCH(connections!$B5,games!$A$2:$A$1200,0)),""))</f>
      </c>
      <c r="V5">
        <f>IF(OR($T5="",$U5=""),"",$U5-$T5)</f>
      </c>
    </row>
    <row r="6">
      <c r="A6" t="str">
        <f>IF(games!$A6="","",games!$A6)</f>
      </c>
      <c r="B6">
        <f>IF($A6="","",games!$B6)</f>
      </c>
      <c r="C6" t="str">
        <f>IF($A6="","",games!$C6)</f>
      </c>
      <c r="D6">
        <f>IF($A6="","",COUNTIF(connections!$A$2:$A$2500,$A6)+COUNTIF(connections!$B$2:$B$2500,$A6))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IF(OR($A6="",games!$H6=""),"",games!$H6)</f>
      </c>
      <c r="Q6">
        <f>IF(OR($A6="",$P6&lt;&gt;"Yes"),"",$D6+ROW()/1000000)</f>
      </c>
      <c r="T6" t="str">
        <f>IF(connections!$A6="","",IFERROR(INDEX(games!$B$2:$B$1200,MATCH(connections!$A6,games!$A$2:$A$1200,0)),""))</f>
      </c>
      <c r="U6">
        <f>IF(connections!$A6="","",IFERROR(INDEX(games!$B$2:$B$1200,MATCH(connections!$B6,games!$A$2:$A$1200,0)),""))</f>
      </c>
      <c r="V6">
        <f>IF(OR($T6="",$U6=""),"",$U6-$T6)</f>
      </c>
    </row>
    <row r="7">
      <c r="A7" t="str">
        <f>IF(games!$A7="","",games!$A7)</f>
      </c>
      <c r="B7">
        <f>IF($A7="","",games!$B7)</f>
      </c>
      <c r="C7" t="str">
        <f>IF($A7="","",games!$C7)</f>
      </c>
      <c r="D7">
        <f>IF($A7="","",COUNTIF(connections!$A$2:$A$2500,$A7)+COUNTIF(connections!$B$2:$B$2500,$A7))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IF(OR($A7="",games!$H7=""),"",games!$H7)</f>
      </c>
      <c r="Q7">
        <f>IF(OR($A7="",$P7&lt;&gt;"Yes"),"",$D7+ROW()/1000000)</f>
      </c>
      <c r="T7" t="str">
        <f>IF(connections!$A7="","",IFERROR(INDEX(games!$B$2:$B$1200,MATCH(connections!$A7,games!$A$2:$A$1200,0)),""))</f>
      </c>
      <c r="U7">
        <f>IF(connections!$A7="","",IFERROR(INDEX(games!$B$2:$B$1200,MATCH(connections!$B7,games!$A$2:$A$1200,0)),""))</f>
      </c>
      <c r="V7">
        <f>IF(OR($T7="",$U7=""),"",$U7-$T7)</f>
      </c>
    </row>
    <row r="8">
      <c r="A8" t="str">
        <f>IF(games!$A8="","",games!$A8)</f>
      </c>
      <c r="B8">
        <f>IF($A8="","",games!$B8)</f>
      </c>
      <c r="C8" t="str">
        <f>IF($A8="","",games!$C8)</f>
      </c>
      <c r="D8">
        <f>IF($A8="","",COUNTIF(connections!$A$2:$A$2500,$A8)+COUNTIF(connections!$B$2:$B$2500,$A8))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IF(OR($A8="",games!$H8=""),"",games!$H8)</f>
      </c>
      <c r="Q8">
        <f>IF(OR($A8="",$P8&lt;&gt;"Yes"),"",$D8+ROW()/1000000)</f>
      </c>
      <c r="T8" t="str">
        <f>IF(connections!$A8="","",IFERROR(INDEX(games!$B$2:$B$1200,MATCH(connections!$A8,games!$A$2:$A$1200,0)),""))</f>
      </c>
      <c r="U8">
        <f>IF(connections!$A8="","",IFERROR(INDEX(games!$B$2:$B$1200,MATCH(connections!$B8,games!$A$2:$A$1200,0)),""))</f>
      </c>
      <c r="V8">
        <f>IF(OR($T8="",$U8=""),"",$U8-$T8)</f>
      </c>
    </row>
    <row r="9">
      <c r="A9" t="str">
        <f>IF(games!$A9="","",games!$A9)</f>
      </c>
      <c r="B9">
        <f>IF($A9="","",games!$B9)</f>
      </c>
      <c r="C9" t="str">
        <f>IF($A9="","",games!$C9)</f>
      </c>
      <c r="D9">
        <f>IF($A9="","",COUNTIF(connections!$A$2:$A$2500,$A9)+COUNTIF(connections!$B$2:$B$2500,$A9))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IF(OR($A9="",games!$H9=""),"",games!$H9)</f>
      </c>
      <c r="Q9">
        <f>IF(OR($A9="",$P9&lt;&gt;"Yes"),"",$D9+ROW()/1000000)</f>
      </c>
      <c r="T9" t="str">
        <f>IF(connections!$A9="","",IFERROR(INDEX(games!$B$2:$B$1200,MATCH(connections!$A9,games!$A$2:$A$1200,0)),""))</f>
      </c>
      <c r="U9">
        <f>IF(connections!$A9="","",IFERROR(INDEX(games!$B$2:$B$1200,MATCH(connections!$B9,games!$A$2:$A$1200,0)),""))</f>
      </c>
      <c r="V9">
        <f>IF(OR($T9="",$U9=""),"",$U9-$T9)</f>
      </c>
    </row>
    <row r="10">
      <c r="A10" t="str">
        <f>IF(games!$A10="","",games!$A10)</f>
      </c>
      <c r="B10">
        <f>IF($A10="","",games!$B10)</f>
      </c>
      <c r="C10" t="str">
        <f>IF($A10="","",games!$C10)</f>
      </c>
      <c r="D10">
        <f>IF($A10="","",COUNTIF(connections!$A$2:$A$2500,$A10)+COUNTIF(connections!$B$2:$B$2500,$A10))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IF(OR($A10="",games!$H10=""),"",games!$H10)</f>
      </c>
      <c r="Q10">
        <f>IF(OR($A10="",$P10&lt;&gt;"Yes"),"",$D10+ROW()/1000000)</f>
      </c>
      <c r="T10" t="str">
        <f>IF(connections!$A10="","",IFERROR(INDEX(games!$B$2:$B$1200,MATCH(connections!$A10,games!$A$2:$A$1200,0)),""))</f>
      </c>
      <c r="U10">
        <f>IF(connections!$A10="","",IFERROR(INDEX(games!$B$2:$B$1200,MATCH(connections!$B10,games!$A$2:$A$1200,0)),""))</f>
      </c>
      <c r="V10">
        <f>IF(OR($T10="",$U10=""),"",$U10-$T10)</f>
      </c>
    </row>
    <row r="11">
      <c r="A11" t="str">
        <f>IF(games!$A11="","",games!$A11)</f>
      </c>
      <c r="B11">
        <f>IF($A11="","",games!$B11)</f>
      </c>
      <c r="C11" t="str">
        <f>IF($A11="","",games!$C11)</f>
      </c>
      <c r="D11">
        <f>IF($A11="","",COUNTIF(connections!$A$2:$A$2500,$A11)+COUNTIF(connections!$B$2:$B$2500,$A11))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IF(OR($A11="",games!$H11=""),"",games!$H11)</f>
      </c>
      <c r="Q11">
        <f>IF(OR($A11="",$P11&lt;&gt;"Yes"),"",$D11+ROW()/1000000)</f>
      </c>
      <c r="T11" t="str">
        <f>IF(connections!$A11="","",IFERROR(INDEX(games!$B$2:$B$1200,MATCH(connections!$A11,games!$A$2:$A$1200,0)),""))</f>
      </c>
      <c r="U11">
        <f>IF(connections!$A11="","",IFERROR(INDEX(games!$B$2:$B$1200,MATCH(connections!$B11,games!$A$2:$A$1200,0)),""))</f>
      </c>
      <c r="V11">
        <f>IF(OR($T11="",$U11=""),"",$U11-$T11)</f>
      </c>
    </row>
    <row r="12">
      <c r="A12" t="str">
        <f>IF(games!$A12="","",games!$A12)</f>
      </c>
      <c r="B12">
        <f>IF($A12="","",games!$B12)</f>
      </c>
      <c r="C12" t="str">
        <f>IF($A12="","",games!$C12)</f>
      </c>
      <c r="D12">
        <f>IF($A12="","",COUNTIF(connections!$A$2:$A$2500,$A12)+COUNTIF(connections!$B$2:$B$2500,$A12))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IF(OR($A12="",games!$H12=""),"",games!$H12)</f>
      </c>
      <c r="Q12">
        <f>IF(OR($A12="",$P12&lt;&gt;"Yes"),"",$D12+ROW()/1000000)</f>
      </c>
      <c r="T12" t="str">
        <f>IF(connections!$A12="","",IFERROR(INDEX(games!$B$2:$B$1200,MATCH(connections!$A12,games!$A$2:$A$1200,0)),""))</f>
      </c>
      <c r="U12">
        <f>IF(connections!$A12="","",IFERROR(INDEX(games!$B$2:$B$1200,MATCH(connections!$B12,games!$A$2:$A$1200,0)),""))</f>
      </c>
      <c r="V12">
        <f>IF(OR($T12="",$U12=""),"",$U12-$T12)</f>
      </c>
    </row>
    <row r="13">
      <c r="A13" t="str">
        <f>IF(games!$A13="","",games!$A13)</f>
      </c>
      <c r="B13">
        <f>IF($A13="","",games!$B13)</f>
      </c>
      <c r="C13" t="str">
        <f>IF($A13="","",games!$C13)</f>
      </c>
      <c r="D13">
        <f>IF($A13="","",COUNTIF(connections!$A$2:$A$2500,$A13)+COUNTIF(connections!$B$2:$B$2500,$A13))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IF(OR($A13="",games!$H13=""),"",games!$H13)</f>
      </c>
      <c r="Q13">
        <f>IF(OR($A13="",$P13&lt;&gt;"Yes"),"",$D13+ROW()/1000000)</f>
      </c>
      <c r="T13" t="str">
        <f>IF(connections!$A13="","",IFERROR(INDEX(games!$B$2:$B$1200,MATCH(connections!$A13,games!$A$2:$A$1200,0)),""))</f>
      </c>
      <c r="U13">
        <f>IF(connections!$A13="","",IFERROR(INDEX(games!$B$2:$B$1200,MATCH(connections!$B13,games!$A$2:$A$1200,0)),""))</f>
      </c>
      <c r="V13">
        <f>IF(OR($T13="",$U13=""),"",$U13-$T13)</f>
      </c>
    </row>
    <row r="14">
      <c r="A14" t="str">
        <f>IF(games!$A14="","",games!$A14)</f>
      </c>
      <c r="B14">
        <f>IF($A14="","",games!$B14)</f>
      </c>
      <c r="C14" t="str">
        <f>IF($A14="","",games!$C14)</f>
      </c>
      <c r="D14">
        <f>IF($A14="","",COUNTIF(connections!$A$2:$A$2500,$A14)+COUNTIF(connections!$B$2:$B$2500,$A14))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IF(OR($A14="",games!$H14=""),"",games!$H14)</f>
      </c>
      <c r="Q14">
        <f>IF(OR($A14="",$P14&lt;&gt;"Yes"),"",$D14+ROW()/1000000)</f>
      </c>
      <c r="T14" t="str">
        <f>IF(connections!$A14="","",IFERROR(INDEX(games!$B$2:$B$1200,MATCH(connections!$A14,games!$A$2:$A$1200,0)),""))</f>
      </c>
      <c r="U14">
        <f>IF(connections!$A14="","",IFERROR(INDEX(games!$B$2:$B$1200,MATCH(connections!$B14,games!$A$2:$A$1200,0)),""))</f>
      </c>
      <c r="V14">
        <f>IF(OR($T14="",$U14=""),"",$U14-$T14)</f>
      </c>
    </row>
    <row r="15">
      <c r="A15" t="str">
        <f>IF(games!$A15="","",games!$A15)</f>
      </c>
      <c r="B15">
        <f>IF($A15="","",games!$B15)</f>
      </c>
      <c r="C15" t="str">
        <f>IF($A15="","",games!$C15)</f>
      </c>
      <c r="D15">
        <f>IF($A15="","",COUNTIF(connections!$A$2:$A$2500,$A15)+COUNTIF(connections!$B$2:$B$2500,$A15))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IF(OR($A15="",games!$H15=""),"",games!$H15)</f>
      </c>
      <c r="Q15">
        <f>IF(OR($A15="",$P15&lt;&gt;"Yes"),"",$D15+ROW()/1000000)</f>
      </c>
      <c r="T15" t="str">
        <f>IF(connections!$A15="","",IFERROR(INDEX(games!$B$2:$B$1200,MATCH(connections!$A15,games!$A$2:$A$1200,0)),""))</f>
      </c>
      <c r="U15">
        <f>IF(connections!$A15="","",IFERROR(INDEX(games!$B$2:$B$1200,MATCH(connections!$B15,games!$A$2:$A$1200,0)),""))</f>
      </c>
      <c r="V15">
        <f>IF(OR($T15="",$U15=""),"",$U15-$T15)</f>
      </c>
    </row>
    <row r="16">
      <c r="A16" t="str">
        <f>IF(games!$A16="","",games!$A16)</f>
      </c>
      <c r="B16">
        <f>IF($A16="","",games!$B16)</f>
      </c>
      <c r="C16" t="str">
        <f>IF($A16="","",games!$C16)</f>
      </c>
      <c r="D16">
        <f>IF($A16="","",COUNTIF(connections!$A$2:$A$2500,$A16)+COUNTIF(connections!$B$2:$B$2500,$A16))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IF(OR($A16="",games!$H16=""),"",games!$H16)</f>
      </c>
      <c r="Q16">
        <f>IF(OR($A16="",$P16&lt;&gt;"Yes"),"",$D16+ROW()/1000000)</f>
      </c>
      <c r="T16" t="str">
        <f>IF(connections!$A16="","",IFERROR(INDEX(games!$B$2:$B$1200,MATCH(connections!$A16,games!$A$2:$A$1200,0)),""))</f>
      </c>
      <c r="U16">
        <f>IF(connections!$A16="","",IFERROR(INDEX(games!$B$2:$B$1200,MATCH(connections!$B16,games!$A$2:$A$1200,0)),""))</f>
      </c>
      <c r="V16">
        <f>IF(OR($T16="",$U16=""),"",$U16-$T16)</f>
      </c>
    </row>
    <row r="17">
      <c r="A17" t="str">
        <f>IF(games!$A17="","",games!$A17)</f>
      </c>
      <c r="B17">
        <f>IF($A17="","",games!$B17)</f>
      </c>
      <c r="C17" t="str">
        <f>IF($A17="","",games!$C17)</f>
      </c>
      <c r="D17">
        <f>IF($A17="","",COUNTIF(connections!$A$2:$A$2500,$A17)+COUNTIF(connections!$B$2:$B$2500,$A17))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IF(OR($A17="",games!$H17=""),"",games!$H17)</f>
      </c>
      <c r="Q17">
        <f>IF(OR($A17="",$P17&lt;&gt;"Yes"),"",$D17+ROW()/1000000)</f>
      </c>
      <c r="T17" t="str">
        <f>IF(connections!$A17="","",IFERROR(INDEX(games!$B$2:$B$1200,MATCH(connections!$A17,games!$A$2:$A$1200,0)),""))</f>
      </c>
      <c r="U17">
        <f>IF(connections!$A17="","",IFERROR(INDEX(games!$B$2:$B$1200,MATCH(connections!$B17,games!$A$2:$A$1200,0)),""))</f>
      </c>
      <c r="V17">
        <f>IF(OR($T17="",$U17=""),"",$U17-$T17)</f>
      </c>
    </row>
    <row r="18">
      <c r="A18" t="str">
        <f>IF(games!$A18="","",games!$A18)</f>
      </c>
      <c r="B18">
        <f>IF($A18="","",games!$B18)</f>
      </c>
      <c r="C18" t="str">
        <f>IF($A18="","",games!$C18)</f>
      </c>
      <c r="D18">
        <f>IF($A18="","",COUNTIF(connections!$A$2:$A$2500,$A18)+COUNTIF(connections!$B$2:$B$2500,$A18))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IF(OR($A18="",games!$H18=""),"",games!$H18)</f>
      </c>
      <c r="Q18">
        <f>IF(OR($A18="",$P18&lt;&gt;"Yes"),"",$D18+ROW()/1000000)</f>
      </c>
      <c r="T18" t="str">
        <f>IF(connections!$A18="","",IFERROR(INDEX(games!$B$2:$B$1200,MATCH(connections!$A18,games!$A$2:$A$1200,0)),""))</f>
      </c>
      <c r="U18">
        <f>IF(connections!$A18="","",IFERROR(INDEX(games!$B$2:$B$1200,MATCH(connections!$B18,games!$A$2:$A$1200,0)),""))</f>
      </c>
      <c r="V18">
        <f>IF(OR($T18="",$U18=""),"",$U18-$T18)</f>
      </c>
    </row>
    <row r="19">
      <c r="A19" t="str">
        <f>IF(games!$A19="","",games!$A19)</f>
      </c>
      <c r="B19">
        <f>IF($A19="","",games!$B19)</f>
      </c>
      <c r="C19" t="str">
        <f>IF($A19="","",games!$C19)</f>
      </c>
      <c r="D19">
        <f>IF($A19="","",COUNTIF(connections!$A$2:$A$2500,$A19)+COUNTIF(connections!$B$2:$B$2500,$A19))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IF(OR($A19="",games!$H19=""),"",games!$H19)</f>
      </c>
      <c r="Q19">
        <f>IF(OR($A19="",$P19&lt;&gt;"Yes"),"",$D19+ROW()/1000000)</f>
      </c>
      <c r="T19" t="str">
        <f>IF(connections!$A19="","",IFERROR(INDEX(games!$B$2:$B$1200,MATCH(connections!$A19,games!$A$2:$A$1200,0)),""))</f>
      </c>
      <c r="U19">
        <f>IF(connections!$A19="","",IFERROR(INDEX(games!$B$2:$B$1200,MATCH(connections!$B19,games!$A$2:$A$1200,0)),""))</f>
      </c>
      <c r="V19">
        <f>IF(OR($T19="",$U19=""),"",$U19-$T19)</f>
      </c>
    </row>
    <row r="20">
      <c r="A20" t="str">
        <f>IF(games!$A20="","",games!$A20)</f>
      </c>
      <c r="B20">
        <f>IF($A20="","",games!$B20)</f>
      </c>
      <c r="C20" t="str">
        <f>IF($A20="","",games!$C20)</f>
      </c>
      <c r="D20">
        <f>IF($A20="","",COUNTIF(connections!$A$2:$A$2500,$A20)+COUNTIF(connections!$B$2:$B$2500,$A20))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IF(OR($A20="",games!$H20=""),"",games!$H20)</f>
      </c>
      <c r="Q20">
        <f>IF(OR($A20="",$P20&lt;&gt;"Yes"),"",$D20+ROW()/1000000)</f>
      </c>
      <c r="T20" t="str">
        <f>IF(connections!$A20="","",IFERROR(INDEX(games!$B$2:$B$1200,MATCH(connections!$A20,games!$A$2:$A$1200,0)),""))</f>
      </c>
      <c r="U20">
        <f>IF(connections!$A20="","",IFERROR(INDEX(games!$B$2:$B$1200,MATCH(connections!$B20,games!$A$2:$A$1200,0)),""))</f>
      </c>
      <c r="V20">
        <f>IF(OR($T20="",$U20=""),"",$U20-$T20)</f>
      </c>
    </row>
    <row r="21">
      <c r="A21" t="str">
        <f>IF(games!$A21="","",games!$A21)</f>
      </c>
      <c r="B21">
        <f>IF($A21="","",games!$B21)</f>
      </c>
      <c r="C21" t="str">
        <f>IF($A21="","",games!$C21)</f>
      </c>
      <c r="D21">
        <f>IF($A21="","",COUNTIF(connections!$A$2:$A$2500,$A21)+COUNTIF(connections!$B$2:$B$2500,$A21))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IF(OR($A21="",games!$H21=""),"",games!$H21)</f>
      </c>
      <c r="Q21">
        <f>IF(OR($A21="",$P21&lt;&gt;"Yes"),"",$D21+ROW()/1000000)</f>
      </c>
      <c r="T21" t="str">
        <f>IF(connections!$A21="","",IFERROR(INDEX(games!$B$2:$B$1200,MATCH(connections!$A21,games!$A$2:$A$1200,0)),""))</f>
      </c>
      <c r="U21">
        <f>IF(connections!$A21="","",IFERROR(INDEX(games!$B$2:$B$1200,MATCH(connections!$B21,games!$A$2:$A$1200,0)),""))</f>
      </c>
      <c r="V21">
        <f>IF(OR($T21="",$U21=""),"",$U21-$T21)</f>
      </c>
    </row>
    <row r="22">
      <c r="A22" t="str">
        <f>IF(games!$A22="","",games!$A22)</f>
      </c>
      <c r="B22">
        <f>IF($A22="","",games!$B22)</f>
      </c>
      <c r="C22" t="str">
        <f>IF($A22="","",games!$C22)</f>
      </c>
      <c r="D22">
        <f>IF($A22="","",COUNTIF(connections!$A$2:$A$2500,$A22)+COUNTIF(connections!$B$2:$B$2500,$A22))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IF(OR($A22="",games!$H22=""),"",games!$H22)</f>
      </c>
      <c r="Q22">
        <f>IF(OR($A22="",$P22&lt;&gt;"Yes"),"",$D22+ROW()/1000000)</f>
      </c>
      <c r="T22" t="str">
        <f>IF(connections!$A22="","",IFERROR(INDEX(games!$B$2:$B$1200,MATCH(connections!$A22,games!$A$2:$A$1200,0)),""))</f>
      </c>
      <c r="U22">
        <f>IF(connections!$A22="","",IFERROR(INDEX(games!$B$2:$B$1200,MATCH(connections!$B22,games!$A$2:$A$1200,0)),""))</f>
      </c>
      <c r="V22">
        <f>IF(OR($T22="",$U22=""),"",$U22-$T22)</f>
      </c>
    </row>
    <row r="23">
      <c r="A23" t="str">
        <f>IF(games!$A23="","",games!$A23)</f>
      </c>
      <c r="B23">
        <f>IF($A23="","",games!$B23)</f>
      </c>
      <c r="C23" t="str">
        <f>IF($A23="","",games!$C23)</f>
      </c>
      <c r="D23">
        <f>IF($A23="","",COUNTIF(connections!$A$2:$A$2500,$A23)+COUNTIF(connections!$B$2:$B$2500,$A23))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IF(OR($A23="",games!$H23=""),"",games!$H23)</f>
      </c>
      <c r="Q23">
        <f>IF(OR($A23="",$P23&lt;&gt;"Yes"),"",$D23+ROW()/1000000)</f>
      </c>
      <c r="T23" t="str">
        <f>IF(connections!$A23="","",IFERROR(INDEX(games!$B$2:$B$1200,MATCH(connections!$A23,games!$A$2:$A$1200,0)),""))</f>
      </c>
      <c r="U23">
        <f>IF(connections!$A23="","",IFERROR(INDEX(games!$B$2:$B$1200,MATCH(connections!$B23,games!$A$2:$A$1200,0)),""))</f>
      </c>
      <c r="V23">
        <f>IF(OR($T23="",$U23=""),"",$U23-$T23)</f>
      </c>
    </row>
    <row r="24">
      <c r="A24" t="str">
        <f>IF(games!$A24="","",games!$A24)</f>
      </c>
      <c r="B24">
        <f>IF($A24="","",games!$B24)</f>
      </c>
      <c r="C24" t="str">
        <f>IF($A24="","",games!$C24)</f>
      </c>
      <c r="D24">
        <f>IF($A24="","",COUNTIF(connections!$A$2:$A$2500,$A24)+COUNTIF(connections!$B$2:$B$2500,$A24))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IF(OR($A24="",games!$H24=""),"",games!$H24)</f>
      </c>
      <c r="Q24">
        <f>IF(OR($A24="",$P24&lt;&gt;"Yes"),"",$D24+ROW()/1000000)</f>
      </c>
      <c r="T24" t="str">
        <f>IF(connections!$A24="","",IFERROR(INDEX(games!$B$2:$B$1200,MATCH(connections!$A24,games!$A$2:$A$1200,0)),""))</f>
      </c>
      <c r="U24">
        <f>IF(connections!$A24="","",IFERROR(INDEX(games!$B$2:$B$1200,MATCH(connections!$B24,games!$A$2:$A$1200,0)),""))</f>
      </c>
      <c r="V24">
        <f>IF(OR($T24="",$U24=""),"",$U24-$T24)</f>
      </c>
    </row>
    <row r="25">
      <c r="A25" t="str">
        <f>IF(games!$A25="","",games!$A25)</f>
      </c>
      <c r="B25">
        <f>IF($A25="","",games!$B25)</f>
      </c>
      <c r="C25" t="str">
        <f>IF($A25="","",games!$C25)</f>
      </c>
      <c r="D25">
        <f>IF($A25="","",COUNTIF(connections!$A$2:$A$2500,$A25)+COUNTIF(connections!$B$2:$B$2500,$A25))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IF(OR($A25="",games!$H25=""),"",games!$H25)</f>
      </c>
      <c r="Q25">
        <f>IF(OR($A25="",$P25&lt;&gt;"Yes"),"",$D25+ROW()/1000000)</f>
      </c>
      <c r="T25" t="str">
        <f>IF(connections!$A25="","",IFERROR(INDEX(games!$B$2:$B$1200,MATCH(connections!$A25,games!$A$2:$A$1200,0)),""))</f>
      </c>
      <c r="U25">
        <f>IF(connections!$A25="","",IFERROR(INDEX(games!$B$2:$B$1200,MATCH(connections!$B25,games!$A$2:$A$1200,0)),""))</f>
      </c>
      <c r="V25">
        <f>IF(OR($T25="",$U25=""),"",$U25-$T25)</f>
      </c>
    </row>
    <row r="26">
      <c r="A26" t="str">
        <f>IF(games!$A26="","",games!$A26)</f>
      </c>
      <c r="B26">
        <f>IF($A26="","",games!$B26)</f>
      </c>
      <c r="C26" t="str">
        <f>IF($A26="","",games!$C26)</f>
      </c>
      <c r="D26">
        <f>IF($A26="","",COUNTIF(connections!$A$2:$A$2500,$A26)+COUNTIF(connections!$B$2:$B$2500,$A26))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IF(OR($A26="",games!$H26=""),"",games!$H26)</f>
      </c>
      <c r="Q26">
        <f>IF(OR($A26="",$P26&lt;&gt;"Yes"),"",$D26+ROW()/1000000)</f>
      </c>
      <c r="T26" t="str">
        <f>IF(connections!$A26="","",IFERROR(INDEX(games!$B$2:$B$1200,MATCH(connections!$A26,games!$A$2:$A$1200,0)),""))</f>
      </c>
      <c r="U26">
        <f>IF(connections!$A26="","",IFERROR(INDEX(games!$B$2:$B$1200,MATCH(connections!$B26,games!$A$2:$A$1200,0)),""))</f>
      </c>
      <c r="V26">
        <f>IF(OR($T26="",$U26=""),"",$U26-$T26)</f>
      </c>
    </row>
    <row r="27">
      <c r="A27" t="str">
        <f>IF(games!$A27="","",games!$A27)</f>
      </c>
      <c r="B27">
        <f>IF($A27="","",games!$B27)</f>
      </c>
      <c r="C27" t="str">
        <f>IF($A27="","",games!$C27)</f>
      </c>
      <c r="D27">
        <f>IF($A27="","",COUNTIF(connections!$A$2:$A$2500,$A27)+COUNTIF(connections!$B$2:$B$2500,$A27))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IF(OR($A27="",games!$H27=""),"",games!$H27)</f>
      </c>
      <c r="Q27">
        <f>IF(OR($A27="",$P27&lt;&gt;"Yes"),"",$D27+ROW()/1000000)</f>
      </c>
      <c r="T27" t="str">
        <f>IF(connections!$A27="","",IFERROR(INDEX(games!$B$2:$B$1200,MATCH(connections!$A27,games!$A$2:$A$1200,0)),""))</f>
      </c>
      <c r="U27">
        <f>IF(connections!$A27="","",IFERROR(INDEX(games!$B$2:$B$1200,MATCH(connections!$B27,games!$A$2:$A$1200,0)),""))</f>
      </c>
      <c r="V27">
        <f>IF(OR($T27="",$U27=""),"",$U27-$T27)</f>
      </c>
    </row>
    <row r="28">
      <c r="A28" t="str">
        <f>IF(games!$A28="","",games!$A28)</f>
      </c>
      <c r="B28">
        <f>IF($A28="","",games!$B28)</f>
      </c>
      <c r="C28" t="str">
        <f>IF($A28="","",games!$C28)</f>
      </c>
      <c r="D28">
        <f>IF($A28="","",COUNTIF(connections!$A$2:$A$2500,$A28)+COUNTIF(connections!$B$2:$B$2500,$A28))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IF(OR($A28="",games!$H28=""),"",games!$H28)</f>
      </c>
      <c r="Q28">
        <f>IF(OR($A28="",$P28&lt;&gt;"Yes"),"",$D28+ROW()/1000000)</f>
      </c>
      <c r="T28" t="str">
        <f>IF(connections!$A28="","",IFERROR(INDEX(games!$B$2:$B$1200,MATCH(connections!$A28,games!$A$2:$A$1200,0)),""))</f>
      </c>
      <c r="U28">
        <f>IF(connections!$A28="","",IFERROR(INDEX(games!$B$2:$B$1200,MATCH(connections!$B28,games!$A$2:$A$1200,0)),""))</f>
      </c>
      <c r="V28">
        <f>IF(OR($T28="",$U28=""),"",$U28-$T28)</f>
      </c>
    </row>
    <row r="29">
      <c r="A29" t="str">
        <f>IF(games!$A29="","",games!$A29)</f>
      </c>
      <c r="B29">
        <f>IF($A29="","",games!$B29)</f>
      </c>
      <c r="C29" t="str">
        <f>IF($A29="","",games!$C29)</f>
      </c>
      <c r="D29">
        <f>IF($A29="","",COUNTIF(connections!$A$2:$A$2500,$A29)+COUNTIF(connections!$B$2:$B$2500,$A29))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IF(OR($A29="",games!$H29=""),"",games!$H29)</f>
      </c>
      <c r="Q29">
        <f>IF(OR($A29="",$P29&lt;&gt;"Yes"),"",$D29+ROW()/1000000)</f>
      </c>
      <c r="T29" t="str">
        <f>IF(connections!$A29="","",IFERROR(INDEX(games!$B$2:$B$1200,MATCH(connections!$A29,games!$A$2:$A$1200,0)),""))</f>
      </c>
      <c r="U29">
        <f>IF(connections!$A29="","",IFERROR(INDEX(games!$B$2:$B$1200,MATCH(connections!$B29,games!$A$2:$A$1200,0)),""))</f>
      </c>
      <c r="V29">
        <f>IF(OR($T29="",$U29=""),"",$U29-$T29)</f>
      </c>
    </row>
    <row r="30">
      <c r="A30" t="str">
        <f>IF(games!$A30="","",games!$A30)</f>
      </c>
      <c r="B30">
        <f>IF($A30="","",games!$B30)</f>
      </c>
      <c r="C30" t="str">
        <f>IF($A30="","",games!$C30)</f>
      </c>
      <c r="D30">
        <f>IF($A30="","",COUNTIF(connections!$A$2:$A$2500,$A30)+COUNTIF(connections!$B$2:$B$2500,$A30))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IF(OR($A30="",games!$H30=""),"",games!$H30)</f>
      </c>
      <c r="Q30">
        <f>IF(OR($A30="",$P30&lt;&gt;"Yes"),"",$D30+ROW()/1000000)</f>
      </c>
      <c r="T30" t="str">
        <f>IF(connections!$A30="","",IFERROR(INDEX(games!$B$2:$B$1200,MATCH(connections!$A30,games!$A$2:$A$1200,0)),""))</f>
      </c>
      <c r="U30">
        <f>IF(connections!$A30="","",IFERROR(INDEX(games!$B$2:$B$1200,MATCH(connections!$B30,games!$A$2:$A$1200,0)),""))</f>
      </c>
      <c r="V30">
        <f>IF(OR($T30="",$U30=""),"",$U30-$T30)</f>
      </c>
    </row>
    <row r="31">
      <c r="A31" t="str">
        <f>IF(games!$A31="","",games!$A31)</f>
      </c>
      <c r="B31">
        <f>IF($A31="","",games!$B31)</f>
      </c>
      <c r="C31" t="str">
        <f>IF($A31="","",games!$C31)</f>
      </c>
      <c r="D31">
        <f>IF($A31="","",COUNTIF(connections!$A$2:$A$2500,$A31)+COUNTIF(connections!$B$2:$B$2500,$A31))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IF(OR($A31="",games!$H31=""),"",games!$H31)</f>
      </c>
      <c r="Q31">
        <f>IF(OR($A31="",$P31&lt;&gt;"Yes"),"",$D31+ROW()/1000000)</f>
      </c>
      <c r="T31" t="str">
        <f>IF(connections!$A31="","",IFERROR(INDEX(games!$B$2:$B$1200,MATCH(connections!$A31,games!$A$2:$A$1200,0)),""))</f>
      </c>
      <c r="U31">
        <f>IF(connections!$A31="","",IFERROR(INDEX(games!$B$2:$B$1200,MATCH(connections!$B31,games!$A$2:$A$1200,0)),""))</f>
      </c>
      <c r="V31">
        <f>IF(OR($T31="",$U31=""),"",$U31-$T31)</f>
      </c>
    </row>
    <row r="32">
      <c r="A32" t="str">
        <f>IF(games!$A32="","",games!$A32)</f>
      </c>
      <c r="B32">
        <f>IF($A32="","",games!$B32)</f>
      </c>
      <c r="C32" t="str">
        <f>IF($A32="","",games!$C32)</f>
      </c>
      <c r="D32">
        <f>IF($A32="","",COUNTIF(connections!$A$2:$A$2500,$A32)+COUNTIF(connections!$B$2:$B$2500,$A32))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IF(OR($A32="",games!$H32=""),"",games!$H32)</f>
      </c>
      <c r="Q32">
        <f>IF(OR($A32="",$P32&lt;&gt;"Yes"),"",$D32+ROW()/1000000)</f>
      </c>
      <c r="T32" t="str">
        <f>IF(connections!$A32="","",IFERROR(INDEX(games!$B$2:$B$1200,MATCH(connections!$A32,games!$A$2:$A$1200,0)),""))</f>
      </c>
      <c r="U32">
        <f>IF(connections!$A32="","",IFERROR(INDEX(games!$B$2:$B$1200,MATCH(connections!$B32,games!$A$2:$A$1200,0)),""))</f>
      </c>
      <c r="V32">
        <f>IF(OR($T32="",$U32=""),"",$U32-$T32)</f>
      </c>
    </row>
    <row r="33">
      <c r="A33" t="str">
        <f>IF(games!$A33="","",games!$A33)</f>
      </c>
      <c r="B33">
        <f>IF($A33="","",games!$B33)</f>
      </c>
      <c r="C33" t="str">
        <f>IF($A33="","",games!$C33)</f>
      </c>
      <c r="D33">
        <f>IF($A33="","",COUNTIF(connections!$A$2:$A$2500,$A33)+COUNTIF(connections!$B$2:$B$2500,$A33))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IF(OR($A33="",games!$H33=""),"",games!$H33)</f>
      </c>
      <c r="Q33">
        <f>IF(OR($A33="",$P33&lt;&gt;"Yes"),"",$D33+ROW()/1000000)</f>
      </c>
      <c r="T33" t="str">
        <f>IF(connections!$A33="","",IFERROR(INDEX(games!$B$2:$B$1200,MATCH(connections!$A33,games!$A$2:$A$1200,0)),""))</f>
      </c>
      <c r="U33">
        <f>IF(connections!$A33="","",IFERROR(INDEX(games!$B$2:$B$1200,MATCH(connections!$B33,games!$A$2:$A$1200,0)),""))</f>
      </c>
      <c r="V33">
        <f>IF(OR($T33="",$U33=""),"",$U33-$T33)</f>
      </c>
    </row>
    <row r="34">
      <c r="A34" t="str">
        <f>IF(games!$A34="","",games!$A34)</f>
      </c>
      <c r="B34">
        <f>IF($A34="","",games!$B34)</f>
      </c>
      <c r="C34" t="str">
        <f>IF($A34="","",games!$C34)</f>
      </c>
      <c r="D34">
        <f>IF($A34="","",COUNTIF(connections!$A$2:$A$2500,$A34)+COUNTIF(connections!$B$2:$B$2500,$A34))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IF(OR($A34="",games!$H34=""),"",games!$H34)</f>
      </c>
      <c r="Q34">
        <f>IF(OR($A34="",$P34&lt;&gt;"Yes"),"",$D34+ROW()/1000000)</f>
      </c>
      <c r="T34" t="str">
        <f>IF(connections!$A34="","",IFERROR(INDEX(games!$B$2:$B$1200,MATCH(connections!$A34,games!$A$2:$A$1200,0)),""))</f>
      </c>
      <c r="U34">
        <f>IF(connections!$A34="","",IFERROR(INDEX(games!$B$2:$B$1200,MATCH(connections!$B34,games!$A$2:$A$1200,0)),""))</f>
      </c>
      <c r="V34">
        <f>IF(OR($T34="",$U34=""),"",$U34-$T34)</f>
      </c>
    </row>
    <row r="35">
      <c r="A35" t="str">
        <f>IF(games!$A35="","",games!$A35)</f>
      </c>
      <c r="B35">
        <f>IF($A35="","",games!$B35)</f>
      </c>
      <c r="C35" t="str">
        <f>IF($A35="","",games!$C35)</f>
      </c>
      <c r="D35">
        <f>IF($A35="","",COUNTIF(connections!$A$2:$A$2500,$A35)+COUNTIF(connections!$B$2:$B$2500,$A35))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IF(OR($A35="",games!$H35=""),"",games!$H35)</f>
      </c>
      <c r="Q35">
        <f>IF(OR($A35="",$P35&lt;&gt;"Yes"),"",$D35+ROW()/1000000)</f>
      </c>
      <c r="T35" t="str">
        <f>IF(connections!$A35="","",IFERROR(INDEX(games!$B$2:$B$1200,MATCH(connections!$A35,games!$A$2:$A$1200,0)),""))</f>
      </c>
      <c r="U35">
        <f>IF(connections!$A35="","",IFERROR(INDEX(games!$B$2:$B$1200,MATCH(connections!$B35,games!$A$2:$A$1200,0)),""))</f>
      </c>
      <c r="V35">
        <f>IF(OR($T35="",$U35=""),"",$U35-$T35)</f>
      </c>
    </row>
    <row r="36">
      <c r="A36" t="str">
        <f>IF(games!$A36="","",games!$A36)</f>
      </c>
      <c r="B36">
        <f>IF($A36="","",games!$B36)</f>
      </c>
      <c r="C36" t="str">
        <f>IF($A36="","",games!$C36)</f>
      </c>
      <c r="D36">
        <f>IF($A36="","",COUNTIF(connections!$A$2:$A$2500,$A36)+COUNTIF(connections!$B$2:$B$2500,$A36))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IF(OR($A36="",games!$H36=""),"",games!$H36)</f>
      </c>
      <c r="Q36">
        <f>IF(OR($A36="",$P36&lt;&gt;"Yes"),"",$D36+ROW()/1000000)</f>
      </c>
      <c r="T36" t="str">
        <f>IF(connections!$A36="","",IFERROR(INDEX(games!$B$2:$B$1200,MATCH(connections!$A36,games!$A$2:$A$1200,0)),""))</f>
      </c>
      <c r="U36">
        <f>IF(connections!$A36="","",IFERROR(INDEX(games!$B$2:$B$1200,MATCH(connections!$B36,games!$A$2:$A$1200,0)),""))</f>
      </c>
      <c r="V36">
        <f>IF(OR($T36="",$U36=""),"",$U36-$T36)</f>
      </c>
    </row>
    <row r="37">
      <c r="A37" t="str">
        <f>IF(games!$A37="","",games!$A37)</f>
      </c>
      <c r="B37">
        <f>IF($A37="","",games!$B37)</f>
      </c>
      <c r="C37" t="str">
        <f>IF($A37="","",games!$C37)</f>
      </c>
      <c r="D37">
        <f>IF($A37="","",COUNTIF(connections!$A$2:$A$2500,$A37)+COUNTIF(connections!$B$2:$B$2500,$A37))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IF(OR($A37="",games!$H37=""),"",games!$H37)</f>
      </c>
      <c r="Q37">
        <f>IF(OR($A37="",$P37&lt;&gt;"Yes"),"",$D37+ROW()/1000000)</f>
      </c>
      <c r="T37" t="str">
        <f>IF(connections!$A37="","",IFERROR(INDEX(games!$B$2:$B$1200,MATCH(connections!$A37,games!$A$2:$A$1200,0)),""))</f>
      </c>
      <c r="U37">
        <f>IF(connections!$A37="","",IFERROR(INDEX(games!$B$2:$B$1200,MATCH(connections!$B37,games!$A$2:$A$1200,0)),""))</f>
      </c>
      <c r="V37">
        <f>IF(OR($T37="",$U37=""),"",$U37-$T37)</f>
      </c>
    </row>
    <row r="38">
      <c r="A38" t="str">
        <f>IF(games!$A38="","",games!$A38)</f>
      </c>
      <c r="B38">
        <f>IF($A38="","",games!$B38)</f>
      </c>
      <c r="C38" t="str">
        <f>IF($A38="","",games!$C38)</f>
      </c>
      <c r="D38">
        <f>IF($A38="","",COUNTIF(connections!$A$2:$A$2500,$A38)+COUNTIF(connections!$B$2:$B$2500,$A38))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IF(OR($A38="",games!$H38=""),"",games!$H38)</f>
      </c>
      <c r="Q38">
        <f>IF(OR($A38="",$P38&lt;&gt;"Yes"),"",$D38+ROW()/1000000)</f>
      </c>
      <c r="T38" t="str">
        <f>IF(connections!$A38="","",IFERROR(INDEX(games!$B$2:$B$1200,MATCH(connections!$A38,games!$A$2:$A$1200,0)),""))</f>
      </c>
      <c r="U38">
        <f>IF(connections!$A38="","",IFERROR(INDEX(games!$B$2:$B$1200,MATCH(connections!$B38,games!$A$2:$A$1200,0)),""))</f>
      </c>
      <c r="V38">
        <f>IF(OR($T38="",$U38=""),"",$U38-$T38)</f>
      </c>
    </row>
    <row r="39">
      <c r="A39" t="str">
        <f>IF(games!$A39="","",games!$A39)</f>
      </c>
      <c r="B39">
        <f>IF($A39="","",games!$B39)</f>
      </c>
      <c r="C39" t="str">
        <f>IF($A39="","",games!$C39)</f>
      </c>
      <c r="D39">
        <f>IF($A39="","",COUNTIF(connections!$A$2:$A$2500,$A39)+COUNTIF(connections!$B$2:$B$2500,$A39))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IF(OR($A39="",games!$H39=""),"",games!$H39)</f>
      </c>
      <c r="Q39">
        <f>IF(OR($A39="",$P39&lt;&gt;"Yes"),"",$D39+ROW()/1000000)</f>
      </c>
      <c r="T39" t="str">
        <f>IF(connections!$A39="","",IFERROR(INDEX(games!$B$2:$B$1200,MATCH(connections!$A39,games!$A$2:$A$1200,0)),""))</f>
      </c>
      <c r="U39">
        <f>IF(connections!$A39="","",IFERROR(INDEX(games!$B$2:$B$1200,MATCH(connections!$B39,games!$A$2:$A$1200,0)),""))</f>
      </c>
      <c r="V39">
        <f>IF(OR($T39="",$U39=""),"",$U39-$T39)</f>
      </c>
    </row>
    <row r="40">
      <c r="A40" t="str">
        <f>IF(games!$A40="","",games!$A40)</f>
      </c>
      <c r="B40">
        <f>IF($A40="","",games!$B40)</f>
      </c>
      <c r="C40" t="str">
        <f>IF($A40="","",games!$C40)</f>
      </c>
      <c r="D40">
        <f>IF($A40="","",COUNTIF(connections!$A$2:$A$2500,$A40)+COUNTIF(connections!$B$2:$B$2500,$A40))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IF(OR($A40="",games!$H40=""),"",games!$H40)</f>
      </c>
      <c r="Q40">
        <f>IF(OR($A40="",$P40&lt;&gt;"Yes"),"",$D40+ROW()/1000000)</f>
      </c>
      <c r="T40" t="str">
        <f>IF(connections!$A40="","",IFERROR(INDEX(games!$B$2:$B$1200,MATCH(connections!$A40,games!$A$2:$A$1200,0)),""))</f>
      </c>
      <c r="U40">
        <f>IF(connections!$A40="","",IFERROR(INDEX(games!$B$2:$B$1200,MATCH(connections!$B40,games!$A$2:$A$1200,0)),""))</f>
      </c>
      <c r="V40">
        <f>IF(OR($T40="",$U40=""),"",$U40-$T40)</f>
      </c>
    </row>
    <row r="41">
      <c r="A41" t="str">
        <f>IF(games!$A41="","",games!$A41)</f>
      </c>
      <c r="B41">
        <f>IF($A41="","",games!$B41)</f>
      </c>
      <c r="C41" t="str">
        <f>IF($A41="","",games!$C41)</f>
      </c>
      <c r="D41">
        <f>IF($A41="","",COUNTIF(connections!$A$2:$A$2500,$A41)+COUNTIF(connections!$B$2:$B$2500,$A41))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IF(OR($A41="",games!$H41=""),"",games!$H41)</f>
      </c>
      <c r="Q41">
        <f>IF(OR($A41="",$P41&lt;&gt;"Yes"),"",$D41+ROW()/1000000)</f>
      </c>
      <c r="T41" t="str">
        <f>IF(connections!$A41="","",IFERROR(INDEX(games!$B$2:$B$1200,MATCH(connections!$A41,games!$A$2:$A$1200,0)),""))</f>
      </c>
      <c r="U41">
        <f>IF(connections!$A41="","",IFERROR(INDEX(games!$B$2:$B$1200,MATCH(connections!$B41,games!$A$2:$A$1200,0)),""))</f>
      </c>
      <c r="V41">
        <f>IF(OR($T41="",$U41=""),"",$U41-$T41)</f>
      </c>
    </row>
    <row r="42">
      <c r="A42" t="str">
        <f>IF(games!$A42="","",games!$A42)</f>
      </c>
      <c r="B42">
        <f>IF($A42="","",games!$B42)</f>
      </c>
      <c r="C42" t="str">
        <f>IF($A42="","",games!$C42)</f>
      </c>
      <c r="D42">
        <f>IF($A42="","",COUNTIF(connections!$A$2:$A$2500,$A42)+COUNTIF(connections!$B$2:$B$2500,$A42))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IF(OR($A42="",games!$H42=""),"",games!$H42)</f>
      </c>
      <c r="Q42">
        <f>IF(OR($A42="",$P42&lt;&gt;"Yes"),"",$D42+ROW()/1000000)</f>
      </c>
      <c r="T42" t="str">
        <f>IF(connections!$A42="","",IFERROR(INDEX(games!$B$2:$B$1200,MATCH(connections!$A42,games!$A$2:$A$1200,0)),""))</f>
      </c>
      <c r="U42">
        <f>IF(connections!$A42="","",IFERROR(INDEX(games!$B$2:$B$1200,MATCH(connections!$B42,games!$A$2:$A$1200,0)),""))</f>
      </c>
      <c r="V42">
        <f>IF(OR($T42="",$U42=""),"",$U42-$T42)</f>
      </c>
    </row>
    <row r="43">
      <c r="A43" t="str">
        <f>IF(games!$A43="","",games!$A43)</f>
      </c>
      <c r="B43">
        <f>IF($A43="","",games!$B43)</f>
      </c>
      <c r="C43" t="str">
        <f>IF($A43="","",games!$C43)</f>
      </c>
      <c r="D43">
        <f>IF($A43="","",COUNTIF(connections!$A$2:$A$2500,$A43)+COUNTIF(connections!$B$2:$B$2500,$A43))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IF(OR($A43="",games!$H43=""),"",games!$H43)</f>
      </c>
      <c r="Q43">
        <f>IF(OR($A43="",$P43&lt;&gt;"Yes"),"",$D43+ROW()/1000000)</f>
      </c>
      <c r="T43" t="str">
        <f>IF(connections!$A43="","",IFERROR(INDEX(games!$B$2:$B$1200,MATCH(connections!$A43,games!$A$2:$A$1200,0)),""))</f>
      </c>
      <c r="U43">
        <f>IF(connections!$A43="","",IFERROR(INDEX(games!$B$2:$B$1200,MATCH(connections!$B43,games!$A$2:$A$1200,0)),""))</f>
      </c>
      <c r="V43">
        <f>IF(OR($T43="",$U43=""),"",$U43-$T43)</f>
      </c>
    </row>
    <row r="44">
      <c r="A44" t="str">
        <f>IF(games!$A44="","",games!$A44)</f>
      </c>
      <c r="B44">
        <f>IF($A44="","",games!$B44)</f>
      </c>
      <c r="C44" t="str">
        <f>IF($A44="","",games!$C44)</f>
      </c>
      <c r="D44">
        <f>IF($A44="","",COUNTIF(connections!$A$2:$A$2500,$A44)+COUNTIF(connections!$B$2:$B$2500,$A44))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IF(OR($A44="",games!$H44=""),"",games!$H44)</f>
      </c>
      <c r="Q44">
        <f>IF(OR($A44="",$P44&lt;&gt;"Yes"),"",$D44+ROW()/1000000)</f>
      </c>
      <c r="T44" t="str">
        <f>IF(connections!$A44="","",IFERROR(INDEX(games!$B$2:$B$1200,MATCH(connections!$A44,games!$A$2:$A$1200,0)),""))</f>
      </c>
      <c r="U44">
        <f>IF(connections!$A44="","",IFERROR(INDEX(games!$B$2:$B$1200,MATCH(connections!$B44,games!$A$2:$A$1200,0)),""))</f>
      </c>
      <c r="V44">
        <f>IF(OR($T44="",$U44=""),"",$U44-$T44)</f>
      </c>
    </row>
    <row r="45">
      <c r="A45" t="str">
        <f>IF(games!$A45="","",games!$A45)</f>
      </c>
      <c r="B45">
        <f>IF($A45="","",games!$B45)</f>
      </c>
      <c r="C45" t="str">
        <f>IF($A45="","",games!$C45)</f>
      </c>
      <c r="D45">
        <f>IF($A45="","",COUNTIF(connections!$A$2:$A$2500,$A45)+COUNTIF(connections!$B$2:$B$2500,$A45))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IF(OR($A45="",games!$H45=""),"",games!$H45)</f>
      </c>
      <c r="Q45">
        <f>IF(OR($A45="",$P45&lt;&gt;"Yes"),"",$D45+ROW()/1000000)</f>
      </c>
      <c r="T45" t="str">
        <f>IF(connections!$A45="","",IFERROR(INDEX(games!$B$2:$B$1200,MATCH(connections!$A45,games!$A$2:$A$1200,0)),""))</f>
      </c>
      <c r="U45">
        <f>IF(connections!$A45="","",IFERROR(INDEX(games!$B$2:$B$1200,MATCH(connections!$B45,games!$A$2:$A$1200,0)),""))</f>
      </c>
      <c r="V45">
        <f>IF(OR($T45="",$U45=""),"",$U45-$T45)</f>
      </c>
    </row>
    <row r="46">
      <c r="A46" t="str">
        <f>IF(games!$A46="","",games!$A46)</f>
      </c>
      <c r="B46">
        <f>IF($A46="","",games!$B46)</f>
      </c>
      <c r="C46" t="str">
        <f>IF($A46="","",games!$C46)</f>
      </c>
      <c r="D46">
        <f>IF($A46="","",COUNTIF(connections!$A$2:$A$2500,$A46)+COUNTIF(connections!$B$2:$B$2500,$A46))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IF(OR($A46="",games!$H46=""),"",games!$H46)</f>
      </c>
      <c r="Q46">
        <f>IF(OR($A46="",$P46&lt;&gt;"Yes"),"",$D46+ROW()/1000000)</f>
      </c>
      <c r="T46" t="str">
        <f>IF(connections!$A46="","",IFERROR(INDEX(games!$B$2:$B$1200,MATCH(connections!$A46,games!$A$2:$A$1200,0)),""))</f>
      </c>
      <c r="U46">
        <f>IF(connections!$A46="","",IFERROR(INDEX(games!$B$2:$B$1200,MATCH(connections!$B46,games!$A$2:$A$1200,0)),""))</f>
      </c>
      <c r="V46">
        <f>IF(OR($T46="",$U46=""),"",$U46-$T46)</f>
      </c>
    </row>
    <row r="47">
      <c r="A47" t="str">
        <f>IF(games!$A47="","",games!$A47)</f>
      </c>
      <c r="B47">
        <f>IF($A47="","",games!$B47)</f>
      </c>
      <c r="C47" t="str">
        <f>IF($A47="","",games!$C47)</f>
      </c>
      <c r="D47">
        <f>IF($A47="","",COUNTIF(connections!$A$2:$A$2500,$A47)+COUNTIF(connections!$B$2:$B$2500,$A47))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IF(OR($A47="",games!$H47=""),"",games!$H47)</f>
      </c>
      <c r="Q47">
        <f>IF(OR($A47="",$P47&lt;&gt;"Yes"),"",$D47+ROW()/1000000)</f>
      </c>
      <c r="T47" t="str">
        <f>IF(connections!$A47="","",IFERROR(INDEX(games!$B$2:$B$1200,MATCH(connections!$A47,games!$A$2:$A$1200,0)),""))</f>
      </c>
      <c r="U47">
        <f>IF(connections!$A47="","",IFERROR(INDEX(games!$B$2:$B$1200,MATCH(connections!$B47,games!$A$2:$A$1200,0)),""))</f>
      </c>
      <c r="V47">
        <f>IF(OR($T47="",$U47=""),"",$U47-$T47)</f>
      </c>
    </row>
    <row r="48">
      <c r="A48" t="str">
        <f>IF(games!$A48="","",games!$A48)</f>
      </c>
      <c r="B48">
        <f>IF($A48="","",games!$B48)</f>
      </c>
      <c r="C48" t="str">
        <f>IF($A48="","",games!$C48)</f>
      </c>
      <c r="D48">
        <f>IF($A48="","",COUNTIF(connections!$A$2:$A$2500,$A48)+COUNTIF(connections!$B$2:$B$2500,$A48))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IF(OR($A48="",games!$H48=""),"",games!$H48)</f>
      </c>
      <c r="Q48">
        <f>IF(OR($A48="",$P48&lt;&gt;"Yes"),"",$D48+ROW()/1000000)</f>
      </c>
      <c r="T48" t="str">
        <f>IF(connections!$A48="","",IFERROR(INDEX(games!$B$2:$B$1200,MATCH(connections!$A48,games!$A$2:$A$1200,0)),""))</f>
      </c>
      <c r="U48">
        <f>IF(connections!$A48="","",IFERROR(INDEX(games!$B$2:$B$1200,MATCH(connections!$B48,games!$A$2:$A$1200,0)),""))</f>
      </c>
      <c r="V48">
        <f>IF(OR($T48="",$U48=""),"",$U48-$T48)</f>
      </c>
    </row>
    <row r="49">
      <c r="A49" t="str">
        <f>IF(games!$A49="","",games!$A49)</f>
      </c>
      <c r="B49">
        <f>IF($A49="","",games!$B49)</f>
      </c>
      <c r="C49" t="str">
        <f>IF($A49="","",games!$C49)</f>
      </c>
      <c r="D49">
        <f>IF($A49="","",COUNTIF(connections!$A$2:$A$2500,$A49)+COUNTIF(connections!$B$2:$B$2500,$A49))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IF(OR($A49="",games!$H49=""),"",games!$H49)</f>
      </c>
      <c r="Q49">
        <f>IF(OR($A49="",$P49&lt;&gt;"Yes"),"",$D49+ROW()/1000000)</f>
      </c>
      <c r="T49" t="str">
        <f>IF(connections!$A49="","",IFERROR(INDEX(games!$B$2:$B$1200,MATCH(connections!$A49,games!$A$2:$A$1200,0)),""))</f>
      </c>
      <c r="U49">
        <f>IF(connections!$A49="","",IFERROR(INDEX(games!$B$2:$B$1200,MATCH(connections!$B49,games!$A$2:$A$1200,0)),""))</f>
      </c>
      <c r="V49">
        <f>IF(OR($T49="",$U49=""),"",$U49-$T49)</f>
      </c>
    </row>
    <row r="50">
      <c r="A50" t="str">
        <f>IF(games!$A50="","",games!$A50)</f>
      </c>
      <c r="B50">
        <f>IF($A50="","",games!$B50)</f>
      </c>
      <c r="C50" t="str">
        <f>IF($A50="","",games!$C50)</f>
      </c>
      <c r="D50">
        <f>IF($A50="","",COUNTIF(connections!$A$2:$A$2500,$A50)+COUNTIF(connections!$B$2:$B$2500,$A50))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IF(OR($A50="",games!$H50=""),"",games!$H50)</f>
      </c>
      <c r="Q50">
        <f>IF(OR($A50="",$P50&lt;&gt;"Yes"),"",$D50+ROW()/1000000)</f>
      </c>
      <c r="T50" t="str">
        <f>IF(connections!$A50="","",IFERROR(INDEX(games!$B$2:$B$1200,MATCH(connections!$A50,games!$A$2:$A$1200,0)),""))</f>
      </c>
      <c r="U50">
        <f>IF(connections!$A50="","",IFERROR(INDEX(games!$B$2:$B$1200,MATCH(connections!$B50,games!$A$2:$A$1200,0)),""))</f>
      </c>
      <c r="V50">
        <f>IF(OR($T50="",$U50=""),"",$U50-$T50)</f>
      </c>
    </row>
    <row r="51">
      <c r="A51" t="str">
        <f>IF(games!$A51="","",games!$A51)</f>
      </c>
      <c r="B51">
        <f>IF($A51="","",games!$B51)</f>
      </c>
      <c r="C51" t="str">
        <f>IF($A51="","",games!$C51)</f>
      </c>
      <c r="D51">
        <f>IF($A51="","",COUNTIF(connections!$A$2:$A$2500,$A51)+COUNTIF(connections!$B$2:$B$2500,$A51))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IF(OR($A51="",games!$H51=""),"",games!$H51)</f>
      </c>
      <c r="Q51">
        <f>IF(OR($A51="",$P51&lt;&gt;"Yes"),"",$D51+ROW()/1000000)</f>
      </c>
      <c r="T51" t="str">
        <f>IF(connections!$A51="","",IFERROR(INDEX(games!$B$2:$B$1200,MATCH(connections!$A51,games!$A$2:$A$1200,0)),""))</f>
      </c>
      <c r="U51">
        <f>IF(connections!$A51="","",IFERROR(INDEX(games!$B$2:$B$1200,MATCH(connections!$B51,games!$A$2:$A$1200,0)),""))</f>
      </c>
      <c r="V51">
        <f>IF(OR($T51="",$U51=""),"",$U51-$T51)</f>
      </c>
    </row>
    <row r="52">
      <c r="A52" t="str">
        <f>IF(games!$A52="","",games!$A52)</f>
      </c>
      <c r="B52">
        <f>IF($A52="","",games!$B52)</f>
      </c>
      <c r="C52" t="str">
        <f>IF($A52="","",games!$C52)</f>
      </c>
      <c r="D52">
        <f>IF($A52="","",COUNTIF(connections!$A$2:$A$2500,$A52)+COUNTIF(connections!$B$2:$B$2500,$A52))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IF(OR($A52="",games!$H52=""),"",games!$H52)</f>
      </c>
      <c r="Q52">
        <f>IF(OR($A52="",$P52&lt;&gt;"Yes"),"",$D52+ROW()/1000000)</f>
      </c>
      <c r="T52" t="str">
        <f>IF(connections!$A52="","",IFERROR(INDEX(games!$B$2:$B$1200,MATCH(connections!$A52,games!$A$2:$A$1200,0)),""))</f>
      </c>
      <c r="U52">
        <f>IF(connections!$A52="","",IFERROR(INDEX(games!$B$2:$B$1200,MATCH(connections!$B52,games!$A$2:$A$1200,0)),""))</f>
      </c>
      <c r="V52">
        <f>IF(OR($T52="",$U52=""),"",$U52-$T52)</f>
      </c>
    </row>
    <row r="53">
      <c r="A53" t="str">
        <f>IF(games!$A53="","",games!$A53)</f>
      </c>
      <c r="B53">
        <f>IF($A53="","",games!$B53)</f>
      </c>
      <c r="C53" t="str">
        <f>IF($A53="","",games!$C53)</f>
      </c>
      <c r="D53">
        <f>IF($A53="","",COUNTIF(connections!$A$2:$A$2500,$A53)+COUNTIF(connections!$B$2:$B$2500,$A53))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IF(OR($A53="",games!$H53=""),"",games!$H53)</f>
      </c>
      <c r="Q53">
        <f>IF(OR($A53="",$P53&lt;&gt;"Yes"),"",$D53+ROW()/1000000)</f>
      </c>
      <c r="T53" t="str">
        <f>IF(connections!$A53="","",IFERROR(INDEX(games!$B$2:$B$1200,MATCH(connections!$A53,games!$A$2:$A$1200,0)),""))</f>
      </c>
      <c r="U53">
        <f>IF(connections!$A53="","",IFERROR(INDEX(games!$B$2:$B$1200,MATCH(connections!$B53,games!$A$2:$A$1200,0)),""))</f>
      </c>
      <c r="V53">
        <f>IF(OR($T53="",$U53=""),"",$U53-$T53)</f>
      </c>
    </row>
    <row r="54">
      <c r="A54" t="str">
        <f>IF(games!$A54="","",games!$A54)</f>
      </c>
      <c r="B54">
        <f>IF($A54="","",games!$B54)</f>
      </c>
      <c r="C54" t="str">
        <f>IF($A54="","",games!$C54)</f>
      </c>
      <c r="D54">
        <f>IF($A54="","",COUNTIF(connections!$A$2:$A$2500,$A54)+COUNTIF(connections!$B$2:$B$2500,$A54))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IF(OR($A54="",games!$H54=""),"",games!$H54)</f>
      </c>
      <c r="Q54">
        <f>IF(OR($A54="",$P54&lt;&gt;"Yes"),"",$D54+ROW()/1000000)</f>
      </c>
      <c r="T54" t="str">
        <f>IF(connections!$A54="","",IFERROR(INDEX(games!$B$2:$B$1200,MATCH(connections!$A54,games!$A$2:$A$1200,0)),""))</f>
      </c>
      <c r="U54">
        <f>IF(connections!$A54="","",IFERROR(INDEX(games!$B$2:$B$1200,MATCH(connections!$B54,games!$A$2:$A$1200,0)),""))</f>
      </c>
      <c r="V54">
        <f>IF(OR($T54="",$U54=""),"",$U54-$T54)</f>
      </c>
    </row>
    <row r="55">
      <c r="A55" t="str">
        <f>IF(games!$A55="","",games!$A55)</f>
      </c>
      <c r="B55">
        <f>IF($A55="","",games!$B55)</f>
      </c>
      <c r="C55" t="str">
        <f>IF($A55="","",games!$C55)</f>
      </c>
      <c r="D55">
        <f>IF($A55="","",COUNTIF(connections!$A$2:$A$2500,$A55)+COUNTIF(connections!$B$2:$B$2500,$A55))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IF(OR($A55="",games!$H55=""),"",games!$H55)</f>
      </c>
      <c r="Q55">
        <f>IF(OR($A55="",$P55&lt;&gt;"Yes"),"",$D55+ROW()/1000000)</f>
      </c>
      <c r="T55" t="str">
        <f>IF(connections!$A55="","",IFERROR(INDEX(games!$B$2:$B$1200,MATCH(connections!$A55,games!$A$2:$A$1200,0)),""))</f>
      </c>
      <c r="U55">
        <f>IF(connections!$A55="","",IFERROR(INDEX(games!$B$2:$B$1200,MATCH(connections!$B55,games!$A$2:$A$1200,0)),""))</f>
      </c>
      <c r="V55">
        <f>IF(OR($T55="",$U55=""),"",$U55-$T55)</f>
      </c>
    </row>
    <row r="56">
      <c r="A56" t="str">
        <f>IF(games!$A56="","",games!$A56)</f>
      </c>
      <c r="B56">
        <f>IF($A56="","",games!$B56)</f>
      </c>
      <c r="C56" t="str">
        <f>IF($A56="","",games!$C56)</f>
      </c>
      <c r="D56">
        <f>IF($A56="","",COUNTIF(connections!$A$2:$A$2500,$A56)+COUNTIF(connections!$B$2:$B$2500,$A56))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IF(OR($A56="",games!$H56=""),"",games!$H56)</f>
      </c>
      <c r="Q56">
        <f>IF(OR($A56="",$P56&lt;&gt;"Yes"),"",$D56+ROW()/1000000)</f>
      </c>
      <c r="T56" t="str">
        <f>IF(connections!$A56="","",IFERROR(INDEX(games!$B$2:$B$1200,MATCH(connections!$A56,games!$A$2:$A$1200,0)),""))</f>
      </c>
      <c r="U56">
        <f>IF(connections!$A56="","",IFERROR(INDEX(games!$B$2:$B$1200,MATCH(connections!$B56,games!$A$2:$A$1200,0)),""))</f>
      </c>
      <c r="V56">
        <f>IF(OR($T56="",$U56=""),"",$U56-$T56)</f>
      </c>
    </row>
    <row r="57">
      <c r="A57" t="str">
        <f>IF(games!$A57="","",games!$A57)</f>
      </c>
      <c r="B57">
        <f>IF($A57="","",games!$B57)</f>
      </c>
      <c r="C57" t="str">
        <f>IF($A57="","",games!$C57)</f>
      </c>
      <c r="D57">
        <f>IF($A57="","",COUNTIF(connections!$A$2:$A$2500,$A57)+COUNTIF(connections!$B$2:$B$2500,$A57))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IF(OR($A57="",games!$H57=""),"",games!$H57)</f>
      </c>
      <c r="Q57">
        <f>IF(OR($A57="",$P57&lt;&gt;"Yes"),"",$D57+ROW()/1000000)</f>
      </c>
      <c r="T57" t="str">
        <f>IF(connections!$A57="","",IFERROR(INDEX(games!$B$2:$B$1200,MATCH(connections!$A57,games!$A$2:$A$1200,0)),""))</f>
      </c>
      <c r="U57">
        <f>IF(connections!$A57="","",IFERROR(INDEX(games!$B$2:$B$1200,MATCH(connections!$B57,games!$A$2:$A$1200,0)),""))</f>
      </c>
      <c r="V57">
        <f>IF(OR($T57="",$U57=""),"",$U57-$T57)</f>
      </c>
    </row>
    <row r="58">
      <c r="A58" t="str">
        <f>IF(games!$A58="","",games!$A58)</f>
      </c>
      <c r="B58">
        <f>IF($A58="","",games!$B58)</f>
      </c>
      <c r="C58" t="str">
        <f>IF($A58="","",games!$C58)</f>
      </c>
      <c r="D58">
        <f>IF($A58="","",COUNTIF(connections!$A$2:$A$2500,$A58)+COUNTIF(connections!$B$2:$B$2500,$A58))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IF(OR($A58="",games!$H58=""),"",games!$H58)</f>
      </c>
      <c r="Q58">
        <f>IF(OR($A58="",$P58&lt;&gt;"Yes"),"",$D58+ROW()/1000000)</f>
      </c>
      <c r="T58" t="str">
        <f>IF(connections!$A58="","",IFERROR(INDEX(games!$B$2:$B$1200,MATCH(connections!$A58,games!$A$2:$A$1200,0)),""))</f>
      </c>
      <c r="U58">
        <f>IF(connections!$A58="","",IFERROR(INDEX(games!$B$2:$B$1200,MATCH(connections!$B58,games!$A$2:$A$1200,0)),""))</f>
      </c>
      <c r="V58">
        <f>IF(OR($T58="",$U58=""),"",$U58-$T58)</f>
      </c>
    </row>
    <row r="59">
      <c r="A59" t="str">
        <f>IF(games!$A59="","",games!$A59)</f>
      </c>
      <c r="B59">
        <f>IF($A59="","",games!$B59)</f>
      </c>
      <c r="C59" t="str">
        <f>IF($A59="","",games!$C59)</f>
      </c>
      <c r="D59">
        <f>IF($A59="","",COUNTIF(connections!$A$2:$A$2500,$A59)+COUNTIF(connections!$B$2:$B$2500,$A59))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IF(OR($A59="",games!$H59=""),"",games!$H59)</f>
      </c>
      <c r="Q59">
        <f>IF(OR($A59="",$P59&lt;&gt;"Yes"),"",$D59+ROW()/1000000)</f>
      </c>
      <c r="T59" t="str">
        <f>IF(connections!$A59="","",IFERROR(INDEX(games!$B$2:$B$1200,MATCH(connections!$A59,games!$A$2:$A$1200,0)),""))</f>
      </c>
      <c r="U59">
        <f>IF(connections!$A59="","",IFERROR(INDEX(games!$B$2:$B$1200,MATCH(connections!$B59,games!$A$2:$A$1200,0)),""))</f>
      </c>
      <c r="V59">
        <f>IF(OR($T59="",$U59=""),"",$U59-$T59)</f>
      </c>
    </row>
    <row r="60">
      <c r="A60" t="str">
        <f>IF(games!$A60="","",games!$A60)</f>
      </c>
      <c r="B60">
        <f>IF($A60="","",games!$B60)</f>
      </c>
      <c r="C60" t="str">
        <f>IF($A60="","",games!$C60)</f>
      </c>
      <c r="D60">
        <f>IF($A60="","",COUNTIF(connections!$A$2:$A$2500,$A60)+COUNTIF(connections!$B$2:$B$2500,$A60))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IF(OR($A60="",games!$H60=""),"",games!$H60)</f>
      </c>
      <c r="Q60">
        <f>IF(OR($A60="",$P60&lt;&gt;"Yes"),"",$D60+ROW()/1000000)</f>
      </c>
      <c r="T60" t="str">
        <f>IF(connections!$A60="","",IFERROR(INDEX(games!$B$2:$B$1200,MATCH(connections!$A60,games!$A$2:$A$1200,0)),""))</f>
      </c>
      <c r="U60">
        <f>IF(connections!$A60="","",IFERROR(INDEX(games!$B$2:$B$1200,MATCH(connections!$B60,games!$A$2:$A$1200,0)),""))</f>
      </c>
      <c r="V60">
        <f>IF(OR($T60="",$U60=""),"",$U60-$T60)</f>
      </c>
    </row>
    <row r="61">
      <c r="A61" t="str">
        <f>IF(games!$A61="","",games!$A61)</f>
      </c>
      <c r="B61">
        <f>IF($A61="","",games!$B61)</f>
      </c>
      <c r="C61" t="str">
        <f>IF($A61="","",games!$C61)</f>
      </c>
      <c r="D61">
        <f>IF($A61="","",COUNTIF(connections!$A$2:$A$2500,$A61)+COUNTIF(connections!$B$2:$B$2500,$A61))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IF(OR($A61="",games!$H61=""),"",games!$H61)</f>
      </c>
      <c r="Q61">
        <f>IF(OR($A61="",$P61&lt;&gt;"Yes"),"",$D61+ROW()/1000000)</f>
      </c>
      <c r="T61" t="str">
        <f>IF(connections!$A61="","",IFERROR(INDEX(games!$B$2:$B$1200,MATCH(connections!$A61,games!$A$2:$A$1200,0)),""))</f>
      </c>
      <c r="U61">
        <f>IF(connections!$A61="","",IFERROR(INDEX(games!$B$2:$B$1200,MATCH(connections!$B61,games!$A$2:$A$1200,0)),""))</f>
      </c>
      <c r="V61">
        <f>IF(OR($T61="",$U61=""),"",$U61-$T61)</f>
      </c>
    </row>
    <row r="62">
      <c r="A62" t="str">
        <f>IF(games!$A62="","",games!$A62)</f>
      </c>
      <c r="B62">
        <f>IF($A62="","",games!$B62)</f>
      </c>
      <c r="C62" t="str">
        <f>IF($A62="","",games!$C62)</f>
      </c>
      <c r="D62">
        <f>IF($A62="","",COUNTIF(connections!$A$2:$A$2500,$A62)+COUNTIF(connections!$B$2:$B$2500,$A62))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IF(OR($A62="",games!$H62=""),"",games!$H62)</f>
      </c>
      <c r="Q62">
        <f>IF(OR($A62="",$P62&lt;&gt;"Yes"),"",$D62+ROW()/1000000)</f>
      </c>
      <c r="T62" t="str">
        <f>IF(connections!$A62="","",IFERROR(INDEX(games!$B$2:$B$1200,MATCH(connections!$A62,games!$A$2:$A$1200,0)),""))</f>
      </c>
      <c r="U62">
        <f>IF(connections!$A62="","",IFERROR(INDEX(games!$B$2:$B$1200,MATCH(connections!$B62,games!$A$2:$A$1200,0)),""))</f>
      </c>
      <c r="V62">
        <f>IF(OR($T62="",$U62=""),"",$U62-$T62)</f>
      </c>
    </row>
    <row r="63">
      <c r="A63" t="str">
        <f>IF(games!$A63="","",games!$A63)</f>
      </c>
      <c r="B63">
        <f>IF($A63="","",games!$B63)</f>
      </c>
      <c r="C63" t="str">
        <f>IF($A63="","",games!$C63)</f>
      </c>
      <c r="D63">
        <f>IF($A63="","",COUNTIF(connections!$A$2:$A$2500,$A63)+COUNTIF(connections!$B$2:$B$2500,$A63))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IF(OR($A63="",games!$H63=""),"",games!$H63)</f>
      </c>
      <c r="Q63">
        <f>IF(OR($A63="",$P63&lt;&gt;"Yes"),"",$D63+ROW()/1000000)</f>
      </c>
      <c r="T63" t="str">
        <f>IF(connections!$A63="","",IFERROR(INDEX(games!$B$2:$B$1200,MATCH(connections!$A63,games!$A$2:$A$1200,0)),""))</f>
      </c>
      <c r="U63">
        <f>IF(connections!$A63="","",IFERROR(INDEX(games!$B$2:$B$1200,MATCH(connections!$B63,games!$A$2:$A$1200,0)),""))</f>
      </c>
      <c r="V63">
        <f>IF(OR($T63="",$U63=""),"",$U63-$T63)</f>
      </c>
    </row>
    <row r="64">
      <c r="A64" t="str">
        <f>IF(games!$A64="","",games!$A64)</f>
      </c>
      <c r="B64">
        <f>IF($A64="","",games!$B64)</f>
      </c>
      <c r="C64" t="str">
        <f>IF($A64="","",games!$C64)</f>
      </c>
      <c r="D64">
        <f>IF($A64="","",COUNTIF(connections!$A$2:$A$2500,$A64)+COUNTIF(connections!$B$2:$B$2500,$A64))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IF(OR($A64="",games!$H64=""),"",games!$H64)</f>
      </c>
      <c r="Q64">
        <f>IF(OR($A64="",$P64&lt;&gt;"Yes"),"",$D64+ROW()/1000000)</f>
      </c>
      <c r="T64" t="str">
        <f>IF(connections!$A64="","",IFERROR(INDEX(games!$B$2:$B$1200,MATCH(connections!$A64,games!$A$2:$A$1200,0)),""))</f>
      </c>
      <c r="U64">
        <f>IF(connections!$A64="","",IFERROR(INDEX(games!$B$2:$B$1200,MATCH(connections!$B64,games!$A$2:$A$1200,0)),""))</f>
      </c>
      <c r="V64">
        <f>IF(OR($T64="",$U64=""),"",$U64-$T64)</f>
      </c>
    </row>
    <row r="65">
      <c r="A65" t="str">
        <f>IF(games!$A65="","",games!$A65)</f>
      </c>
      <c r="B65">
        <f>IF($A65="","",games!$B65)</f>
      </c>
      <c r="C65" t="str">
        <f>IF($A65="","",games!$C65)</f>
      </c>
      <c r="D65">
        <f>IF($A65="","",COUNTIF(connections!$A$2:$A$2500,$A65)+COUNTIF(connections!$B$2:$B$2500,$A65))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IF(OR($A65="",games!$H65=""),"",games!$H65)</f>
      </c>
      <c r="Q65">
        <f>IF(OR($A65="",$P65&lt;&gt;"Yes"),"",$D65+ROW()/1000000)</f>
      </c>
      <c r="T65" t="str">
        <f>IF(connections!$A65="","",IFERROR(INDEX(games!$B$2:$B$1200,MATCH(connections!$A65,games!$A$2:$A$1200,0)),""))</f>
      </c>
      <c r="U65">
        <f>IF(connections!$A65="","",IFERROR(INDEX(games!$B$2:$B$1200,MATCH(connections!$B65,games!$A$2:$A$1200,0)),""))</f>
      </c>
      <c r="V65">
        <f>IF(OR($T65="",$U65=""),"",$U65-$T65)</f>
      </c>
    </row>
    <row r="66">
      <c r="A66" t="str">
        <f>IF(games!$A66="","",games!$A66)</f>
      </c>
      <c r="B66">
        <f>IF($A66="","",games!$B66)</f>
      </c>
      <c r="C66" t="str">
        <f>IF($A66="","",games!$C66)</f>
      </c>
      <c r="D66">
        <f>IF($A66="","",COUNTIF(connections!$A$2:$A$2500,$A66)+COUNTIF(connections!$B$2:$B$2500,$A66))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IF(OR($A66="",games!$H66=""),"",games!$H66)</f>
      </c>
      <c r="Q66">
        <f>IF(OR($A66="",$P66&lt;&gt;"Yes"),"",$D66+ROW()/1000000)</f>
      </c>
      <c r="T66" t="str">
        <f>IF(connections!$A66="","",IFERROR(INDEX(games!$B$2:$B$1200,MATCH(connections!$A66,games!$A$2:$A$1200,0)),""))</f>
      </c>
      <c r="U66">
        <f>IF(connections!$A66="","",IFERROR(INDEX(games!$B$2:$B$1200,MATCH(connections!$B66,games!$A$2:$A$1200,0)),""))</f>
      </c>
      <c r="V66">
        <f>IF(OR($T66="",$U66=""),"",$U66-$T66)</f>
      </c>
    </row>
    <row r="67">
      <c r="A67" t="str">
        <f>IF(games!$A67="","",games!$A67)</f>
      </c>
      <c r="B67">
        <f>IF($A67="","",games!$B67)</f>
      </c>
      <c r="C67" t="str">
        <f>IF($A67="","",games!$C67)</f>
      </c>
      <c r="D67">
        <f>IF($A67="","",COUNTIF(connections!$A$2:$A$2500,$A67)+COUNTIF(connections!$B$2:$B$2500,$A67))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IF(OR($A67="",games!$H67=""),"",games!$H67)</f>
      </c>
      <c r="Q67">
        <f>IF(OR($A67="",$P67&lt;&gt;"Yes"),"",$D67+ROW()/1000000)</f>
      </c>
      <c r="T67" t="str">
        <f>IF(connections!$A67="","",IFERROR(INDEX(games!$B$2:$B$1200,MATCH(connections!$A67,games!$A$2:$A$1200,0)),""))</f>
      </c>
      <c r="U67">
        <f>IF(connections!$A67="","",IFERROR(INDEX(games!$B$2:$B$1200,MATCH(connections!$B67,games!$A$2:$A$1200,0)),""))</f>
      </c>
      <c r="V67">
        <f>IF(OR($T67="",$U67=""),"",$U67-$T67)</f>
      </c>
    </row>
    <row r="68">
      <c r="A68" t="str">
        <f>IF(games!$A68="","",games!$A68)</f>
      </c>
      <c r="B68">
        <f>IF($A68="","",games!$B68)</f>
      </c>
      <c r="C68" t="str">
        <f>IF($A68="","",games!$C68)</f>
      </c>
      <c r="D68">
        <f>IF($A68="","",COUNTIF(connections!$A$2:$A$2500,$A68)+COUNTIF(connections!$B$2:$B$2500,$A68))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IF(OR($A68="",games!$H68=""),"",games!$H68)</f>
      </c>
      <c r="Q68">
        <f>IF(OR($A68="",$P68&lt;&gt;"Yes"),"",$D68+ROW()/1000000)</f>
      </c>
      <c r="T68" t="str">
        <f>IF(connections!$A68="","",IFERROR(INDEX(games!$B$2:$B$1200,MATCH(connections!$A68,games!$A$2:$A$1200,0)),""))</f>
      </c>
      <c r="U68">
        <f>IF(connections!$A68="","",IFERROR(INDEX(games!$B$2:$B$1200,MATCH(connections!$B68,games!$A$2:$A$1200,0)),""))</f>
      </c>
      <c r="V68">
        <f>IF(OR($T68="",$U68=""),"",$U68-$T68)</f>
      </c>
    </row>
    <row r="69">
      <c r="A69" t="str">
        <f>IF(games!$A69="","",games!$A69)</f>
      </c>
      <c r="B69">
        <f>IF($A69="","",games!$B69)</f>
      </c>
      <c r="C69" t="str">
        <f>IF($A69="","",games!$C69)</f>
      </c>
      <c r="D69">
        <f>IF($A69="","",COUNTIF(connections!$A$2:$A$2500,$A69)+COUNTIF(connections!$B$2:$B$2500,$A69))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IF(OR($A69="",games!$H69=""),"",games!$H69)</f>
      </c>
      <c r="Q69">
        <f>IF(OR($A69="",$P69&lt;&gt;"Yes"),"",$D69+ROW()/1000000)</f>
      </c>
      <c r="T69" t="str">
        <f>IF(connections!$A69="","",IFERROR(INDEX(games!$B$2:$B$1200,MATCH(connections!$A69,games!$A$2:$A$1200,0)),""))</f>
      </c>
      <c r="U69">
        <f>IF(connections!$A69="","",IFERROR(INDEX(games!$B$2:$B$1200,MATCH(connections!$B69,games!$A$2:$A$1200,0)),""))</f>
      </c>
      <c r="V69">
        <f>IF(OR($T69="",$U69=""),"",$U69-$T69)</f>
      </c>
    </row>
    <row r="70">
      <c r="A70" t="str">
        <f>IF(games!$A70="","",games!$A70)</f>
      </c>
      <c r="B70">
        <f>IF($A70="","",games!$B70)</f>
      </c>
      <c r="C70" t="str">
        <f>IF($A70="","",games!$C70)</f>
      </c>
      <c r="D70">
        <f>IF($A70="","",COUNTIF(connections!$A$2:$A$2500,$A70)+COUNTIF(connections!$B$2:$B$2500,$A70))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IF(OR($A70="",games!$H70=""),"",games!$H70)</f>
      </c>
      <c r="Q70">
        <f>IF(OR($A70="",$P70&lt;&gt;"Yes"),"",$D70+ROW()/1000000)</f>
      </c>
      <c r="T70" t="str">
        <f>IF(connections!$A70="","",IFERROR(INDEX(games!$B$2:$B$1200,MATCH(connections!$A70,games!$A$2:$A$1200,0)),""))</f>
      </c>
      <c r="U70">
        <f>IF(connections!$A70="","",IFERROR(INDEX(games!$B$2:$B$1200,MATCH(connections!$B70,games!$A$2:$A$1200,0)),""))</f>
      </c>
      <c r="V70">
        <f>IF(OR($T70="",$U70=""),"",$U70-$T70)</f>
      </c>
    </row>
    <row r="71">
      <c r="A71" t="str">
        <f>IF(games!$A71="","",games!$A71)</f>
      </c>
      <c r="B71">
        <f>IF($A71="","",games!$B71)</f>
      </c>
      <c r="C71" t="str">
        <f>IF($A71="","",games!$C71)</f>
      </c>
      <c r="D71">
        <f>IF($A71="","",COUNTIF(connections!$A$2:$A$2500,$A71)+COUNTIF(connections!$B$2:$B$2500,$A71))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IF(OR($A71="",games!$H71=""),"",games!$H71)</f>
      </c>
      <c r="Q71">
        <f>IF(OR($A71="",$P71&lt;&gt;"Yes"),"",$D71+ROW()/1000000)</f>
      </c>
      <c r="T71" t="str">
        <f>IF(connections!$A71="","",IFERROR(INDEX(games!$B$2:$B$1200,MATCH(connections!$A71,games!$A$2:$A$1200,0)),""))</f>
      </c>
      <c r="U71">
        <f>IF(connections!$A71="","",IFERROR(INDEX(games!$B$2:$B$1200,MATCH(connections!$B71,games!$A$2:$A$1200,0)),""))</f>
      </c>
      <c r="V71">
        <f>IF(OR($T71="",$U71=""),"",$U71-$T71)</f>
      </c>
    </row>
    <row r="72">
      <c r="A72" t="str">
        <f>IF(games!$A72="","",games!$A72)</f>
      </c>
      <c r="B72">
        <f>IF($A72="","",games!$B72)</f>
      </c>
      <c r="C72" t="str">
        <f>IF($A72="","",games!$C72)</f>
      </c>
      <c r="D72">
        <f>IF($A72="","",COUNTIF(connections!$A$2:$A$2500,$A72)+COUNTIF(connections!$B$2:$B$2500,$A72))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IF(OR($A72="",games!$H72=""),"",games!$H72)</f>
      </c>
      <c r="Q72">
        <f>IF(OR($A72="",$P72&lt;&gt;"Yes"),"",$D72+ROW()/1000000)</f>
      </c>
      <c r="T72" t="str">
        <f>IF(connections!$A72="","",IFERROR(INDEX(games!$B$2:$B$1200,MATCH(connections!$A72,games!$A$2:$A$1200,0)),""))</f>
      </c>
      <c r="U72">
        <f>IF(connections!$A72="","",IFERROR(INDEX(games!$B$2:$B$1200,MATCH(connections!$B72,games!$A$2:$A$1200,0)),""))</f>
      </c>
      <c r="V72">
        <f>IF(OR($T72="",$U72=""),"",$U72-$T72)</f>
      </c>
    </row>
    <row r="73">
      <c r="A73" t="str">
        <f>IF(games!$A73="","",games!$A73)</f>
      </c>
      <c r="B73">
        <f>IF($A73="","",games!$B73)</f>
      </c>
      <c r="C73" t="str">
        <f>IF($A73="","",games!$C73)</f>
      </c>
      <c r="D73">
        <f>IF($A73="","",COUNTIF(connections!$A$2:$A$2500,$A73)+COUNTIF(connections!$B$2:$B$2500,$A73))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IF(OR($A73="",games!$H73=""),"",games!$H73)</f>
      </c>
      <c r="Q73">
        <f>IF(OR($A73="",$P73&lt;&gt;"Yes"),"",$D73+ROW()/1000000)</f>
      </c>
      <c r="T73" t="str">
        <f>IF(connections!$A73="","",IFERROR(INDEX(games!$B$2:$B$1200,MATCH(connections!$A73,games!$A$2:$A$1200,0)),""))</f>
      </c>
      <c r="U73">
        <f>IF(connections!$A73="","",IFERROR(INDEX(games!$B$2:$B$1200,MATCH(connections!$B73,games!$A$2:$A$1200,0)),""))</f>
      </c>
      <c r="V73">
        <f>IF(OR($T73="",$U73=""),"",$U73-$T73)</f>
      </c>
    </row>
    <row r="74">
      <c r="A74" t="str">
        <f>IF(games!$A74="","",games!$A74)</f>
      </c>
      <c r="B74">
        <f>IF($A74="","",games!$B74)</f>
      </c>
      <c r="C74" t="str">
        <f>IF($A74="","",games!$C74)</f>
      </c>
      <c r="D74">
        <f>IF($A74="","",COUNTIF(connections!$A$2:$A$2500,$A74)+COUNTIF(connections!$B$2:$B$2500,$A74))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IF(OR($A74="",games!$H74=""),"",games!$H74)</f>
      </c>
      <c r="Q74">
        <f>IF(OR($A74="",$P74&lt;&gt;"Yes"),"",$D74+ROW()/1000000)</f>
      </c>
      <c r="T74" t="str">
        <f>IF(connections!$A74="","",IFERROR(INDEX(games!$B$2:$B$1200,MATCH(connections!$A74,games!$A$2:$A$1200,0)),""))</f>
      </c>
      <c r="U74">
        <f>IF(connections!$A74="","",IFERROR(INDEX(games!$B$2:$B$1200,MATCH(connections!$B74,games!$A$2:$A$1200,0)),""))</f>
      </c>
      <c r="V74">
        <f>IF(OR($T74="",$U74=""),"",$U74-$T74)</f>
      </c>
    </row>
    <row r="75">
      <c r="A75" t="str">
        <f>IF(games!$A75="","",games!$A75)</f>
      </c>
      <c r="B75">
        <f>IF($A75="","",games!$B75)</f>
      </c>
      <c r="C75" t="str">
        <f>IF($A75="","",games!$C75)</f>
      </c>
      <c r="D75">
        <f>IF($A75="","",COUNTIF(connections!$A$2:$A$2500,$A75)+COUNTIF(connections!$B$2:$B$2500,$A75))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IF(OR($A75="",games!$H75=""),"",games!$H75)</f>
      </c>
      <c r="Q75">
        <f>IF(OR($A75="",$P75&lt;&gt;"Yes"),"",$D75+ROW()/1000000)</f>
      </c>
      <c r="T75" t="str">
        <f>IF(connections!$A75="","",IFERROR(INDEX(games!$B$2:$B$1200,MATCH(connections!$A75,games!$A$2:$A$1200,0)),""))</f>
      </c>
      <c r="U75">
        <f>IF(connections!$A75="","",IFERROR(INDEX(games!$B$2:$B$1200,MATCH(connections!$B75,games!$A$2:$A$1200,0)),""))</f>
      </c>
      <c r="V75">
        <f>IF(OR($T75="",$U75=""),"",$U75-$T75)</f>
      </c>
    </row>
    <row r="76">
      <c r="A76" t="str">
        <f>IF(games!$A76="","",games!$A76)</f>
      </c>
      <c r="B76">
        <f>IF($A76="","",games!$B76)</f>
      </c>
      <c r="C76" t="str">
        <f>IF($A76="","",games!$C76)</f>
      </c>
      <c r="D76">
        <f>IF($A76="","",COUNTIF(connections!$A$2:$A$2500,$A76)+COUNTIF(connections!$B$2:$B$2500,$A76))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IF(OR($A76="",games!$H76=""),"",games!$H76)</f>
      </c>
      <c r="Q76">
        <f>IF(OR($A76="",$P76&lt;&gt;"Yes"),"",$D76+ROW()/1000000)</f>
      </c>
      <c r="T76" t="str">
        <f>IF(connections!$A76="","",IFERROR(INDEX(games!$B$2:$B$1200,MATCH(connections!$A76,games!$A$2:$A$1200,0)),""))</f>
      </c>
      <c r="U76">
        <f>IF(connections!$A76="","",IFERROR(INDEX(games!$B$2:$B$1200,MATCH(connections!$B76,games!$A$2:$A$1200,0)),""))</f>
      </c>
      <c r="V76">
        <f>IF(OR($T76="",$U76=""),"",$U76-$T76)</f>
      </c>
    </row>
    <row r="77">
      <c r="A77" t="str">
        <f>IF(games!$A77="","",games!$A77)</f>
      </c>
      <c r="B77">
        <f>IF($A77="","",games!$B77)</f>
      </c>
      <c r="C77" t="str">
        <f>IF($A77="","",games!$C77)</f>
      </c>
      <c r="D77">
        <f>IF($A77="","",COUNTIF(connections!$A$2:$A$2500,$A77)+COUNTIF(connections!$B$2:$B$2500,$A77))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IF(OR($A77="",games!$H77=""),"",games!$H77)</f>
      </c>
      <c r="Q77">
        <f>IF(OR($A77="",$P77&lt;&gt;"Yes"),"",$D77+ROW()/1000000)</f>
      </c>
      <c r="T77" t="str">
        <f>IF(connections!$A77="","",IFERROR(INDEX(games!$B$2:$B$1200,MATCH(connections!$A77,games!$A$2:$A$1200,0)),""))</f>
      </c>
      <c r="U77">
        <f>IF(connections!$A77="","",IFERROR(INDEX(games!$B$2:$B$1200,MATCH(connections!$B77,games!$A$2:$A$1200,0)),""))</f>
      </c>
      <c r="V77">
        <f>IF(OR($T77="",$U77=""),"",$U77-$T77)</f>
      </c>
    </row>
    <row r="78">
      <c r="A78" t="str">
        <f>IF(games!$A78="","",games!$A78)</f>
      </c>
      <c r="B78">
        <f>IF($A78="","",games!$B78)</f>
      </c>
      <c r="C78" t="str">
        <f>IF($A78="","",games!$C78)</f>
      </c>
      <c r="D78">
        <f>IF($A78="","",COUNTIF(connections!$A$2:$A$2500,$A78)+COUNTIF(connections!$B$2:$B$2500,$A78))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IF(OR($A78="",games!$H78=""),"",games!$H78)</f>
      </c>
      <c r="Q78">
        <f>IF(OR($A78="",$P78&lt;&gt;"Yes"),"",$D78+ROW()/1000000)</f>
      </c>
      <c r="T78" t="str">
        <f>IF(connections!$A78="","",IFERROR(INDEX(games!$B$2:$B$1200,MATCH(connections!$A78,games!$A$2:$A$1200,0)),""))</f>
      </c>
      <c r="U78">
        <f>IF(connections!$A78="","",IFERROR(INDEX(games!$B$2:$B$1200,MATCH(connections!$B78,games!$A$2:$A$1200,0)),""))</f>
      </c>
      <c r="V78">
        <f>IF(OR($T78="",$U78=""),"",$U78-$T78)</f>
      </c>
    </row>
    <row r="79">
      <c r="A79" t="str">
        <f>IF(games!$A79="","",games!$A79)</f>
      </c>
      <c r="B79">
        <f>IF($A79="","",games!$B79)</f>
      </c>
      <c r="C79" t="str">
        <f>IF($A79="","",games!$C79)</f>
      </c>
      <c r="D79">
        <f>IF($A79="","",COUNTIF(connections!$A$2:$A$2500,$A79)+COUNTIF(connections!$B$2:$B$2500,$A79))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IF(OR($A79="",games!$H79=""),"",games!$H79)</f>
      </c>
      <c r="Q79">
        <f>IF(OR($A79="",$P79&lt;&gt;"Yes"),"",$D79+ROW()/1000000)</f>
      </c>
      <c r="T79" t="str">
        <f>IF(connections!$A79="","",IFERROR(INDEX(games!$B$2:$B$1200,MATCH(connections!$A79,games!$A$2:$A$1200,0)),""))</f>
      </c>
      <c r="U79">
        <f>IF(connections!$A79="","",IFERROR(INDEX(games!$B$2:$B$1200,MATCH(connections!$B79,games!$A$2:$A$1200,0)),""))</f>
      </c>
      <c r="V79">
        <f>IF(OR($T79="",$U79=""),"",$U79-$T79)</f>
      </c>
    </row>
    <row r="80">
      <c r="A80" t="str">
        <f>IF(games!$A80="","",games!$A80)</f>
      </c>
      <c r="B80">
        <f>IF($A80="","",games!$B80)</f>
      </c>
      <c r="C80" t="str">
        <f>IF($A80="","",games!$C80)</f>
      </c>
      <c r="D80">
        <f>IF($A80="","",COUNTIF(connections!$A$2:$A$2500,$A80)+COUNTIF(connections!$B$2:$B$2500,$A80))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IF(OR($A80="",games!$H80=""),"",games!$H80)</f>
      </c>
      <c r="Q80">
        <f>IF(OR($A80="",$P80&lt;&gt;"Yes"),"",$D80+ROW()/1000000)</f>
      </c>
      <c r="T80" t="str">
        <f>IF(connections!$A80="","",IFERROR(INDEX(games!$B$2:$B$1200,MATCH(connections!$A80,games!$A$2:$A$1200,0)),""))</f>
      </c>
      <c r="U80">
        <f>IF(connections!$A80="","",IFERROR(INDEX(games!$B$2:$B$1200,MATCH(connections!$B80,games!$A$2:$A$1200,0)),""))</f>
      </c>
      <c r="V80">
        <f>IF(OR($T80="",$U80=""),"",$U80-$T80)</f>
      </c>
    </row>
    <row r="81">
      <c r="A81" t="str">
        <f>IF(games!$A81="","",games!$A81)</f>
      </c>
      <c r="B81">
        <f>IF($A81="","",games!$B81)</f>
      </c>
      <c r="C81" t="str">
        <f>IF($A81="","",games!$C81)</f>
      </c>
      <c r="D81">
        <f>IF($A81="","",COUNTIF(connections!$A$2:$A$2500,$A81)+COUNTIF(connections!$B$2:$B$2500,$A81))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IF(OR($A81="",games!$H81=""),"",games!$H81)</f>
      </c>
      <c r="Q81">
        <f>IF(OR($A81="",$P81&lt;&gt;"Yes"),"",$D81+ROW()/1000000)</f>
      </c>
      <c r="T81" t="str">
        <f>IF(connections!$A81="","",IFERROR(INDEX(games!$B$2:$B$1200,MATCH(connections!$A81,games!$A$2:$A$1200,0)),""))</f>
      </c>
      <c r="U81">
        <f>IF(connections!$A81="","",IFERROR(INDEX(games!$B$2:$B$1200,MATCH(connections!$B81,games!$A$2:$A$1200,0)),""))</f>
      </c>
      <c r="V81">
        <f>IF(OR($T81="",$U81=""),"",$U81-$T81)</f>
      </c>
    </row>
    <row r="82">
      <c r="A82" t="str">
        <f>IF(games!$A82="","",games!$A82)</f>
      </c>
      <c r="B82">
        <f>IF($A82="","",games!$B82)</f>
      </c>
      <c r="C82" t="str">
        <f>IF($A82="","",games!$C82)</f>
      </c>
      <c r="D82">
        <f>IF($A82="","",COUNTIF(connections!$A$2:$A$2500,$A82)+COUNTIF(connections!$B$2:$B$2500,$A82))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IF(OR($A82="",games!$H82=""),"",games!$H82)</f>
      </c>
      <c r="Q82">
        <f>IF(OR($A82="",$P82&lt;&gt;"Yes"),"",$D82+ROW()/1000000)</f>
      </c>
      <c r="T82" t="str">
        <f>IF(connections!$A82="","",IFERROR(INDEX(games!$B$2:$B$1200,MATCH(connections!$A82,games!$A$2:$A$1200,0)),""))</f>
      </c>
      <c r="U82">
        <f>IF(connections!$A82="","",IFERROR(INDEX(games!$B$2:$B$1200,MATCH(connections!$B82,games!$A$2:$A$1200,0)),""))</f>
      </c>
      <c r="V82">
        <f>IF(OR($T82="",$U82=""),"",$U82-$T82)</f>
      </c>
    </row>
    <row r="83">
      <c r="A83" t="str">
        <f>IF(games!$A83="","",games!$A83)</f>
      </c>
      <c r="B83">
        <f>IF($A83="","",games!$B83)</f>
      </c>
      <c r="C83" t="str">
        <f>IF($A83="","",games!$C83)</f>
      </c>
      <c r="D83">
        <f>IF($A83="","",COUNTIF(connections!$A$2:$A$2500,$A83)+COUNTIF(connections!$B$2:$B$2500,$A83))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IF(OR($A83="",games!$H83=""),"",games!$H83)</f>
      </c>
      <c r="Q83">
        <f>IF(OR($A83="",$P83&lt;&gt;"Yes"),"",$D83+ROW()/1000000)</f>
      </c>
      <c r="T83" t="str">
        <f>IF(connections!$A83="","",IFERROR(INDEX(games!$B$2:$B$1200,MATCH(connections!$A83,games!$A$2:$A$1200,0)),""))</f>
      </c>
      <c r="U83">
        <f>IF(connections!$A83="","",IFERROR(INDEX(games!$B$2:$B$1200,MATCH(connections!$B83,games!$A$2:$A$1200,0)),""))</f>
      </c>
      <c r="V83">
        <f>IF(OR($T83="",$U83=""),"",$U83-$T83)</f>
      </c>
    </row>
    <row r="84">
      <c r="A84" t="str">
        <f>IF(games!$A84="","",games!$A84)</f>
      </c>
      <c r="B84">
        <f>IF($A84="","",games!$B84)</f>
      </c>
      <c r="C84" t="str">
        <f>IF($A84="","",games!$C84)</f>
      </c>
      <c r="D84">
        <f>IF($A84="","",COUNTIF(connections!$A$2:$A$2500,$A84)+COUNTIF(connections!$B$2:$B$2500,$A84))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IF(OR($A84="",games!$H84=""),"",games!$H84)</f>
      </c>
      <c r="Q84">
        <f>IF(OR($A84="",$P84&lt;&gt;"Yes"),"",$D84+ROW()/1000000)</f>
      </c>
      <c r="T84" t="str">
        <f>IF(connections!$A84="","",IFERROR(INDEX(games!$B$2:$B$1200,MATCH(connections!$A84,games!$A$2:$A$1200,0)),""))</f>
      </c>
      <c r="U84">
        <f>IF(connections!$A84="","",IFERROR(INDEX(games!$B$2:$B$1200,MATCH(connections!$B84,games!$A$2:$A$1200,0)),""))</f>
      </c>
      <c r="V84">
        <f>IF(OR($T84="",$U84=""),"",$U84-$T84)</f>
      </c>
    </row>
    <row r="85">
      <c r="A85" t="str">
        <f>IF(games!$A85="","",games!$A85)</f>
      </c>
      <c r="B85">
        <f>IF($A85="","",games!$B85)</f>
      </c>
      <c r="C85" t="str">
        <f>IF($A85="","",games!$C85)</f>
      </c>
      <c r="D85">
        <f>IF($A85="","",COUNTIF(connections!$A$2:$A$2500,$A85)+COUNTIF(connections!$B$2:$B$2500,$A85))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IF(OR($A85="",games!$H85=""),"",games!$H85)</f>
      </c>
      <c r="Q85">
        <f>IF(OR($A85="",$P85&lt;&gt;"Yes"),"",$D85+ROW()/1000000)</f>
      </c>
      <c r="T85" t="str">
        <f>IF(connections!$A85="","",IFERROR(INDEX(games!$B$2:$B$1200,MATCH(connections!$A85,games!$A$2:$A$1200,0)),""))</f>
      </c>
      <c r="U85">
        <f>IF(connections!$A85="","",IFERROR(INDEX(games!$B$2:$B$1200,MATCH(connections!$B85,games!$A$2:$A$1200,0)),""))</f>
      </c>
      <c r="V85">
        <f>IF(OR($T85="",$U85=""),"",$U85-$T85)</f>
      </c>
    </row>
    <row r="86">
      <c r="A86" t="str">
        <f>IF(games!$A86="","",games!$A86)</f>
      </c>
      <c r="B86">
        <f>IF($A86="","",games!$B86)</f>
      </c>
      <c r="C86" t="str">
        <f>IF($A86="","",games!$C86)</f>
      </c>
      <c r="D86">
        <f>IF($A86="","",COUNTIF(connections!$A$2:$A$2500,$A86)+COUNTIF(connections!$B$2:$B$2500,$A86))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IF(OR($A86="",games!$H86=""),"",games!$H86)</f>
      </c>
      <c r="Q86">
        <f>IF(OR($A86="",$P86&lt;&gt;"Yes"),"",$D86+ROW()/1000000)</f>
      </c>
      <c r="T86" t="str">
        <f>IF(connections!$A86="","",IFERROR(INDEX(games!$B$2:$B$1200,MATCH(connections!$A86,games!$A$2:$A$1200,0)),""))</f>
      </c>
      <c r="U86">
        <f>IF(connections!$A86="","",IFERROR(INDEX(games!$B$2:$B$1200,MATCH(connections!$B86,games!$A$2:$A$1200,0)),""))</f>
      </c>
      <c r="V86">
        <f>IF(OR($T86="",$U86=""),"",$U86-$T86)</f>
      </c>
    </row>
    <row r="87">
      <c r="A87" t="str">
        <f>IF(games!$A87="","",games!$A87)</f>
      </c>
      <c r="B87">
        <f>IF($A87="","",games!$B87)</f>
      </c>
      <c r="C87" t="str">
        <f>IF($A87="","",games!$C87)</f>
      </c>
      <c r="D87">
        <f>IF($A87="","",COUNTIF(connections!$A$2:$A$2500,$A87)+COUNTIF(connections!$B$2:$B$2500,$A87))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IF(OR($A87="",games!$H87=""),"",games!$H87)</f>
      </c>
      <c r="Q87">
        <f>IF(OR($A87="",$P87&lt;&gt;"Yes"),"",$D87+ROW()/1000000)</f>
      </c>
      <c r="T87" t="str">
        <f>IF(connections!$A87="","",IFERROR(INDEX(games!$B$2:$B$1200,MATCH(connections!$A87,games!$A$2:$A$1200,0)),""))</f>
      </c>
      <c r="U87">
        <f>IF(connections!$A87="","",IFERROR(INDEX(games!$B$2:$B$1200,MATCH(connections!$B87,games!$A$2:$A$1200,0)),""))</f>
      </c>
      <c r="V87">
        <f>IF(OR($T87="",$U87=""),"",$U87-$T87)</f>
      </c>
    </row>
    <row r="88">
      <c r="A88" t="str">
        <f>IF(games!$A88="","",games!$A88)</f>
      </c>
      <c r="B88">
        <f>IF($A88="","",games!$B88)</f>
      </c>
      <c r="C88" t="str">
        <f>IF($A88="","",games!$C88)</f>
      </c>
      <c r="D88">
        <f>IF($A88="","",COUNTIF(connections!$A$2:$A$2500,$A88)+COUNTIF(connections!$B$2:$B$2500,$A88))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IF(OR($A88="",games!$H88=""),"",games!$H88)</f>
      </c>
      <c r="Q88">
        <f>IF(OR($A88="",$P88&lt;&gt;"Yes"),"",$D88+ROW()/1000000)</f>
      </c>
      <c r="T88" t="str">
        <f>IF(connections!$A88="","",IFERROR(INDEX(games!$B$2:$B$1200,MATCH(connections!$A88,games!$A$2:$A$1200,0)),""))</f>
      </c>
      <c r="U88">
        <f>IF(connections!$A88="","",IFERROR(INDEX(games!$B$2:$B$1200,MATCH(connections!$B88,games!$A$2:$A$1200,0)),""))</f>
      </c>
      <c r="V88">
        <f>IF(OR($T88="",$U88=""),"",$U88-$T88)</f>
      </c>
    </row>
    <row r="89">
      <c r="A89" t="str">
        <f>IF(games!$A89="","",games!$A89)</f>
      </c>
      <c r="B89">
        <f>IF($A89="","",games!$B89)</f>
      </c>
      <c r="C89" t="str">
        <f>IF($A89="","",games!$C89)</f>
      </c>
      <c r="D89">
        <f>IF($A89="","",COUNTIF(connections!$A$2:$A$2500,$A89)+COUNTIF(connections!$B$2:$B$2500,$A89))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IF(OR($A89="",games!$H89=""),"",games!$H89)</f>
      </c>
      <c r="Q89">
        <f>IF(OR($A89="",$P89&lt;&gt;"Yes"),"",$D89+ROW()/1000000)</f>
      </c>
      <c r="T89" t="str">
        <f>IF(connections!$A89="","",IFERROR(INDEX(games!$B$2:$B$1200,MATCH(connections!$A89,games!$A$2:$A$1200,0)),""))</f>
      </c>
      <c r="U89">
        <f>IF(connections!$A89="","",IFERROR(INDEX(games!$B$2:$B$1200,MATCH(connections!$B89,games!$A$2:$A$1200,0)),""))</f>
      </c>
      <c r="V89">
        <f>IF(OR($T89="",$U89=""),"",$U89-$T89)</f>
      </c>
    </row>
    <row r="90">
      <c r="A90" t="str">
        <f>IF(games!$A90="","",games!$A90)</f>
      </c>
      <c r="B90">
        <f>IF($A90="","",games!$B90)</f>
      </c>
      <c r="C90" t="str">
        <f>IF($A90="","",games!$C90)</f>
      </c>
      <c r="D90">
        <f>IF($A90="","",COUNTIF(connections!$A$2:$A$2500,$A90)+COUNTIF(connections!$B$2:$B$2500,$A90))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IF(OR($A90="",games!$H90=""),"",games!$H90)</f>
      </c>
      <c r="Q90">
        <f>IF(OR($A90="",$P90&lt;&gt;"Yes"),"",$D90+ROW()/1000000)</f>
      </c>
      <c r="T90" t="str">
        <f>IF(connections!$A90="","",IFERROR(INDEX(games!$B$2:$B$1200,MATCH(connections!$A90,games!$A$2:$A$1200,0)),""))</f>
      </c>
      <c r="U90">
        <f>IF(connections!$A90="","",IFERROR(INDEX(games!$B$2:$B$1200,MATCH(connections!$B90,games!$A$2:$A$1200,0)),""))</f>
      </c>
      <c r="V90">
        <f>IF(OR($T90="",$U90=""),"",$U90-$T90)</f>
      </c>
    </row>
    <row r="91">
      <c r="A91" t="str">
        <f>IF(games!$A91="","",games!$A91)</f>
      </c>
      <c r="B91">
        <f>IF($A91="","",games!$B91)</f>
      </c>
      <c r="C91" t="str">
        <f>IF($A91="","",games!$C91)</f>
      </c>
      <c r="D91">
        <f>IF($A91="","",COUNTIF(connections!$A$2:$A$2500,$A91)+COUNTIF(connections!$B$2:$B$2500,$A91))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IF(OR($A91="",games!$H91=""),"",games!$H91)</f>
      </c>
      <c r="Q91">
        <f>IF(OR($A91="",$P91&lt;&gt;"Yes"),"",$D91+ROW()/1000000)</f>
      </c>
      <c r="T91" t="str">
        <f>IF(connections!$A91="","",IFERROR(INDEX(games!$B$2:$B$1200,MATCH(connections!$A91,games!$A$2:$A$1200,0)),""))</f>
      </c>
      <c r="U91">
        <f>IF(connections!$A91="","",IFERROR(INDEX(games!$B$2:$B$1200,MATCH(connections!$B91,games!$A$2:$A$1200,0)),""))</f>
      </c>
      <c r="V91">
        <f>IF(OR($T91="",$U91=""),"",$U91-$T91)</f>
      </c>
    </row>
    <row r="92">
      <c r="A92" t="str">
        <f>IF(games!$A92="","",games!$A92)</f>
      </c>
      <c r="B92">
        <f>IF($A92="","",games!$B92)</f>
      </c>
      <c r="C92" t="str">
        <f>IF($A92="","",games!$C92)</f>
      </c>
      <c r="D92">
        <f>IF($A92="","",COUNTIF(connections!$A$2:$A$2500,$A92)+COUNTIF(connections!$B$2:$B$2500,$A92))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IF(OR($A92="",games!$H92=""),"",games!$H92)</f>
      </c>
      <c r="Q92">
        <f>IF(OR($A92="",$P92&lt;&gt;"Yes"),"",$D92+ROW()/1000000)</f>
      </c>
      <c r="T92" t="str">
        <f>IF(connections!$A92="","",IFERROR(INDEX(games!$B$2:$B$1200,MATCH(connections!$A92,games!$A$2:$A$1200,0)),""))</f>
      </c>
      <c r="U92">
        <f>IF(connections!$A92="","",IFERROR(INDEX(games!$B$2:$B$1200,MATCH(connections!$B92,games!$A$2:$A$1200,0)),""))</f>
      </c>
      <c r="V92">
        <f>IF(OR($T92="",$U92=""),"",$U92-$T92)</f>
      </c>
    </row>
    <row r="93">
      <c r="A93" t="str">
        <f>IF(games!$A93="","",games!$A93)</f>
      </c>
      <c r="B93">
        <f>IF($A93="","",games!$B93)</f>
      </c>
      <c r="C93" t="str">
        <f>IF($A93="","",games!$C93)</f>
      </c>
      <c r="D93">
        <f>IF($A93="","",COUNTIF(connections!$A$2:$A$2500,$A93)+COUNTIF(connections!$B$2:$B$2500,$A93))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IF(OR($A93="",games!$H93=""),"",games!$H93)</f>
      </c>
      <c r="Q93">
        <f>IF(OR($A93="",$P93&lt;&gt;"Yes"),"",$D93+ROW()/1000000)</f>
      </c>
      <c r="T93" t="str">
        <f>IF(connections!$A93="","",IFERROR(INDEX(games!$B$2:$B$1200,MATCH(connections!$A93,games!$A$2:$A$1200,0)),""))</f>
      </c>
      <c r="U93">
        <f>IF(connections!$A93="","",IFERROR(INDEX(games!$B$2:$B$1200,MATCH(connections!$B93,games!$A$2:$A$1200,0)),""))</f>
      </c>
      <c r="V93">
        <f>IF(OR($T93="",$U93=""),"",$U93-$T93)</f>
      </c>
    </row>
    <row r="94">
      <c r="A94" t="str">
        <f>IF(games!$A94="","",games!$A94)</f>
      </c>
      <c r="B94">
        <f>IF($A94="","",games!$B94)</f>
      </c>
      <c r="C94" t="str">
        <f>IF($A94="","",games!$C94)</f>
      </c>
      <c r="D94">
        <f>IF($A94="","",COUNTIF(connections!$A$2:$A$2500,$A94)+COUNTIF(connections!$B$2:$B$2500,$A94))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IF(OR($A94="",games!$H94=""),"",games!$H94)</f>
      </c>
      <c r="Q94">
        <f>IF(OR($A94="",$P94&lt;&gt;"Yes"),"",$D94+ROW()/1000000)</f>
      </c>
      <c r="T94" t="str">
        <f>IF(connections!$A94="","",IFERROR(INDEX(games!$B$2:$B$1200,MATCH(connections!$A94,games!$A$2:$A$1200,0)),""))</f>
      </c>
      <c r="U94">
        <f>IF(connections!$A94="","",IFERROR(INDEX(games!$B$2:$B$1200,MATCH(connections!$B94,games!$A$2:$A$1200,0)),""))</f>
      </c>
      <c r="V94">
        <f>IF(OR($T94="",$U94=""),"",$U94-$T94)</f>
      </c>
    </row>
    <row r="95">
      <c r="A95" t="str">
        <f>IF(games!$A95="","",games!$A95)</f>
      </c>
      <c r="B95">
        <f>IF($A95="","",games!$B95)</f>
      </c>
      <c r="C95" t="str">
        <f>IF($A95="","",games!$C95)</f>
      </c>
      <c r="D95">
        <f>IF($A95="","",COUNTIF(connections!$A$2:$A$2500,$A95)+COUNTIF(connections!$B$2:$B$2500,$A95))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IF(OR($A95="",games!$H95=""),"",games!$H95)</f>
      </c>
      <c r="Q95">
        <f>IF(OR($A95="",$P95&lt;&gt;"Yes"),"",$D95+ROW()/1000000)</f>
      </c>
      <c r="T95" t="str">
        <f>IF(connections!$A95="","",IFERROR(INDEX(games!$B$2:$B$1200,MATCH(connections!$A95,games!$A$2:$A$1200,0)),""))</f>
      </c>
      <c r="U95">
        <f>IF(connections!$A95="","",IFERROR(INDEX(games!$B$2:$B$1200,MATCH(connections!$B95,games!$A$2:$A$1200,0)),""))</f>
      </c>
      <c r="V95">
        <f>IF(OR($T95="",$U95=""),"",$U95-$T95)</f>
      </c>
    </row>
    <row r="96">
      <c r="A96" t="str">
        <f>IF(games!$A96="","",games!$A96)</f>
      </c>
      <c r="B96">
        <f>IF($A96="","",games!$B96)</f>
      </c>
      <c r="C96" t="str">
        <f>IF($A96="","",games!$C96)</f>
      </c>
      <c r="D96">
        <f>IF($A96="","",COUNTIF(connections!$A$2:$A$2500,$A96)+COUNTIF(connections!$B$2:$B$2500,$A96))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IF(OR($A96="",games!$H96=""),"",games!$H96)</f>
      </c>
      <c r="Q96">
        <f>IF(OR($A96="",$P96&lt;&gt;"Yes"),"",$D96+ROW()/1000000)</f>
      </c>
      <c r="T96" t="str">
        <f>IF(connections!$A96="","",IFERROR(INDEX(games!$B$2:$B$1200,MATCH(connections!$A96,games!$A$2:$A$1200,0)),""))</f>
      </c>
      <c r="U96">
        <f>IF(connections!$A96="","",IFERROR(INDEX(games!$B$2:$B$1200,MATCH(connections!$B96,games!$A$2:$A$1200,0)),""))</f>
      </c>
      <c r="V96">
        <f>IF(OR($T96="",$U96=""),"",$U96-$T96)</f>
      </c>
    </row>
    <row r="97">
      <c r="A97" t="str">
        <f>IF(games!$A97="","",games!$A97)</f>
      </c>
      <c r="B97">
        <f>IF($A97="","",games!$B97)</f>
      </c>
      <c r="C97" t="str">
        <f>IF($A97="","",games!$C97)</f>
      </c>
      <c r="D97">
        <f>IF($A97="","",COUNTIF(connections!$A$2:$A$2500,$A97)+COUNTIF(connections!$B$2:$B$2500,$A97))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IF(OR($A97="",games!$H97=""),"",games!$H97)</f>
      </c>
      <c r="Q97">
        <f>IF(OR($A97="",$P97&lt;&gt;"Yes"),"",$D97+ROW()/1000000)</f>
      </c>
      <c r="T97" t="str">
        <f>IF(connections!$A97="","",IFERROR(INDEX(games!$B$2:$B$1200,MATCH(connections!$A97,games!$A$2:$A$1200,0)),""))</f>
      </c>
      <c r="U97">
        <f>IF(connections!$A97="","",IFERROR(INDEX(games!$B$2:$B$1200,MATCH(connections!$B97,games!$A$2:$A$1200,0)),""))</f>
      </c>
      <c r="V97">
        <f>IF(OR($T97="",$U97=""),"",$U97-$T97)</f>
      </c>
    </row>
    <row r="98">
      <c r="A98" t="str">
        <f>IF(games!$A98="","",games!$A98)</f>
      </c>
      <c r="B98">
        <f>IF($A98="","",games!$B98)</f>
      </c>
      <c r="C98" t="str">
        <f>IF($A98="","",games!$C98)</f>
      </c>
      <c r="D98">
        <f>IF($A98="","",COUNTIF(connections!$A$2:$A$2500,$A98)+COUNTIF(connections!$B$2:$B$2500,$A98))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IF(OR($A98="",games!$H98=""),"",games!$H98)</f>
      </c>
      <c r="Q98">
        <f>IF(OR($A98="",$P98&lt;&gt;"Yes"),"",$D98+ROW()/1000000)</f>
      </c>
      <c r="T98" t="str">
        <f>IF(connections!$A98="","",IFERROR(INDEX(games!$B$2:$B$1200,MATCH(connections!$A98,games!$A$2:$A$1200,0)),""))</f>
      </c>
      <c r="U98">
        <f>IF(connections!$A98="","",IFERROR(INDEX(games!$B$2:$B$1200,MATCH(connections!$B98,games!$A$2:$A$1200,0)),""))</f>
      </c>
      <c r="V98">
        <f>IF(OR($T98="",$U98=""),"",$U98-$T98)</f>
      </c>
    </row>
    <row r="99">
      <c r="A99" t="str">
        <f>IF(games!$A99="","",games!$A99)</f>
      </c>
      <c r="B99">
        <f>IF($A99="","",games!$B99)</f>
      </c>
      <c r="C99" t="str">
        <f>IF($A99="","",games!$C99)</f>
      </c>
      <c r="D99">
        <f>IF($A99="","",COUNTIF(connections!$A$2:$A$2500,$A99)+COUNTIF(connections!$B$2:$B$2500,$A99))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IF(OR($A99="",games!$H99=""),"",games!$H99)</f>
      </c>
      <c r="Q99">
        <f>IF(OR($A99="",$P99&lt;&gt;"Yes"),"",$D99+ROW()/1000000)</f>
      </c>
      <c r="T99" t="str">
        <f>IF(connections!$A99="","",IFERROR(INDEX(games!$B$2:$B$1200,MATCH(connections!$A99,games!$A$2:$A$1200,0)),""))</f>
      </c>
      <c r="U99">
        <f>IF(connections!$A99="","",IFERROR(INDEX(games!$B$2:$B$1200,MATCH(connections!$B99,games!$A$2:$A$1200,0)),""))</f>
      </c>
      <c r="V99">
        <f>IF(OR($T99="",$U99=""),"",$U99-$T99)</f>
      </c>
    </row>
    <row r="100">
      <c r="A100" t="str">
        <f>IF(games!$A100="","",games!$A100)</f>
      </c>
      <c r="B100">
        <f>IF($A100="","",games!$B100)</f>
      </c>
      <c r="C100" t="str">
        <f>IF($A100="","",games!$C100)</f>
      </c>
      <c r="D100">
        <f>IF($A100="","",COUNTIF(connections!$A$2:$A$2500,$A100)+COUNTIF(connections!$B$2:$B$2500,$A100))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IF(OR($A100="",games!$H100=""),"",games!$H100)</f>
      </c>
      <c r="Q100">
        <f>IF(OR($A100="",$P100&lt;&gt;"Yes"),"",$D100+ROW()/1000000)</f>
      </c>
      <c r="T100" t="str">
        <f>IF(connections!$A100="","",IFERROR(INDEX(games!$B$2:$B$1200,MATCH(connections!$A100,games!$A$2:$A$1200,0)),""))</f>
      </c>
      <c r="U100">
        <f>IF(connections!$A100="","",IFERROR(INDEX(games!$B$2:$B$1200,MATCH(connections!$B100,games!$A$2:$A$1200,0)),""))</f>
      </c>
      <c r="V100">
        <f>IF(OR($T100="",$U100=""),"",$U100-$T100)</f>
      </c>
    </row>
    <row r="101">
      <c r="A101" t="str">
        <f>IF(games!$A101="","",games!$A101)</f>
      </c>
      <c r="B101">
        <f>IF($A101="","",games!$B101)</f>
      </c>
      <c r="C101" t="str">
        <f>IF($A101="","",games!$C101)</f>
      </c>
      <c r="D101">
        <f>IF($A101="","",COUNTIF(connections!$A$2:$A$2500,$A101)+COUNTIF(connections!$B$2:$B$2500,$A101))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IF(OR($A101="",games!$H101=""),"",games!$H101)</f>
      </c>
      <c r="Q101">
        <f>IF(OR($A101="",$P101&lt;&gt;"Yes"),"",$D101+ROW()/1000000)</f>
      </c>
      <c r="T101" t="str">
        <f>IF(connections!$A101="","",IFERROR(INDEX(games!$B$2:$B$1200,MATCH(connections!$A101,games!$A$2:$A$1200,0)),""))</f>
      </c>
      <c r="U101">
        <f>IF(connections!$A101="","",IFERROR(INDEX(games!$B$2:$B$1200,MATCH(connections!$B101,games!$A$2:$A$1200,0)),""))</f>
      </c>
      <c r="V101">
        <f>IF(OR($T101="",$U101=""),"",$U101-$T101)</f>
      </c>
    </row>
    <row r="102">
      <c r="A102" t="str">
        <f>IF(games!$A102="","",games!$A102)</f>
      </c>
      <c r="B102">
        <f>IF($A102="","",games!$B102)</f>
      </c>
      <c r="C102" t="str">
        <f>IF($A102="","",games!$C102)</f>
      </c>
      <c r="D102">
        <f>IF($A102="","",COUNTIF(connections!$A$2:$A$2500,$A102)+COUNTIF(connections!$B$2:$B$2500,$A102))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IF(OR($A102="",games!$H102=""),"",games!$H102)</f>
      </c>
      <c r="Q102">
        <f>IF(OR($A102="",$P102&lt;&gt;"Yes"),"",$D102+ROW()/1000000)</f>
      </c>
      <c r="T102" t="str">
        <f>IF(connections!$A102="","",IFERROR(INDEX(games!$B$2:$B$1200,MATCH(connections!$A102,games!$A$2:$A$1200,0)),""))</f>
      </c>
      <c r="U102">
        <f>IF(connections!$A102="","",IFERROR(INDEX(games!$B$2:$B$1200,MATCH(connections!$B102,games!$A$2:$A$1200,0)),""))</f>
      </c>
      <c r="V102">
        <f>IF(OR($T102="",$U102=""),"",$U102-$T102)</f>
      </c>
    </row>
    <row r="103">
      <c r="A103" t="str">
        <f>IF(games!$A103="","",games!$A103)</f>
      </c>
      <c r="B103">
        <f>IF($A103="","",games!$B103)</f>
      </c>
      <c r="C103" t="str">
        <f>IF($A103="","",games!$C103)</f>
      </c>
      <c r="D103">
        <f>IF($A103="","",COUNTIF(connections!$A$2:$A$2500,$A103)+COUNTIF(connections!$B$2:$B$2500,$A103))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IF(OR($A103="",games!$H103=""),"",games!$H103)</f>
      </c>
      <c r="Q103">
        <f>IF(OR($A103="",$P103&lt;&gt;"Yes"),"",$D103+ROW()/1000000)</f>
      </c>
      <c r="T103" t="str">
        <f>IF(connections!$A103="","",IFERROR(INDEX(games!$B$2:$B$1200,MATCH(connections!$A103,games!$A$2:$A$1200,0)),""))</f>
      </c>
      <c r="U103">
        <f>IF(connections!$A103="","",IFERROR(INDEX(games!$B$2:$B$1200,MATCH(connections!$B103,games!$A$2:$A$1200,0)),""))</f>
      </c>
      <c r="V103">
        <f>IF(OR($T103="",$U103=""),"",$U103-$T103)</f>
      </c>
    </row>
    <row r="104">
      <c r="A104" t="str">
        <f>IF(games!$A104="","",games!$A104)</f>
      </c>
      <c r="B104">
        <f>IF($A104="","",games!$B104)</f>
      </c>
      <c r="C104" t="str">
        <f>IF($A104="","",games!$C104)</f>
      </c>
      <c r="D104">
        <f>IF($A104="","",COUNTIF(connections!$A$2:$A$2500,$A104)+COUNTIF(connections!$B$2:$B$2500,$A104))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IF(OR($A104="",games!$H104=""),"",games!$H104)</f>
      </c>
      <c r="Q104">
        <f>IF(OR($A104="",$P104&lt;&gt;"Yes"),"",$D104+ROW()/1000000)</f>
      </c>
      <c r="T104" t="str">
        <f>IF(connections!$A104="","",IFERROR(INDEX(games!$B$2:$B$1200,MATCH(connections!$A104,games!$A$2:$A$1200,0)),""))</f>
      </c>
      <c r="U104">
        <f>IF(connections!$A104="","",IFERROR(INDEX(games!$B$2:$B$1200,MATCH(connections!$B104,games!$A$2:$A$1200,0)),""))</f>
      </c>
      <c r="V104">
        <f>IF(OR($T104="",$U104=""),"",$U104-$T104)</f>
      </c>
    </row>
    <row r="105">
      <c r="A105" t="str">
        <f>IF(games!$A105="","",games!$A105)</f>
      </c>
      <c r="B105">
        <f>IF($A105="","",games!$B105)</f>
      </c>
      <c r="C105" t="str">
        <f>IF($A105="","",games!$C105)</f>
      </c>
      <c r="D105">
        <f>IF($A105="","",COUNTIF(connections!$A$2:$A$2500,$A105)+COUNTIF(connections!$B$2:$B$2500,$A105))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IF(OR($A105="",games!$H105=""),"",games!$H105)</f>
      </c>
      <c r="Q105">
        <f>IF(OR($A105="",$P105&lt;&gt;"Yes"),"",$D105+ROW()/1000000)</f>
      </c>
      <c r="T105" t="str">
        <f>IF(connections!$A105="","",IFERROR(INDEX(games!$B$2:$B$1200,MATCH(connections!$A105,games!$A$2:$A$1200,0)),""))</f>
      </c>
      <c r="U105">
        <f>IF(connections!$A105="","",IFERROR(INDEX(games!$B$2:$B$1200,MATCH(connections!$B105,games!$A$2:$A$1200,0)),""))</f>
      </c>
      <c r="V105">
        <f>IF(OR($T105="",$U105=""),"",$U105-$T105)</f>
      </c>
    </row>
    <row r="106">
      <c r="A106" t="str">
        <f>IF(games!$A106="","",games!$A106)</f>
      </c>
      <c r="B106">
        <f>IF($A106="","",games!$B106)</f>
      </c>
      <c r="C106" t="str">
        <f>IF($A106="","",games!$C106)</f>
      </c>
      <c r="D106">
        <f>IF($A106="","",COUNTIF(connections!$A$2:$A$2500,$A106)+COUNTIF(connections!$B$2:$B$2500,$A106))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IF(OR($A106="",games!$H106=""),"",games!$H106)</f>
      </c>
      <c r="Q106">
        <f>IF(OR($A106="",$P106&lt;&gt;"Yes"),"",$D106+ROW()/1000000)</f>
      </c>
      <c r="T106" t="str">
        <f>IF(connections!$A106="","",IFERROR(INDEX(games!$B$2:$B$1200,MATCH(connections!$A106,games!$A$2:$A$1200,0)),""))</f>
      </c>
      <c r="U106">
        <f>IF(connections!$A106="","",IFERROR(INDEX(games!$B$2:$B$1200,MATCH(connections!$B106,games!$A$2:$A$1200,0)),""))</f>
      </c>
      <c r="V106">
        <f>IF(OR($T106="",$U106=""),"",$U106-$T106)</f>
      </c>
    </row>
    <row r="107">
      <c r="A107" t="str">
        <f>IF(games!$A107="","",games!$A107)</f>
      </c>
      <c r="B107">
        <f>IF($A107="","",games!$B107)</f>
      </c>
      <c r="C107" t="str">
        <f>IF($A107="","",games!$C107)</f>
      </c>
      <c r="D107">
        <f>IF($A107="","",COUNTIF(connections!$A$2:$A$2500,$A107)+COUNTIF(connections!$B$2:$B$2500,$A107))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IF(OR($A107="",games!$H107=""),"",games!$H107)</f>
      </c>
      <c r="Q107">
        <f>IF(OR($A107="",$P107&lt;&gt;"Yes"),"",$D107+ROW()/1000000)</f>
      </c>
      <c r="T107" t="str">
        <f>IF(connections!$A107="","",IFERROR(INDEX(games!$B$2:$B$1200,MATCH(connections!$A107,games!$A$2:$A$1200,0)),""))</f>
      </c>
      <c r="U107">
        <f>IF(connections!$A107="","",IFERROR(INDEX(games!$B$2:$B$1200,MATCH(connections!$B107,games!$A$2:$A$1200,0)),""))</f>
      </c>
      <c r="V107">
        <f>IF(OR($T107="",$U107=""),"",$U107-$T107)</f>
      </c>
    </row>
    <row r="108">
      <c r="A108" t="str">
        <f>IF(games!$A108="","",games!$A108)</f>
      </c>
      <c r="B108">
        <f>IF($A108="","",games!$B108)</f>
      </c>
      <c r="C108" t="str">
        <f>IF($A108="","",games!$C108)</f>
      </c>
      <c r="D108">
        <f>IF($A108="","",COUNTIF(connections!$A$2:$A$2500,$A108)+COUNTIF(connections!$B$2:$B$2500,$A108))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IF(OR($A108="",games!$H108=""),"",games!$H108)</f>
      </c>
      <c r="Q108">
        <f>IF(OR($A108="",$P108&lt;&gt;"Yes"),"",$D108+ROW()/1000000)</f>
      </c>
      <c r="T108" t="str">
        <f>IF(connections!$A108="","",IFERROR(INDEX(games!$B$2:$B$1200,MATCH(connections!$A108,games!$A$2:$A$1200,0)),""))</f>
      </c>
      <c r="U108">
        <f>IF(connections!$A108="","",IFERROR(INDEX(games!$B$2:$B$1200,MATCH(connections!$B108,games!$A$2:$A$1200,0)),""))</f>
      </c>
      <c r="V108">
        <f>IF(OR($T108="",$U108=""),"",$U108-$T108)</f>
      </c>
    </row>
    <row r="109">
      <c r="A109" t="str">
        <f>IF(games!$A109="","",games!$A109)</f>
      </c>
      <c r="B109">
        <f>IF($A109="","",games!$B109)</f>
      </c>
      <c r="C109" t="str">
        <f>IF($A109="","",games!$C109)</f>
      </c>
      <c r="D109">
        <f>IF($A109="","",COUNTIF(connections!$A$2:$A$2500,$A109)+COUNTIF(connections!$B$2:$B$2500,$A109))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IF(OR($A109="",games!$H109=""),"",games!$H109)</f>
      </c>
      <c r="Q109">
        <f>IF(OR($A109="",$P109&lt;&gt;"Yes"),"",$D109+ROW()/1000000)</f>
      </c>
      <c r="T109" t="str">
        <f>IF(connections!$A109="","",IFERROR(INDEX(games!$B$2:$B$1200,MATCH(connections!$A109,games!$A$2:$A$1200,0)),""))</f>
      </c>
      <c r="U109">
        <f>IF(connections!$A109="","",IFERROR(INDEX(games!$B$2:$B$1200,MATCH(connections!$B109,games!$A$2:$A$1200,0)),""))</f>
      </c>
      <c r="V109">
        <f>IF(OR($T109="",$U109=""),"",$U109-$T109)</f>
      </c>
    </row>
    <row r="110">
      <c r="A110" t="str">
        <f>IF(games!$A110="","",games!$A110)</f>
      </c>
      <c r="B110">
        <f>IF($A110="","",games!$B110)</f>
      </c>
      <c r="C110" t="str">
        <f>IF($A110="","",games!$C110)</f>
      </c>
      <c r="D110">
        <f>IF($A110="","",COUNTIF(connections!$A$2:$A$2500,$A110)+COUNTIF(connections!$B$2:$B$2500,$A110))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IF(OR($A110="",games!$H110=""),"",games!$H110)</f>
      </c>
      <c r="Q110">
        <f>IF(OR($A110="",$P110&lt;&gt;"Yes"),"",$D110+ROW()/1000000)</f>
      </c>
      <c r="T110" t="str">
        <f>IF(connections!$A110="","",IFERROR(INDEX(games!$B$2:$B$1200,MATCH(connections!$A110,games!$A$2:$A$1200,0)),""))</f>
      </c>
      <c r="U110">
        <f>IF(connections!$A110="","",IFERROR(INDEX(games!$B$2:$B$1200,MATCH(connections!$B110,games!$A$2:$A$1200,0)),""))</f>
      </c>
      <c r="V110">
        <f>IF(OR($T110="",$U110=""),"",$U110-$T110)</f>
      </c>
    </row>
    <row r="111">
      <c r="A111" t="str">
        <f>IF(games!$A111="","",games!$A111)</f>
      </c>
      <c r="B111">
        <f>IF($A111="","",games!$B111)</f>
      </c>
      <c r="C111" t="str">
        <f>IF($A111="","",games!$C111)</f>
      </c>
      <c r="D111">
        <f>IF($A111="","",COUNTIF(connections!$A$2:$A$2500,$A111)+COUNTIF(connections!$B$2:$B$2500,$A111))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IF(OR($A111="",games!$H111=""),"",games!$H111)</f>
      </c>
      <c r="Q111">
        <f>IF(OR($A111="",$P111&lt;&gt;"Yes"),"",$D111+ROW()/1000000)</f>
      </c>
      <c r="T111" t="str">
        <f>IF(connections!$A111="","",IFERROR(INDEX(games!$B$2:$B$1200,MATCH(connections!$A111,games!$A$2:$A$1200,0)),""))</f>
      </c>
      <c r="U111">
        <f>IF(connections!$A111="","",IFERROR(INDEX(games!$B$2:$B$1200,MATCH(connections!$B111,games!$A$2:$A$1200,0)),""))</f>
      </c>
      <c r="V111">
        <f>IF(OR($T111="",$U111=""),"",$U111-$T111)</f>
      </c>
    </row>
    <row r="112">
      <c r="A112" t="str">
        <f>IF(games!$A112="","",games!$A112)</f>
      </c>
      <c r="B112">
        <f>IF($A112="","",games!$B112)</f>
      </c>
      <c r="C112" t="str">
        <f>IF($A112="","",games!$C112)</f>
      </c>
      <c r="D112">
        <f>IF($A112="","",COUNTIF(connections!$A$2:$A$2500,$A112)+COUNTIF(connections!$B$2:$B$2500,$A112))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IF(OR($A112="",games!$H112=""),"",games!$H112)</f>
      </c>
      <c r="Q112">
        <f>IF(OR($A112="",$P112&lt;&gt;"Yes"),"",$D112+ROW()/1000000)</f>
      </c>
      <c r="T112" t="str">
        <f>IF(connections!$A112="","",IFERROR(INDEX(games!$B$2:$B$1200,MATCH(connections!$A112,games!$A$2:$A$1200,0)),""))</f>
      </c>
      <c r="U112">
        <f>IF(connections!$A112="","",IFERROR(INDEX(games!$B$2:$B$1200,MATCH(connections!$B112,games!$A$2:$A$1200,0)),""))</f>
      </c>
      <c r="V112">
        <f>IF(OR($T112="",$U112=""),"",$U112-$T112)</f>
      </c>
    </row>
    <row r="113">
      <c r="A113" t="str">
        <f>IF(games!$A113="","",games!$A113)</f>
      </c>
      <c r="B113">
        <f>IF($A113="","",games!$B113)</f>
      </c>
      <c r="C113" t="str">
        <f>IF($A113="","",games!$C113)</f>
      </c>
      <c r="D113">
        <f>IF($A113="","",COUNTIF(connections!$A$2:$A$2500,$A113)+COUNTIF(connections!$B$2:$B$2500,$A113))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IF(OR($A113="",games!$H113=""),"",games!$H113)</f>
      </c>
      <c r="Q113">
        <f>IF(OR($A113="",$P113&lt;&gt;"Yes"),"",$D113+ROW()/1000000)</f>
      </c>
      <c r="T113" t="str">
        <f>IF(connections!$A113="","",IFERROR(INDEX(games!$B$2:$B$1200,MATCH(connections!$A113,games!$A$2:$A$1200,0)),""))</f>
      </c>
      <c r="U113">
        <f>IF(connections!$A113="","",IFERROR(INDEX(games!$B$2:$B$1200,MATCH(connections!$B113,games!$A$2:$A$1200,0)),""))</f>
      </c>
      <c r="V113">
        <f>IF(OR($T113="",$U113=""),"",$U113-$T113)</f>
      </c>
    </row>
    <row r="114">
      <c r="A114" t="str">
        <f>IF(games!$A114="","",games!$A114)</f>
      </c>
      <c r="B114">
        <f>IF($A114="","",games!$B114)</f>
      </c>
      <c r="C114" t="str">
        <f>IF($A114="","",games!$C114)</f>
      </c>
      <c r="D114">
        <f>IF($A114="","",COUNTIF(connections!$A$2:$A$2500,$A114)+COUNTIF(connections!$B$2:$B$2500,$A114))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IF(OR($A114="",games!$H114=""),"",games!$H114)</f>
      </c>
      <c r="Q114">
        <f>IF(OR($A114="",$P114&lt;&gt;"Yes"),"",$D114+ROW()/1000000)</f>
      </c>
      <c r="T114" t="str">
        <f>IF(connections!$A114="","",IFERROR(INDEX(games!$B$2:$B$1200,MATCH(connections!$A114,games!$A$2:$A$1200,0)),""))</f>
      </c>
      <c r="U114">
        <f>IF(connections!$A114="","",IFERROR(INDEX(games!$B$2:$B$1200,MATCH(connections!$B114,games!$A$2:$A$1200,0)),""))</f>
      </c>
      <c r="V114">
        <f>IF(OR($T114="",$U114=""),"",$U114-$T114)</f>
      </c>
    </row>
    <row r="115">
      <c r="A115" t="str">
        <f>IF(games!$A115="","",games!$A115)</f>
      </c>
      <c r="B115">
        <f>IF($A115="","",games!$B115)</f>
      </c>
      <c r="C115" t="str">
        <f>IF($A115="","",games!$C115)</f>
      </c>
      <c r="D115">
        <f>IF($A115="","",COUNTIF(connections!$A$2:$A$2500,$A115)+COUNTIF(connections!$B$2:$B$2500,$A115))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IF(OR($A115="",games!$H115=""),"",games!$H115)</f>
      </c>
      <c r="Q115">
        <f>IF(OR($A115="",$P115&lt;&gt;"Yes"),"",$D115+ROW()/1000000)</f>
      </c>
      <c r="T115" t="str">
        <f>IF(connections!$A115="","",IFERROR(INDEX(games!$B$2:$B$1200,MATCH(connections!$A115,games!$A$2:$A$1200,0)),""))</f>
      </c>
      <c r="U115">
        <f>IF(connections!$A115="","",IFERROR(INDEX(games!$B$2:$B$1200,MATCH(connections!$B115,games!$A$2:$A$1200,0)),""))</f>
      </c>
      <c r="V115">
        <f>IF(OR($T115="",$U115=""),"",$U115-$T115)</f>
      </c>
    </row>
    <row r="116">
      <c r="A116" t="str">
        <f>IF(games!$A116="","",games!$A116)</f>
      </c>
      <c r="B116">
        <f>IF($A116="","",games!$B116)</f>
      </c>
      <c r="C116" t="str">
        <f>IF($A116="","",games!$C116)</f>
      </c>
      <c r="D116">
        <f>IF($A116="","",COUNTIF(connections!$A$2:$A$2500,$A116)+COUNTIF(connections!$B$2:$B$2500,$A116))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IF(OR($A116="",games!$H116=""),"",games!$H116)</f>
      </c>
      <c r="Q116">
        <f>IF(OR($A116="",$P116&lt;&gt;"Yes"),"",$D116+ROW()/1000000)</f>
      </c>
      <c r="T116" t="str">
        <f>IF(connections!$A116="","",IFERROR(INDEX(games!$B$2:$B$1200,MATCH(connections!$A116,games!$A$2:$A$1200,0)),""))</f>
      </c>
      <c r="U116">
        <f>IF(connections!$A116="","",IFERROR(INDEX(games!$B$2:$B$1200,MATCH(connections!$B116,games!$A$2:$A$1200,0)),""))</f>
      </c>
      <c r="V116">
        <f>IF(OR($T116="",$U116=""),"",$U116-$T116)</f>
      </c>
    </row>
    <row r="117">
      <c r="A117" t="str">
        <f>IF(games!$A117="","",games!$A117)</f>
      </c>
      <c r="B117">
        <f>IF($A117="","",games!$B117)</f>
      </c>
      <c r="C117" t="str">
        <f>IF($A117="","",games!$C117)</f>
      </c>
      <c r="D117">
        <f>IF($A117="","",COUNTIF(connections!$A$2:$A$2500,$A117)+COUNTIF(connections!$B$2:$B$2500,$A117))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IF(OR($A117="",games!$H117=""),"",games!$H117)</f>
      </c>
      <c r="Q117">
        <f>IF(OR($A117="",$P117&lt;&gt;"Yes"),"",$D117+ROW()/1000000)</f>
      </c>
      <c r="T117" t="str">
        <f>IF(connections!$A117="","",IFERROR(INDEX(games!$B$2:$B$1200,MATCH(connections!$A117,games!$A$2:$A$1200,0)),""))</f>
      </c>
      <c r="U117">
        <f>IF(connections!$A117="","",IFERROR(INDEX(games!$B$2:$B$1200,MATCH(connections!$B117,games!$A$2:$A$1200,0)),""))</f>
      </c>
      <c r="V117">
        <f>IF(OR($T117="",$U117=""),"",$U117-$T117)</f>
      </c>
    </row>
    <row r="118">
      <c r="A118" t="str">
        <f>IF(games!$A118="","",games!$A118)</f>
      </c>
      <c r="B118">
        <f>IF($A118="","",games!$B118)</f>
      </c>
      <c r="C118" t="str">
        <f>IF($A118="","",games!$C118)</f>
      </c>
      <c r="D118">
        <f>IF($A118="","",COUNTIF(connections!$A$2:$A$2500,$A118)+COUNTIF(connections!$B$2:$B$2500,$A118))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IF(OR($A118="",games!$H118=""),"",games!$H118)</f>
      </c>
      <c r="Q118">
        <f>IF(OR($A118="",$P118&lt;&gt;"Yes"),"",$D118+ROW()/1000000)</f>
      </c>
      <c r="T118" t="str">
        <f>IF(connections!$A118="","",IFERROR(INDEX(games!$B$2:$B$1200,MATCH(connections!$A118,games!$A$2:$A$1200,0)),""))</f>
      </c>
      <c r="U118">
        <f>IF(connections!$A118="","",IFERROR(INDEX(games!$B$2:$B$1200,MATCH(connections!$B118,games!$A$2:$A$1200,0)),""))</f>
      </c>
      <c r="V118">
        <f>IF(OR($T118="",$U118=""),"",$U118-$T118)</f>
      </c>
    </row>
    <row r="119">
      <c r="A119" t="str">
        <f>IF(games!$A119="","",games!$A119)</f>
      </c>
      <c r="B119">
        <f>IF($A119="","",games!$B119)</f>
      </c>
      <c r="C119" t="str">
        <f>IF($A119="","",games!$C119)</f>
      </c>
      <c r="D119">
        <f>IF($A119="","",COUNTIF(connections!$A$2:$A$2500,$A119)+COUNTIF(connections!$B$2:$B$2500,$A119))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IF(OR($A119="",games!$H119=""),"",games!$H119)</f>
      </c>
      <c r="Q119">
        <f>IF(OR($A119="",$P119&lt;&gt;"Yes"),"",$D119+ROW()/1000000)</f>
      </c>
      <c r="T119" t="str">
        <f>IF(connections!$A119="","",IFERROR(INDEX(games!$B$2:$B$1200,MATCH(connections!$A119,games!$A$2:$A$1200,0)),""))</f>
      </c>
      <c r="U119">
        <f>IF(connections!$A119="","",IFERROR(INDEX(games!$B$2:$B$1200,MATCH(connections!$B119,games!$A$2:$A$1200,0)),""))</f>
      </c>
      <c r="V119">
        <f>IF(OR($T119="",$U119=""),"",$U119-$T119)</f>
      </c>
    </row>
    <row r="120">
      <c r="A120" t="str">
        <f>IF(games!$A120="","",games!$A120)</f>
      </c>
      <c r="B120">
        <f>IF($A120="","",games!$B120)</f>
      </c>
      <c r="C120" t="str">
        <f>IF($A120="","",games!$C120)</f>
      </c>
      <c r="D120">
        <f>IF($A120="","",COUNTIF(connections!$A$2:$A$2500,$A120)+COUNTIF(connections!$B$2:$B$2500,$A120))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IF(OR($A120="",games!$H120=""),"",games!$H120)</f>
      </c>
      <c r="Q120">
        <f>IF(OR($A120="",$P120&lt;&gt;"Yes"),"",$D120+ROW()/1000000)</f>
      </c>
      <c r="T120" t="str">
        <f>IF(connections!$A120="","",IFERROR(INDEX(games!$B$2:$B$1200,MATCH(connections!$A120,games!$A$2:$A$1200,0)),""))</f>
      </c>
      <c r="U120">
        <f>IF(connections!$A120="","",IFERROR(INDEX(games!$B$2:$B$1200,MATCH(connections!$B120,games!$A$2:$A$1200,0)),""))</f>
      </c>
      <c r="V120">
        <f>IF(OR($T120="",$U120=""),"",$U120-$T120)</f>
      </c>
    </row>
    <row r="121">
      <c r="A121" t="str">
        <f>IF(games!$A121="","",games!$A121)</f>
      </c>
      <c r="B121">
        <f>IF($A121="","",games!$B121)</f>
      </c>
      <c r="C121" t="str">
        <f>IF($A121="","",games!$C121)</f>
      </c>
      <c r="D121">
        <f>IF($A121="","",COUNTIF(connections!$A$2:$A$2500,$A121)+COUNTIF(connections!$B$2:$B$2500,$A121))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IF(OR($A121="",games!$H121=""),"",games!$H121)</f>
      </c>
      <c r="Q121">
        <f>IF(OR($A121="",$P121&lt;&gt;"Yes"),"",$D121+ROW()/1000000)</f>
      </c>
      <c r="T121" t="str">
        <f>IF(connections!$A121="","",IFERROR(INDEX(games!$B$2:$B$1200,MATCH(connections!$A121,games!$A$2:$A$1200,0)),""))</f>
      </c>
      <c r="U121">
        <f>IF(connections!$A121="","",IFERROR(INDEX(games!$B$2:$B$1200,MATCH(connections!$B121,games!$A$2:$A$1200,0)),""))</f>
      </c>
      <c r="V121">
        <f>IF(OR($T121="",$U121=""),"",$U121-$T121)</f>
      </c>
    </row>
    <row r="122">
      <c r="A122" t="str">
        <f>IF(games!$A122="","",games!$A122)</f>
      </c>
      <c r="B122">
        <f>IF($A122="","",games!$B122)</f>
      </c>
      <c r="C122" t="str">
        <f>IF($A122="","",games!$C122)</f>
      </c>
      <c r="D122">
        <f>IF($A122="","",COUNTIF(connections!$A$2:$A$2500,$A122)+COUNTIF(connections!$B$2:$B$2500,$A122))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IF(OR($A122="",games!$H122=""),"",games!$H122)</f>
      </c>
      <c r="Q122">
        <f>IF(OR($A122="",$P122&lt;&gt;"Yes"),"",$D122+ROW()/1000000)</f>
      </c>
      <c r="T122" t="str">
        <f>IF(connections!$A122="","",IFERROR(INDEX(games!$B$2:$B$1200,MATCH(connections!$A122,games!$A$2:$A$1200,0)),""))</f>
      </c>
      <c r="U122">
        <f>IF(connections!$A122="","",IFERROR(INDEX(games!$B$2:$B$1200,MATCH(connections!$B122,games!$A$2:$A$1200,0)),""))</f>
      </c>
      <c r="V122">
        <f>IF(OR($T122="",$U122=""),"",$U122-$T122)</f>
      </c>
    </row>
    <row r="123">
      <c r="A123" t="str">
        <f>IF(games!$A123="","",games!$A123)</f>
      </c>
      <c r="B123">
        <f>IF($A123="","",games!$B123)</f>
      </c>
      <c r="C123" t="str">
        <f>IF($A123="","",games!$C123)</f>
      </c>
      <c r="D123">
        <f>IF($A123="","",COUNTIF(connections!$A$2:$A$2500,$A123)+COUNTIF(connections!$B$2:$B$2500,$A123))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IF(OR($A123="",games!$H123=""),"",games!$H123)</f>
      </c>
      <c r="Q123">
        <f>IF(OR($A123="",$P123&lt;&gt;"Yes"),"",$D123+ROW()/1000000)</f>
      </c>
      <c r="T123" t="str">
        <f>IF(connections!$A123="","",IFERROR(INDEX(games!$B$2:$B$1200,MATCH(connections!$A123,games!$A$2:$A$1200,0)),""))</f>
      </c>
      <c r="U123">
        <f>IF(connections!$A123="","",IFERROR(INDEX(games!$B$2:$B$1200,MATCH(connections!$B123,games!$A$2:$A$1200,0)),""))</f>
      </c>
      <c r="V123">
        <f>IF(OR($T123="",$U123=""),"",$U123-$T123)</f>
      </c>
    </row>
    <row r="124">
      <c r="A124" t="str">
        <f>IF(games!$A124="","",games!$A124)</f>
      </c>
      <c r="B124">
        <f>IF($A124="","",games!$B124)</f>
      </c>
      <c r="C124" t="str">
        <f>IF($A124="","",games!$C124)</f>
      </c>
      <c r="D124">
        <f>IF($A124="","",COUNTIF(connections!$A$2:$A$2500,$A124)+COUNTIF(connections!$B$2:$B$2500,$A124))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IF(OR($A124="",games!$H124=""),"",games!$H124)</f>
      </c>
      <c r="Q124">
        <f>IF(OR($A124="",$P124&lt;&gt;"Yes"),"",$D124+ROW()/1000000)</f>
      </c>
      <c r="T124" t="str">
        <f>IF(connections!$A124="","",IFERROR(INDEX(games!$B$2:$B$1200,MATCH(connections!$A124,games!$A$2:$A$1200,0)),""))</f>
      </c>
      <c r="U124">
        <f>IF(connections!$A124="","",IFERROR(INDEX(games!$B$2:$B$1200,MATCH(connections!$B124,games!$A$2:$A$1200,0)),""))</f>
      </c>
      <c r="V124">
        <f>IF(OR($T124="",$U124=""),"",$U124-$T124)</f>
      </c>
    </row>
    <row r="125">
      <c r="A125" t="str">
        <f>IF(games!$A125="","",games!$A125)</f>
      </c>
      <c r="B125">
        <f>IF($A125="","",games!$B125)</f>
      </c>
      <c r="C125" t="str">
        <f>IF($A125="","",games!$C125)</f>
      </c>
      <c r="D125">
        <f>IF($A125="","",COUNTIF(connections!$A$2:$A$2500,$A125)+COUNTIF(connections!$B$2:$B$2500,$A125))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IF(OR($A125="",games!$H125=""),"",games!$H125)</f>
      </c>
      <c r="Q125">
        <f>IF(OR($A125="",$P125&lt;&gt;"Yes"),"",$D125+ROW()/1000000)</f>
      </c>
      <c r="T125" t="str">
        <f>IF(connections!$A125="","",IFERROR(INDEX(games!$B$2:$B$1200,MATCH(connections!$A125,games!$A$2:$A$1200,0)),""))</f>
      </c>
      <c r="U125">
        <f>IF(connections!$A125="","",IFERROR(INDEX(games!$B$2:$B$1200,MATCH(connections!$B125,games!$A$2:$A$1200,0)),""))</f>
      </c>
      <c r="V125">
        <f>IF(OR($T125="",$U125=""),"",$U125-$T125)</f>
      </c>
    </row>
    <row r="126">
      <c r="A126" t="str">
        <f>IF(games!$A126="","",games!$A126)</f>
      </c>
      <c r="B126">
        <f>IF($A126="","",games!$B126)</f>
      </c>
      <c r="C126" t="str">
        <f>IF($A126="","",games!$C126)</f>
      </c>
      <c r="D126">
        <f>IF($A126="","",COUNTIF(connections!$A$2:$A$2500,$A126)+COUNTIF(connections!$B$2:$B$2500,$A126))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IF(OR($A126="",games!$H126=""),"",games!$H126)</f>
      </c>
      <c r="Q126">
        <f>IF(OR($A126="",$P126&lt;&gt;"Yes"),"",$D126+ROW()/1000000)</f>
      </c>
      <c r="T126" t="str">
        <f>IF(connections!$A126="","",IFERROR(INDEX(games!$B$2:$B$1200,MATCH(connections!$A126,games!$A$2:$A$1200,0)),""))</f>
      </c>
      <c r="U126">
        <f>IF(connections!$A126="","",IFERROR(INDEX(games!$B$2:$B$1200,MATCH(connections!$B126,games!$A$2:$A$1200,0)),""))</f>
      </c>
      <c r="V126">
        <f>IF(OR($T126="",$U126=""),"",$U126-$T126)</f>
      </c>
    </row>
    <row r="127">
      <c r="A127" t="str">
        <f>IF(games!$A127="","",games!$A127)</f>
      </c>
      <c r="B127">
        <f>IF($A127="","",games!$B127)</f>
      </c>
      <c r="C127" t="str">
        <f>IF($A127="","",games!$C127)</f>
      </c>
      <c r="D127">
        <f>IF($A127="","",COUNTIF(connections!$A$2:$A$2500,$A127)+COUNTIF(connections!$B$2:$B$2500,$A127))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IF(OR($A127="",games!$H127=""),"",games!$H127)</f>
      </c>
      <c r="Q127">
        <f>IF(OR($A127="",$P127&lt;&gt;"Yes"),"",$D127+ROW()/1000000)</f>
      </c>
      <c r="T127" t="str">
        <f>IF(connections!$A127="","",IFERROR(INDEX(games!$B$2:$B$1200,MATCH(connections!$A127,games!$A$2:$A$1200,0)),""))</f>
      </c>
      <c r="U127">
        <f>IF(connections!$A127="","",IFERROR(INDEX(games!$B$2:$B$1200,MATCH(connections!$B127,games!$A$2:$A$1200,0)),""))</f>
      </c>
      <c r="V127">
        <f>IF(OR($T127="",$U127=""),"",$U127-$T127)</f>
      </c>
    </row>
    <row r="128">
      <c r="A128" t="str">
        <f>IF(games!$A128="","",games!$A128)</f>
      </c>
      <c r="B128">
        <f>IF($A128="","",games!$B128)</f>
      </c>
      <c r="C128" t="str">
        <f>IF($A128="","",games!$C128)</f>
      </c>
      <c r="D128">
        <f>IF($A128="","",COUNTIF(connections!$A$2:$A$2500,$A128)+COUNTIF(connections!$B$2:$B$2500,$A128))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IF(OR($A128="",games!$H128=""),"",games!$H128)</f>
      </c>
      <c r="Q128">
        <f>IF(OR($A128="",$P128&lt;&gt;"Yes"),"",$D128+ROW()/1000000)</f>
      </c>
      <c r="T128" t="str">
        <f>IF(connections!$A128="","",IFERROR(INDEX(games!$B$2:$B$1200,MATCH(connections!$A128,games!$A$2:$A$1200,0)),""))</f>
      </c>
      <c r="U128">
        <f>IF(connections!$A128="","",IFERROR(INDEX(games!$B$2:$B$1200,MATCH(connections!$B128,games!$A$2:$A$1200,0)),""))</f>
      </c>
      <c r="V128">
        <f>IF(OR($T128="",$U128=""),"",$U128-$T128)</f>
      </c>
    </row>
    <row r="129">
      <c r="A129" t="str">
        <f>IF(games!$A129="","",games!$A129)</f>
      </c>
      <c r="B129">
        <f>IF($A129="","",games!$B129)</f>
      </c>
      <c r="C129" t="str">
        <f>IF($A129="","",games!$C129)</f>
      </c>
      <c r="D129">
        <f>IF($A129="","",COUNTIF(connections!$A$2:$A$2500,$A129)+COUNTIF(connections!$B$2:$B$2500,$A129))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IF(OR($A129="",games!$H129=""),"",games!$H129)</f>
      </c>
      <c r="Q129">
        <f>IF(OR($A129="",$P129&lt;&gt;"Yes"),"",$D129+ROW()/1000000)</f>
      </c>
      <c r="T129" t="str">
        <f>IF(connections!$A129="","",IFERROR(INDEX(games!$B$2:$B$1200,MATCH(connections!$A129,games!$A$2:$A$1200,0)),""))</f>
      </c>
      <c r="U129">
        <f>IF(connections!$A129="","",IFERROR(INDEX(games!$B$2:$B$1200,MATCH(connections!$B129,games!$A$2:$A$1200,0)),""))</f>
      </c>
      <c r="V129">
        <f>IF(OR($T129="",$U129=""),"",$U129-$T129)</f>
      </c>
    </row>
    <row r="130">
      <c r="A130" t="str">
        <f>IF(games!$A130="","",games!$A130)</f>
      </c>
      <c r="B130">
        <f>IF($A130="","",games!$B130)</f>
      </c>
      <c r="C130" t="str">
        <f>IF($A130="","",games!$C130)</f>
      </c>
      <c r="D130">
        <f>IF($A130="","",COUNTIF(connections!$A$2:$A$2500,$A130)+COUNTIF(connections!$B$2:$B$2500,$A130))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IF(OR($A130="",games!$H130=""),"",games!$H130)</f>
      </c>
      <c r="Q130">
        <f>IF(OR($A130="",$P130&lt;&gt;"Yes"),"",$D130+ROW()/1000000)</f>
      </c>
      <c r="T130" t="str">
        <f>IF(connections!$A130="","",IFERROR(INDEX(games!$B$2:$B$1200,MATCH(connections!$A130,games!$A$2:$A$1200,0)),""))</f>
      </c>
      <c r="U130">
        <f>IF(connections!$A130="","",IFERROR(INDEX(games!$B$2:$B$1200,MATCH(connections!$B130,games!$A$2:$A$1200,0)),""))</f>
      </c>
      <c r="V130">
        <f>IF(OR($T130="",$U130=""),"",$U130-$T130)</f>
      </c>
    </row>
    <row r="131">
      <c r="A131" t="str">
        <f>IF(games!$A131="","",games!$A131)</f>
      </c>
      <c r="B131">
        <f>IF($A131="","",games!$B131)</f>
      </c>
      <c r="C131" t="str">
        <f>IF($A131="","",games!$C131)</f>
      </c>
      <c r="D131">
        <f>IF($A131="","",COUNTIF(connections!$A$2:$A$2500,$A131)+COUNTIF(connections!$B$2:$B$2500,$A131))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IF(OR($A131="",games!$H131=""),"",games!$H131)</f>
      </c>
      <c r="Q131">
        <f>IF(OR($A131="",$P131&lt;&gt;"Yes"),"",$D131+ROW()/1000000)</f>
      </c>
      <c r="T131" t="str">
        <f>IF(connections!$A131="","",IFERROR(INDEX(games!$B$2:$B$1200,MATCH(connections!$A131,games!$A$2:$A$1200,0)),""))</f>
      </c>
      <c r="U131">
        <f>IF(connections!$A131="","",IFERROR(INDEX(games!$B$2:$B$1200,MATCH(connections!$B131,games!$A$2:$A$1200,0)),""))</f>
      </c>
      <c r="V131">
        <f>IF(OR($T131="",$U131=""),"",$U131-$T131)</f>
      </c>
    </row>
    <row r="132">
      <c r="A132" t="str">
        <f>IF(games!$A132="","",games!$A132)</f>
      </c>
      <c r="B132">
        <f>IF($A132="","",games!$B132)</f>
      </c>
      <c r="C132" t="str">
        <f>IF($A132="","",games!$C132)</f>
      </c>
      <c r="D132">
        <f>IF($A132="","",COUNTIF(connections!$A$2:$A$2500,$A132)+COUNTIF(connections!$B$2:$B$2500,$A132))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IF(OR($A132="",games!$H132=""),"",games!$H132)</f>
      </c>
      <c r="Q132">
        <f>IF(OR($A132="",$P132&lt;&gt;"Yes"),"",$D132+ROW()/1000000)</f>
      </c>
      <c r="T132" t="str">
        <f>IF(connections!$A132="","",IFERROR(INDEX(games!$B$2:$B$1200,MATCH(connections!$A132,games!$A$2:$A$1200,0)),""))</f>
      </c>
      <c r="U132">
        <f>IF(connections!$A132="","",IFERROR(INDEX(games!$B$2:$B$1200,MATCH(connections!$B132,games!$A$2:$A$1200,0)),""))</f>
      </c>
      <c r="V132">
        <f>IF(OR($T132="",$U132=""),"",$U132-$T132)</f>
      </c>
    </row>
    <row r="133">
      <c r="A133" t="str">
        <f>IF(games!$A133="","",games!$A133)</f>
      </c>
      <c r="B133">
        <f>IF($A133="","",games!$B133)</f>
      </c>
      <c r="C133" t="str">
        <f>IF($A133="","",games!$C133)</f>
      </c>
      <c r="D133">
        <f>IF($A133="","",COUNTIF(connections!$A$2:$A$2500,$A133)+COUNTIF(connections!$B$2:$B$2500,$A133))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IF(OR($A133="",games!$H133=""),"",games!$H133)</f>
      </c>
      <c r="Q133">
        <f>IF(OR($A133="",$P133&lt;&gt;"Yes"),"",$D133+ROW()/1000000)</f>
      </c>
      <c r="T133" t="str">
        <f>IF(connections!$A133="","",IFERROR(INDEX(games!$B$2:$B$1200,MATCH(connections!$A133,games!$A$2:$A$1200,0)),""))</f>
      </c>
      <c r="U133">
        <f>IF(connections!$A133="","",IFERROR(INDEX(games!$B$2:$B$1200,MATCH(connections!$B133,games!$A$2:$A$1200,0)),""))</f>
      </c>
      <c r="V133">
        <f>IF(OR($T133="",$U133=""),"",$U133-$T133)</f>
      </c>
    </row>
    <row r="134">
      <c r="A134" t="str">
        <f>IF(games!$A134="","",games!$A134)</f>
      </c>
      <c r="B134">
        <f>IF($A134="","",games!$B134)</f>
      </c>
      <c r="C134" t="str">
        <f>IF($A134="","",games!$C134)</f>
      </c>
      <c r="D134">
        <f>IF($A134="","",COUNTIF(connections!$A$2:$A$2500,$A134)+COUNTIF(connections!$B$2:$B$2500,$A134))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IF(OR($A134="",games!$H134=""),"",games!$H134)</f>
      </c>
      <c r="Q134">
        <f>IF(OR($A134="",$P134&lt;&gt;"Yes"),"",$D134+ROW()/1000000)</f>
      </c>
      <c r="T134" t="str">
        <f>IF(connections!$A134="","",IFERROR(INDEX(games!$B$2:$B$1200,MATCH(connections!$A134,games!$A$2:$A$1200,0)),""))</f>
      </c>
      <c r="U134">
        <f>IF(connections!$A134="","",IFERROR(INDEX(games!$B$2:$B$1200,MATCH(connections!$B134,games!$A$2:$A$1200,0)),""))</f>
      </c>
      <c r="V134">
        <f>IF(OR($T134="",$U134=""),"",$U134-$T134)</f>
      </c>
    </row>
    <row r="135">
      <c r="A135" t="str">
        <f>IF(games!$A135="","",games!$A135)</f>
      </c>
      <c r="B135">
        <f>IF($A135="","",games!$B135)</f>
      </c>
      <c r="C135" t="str">
        <f>IF($A135="","",games!$C135)</f>
      </c>
      <c r="D135">
        <f>IF($A135="","",COUNTIF(connections!$A$2:$A$2500,$A135)+COUNTIF(connections!$B$2:$B$2500,$A135))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IF(OR($A135="",games!$H135=""),"",games!$H135)</f>
      </c>
      <c r="Q135">
        <f>IF(OR($A135="",$P135&lt;&gt;"Yes"),"",$D135+ROW()/1000000)</f>
      </c>
      <c r="T135" t="str">
        <f>IF(connections!$A135="","",IFERROR(INDEX(games!$B$2:$B$1200,MATCH(connections!$A135,games!$A$2:$A$1200,0)),""))</f>
      </c>
      <c r="U135">
        <f>IF(connections!$A135="","",IFERROR(INDEX(games!$B$2:$B$1200,MATCH(connections!$B135,games!$A$2:$A$1200,0)),""))</f>
      </c>
      <c r="V135">
        <f>IF(OR($T135="",$U135=""),"",$U135-$T135)</f>
      </c>
    </row>
    <row r="136">
      <c r="A136" t="str">
        <f>IF(games!$A136="","",games!$A136)</f>
      </c>
      <c r="B136">
        <f>IF($A136="","",games!$B136)</f>
      </c>
      <c r="C136" t="str">
        <f>IF($A136="","",games!$C136)</f>
      </c>
      <c r="D136">
        <f>IF($A136="","",COUNTIF(connections!$A$2:$A$2500,$A136)+COUNTIF(connections!$B$2:$B$2500,$A136))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IF(OR($A136="",games!$H136=""),"",games!$H136)</f>
      </c>
      <c r="Q136">
        <f>IF(OR($A136="",$P136&lt;&gt;"Yes"),"",$D136+ROW()/1000000)</f>
      </c>
      <c r="T136" t="str">
        <f>IF(connections!$A136="","",IFERROR(INDEX(games!$B$2:$B$1200,MATCH(connections!$A136,games!$A$2:$A$1200,0)),""))</f>
      </c>
      <c r="U136">
        <f>IF(connections!$A136="","",IFERROR(INDEX(games!$B$2:$B$1200,MATCH(connections!$B136,games!$A$2:$A$1200,0)),""))</f>
      </c>
      <c r="V136">
        <f>IF(OR($T136="",$U136=""),"",$U136-$T136)</f>
      </c>
    </row>
    <row r="137">
      <c r="A137" t="str">
        <f>IF(games!$A137="","",games!$A137)</f>
      </c>
      <c r="B137">
        <f>IF($A137="","",games!$B137)</f>
      </c>
      <c r="C137" t="str">
        <f>IF($A137="","",games!$C137)</f>
      </c>
      <c r="D137">
        <f>IF($A137="","",COUNTIF(connections!$A$2:$A$2500,$A137)+COUNTIF(connections!$B$2:$B$2500,$A137))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IF(OR($A137="",games!$H137=""),"",games!$H137)</f>
      </c>
      <c r="Q137">
        <f>IF(OR($A137="",$P137&lt;&gt;"Yes"),"",$D137+ROW()/1000000)</f>
      </c>
      <c r="T137" t="str">
        <f>IF(connections!$A137="","",IFERROR(INDEX(games!$B$2:$B$1200,MATCH(connections!$A137,games!$A$2:$A$1200,0)),""))</f>
      </c>
      <c r="U137">
        <f>IF(connections!$A137="","",IFERROR(INDEX(games!$B$2:$B$1200,MATCH(connections!$B137,games!$A$2:$A$1200,0)),""))</f>
      </c>
      <c r="V137">
        <f>IF(OR($T137="",$U137=""),"",$U137-$T137)</f>
      </c>
    </row>
    <row r="138">
      <c r="A138" t="str">
        <f>IF(games!$A138="","",games!$A138)</f>
      </c>
      <c r="B138">
        <f>IF($A138="","",games!$B138)</f>
      </c>
      <c r="C138" t="str">
        <f>IF($A138="","",games!$C138)</f>
      </c>
      <c r="D138">
        <f>IF($A138="","",COUNTIF(connections!$A$2:$A$2500,$A138)+COUNTIF(connections!$B$2:$B$2500,$A138))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IF(OR($A138="",games!$H138=""),"",games!$H138)</f>
      </c>
      <c r="Q138">
        <f>IF(OR($A138="",$P138&lt;&gt;"Yes"),"",$D138+ROW()/1000000)</f>
      </c>
      <c r="T138" t="str">
        <f>IF(connections!$A138="","",IFERROR(INDEX(games!$B$2:$B$1200,MATCH(connections!$A138,games!$A$2:$A$1200,0)),""))</f>
      </c>
      <c r="U138">
        <f>IF(connections!$A138="","",IFERROR(INDEX(games!$B$2:$B$1200,MATCH(connections!$B138,games!$A$2:$A$1200,0)),""))</f>
      </c>
      <c r="V138">
        <f>IF(OR($T138="",$U138=""),"",$U138-$T138)</f>
      </c>
    </row>
    <row r="139">
      <c r="A139" t="str">
        <f>IF(games!$A139="","",games!$A139)</f>
      </c>
      <c r="B139">
        <f>IF($A139="","",games!$B139)</f>
      </c>
      <c r="C139" t="str">
        <f>IF($A139="","",games!$C139)</f>
      </c>
      <c r="D139">
        <f>IF($A139="","",COUNTIF(connections!$A$2:$A$2500,$A139)+COUNTIF(connections!$B$2:$B$2500,$A139))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IF(OR($A139="",games!$H139=""),"",games!$H139)</f>
      </c>
      <c r="Q139">
        <f>IF(OR($A139="",$P139&lt;&gt;"Yes"),"",$D139+ROW()/1000000)</f>
      </c>
      <c r="T139" t="str">
        <f>IF(connections!$A139="","",IFERROR(INDEX(games!$B$2:$B$1200,MATCH(connections!$A139,games!$A$2:$A$1200,0)),""))</f>
      </c>
      <c r="U139">
        <f>IF(connections!$A139="","",IFERROR(INDEX(games!$B$2:$B$1200,MATCH(connections!$B139,games!$A$2:$A$1200,0)),""))</f>
      </c>
      <c r="V139">
        <f>IF(OR($T139="",$U139=""),"",$U139-$T139)</f>
      </c>
    </row>
    <row r="140">
      <c r="A140" t="str">
        <f>IF(games!$A140="","",games!$A140)</f>
      </c>
      <c r="B140">
        <f>IF($A140="","",games!$B140)</f>
      </c>
      <c r="C140" t="str">
        <f>IF($A140="","",games!$C140)</f>
      </c>
      <c r="D140">
        <f>IF($A140="","",COUNTIF(connections!$A$2:$A$2500,$A140)+COUNTIF(connections!$B$2:$B$2500,$A140))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IF(OR($A140="",games!$H140=""),"",games!$H140)</f>
      </c>
      <c r="Q140">
        <f>IF(OR($A140="",$P140&lt;&gt;"Yes"),"",$D140+ROW()/1000000)</f>
      </c>
      <c r="T140" t="str">
        <f>IF(connections!$A140="","",IFERROR(INDEX(games!$B$2:$B$1200,MATCH(connections!$A140,games!$A$2:$A$1200,0)),""))</f>
      </c>
      <c r="U140">
        <f>IF(connections!$A140="","",IFERROR(INDEX(games!$B$2:$B$1200,MATCH(connections!$B140,games!$A$2:$A$1200,0)),""))</f>
      </c>
      <c r="V140">
        <f>IF(OR($T140="",$U140=""),"",$U140-$T140)</f>
      </c>
    </row>
    <row r="141">
      <c r="A141" t="str">
        <f>IF(games!$A141="","",games!$A141)</f>
      </c>
      <c r="B141">
        <f>IF($A141="","",games!$B141)</f>
      </c>
      <c r="C141" t="str">
        <f>IF($A141="","",games!$C141)</f>
      </c>
      <c r="D141">
        <f>IF($A141="","",COUNTIF(connections!$A$2:$A$2500,$A141)+COUNTIF(connections!$B$2:$B$2500,$A141))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IF(OR($A141="",games!$H141=""),"",games!$H141)</f>
      </c>
      <c r="Q141">
        <f>IF(OR($A141="",$P141&lt;&gt;"Yes"),"",$D141+ROW()/1000000)</f>
      </c>
      <c r="T141" t="str">
        <f>IF(connections!$A141="","",IFERROR(INDEX(games!$B$2:$B$1200,MATCH(connections!$A141,games!$A$2:$A$1200,0)),""))</f>
      </c>
      <c r="U141">
        <f>IF(connections!$A141="","",IFERROR(INDEX(games!$B$2:$B$1200,MATCH(connections!$B141,games!$A$2:$A$1200,0)),""))</f>
      </c>
      <c r="V141">
        <f>IF(OR($T141="",$U141=""),"",$U141-$T141)</f>
      </c>
    </row>
    <row r="142">
      <c r="A142" t="str">
        <f>IF(games!$A142="","",games!$A142)</f>
      </c>
      <c r="B142">
        <f>IF($A142="","",games!$B142)</f>
      </c>
      <c r="C142" t="str">
        <f>IF($A142="","",games!$C142)</f>
      </c>
      <c r="D142">
        <f>IF($A142="","",COUNTIF(connections!$A$2:$A$2500,$A142)+COUNTIF(connections!$B$2:$B$2500,$A142))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IF(OR($A142="",games!$H142=""),"",games!$H142)</f>
      </c>
      <c r="Q142">
        <f>IF(OR($A142="",$P142&lt;&gt;"Yes"),"",$D142+ROW()/1000000)</f>
      </c>
      <c r="T142" t="str">
        <f>IF(connections!$A142="","",IFERROR(INDEX(games!$B$2:$B$1200,MATCH(connections!$A142,games!$A$2:$A$1200,0)),""))</f>
      </c>
      <c r="U142">
        <f>IF(connections!$A142="","",IFERROR(INDEX(games!$B$2:$B$1200,MATCH(connections!$B142,games!$A$2:$A$1200,0)),""))</f>
      </c>
      <c r="V142">
        <f>IF(OR($T142="",$U142=""),"",$U142-$T142)</f>
      </c>
    </row>
    <row r="143">
      <c r="A143" t="str">
        <f>IF(games!$A143="","",games!$A143)</f>
      </c>
      <c r="B143">
        <f>IF($A143="","",games!$B143)</f>
      </c>
      <c r="C143" t="str">
        <f>IF($A143="","",games!$C143)</f>
      </c>
      <c r="D143">
        <f>IF($A143="","",COUNTIF(connections!$A$2:$A$2500,$A143)+COUNTIF(connections!$B$2:$B$2500,$A143))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IF(OR($A143="",games!$H143=""),"",games!$H143)</f>
      </c>
      <c r="Q143">
        <f>IF(OR($A143="",$P143&lt;&gt;"Yes"),"",$D143+ROW()/1000000)</f>
      </c>
      <c r="T143" t="str">
        <f>IF(connections!$A143="","",IFERROR(INDEX(games!$B$2:$B$1200,MATCH(connections!$A143,games!$A$2:$A$1200,0)),""))</f>
      </c>
      <c r="U143">
        <f>IF(connections!$A143="","",IFERROR(INDEX(games!$B$2:$B$1200,MATCH(connections!$B143,games!$A$2:$A$1200,0)),""))</f>
      </c>
      <c r="V143">
        <f>IF(OR($T143="",$U143=""),"",$U143-$T143)</f>
      </c>
    </row>
    <row r="144">
      <c r="A144" t="str">
        <f>IF(games!$A144="","",games!$A144)</f>
      </c>
      <c r="B144">
        <f>IF($A144="","",games!$B144)</f>
      </c>
      <c r="C144" t="str">
        <f>IF($A144="","",games!$C144)</f>
      </c>
      <c r="D144">
        <f>IF($A144="","",COUNTIF(connections!$A$2:$A$2500,$A144)+COUNTIF(connections!$B$2:$B$2500,$A144))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IF(OR($A144="",games!$H144=""),"",games!$H144)</f>
      </c>
      <c r="Q144">
        <f>IF(OR($A144="",$P144&lt;&gt;"Yes"),"",$D144+ROW()/1000000)</f>
      </c>
      <c r="T144" t="str">
        <f>IF(connections!$A144="","",IFERROR(INDEX(games!$B$2:$B$1200,MATCH(connections!$A144,games!$A$2:$A$1200,0)),""))</f>
      </c>
      <c r="U144">
        <f>IF(connections!$A144="","",IFERROR(INDEX(games!$B$2:$B$1200,MATCH(connections!$B144,games!$A$2:$A$1200,0)),""))</f>
      </c>
      <c r="V144">
        <f>IF(OR($T144="",$U144=""),"",$U144-$T144)</f>
      </c>
    </row>
    <row r="145">
      <c r="A145" t="str">
        <f>IF(games!$A145="","",games!$A145)</f>
      </c>
      <c r="B145">
        <f>IF($A145="","",games!$B145)</f>
      </c>
      <c r="C145" t="str">
        <f>IF($A145="","",games!$C145)</f>
      </c>
      <c r="D145">
        <f>IF($A145="","",COUNTIF(connections!$A$2:$A$2500,$A145)+COUNTIF(connections!$B$2:$B$2500,$A145))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IF(OR($A145="",games!$H145=""),"",games!$H145)</f>
      </c>
      <c r="Q145">
        <f>IF(OR($A145="",$P145&lt;&gt;"Yes"),"",$D145+ROW()/1000000)</f>
      </c>
      <c r="T145" t="str">
        <f>IF(connections!$A145="","",IFERROR(INDEX(games!$B$2:$B$1200,MATCH(connections!$A145,games!$A$2:$A$1200,0)),""))</f>
      </c>
      <c r="U145">
        <f>IF(connections!$A145="","",IFERROR(INDEX(games!$B$2:$B$1200,MATCH(connections!$B145,games!$A$2:$A$1200,0)),""))</f>
      </c>
      <c r="V145">
        <f>IF(OR($T145="",$U145=""),"",$U145-$T145)</f>
      </c>
    </row>
    <row r="146">
      <c r="A146" t="str">
        <f>IF(games!$A146="","",games!$A146)</f>
      </c>
      <c r="B146">
        <f>IF($A146="","",games!$B146)</f>
      </c>
      <c r="C146" t="str">
        <f>IF($A146="","",games!$C146)</f>
      </c>
      <c r="D146">
        <f>IF($A146="","",COUNTIF(connections!$A$2:$A$2500,$A146)+COUNTIF(connections!$B$2:$B$2500,$A146))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IF(OR($A146="",games!$H146=""),"",games!$H146)</f>
      </c>
      <c r="Q146">
        <f>IF(OR($A146="",$P146&lt;&gt;"Yes"),"",$D146+ROW()/1000000)</f>
      </c>
      <c r="T146" t="str">
        <f>IF(connections!$A146="","",IFERROR(INDEX(games!$B$2:$B$1200,MATCH(connections!$A146,games!$A$2:$A$1200,0)),""))</f>
      </c>
      <c r="U146">
        <f>IF(connections!$A146="","",IFERROR(INDEX(games!$B$2:$B$1200,MATCH(connections!$B146,games!$A$2:$A$1200,0)),""))</f>
      </c>
      <c r="V146">
        <f>IF(OR($T146="",$U146=""),"",$U146-$T146)</f>
      </c>
    </row>
    <row r="147">
      <c r="A147" t="str">
        <f>IF(games!$A147="","",games!$A147)</f>
      </c>
      <c r="B147">
        <f>IF($A147="","",games!$B147)</f>
      </c>
      <c r="C147" t="str">
        <f>IF($A147="","",games!$C147)</f>
      </c>
      <c r="D147">
        <f>IF($A147="","",COUNTIF(connections!$A$2:$A$2500,$A147)+COUNTIF(connections!$B$2:$B$2500,$A147))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IF(OR($A147="",games!$H147=""),"",games!$H147)</f>
      </c>
      <c r="Q147">
        <f>IF(OR($A147="",$P147&lt;&gt;"Yes"),"",$D147+ROW()/1000000)</f>
      </c>
      <c r="T147" t="str">
        <f>IF(connections!$A147="","",IFERROR(INDEX(games!$B$2:$B$1200,MATCH(connections!$A147,games!$A$2:$A$1200,0)),""))</f>
      </c>
      <c r="U147">
        <f>IF(connections!$A147="","",IFERROR(INDEX(games!$B$2:$B$1200,MATCH(connections!$B147,games!$A$2:$A$1200,0)),""))</f>
      </c>
      <c r="V147">
        <f>IF(OR($T147="",$U147=""),"",$U147-$T147)</f>
      </c>
    </row>
    <row r="148">
      <c r="A148" t="str">
        <f>IF(games!$A148="","",games!$A148)</f>
      </c>
      <c r="B148">
        <f>IF($A148="","",games!$B148)</f>
      </c>
      <c r="C148" t="str">
        <f>IF($A148="","",games!$C148)</f>
      </c>
      <c r="D148">
        <f>IF($A148="","",COUNTIF(connections!$A$2:$A$2500,$A148)+COUNTIF(connections!$B$2:$B$2500,$A148))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IF(OR($A148="",games!$H148=""),"",games!$H148)</f>
      </c>
      <c r="Q148">
        <f>IF(OR($A148="",$P148&lt;&gt;"Yes"),"",$D148+ROW()/1000000)</f>
      </c>
      <c r="T148" t="str">
        <f>IF(connections!$A148="","",IFERROR(INDEX(games!$B$2:$B$1200,MATCH(connections!$A148,games!$A$2:$A$1200,0)),""))</f>
      </c>
      <c r="U148">
        <f>IF(connections!$A148="","",IFERROR(INDEX(games!$B$2:$B$1200,MATCH(connections!$B148,games!$A$2:$A$1200,0)),""))</f>
      </c>
      <c r="V148">
        <f>IF(OR($T148="",$U148=""),"",$U148-$T148)</f>
      </c>
    </row>
    <row r="149">
      <c r="A149" t="str">
        <f>IF(games!$A149="","",games!$A149)</f>
      </c>
      <c r="B149">
        <f>IF($A149="","",games!$B149)</f>
      </c>
      <c r="C149" t="str">
        <f>IF($A149="","",games!$C149)</f>
      </c>
      <c r="D149">
        <f>IF($A149="","",COUNTIF(connections!$A$2:$A$2500,$A149)+COUNTIF(connections!$B$2:$B$2500,$A149))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IF(OR($A149="",games!$H149=""),"",games!$H149)</f>
      </c>
      <c r="Q149">
        <f>IF(OR($A149="",$P149&lt;&gt;"Yes"),"",$D149+ROW()/1000000)</f>
      </c>
      <c r="T149" t="str">
        <f>IF(connections!$A149="","",IFERROR(INDEX(games!$B$2:$B$1200,MATCH(connections!$A149,games!$A$2:$A$1200,0)),""))</f>
      </c>
      <c r="U149">
        <f>IF(connections!$A149="","",IFERROR(INDEX(games!$B$2:$B$1200,MATCH(connections!$B149,games!$A$2:$A$1200,0)),""))</f>
      </c>
      <c r="V149">
        <f>IF(OR($T149="",$U149=""),"",$U149-$T149)</f>
      </c>
    </row>
    <row r="150">
      <c r="A150" t="str">
        <f>IF(games!$A150="","",games!$A150)</f>
      </c>
      <c r="B150">
        <f>IF($A150="","",games!$B150)</f>
      </c>
      <c r="C150" t="str">
        <f>IF($A150="","",games!$C150)</f>
      </c>
      <c r="D150">
        <f>IF($A150="","",COUNTIF(connections!$A$2:$A$2500,$A150)+COUNTIF(connections!$B$2:$B$2500,$A150))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IF(OR($A150="",games!$H150=""),"",games!$H150)</f>
      </c>
      <c r="Q150">
        <f>IF(OR($A150="",$P150&lt;&gt;"Yes"),"",$D150+ROW()/1000000)</f>
      </c>
      <c r="T150" t="str">
        <f>IF(connections!$A150="","",IFERROR(INDEX(games!$B$2:$B$1200,MATCH(connections!$A150,games!$A$2:$A$1200,0)),""))</f>
      </c>
      <c r="U150">
        <f>IF(connections!$A150="","",IFERROR(INDEX(games!$B$2:$B$1200,MATCH(connections!$B150,games!$A$2:$A$1200,0)),""))</f>
      </c>
      <c r="V150">
        <f>IF(OR($T150="",$U150=""),"",$U150-$T150)</f>
      </c>
    </row>
    <row r="151">
      <c r="A151" t="str">
        <f>IF(games!$A151="","",games!$A151)</f>
      </c>
      <c r="B151">
        <f>IF($A151="","",games!$B151)</f>
      </c>
      <c r="C151" t="str">
        <f>IF($A151="","",games!$C151)</f>
      </c>
      <c r="D151">
        <f>IF($A151="","",COUNTIF(connections!$A$2:$A$2500,$A151)+COUNTIF(connections!$B$2:$B$2500,$A151))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IF(OR($A151="",games!$H151=""),"",games!$H151)</f>
      </c>
      <c r="Q151">
        <f>IF(OR($A151="",$P151&lt;&gt;"Yes"),"",$D151+ROW()/1000000)</f>
      </c>
      <c r="T151" t="str">
        <f>IF(connections!$A151="","",IFERROR(INDEX(games!$B$2:$B$1200,MATCH(connections!$A151,games!$A$2:$A$1200,0)),""))</f>
      </c>
      <c r="U151">
        <f>IF(connections!$A151="","",IFERROR(INDEX(games!$B$2:$B$1200,MATCH(connections!$B151,games!$A$2:$A$1200,0)),""))</f>
      </c>
      <c r="V151">
        <f>IF(OR($T151="",$U151=""),"",$U151-$T151)</f>
      </c>
    </row>
    <row r="152">
      <c r="A152" t="str">
        <f>IF(games!$A152="","",games!$A152)</f>
      </c>
      <c r="B152">
        <f>IF($A152="","",games!$B152)</f>
      </c>
      <c r="C152" t="str">
        <f>IF($A152="","",games!$C152)</f>
      </c>
      <c r="D152">
        <f>IF($A152="","",COUNTIF(connections!$A$2:$A$2500,$A152)+COUNTIF(connections!$B$2:$B$2500,$A152))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IF(OR($A152="",games!$H152=""),"",games!$H152)</f>
      </c>
      <c r="Q152">
        <f>IF(OR($A152="",$P152&lt;&gt;"Yes"),"",$D152+ROW()/1000000)</f>
      </c>
      <c r="T152" t="str">
        <f>IF(connections!$A152="","",IFERROR(INDEX(games!$B$2:$B$1200,MATCH(connections!$A152,games!$A$2:$A$1200,0)),""))</f>
      </c>
      <c r="U152">
        <f>IF(connections!$A152="","",IFERROR(INDEX(games!$B$2:$B$1200,MATCH(connections!$B152,games!$A$2:$A$1200,0)),""))</f>
      </c>
      <c r="V152">
        <f>IF(OR($T152="",$U152=""),"",$U152-$T152)</f>
      </c>
    </row>
    <row r="153">
      <c r="A153" t="str">
        <f>IF(games!$A153="","",games!$A153)</f>
      </c>
      <c r="B153">
        <f>IF($A153="","",games!$B153)</f>
      </c>
      <c r="C153" t="str">
        <f>IF($A153="","",games!$C153)</f>
      </c>
      <c r="D153">
        <f>IF($A153="","",COUNTIF(connections!$A$2:$A$2500,$A153)+COUNTIF(connections!$B$2:$B$2500,$A153))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IF(OR($A153="",games!$H153=""),"",games!$H153)</f>
      </c>
      <c r="Q153">
        <f>IF(OR($A153="",$P153&lt;&gt;"Yes"),"",$D153+ROW()/1000000)</f>
      </c>
      <c r="T153" t="str">
        <f>IF(connections!$A153="","",IFERROR(INDEX(games!$B$2:$B$1200,MATCH(connections!$A153,games!$A$2:$A$1200,0)),""))</f>
      </c>
      <c r="U153">
        <f>IF(connections!$A153="","",IFERROR(INDEX(games!$B$2:$B$1200,MATCH(connections!$B153,games!$A$2:$A$1200,0)),""))</f>
      </c>
      <c r="V153">
        <f>IF(OR($T153="",$U153=""),"",$U153-$T153)</f>
      </c>
    </row>
    <row r="154">
      <c r="A154" t="str">
        <f>IF(games!$A154="","",games!$A154)</f>
      </c>
      <c r="B154">
        <f>IF($A154="","",games!$B154)</f>
      </c>
      <c r="C154" t="str">
        <f>IF($A154="","",games!$C154)</f>
      </c>
      <c r="D154">
        <f>IF($A154="","",COUNTIF(connections!$A$2:$A$2500,$A154)+COUNTIF(connections!$B$2:$B$2500,$A154))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IF(OR($A154="",games!$H154=""),"",games!$H154)</f>
      </c>
      <c r="Q154">
        <f>IF(OR($A154="",$P154&lt;&gt;"Yes"),"",$D154+ROW()/1000000)</f>
      </c>
      <c r="T154" t="str">
        <f>IF(connections!$A154="","",IFERROR(INDEX(games!$B$2:$B$1200,MATCH(connections!$A154,games!$A$2:$A$1200,0)),""))</f>
      </c>
      <c r="U154">
        <f>IF(connections!$A154="","",IFERROR(INDEX(games!$B$2:$B$1200,MATCH(connections!$B154,games!$A$2:$A$1200,0)),""))</f>
      </c>
      <c r="V154">
        <f>IF(OR($T154="",$U154=""),"",$U154-$T154)</f>
      </c>
    </row>
    <row r="155">
      <c r="A155" t="str">
        <f>IF(games!$A155="","",games!$A155)</f>
      </c>
      <c r="B155">
        <f>IF($A155="","",games!$B155)</f>
      </c>
      <c r="C155" t="str">
        <f>IF($A155="","",games!$C155)</f>
      </c>
      <c r="D155">
        <f>IF($A155="","",COUNTIF(connections!$A$2:$A$2500,$A155)+COUNTIF(connections!$B$2:$B$2500,$A155))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IF(OR($A155="",games!$H155=""),"",games!$H155)</f>
      </c>
      <c r="Q155">
        <f>IF(OR($A155="",$P155&lt;&gt;"Yes"),"",$D155+ROW()/1000000)</f>
      </c>
      <c r="T155" t="str">
        <f>IF(connections!$A155="","",IFERROR(INDEX(games!$B$2:$B$1200,MATCH(connections!$A155,games!$A$2:$A$1200,0)),""))</f>
      </c>
      <c r="U155">
        <f>IF(connections!$A155="","",IFERROR(INDEX(games!$B$2:$B$1200,MATCH(connections!$B155,games!$A$2:$A$1200,0)),""))</f>
      </c>
      <c r="V155">
        <f>IF(OR($T155="",$U155=""),"",$U155-$T155)</f>
      </c>
    </row>
    <row r="156">
      <c r="A156" t="str">
        <f>IF(games!$A156="","",games!$A156)</f>
      </c>
      <c r="B156">
        <f>IF($A156="","",games!$B156)</f>
      </c>
      <c r="C156" t="str">
        <f>IF($A156="","",games!$C156)</f>
      </c>
      <c r="D156">
        <f>IF($A156="","",COUNTIF(connections!$A$2:$A$2500,$A156)+COUNTIF(connections!$B$2:$B$2500,$A156))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IF(OR($A156="",games!$H156=""),"",games!$H156)</f>
      </c>
      <c r="Q156">
        <f>IF(OR($A156="",$P156&lt;&gt;"Yes"),"",$D156+ROW()/1000000)</f>
      </c>
      <c r="T156" t="str">
        <f>IF(connections!$A156="","",IFERROR(INDEX(games!$B$2:$B$1200,MATCH(connections!$A156,games!$A$2:$A$1200,0)),""))</f>
      </c>
      <c r="U156">
        <f>IF(connections!$A156="","",IFERROR(INDEX(games!$B$2:$B$1200,MATCH(connections!$B156,games!$A$2:$A$1200,0)),""))</f>
      </c>
      <c r="V156">
        <f>IF(OR($T156="",$U156=""),"",$U156-$T156)</f>
      </c>
    </row>
    <row r="157">
      <c r="A157" t="str">
        <f>IF(games!$A157="","",games!$A157)</f>
      </c>
      <c r="B157">
        <f>IF($A157="","",games!$B157)</f>
      </c>
      <c r="C157" t="str">
        <f>IF($A157="","",games!$C157)</f>
      </c>
      <c r="D157">
        <f>IF($A157="","",COUNTIF(connections!$A$2:$A$2500,$A157)+COUNTIF(connections!$B$2:$B$2500,$A157))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IF(OR($A157="",games!$H157=""),"",games!$H157)</f>
      </c>
      <c r="Q157">
        <f>IF(OR($A157="",$P157&lt;&gt;"Yes"),"",$D157+ROW()/1000000)</f>
      </c>
      <c r="T157" t="str">
        <f>IF(connections!$A157="","",IFERROR(INDEX(games!$B$2:$B$1200,MATCH(connections!$A157,games!$A$2:$A$1200,0)),""))</f>
      </c>
      <c r="U157">
        <f>IF(connections!$A157="","",IFERROR(INDEX(games!$B$2:$B$1200,MATCH(connections!$B157,games!$A$2:$A$1200,0)),""))</f>
      </c>
      <c r="V157">
        <f>IF(OR($T157="",$U157=""),"",$U157-$T157)</f>
      </c>
    </row>
    <row r="158">
      <c r="A158" t="str">
        <f>IF(games!$A158="","",games!$A158)</f>
      </c>
      <c r="B158">
        <f>IF($A158="","",games!$B158)</f>
      </c>
      <c r="C158" t="str">
        <f>IF($A158="","",games!$C158)</f>
      </c>
      <c r="D158">
        <f>IF($A158="","",COUNTIF(connections!$A$2:$A$2500,$A158)+COUNTIF(connections!$B$2:$B$2500,$A158))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IF(OR($A158="",games!$H158=""),"",games!$H158)</f>
      </c>
      <c r="Q158">
        <f>IF(OR($A158="",$P158&lt;&gt;"Yes"),"",$D158+ROW()/1000000)</f>
      </c>
      <c r="T158" t="str">
        <f>IF(connections!$A158="","",IFERROR(INDEX(games!$B$2:$B$1200,MATCH(connections!$A158,games!$A$2:$A$1200,0)),""))</f>
      </c>
      <c r="U158">
        <f>IF(connections!$A158="","",IFERROR(INDEX(games!$B$2:$B$1200,MATCH(connections!$B158,games!$A$2:$A$1200,0)),""))</f>
      </c>
      <c r="V158">
        <f>IF(OR($T158="",$U158=""),"",$U158-$T158)</f>
      </c>
    </row>
    <row r="159">
      <c r="A159" t="str">
        <f>IF(games!$A159="","",games!$A159)</f>
      </c>
      <c r="B159">
        <f>IF($A159="","",games!$B159)</f>
      </c>
      <c r="C159" t="str">
        <f>IF($A159="","",games!$C159)</f>
      </c>
      <c r="D159">
        <f>IF($A159="","",COUNTIF(connections!$A$2:$A$2500,$A159)+COUNTIF(connections!$B$2:$B$2500,$A159))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IF(OR($A159="",games!$H159=""),"",games!$H159)</f>
      </c>
      <c r="Q159">
        <f>IF(OR($A159="",$P159&lt;&gt;"Yes"),"",$D159+ROW()/1000000)</f>
      </c>
      <c r="T159" t="str">
        <f>IF(connections!$A159="","",IFERROR(INDEX(games!$B$2:$B$1200,MATCH(connections!$A159,games!$A$2:$A$1200,0)),""))</f>
      </c>
      <c r="U159">
        <f>IF(connections!$A159="","",IFERROR(INDEX(games!$B$2:$B$1200,MATCH(connections!$B159,games!$A$2:$A$1200,0)),""))</f>
      </c>
      <c r="V159">
        <f>IF(OR($T159="",$U159=""),"",$U159-$T159)</f>
      </c>
    </row>
    <row r="160">
      <c r="A160" t="str">
        <f>IF(games!$A160="","",games!$A160)</f>
      </c>
      <c r="B160">
        <f>IF($A160="","",games!$B160)</f>
      </c>
      <c r="C160" t="str">
        <f>IF($A160="","",games!$C160)</f>
      </c>
      <c r="D160">
        <f>IF($A160="","",COUNTIF(connections!$A$2:$A$2500,$A160)+COUNTIF(connections!$B$2:$B$2500,$A160))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IF(OR($A160="",games!$H160=""),"",games!$H160)</f>
      </c>
      <c r="Q160">
        <f>IF(OR($A160="",$P160&lt;&gt;"Yes"),"",$D160+ROW()/1000000)</f>
      </c>
      <c r="T160" t="str">
        <f>IF(connections!$A160="","",IFERROR(INDEX(games!$B$2:$B$1200,MATCH(connections!$A160,games!$A$2:$A$1200,0)),""))</f>
      </c>
      <c r="U160">
        <f>IF(connections!$A160="","",IFERROR(INDEX(games!$B$2:$B$1200,MATCH(connections!$B160,games!$A$2:$A$1200,0)),""))</f>
      </c>
      <c r="V160">
        <f>IF(OR($T160="",$U160=""),"",$U160-$T160)</f>
      </c>
    </row>
    <row r="161">
      <c r="A161" t="str">
        <f>IF(games!$A161="","",games!$A161)</f>
      </c>
      <c r="B161">
        <f>IF($A161="","",games!$B161)</f>
      </c>
      <c r="C161" t="str">
        <f>IF($A161="","",games!$C161)</f>
      </c>
      <c r="D161">
        <f>IF($A161="","",COUNTIF(connections!$A$2:$A$2500,$A161)+COUNTIF(connections!$B$2:$B$2500,$A161))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IF(OR($A161="",games!$H161=""),"",games!$H161)</f>
      </c>
      <c r="Q161">
        <f>IF(OR($A161="",$P161&lt;&gt;"Yes"),"",$D161+ROW()/1000000)</f>
      </c>
      <c r="T161" t="str">
        <f>IF(connections!$A161="","",IFERROR(INDEX(games!$B$2:$B$1200,MATCH(connections!$A161,games!$A$2:$A$1200,0)),""))</f>
      </c>
      <c r="U161">
        <f>IF(connections!$A161="","",IFERROR(INDEX(games!$B$2:$B$1200,MATCH(connections!$B161,games!$A$2:$A$1200,0)),""))</f>
      </c>
      <c r="V161">
        <f>IF(OR($T161="",$U161=""),"",$U161-$T161)</f>
      </c>
    </row>
    <row r="162">
      <c r="A162" t="str">
        <f>IF(games!$A162="","",games!$A162)</f>
      </c>
      <c r="B162">
        <f>IF($A162="","",games!$B162)</f>
      </c>
      <c r="C162" t="str">
        <f>IF($A162="","",games!$C162)</f>
      </c>
      <c r="D162">
        <f>IF($A162="","",COUNTIF(connections!$A$2:$A$2500,$A162)+COUNTIF(connections!$B$2:$B$2500,$A162))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IF(OR($A162="",games!$H162=""),"",games!$H162)</f>
      </c>
      <c r="Q162">
        <f>IF(OR($A162="",$P162&lt;&gt;"Yes"),"",$D162+ROW()/1000000)</f>
      </c>
      <c r="T162" t="str">
        <f>IF(connections!$A162="","",IFERROR(INDEX(games!$B$2:$B$1200,MATCH(connections!$A162,games!$A$2:$A$1200,0)),""))</f>
      </c>
      <c r="U162">
        <f>IF(connections!$A162="","",IFERROR(INDEX(games!$B$2:$B$1200,MATCH(connections!$B162,games!$A$2:$A$1200,0)),""))</f>
      </c>
      <c r="V162">
        <f>IF(OR($T162="",$U162=""),"",$U162-$T162)</f>
      </c>
    </row>
    <row r="163">
      <c r="A163" t="str">
        <f>IF(games!$A163="","",games!$A163)</f>
      </c>
      <c r="B163">
        <f>IF($A163="","",games!$B163)</f>
      </c>
      <c r="C163" t="str">
        <f>IF($A163="","",games!$C163)</f>
      </c>
      <c r="D163">
        <f>IF($A163="","",COUNTIF(connections!$A$2:$A$2500,$A163)+COUNTIF(connections!$B$2:$B$2500,$A163))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IF(OR($A163="",games!$H163=""),"",games!$H163)</f>
      </c>
      <c r="Q163">
        <f>IF(OR($A163="",$P163&lt;&gt;"Yes"),"",$D163+ROW()/1000000)</f>
      </c>
      <c r="T163" t="str">
        <f>IF(connections!$A163="","",IFERROR(INDEX(games!$B$2:$B$1200,MATCH(connections!$A163,games!$A$2:$A$1200,0)),""))</f>
      </c>
      <c r="U163">
        <f>IF(connections!$A163="","",IFERROR(INDEX(games!$B$2:$B$1200,MATCH(connections!$B163,games!$A$2:$A$1200,0)),""))</f>
      </c>
      <c r="V163">
        <f>IF(OR($T163="",$U163=""),"",$U163-$T163)</f>
      </c>
    </row>
    <row r="164">
      <c r="A164" t="str">
        <f>IF(games!$A164="","",games!$A164)</f>
      </c>
      <c r="B164">
        <f>IF($A164="","",games!$B164)</f>
      </c>
      <c r="C164" t="str">
        <f>IF($A164="","",games!$C164)</f>
      </c>
      <c r="D164">
        <f>IF($A164="","",COUNTIF(connections!$A$2:$A$2500,$A164)+COUNTIF(connections!$B$2:$B$2500,$A164))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IF(OR($A164="",games!$H164=""),"",games!$H164)</f>
      </c>
      <c r="Q164">
        <f>IF(OR($A164="",$P164&lt;&gt;"Yes"),"",$D164+ROW()/1000000)</f>
      </c>
      <c r="T164" t="str">
        <f>IF(connections!$A164="","",IFERROR(INDEX(games!$B$2:$B$1200,MATCH(connections!$A164,games!$A$2:$A$1200,0)),""))</f>
      </c>
      <c r="U164">
        <f>IF(connections!$A164="","",IFERROR(INDEX(games!$B$2:$B$1200,MATCH(connections!$B164,games!$A$2:$A$1200,0)),""))</f>
      </c>
      <c r="V164">
        <f>IF(OR($T164="",$U164=""),"",$U164-$T164)</f>
      </c>
    </row>
    <row r="165">
      <c r="A165" t="str">
        <f>IF(games!$A165="","",games!$A165)</f>
      </c>
      <c r="B165">
        <f>IF($A165="","",games!$B165)</f>
      </c>
      <c r="C165" t="str">
        <f>IF($A165="","",games!$C165)</f>
      </c>
      <c r="D165">
        <f>IF($A165="","",COUNTIF(connections!$A$2:$A$2500,$A165)+COUNTIF(connections!$B$2:$B$2500,$A165))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IF(OR($A165="",games!$H165=""),"",games!$H165)</f>
      </c>
      <c r="Q165">
        <f>IF(OR($A165="",$P165&lt;&gt;"Yes"),"",$D165+ROW()/1000000)</f>
      </c>
      <c r="T165" t="str">
        <f>IF(connections!$A165="","",IFERROR(INDEX(games!$B$2:$B$1200,MATCH(connections!$A165,games!$A$2:$A$1200,0)),""))</f>
      </c>
      <c r="U165">
        <f>IF(connections!$A165="","",IFERROR(INDEX(games!$B$2:$B$1200,MATCH(connections!$B165,games!$A$2:$A$1200,0)),""))</f>
      </c>
      <c r="V165">
        <f>IF(OR($T165="",$U165=""),"",$U165-$T165)</f>
      </c>
    </row>
    <row r="166">
      <c r="A166" t="str">
        <f>IF(games!$A166="","",games!$A166)</f>
      </c>
      <c r="B166">
        <f>IF($A166="","",games!$B166)</f>
      </c>
      <c r="C166" t="str">
        <f>IF($A166="","",games!$C166)</f>
      </c>
      <c r="D166">
        <f>IF($A166="","",COUNTIF(connections!$A$2:$A$2500,$A166)+COUNTIF(connections!$B$2:$B$2500,$A166))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IF(OR($A166="",games!$H166=""),"",games!$H166)</f>
      </c>
      <c r="Q166">
        <f>IF(OR($A166="",$P166&lt;&gt;"Yes"),"",$D166+ROW()/1000000)</f>
      </c>
      <c r="T166" t="str">
        <f>IF(connections!$A166="","",IFERROR(INDEX(games!$B$2:$B$1200,MATCH(connections!$A166,games!$A$2:$A$1200,0)),""))</f>
      </c>
      <c r="U166">
        <f>IF(connections!$A166="","",IFERROR(INDEX(games!$B$2:$B$1200,MATCH(connections!$B166,games!$A$2:$A$1200,0)),""))</f>
      </c>
      <c r="V166">
        <f>IF(OR($T166="",$U166=""),"",$U166-$T166)</f>
      </c>
    </row>
    <row r="167">
      <c r="A167" t="str">
        <f>IF(games!$A167="","",games!$A167)</f>
      </c>
      <c r="B167">
        <f>IF($A167="","",games!$B167)</f>
      </c>
      <c r="C167" t="str">
        <f>IF($A167="","",games!$C167)</f>
      </c>
      <c r="D167">
        <f>IF($A167="","",COUNTIF(connections!$A$2:$A$2500,$A167)+COUNTIF(connections!$B$2:$B$2500,$A167))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IF(OR($A167="",games!$H167=""),"",games!$H167)</f>
      </c>
      <c r="Q167">
        <f>IF(OR($A167="",$P167&lt;&gt;"Yes"),"",$D167+ROW()/1000000)</f>
      </c>
      <c r="T167" t="str">
        <f>IF(connections!$A167="","",IFERROR(INDEX(games!$B$2:$B$1200,MATCH(connections!$A167,games!$A$2:$A$1200,0)),""))</f>
      </c>
      <c r="U167">
        <f>IF(connections!$A167="","",IFERROR(INDEX(games!$B$2:$B$1200,MATCH(connections!$B167,games!$A$2:$A$1200,0)),""))</f>
      </c>
      <c r="V167">
        <f>IF(OR($T167="",$U167=""),"",$U167-$T167)</f>
      </c>
    </row>
    <row r="168">
      <c r="A168" t="str">
        <f>IF(games!$A168="","",games!$A168)</f>
      </c>
      <c r="B168">
        <f>IF($A168="","",games!$B168)</f>
      </c>
      <c r="C168" t="str">
        <f>IF($A168="","",games!$C168)</f>
      </c>
      <c r="D168">
        <f>IF($A168="","",COUNTIF(connections!$A$2:$A$2500,$A168)+COUNTIF(connections!$B$2:$B$2500,$A168))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IF(OR($A168="",games!$H168=""),"",games!$H168)</f>
      </c>
      <c r="Q168">
        <f>IF(OR($A168="",$P168&lt;&gt;"Yes"),"",$D168+ROW()/1000000)</f>
      </c>
      <c r="T168" t="str">
        <f>IF(connections!$A168="","",IFERROR(INDEX(games!$B$2:$B$1200,MATCH(connections!$A168,games!$A$2:$A$1200,0)),""))</f>
      </c>
      <c r="U168">
        <f>IF(connections!$A168="","",IFERROR(INDEX(games!$B$2:$B$1200,MATCH(connections!$B168,games!$A$2:$A$1200,0)),""))</f>
      </c>
      <c r="V168">
        <f>IF(OR($T168="",$U168=""),"",$U168-$T168)</f>
      </c>
    </row>
    <row r="169">
      <c r="A169" t="str">
        <f>IF(games!$A169="","",games!$A169)</f>
      </c>
      <c r="B169">
        <f>IF($A169="","",games!$B169)</f>
      </c>
      <c r="C169" t="str">
        <f>IF($A169="","",games!$C169)</f>
      </c>
      <c r="D169">
        <f>IF($A169="","",COUNTIF(connections!$A$2:$A$2500,$A169)+COUNTIF(connections!$B$2:$B$2500,$A169))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IF(OR($A169="",games!$H169=""),"",games!$H169)</f>
      </c>
      <c r="Q169">
        <f>IF(OR($A169="",$P169&lt;&gt;"Yes"),"",$D169+ROW()/1000000)</f>
      </c>
      <c r="T169" t="str">
        <f>IF(connections!$A169="","",IFERROR(INDEX(games!$B$2:$B$1200,MATCH(connections!$A169,games!$A$2:$A$1200,0)),""))</f>
      </c>
      <c r="U169">
        <f>IF(connections!$A169="","",IFERROR(INDEX(games!$B$2:$B$1200,MATCH(connections!$B169,games!$A$2:$A$1200,0)),""))</f>
      </c>
      <c r="V169">
        <f>IF(OR($T169="",$U169=""),"",$U169-$T169)</f>
      </c>
    </row>
    <row r="170">
      <c r="A170" t="str">
        <f>IF(games!$A170="","",games!$A170)</f>
      </c>
      <c r="B170">
        <f>IF($A170="","",games!$B170)</f>
      </c>
      <c r="C170" t="str">
        <f>IF($A170="","",games!$C170)</f>
      </c>
      <c r="D170">
        <f>IF($A170="","",COUNTIF(connections!$A$2:$A$2500,$A170)+COUNTIF(connections!$B$2:$B$2500,$A170))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IF(OR($A170="",games!$H170=""),"",games!$H170)</f>
      </c>
      <c r="Q170">
        <f>IF(OR($A170="",$P170&lt;&gt;"Yes"),"",$D170+ROW()/1000000)</f>
      </c>
      <c r="T170" t="str">
        <f>IF(connections!$A170="","",IFERROR(INDEX(games!$B$2:$B$1200,MATCH(connections!$A170,games!$A$2:$A$1200,0)),""))</f>
      </c>
      <c r="U170">
        <f>IF(connections!$A170="","",IFERROR(INDEX(games!$B$2:$B$1200,MATCH(connections!$B170,games!$A$2:$A$1200,0)),""))</f>
      </c>
      <c r="V170">
        <f>IF(OR($T170="",$U170=""),"",$U170-$T170)</f>
      </c>
    </row>
    <row r="171">
      <c r="A171" t="str">
        <f>IF(games!$A171="","",games!$A171)</f>
      </c>
      <c r="B171">
        <f>IF($A171="","",games!$B171)</f>
      </c>
      <c r="C171" t="str">
        <f>IF($A171="","",games!$C171)</f>
      </c>
      <c r="D171">
        <f>IF($A171="","",COUNTIF(connections!$A$2:$A$2500,$A171)+COUNTIF(connections!$B$2:$B$2500,$A171))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IF(OR($A171="",games!$H171=""),"",games!$H171)</f>
      </c>
      <c r="Q171">
        <f>IF(OR($A171="",$P171&lt;&gt;"Yes"),"",$D171+ROW()/1000000)</f>
      </c>
      <c r="T171" t="str">
        <f>IF(connections!$A171="","",IFERROR(INDEX(games!$B$2:$B$1200,MATCH(connections!$A171,games!$A$2:$A$1200,0)),""))</f>
      </c>
      <c r="U171">
        <f>IF(connections!$A171="","",IFERROR(INDEX(games!$B$2:$B$1200,MATCH(connections!$B171,games!$A$2:$A$1200,0)),""))</f>
      </c>
      <c r="V171">
        <f>IF(OR($T171="",$U171=""),"",$U171-$T171)</f>
      </c>
    </row>
    <row r="172">
      <c r="A172" t="str">
        <f>IF(games!$A172="","",games!$A172)</f>
      </c>
      <c r="B172">
        <f>IF($A172="","",games!$B172)</f>
      </c>
      <c r="C172" t="str">
        <f>IF($A172="","",games!$C172)</f>
      </c>
      <c r="D172">
        <f>IF($A172="","",COUNTIF(connections!$A$2:$A$2500,$A172)+COUNTIF(connections!$B$2:$B$2500,$A172))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IF(OR($A172="",games!$H172=""),"",games!$H172)</f>
      </c>
      <c r="Q172">
        <f>IF(OR($A172="",$P172&lt;&gt;"Yes"),"",$D172+ROW()/1000000)</f>
      </c>
      <c r="T172" t="str">
        <f>IF(connections!$A172="","",IFERROR(INDEX(games!$B$2:$B$1200,MATCH(connections!$A172,games!$A$2:$A$1200,0)),""))</f>
      </c>
      <c r="U172">
        <f>IF(connections!$A172="","",IFERROR(INDEX(games!$B$2:$B$1200,MATCH(connections!$B172,games!$A$2:$A$1200,0)),""))</f>
      </c>
      <c r="V172">
        <f>IF(OR($T172="",$U172=""),"",$U172-$T172)</f>
      </c>
    </row>
    <row r="173">
      <c r="A173" t="str">
        <f>IF(games!$A173="","",games!$A173)</f>
      </c>
      <c r="B173">
        <f>IF($A173="","",games!$B173)</f>
      </c>
      <c r="C173" t="str">
        <f>IF($A173="","",games!$C173)</f>
      </c>
      <c r="D173">
        <f>IF($A173="","",COUNTIF(connections!$A$2:$A$2500,$A173)+COUNTIF(connections!$B$2:$B$2500,$A173))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IF(OR($A173="",games!$H173=""),"",games!$H173)</f>
      </c>
      <c r="Q173">
        <f>IF(OR($A173="",$P173&lt;&gt;"Yes"),"",$D173+ROW()/1000000)</f>
      </c>
      <c r="T173" t="str">
        <f>IF(connections!$A173="","",IFERROR(INDEX(games!$B$2:$B$1200,MATCH(connections!$A173,games!$A$2:$A$1200,0)),""))</f>
      </c>
      <c r="U173">
        <f>IF(connections!$A173="","",IFERROR(INDEX(games!$B$2:$B$1200,MATCH(connections!$B173,games!$A$2:$A$1200,0)),""))</f>
      </c>
      <c r="V173">
        <f>IF(OR($T173="",$U173=""),"",$U173-$T173)</f>
      </c>
    </row>
    <row r="174">
      <c r="A174" t="str">
        <f>IF(games!$A174="","",games!$A174)</f>
      </c>
      <c r="B174">
        <f>IF($A174="","",games!$B174)</f>
      </c>
      <c r="C174" t="str">
        <f>IF($A174="","",games!$C174)</f>
      </c>
      <c r="D174">
        <f>IF($A174="","",COUNTIF(connections!$A$2:$A$2500,$A174)+COUNTIF(connections!$B$2:$B$2500,$A174))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IF(OR($A174="",games!$H174=""),"",games!$H174)</f>
      </c>
      <c r="Q174">
        <f>IF(OR($A174="",$P174&lt;&gt;"Yes"),"",$D174+ROW()/1000000)</f>
      </c>
      <c r="T174" t="str">
        <f>IF(connections!$A174="","",IFERROR(INDEX(games!$B$2:$B$1200,MATCH(connections!$A174,games!$A$2:$A$1200,0)),""))</f>
      </c>
      <c r="U174">
        <f>IF(connections!$A174="","",IFERROR(INDEX(games!$B$2:$B$1200,MATCH(connections!$B174,games!$A$2:$A$1200,0)),""))</f>
      </c>
      <c r="V174">
        <f>IF(OR($T174="",$U174=""),"",$U174-$T174)</f>
      </c>
    </row>
    <row r="175">
      <c r="A175" t="str">
        <f>IF(games!$A175="","",games!$A175)</f>
      </c>
      <c r="B175">
        <f>IF($A175="","",games!$B175)</f>
      </c>
      <c r="C175" t="str">
        <f>IF($A175="","",games!$C175)</f>
      </c>
      <c r="D175">
        <f>IF($A175="","",COUNTIF(connections!$A$2:$A$2500,$A175)+COUNTIF(connections!$B$2:$B$2500,$A175))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IF(OR($A175="",games!$H175=""),"",games!$H175)</f>
      </c>
      <c r="Q175">
        <f>IF(OR($A175="",$P175&lt;&gt;"Yes"),"",$D175+ROW()/1000000)</f>
      </c>
      <c r="T175" t="str">
        <f>IF(connections!$A175="","",IFERROR(INDEX(games!$B$2:$B$1200,MATCH(connections!$A175,games!$A$2:$A$1200,0)),""))</f>
      </c>
      <c r="U175">
        <f>IF(connections!$A175="","",IFERROR(INDEX(games!$B$2:$B$1200,MATCH(connections!$B175,games!$A$2:$A$1200,0)),""))</f>
      </c>
      <c r="V175">
        <f>IF(OR($T175="",$U175=""),"",$U175-$T175)</f>
      </c>
    </row>
    <row r="176">
      <c r="A176" t="str">
        <f>IF(games!$A176="","",games!$A176)</f>
      </c>
      <c r="B176">
        <f>IF($A176="","",games!$B176)</f>
      </c>
      <c r="C176" t="str">
        <f>IF($A176="","",games!$C176)</f>
      </c>
      <c r="D176">
        <f>IF($A176="","",COUNTIF(connections!$A$2:$A$2500,$A176)+COUNTIF(connections!$B$2:$B$2500,$A176))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IF(OR($A176="",games!$H176=""),"",games!$H176)</f>
      </c>
      <c r="Q176">
        <f>IF(OR($A176="",$P176&lt;&gt;"Yes"),"",$D176+ROW()/1000000)</f>
      </c>
      <c r="T176" t="str">
        <f>IF(connections!$A176="","",IFERROR(INDEX(games!$B$2:$B$1200,MATCH(connections!$A176,games!$A$2:$A$1200,0)),""))</f>
      </c>
      <c r="U176">
        <f>IF(connections!$A176="","",IFERROR(INDEX(games!$B$2:$B$1200,MATCH(connections!$B176,games!$A$2:$A$1200,0)),""))</f>
      </c>
      <c r="V176">
        <f>IF(OR($T176="",$U176=""),"",$U176-$T176)</f>
      </c>
    </row>
    <row r="177">
      <c r="A177" t="str">
        <f>IF(games!$A177="","",games!$A177)</f>
      </c>
      <c r="B177">
        <f>IF($A177="","",games!$B177)</f>
      </c>
      <c r="C177" t="str">
        <f>IF($A177="","",games!$C177)</f>
      </c>
      <c r="D177">
        <f>IF($A177="","",COUNTIF(connections!$A$2:$A$2500,$A177)+COUNTIF(connections!$B$2:$B$2500,$A177))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IF(OR($A177="",games!$H177=""),"",games!$H177)</f>
      </c>
      <c r="Q177">
        <f>IF(OR($A177="",$P177&lt;&gt;"Yes"),"",$D177+ROW()/1000000)</f>
      </c>
      <c r="T177" t="str">
        <f>IF(connections!$A177="","",IFERROR(INDEX(games!$B$2:$B$1200,MATCH(connections!$A177,games!$A$2:$A$1200,0)),""))</f>
      </c>
      <c r="U177">
        <f>IF(connections!$A177="","",IFERROR(INDEX(games!$B$2:$B$1200,MATCH(connections!$B177,games!$A$2:$A$1200,0)),""))</f>
      </c>
      <c r="V177">
        <f>IF(OR($T177="",$U177=""),"",$U177-$T177)</f>
      </c>
    </row>
    <row r="178">
      <c r="A178" t="str">
        <f>IF(games!$A178="","",games!$A178)</f>
      </c>
      <c r="B178">
        <f>IF($A178="","",games!$B178)</f>
      </c>
      <c r="C178" t="str">
        <f>IF($A178="","",games!$C178)</f>
      </c>
      <c r="D178">
        <f>IF($A178="","",COUNTIF(connections!$A$2:$A$2500,$A178)+COUNTIF(connections!$B$2:$B$2500,$A178))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IF(OR($A178="",games!$H178=""),"",games!$H178)</f>
      </c>
      <c r="Q178">
        <f>IF(OR($A178="",$P178&lt;&gt;"Yes"),"",$D178+ROW()/1000000)</f>
      </c>
      <c r="T178" t="str">
        <f>IF(connections!$A178="","",IFERROR(INDEX(games!$B$2:$B$1200,MATCH(connections!$A178,games!$A$2:$A$1200,0)),""))</f>
      </c>
      <c r="U178">
        <f>IF(connections!$A178="","",IFERROR(INDEX(games!$B$2:$B$1200,MATCH(connections!$B178,games!$A$2:$A$1200,0)),""))</f>
      </c>
      <c r="V178">
        <f>IF(OR($T178="",$U178=""),"",$U178-$T178)</f>
      </c>
    </row>
    <row r="179">
      <c r="A179" t="str">
        <f>IF(games!$A179="","",games!$A179)</f>
      </c>
      <c r="B179">
        <f>IF($A179="","",games!$B179)</f>
      </c>
      <c r="C179" t="str">
        <f>IF($A179="","",games!$C179)</f>
      </c>
      <c r="D179">
        <f>IF($A179="","",COUNTIF(connections!$A$2:$A$2500,$A179)+COUNTIF(connections!$B$2:$B$2500,$A179))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IF(OR($A179="",games!$H179=""),"",games!$H179)</f>
      </c>
      <c r="Q179">
        <f>IF(OR($A179="",$P179&lt;&gt;"Yes"),"",$D179+ROW()/1000000)</f>
      </c>
      <c r="T179" t="str">
        <f>IF(connections!$A179="","",IFERROR(INDEX(games!$B$2:$B$1200,MATCH(connections!$A179,games!$A$2:$A$1200,0)),""))</f>
      </c>
      <c r="U179">
        <f>IF(connections!$A179="","",IFERROR(INDEX(games!$B$2:$B$1200,MATCH(connections!$B179,games!$A$2:$A$1200,0)),""))</f>
      </c>
      <c r="V179">
        <f>IF(OR($T179="",$U179=""),"",$U179-$T179)</f>
      </c>
    </row>
    <row r="180">
      <c r="A180" t="str">
        <f>IF(games!$A180="","",games!$A180)</f>
      </c>
      <c r="B180">
        <f>IF($A180="","",games!$B180)</f>
      </c>
      <c r="C180" t="str">
        <f>IF($A180="","",games!$C180)</f>
      </c>
      <c r="D180">
        <f>IF($A180="","",COUNTIF(connections!$A$2:$A$2500,$A180)+COUNTIF(connections!$B$2:$B$2500,$A180))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IF(OR($A180="",games!$H180=""),"",games!$H180)</f>
      </c>
      <c r="Q180">
        <f>IF(OR($A180="",$P180&lt;&gt;"Yes"),"",$D180+ROW()/1000000)</f>
      </c>
      <c r="T180" t="str">
        <f>IF(connections!$A180="","",IFERROR(INDEX(games!$B$2:$B$1200,MATCH(connections!$A180,games!$A$2:$A$1200,0)),""))</f>
      </c>
      <c r="U180">
        <f>IF(connections!$A180="","",IFERROR(INDEX(games!$B$2:$B$1200,MATCH(connections!$B180,games!$A$2:$A$1200,0)),""))</f>
      </c>
      <c r="V180">
        <f>IF(OR($T180="",$U180=""),"",$U180-$T180)</f>
      </c>
    </row>
    <row r="181">
      <c r="A181" t="str">
        <f>IF(games!$A181="","",games!$A181)</f>
      </c>
      <c r="B181">
        <f>IF($A181="","",games!$B181)</f>
      </c>
      <c r="C181" t="str">
        <f>IF($A181="","",games!$C181)</f>
      </c>
      <c r="D181">
        <f>IF($A181="","",COUNTIF(connections!$A$2:$A$2500,$A181)+COUNTIF(connections!$B$2:$B$2500,$A181))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IF(OR($A181="",games!$H181=""),"",games!$H181)</f>
      </c>
      <c r="Q181">
        <f>IF(OR($A181="",$P181&lt;&gt;"Yes"),"",$D181+ROW()/1000000)</f>
      </c>
      <c r="T181" t="str">
        <f>IF(connections!$A181="","",IFERROR(INDEX(games!$B$2:$B$1200,MATCH(connections!$A181,games!$A$2:$A$1200,0)),""))</f>
      </c>
      <c r="U181">
        <f>IF(connections!$A181="","",IFERROR(INDEX(games!$B$2:$B$1200,MATCH(connections!$B181,games!$A$2:$A$1200,0)),""))</f>
      </c>
      <c r="V181">
        <f>IF(OR($T181="",$U181=""),"",$U181-$T181)</f>
      </c>
    </row>
    <row r="182">
      <c r="A182" t="str">
        <f>IF(games!$A182="","",games!$A182)</f>
      </c>
      <c r="B182">
        <f>IF($A182="","",games!$B182)</f>
      </c>
      <c r="C182" t="str">
        <f>IF($A182="","",games!$C182)</f>
      </c>
      <c r="D182">
        <f>IF($A182="","",COUNTIF(connections!$A$2:$A$2500,$A182)+COUNTIF(connections!$B$2:$B$2500,$A182))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IF(OR($A182="",games!$H182=""),"",games!$H182)</f>
      </c>
      <c r="Q182">
        <f>IF(OR($A182="",$P182&lt;&gt;"Yes"),"",$D182+ROW()/1000000)</f>
      </c>
      <c r="T182" t="str">
        <f>IF(connections!$A182="","",IFERROR(INDEX(games!$B$2:$B$1200,MATCH(connections!$A182,games!$A$2:$A$1200,0)),""))</f>
      </c>
      <c r="U182">
        <f>IF(connections!$A182="","",IFERROR(INDEX(games!$B$2:$B$1200,MATCH(connections!$B182,games!$A$2:$A$1200,0)),""))</f>
      </c>
      <c r="V182">
        <f>IF(OR($T182="",$U182=""),"",$U182-$T182)</f>
      </c>
    </row>
    <row r="183">
      <c r="A183" t="str">
        <f>IF(games!$A183="","",games!$A183)</f>
      </c>
      <c r="B183">
        <f>IF($A183="","",games!$B183)</f>
      </c>
      <c r="C183" t="str">
        <f>IF($A183="","",games!$C183)</f>
      </c>
      <c r="D183">
        <f>IF($A183="","",COUNTIF(connections!$A$2:$A$2500,$A183)+COUNTIF(connections!$B$2:$B$2500,$A183))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IF(OR($A183="",games!$H183=""),"",games!$H183)</f>
      </c>
      <c r="Q183">
        <f>IF(OR($A183="",$P183&lt;&gt;"Yes"),"",$D183+ROW()/1000000)</f>
      </c>
      <c r="T183" t="str">
        <f>IF(connections!$A183="","",IFERROR(INDEX(games!$B$2:$B$1200,MATCH(connections!$A183,games!$A$2:$A$1200,0)),""))</f>
      </c>
      <c r="U183">
        <f>IF(connections!$A183="","",IFERROR(INDEX(games!$B$2:$B$1200,MATCH(connections!$B183,games!$A$2:$A$1200,0)),""))</f>
      </c>
      <c r="V183">
        <f>IF(OR($T183="",$U183=""),"",$U183-$T183)</f>
      </c>
    </row>
    <row r="184">
      <c r="A184" t="str">
        <f>IF(games!$A184="","",games!$A184)</f>
      </c>
      <c r="B184">
        <f>IF($A184="","",games!$B184)</f>
      </c>
      <c r="C184" t="str">
        <f>IF($A184="","",games!$C184)</f>
      </c>
      <c r="D184">
        <f>IF($A184="","",COUNTIF(connections!$A$2:$A$2500,$A184)+COUNTIF(connections!$B$2:$B$2500,$A184))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IF(OR($A184="",games!$H184=""),"",games!$H184)</f>
      </c>
      <c r="Q184">
        <f>IF(OR($A184="",$P184&lt;&gt;"Yes"),"",$D184+ROW()/1000000)</f>
      </c>
      <c r="T184" t="str">
        <f>IF(connections!$A184="","",IFERROR(INDEX(games!$B$2:$B$1200,MATCH(connections!$A184,games!$A$2:$A$1200,0)),""))</f>
      </c>
      <c r="U184">
        <f>IF(connections!$A184="","",IFERROR(INDEX(games!$B$2:$B$1200,MATCH(connections!$B184,games!$A$2:$A$1200,0)),""))</f>
      </c>
      <c r="V184">
        <f>IF(OR($T184="",$U184=""),"",$U184-$T184)</f>
      </c>
    </row>
    <row r="185">
      <c r="A185" t="str">
        <f>IF(games!$A185="","",games!$A185)</f>
      </c>
      <c r="B185">
        <f>IF($A185="","",games!$B185)</f>
      </c>
      <c r="C185" t="str">
        <f>IF($A185="","",games!$C185)</f>
      </c>
      <c r="D185">
        <f>IF($A185="","",COUNTIF(connections!$A$2:$A$2500,$A185)+COUNTIF(connections!$B$2:$B$2500,$A185))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IF(OR($A185="",games!$H185=""),"",games!$H185)</f>
      </c>
      <c r="Q185">
        <f>IF(OR($A185="",$P185&lt;&gt;"Yes"),"",$D185+ROW()/1000000)</f>
      </c>
      <c r="T185" t="str">
        <f>IF(connections!$A185="","",IFERROR(INDEX(games!$B$2:$B$1200,MATCH(connections!$A185,games!$A$2:$A$1200,0)),""))</f>
      </c>
      <c r="U185">
        <f>IF(connections!$A185="","",IFERROR(INDEX(games!$B$2:$B$1200,MATCH(connections!$B185,games!$A$2:$A$1200,0)),""))</f>
      </c>
      <c r="V185">
        <f>IF(OR($T185="",$U185=""),"",$U185-$T185)</f>
      </c>
    </row>
    <row r="186">
      <c r="A186" t="str">
        <f>IF(games!$A186="","",games!$A186)</f>
      </c>
      <c r="B186">
        <f>IF($A186="","",games!$B186)</f>
      </c>
      <c r="C186" t="str">
        <f>IF($A186="","",games!$C186)</f>
      </c>
      <c r="D186">
        <f>IF($A186="","",COUNTIF(connections!$A$2:$A$2500,$A186)+COUNTIF(connections!$B$2:$B$2500,$A186))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IF(OR($A186="",games!$H186=""),"",games!$H186)</f>
      </c>
      <c r="Q186">
        <f>IF(OR($A186="",$P186&lt;&gt;"Yes"),"",$D186+ROW()/1000000)</f>
      </c>
      <c r="T186" t="str">
        <f>IF(connections!$A186="","",IFERROR(INDEX(games!$B$2:$B$1200,MATCH(connections!$A186,games!$A$2:$A$1200,0)),""))</f>
      </c>
      <c r="U186">
        <f>IF(connections!$A186="","",IFERROR(INDEX(games!$B$2:$B$1200,MATCH(connections!$B186,games!$A$2:$A$1200,0)),""))</f>
      </c>
      <c r="V186">
        <f>IF(OR($T186="",$U186=""),"",$U186-$T186)</f>
      </c>
    </row>
    <row r="187">
      <c r="A187" t="str">
        <f>IF(games!$A187="","",games!$A187)</f>
      </c>
      <c r="B187">
        <f>IF($A187="","",games!$B187)</f>
      </c>
      <c r="C187" t="str">
        <f>IF($A187="","",games!$C187)</f>
      </c>
      <c r="D187">
        <f>IF($A187="","",COUNTIF(connections!$A$2:$A$2500,$A187)+COUNTIF(connections!$B$2:$B$2500,$A187))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IF(OR($A187="",games!$H187=""),"",games!$H187)</f>
      </c>
      <c r="Q187">
        <f>IF(OR($A187="",$P187&lt;&gt;"Yes"),"",$D187+ROW()/1000000)</f>
      </c>
      <c r="T187" t="str">
        <f>IF(connections!$A187="","",IFERROR(INDEX(games!$B$2:$B$1200,MATCH(connections!$A187,games!$A$2:$A$1200,0)),""))</f>
      </c>
      <c r="U187">
        <f>IF(connections!$A187="","",IFERROR(INDEX(games!$B$2:$B$1200,MATCH(connections!$B187,games!$A$2:$A$1200,0)),""))</f>
      </c>
      <c r="V187">
        <f>IF(OR($T187="",$U187=""),"",$U187-$T187)</f>
      </c>
    </row>
    <row r="188">
      <c r="A188" t="str">
        <f>IF(games!$A188="","",games!$A188)</f>
      </c>
      <c r="B188">
        <f>IF($A188="","",games!$B188)</f>
      </c>
      <c r="C188" t="str">
        <f>IF($A188="","",games!$C188)</f>
      </c>
      <c r="D188">
        <f>IF($A188="","",COUNTIF(connections!$A$2:$A$2500,$A188)+COUNTIF(connections!$B$2:$B$2500,$A188))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IF(OR($A188="",games!$H188=""),"",games!$H188)</f>
      </c>
      <c r="Q188">
        <f>IF(OR($A188="",$P188&lt;&gt;"Yes"),"",$D188+ROW()/1000000)</f>
      </c>
      <c r="T188" t="str">
        <f>IF(connections!$A188="","",IFERROR(INDEX(games!$B$2:$B$1200,MATCH(connections!$A188,games!$A$2:$A$1200,0)),""))</f>
      </c>
      <c r="U188">
        <f>IF(connections!$A188="","",IFERROR(INDEX(games!$B$2:$B$1200,MATCH(connections!$B188,games!$A$2:$A$1200,0)),""))</f>
      </c>
      <c r="V188">
        <f>IF(OR($T188="",$U188=""),"",$U188-$T188)</f>
      </c>
    </row>
    <row r="189">
      <c r="A189" t="str">
        <f>IF(games!$A189="","",games!$A189)</f>
      </c>
      <c r="B189">
        <f>IF($A189="","",games!$B189)</f>
      </c>
      <c r="C189" t="str">
        <f>IF($A189="","",games!$C189)</f>
      </c>
      <c r="D189">
        <f>IF($A189="","",COUNTIF(connections!$A$2:$A$2500,$A189)+COUNTIF(connections!$B$2:$B$2500,$A189))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IF(OR($A189="",games!$H189=""),"",games!$H189)</f>
      </c>
      <c r="Q189">
        <f>IF(OR($A189="",$P189&lt;&gt;"Yes"),"",$D189+ROW()/1000000)</f>
      </c>
      <c r="T189" t="str">
        <f>IF(connections!$A189="","",IFERROR(INDEX(games!$B$2:$B$1200,MATCH(connections!$A189,games!$A$2:$A$1200,0)),""))</f>
      </c>
      <c r="U189">
        <f>IF(connections!$A189="","",IFERROR(INDEX(games!$B$2:$B$1200,MATCH(connections!$B189,games!$A$2:$A$1200,0)),""))</f>
      </c>
      <c r="V189">
        <f>IF(OR($T189="",$U189=""),"",$U189-$T189)</f>
      </c>
    </row>
    <row r="190">
      <c r="A190" t="str">
        <f>IF(games!$A190="","",games!$A190)</f>
      </c>
      <c r="B190">
        <f>IF($A190="","",games!$B190)</f>
      </c>
      <c r="C190" t="str">
        <f>IF($A190="","",games!$C190)</f>
      </c>
      <c r="D190">
        <f>IF($A190="","",COUNTIF(connections!$A$2:$A$2500,$A190)+COUNTIF(connections!$B$2:$B$2500,$A190))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IF(OR($A190="",games!$H190=""),"",games!$H190)</f>
      </c>
      <c r="Q190">
        <f>IF(OR($A190="",$P190&lt;&gt;"Yes"),"",$D190+ROW()/1000000)</f>
      </c>
      <c r="T190" t="str">
        <f>IF(connections!$A190="","",IFERROR(INDEX(games!$B$2:$B$1200,MATCH(connections!$A190,games!$A$2:$A$1200,0)),""))</f>
      </c>
      <c r="U190">
        <f>IF(connections!$A190="","",IFERROR(INDEX(games!$B$2:$B$1200,MATCH(connections!$B190,games!$A$2:$A$1200,0)),""))</f>
      </c>
      <c r="V190">
        <f>IF(OR($T190="",$U190=""),"",$U190-$T190)</f>
      </c>
    </row>
    <row r="191">
      <c r="A191" t="str">
        <f>IF(games!$A191="","",games!$A191)</f>
      </c>
      <c r="B191">
        <f>IF($A191="","",games!$B191)</f>
      </c>
      <c r="C191" t="str">
        <f>IF($A191="","",games!$C191)</f>
      </c>
      <c r="D191">
        <f>IF($A191="","",COUNTIF(connections!$A$2:$A$2500,$A191)+COUNTIF(connections!$B$2:$B$2500,$A191))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IF(OR($A191="",games!$H191=""),"",games!$H191)</f>
      </c>
      <c r="Q191">
        <f>IF(OR($A191="",$P191&lt;&gt;"Yes"),"",$D191+ROW()/1000000)</f>
      </c>
      <c r="T191" t="str">
        <f>IF(connections!$A191="","",IFERROR(INDEX(games!$B$2:$B$1200,MATCH(connections!$A191,games!$A$2:$A$1200,0)),""))</f>
      </c>
      <c r="U191">
        <f>IF(connections!$A191="","",IFERROR(INDEX(games!$B$2:$B$1200,MATCH(connections!$B191,games!$A$2:$A$1200,0)),""))</f>
      </c>
      <c r="V191">
        <f>IF(OR($T191="",$U191=""),"",$U191-$T191)</f>
      </c>
    </row>
    <row r="192">
      <c r="A192" t="str">
        <f>IF(games!$A192="","",games!$A192)</f>
      </c>
      <c r="B192">
        <f>IF($A192="","",games!$B192)</f>
      </c>
      <c r="C192" t="str">
        <f>IF($A192="","",games!$C192)</f>
      </c>
      <c r="D192">
        <f>IF($A192="","",COUNTIF(connections!$A$2:$A$2500,$A192)+COUNTIF(connections!$B$2:$B$2500,$A192))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IF(OR($A192="",games!$H192=""),"",games!$H192)</f>
      </c>
      <c r="Q192">
        <f>IF(OR($A192="",$P192&lt;&gt;"Yes"),"",$D192+ROW()/1000000)</f>
      </c>
      <c r="T192" t="str">
        <f>IF(connections!$A192="","",IFERROR(INDEX(games!$B$2:$B$1200,MATCH(connections!$A192,games!$A$2:$A$1200,0)),""))</f>
      </c>
      <c r="U192">
        <f>IF(connections!$A192="","",IFERROR(INDEX(games!$B$2:$B$1200,MATCH(connections!$B192,games!$A$2:$A$1200,0)),""))</f>
      </c>
      <c r="V192">
        <f>IF(OR($T192="",$U192=""),"",$U192-$T192)</f>
      </c>
    </row>
    <row r="193">
      <c r="A193" t="str">
        <f>IF(games!$A193="","",games!$A193)</f>
      </c>
      <c r="B193">
        <f>IF($A193="","",games!$B193)</f>
      </c>
      <c r="C193" t="str">
        <f>IF($A193="","",games!$C193)</f>
      </c>
      <c r="D193">
        <f>IF($A193="","",COUNTIF(connections!$A$2:$A$2500,$A193)+COUNTIF(connections!$B$2:$B$2500,$A193))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IF(OR($A193="",games!$H193=""),"",games!$H193)</f>
      </c>
      <c r="Q193">
        <f>IF(OR($A193="",$P193&lt;&gt;"Yes"),"",$D193+ROW()/1000000)</f>
      </c>
      <c r="T193" t="str">
        <f>IF(connections!$A193="","",IFERROR(INDEX(games!$B$2:$B$1200,MATCH(connections!$A193,games!$A$2:$A$1200,0)),""))</f>
      </c>
      <c r="U193">
        <f>IF(connections!$A193="","",IFERROR(INDEX(games!$B$2:$B$1200,MATCH(connections!$B193,games!$A$2:$A$1200,0)),""))</f>
      </c>
      <c r="V193">
        <f>IF(OR($T193="",$U193=""),"",$U193-$T193)</f>
      </c>
    </row>
    <row r="194">
      <c r="A194" t="str">
        <f>IF(games!$A194="","",games!$A194)</f>
      </c>
      <c r="B194">
        <f>IF($A194="","",games!$B194)</f>
      </c>
      <c r="C194" t="str">
        <f>IF($A194="","",games!$C194)</f>
      </c>
      <c r="D194">
        <f>IF($A194="","",COUNTIF(connections!$A$2:$A$2500,$A194)+COUNTIF(connections!$B$2:$B$2500,$A194))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IF(OR($A194="",games!$H194=""),"",games!$H194)</f>
      </c>
      <c r="Q194">
        <f>IF(OR($A194="",$P194&lt;&gt;"Yes"),"",$D194+ROW()/1000000)</f>
      </c>
      <c r="T194" t="str">
        <f>IF(connections!$A194="","",IFERROR(INDEX(games!$B$2:$B$1200,MATCH(connections!$A194,games!$A$2:$A$1200,0)),""))</f>
      </c>
      <c r="U194">
        <f>IF(connections!$A194="","",IFERROR(INDEX(games!$B$2:$B$1200,MATCH(connections!$B194,games!$A$2:$A$1200,0)),""))</f>
      </c>
      <c r="V194">
        <f>IF(OR($T194="",$U194=""),"",$U194-$T194)</f>
      </c>
    </row>
    <row r="195">
      <c r="A195" t="str">
        <f>IF(games!$A195="","",games!$A195)</f>
      </c>
      <c r="B195">
        <f>IF($A195="","",games!$B195)</f>
      </c>
      <c r="C195" t="str">
        <f>IF($A195="","",games!$C195)</f>
      </c>
      <c r="D195">
        <f>IF($A195="","",COUNTIF(connections!$A$2:$A$2500,$A195)+COUNTIF(connections!$B$2:$B$2500,$A195))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IF(OR($A195="",games!$H195=""),"",games!$H195)</f>
      </c>
      <c r="Q195">
        <f>IF(OR($A195="",$P195&lt;&gt;"Yes"),"",$D195+ROW()/1000000)</f>
      </c>
      <c r="T195" t="str">
        <f>IF(connections!$A195="","",IFERROR(INDEX(games!$B$2:$B$1200,MATCH(connections!$A195,games!$A$2:$A$1200,0)),""))</f>
      </c>
      <c r="U195">
        <f>IF(connections!$A195="","",IFERROR(INDEX(games!$B$2:$B$1200,MATCH(connections!$B195,games!$A$2:$A$1200,0)),""))</f>
      </c>
      <c r="V195">
        <f>IF(OR($T195="",$U195=""),"",$U195-$T195)</f>
      </c>
    </row>
    <row r="196">
      <c r="A196" t="str">
        <f>IF(games!$A196="","",games!$A196)</f>
      </c>
      <c r="B196">
        <f>IF($A196="","",games!$B196)</f>
      </c>
      <c r="C196" t="str">
        <f>IF($A196="","",games!$C196)</f>
      </c>
      <c r="D196">
        <f>IF($A196="","",COUNTIF(connections!$A$2:$A$2500,$A196)+COUNTIF(connections!$B$2:$B$2500,$A196))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IF(OR($A196="",games!$H196=""),"",games!$H196)</f>
      </c>
      <c r="Q196">
        <f>IF(OR($A196="",$P196&lt;&gt;"Yes"),"",$D196+ROW()/1000000)</f>
      </c>
      <c r="T196" t="str">
        <f>IF(connections!$A196="","",IFERROR(INDEX(games!$B$2:$B$1200,MATCH(connections!$A196,games!$A$2:$A$1200,0)),""))</f>
      </c>
      <c r="U196">
        <f>IF(connections!$A196="","",IFERROR(INDEX(games!$B$2:$B$1200,MATCH(connections!$B196,games!$A$2:$A$1200,0)),""))</f>
      </c>
      <c r="V196">
        <f>IF(OR($T196="",$U196=""),"",$U196-$T196)</f>
      </c>
    </row>
    <row r="197">
      <c r="A197" t="str">
        <f>IF(games!$A197="","",games!$A197)</f>
      </c>
      <c r="B197">
        <f>IF($A197="","",games!$B197)</f>
      </c>
      <c r="C197" t="str">
        <f>IF($A197="","",games!$C197)</f>
      </c>
      <c r="D197">
        <f>IF($A197="","",COUNTIF(connections!$A$2:$A$2500,$A197)+COUNTIF(connections!$B$2:$B$2500,$A197))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IF(OR($A197="",games!$H197=""),"",games!$H197)</f>
      </c>
      <c r="Q197">
        <f>IF(OR($A197="",$P197&lt;&gt;"Yes"),"",$D197+ROW()/1000000)</f>
      </c>
      <c r="T197" t="str">
        <f>IF(connections!$A197="","",IFERROR(INDEX(games!$B$2:$B$1200,MATCH(connections!$A197,games!$A$2:$A$1200,0)),""))</f>
      </c>
      <c r="U197">
        <f>IF(connections!$A197="","",IFERROR(INDEX(games!$B$2:$B$1200,MATCH(connections!$B197,games!$A$2:$A$1200,0)),""))</f>
      </c>
      <c r="V197">
        <f>IF(OR($T197="",$U197=""),"",$U197-$T197)</f>
      </c>
    </row>
    <row r="198">
      <c r="A198" t="str">
        <f>IF(games!$A198="","",games!$A198)</f>
      </c>
      <c r="B198">
        <f>IF($A198="","",games!$B198)</f>
      </c>
      <c r="C198" t="str">
        <f>IF($A198="","",games!$C198)</f>
      </c>
      <c r="D198">
        <f>IF($A198="","",COUNTIF(connections!$A$2:$A$2500,$A198)+COUNTIF(connections!$B$2:$B$2500,$A198))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IF(OR($A198="",games!$H198=""),"",games!$H198)</f>
      </c>
      <c r="Q198">
        <f>IF(OR($A198="",$P198&lt;&gt;"Yes"),"",$D198+ROW()/1000000)</f>
      </c>
      <c r="T198" t="str">
        <f>IF(connections!$A198="","",IFERROR(INDEX(games!$B$2:$B$1200,MATCH(connections!$A198,games!$A$2:$A$1200,0)),""))</f>
      </c>
      <c r="U198">
        <f>IF(connections!$A198="","",IFERROR(INDEX(games!$B$2:$B$1200,MATCH(connections!$B198,games!$A$2:$A$1200,0)),""))</f>
      </c>
      <c r="V198">
        <f>IF(OR($T198="",$U198=""),"",$U198-$T198)</f>
      </c>
    </row>
    <row r="199">
      <c r="A199" t="str">
        <f>IF(games!$A199="","",games!$A199)</f>
      </c>
      <c r="B199">
        <f>IF($A199="","",games!$B199)</f>
      </c>
      <c r="C199" t="str">
        <f>IF($A199="","",games!$C199)</f>
      </c>
      <c r="D199">
        <f>IF($A199="","",COUNTIF(connections!$A$2:$A$2500,$A199)+COUNTIF(connections!$B$2:$B$2500,$A199))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IF(OR($A199="",games!$H199=""),"",games!$H199)</f>
      </c>
      <c r="Q199">
        <f>IF(OR($A199="",$P199&lt;&gt;"Yes"),"",$D199+ROW()/1000000)</f>
      </c>
      <c r="T199" t="str">
        <f>IF(connections!$A199="","",IFERROR(INDEX(games!$B$2:$B$1200,MATCH(connections!$A199,games!$A$2:$A$1200,0)),""))</f>
      </c>
      <c r="U199">
        <f>IF(connections!$A199="","",IFERROR(INDEX(games!$B$2:$B$1200,MATCH(connections!$B199,games!$A$2:$A$1200,0)),""))</f>
      </c>
      <c r="V199">
        <f>IF(OR($T199="",$U199=""),"",$U199-$T199)</f>
      </c>
    </row>
    <row r="200">
      <c r="A200" t="str">
        <f>IF(games!$A200="","",games!$A200)</f>
      </c>
      <c r="B200">
        <f>IF($A200="","",games!$B200)</f>
      </c>
      <c r="C200" t="str">
        <f>IF($A200="","",games!$C200)</f>
      </c>
      <c r="D200">
        <f>IF($A200="","",COUNTIF(connections!$A$2:$A$2500,$A200)+COUNTIF(connections!$B$2:$B$2500,$A200))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IF(OR($A200="",games!$H200=""),"",games!$H200)</f>
      </c>
      <c r="Q200">
        <f>IF(OR($A200="",$P200&lt;&gt;"Yes"),"",$D200+ROW()/1000000)</f>
      </c>
      <c r="T200" t="str">
        <f>IF(connections!$A200="","",IFERROR(INDEX(games!$B$2:$B$1200,MATCH(connections!$A200,games!$A$2:$A$1200,0)),""))</f>
      </c>
      <c r="U200">
        <f>IF(connections!$A200="","",IFERROR(INDEX(games!$B$2:$B$1200,MATCH(connections!$B200,games!$A$2:$A$1200,0)),""))</f>
      </c>
      <c r="V200">
        <f>IF(OR($T200="",$U200=""),"",$U200-$T200)</f>
      </c>
    </row>
    <row r="201">
      <c r="A201" t="str">
        <f>IF(games!$A201="","",games!$A201)</f>
      </c>
      <c r="B201">
        <f>IF($A201="","",games!$B201)</f>
      </c>
      <c r="C201" t="str">
        <f>IF($A201="","",games!$C201)</f>
      </c>
      <c r="D201">
        <f>IF($A201="","",COUNTIF(connections!$A$2:$A$2500,$A201)+COUNTIF(connections!$B$2:$B$2500,$A201))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IF(OR($A201="",games!$H201=""),"",games!$H201)</f>
      </c>
      <c r="Q201">
        <f>IF(OR($A201="",$P201&lt;&gt;"Yes"),"",$D201+ROW()/1000000)</f>
      </c>
      <c r="T201" t="str">
        <f>IF(connections!$A201="","",IFERROR(INDEX(games!$B$2:$B$1200,MATCH(connections!$A201,games!$A$2:$A$1200,0)),""))</f>
      </c>
      <c r="U201">
        <f>IF(connections!$A201="","",IFERROR(INDEX(games!$B$2:$B$1200,MATCH(connections!$B201,games!$A$2:$A$1200,0)),""))</f>
      </c>
      <c r="V201">
        <f>IF(OR($T201="",$U201=""),"",$U201-$T201)</f>
      </c>
    </row>
    <row r="202">
      <c r="A202" t="str">
        <f>IF(games!$A202="","",games!$A202)</f>
      </c>
      <c r="B202">
        <f>IF($A202="","",games!$B202)</f>
      </c>
      <c r="C202" t="str">
        <f>IF($A202="","",games!$C202)</f>
      </c>
      <c r="D202">
        <f>IF($A202="","",COUNTIF(connections!$A$2:$A$2500,$A202)+COUNTIF(connections!$B$2:$B$2500,$A202))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IF(OR($A202="",games!$H202=""),"",games!$H202)</f>
      </c>
      <c r="Q202">
        <f>IF(OR($A202="",$P202&lt;&gt;"Yes"),"",$D202+ROW()/1000000)</f>
      </c>
      <c r="T202" t="str">
        <f>IF(connections!$A202="","",IFERROR(INDEX(games!$B$2:$B$1200,MATCH(connections!$A202,games!$A$2:$A$1200,0)),""))</f>
      </c>
      <c r="U202">
        <f>IF(connections!$A202="","",IFERROR(INDEX(games!$B$2:$B$1200,MATCH(connections!$B202,games!$A$2:$A$1200,0)),""))</f>
      </c>
      <c r="V202">
        <f>IF(OR($T202="",$U202=""),"",$U202-$T202)</f>
      </c>
    </row>
    <row r="203">
      <c r="A203" t="str">
        <f>IF(games!$A203="","",games!$A203)</f>
      </c>
      <c r="B203">
        <f>IF($A203="","",games!$B203)</f>
      </c>
      <c r="C203" t="str">
        <f>IF($A203="","",games!$C203)</f>
      </c>
      <c r="D203">
        <f>IF($A203="","",COUNTIF(connections!$A$2:$A$2500,$A203)+COUNTIF(connections!$B$2:$B$2500,$A203))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IF(OR($A203="",games!$H203=""),"",games!$H203)</f>
      </c>
      <c r="Q203">
        <f>IF(OR($A203="",$P203&lt;&gt;"Yes"),"",$D203+ROW()/1000000)</f>
      </c>
      <c r="T203" t="str">
        <f>IF(connections!$A203="","",IFERROR(INDEX(games!$B$2:$B$1200,MATCH(connections!$A203,games!$A$2:$A$1200,0)),""))</f>
      </c>
      <c r="U203">
        <f>IF(connections!$A203="","",IFERROR(INDEX(games!$B$2:$B$1200,MATCH(connections!$B203,games!$A$2:$A$1200,0)),""))</f>
      </c>
      <c r="V203">
        <f>IF(OR($T203="",$U203=""),"",$U203-$T203)</f>
      </c>
    </row>
    <row r="204">
      <c r="A204" t="str">
        <f>IF(games!$A204="","",games!$A204)</f>
      </c>
      <c r="B204">
        <f>IF($A204="","",games!$B204)</f>
      </c>
      <c r="C204" t="str">
        <f>IF($A204="","",games!$C204)</f>
      </c>
      <c r="D204">
        <f>IF($A204="","",COUNTIF(connections!$A$2:$A$2500,$A204)+COUNTIF(connections!$B$2:$B$2500,$A204))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IF(OR($A204="",games!$H204=""),"",games!$H204)</f>
      </c>
      <c r="Q204">
        <f>IF(OR($A204="",$P204&lt;&gt;"Yes"),"",$D204+ROW()/1000000)</f>
      </c>
      <c r="T204" t="str">
        <f>IF(connections!$A204="","",IFERROR(INDEX(games!$B$2:$B$1200,MATCH(connections!$A204,games!$A$2:$A$1200,0)),""))</f>
      </c>
      <c r="U204">
        <f>IF(connections!$A204="","",IFERROR(INDEX(games!$B$2:$B$1200,MATCH(connections!$B204,games!$A$2:$A$1200,0)),""))</f>
      </c>
      <c r="V204">
        <f>IF(OR($T204="",$U204=""),"",$U204-$T204)</f>
      </c>
    </row>
    <row r="205">
      <c r="A205" t="str">
        <f>IF(games!$A205="","",games!$A205)</f>
      </c>
      <c r="B205">
        <f>IF($A205="","",games!$B205)</f>
      </c>
      <c r="C205" t="str">
        <f>IF($A205="","",games!$C205)</f>
      </c>
      <c r="D205">
        <f>IF($A205="","",COUNTIF(connections!$A$2:$A$2500,$A205)+COUNTIF(connections!$B$2:$B$2500,$A205))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IF(OR($A205="",games!$H205=""),"",games!$H205)</f>
      </c>
      <c r="Q205">
        <f>IF(OR($A205="",$P205&lt;&gt;"Yes"),"",$D205+ROW()/1000000)</f>
      </c>
      <c r="T205" t="str">
        <f>IF(connections!$A205="","",IFERROR(INDEX(games!$B$2:$B$1200,MATCH(connections!$A205,games!$A$2:$A$1200,0)),""))</f>
      </c>
      <c r="U205">
        <f>IF(connections!$A205="","",IFERROR(INDEX(games!$B$2:$B$1200,MATCH(connections!$B205,games!$A$2:$A$1200,0)),""))</f>
      </c>
      <c r="V205">
        <f>IF(OR($T205="",$U205=""),"",$U205-$T205)</f>
      </c>
    </row>
    <row r="206">
      <c r="A206" t="str">
        <f>IF(games!$A206="","",games!$A206)</f>
      </c>
      <c r="B206">
        <f>IF($A206="","",games!$B206)</f>
      </c>
      <c r="C206" t="str">
        <f>IF($A206="","",games!$C206)</f>
      </c>
      <c r="D206">
        <f>IF($A206="","",COUNTIF(connections!$A$2:$A$2500,$A206)+COUNTIF(connections!$B$2:$B$2500,$A206))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IF(OR($A206="",games!$H206=""),"",games!$H206)</f>
      </c>
      <c r="Q206">
        <f>IF(OR($A206="",$P206&lt;&gt;"Yes"),"",$D206+ROW()/1000000)</f>
      </c>
      <c r="T206" t="str">
        <f>IF(connections!$A206="","",IFERROR(INDEX(games!$B$2:$B$1200,MATCH(connections!$A206,games!$A$2:$A$1200,0)),""))</f>
      </c>
      <c r="U206">
        <f>IF(connections!$A206="","",IFERROR(INDEX(games!$B$2:$B$1200,MATCH(connections!$B206,games!$A$2:$A$1200,0)),""))</f>
      </c>
      <c r="V206">
        <f>IF(OR($T206="",$U206=""),"",$U206-$T206)</f>
      </c>
    </row>
    <row r="207">
      <c r="A207" t="str">
        <f>IF(games!$A207="","",games!$A207)</f>
      </c>
      <c r="B207">
        <f>IF($A207="","",games!$B207)</f>
      </c>
      <c r="C207" t="str">
        <f>IF($A207="","",games!$C207)</f>
      </c>
      <c r="D207">
        <f>IF($A207="","",COUNTIF(connections!$A$2:$A$2500,$A207)+COUNTIF(connections!$B$2:$B$2500,$A207))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IF(OR($A207="",games!$H207=""),"",games!$H207)</f>
      </c>
      <c r="Q207">
        <f>IF(OR($A207="",$P207&lt;&gt;"Yes"),"",$D207+ROW()/1000000)</f>
      </c>
      <c r="T207" t="str">
        <f>IF(connections!$A207="","",IFERROR(INDEX(games!$B$2:$B$1200,MATCH(connections!$A207,games!$A$2:$A$1200,0)),""))</f>
      </c>
      <c r="U207">
        <f>IF(connections!$A207="","",IFERROR(INDEX(games!$B$2:$B$1200,MATCH(connections!$B207,games!$A$2:$A$1200,0)),""))</f>
      </c>
      <c r="V207">
        <f>IF(OR($T207="",$U207=""),"",$U207-$T207)</f>
      </c>
    </row>
    <row r="208">
      <c r="A208" t="str">
        <f>IF(games!$A208="","",games!$A208)</f>
      </c>
      <c r="B208">
        <f>IF($A208="","",games!$B208)</f>
      </c>
      <c r="C208" t="str">
        <f>IF($A208="","",games!$C208)</f>
      </c>
      <c r="D208">
        <f>IF($A208="","",COUNTIF(connections!$A$2:$A$2500,$A208)+COUNTIF(connections!$B$2:$B$2500,$A208))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IF(OR($A208="",games!$H208=""),"",games!$H208)</f>
      </c>
      <c r="Q208">
        <f>IF(OR($A208="",$P208&lt;&gt;"Yes"),"",$D208+ROW()/1000000)</f>
      </c>
      <c r="T208" t="str">
        <f>IF(connections!$A208="","",IFERROR(INDEX(games!$B$2:$B$1200,MATCH(connections!$A208,games!$A$2:$A$1200,0)),""))</f>
      </c>
      <c r="U208">
        <f>IF(connections!$A208="","",IFERROR(INDEX(games!$B$2:$B$1200,MATCH(connections!$B208,games!$A$2:$A$1200,0)),""))</f>
      </c>
      <c r="V208">
        <f>IF(OR($T208="",$U208=""),"",$U208-$T208)</f>
      </c>
    </row>
    <row r="209">
      <c r="A209" t="str">
        <f>IF(games!$A209="","",games!$A209)</f>
      </c>
      <c r="B209">
        <f>IF($A209="","",games!$B209)</f>
      </c>
      <c r="C209" t="str">
        <f>IF($A209="","",games!$C209)</f>
      </c>
      <c r="D209">
        <f>IF($A209="","",COUNTIF(connections!$A$2:$A$2500,$A209)+COUNTIF(connections!$B$2:$B$2500,$A209))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IF(OR($A209="",games!$H209=""),"",games!$H209)</f>
      </c>
      <c r="Q209">
        <f>IF(OR($A209="",$P209&lt;&gt;"Yes"),"",$D209+ROW()/1000000)</f>
      </c>
      <c r="T209" t="str">
        <f>IF(connections!$A209="","",IFERROR(INDEX(games!$B$2:$B$1200,MATCH(connections!$A209,games!$A$2:$A$1200,0)),""))</f>
      </c>
      <c r="U209">
        <f>IF(connections!$A209="","",IFERROR(INDEX(games!$B$2:$B$1200,MATCH(connections!$B209,games!$A$2:$A$1200,0)),""))</f>
      </c>
      <c r="V209">
        <f>IF(OR($T209="",$U209=""),"",$U209-$T209)</f>
      </c>
    </row>
    <row r="210">
      <c r="A210" t="str">
        <f>IF(games!$A210="","",games!$A210)</f>
      </c>
      <c r="B210">
        <f>IF($A210="","",games!$B210)</f>
      </c>
      <c r="C210" t="str">
        <f>IF($A210="","",games!$C210)</f>
      </c>
      <c r="D210">
        <f>IF($A210="","",COUNTIF(connections!$A$2:$A$2500,$A210)+COUNTIF(connections!$B$2:$B$2500,$A210))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IF(OR($A210="",games!$H210=""),"",games!$H210)</f>
      </c>
      <c r="Q210">
        <f>IF(OR($A210="",$P210&lt;&gt;"Yes"),"",$D210+ROW()/1000000)</f>
      </c>
      <c r="T210" t="str">
        <f>IF(connections!$A210="","",IFERROR(INDEX(games!$B$2:$B$1200,MATCH(connections!$A210,games!$A$2:$A$1200,0)),""))</f>
      </c>
      <c r="U210">
        <f>IF(connections!$A210="","",IFERROR(INDEX(games!$B$2:$B$1200,MATCH(connections!$B210,games!$A$2:$A$1200,0)),""))</f>
      </c>
      <c r="V210">
        <f>IF(OR($T210="",$U210=""),"",$U210-$T210)</f>
      </c>
    </row>
    <row r="211">
      <c r="A211" t="str">
        <f>IF(games!$A211="","",games!$A211)</f>
      </c>
      <c r="B211">
        <f>IF($A211="","",games!$B211)</f>
      </c>
      <c r="C211" t="str">
        <f>IF($A211="","",games!$C211)</f>
      </c>
      <c r="D211">
        <f>IF($A211="","",COUNTIF(connections!$A$2:$A$2500,$A211)+COUNTIF(connections!$B$2:$B$2500,$A211))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IF(OR($A211="",games!$H211=""),"",games!$H211)</f>
      </c>
      <c r="Q211">
        <f>IF(OR($A211="",$P211&lt;&gt;"Yes"),"",$D211+ROW()/1000000)</f>
      </c>
      <c r="T211" t="str">
        <f>IF(connections!$A211="","",IFERROR(INDEX(games!$B$2:$B$1200,MATCH(connections!$A211,games!$A$2:$A$1200,0)),""))</f>
      </c>
      <c r="U211">
        <f>IF(connections!$A211="","",IFERROR(INDEX(games!$B$2:$B$1200,MATCH(connections!$B211,games!$A$2:$A$1200,0)),""))</f>
      </c>
      <c r="V211">
        <f>IF(OR($T211="",$U211=""),"",$U211-$T211)</f>
      </c>
    </row>
    <row r="212">
      <c r="A212" t="str">
        <f>IF(games!$A212="","",games!$A212)</f>
      </c>
      <c r="B212">
        <f>IF($A212="","",games!$B212)</f>
      </c>
      <c r="C212" t="str">
        <f>IF($A212="","",games!$C212)</f>
      </c>
      <c r="D212">
        <f>IF($A212="","",COUNTIF(connections!$A$2:$A$2500,$A212)+COUNTIF(connections!$B$2:$B$2500,$A212))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IF(OR($A212="",games!$H212=""),"",games!$H212)</f>
      </c>
      <c r="Q212">
        <f>IF(OR($A212="",$P212&lt;&gt;"Yes"),"",$D212+ROW()/1000000)</f>
      </c>
      <c r="T212" t="str">
        <f>IF(connections!$A212="","",IFERROR(INDEX(games!$B$2:$B$1200,MATCH(connections!$A212,games!$A$2:$A$1200,0)),""))</f>
      </c>
      <c r="U212">
        <f>IF(connections!$A212="","",IFERROR(INDEX(games!$B$2:$B$1200,MATCH(connections!$B212,games!$A$2:$A$1200,0)),""))</f>
      </c>
      <c r="V212">
        <f>IF(OR($T212="",$U212=""),"",$U212-$T212)</f>
      </c>
    </row>
    <row r="213">
      <c r="A213" t="str">
        <f>IF(games!$A213="","",games!$A213)</f>
      </c>
      <c r="B213">
        <f>IF($A213="","",games!$B213)</f>
      </c>
      <c r="C213" t="str">
        <f>IF($A213="","",games!$C213)</f>
      </c>
      <c r="D213">
        <f>IF($A213="","",COUNTIF(connections!$A$2:$A$2500,$A213)+COUNTIF(connections!$B$2:$B$2500,$A213))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IF(OR($A213="",games!$H213=""),"",games!$H213)</f>
      </c>
      <c r="Q213">
        <f>IF(OR($A213="",$P213&lt;&gt;"Yes"),"",$D213+ROW()/1000000)</f>
      </c>
      <c r="T213" t="str">
        <f>IF(connections!$A213="","",IFERROR(INDEX(games!$B$2:$B$1200,MATCH(connections!$A213,games!$A$2:$A$1200,0)),""))</f>
      </c>
      <c r="U213">
        <f>IF(connections!$A213="","",IFERROR(INDEX(games!$B$2:$B$1200,MATCH(connections!$B213,games!$A$2:$A$1200,0)),""))</f>
      </c>
      <c r="V213">
        <f>IF(OR($T213="",$U213=""),"",$U213-$T213)</f>
      </c>
    </row>
    <row r="214">
      <c r="A214" t="str">
        <f>IF(games!$A214="","",games!$A214)</f>
      </c>
      <c r="B214">
        <f>IF($A214="","",games!$B214)</f>
      </c>
      <c r="C214" t="str">
        <f>IF($A214="","",games!$C214)</f>
      </c>
      <c r="D214">
        <f>IF($A214="","",COUNTIF(connections!$A$2:$A$2500,$A214)+COUNTIF(connections!$B$2:$B$2500,$A214))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IF(OR($A214="",games!$H214=""),"",games!$H214)</f>
      </c>
      <c r="Q214">
        <f>IF(OR($A214="",$P214&lt;&gt;"Yes"),"",$D214+ROW()/1000000)</f>
      </c>
      <c r="T214" t="str">
        <f>IF(connections!$A214="","",IFERROR(INDEX(games!$B$2:$B$1200,MATCH(connections!$A214,games!$A$2:$A$1200,0)),""))</f>
      </c>
      <c r="U214">
        <f>IF(connections!$A214="","",IFERROR(INDEX(games!$B$2:$B$1200,MATCH(connections!$B214,games!$A$2:$A$1200,0)),""))</f>
      </c>
      <c r="V214">
        <f>IF(OR($T214="",$U214=""),"",$U214-$T214)</f>
      </c>
    </row>
    <row r="215">
      <c r="A215" t="str">
        <f>IF(games!$A215="","",games!$A215)</f>
      </c>
      <c r="B215">
        <f>IF($A215="","",games!$B215)</f>
      </c>
      <c r="C215" t="str">
        <f>IF($A215="","",games!$C215)</f>
      </c>
      <c r="D215">
        <f>IF($A215="","",COUNTIF(connections!$A$2:$A$2500,$A215)+COUNTIF(connections!$B$2:$B$2500,$A215))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IF(OR($A215="",games!$H215=""),"",games!$H215)</f>
      </c>
      <c r="Q215">
        <f>IF(OR($A215="",$P215&lt;&gt;"Yes"),"",$D215+ROW()/1000000)</f>
      </c>
      <c r="T215" t="str">
        <f>IF(connections!$A215="","",IFERROR(INDEX(games!$B$2:$B$1200,MATCH(connections!$A215,games!$A$2:$A$1200,0)),""))</f>
      </c>
      <c r="U215">
        <f>IF(connections!$A215="","",IFERROR(INDEX(games!$B$2:$B$1200,MATCH(connections!$B215,games!$A$2:$A$1200,0)),""))</f>
      </c>
      <c r="V215">
        <f>IF(OR($T215="",$U215=""),"",$U215-$T215)</f>
      </c>
    </row>
    <row r="216">
      <c r="A216" t="str">
        <f>IF(games!$A216="","",games!$A216)</f>
      </c>
      <c r="B216">
        <f>IF($A216="","",games!$B216)</f>
      </c>
      <c r="C216" t="str">
        <f>IF($A216="","",games!$C216)</f>
      </c>
      <c r="D216">
        <f>IF($A216="","",COUNTIF(connections!$A$2:$A$2500,$A216)+COUNTIF(connections!$B$2:$B$2500,$A216))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IF(OR($A216="",games!$H216=""),"",games!$H216)</f>
      </c>
      <c r="Q216">
        <f>IF(OR($A216="",$P216&lt;&gt;"Yes"),"",$D216+ROW()/1000000)</f>
      </c>
      <c r="T216" t="str">
        <f>IF(connections!$A216="","",IFERROR(INDEX(games!$B$2:$B$1200,MATCH(connections!$A216,games!$A$2:$A$1200,0)),""))</f>
      </c>
      <c r="U216">
        <f>IF(connections!$A216="","",IFERROR(INDEX(games!$B$2:$B$1200,MATCH(connections!$B216,games!$A$2:$A$1200,0)),""))</f>
      </c>
      <c r="V216">
        <f>IF(OR($T216="",$U216=""),"",$U216-$T216)</f>
      </c>
    </row>
    <row r="217">
      <c r="A217" t="str">
        <f>IF(games!$A217="","",games!$A217)</f>
      </c>
      <c r="B217">
        <f>IF($A217="","",games!$B217)</f>
      </c>
      <c r="C217" t="str">
        <f>IF($A217="","",games!$C217)</f>
      </c>
      <c r="D217">
        <f>IF($A217="","",COUNTIF(connections!$A$2:$A$2500,$A217)+COUNTIF(connections!$B$2:$B$2500,$A217))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IF(OR($A217="",games!$H217=""),"",games!$H217)</f>
      </c>
      <c r="Q217">
        <f>IF(OR($A217="",$P217&lt;&gt;"Yes"),"",$D217+ROW()/1000000)</f>
      </c>
      <c r="T217" t="str">
        <f>IF(connections!$A217="","",IFERROR(INDEX(games!$B$2:$B$1200,MATCH(connections!$A217,games!$A$2:$A$1200,0)),""))</f>
      </c>
      <c r="U217">
        <f>IF(connections!$A217="","",IFERROR(INDEX(games!$B$2:$B$1200,MATCH(connections!$B217,games!$A$2:$A$1200,0)),""))</f>
      </c>
      <c r="V217">
        <f>IF(OR($T217="",$U217=""),"",$U217-$T217)</f>
      </c>
    </row>
    <row r="218">
      <c r="A218" t="str">
        <f>IF(games!$A218="","",games!$A218)</f>
      </c>
      <c r="B218">
        <f>IF($A218="","",games!$B218)</f>
      </c>
      <c r="C218" t="str">
        <f>IF($A218="","",games!$C218)</f>
      </c>
      <c r="D218">
        <f>IF($A218="","",COUNTIF(connections!$A$2:$A$2500,$A218)+COUNTIF(connections!$B$2:$B$2500,$A218))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IF(OR($A218="",games!$H218=""),"",games!$H218)</f>
      </c>
      <c r="Q218">
        <f>IF(OR($A218="",$P218&lt;&gt;"Yes"),"",$D218+ROW()/1000000)</f>
      </c>
      <c r="T218" t="str">
        <f>IF(connections!$A218="","",IFERROR(INDEX(games!$B$2:$B$1200,MATCH(connections!$A218,games!$A$2:$A$1200,0)),""))</f>
      </c>
      <c r="U218">
        <f>IF(connections!$A218="","",IFERROR(INDEX(games!$B$2:$B$1200,MATCH(connections!$B218,games!$A$2:$A$1200,0)),""))</f>
      </c>
      <c r="V218">
        <f>IF(OR($T218="",$U218=""),"",$U218-$T218)</f>
      </c>
    </row>
    <row r="219">
      <c r="A219" t="str">
        <f>IF(games!$A219="","",games!$A219)</f>
      </c>
      <c r="B219">
        <f>IF($A219="","",games!$B219)</f>
      </c>
      <c r="C219" t="str">
        <f>IF($A219="","",games!$C219)</f>
      </c>
      <c r="D219">
        <f>IF($A219="","",COUNTIF(connections!$A$2:$A$2500,$A219)+COUNTIF(connections!$B$2:$B$2500,$A219))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IF(OR($A219="",games!$H219=""),"",games!$H219)</f>
      </c>
      <c r="Q219">
        <f>IF(OR($A219="",$P219&lt;&gt;"Yes"),"",$D219+ROW()/1000000)</f>
      </c>
      <c r="T219" t="str">
        <f>IF(connections!$A219="","",IFERROR(INDEX(games!$B$2:$B$1200,MATCH(connections!$A219,games!$A$2:$A$1200,0)),""))</f>
      </c>
      <c r="U219">
        <f>IF(connections!$A219="","",IFERROR(INDEX(games!$B$2:$B$1200,MATCH(connections!$B219,games!$A$2:$A$1200,0)),""))</f>
      </c>
      <c r="V219">
        <f>IF(OR($T219="",$U219=""),"",$U219-$T219)</f>
      </c>
    </row>
    <row r="220">
      <c r="A220" t="str">
        <f>IF(games!$A220="","",games!$A220)</f>
      </c>
      <c r="B220">
        <f>IF($A220="","",games!$B220)</f>
      </c>
      <c r="C220" t="str">
        <f>IF($A220="","",games!$C220)</f>
      </c>
      <c r="D220">
        <f>IF($A220="","",COUNTIF(connections!$A$2:$A$2500,$A220)+COUNTIF(connections!$B$2:$B$2500,$A220))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IF(OR($A220="",games!$H220=""),"",games!$H220)</f>
      </c>
      <c r="Q220">
        <f>IF(OR($A220="",$P220&lt;&gt;"Yes"),"",$D220+ROW()/1000000)</f>
      </c>
      <c r="T220" t="str">
        <f>IF(connections!$A220="","",IFERROR(INDEX(games!$B$2:$B$1200,MATCH(connections!$A220,games!$A$2:$A$1200,0)),""))</f>
      </c>
      <c r="U220">
        <f>IF(connections!$A220="","",IFERROR(INDEX(games!$B$2:$B$1200,MATCH(connections!$B220,games!$A$2:$A$1200,0)),""))</f>
      </c>
      <c r="V220">
        <f>IF(OR($T220="",$U220=""),"",$U220-$T220)</f>
      </c>
    </row>
    <row r="221">
      <c r="A221" t="str">
        <f>IF(games!$A221="","",games!$A221)</f>
      </c>
      <c r="B221">
        <f>IF($A221="","",games!$B221)</f>
      </c>
      <c r="C221" t="str">
        <f>IF($A221="","",games!$C221)</f>
      </c>
      <c r="D221">
        <f>IF($A221="","",COUNTIF(connections!$A$2:$A$2500,$A221)+COUNTIF(connections!$B$2:$B$2500,$A221))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IF(OR($A221="",games!$H221=""),"",games!$H221)</f>
      </c>
      <c r="Q221">
        <f>IF(OR($A221="",$P221&lt;&gt;"Yes"),"",$D221+ROW()/1000000)</f>
      </c>
      <c r="T221" t="str">
        <f>IF(connections!$A221="","",IFERROR(INDEX(games!$B$2:$B$1200,MATCH(connections!$A221,games!$A$2:$A$1200,0)),""))</f>
      </c>
      <c r="U221">
        <f>IF(connections!$A221="","",IFERROR(INDEX(games!$B$2:$B$1200,MATCH(connections!$B221,games!$A$2:$A$1200,0)),""))</f>
      </c>
      <c r="V221">
        <f>IF(OR($T221="",$U221=""),"",$U221-$T221)</f>
      </c>
    </row>
    <row r="222">
      <c r="A222" t="str">
        <f>IF(games!$A222="","",games!$A222)</f>
      </c>
      <c r="B222">
        <f>IF($A222="","",games!$B222)</f>
      </c>
      <c r="C222" t="str">
        <f>IF($A222="","",games!$C222)</f>
      </c>
      <c r="D222">
        <f>IF($A222="","",COUNTIF(connections!$A$2:$A$2500,$A222)+COUNTIF(connections!$B$2:$B$2500,$A222))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IF(OR($A222="",games!$H222=""),"",games!$H222)</f>
      </c>
      <c r="Q222">
        <f>IF(OR($A222="",$P222&lt;&gt;"Yes"),"",$D222+ROW()/1000000)</f>
      </c>
      <c r="T222" t="str">
        <f>IF(connections!$A222="","",IFERROR(INDEX(games!$B$2:$B$1200,MATCH(connections!$A222,games!$A$2:$A$1200,0)),""))</f>
      </c>
      <c r="U222">
        <f>IF(connections!$A222="","",IFERROR(INDEX(games!$B$2:$B$1200,MATCH(connections!$B222,games!$A$2:$A$1200,0)),""))</f>
      </c>
      <c r="V222">
        <f>IF(OR($T222="",$U222=""),"",$U222-$T222)</f>
      </c>
    </row>
    <row r="223">
      <c r="A223" t="str">
        <f>IF(games!$A223="","",games!$A223)</f>
      </c>
      <c r="B223">
        <f>IF($A223="","",games!$B223)</f>
      </c>
      <c r="C223" t="str">
        <f>IF($A223="","",games!$C223)</f>
      </c>
      <c r="D223">
        <f>IF($A223="","",COUNTIF(connections!$A$2:$A$2500,$A223)+COUNTIF(connections!$B$2:$B$2500,$A223))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IF(OR($A223="",games!$H223=""),"",games!$H223)</f>
      </c>
      <c r="Q223">
        <f>IF(OR($A223="",$P223&lt;&gt;"Yes"),"",$D223+ROW()/1000000)</f>
      </c>
      <c r="T223" t="str">
        <f>IF(connections!$A223="","",IFERROR(INDEX(games!$B$2:$B$1200,MATCH(connections!$A223,games!$A$2:$A$1200,0)),""))</f>
      </c>
      <c r="U223">
        <f>IF(connections!$A223="","",IFERROR(INDEX(games!$B$2:$B$1200,MATCH(connections!$B223,games!$A$2:$A$1200,0)),""))</f>
      </c>
      <c r="V223">
        <f>IF(OR($T223="",$U223=""),"",$U223-$T223)</f>
      </c>
    </row>
    <row r="224">
      <c r="A224" t="str">
        <f>IF(games!$A224="","",games!$A224)</f>
      </c>
      <c r="B224">
        <f>IF($A224="","",games!$B224)</f>
      </c>
      <c r="C224" t="str">
        <f>IF($A224="","",games!$C224)</f>
      </c>
      <c r="D224">
        <f>IF($A224="","",COUNTIF(connections!$A$2:$A$2500,$A224)+COUNTIF(connections!$B$2:$B$2500,$A224))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IF(OR($A224="",games!$H224=""),"",games!$H224)</f>
      </c>
      <c r="Q224">
        <f>IF(OR($A224="",$P224&lt;&gt;"Yes"),"",$D224+ROW()/1000000)</f>
      </c>
      <c r="T224" t="str">
        <f>IF(connections!$A224="","",IFERROR(INDEX(games!$B$2:$B$1200,MATCH(connections!$A224,games!$A$2:$A$1200,0)),""))</f>
      </c>
      <c r="U224">
        <f>IF(connections!$A224="","",IFERROR(INDEX(games!$B$2:$B$1200,MATCH(connections!$B224,games!$A$2:$A$1200,0)),""))</f>
      </c>
      <c r="V224">
        <f>IF(OR($T224="",$U224=""),"",$U224-$T224)</f>
      </c>
    </row>
    <row r="225">
      <c r="A225" t="str">
        <f>IF(games!$A225="","",games!$A225)</f>
      </c>
      <c r="B225">
        <f>IF($A225="","",games!$B225)</f>
      </c>
      <c r="C225" t="str">
        <f>IF($A225="","",games!$C225)</f>
      </c>
      <c r="D225">
        <f>IF($A225="","",COUNTIF(connections!$A$2:$A$2500,$A225)+COUNTIF(connections!$B$2:$B$2500,$A225))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IF(OR($A225="",games!$H225=""),"",games!$H225)</f>
      </c>
      <c r="Q225">
        <f>IF(OR($A225="",$P225&lt;&gt;"Yes"),"",$D225+ROW()/1000000)</f>
      </c>
      <c r="T225" t="str">
        <f>IF(connections!$A225="","",IFERROR(INDEX(games!$B$2:$B$1200,MATCH(connections!$A225,games!$A$2:$A$1200,0)),""))</f>
      </c>
      <c r="U225">
        <f>IF(connections!$A225="","",IFERROR(INDEX(games!$B$2:$B$1200,MATCH(connections!$B225,games!$A$2:$A$1200,0)),""))</f>
      </c>
      <c r="V225">
        <f>IF(OR($T225="",$U225=""),"",$U225-$T225)</f>
      </c>
    </row>
    <row r="226">
      <c r="A226" t="str">
        <f>IF(games!$A226="","",games!$A226)</f>
      </c>
      <c r="B226">
        <f>IF($A226="","",games!$B226)</f>
      </c>
      <c r="C226" t="str">
        <f>IF($A226="","",games!$C226)</f>
      </c>
      <c r="D226">
        <f>IF($A226="","",COUNTIF(connections!$A$2:$A$2500,$A226)+COUNTIF(connections!$B$2:$B$2500,$A226))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IF(OR($A226="",games!$H226=""),"",games!$H226)</f>
      </c>
      <c r="Q226">
        <f>IF(OR($A226="",$P226&lt;&gt;"Yes"),"",$D226+ROW()/1000000)</f>
      </c>
      <c r="T226" t="str">
        <f>IF(connections!$A226="","",IFERROR(INDEX(games!$B$2:$B$1200,MATCH(connections!$A226,games!$A$2:$A$1200,0)),""))</f>
      </c>
      <c r="U226">
        <f>IF(connections!$A226="","",IFERROR(INDEX(games!$B$2:$B$1200,MATCH(connections!$B226,games!$A$2:$A$1200,0)),""))</f>
      </c>
      <c r="V226">
        <f>IF(OR($T226="",$U226=""),"",$U226-$T226)</f>
      </c>
    </row>
    <row r="227">
      <c r="A227" t="str">
        <f>IF(games!$A227="","",games!$A227)</f>
      </c>
      <c r="B227">
        <f>IF($A227="","",games!$B227)</f>
      </c>
      <c r="C227" t="str">
        <f>IF($A227="","",games!$C227)</f>
      </c>
      <c r="D227">
        <f>IF($A227="","",COUNTIF(connections!$A$2:$A$2500,$A227)+COUNTIF(connections!$B$2:$B$2500,$A227))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IF(OR($A227="",games!$H227=""),"",games!$H227)</f>
      </c>
      <c r="Q227">
        <f>IF(OR($A227="",$P227&lt;&gt;"Yes"),"",$D227+ROW()/1000000)</f>
      </c>
      <c r="T227" t="str">
        <f>IF(connections!$A227="","",IFERROR(INDEX(games!$B$2:$B$1200,MATCH(connections!$A227,games!$A$2:$A$1200,0)),""))</f>
      </c>
      <c r="U227">
        <f>IF(connections!$A227="","",IFERROR(INDEX(games!$B$2:$B$1200,MATCH(connections!$B227,games!$A$2:$A$1200,0)),""))</f>
      </c>
      <c r="V227">
        <f>IF(OR($T227="",$U227=""),"",$U227-$T227)</f>
      </c>
    </row>
    <row r="228">
      <c r="A228" t="str">
        <f>IF(games!$A228="","",games!$A228)</f>
      </c>
      <c r="B228">
        <f>IF($A228="","",games!$B228)</f>
      </c>
      <c r="C228" t="str">
        <f>IF($A228="","",games!$C228)</f>
      </c>
      <c r="D228">
        <f>IF($A228="","",COUNTIF(connections!$A$2:$A$2500,$A228)+COUNTIF(connections!$B$2:$B$2500,$A228))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IF(OR($A228="",games!$H228=""),"",games!$H228)</f>
      </c>
      <c r="Q228">
        <f>IF(OR($A228="",$P228&lt;&gt;"Yes"),"",$D228+ROW()/1000000)</f>
      </c>
      <c r="T228" t="str">
        <f>IF(connections!$A228="","",IFERROR(INDEX(games!$B$2:$B$1200,MATCH(connections!$A228,games!$A$2:$A$1200,0)),""))</f>
      </c>
      <c r="U228">
        <f>IF(connections!$A228="","",IFERROR(INDEX(games!$B$2:$B$1200,MATCH(connections!$B228,games!$A$2:$A$1200,0)),""))</f>
      </c>
      <c r="V228">
        <f>IF(OR($T228="",$U228=""),"",$U228-$T228)</f>
      </c>
    </row>
    <row r="229">
      <c r="A229" t="str">
        <f>IF(games!$A229="","",games!$A229)</f>
      </c>
      <c r="B229">
        <f>IF($A229="","",games!$B229)</f>
      </c>
      <c r="C229" t="str">
        <f>IF($A229="","",games!$C229)</f>
      </c>
      <c r="D229">
        <f>IF($A229="","",COUNTIF(connections!$A$2:$A$2500,$A229)+COUNTIF(connections!$B$2:$B$2500,$A229))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IF(OR($A229="",games!$H229=""),"",games!$H229)</f>
      </c>
      <c r="Q229">
        <f>IF(OR($A229="",$P229&lt;&gt;"Yes"),"",$D229+ROW()/1000000)</f>
      </c>
      <c r="T229" t="str">
        <f>IF(connections!$A229="","",IFERROR(INDEX(games!$B$2:$B$1200,MATCH(connections!$A229,games!$A$2:$A$1200,0)),""))</f>
      </c>
      <c r="U229">
        <f>IF(connections!$A229="","",IFERROR(INDEX(games!$B$2:$B$1200,MATCH(connections!$B229,games!$A$2:$A$1200,0)),""))</f>
      </c>
      <c r="V229">
        <f>IF(OR($T229="",$U229=""),"",$U229-$T229)</f>
      </c>
    </row>
    <row r="230">
      <c r="A230" t="str">
        <f>IF(games!$A230="","",games!$A230)</f>
      </c>
      <c r="B230">
        <f>IF($A230="","",games!$B230)</f>
      </c>
      <c r="C230" t="str">
        <f>IF($A230="","",games!$C230)</f>
      </c>
      <c r="D230">
        <f>IF($A230="","",COUNTIF(connections!$A$2:$A$2500,$A230)+COUNTIF(connections!$B$2:$B$2500,$A230))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IF(OR($A230="",games!$H230=""),"",games!$H230)</f>
      </c>
      <c r="Q230">
        <f>IF(OR($A230="",$P230&lt;&gt;"Yes"),"",$D230+ROW()/1000000)</f>
      </c>
      <c r="T230" t="str">
        <f>IF(connections!$A230="","",IFERROR(INDEX(games!$B$2:$B$1200,MATCH(connections!$A230,games!$A$2:$A$1200,0)),""))</f>
      </c>
      <c r="U230">
        <f>IF(connections!$A230="","",IFERROR(INDEX(games!$B$2:$B$1200,MATCH(connections!$B230,games!$A$2:$A$1200,0)),""))</f>
      </c>
      <c r="V230">
        <f>IF(OR($T230="",$U230=""),"",$U230-$T230)</f>
      </c>
    </row>
    <row r="231">
      <c r="A231" t="str">
        <f>IF(games!$A231="","",games!$A231)</f>
      </c>
      <c r="B231">
        <f>IF($A231="","",games!$B231)</f>
      </c>
      <c r="C231" t="str">
        <f>IF($A231="","",games!$C231)</f>
      </c>
      <c r="D231">
        <f>IF($A231="","",COUNTIF(connections!$A$2:$A$2500,$A231)+COUNTIF(connections!$B$2:$B$2500,$A231))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IF(OR($A231="",games!$H231=""),"",games!$H231)</f>
      </c>
      <c r="Q231">
        <f>IF(OR($A231="",$P231&lt;&gt;"Yes"),"",$D231+ROW()/1000000)</f>
      </c>
      <c r="T231" t="str">
        <f>IF(connections!$A231="","",IFERROR(INDEX(games!$B$2:$B$1200,MATCH(connections!$A231,games!$A$2:$A$1200,0)),""))</f>
      </c>
      <c r="U231">
        <f>IF(connections!$A231="","",IFERROR(INDEX(games!$B$2:$B$1200,MATCH(connections!$B231,games!$A$2:$A$1200,0)),""))</f>
      </c>
      <c r="V231">
        <f>IF(OR($T231="",$U231=""),"",$U231-$T231)</f>
      </c>
    </row>
    <row r="232">
      <c r="A232" t="str">
        <f>IF(games!$A232="","",games!$A232)</f>
      </c>
      <c r="B232">
        <f>IF($A232="","",games!$B232)</f>
      </c>
      <c r="C232" t="str">
        <f>IF($A232="","",games!$C232)</f>
      </c>
      <c r="D232">
        <f>IF($A232="","",COUNTIF(connections!$A$2:$A$2500,$A232)+COUNTIF(connections!$B$2:$B$2500,$A232))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IF(OR($A232="",games!$H232=""),"",games!$H232)</f>
      </c>
      <c r="Q232">
        <f>IF(OR($A232="",$P232&lt;&gt;"Yes"),"",$D232+ROW()/1000000)</f>
      </c>
      <c r="T232" t="str">
        <f>IF(connections!$A232="","",IFERROR(INDEX(games!$B$2:$B$1200,MATCH(connections!$A232,games!$A$2:$A$1200,0)),""))</f>
      </c>
      <c r="U232">
        <f>IF(connections!$A232="","",IFERROR(INDEX(games!$B$2:$B$1200,MATCH(connections!$B232,games!$A$2:$A$1200,0)),""))</f>
      </c>
      <c r="V232">
        <f>IF(OR($T232="",$U232=""),"",$U232-$T232)</f>
      </c>
    </row>
    <row r="233">
      <c r="A233" t="str">
        <f>IF(games!$A233="","",games!$A233)</f>
      </c>
      <c r="B233">
        <f>IF($A233="","",games!$B233)</f>
      </c>
      <c r="C233" t="str">
        <f>IF($A233="","",games!$C233)</f>
      </c>
      <c r="D233">
        <f>IF($A233="","",COUNTIF(connections!$A$2:$A$2500,$A233)+COUNTIF(connections!$B$2:$B$2500,$A233))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IF(OR($A233="",games!$H233=""),"",games!$H233)</f>
      </c>
      <c r="Q233">
        <f>IF(OR($A233="",$P233&lt;&gt;"Yes"),"",$D233+ROW()/1000000)</f>
      </c>
      <c r="T233" t="str">
        <f>IF(connections!$A233="","",IFERROR(INDEX(games!$B$2:$B$1200,MATCH(connections!$A233,games!$A$2:$A$1200,0)),""))</f>
      </c>
      <c r="U233">
        <f>IF(connections!$A233="","",IFERROR(INDEX(games!$B$2:$B$1200,MATCH(connections!$B233,games!$A$2:$A$1200,0)),""))</f>
      </c>
      <c r="V233">
        <f>IF(OR($T233="",$U233=""),"",$U233-$T233)</f>
      </c>
    </row>
    <row r="234">
      <c r="A234" t="str">
        <f>IF(games!$A234="","",games!$A234)</f>
      </c>
      <c r="B234">
        <f>IF($A234="","",games!$B234)</f>
      </c>
      <c r="C234" t="str">
        <f>IF($A234="","",games!$C234)</f>
      </c>
      <c r="D234">
        <f>IF($A234="","",COUNTIF(connections!$A$2:$A$2500,$A234)+COUNTIF(connections!$B$2:$B$2500,$A234))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IF(OR($A234="",games!$H234=""),"",games!$H234)</f>
      </c>
      <c r="Q234">
        <f>IF(OR($A234="",$P234&lt;&gt;"Yes"),"",$D234+ROW()/1000000)</f>
      </c>
      <c r="T234" t="str">
        <f>IF(connections!$A234="","",IFERROR(INDEX(games!$B$2:$B$1200,MATCH(connections!$A234,games!$A$2:$A$1200,0)),""))</f>
      </c>
      <c r="U234">
        <f>IF(connections!$A234="","",IFERROR(INDEX(games!$B$2:$B$1200,MATCH(connections!$B234,games!$A$2:$A$1200,0)),""))</f>
      </c>
      <c r="V234">
        <f>IF(OR($T234="",$U234=""),"",$U234-$T234)</f>
      </c>
    </row>
    <row r="235">
      <c r="A235" t="str">
        <f>IF(games!$A235="","",games!$A235)</f>
      </c>
      <c r="B235">
        <f>IF($A235="","",games!$B235)</f>
      </c>
      <c r="C235" t="str">
        <f>IF($A235="","",games!$C235)</f>
      </c>
      <c r="D235">
        <f>IF($A235="","",COUNTIF(connections!$A$2:$A$2500,$A235)+COUNTIF(connections!$B$2:$B$2500,$A235))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IF(OR($A235="",games!$H235=""),"",games!$H235)</f>
      </c>
      <c r="Q235">
        <f>IF(OR($A235="",$P235&lt;&gt;"Yes"),"",$D235+ROW()/1000000)</f>
      </c>
      <c r="T235" t="str">
        <f>IF(connections!$A235="","",IFERROR(INDEX(games!$B$2:$B$1200,MATCH(connections!$A235,games!$A$2:$A$1200,0)),""))</f>
      </c>
      <c r="U235">
        <f>IF(connections!$A235="","",IFERROR(INDEX(games!$B$2:$B$1200,MATCH(connections!$B235,games!$A$2:$A$1200,0)),""))</f>
      </c>
      <c r="V235">
        <f>IF(OR($T235="",$U235=""),"",$U235-$T235)</f>
      </c>
    </row>
    <row r="236">
      <c r="A236" t="str">
        <f>IF(games!$A236="","",games!$A236)</f>
      </c>
      <c r="B236">
        <f>IF($A236="","",games!$B236)</f>
      </c>
      <c r="C236" t="str">
        <f>IF($A236="","",games!$C236)</f>
      </c>
      <c r="D236">
        <f>IF($A236="","",COUNTIF(connections!$A$2:$A$2500,$A236)+COUNTIF(connections!$B$2:$B$2500,$A236))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IF(OR($A236="",games!$H236=""),"",games!$H236)</f>
      </c>
      <c r="Q236">
        <f>IF(OR($A236="",$P236&lt;&gt;"Yes"),"",$D236+ROW()/1000000)</f>
      </c>
      <c r="T236" t="str">
        <f>IF(connections!$A236="","",IFERROR(INDEX(games!$B$2:$B$1200,MATCH(connections!$A236,games!$A$2:$A$1200,0)),""))</f>
      </c>
      <c r="U236">
        <f>IF(connections!$A236="","",IFERROR(INDEX(games!$B$2:$B$1200,MATCH(connections!$B236,games!$A$2:$A$1200,0)),""))</f>
      </c>
      <c r="V236">
        <f>IF(OR($T236="",$U236=""),"",$U236-$T236)</f>
      </c>
    </row>
    <row r="237">
      <c r="A237" t="str">
        <f>IF(games!$A237="","",games!$A237)</f>
      </c>
      <c r="B237">
        <f>IF($A237="","",games!$B237)</f>
      </c>
      <c r="C237" t="str">
        <f>IF($A237="","",games!$C237)</f>
      </c>
      <c r="D237">
        <f>IF($A237="","",COUNTIF(connections!$A$2:$A$2500,$A237)+COUNTIF(connections!$B$2:$B$2500,$A237))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IF(OR($A237="",games!$H237=""),"",games!$H237)</f>
      </c>
      <c r="Q237">
        <f>IF(OR($A237="",$P237&lt;&gt;"Yes"),"",$D237+ROW()/1000000)</f>
      </c>
      <c r="T237" t="str">
        <f>IF(connections!$A237="","",IFERROR(INDEX(games!$B$2:$B$1200,MATCH(connections!$A237,games!$A$2:$A$1200,0)),""))</f>
      </c>
      <c r="U237">
        <f>IF(connections!$A237="","",IFERROR(INDEX(games!$B$2:$B$1200,MATCH(connections!$B237,games!$A$2:$A$1200,0)),""))</f>
      </c>
      <c r="V237">
        <f>IF(OR($T237="",$U237=""),"",$U237-$T237)</f>
      </c>
    </row>
    <row r="238">
      <c r="A238" t="str">
        <f>IF(games!$A238="","",games!$A238)</f>
      </c>
      <c r="B238">
        <f>IF($A238="","",games!$B238)</f>
      </c>
      <c r="C238" t="str">
        <f>IF($A238="","",games!$C238)</f>
      </c>
      <c r="D238">
        <f>IF($A238="","",COUNTIF(connections!$A$2:$A$2500,$A238)+COUNTIF(connections!$B$2:$B$2500,$A238))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IF(OR($A238="",games!$H238=""),"",games!$H238)</f>
      </c>
      <c r="Q238">
        <f>IF(OR($A238="",$P238&lt;&gt;"Yes"),"",$D238+ROW()/1000000)</f>
      </c>
      <c r="T238" t="str">
        <f>IF(connections!$A238="","",IFERROR(INDEX(games!$B$2:$B$1200,MATCH(connections!$A238,games!$A$2:$A$1200,0)),""))</f>
      </c>
      <c r="U238">
        <f>IF(connections!$A238="","",IFERROR(INDEX(games!$B$2:$B$1200,MATCH(connections!$B238,games!$A$2:$A$1200,0)),""))</f>
      </c>
      <c r="V238">
        <f>IF(OR($T238="",$U238=""),"",$U238-$T238)</f>
      </c>
    </row>
    <row r="239">
      <c r="A239" t="str">
        <f>IF(games!$A239="","",games!$A239)</f>
      </c>
      <c r="B239">
        <f>IF($A239="","",games!$B239)</f>
      </c>
      <c r="C239" t="str">
        <f>IF($A239="","",games!$C239)</f>
      </c>
      <c r="D239">
        <f>IF($A239="","",COUNTIF(connections!$A$2:$A$2500,$A239)+COUNTIF(connections!$B$2:$B$2500,$A239))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IF(OR($A239="",games!$H239=""),"",games!$H239)</f>
      </c>
      <c r="Q239">
        <f>IF(OR($A239="",$P239&lt;&gt;"Yes"),"",$D239+ROW()/1000000)</f>
      </c>
      <c r="T239" t="str">
        <f>IF(connections!$A239="","",IFERROR(INDEX(games!$B$2:$B$1200,MATCH(connections!$A239,games!$A$2:$A$1200,0)),""))</f>
      </c>
      <c r="U239">
        <f>IF(connections!$A239="","",IFERROR(INDEX(games!$B$2:$B$1200,MATCH(connections!$B239,games!$A$2:$A$1200,0)),""))</f>
      </c>
      <c r="V239">
        <f>IF(OR($T239="",$U239=""),"",$U239-$T239)</f>
      </c>
    </row>
    <row r="240">
      <c r="A240" t="str">
        <f>IF(games!$A240="","",games!$A240)</f>
      </c>
      <c r="B240">
        <f>IF($A240="","",games!$B240)</f>
      </c>
      <c r="C240" t="str">
        <f>IF($A240="","",games!$C240)</f>
      </c>
      <c r="D240">
        <f>IF($A240="","",COUNTIF(connections!$A$2:$A$2500,$A240)+COUNTIF(connections!$B$2:$B$2500,$A240))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IF(OR($A240="",games!$H240=""),"",games!$H240)</f>
      </c>
      <c r="Q240">
        <f>IF(OR($A240="",$P240&lt;&gt;"Yes"),"",$D240+ROW()/1000000)</f>
      </c>
      <c r="T240" t="str">
        <f>IF(connections!$A240="","",IFERROR(INDEX(games!$B$2:$B$1200,MATCH(connections!$A240,games!$A$2:$A$1200,0)),""))</f>
      </c>
      <c r="U240">
        <f>IF(connections!$A240="","",IFERROR(INDEX(games!$B$2:$B$1200,MATCH(connections!$B240,games!$A$2:$A$1200,0)),""))</f>
      </c>
      <c r="V240">
        <f>IF(OR($T240="",$U240=""),"",$U240-$T240)</f>
      </c>
    </row>
    <row r="241">
      <c r="A241" t="str">
        <f>IF(games!$A241="","",games!$A241)</f>
      </c>
      <c r="B241">
        <f>IF($A241="","",games!$B241)</f>
      </c>
      <c r="C241" t="str">
        <f>IF($A241="","",games!$C241)</f>
      </c>
      <c r="D241">
        <f>IF($A241="","",COUNTIF(connections!$A$2:$A$2500,$A241)+COUNTIF(connections!$B$2:$B$2500,$A241))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IF(OR($A241="",games!$H241=""),"",games!$H241)</f>
      </c>
      <c r="Q241">
        <f>IF(OR($A241="",$P241&lt;&gt;"Yes"),"",$D241+ROW()/1000000)</f>
      </c>
      <c r="T241" t="str">
        <f>IF(connections!$A241="","",IFERROR(INDEX(games!$B$2:$B$1200,MATCH(connections!$A241,games!$A$2:$A$1200,0)),""))</f>
      </c>
      <c r="U241">
        <f>IF(connections!$A241="","",IFERROR(INDEX(games!$B$2:$B$1200,MATCH(connections!$B241,games!$A$2:$A$1200,0)),""))</f>
      </c>
      <c r="V241">
        <f>IF(OR($T241="",$U241=""),"",$U241-$T241)</f>
      </c>
    </row>
    <row r="242">
      <c r="A242" t="str">
        <f>IF(games!$A242="","",games!$A242)</f>
      </c>
      <c r="B242">
        <f>IF($A242="","",games!$B242)</f>
      </c>
      <c r="C242" t="str">
        <f>IF($A242="","",games!$C242)</f>
      </c>
      <c r="D242">
        <f>IF($A242="","",COUNTIF(connections!$A$2:$A$2500,$A242)+COUNTIF(connections!$B$2:$B$2500,$A242))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IF(OR($A242="",games!$H242=""),"",games!$H242)</f>
      </c>
      <c r="Q242">
        <f>IF(OR($A242="",$P242&lt;&gt;"Yes"),"",$D242+ROW()/1000000)</f>
      </c>
      <c r="T242" t="str">
        <f>IF(connections!$A242="","",IFERROR(INDEX(games!$B$2:$B$1200,MATCH(connections!$A242,games!$A$2:$A$1200,0)),""))</f>
      </c>
      <c r="U242">
        <f>IF(connections!$A242="","",IFERROR(INDEX(games!$B$2:$B$1200,MATCH(connections!$B242,games!$A$2:$A$1200,0)),""))</f>
      </c>
      <c r="V242">
        <f>IF(OR($T242="",$U242=""),"",$U242-$T242)</f>
      </c>
    </row>
    <row r="243">
      <c r="A243" t="str">
        <f>IF(games!$A243="","",games!$A243)</f>
      </c>
      <c r="B243">
        <f>IF($A243="","",games!$B243)</f>
      </c>
      <c r="C243" t="str">
        <f>IF($A243="","",games!$C243)</f>
      </c>
      <c r="D243">
        <f>IF($A243="","",COUNTIF(connections!$A$2:$A$2500,$A243)+COUNTIF(connections!$B$2:$B$2500,$A243))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IF(OR($A243="",games!$H243=""),"",games!$H243)</f>
      </c>
      <c r="Q243">
        <f>IF(OR($A243="",$P243&lt;&gt;"Yes"),"",$D243+ROW()/1000000)</f>
      </c>
      <c r="T243" t="str">
        <f>IF(connections!$A243="","",IFERROR(INDEX(games!$B$2:$B$1200,MATCH(connections!$A243,games!$A$2:$A$1200,0)),""))</f>
      </c>
      <c r="U243">
        <f>IF(connections!$A243="","",IFERROR(INDEX(games!$B$2:$B$1200,MATCH(connections!$B243,games!$A$2:$A$1200,0)),""))</f>
      </c>
      <c r="V243">
        <f>IF(OR($T243="",$U243=""),"",$U243-$T243)</f>
      </c>
    </row>
    <row r="244">
      <c r="A244" t="str">
        <f>IF(games!$A244="","",games!$A244)</f>
      </c>
      <c r="B244">
        <f>IF($A244="","",games!$B244)</f>
      </c>
      <c r="C244" t="str">
        <f>IF($A244="","",games!$C244)</f>
      </c>
      <c r="D244">
        <f>IF($A244="","",COUNTIF(connections!$A$2:$A$2500,$A244)+COUNTIF(connections!$B$2:$B$2500,$A244))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IF(OR($A244="",games!$H244=""),"",games!$H244)</f>
      </c>
      <c r="Q244">
        <f>IF(OR($A244="",$P244&lt;&gt;"Yes"),"",$D244+ROW()/1000000)</f>
      </c>
      <c r="T244" t="str">
        <f>IF(connections!$A244="","",IFERROR(INDEX(games!$B$2:$B$1200,MATCH(connections!$A244,games!$A$2:$A$1200,0)),""))</f>
      </c>
      <c r="U244">
        <f>IF(connections!$A244="","",IFERROR(INDEX(games!$B$2:$B$1200,MATCH(connections!$B244,games!$A$2:$A$1200,0)),""))</f>
      </c>
      <c r="V244">
        <f>IF(OR($T244="",$U244=""),"",$U244-$T244)</f>
      </c>
    </row>
    <row r="245">
      <c r="A245" t="str">
        <f>IF(games!$A245="","",games!$A245)</f>
      </c>
      <c r="B245">
        <f>IF($A245="","",games!$B245)</f>
      </c>
      <c r="C245" t="str">
        <f>IF($A245="","",games!$C245)</f>
      </c>
      <c r="D245">
        <f>IF($A245="","",COUNTIF(connections!$A$2:$A$2500,$A245)+COUNTIF(connections!$B$2:$B$2500,$A245))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IF(OR($A245="",games!$H245=""),"",games!$H245)</f>
      </c>
      <c r="Q245">
        <f>IF(OR($A245="",$P245&lt;&gt;"Yes"),"",$D245+ROW()/1000000)</f>
      </c>
      <c r="T245" t="str">
        <f>IF(connections!$A245="","",IFERROR(INDEX(games!$B$2:$B$1200,MATCH(connections!$A245,games!$A$2:$A$1200,0)),""))</f>
      </c>
      <c r="U245">
        <f>IF(connections!$A245="","",IFERROR(INDEX(games!$B$2:$B$1200,MATCH(connections!$B245,games!$A$2:$A$1200,0)),""))</f>
      </c>
      <c r="V245">
        <f>IF(OR($T245="",$U245=""),"",$U245-$T245)</f>
      </c>
    </row>
    <row r="246">
      <c r="A246" t="str">
        <f>IF(games!$A246="","",games!$A246)</f>
      </c>
      <c r="B246">
        <f>IF($A246="","",games!$B246)</f>
      </c>
      <c r="C246" t="str">
        <f>IF($A246="","",games!$C246)</f>
      </c>
      <c r="D246">
        <f>IF($A246="","",COUNTIF(connections!$A$2:$A$2500,$A246)+COUNTIF(connections!$B$2:$B$2500,$A246))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IF(OR($A246="",games!$H246=""),"",games!$H246)</f>
      </c>
      <c r="Q246">
        <f>IF(OR($A246="",$P246&lt;&gt;"Yes"),"",$D246+ROW()/1000000)</f>
      </c>
      <c r="T246" t="str">
        <f>IF(connections!$A246="","",IFERROR(INDEX(games!$B$2:$B$1200,MATCH(connections!$A246,games!$A$2:$A$1200,0)),""))</f>
      </c>
      <c r="U246">
        <f>IF(connections!$A246="","",IFERROR(INDEX(games!$B$2:$B$1200,MATCH(connections!$B246,games!$A$2:$A$1200,0)),""))</f>
      </c>
      <c r="V246">
        <f>IF(OR($T246="",$U246=""),"",$U246-$T246)</f>
      </c>
    </row>
    <row r="247">
      <c r="A247" t="str">
        <f>IF(games!$A247="","",games!$A247)</f>
      </c>
      <c r="B247">
        <f>IF($A247="","",games!$B247)</f>
      </c>
      <c r="C247" t="str">
        <f>IF($A247="","",games!$C247)</f>
      </c>
      <c r="D247">
        <f>IF($A247="","",COUNTIF(connections!$A$2:$A$2500,$A247)+COUNTIF(connections!$B$2:$B$2500,$A247))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IF(OR($A247="",games!$H247=""),"",games!$H247)</f>
      </c>
      <c r="Q247">
        <f>IF(OR($A247="",$P247&lt;&gt;"Yes"),"",$D247+ROW()/1000000)</f>
      </c>
      <c r="T247" t="str">
        <f>IF(connections!$A247="","",IFERROR(INDEX(games!$B$2:$B$1200,MATCH(connections!$A247,games!$A$2:$A$1200,0)),""))</f>
      </c>
      <c r="U247">
        <f>IF(connections!$A247="","",IFERROR(INDEX(games!$B$2:$B$1200,MATCH(connections!$B247,games!$A$2:$A$1200,0)),""))</f>
      </c>
      <c r="V247">
        <f>IF(OR($T247="",$U247=""),"",$U247-$T247)</f>
      </c>
    </row>
    <row r="248">
      <c r="A248" t="str">
        <f>IF(games!$A248="","",games!$A248)</f>
      </c>
      <c r="B248">
        <f>IF($A248="","",games!$B248)</f>
      </c>
      <c r="C248" t="str">
        <f>IF($A248="","",games!$C248)</f>
      </c>
      <c r="D248">
        <f>IF($A248="","",COUNTIF(connections!$A$2:$A$2500,$A248)+COUNTIF(connections!$B$2:$B$2500,$A248))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IF(OR($A248="",games!$H248=""),"",games!$H248)</f>
      </c>
      <c r="Q248">
        <f>IF(OR($A248="",$P248&lt;&gt;"Yes"),"",$D248+ROW()/1000000)</f>
      </c>
      <c r="T248" t="str">
        <f>IF(connections!$A248="","",IFERROR(INDEX(games!$B$2:$B$1200,MATCH(connections!$A248,games!$A$2:$A$1200,0)),""))</f>
      </c>
      <c r="U248">
        <f>IF(connections!$A248="","",IFERROR(INDEX(games!$B$2:$B$1200,MATCH(connections!$B248,games!$A$2:$A$1200,0)),""))</f>
      </c>
      <c r="V248">
        <f>IF(OR($T248="",$U248=""),"",$U248-$T248)</f>
      </c>
    </row>
    <row r="249">
      <c r="A249" t="str">
        <f>IF(games!$A249="","",games!$A249)</f>
      </c>
      <c r="B249">
        <f>IF($A249="","",games!$B249)</f>
      </c>
      <c r="C249" t="str">
        <f>IF($A249="","",games!$C249)</f>
      </c>
      <c r="D249">
        <f>IF($A249="","",COUNTIF(connections!$A$2:$A$2500,$A249)+COUNTIF(connections!$B$2:$B$2500,$A249))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IF(OR($A249="",games!$H249=""),"",games!$H249)</f>
      </c>
      <c r="Q249">
        <f>IF(OR($A249="",$P249&lt;&gt;"Yes"),"",$D249+ROW()/1000000)</f>
      </c>
      <c r="T249" t="str">
        <f>IF(connections!$A249="","",IFERROR(INDEX(games!$B$2:$B$1200,MATCH(connections!$A249,games!$A$2:$A$1200,0)),""))</f>
      </c>
      <c r="U249">
        <f>IF(connections!$A249="","",IFERROR(INDEX(games!$B$2:$B$1200,MATCH(connections!$B249,games!$A$2:$A$1200,0)),""))</f>
      </c>
      <c r="V249">
        <f>IF(OR($T249="",$U249=""),"",$U249-$T249)</f>
      </c>
    </row>
    <row r="250">
      <c r="A250" t="str">
        <f>IF(games!$A250="","",games!$A250)</f>
      </c>
      <c r="B250">
        <f>IF($A250="","",games!$B250)</f>
      </c>
      <c r="C250" t="str">
        <f>IF($A250="","",games!$C250)</f>
      </c>
      <c r="D250">
        <f>IF($A250="","",COUNTIF(connections!$A$2:$A$2500,$A250)+COUNTIF(connections!$B$2:$B$2500,$A250))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IF(OR($A250="",games!$H250=""),"",games!$H250)</f>
      </c>
      <c r="Q250">
        <f>IF(OR($A250="",$P250&lt;&gt;"Yes"),"",$D250+ROW()/1000000)</f>
      </c>
      <c r="T250" t="str">
        <f>IF(connections!$A250="","",IFERROR(INDEX(games!$B$2:$B$1200,MATCH(connections!$A250,games!$A$2:$A$1200,0)),""))</f>
      </c>
      <c r="U250">
        <f>IF(connections!$A250="","",IFERROR(INDEX(games!$B$2:$B$1200,MATCH(connections!$B250,games!$A$2:$A$1200,0)),""))</f>
      </c>
      <c r="V250">
        <f>IF(OR($T250="",$U250=""),"",$U250-$T250)</f>
      </c>
    </row>
    <row r="251">
      <c r="A251" t="str">
        <f>IF(games!$A251="","",games!$A251)</f>
      </c>
      <c r="B251">
        <f>IF($A251="","",games!$B251)</f>
      </c>
      <c r="C251" t="str">
        <f>IF($A251="","",games!$C251)</f>
      </c>
      <c r="D251">
        <f>IF($A251="","",COUNTIF(connections!$A$2:$A$2500,$A251)+COUNTIF(connections!$B$2:$B$2500,$A251))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IF(OR($A251="",games!$H251=""),"",games!$H251)</f>
      </c>
      <c r="Q251">
        <f>IF(OR($A251="",$P251&lt;&gt;"Yes"),"",$D251+ROW()/1000000)</f>
      </c>
      <c r="T251" t="str">
        <f>IF(connections!$A251="","",IFERROR(INDEX(games!$B$2:$B$1200,MATCH(connections!$A251,games!$A$2:$A$1200,0)),""))</f>
      </c>
      <c r="U251">
        <f>IF(connections!$A251="","",IFERROR(INDEX(games!$B$2:$B$1200,MATCH(connections!$B251,games!$A$2:$A$1200,0)),""))</f>
      </c>
      <c r="V251">
        <f>IF(OR($T251="",$U251=""),"",$U251-$T251)</f>
      </c>
    </row>
    <row r="252">
      <c r="A252" t="str">
        <f>IF(games!$A252="","",games!$A252)</f>
      </c>
      <c r="B252">
        <f>IF($A252="","",games!$B252)</f>
      </c>
      <c r="C252" t="str">
        <f>IF($A252="","",games!$C252)</f>
      </c>
      <c r="D252">
        <f>IF($A252="","",COUNTIF(connections!$A$2:$A$2500,$A252)+COUNTIF(connections!$B$2:$B$2500,$A252))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IF(OR($A252="",games!$H252=""),"",games!$H252)</f>
      </c>
      <c r="Q252">
        <f>IF(OR($A252="",$P252&lt;&gt;"Yes"),"",$D252+ROW()/1000000)</f>
      </c>
      <c r="T252" t="str">
        <f>IF(connections!$A252="","",IFERROR(INDEX(games!$B$2:$B$1200,MATCH(connections!$A252,games!$A$2:$A$1200,0)),""))</f>
      </c>
      <c r="U252">
        <f>IF(connections!$A252="","",IFERROR(INDEX(games!$B$2:$B$1200,MATCH(connections!$B252,games!$A$2:$A$1200,0)),""))</f>
      </c>
      <c r="V252">
        <f>IF(OR($T252="",$U252=""),"",$U252-$T252)</f>
      </c>
    </row>
    <row r="253">
      <c r="A253" t="str">
        <f>IF(games!$A253="","",games!$A253)</f>
      </c>
      <c r="B253">
        <f>IF($A253="","",games!$B253)</f>
      </c>
      <c r="C253" t="str">
        <f>IF($A253="","",games!$C253)</f>
      </c>
      <c r="D253">
        <f>IF($A253="","",COUNTIF(connections!$A$2:$A$2500,$A253)+COUNTIF(connections!$B$2:$B$2500,$A253))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IF(OR($A253="",games!$H253=""),"",games!$H253)</f>
      </c>
      <c r="Q253">
        <f>IF(OR($A253="",$P253&lt;&gt;"Yes"),"",$D253+ROW()/1000000)</f>
      </c>
      <c r="T253" t="str">
        <f>IF(connections!$A253="","",IFERROR(INDEX(games!$B$2:$B$1200,MATCH(connections!$A253,games!$A$2:$A$1200,0)),""))</f>
      </c>
      <c r="U253">
        <f>IF(connections!$A253="","",IFERROR(INDEX(games!$B$2:$B$1200,MATCH(connections!$B253,games!$A$2:$A$1200,0)),""))</f>
      </c>
      <c r="V253">
        <f>IF(OR($T253="",$U253=""),"",$U253-$T253)</f>
      </c>
    </row>
    <row r="254">
      <c r="A254" t="str">
        <f>IF(games!$A254="","",games!$A254)</f>
      </c>
      <c r="B254">
        <f>IF($A254="","",games!$B254)</f>
      </c>
      <c r="C254" t="str">
        <f>IF($A254="","",games!$C254)</f>
      </c>
      <c r="D254">
        <f>IF($A254="","",COUNTIF(connections!$A$2:$A$2500,$A254)+COUNTIF(connections!$B$2:$B$2500,$A254))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IF(OR($A254="",games!$H254=""),"",games!$H254)</f>
      </c>
      <c r="Q254">
        <f>IF(OR($A254="",$P254&lt;&gt;"Yes"),"",$D254+ROW()/1000000)</f>
      </c>
      <c r="T254" t="str">
        <f>IF(connections!$A254="","",IFERROR(INDEX(games!$B$2:$B$1200,MATCH(connections!$A254,games!$A$2:$A$1200,0)),""))</f>
      </c>
      <c r="U254">
        <f>IF(connections!$A254="","",IFERROR(INDEX(games!$B$2:$B$1200,MATCH(connections!$B254,games!$A$2:$A$1200,0)),""))</f>
      </c>
      <c r="V254">
        <f>IF(OR($T254="",$U254=""),"",$U254-$T254)</f>
      </c>
    </row>
    <row r="255">
      <c r="A255" t="str">
        <f>IF(games!$A255="","",games!$A255)</f>
      </c>
      <c r="B255">
        <f>IF($A255="","",games!$B255)</f>
      </c>
      <c r="C255" t="str">
        <f>IF($A255="","",games!$C255)</f>
      </c>
      <c r="D255">
        <f>IF($A255="","",COUNTIF(connections!$A$2:$A$2500,$A255)+COUNTIF(connections!$B$2:$B$2500,$A255))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IF(OR($A255="",games!$H255=""),"",games!$H255)</f>
      </c>
      <c r="Q255">
        <f>IF(OR($A255="",$P255&lt;&gt;"Yes"),"",$D255+ROW()/1000000)</f>
      </c>
      <c r="T255" t="str">
        <f>IF(connections!$A255="","",IFERROR(INDEX(games!$B$2:$B$1200,MATCH(connections!$A255,games!$A$2:$A$1200,0)),""))</f>
      </c>
      <c r="U255">
        <f>IF(connections!$A255="","",IFERROR(INDEX(games!$B$2:$B$1200,MATCH(connections!$B255,games!$A$2:$A$1200,0)),""))</f>
      </c>
      <c r="V255">
        <f>IF(OR($T255="",$U255=""),"",$U255-$T255)</f>
      </c>
    </row>
    <row r="256">
      <c r="A256" t="str">
        <f>IF(games!$A256="","",games!$A256)</f>
      </c>
      <c r="B256">
        <f>IF($A256="","",games!$B256)</f>
      </c>
      <c r="C256" t="str">
        <f>IF($A256="","",games!$C256)</f>
      </c>
      <c r="D256">
        <f>IF($A256="","",COUNTIF(connections!$A$2:$A$2500,$A256)+COUNTIF(connections!$B$2:$B$2500,$A256))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IF(OR($A256="",games!$H256=""),"",games!$H256)</f>
      </c>
      <c r="Q256">
        <f>IF(OR($A256="",$P256&lt;&gt;"Yes"),"",$D256+ROW()/1000000)</f>
      </c>
      <c r="T256" t="str">
        <f>IF(connections!$A256="","",IFERROR(INDEX(games!$B$2:$B$1200,MATCH(connections!$A256,games!$A$2:$A$1200,0)),""))</f>
      </c>
      <c r="U256">
        <f>IF(connections!$A256="","",IFERROR(INDEX(games!$B$2:$B$1200,MATCH(connections!$B256,games!$A$2:$A$1200,0)),""))</f>
      </c>
      <c r="V256">
        <f>IF(OR($T256="",$U256=""),"",$U256-$T256)</f>
      </c>
    </row>
    <row r="257">
      <c r="A257" t="str">
        <f>IF(games!$A257="","",games!$A257)</f>
      </c>
      <c r="B257">
        <f>IF($A257="","",games!$B257)</f>
      </c>
      <c r="C257" t="str">
        <f>IF($A257="","",games!$C257)</f>
      </c>
      <c r="D257">
        <f>IF($A257="","",COUNTIF(connections!$A$2:$A$2500,$A257)+COUNTIF(connections!$B$2:$B$2500,$A257))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IF(OR($A257="",games!$H257=""),"",games!$H257)</f>
      </c>
      <c r="Q257">
        <f>IF(OR($A257="",$P257&lt;&gt;"Yes"),"",$D257+ROW()/1000000)</f>
      </c>
      <c r="T257" t="str">
        <f>IF(connections!$A257="","",IFERROR(INDEX(games!$B$2:$B$1200,MATCH(connections!$A257,games!$A$2:$A$1200,0)),""))</f>
      </c>
      <c r="U257">
        <f>IF(connections!$A257="","",IFERROR(INDEX(games!$B$2:$B$1200,MATCH(connections!$B257,games!$A$2:$A$1200,0)),""))</f>
      </c>
      <c r="V257">
        <f>IF(OR($T257="",$U257=""),"",$U257-$T257)</f>
      </c>
    </row>
    <row r="258">
      <c r="A258" t="str">
        <f>IF(games!$A258="","",games!$A258)</f>
      </c>
      <c r="B258">
        <f>IF($A258="","",games!$B258)</f>
      </c>
      <c r="C258" t="str">
        <f>IF($A258="","",games!$C258)</f>
      </c>
      <c r="D258">
        <f>IF($A258="","",COUNTIF(connections!$A$2:$A$2500,$A258)+COUNTIF(connections!$B$2:$B$2500,$A258))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IF(OR($A258="",games!$H258=""),"",games!$H258)</f>
      </c>
      <c r="Q258">
        <f>IF(OR($A258="",$P258&lt;&gt;"Yes"),"",$D258+ROW()/1000000)</f>
      </c>
      <c r="T258" t="str">
        <f>IF(connections!$A258="","",IFERROR(INDEX(games!$B$2:$B$1200,MATCH(connections!$A258,games!$A$2:$A$1200,0)),""))</f>
      </c>
      <c r="U258">
        <f>IF(connections!$A258="","",IFERROR(INDEX(games!$B$2:$B$1200,MATCH(connections!$B258,games!$A$2:$A$1200,0)),""))</f>
      </c>
      <c r="V258">
        <f>IF(OR($T258="",$U258=""),"",$U258-$T258)</f>
      </c>
    </row>
    <row r="259">
      <c r="A259" t="str">
        <f>IF(games!$A259="","",games!$A259)</f>
      </c>
      <c r="B259">
        <f>IF($A259="","",games!$B259)</f>
      </c>
      <c r="C259" t="str">
        <f>IF($A259="","",games!$C259)</f>
      </c>
      <c r="D259">
        <f>IF($A259="","",COUNTIF(connections!$A$2:$A$2500,$A259)+COUNTIF(connections!$B$2:$B$2500,$A259))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IF(OR($A259="",games!$H259=""),"",games!$H259)</f>
      </c>
      <c r="Q259">
        <f>IF(OR($A259="",$P259&lt;&gt;"Yes"),"",$D259+ROW()/1000000)</f>
      </c>
      <c r="T259" t="str">
        <f>IF(connections!$A259="","",IFERROR(INDEX(games!$B$2:$B$1200,MATCH(connections!$A259,games!$A$2:$A$1200,0)),""))</f>
      </c>
      <c r="U259">
        <f>IF(connections!$A259="","",IFERROR(INDEX(games!$B$2:$B$1200,MATCH(connections!$B259,games!$A$2:$A$1200,0)),""))</f>
      </c>
      <c r="V259">
        <f>IF(OR($T259="",$U259=""),"",$U259-$T259)</f>
      </c>
    </row>
    <row r="260">
      <c r="A260" t="str">
        <f>IF(games!$A260="","",games!$A260)</f>
      </c>
      <c r="B260">
        <f>IF($A260="","",games!$B260)</f>
      </c>
      <c r="C260" t="str">
        <f>IF($A260="","",games!$C260)</f>
      </c>
      <c r="D260">
        <f>IF($A260="","",COUNTIF(connections!$A$2:$A$2500,$A260)+COUNTIF(connections!$B$2:$B$2500,$A260))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IF(OR($A260="",games!$H260=""),"",games!$H260)</f>
      </c>
      <c r="Q260">
        <f>IF(OR($A260="",$P260&lt;&gt;"Yes"),"",$D260+ROW()/1000000)</f>
      </c>
      <c r="T260" t="str">
        <f>IF(connections!$A260="","",IFERROR(INDEX(games!$B$2:$B$1200,MATCH(connections!$A260,games!$A$2:$A$1200,0)),""))</f>
      </c>
      <c r="U260">
        <f>IF(connections!$A260="","",IFERROR(INDEX(games!$B$2:$B$1200,MATCH(connections!$B260,games!$A$2:$A$1200,0)),""))</f>
      </c>
      <c r="V260">
        <f>IF(OR($T260="",$U260=""),"",$U260-$T260)</f>
      </c>
    </row>
    <row r="261">
      <c r="A261" t="str">
        <f>IF(games!$A261="","",games!$A261)</f>
      </c>
      <c r="B261">
        <f>IF($A261="","",games!$B261)</f>
      </c>
      <c r="C261" t="str">
        <f>IF($A261="","",games!$C261)</f>
      </c>
      <c r="D261">
        <f>IF($A261="","",COUNTIF(connections!$A$2:$A$2500,$A261)+COUNTIF(connections!$B$2:$B$2500,$A261))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IF(OR($A261="",games!$H261=""),"",games!$H261)</f>
      </c>
      <c r="Q261">
        <f>IF(OR($A261="",$P261&lt;&gt;"Yes"),"",$D261+ROW()/1000000)</f>
      </c>
      <c r="T261" t="str">
        <f>IF(connections!$A261="","",IFERROR(INDEX(games!$B$2:$B$1200,MATCH(connections!$A261,games!$A$2:$A$1200,0)),""))</f>
      </c>
      <c r="U261">
        <f>IF(connections!$A261="","",IFERROR(INDEX(games!$B$2:$B$1200,MATCH(connections!$B261,games!$A$2:$A$1200,0)),""))</f>
      </c>
      <c r="V261">
        <f>IF(OR($T261="",$U261=""),"",$U261-$T261)</f>
      </c>
    </row>
    <row r="262">
      <c r="A262" t="str">
        <f>IF(games!$A262="","",games!$A262)</f>
      </c>
      <c r="B262">
        <f>IF($A262="","",games!$B262)</f>
      </c>
      <c r="C262" t="str">
        <f>IF($A262="","",games!$C262)</f>
      </c>
      <c r="D262">
        <f>IF($A262="","",COUNTIF(connections!$A$2:$A$2500,$A262)+COUNTIF(connections!$B$2:$B$2500,$A262))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IF(OR($A262="",games!$H262=""),"",games!$H262)</f>
      </c>
      <c r="Q262">
        <f>IF(OR($A262="",$P262&lt;&gt;"Yes"),"",$D262+ROW()/1000000)</f>
      </c>
      <c r="T262" t="str">
        <f>IF(connections!$A262="","",IFERROR(INDEX(games!$B$2:$B$1200,MATCH(connections!$A262,games!$A$2:$A$1200,0)),""))</f>
      </c>
      <c r="U262">
        <f>IF(connections!$A262="","",IFERROR(INDEX(games!$B$2:$B$1200,MATCH(connections!$B262,games!$A$2:$A$1200,0)),""))</f>
      </c>
      <c r="V262">
        <f>IF(OR($T262="",$U262=""),"",$U262-$T262)</f>
      </c>
    </row>
    <row r="263">
      <c r="A263" t="str">
        <f>IF(games!$A263="","",games!$A263)</f>
      </c>
      <c r="B263">
        <f>IF($A263="","",games!$B263)</f>
      </c>
      <c r="C263" t="str">
        <f>IF($A263="","",games!$C263)</f>
      </c>
      <c r="D263">
        <f>IF($A263="","",COUNTIF(connections!$A$2:$A$2500,$A263)+COUNTIF(connections!$B$2:$B$2500,$A263))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IF(OR($A263="",games!$H263=""),"",games!$H263)</f>
      </c>
      <c r="Q263">
        <f>IF(OR($A263="",$P263&lt;&gt;"Yes"),"",$D263+ROW()/1000000)</f>
      </c>
      <c r="T263" t="str">
        <f>IF(connections!$A263="","",IFERROR(INDEX(games!$B$2:$B$1200,MATCH(connections!$A263,games!$A$2:$A$1200,0)),""))</f>
      </c>
      <c r="U263">
        <f>IF(connections!$A263="","",IFERROR(INDEX(games!$B$2:$B$1200,MATCH(connections!$B263,games!$A$2:$A$1200,0)),""))</f>
      </c>
      <c r="V263">
        <f>IF(OR($T263="",$U263=""),"",$U263-$T263)</f>
      </c>
    </row>
    <row r="264">
      <c r="A264" t="str">
        <f>IF(games!$A264="","",games!$A264)</f>
      </c>
      <c r="B264">
        <f>IF($A264="","",games!$B264)</f>
      </c>
      <c r="C264" t="str">
        <f>IF($A264="","",games!$C264)</f>
      </c>
      <c r="D264">
        <f>IF($A264="","",COUNTIF(connections!$A$2:$A$2500,$A264)+COUNTIF(connections!$B$2:$B$2500,$A264))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IF(OR($A264="",games!$H264=""),"",games!$H264)</f>
      </c>
      <c r="Q264">
        <f>IF(OR($A264="",$P264&lt;&gt;"Yes"),"",$D264+ROW()/1000000)</f>
      </c>
      <c r="T264" t="str">
        <f>IF(connections!$A264="","",IFERROR(INDEX(games!$B$2:$B$1200,MATCH(connections!$A264,games!$A$2:$A$1200,0)),""))</f>
      </c>
      <c r="U264">
        <f>IF(connections!$A264="","",IFERROR(INDEX(games!$B$2:$B$1200,MATCH(connections!$B264,games!$A$2:$A$1200,0)),""))</f>
      </c>
      <c r="V264">
        <f>IF(OR($T264="",$U264=""),"",$U264-$T264)</f>
      </c>
    </row>
    <row r="265">
      <c r="A265" t="str">
        <f>IF(games!$A265="","",games!$A265)</f>
      </c>
      <c r="B265">
        <f>IF($A265="","",games!$B265)</f>
      </c>
      <c r="C265" t="str">
        <f>IF($A265="","",games!$C265)</f>
      </c>
      <c r="D265">
        <f>IF($A265="","",COUNTIF(connections!$A$2:$A$2500,$A265)+COUNTIF(connections!$B$2:$B$2500,$A265))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IF(OR($A265="",games!$H265=""),"",games!$H265)</f>
      </c>
      <c r="Q265">
        <f>IF(OR($A265="",$P265&lt;&gt;"Yes"),"",$D265+ROW()/1000000)</f>
      </c>
      <c r="T265" t="str">
        <f>IF(connections!$A265="","",IFERROR(INDEX(games!$B$2:$B$1200,MATCH(connections!$A265,games!$A$2:$A$1200,0)),""))</f>
      </c>
      <c r="U265">
        <f>IF(connections!$A265="","",IFERROR(INDEX(games!$B$2:$B$1200,MATCH(connections!$B265,games!$A$2:$A$1200,0)),""))</f>
      </c>
      <c r="V265">
        <f>IF(OR($T265="",$U265=""),"",$U265-$T265)</f>
      </c>
    </row>
    <row r="266">
      <c r="A266" t="str">
        <f>IF(games!$A266="","",games!$A266)</f>
      </c>
      <c r="B266">
        <f>IF($A266="","",games!$B266)</f>
      </c>
      <c r="C266" t="str">
        <f>IF($A266="","",games!$C266)</f>
      </c>
      <c r="D266">
        <f>IF($A266="","",COUNTIF(connections!$A$2:$A$2500,$A266)+COUNTIF(connections!$B$2:$B$2500,$A266))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IF(OR($A266="",games!$H266=""),"",games!$H266)</f>
      </c>
      <c r="Q266">
        <f>IF(OR($A266="",$P266&lt;&gt;"Yes"),"",$D266+ROW()/1000000)</f>
      </c>
      <c r="T266" t="str">
        <f>IF(connections!$A266="","",IFERROR(INDEX(games!$B$2:$B$1200,MATCH(connections!$A266,games!$A$2:$A$1200,0)),""))</f>
      </c>
      <c r="U266">
        <f>IF(connections!$A266="","",IFERROR(INDEX(games!$B$2:$B$1200,MATCH(connections!$B266,games!$A$2:$A$1200,0)),""))</f>
      </c>
      <c r="V266">
        <f>IF(OR($T266="",$U266=""),"",$U266-$T266)</f>
      </c>
    </row>
    <row r="267">
      <c r="A267" t="str">
        <f>IF(games!$A267="","",games!$A267)</f>
      </c>
      <c r="B267">
        <f>IF($A267="","",games!$B267)</f>
      </c>
      <c r="C267" t="str">
        <f>IF($A267="","",games!$C267)</f>
      </c>
      <c r="D267">
        <f>IF($A267="","",COUNTIF(connections!$A$2:$A$2500,$A267)+COUNTIF(connections!$B$2:$B$2500,$A267))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IF(OR($A267="",games!$H267=""),"",games!$H267)</f>
      </c>
      <c r="Q267">
        <f>IF(OR($A267="",$P267&lt;&gt;"Yes"),"",$D267+ROW()/1000000)</f>
      </c>
      <c r="T267" t="str">
        <f>IF(connections!$A267="","",IFERROR(INDEX(games!$B$2:$B$1200,MATCH(connections!$A267,games!$A$2:$A$1200,0)),""))</f>
      </c>
      <c r="U267">
        <f>IF(connections!$A267="","",IFERROR(INDEX(games!$B$2:$B$1200,MATCH(connections!$B267,games!$A$2:$A$1200,0)),""))</f>
      </c>
      <c r="V267">
        <f>IF(OR($T267="",$U267=""),"",$U267-$T267)</f>
      </c>
    </row>
    <row r="268">
      <c r="A268" t="str">
        <f>IF(games!$A268="","",games!$A268)</f>
      </c>
      <c r="B268">
        <f>IF($A268="","",games!$B268)</f>
      </c>
      <c r="C268" t="str">
        <f>IF($A268="","",games!$C268)</f>
      </c>
      <c r="D268">
        <f>IF($A268="","",COUNTIF(connections!$A$2:$A$2500,$A268)+COUNTIF(connections!$B$2:$B$2500,$A268))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IF(OR($A268="",games!$H268=""),"",games!$H268)</f>
      </c>
      <c r="Q268">
        <f>IF(OR($A268="",$P268&lt;&gt;"Yes"),"",$D268+ROW()/1000000)</f>
      </c>
      <c r="T268" t="str">
        <f>IF(connections!$A268="","",IFERROR(INDEX(games!$B$2:$B$1200,MATCH(connections!$A268,games!$A$2:$A$1200,0)),""))</f>
      </c>
      <c r="U268">
        <f>IF(connections!$A268="","",IFERROR(INDEX(games!$B$2:$B$1200,MATCH(connections!$B268,games!$A$2:$A$1200,0)),""))</f>
      </c>
      <c r="V268">
        <f>IF(OR($T268="",$U268=""),"",$U268-$T268)</f>
      </c>
    </row>
    <row r="269">
      <c r="A269" t="str">
        <f>IF(games!$A269="","",games!$A269)</f>
      </c>
      <c r="B269">
        <f>IF($A269="","",games!$B269)</f>
      </c>
      <c r="C269" t="str">
        <f>IF($A269="","",games!$C269)</f>
      </c>
      <c r="D269">
        <f>IF($A269="","",COUNTIF(connections!$A$2:$A$2500,$A269)+COUNTIF(connections!$B$2:$B$2500,$A269))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IF(OR($A269="",games!$H269=""),"",games!$H269)</f>
      </c>
      <c r="Q269">
        <f>IF(OR($A269="",$P269&lt;&gt;"Yes"),"",$D269+ROW()/1000000)</f>
      </c>
      <c r="T269" t="str">
        <f>IF(connections!$A269="","",IFERROR(INDEX(games!$B$2:$B$1200,MATCH(connections!$A269,games!$A$2:$A$1200,0)),""))</f>
      </c>
      <c r="U269">
        <f>IF(connections!$A269="","",IFERROR(INDEX(games!$B$2:$B$1200,MATCH(connections!$B269,games!$A$2:$A$1200,0)),""))</f>
      </c>
      <c r="V269">
        <f>IF(OR($T269="",$U269=""),"",$U269-$T269)</f>
      </c>
    </row>
    <row r="270">
      <c r="A270" t="str">
        <f>IF(games!$A270="","",games!$A270)</f>
      </c>
      <c r="B270">
        <f>IF($A270="","",games!$B270)</f>
      </c>
      <c r="C270" t="str">
        <f>IF($A270="","",games!$C270)</f>
      </c>
      <c r="D270">
        <f>IF($A270="","",COUNTIF(connections!$A$2:$A$2500,$A270)+COUNTIF(connections!$B$2:$B$2500,$A270))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IF(OR($A270="",games!$H270=""),"",games!$H270)</f>
      </c>
      <c r="Q270">
        <f>IF(OR($A270="",$P270&lt;&gt;"Yes"),"",$D270+ROW()/1000000)</f>
      </c>
      <c r="T270" t="str">
        <f>IF(connections!$A270="","",IFERROR(INDEX(games!$B$2:$B$1200,MATCH(connections!$A270,games!$A$2:$A$1200,0)),""))</f>
      </c>
      <c r="U270">
        <f>IF(connections!$A270="","",IFERROR(INDEX(games!$B$2:$B$1200,MATCH(connections!$B270,games!$A$2:$A$1200,0)),""))</f>
      </c>
      <c r="V270">
        <f>IF(OR($T270="",$U270=""),"",$U270-$T270)</f>
      </c>
    </row>
    <row r="271">
      <c r="A271" t="str">
        <f>IF(games!$A271="","",games!$A271)</f>
      </c>
      <c r="B271">
        <f>IF($A271="","",games!$B271)</f>
      </c>
      <c r="C271" t="str">
        <f>IF($A271="","",games!$C271)</f>
      </c>
      <c r="D271">
        <f>IF($A271="","",COUNTIF(connections!$A$2:$A$2500,$A271)+COUNTIF(connections!$B$2:$B$2500,$A271))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IF(OR($A271="",games!$H271=""),"",games!$H271)</f>
      </c>
      <c r="Q271">
        <f>IF(OR($A271="",$P271&lt;&gt;"Yes"),"",$D271+ROW()/1000000)</f>
      </c>
      <c r="T271" t="str">
        <f>IF(connections!$A271="","",IFERROR(INDEX(games!$B$2:$B$1200,MATCH(connections!$A271,games!$A$2:$A$1200,0)),""))</f>
      </c>
      <c r="U271">
        <f>IF(connections!$A271="","",IFERROR(INDEX(games!$B$2:$B$1200,MATCH(connections!$B271,games!$A$2:$A$1200,0)),""))</f>
      </c>
      <c r="V271">
        <f>IF(OR($T271="",$U271=""),"",$U271-$T271)</f>
      </c>
    </row>
    <row r="272">
      <c r="A272" t="str">
        <f>IF(games!$A272="","",games!$A272)</f>
      </c>
      <c r="B272">
        <f>IF($A272="","",games!$B272)</f>
      </c>
      <c r="C272" t="str">
        <f>IF($A272="","",games!$C272)</f>
      </c>
      <c r="D272">
        <f>IF($A272="","",COUNTIF(connections!$A$2:$A$2500,$A272)+COUNTIF(connections!$B$2:$B$2500,$A272))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IF(OR($A272="",games!$H272=""),"",games!$H272)</f>
      </c>
      <c r="Q272">
        <f>IF(OR($A272="",$P272&lt;&gt;"Yes"),"",$D272+ROW()/1000000)</f>
      </c>
      <c r="T272" t="str">
        <f>IF(connections!$A272="","",IFERROR(INDEX(games!$B$2:$B$1200,MATCH(connections!$A272,games!$A$2:$A$1200,0)),""))</f>
      </c>
      <c r="U272">
        <f>IF(connections!$A272="","",IFERROR(INDEX(games!$B$2:$B$1200,MATCH(connections!$B272,games!$A$2:$A$1200,0)),""))</f>
      </c>
      <c r="V272">
        <f>IF(OR($T272="",$U272=""),"",$U272-$T272)</f>
      </c>
    </row>
    <row r="273">
      <c r="A273" t="str">
        <f>IF(games!$A273="","",games!$A273)</f>
      </c>
      <c r="B273">
        <f>IF($A273="","",games!$B273)</f>
      </c>
      <c r="C273" t="str">
        <f>IF($A273="","",games!$C273)</f>
      </c>
      <c r="D273">
        <f>IF($A273="","",COUNTIF(connections!$A$2:$A$2500,$A273)+COUNTIF(connections!$B$2:$B$2500,$A273))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IF(OR($A273="",games!$H273=""),"",games!$H273)</f>
      </c>
      <c r="Q273">
        <f>IF(OR($A273="",$P273&lt;&gt;"Yes"),"",$D273+ROW()/1000000)</f>
      </c>
      <c r="T273" t="str">
        <f>IF(connections!$A273="","",IFERROR(INDEX(games!$B$2:$B$1200,MATCH(connections!$A273,games!$A$2:$A$1200,0)),""))</f>
      </c>
      <c r="U273">
        <f>IF(connections!$A273="","",IFERROR(INDEX(games!$B$2:$B$1200,MATCH(connections!$B273,games!$A$2:$A$1200,0)),""))</f>
      </c>
      <c r="V273">
        <f>IF(OR($T273="",$U273=""),"",$U273-$T273)</f>
      </c>
    </row>
    <row r="274">
      <c r="A274" t="str">
        <f>IF(games!$A274="","",games!$A274)</f>
      </c>
      <c r="B274">
        <f>IF($A274="","",games!$B274)</f>
      </c>
      <c r="C274" t="str">
        <f>IF($A274="","",games!$C274)</f>
      </c>
      <c r="D274">
        <f>IF($A274="","",COUNTIF(connections!$A$2:$A$2500,$A274)+COUNTIF(connections!$B$2:$B$2500,$A274))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IF(OR($A274="",games!$H274=""),"",games!$H274)</f>
      </c>
      <c r="Q274">
        <f>IF(OR($A274="",$P274&lt;&gt;"Yes"),"",$D274+ROW()/1000000)</f>
      </c>
      <c r="T274" t="str">
        <f>IF(connections!$A274="","",IFERROR(INDEX(games!$B$2:$B$1200,MATCH(connections!$A274,games!$A$2:$A$1200,0)),""))</f>
      </c>
      <c r="U274">
        <f>IF(connections!$A274="","",IFERROR(INDEX(games!$B$2:$B$1200,MATCH(connections!$B274,games!$A$2:$A$1200,0)),""))</f>
      </c>
      <c r="V274">
        <f>IF(OR($T274="",$U274=""),"",$U274-$T274)</f>
      </c>
    </row>
    <row r="275">
      <c r="A275" t="str">
        <f>IF(games!$A275="","",games!$A275)</f>
      </c>
      <c r="B275">
        <f>IF($A275="","",games!$B275)</f>
      </c>
      <c r="C275" t="str">
        <f>IF($A275="","",games!$C275)</f>
      </c>
      <c r="D275">
        <f>IF($A275="","",COUNTIF(connections!$A$2:$A$2500,$A275)+COUNTIF(connections!$B$2:$B$2500,$A275))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IF(OR($A275="",games!$H275=""),"",games!$H275)</f>
      </c>
      <c r="Q275">
        <f>IF(OR($A275="",$P275&lt;&gt;"Yes"),"",$D275+ROW()/1000000)</f>
      </c>
      <c r="T275" t="str">
        <f>IF(connections!$A275="","",IFERROR(INDEX(games!$B$2:$B$1200,MATCH(connections!$A275,games!$A$2:$A$1200,0)),""))</f>
      </c>
      <c r="U275">
        <f>IF(connections!$A275="","",IFERROR(INDEX(games!$B$2:$B$1200,MATCH(connections!$B275,games!$A$2:$A$1200,0)),""))</f>
      </c>
      <c r="V275">
        <f>IF(OR($T275="",$U275=""),"",$U275-$T275)</f>
      </c>
    </row>
    <row r="276">
      <c r="A276" t="str">
        <f>IF(games!$A276="","",games!$A276)</f>
      </c>
      <c r="B276">
        <f>IF($A276="","",games!$B276)</f>
      </c>
      <c r="C276" t="str">
        <f>IF($A276="","",games!$C276)</f>
      </c>
      <c r="D276">
        <f>IF($A276="","",COUNTIF(connections!$A$2:$A$2500,$A276)+COUNTIF(connections!$B$2:$B$2500,$A276))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IF(OR($A276="",games!$H276=""),"",games!$H276)</f>
      </c>
      <c r="Q276">
        <f>IF(OR($A276="",$P276&lt;&gt;"Yes"),"",$D276+ROW()/1000000)</f>
      </c>
      <c r="T276" t="str">
        <f>IF(connections!$A276="","",IFERROR(INDEX(games!$B$2:$B$1200,MATCH(connections!$A276,games!$A$2:$A$1200,0)),""))</f>
      </c>
      <c r="U276">
        <f>IF(connections!$A276="","",IFERROR(INDEX(games!$B$2:$B$1200,MATCH(connections!$B276,games!$A$2:$A$1200,0)),""))</f>
      </c>
      <c r="V276">
        <f>IF(OR($T276="",$U276=""),"",$U276-$T276)</f>
      </c>
    </row>
    <row r="277">
      <c r="A277" t="str">
        <f>IF(games!$A277="","",games!$A277)</f>
      </c>
      <c r="B277">
        <f>IF($A277="","",games!$B277)</f>
      </c>
      <c r="C277" t="str">
        <f>IF($A277="","",games!$C277)</f>
      </c>
      <c r="D277">
        <f>IF($A277="","",COUNTIF(connections!$A$2:$A$2500,$A277)+COUNTIF(connections!$B$2:$B$2500,$A277))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IF(OR($A277="",games!$H277=""),"",games!$H277)</f>
      </c>
      <c r="Q277">
        <f>IF(OR($A277="",$P277&lt;&gt;"Yes"),"",$D277+ROW()/1000000)</f>
      </c>
      <c r="T277" t="str">
        <f>IF(connections!$A277="","",IFERROR(INDEX(games!$B$2:$B$1200,MATCH(connections!$A277,games!$A$2:$A$1200,0)),""))</f>
      </c>
      <c r="U277">
        <f>IF(connections!$A277="","",IFERROR(INDEX(games!$B$2:$B$1200,MATCH(connections!$B277,games!$A$2:$A$1200,0)),""))</f>
      </c>
      <c r="V277">
        <f>IF(OR($T277="",$U277=""),"",$U277-$T277)</f>
      </c>
    </row>
    <row r="278">
      <c r="A278" t="str">
        <f>IF(games!$A278="","",games!$A278)</f>
      </c>
      <c r="B278">
        <f>IF($A278="","",games!$B278)</f>
      </c>
      <c r="C278" t="str">
        <f>IF($A278="","",games!$C278)</f>
      </c>
      <c r="D278">
        <f>IF($A278="","",COUNTIF(connections!$A$2:$A$2500,$A278)+COUNTIF(connections!$B$2:$B$2500,$A278))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IF(OR($A278="",games!$H278=""),"",games!$H278)</f>
      </c>
      <c r="Q278">
        <f>IF(OR($A278="",$P278&lt;&gt;"Yes"),"",$D278+ROW()/1000000)</f>
      </c>
      <c r="T278" t="str">
        <f>IF(connections!$A278="","",IFERROR(INDEX(games!$B$2:$B$1200,MATCH(connections!$A278,games!$A$2:$A$1200,0)),""))</f>
      </c>
      <c r="U278">
        <f>IF(connections!$A278="","",IFERROR(INDEX(games!$B$2:$B$1200,MATCH(connections!$B278,games!$A$2:$A$1200,0)),""))</f>
      </c>
      <c r="V278">
        <f>IF(OR($T278="",$U278=""),"",$U278-$T278)</f>
      </c>
    </row>
    <row r="279">
      <c r="A279" t="str">
        <f>IF(games!$A279="","",games!$A279)</f>
      </c>
      <c r="B279">
        <f>IF($A279="","",games!$B279)</f>
      </c>
      <c r="C279" t="str">
        <f>IF($A279="","",games!$C279)</f>
      </c>
      <c r="D279">
        <f>IF($A279="","",COUNTIF(connections!$A$2:$A$2500,$A279)+COUNTIF(connections!$B$2:$B$2500,$A279))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IF(OR($A279="",games!$H279=""),"",games!$H279)</f>
      </c>
      <c r="Q279">
        <f>IF(OR($A279="",$P279&lt;&gt;"Yes"),"",$D279+ROW()/1000000)</f>
      </c>
      <c r="T279" t="str">
        <f>IF(connections!$A279="","",IFERROR(INDEX(games!$B$2:$B$1200,MATCH(connections!$A279,games!$A$2:$A$1200,0)),""))</f>
      </c>
      <c r="U279">
        <f>IF(connections!$A279="","",IFERROR(INDEX(games!$B$2:$B$1200,MATCH(connections!$B279,games!$A$2:$A$1200,0)),""))</f>
      </c>
      <c r="V279">
        <f>IF(OR($T279="",$U279=""),"",$U279-$T279)</f>
      </c>
    </row>
    <row r="280">
      <c r="A280" t="str">
        <f>IF(games!$A280="","",games!$A280)</f>
      </c>
      <c r="B280">
        <f>IF($A280="","",games!$B280)</f>
      </c>
      <c r="C280" t="str">
        <f>IF($A280="","",games!$C280)</f>
      </c>
      <c r="D280">
        <f>IF($A280="","",COUNTIF(connections!$A$2:$A$2500,$A280)+COUNTIF(connections!$B$2:$B$2500,$A280))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IF(OR($A280="",games!$H280=""),"",games!$H280)</f>
      </c>
      <c r="Q280">
        <f>IF(OR($A280="",$P280&lt;&gt;"Yes"),"",$D280+ROW()/1000000)</f>
      </c>
      <c r="T280" t="str">
        <f>IF(connections!$A280="","",IFERROR(INDEX(games!$B$2:$B$1200,MATCH(connections!$A280,games!$A$2:$A$1200,0)),""))</f>
      </c>
      <c r="U280">
        <f>IF(connections!$A280="","",IFERROR(INDEX(games!$B$2:$B$1200,MATCH(connections!$B280,games!$A$2:$A$1200,0)),""))</f>
      </c>
      <c r="V280">
        <f>IF(OR($T280="",$U280=""),"",$U280-$T280)</f>
      </c>
    </row>
    <row r="281">
      <c r="A281" t="str">
        <f>IF(games!$A281="","",games!$A281)</f>
      </c>
      <c r="B281">
        <f>IF($A281="","",games!$B281)</f>
      </c>
      <c r="C281" t="str">
        <f>IF($A281="","",games!$C281)</f>
      </c>
      <c r="D281">
        <f>IF($A281="","",COUNTIF(connections!$A$2:$A$2500,$A281)+COUNTIF(connections!$B$2:$B$2500,$A281))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IF(OR($A281="",games!$H281=""),"",games!$H281)</f>
      </c>
      <c r="Q281">
        <f>IF(OR($A281="",$P281&lt;&gt;"Yes"),"",$D281+ROW()/1000000)</f>
      </c>
      <c r="T281" t="str">
        <f>IF(connections!$A281="","",IFERROR(INDEX(games!$B$2:$B$1200,MATCH(connections!$A281,games!$A$2:$A$1200,0)),""))</f>
      </c>
      <c r="U281">
        <f>IF(connections!$A281="","",IFERROR(INDEX(games!$B$2:$B$1200,MATCH(connections!$B281,games!$A$2:$A$1200,0)),""))</f>
      </c>
      <c r="V281">
        <f>IF(OR($T281="",$U281=""),"",$U281-$T281)</f>
      </c>
    </row>
    <row r="282">
      <c r="A282" t="str">
        <f>IF(games!$A282="","",games!$A282)</f>
      </c>
      <c r="B282">
        <f>IF($A282="","",games!$B282)</f>
      </c>
      <c r="C282" t="str">
        <f>IF($A282="","",games!$C282)</f>
      </c>
      <c r="D282">
        <f>IF($A282="","",COUNTIF(connections!$A$2:$A$2500,$A282)+COUNTIF(connections!$B$2:$B$2500,$A282))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IF(OR($A282="",games!$H282=""),"",games!$H282)</f>
      </c>
      <c r="Q282">
        <f>IF(OR($A282="",$P282&lt;&gt;"Yes"),"",$D282+ROW()/1000000)</f>
      </c>
      <c r="T282" t="str">
        <f>IF(connections!$A282="","",IFERROR(INDEX(games!$B$2:$B$1200,MATCH(connections!$A282,games!$A$2:$A$1200,0)),""))</f>
      </c>
      <c r="U282">
        <f>IF(connections!$A282="","",IFERROR(INDEX(games!$B$2:$B$1200,MATCH(connections!$B282,games!$A$2:$A$1200,0)),""))</f>
      </c>
      <c r="V282">
        <f>IF(OR($T282="",$U282=""),"",$U282-$T282)</f>
      </c>
    </row>
    <row r="283">
      <c r="A283" t="str">
        <f>IF(games!$A283="","",games!$A283)</f>
      </c>
      <c r="B283">
        <f>IF($A283="","",games!$B283)</f>
      </c>
      <c r="C283" t="str">
        <f>IF($A283="","",games!$C283)</f>
      </c>
      <c r="D283">
        <f>IF($A283="","",COUNTIF(connections!$A$2:$A$2500,$A283)+COUNTIF(connections!$B$2:$B$2500,$A283))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IF(OR($A283="",games!$H283=""),"",games!$H283)</f>
      </c>
      <c r="Q283">
        <f>IF(OR($A283="",$P283&lt;&gt;"Yes"),"",$D283+ROW()/1000000)</f>
      </c>
      <c r="T283" t="str">
        <f>IF(connections!$A283="","",IFERROR(INDEX(games!$B$2:$B$1200,MATCH(connections!$A283,games!$A$2:$A$1200,0)),""))</f>
      </c>
      <c r="U283">
        <f>IF(connections!$A283="","",IFERROR(INDEX(games!$B$2:$B$1200,MATCH(connections!$B283,games!$A$2:$A$1200,0)),""))</f>
      </c>
      <c r="V283">
        <f>IF(OR($T283="",$U283=""),"",$U283-$T283)</f>
      </c>
    </row>
    <row r="284">
      <c r="A284" t="str">
        <f>IF(games!$A284="","",games!$A284)</f>
      </c>
      <c r="B284">
        <f>IF($A284="","",games!$B284)</f>
      </c>
      <c r="C284" t="str">
        <f>IF($A284="","",games!$C284)</f>
      </c>
      <c r="D284">
        <f>IF($A284="","",COUNTIF(connections!$A$2:$A$2500,$A284)+COUNTIF(connections!$B$2:$B$2500,$A284))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IF(OR($A284="",games!$H284=""),"",games!$H284)</f>
      </c>
      <c r="Q284">
        <f>IF(OR($A284="",$P284&lt;&gt;"Yes"),"",$D284+ROW()/1000000)</f>
      </c>
      <c r="T284" t="str">
        <f>IF(connections!$A284="","",IFERROR(INDEX(games!$B$2:$B$1200,MATCH(connections!$A284,games!$A$2:$A$1200,0)),""))</f>
      </c>
      <c r="U284">
        <f>IF(connections!$A284="","",IFERROR(INDEX(games!$B$2:$B$1200,MATCH(connections!$B284,games!$A$2:$A$1200,0)),""))</f>
      </c>
      <c r="V284">
        <f>IF(OR($T284="",$U284=""),"",$U284-$T284)</f>
      </c>
    </row>
    <row r="285">
      <c r="A285" t="str">
        <f>IF(games!$A285="","",games!$A285)</f>
      </c>
      <c r="B285">
        <f>IF($A285="","",games!$B285)</f>
      </c>
      <c r="C285" t="str">
        <f>IF($A285="","",games!$C285)</f>
      </c>
      <c r="D285">
        <f>IF($A285="","",COUNTIF(connections!$A$2:$A$2500,$A285)+COUNTIF(connections!$B$2:$B$2500,$A285))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IF(OR($A285="",games!$H285=""),"",games!$H285)</f>
      </c>
      <c r="Q285">
        <f>IF(OR($A285="",$P285&lt;&gt;"Yes"),"",$D285+ROW()/1000000)</f>
      </c>
      <c r="T285" t="str">
        <f>IF(connections!$A285="","",IFERROR(INDEX(games!$B$2:$B$1200,MATCH(connections!$A285,games!$A$2:$A$1200,0)),""))</f>
      </c>
      <c r="U285">
        <f>IF(connections!$A285="","",IFERROR(INDEX(games!$B$2:$B$1200,MATCH(connections!$B285,games!$A$2:$A$1200,0)),""))</f>
      </c>
      <c r="V285">
        <f>IF(OR($T285="",$U285=""),"",$U285-$T285)</f>
      </c>
    </row>
    <row r="286">
      <c r="A286" t="str">
        <f>IF(games!$A286="","",games!$A286)</f>
      </c>
      <c r="B286">
        <f>IF($A286="","",games!$B286)</f>
      </c>
      <c r="C286" t="str">
        <f>IF($A286="","",games!$C286)</f>
      </c>
      <c r="D286">
        <f>IF($A286="","",COUNTIF(connections!$A$2:$A$2500,$A286)+COUNTIF(connections!$B$2:$B$2500,$A286))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IF(OR($A286="",games!$H286=""),"",games!$H286)</f>
      </c>
      <c r="Q286">
        <f>IF(OR($A286="",$P286&lt;&gt;"Yes"),"",$D286+ROW()/1000000)</f>
      </c>
      <c r="T286" t="str">
        <f>IF(connections!$A286="","",IFERROR(INDEX(games!$B$2:$B$1200,MATCH(connections!$A286,games!$A$2:$A$1200,0)),""))</f>
      </c>
      <c r="U286">
        <f>IF(connections!$A286="","",IFERROR(INDEX(games!$B$2:$B$1200,MATCH(connections!$B286,games!$A$2:$A$1200,0)),""))</f>
      </c>
      <c r="V286">
        <f>IF(OR($T286="",$U286=""),"",$U286-$T286)</f>
      </c>
    </row>
    <row r="287">
      <c r="A287" t="str">
        <f>IF(games!$A287="","",games!$A287)</f>
      </c>
      <c r="B287">
        <f>IF($A287="","",games!$B287)</f>
      </c>
      <c r="C287" t="str">
        <f>IF($A287="","",games!$C287)</f>
      </c>
      <c r="D287">
        <f>IF($A287="","",COUNTIF(connections!$A$2:$A$2500,$A287)+COUNTIF(connections!$B$2:$B$2500,$A287))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IF(OR($A287="",games!$H287=""),"",games!$H287)</f>
      </c>
      <c r="Q287">
        <f>IF(OR($A287="",$P287&lt;&gt;"Yes"),"",$D287+ROW()/1000000)</f>
      </c>
      <c r="T287" t="str">
        <f>IF(connections!$A287="","",IFERROR(INDEX(games!$B$2:$B$1200,MATCH(connections!$A287,games!$A$2:$A$1200,0)),""))</f>
      </c>
      <c r="U287">
        <f>IF(connections!$A287="","",IFERROR(INDEX(games!$B$2:$B$1200,MATCH(connections!$B287,games!$A$2:$A$1200,0)),""))</f>
      </c>
      <c r="V287">
        <f>IF(OR($T287="",$U287=""),"",$U287-$T287)</f>
      </c>
    </row>
    <row r="288">
      <c r="A288" t="str">
        <f>IF(games!$A288="","",games!$A288)</f>
      </c>
      <c r="B288">
        <f>IF($A288="","",games!$B288)</f>
      </c>
      <c r="C288" t="str">
        <f>IF($A288="","",games!$C288)</f>
      </c>
      <c r="D288">
        <f>IF($A288="","",COUNTIF(connections!$A$2:$A$2500,$A288)+COUNTIF(connections!$B$2:$B$2500,$A288))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IF(OR($A288="",games!$H288=""),"",games!$H288)</f>
      </c>
      <c r="Q288">
        <f>IF(OR($A288="",$P288&lt;&gt;"Yes"),"",$D288+ROW()/1000000)</f>
      </c>
      <c r="T288" t="str">
        <f>IF(connections!$A288="","",IFERROR(INDEX(games!$B$2:$B$1200,MATCH(connections!$A288,games!$A$2:$A$1200,0)),""))</f>
      </c>
      <c r="U288">
        <f>IF(connections!$A288="","",IFERROR(INDEX(games!$B$2:$B$1200,MATCH(connections!$B288,games!$A$2:$A$1200,0)),""))</f>
      </c>
      <c r="V288">
        <f>IF(OR($T288="",$U288=""),"",$U288-$T288)</f>
      </c>
    </row>
    <row r="289">
      <c r="A289" t="str">
        <f>IF(games!$A289="","",games!$A289)</f>
      </c>
      <c r="B289">
        <f>IF($A289="","",games!$B289)</f>
      </c>
      <c r="C289" t="str">
        <f>IF($A289="","",games!$C289)</f>
      </c>
      <c r="D289">
        <f>IF($A289="","",COUNTIF(connections!$A$2:$A$2500,$A289)+COUNTIF(connections!$B$2:$B$2500,$A289))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IF(OR($A289="",games!$H289=""),"",games!$H289)</f>
      </c>
      <c r="Q289">
        <f>IF(OR($A289="",$P289&lt;&gt;"Yes"),"",$D289+ROW()/1000000)</f>
      </c>
      <c r="T289" t="str">
        <f>IF(connections!$A289="","",IFERROR(INDEX(games!$B$2:$B$1200,MATCH(connections!$A289,games!$A$2:$A$1200,0)),""))</f>
      </c>
      <c r="U289">
        <f>IF(connections!$A289="","",IFERROR(INDEX(games!$B$2:$B$1200,MATCH(connections!$B289,games!$A$2:$A$1200,0)),""))</f>
      </c>
      <c r="V289">
        <f>IF(OR($T289="",$U289=""),"",$U289-$T289)</f>
      </c>
    </row>
    <row r="290">
      <c r="A290" t="str">
        <f>IF(games!$A290="","",games!$A290)</f>
      </c>
      <c r="B290">
        <f>IF($A290="","",games!$B290)</f>
      </c>
      <c r="C290" t="str">
        <f>IF($A290="","",games!$C290)</f>
      </c>
      <c r="D290">
        <f>IF($A290="","",COUNTIF(connections!$A$2:$A$2500,$A290)+COUNTIF(connections!$B$2:$B$2500,$A290))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IF(OR($A290="",games!$H290=""),"",games!$H290)</f>
      </c>
      <c r="Q290">
        <f>IF(OR($A290="",$P290&lt;&gt;"Yes"),"",$D290+ROW()/1000000)</f>
      </c>
      <c r="T290" t="str">
        <f>IF(connections!$A290="","",IFERROR(INDEX(games!$B$2:$B$1200,MATCH(connections!$A290,games!$A$2:$A$1200,0)),""))</f>
      </c>
      <c r="U290">
        <f>IF(connections!$A290="","",IFERROR(INDEX(games!$B$2:$B$1200,MATCH(connections!$B290,games!$A$2:$A$1200,0)),""))</f>
      </c>
      <c r="V290">
        <f>IF(OR($T290="",$U290=""),"",$U290-$T290)</f>
      </c>
    </row>
    <row r="291">
      <c r="A291" t="str">
        <f>IF(games!$A291="","",games!$A291)</f>
      </c>
      <c r="B291">
        <f>IF($A291="","",games!$B291)</f>
      </c>
      <c r="C291" t="str">
        <f>IF($A291="","",games!$C291)</f>
      </c>
      <c r="D291">
        <f>IF($A291="","",COUNTIF(connections!$A$2:$A$2500,$A291)+COUNTIF(connections!$B$2:$B$2500,$A291))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IF(OR($A291="",games!$H291=""),"",games!$H291)</f>
      </c>
      <c r="Q291">
        <f>IF(OR($A291="",$P291&lt;&gt;"Yes"),"",$D291+ROW()/1000000)</f>
      </c>
      <c r="T291" t="str">
        <f>IF(connections!$A291="","",IFERROR(INDEX(games!$B$2:$B$1200,MATCH(connections!$A291,games!$A$2:$A$1200,0)),""))</f>
      </c>
      <c r="U291">
        <f>IF(connections!$A291="","",IFERROR(INDEX(games!$B$2:$B$1200,MATCH(connections!$B291,games!$A$2:$A$1200,0)),""))</f>
      </c>
      <c r="V291">
        <f>IF(OR($T291="",$U291=""),"",$U291-$T291)</f>
      </c>
    </row>
    <row r="292">
      <c r="A292" t="str">
        <f>IF(games!$A292="","",games!$A292)</f>
      </c>
      <c r="B292">
        <f>IF($A292="","",games!$B292)</f>
      </c>
      <c r="C292" t="str">
        <f>IF($A292="","",games!$C292)</f>
      </c>
      <c r="D292">
        <f>IF($A292="","",COUNTIF(connections!$A$2:$A$2500,$A292)+COUNTIF(connections!$B$2:$B$2500,$A292))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IF(OR($A292="",games!$H292=""),"",games!$H292)</f>
      </c>
      <c r="Q292">
        <f>IF(OR($A292="",$P292&lt;&gt;"Yes"),"",$D292+ROW()/1000000)</f>
      </c>
      <c r="T292" t="str">
        <f>IF(connections!$A292="","",IFERROR(INDEX(games!$B$2:$B$1200,MATCH(connections!$A292,games!$A$2:$A$1200,0)),""))</f>
      </c>
      <c r="U292">
        <f>IF(connections!$A292="","",IFERROR(INDEX(games!$B$2:$B$1200,MATCH(connections!$B292,games!$A$2:$A$1200,0)),""))</f>
      </c>
      <c r="V292">
        <f>IF(OR($T292="",$U292=""),"",$U292-$T292)</f>
      </c>
    </row>
    <row r="293">
      <c r="A293" t="str">
        <f>IF(games!$A293="","",games!$A293)</f>
      </c>
      <c r="B293">
        <f>IF($A293="","",games!$B293)</f>
      </c>
      <c r="C293" t="str">
        <f>IF($A293="","",games!$C293)</f>
      </c>
      <c r="D293">
        <f>IF($A293="","",COUNTIF(connections!$A$2:$A$2500,$A293)+COUNTIF(connections!$B$2:$B$2500,$A293))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IF(OR($A293="",games!$H293=""),"",games!$H293)</f>
      </c>
      <c r="Q293">
        <f>IF(OR($A293="",$P293&lt;&gt;"Yes"),"",$D293+ROW()/1000000)</f>
      </c>
      <c r="T293" t="str">
        <f>IF(connections!$A293="","",IFERROR(INDEX(games!$B$2:$B$1200,MATCH(connections!$A293,games!$A$2:$A$1200,0)),""))</f>
      </c>
      <c r="U293">
        <f>IF(connections!$A293="","",IFERROR(INDEX(games!$B$2:$B$1200,MATCH(connections!$B293,games!$A$2:$A$1200,0)),""))</f>
      </c>
      <c r="V293">
        <f>IF(OR($T293="",$U293=""),"",$U293-$T293)</f>
      </c>
    </row>
    <row r="294">
      <c r="A294" t="str">
        <f>IF(games!$A294="","",games!$A294)</f>
      </c>
      <c r="B294">
        <f>IF($A294="","",games!$B294)</f>
      </c>
      <c r="C294" t="str">
        <f>IF($A294="","",games!$C294)</f>
      </c>
      <c r="D294">
        <f>IF($A294="","",COUNTIF(connections!$A$2:$A$2500,$A294)+COUNTIF(connections!$B$2:$B$2500,$A294))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IF(OR($A294="",games!$H294=""),"",games!$H294)</f>
      </c>
      <c r="Q294">
        <f>IF(OR($A294="",$P294&lt;&gt;"Yes"),"",$D294+ROW()/1000000)</f>
      </c>
      <c r="T294" t="str">
        <f>IF(connections!$A294="","",IFERROR(INDEX(games!$B$2:$B$1200,MATCH(connections!$A294,games!$A$2:$A$1200,0)),""))</f>
      </c>
      <c r="U294">
        <f>IF(connections!$A294="","",IFERROR(INDEX(games!$B$2:$B$1200,MATCH(connections!$B294,games!$A$2:$A$1200,0)),""))</f>
      </c>
      <c r="V294">
        <f>IF(OR($T294="",$U294=""),"",$U294-$T294)</f>
      </c>
    </row>
    <row r="295">
      <c r="A295" t="str">
        <f>IF(games!$A295="","",games!$A295)</f>
      </c>
      <c r="B295">
        <f>IF($A295="","",games!$B295)</f>
      </c>
      <c r="C295" t="str">
        <f>IF($A295="","",games!$C295)</f>
      </c>
      <c r="D295">
        <f>IF($A295="","",COUNTIF(connections!$A$2:$A$2500,$A295)+COUNTIF(connections!$B$2:$B$2500,$A295))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IF(OR($A295="",games!$H295=""),"",games!$H295)</f>
      </c>
      <c r="Q295">
        <f>IF(OR($A295="",$P295&lt;&gt;"Yes"),"",$D295+ROW()/1000000)</f>
      </c>
      <c r="T295" t="str">
        <f>IF(connections!$A295="","",IFERROR(INDEX(games!$B$2:$B$1200,MATCH(connections!$A295,games!$A$2:$A$1200,0)),""))</f>
      </c>
      <c r="U295">
        <f>IF(connections!$A295="","",IFERROR(INDEX(games!$B$2:$B$1200,MATCH(connections!$B295,games!$A$2:$A$1200,0)),""))</f>
      </c>
      <c r="V295">
        <f>IF(OR($T295="",$U295=""),"",$U295-$T295)</f>
      </c>
    </row>
    <row r="296">
      <c r="A296" t="str">
        <f>IF(games!$A296="","",games!$A296)</f>
      </c>
      <c r="B296">
        <f>IF($A296="","",games!$B296)</f>
      </c>
      <c r="C296" t="str">
        <f>IF($A296="","",games!$C296)</f>
      </c>
      <c r="D296">
        <f>IF($A296="","",COUNTIF(connections!$A$2:$A$2500,$A296)+COUNTIF(connections!$B$2:$B$2500,$A296))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IF(OR($A296="",games!$H296=""),"",games!$H296)</f>
      </c>
      <c r="Q296">
        <f>IF(OR($A296="",$P296&lt;&gt;"Yes"),"",$D296+ROW()/1000000)</f>
      </c>
      <c r="T296" t="str">
        <f>IF(connections!$A296="","",IFERROR(INDEX(games!$B$2:$B$1200,MATCH(connections!$A296,games!$A$2:$A$1200,0)),""))</f>
      </c>
      <c r="U296">
        <f>IF(connections!$A296="","",IFERROR(INDEX(games!$B$2:$B$1200,MATCH(connections!$B296,games!$A$2:$A$1200,0)),""))</f>
      </c>
      <c r="V296">
        <f>IF(OR($T296="",$U296=""),"",$U296-$T296)</f>
      </c>
    </row>
    <row r="297">
      <c r="A297" t="str">
        <f>IF(games!$A297="","",games!$A297)</f>
      </c>
      <c r="B297">
        <f>IF($A297="","",games!$B297)</f>
      </c>
      <c r="C297" t="str">
        <f>IF($A297="","",games!$C297)</f>
      </c>
      <c r="D297">
        <f>IF($A297="","",COUNTIF(connections!$A$2:$A$2500,$A297)+COUNTIF(connections!$B$2:$B$2500,$A297))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IF(OR($A297="",games!$H297=""),"",games!$H297)</f>
      </c>
      <c r="Q297">
        <f>IF(OR($A297="",$P297&lt;&gt;"Yes"),"",$D297+ROW()/1000000)</f>
      </c>
      <c r="T297" t="str">
        <f>IF(connections!$A297="","",IFERROR(INDEX(games!$B$2:$B$1200,MATCH(connections!$A297,games!$A$2:$A$1200,0)),""))</f>
      </c>
      <c r="U297">
        <f>IF(connections!$A297="","",IFERROR(INDEX(games!$B$2:$B$1200,MATCH(connections!$B297,games!$A$2:$A$1200,0)),""))</f>
      </c>
      <c r="V297">
        <f>IF(OR($T297="",$U297=""),"",$U297-$T297)</f>
      </c>
    </row>
    <row r="298">
      <c r="A298" t="str">
        <f>IF(games!$A298="","",games!$A298)</f>
      </c>
      <c r="B298">
        <f>IF($A298="","",games!$B298)</f>
      </c>
      <c r="C298" t="str">
        <f>IF($A298="","",games!$C298)</f>
      </c>
      <c r="D298">
        <f>IF($A298="","",COUNTIF(connections!$A$2:$A$2500,$A298)+COUNTIF(connections!$B$2:$B$2500,$A298))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IF(OR($A298="",games!$H298=""),"",games!$H298)</f>
      </c>
      <c r="Q298">
        <f>IF(OR($A298="",$P298&lt;&gt;"Yes"),"",$D298+ROW()/1000000)</f>
      </c>
      <c r="T298" t="str">
        <f>IF(connections!$A298="","",IFERROR(INDEX(games!$B$2:$B$1200,MATCH(connections!$A298,games!$A$2:$A$1200,0)),""))</f>
      </c>
      <c r="U298">
        <f>IF(connections!$A298="","",IFERROR(INDEX(games!$B$2:$B$1200,MATCH(connections!$B298,games!$A$2:$A$1200,0)),""))</f>
      </c>
      <c r="V298">
        <f>IF(OR($T298="",$U298=""),"",$U298-$T298)</f>
      </c>
    </row>
    <row r="299">
      <c r="A299" t="str">
        <f>IF(games!$A299="","",games!$A299)</f>
      </c>
      <c r="B299">
        <f>IF($A299="","",games!$B299)</f>
      </c>
      <c r="C299" t="str">
        <f>IF($A299="","",games!$C299)</f>
      </c>
      <c r="D299">
        <f>IF($A299="","",COUNTIF(connections!$A$2:$A$2500,$A299)+COUNTIF(connections!$B$2:$B$2500,$A299))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IF(OR($A299="",games!$H299=""),"",games!$H299)</f>
      </c>
      <c r="Q299">
        <f>IF(OR($A299="",$P299&lt;&gt;"Yes"),"",$D299+ROW()/1000000)</f>
      </c>
      <c r="T299" t="str">
        <f>IF(connections!$A299="","",IFERROR(INDEX(games!$B$2:$B$1200,MATCH(connections!$A299,games!$A$2:$A$1200,0)),""))</f>
      </c>
      <c r="U299">
        <f>IF(connections!$A299="","",IFERROR(INDEX(games!$B$2:$B$1200,MATCH(connections!$B299,games!$A$2:$A$1200,0)),""))</f>
      </c>
      <c r="V299">
        <f>IF(OR($T299="",$U299=""),"",$U299-$T299)</f>
      </c>
    </row>
    <row r="300">
      <c r="A300" t="str">
        <f>IF(games!$A300="","",games!$A300)</f>
      </c>
      <c r="B300">
        <f>IF($A300="","",games!$B300)</f>
      </c>
      <c r="C300" t="str">
        <f>IF($A300="","",games!$C300)</f>
      </c>
      <c r="D300">
        <f>IF($A300="","",COUNTIF(connections!$A$2:$A$2500,$A300)+COUNTIF(connections!$B$2:$B$2500,$A300))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IF(OR($A300="",games!$H300=""),"",games!$H300)</f>
      </c>
      <c r="Q300">
        <f>IF(OR($A300="",$P300&lt;&gt;"Yes"),"",$D300+ROW()/1000000)</f>
      </c>
      <c r="T300" t="str">
        <f>IF(connections!$A300="","",IFERROR(INDEX(games!$B$2:$B$1200,MATCH(connections!$A300,games!$A$2:$A$1200,0)),""))</f>
      </c>
      <c r="U300">
        <f>IF(connections!$A300="","",IFERROR(INDEX(games!$B$2:$B$1200,MATCH(connections!$B300,games!$A$2:$A$1200,0)),""))</f>
      </c>
      <c r="V300">
        <f>IF(OR($T300="",$U300=""),"",$U300-$T300)</f>
      </c>
    </row>
    <row r="301">
      <c r="A301" t="str">
        <f>IF(games!$A301="","",games!$A301)</f>
      </c>
      <c r="B301">
        <f>IF($A301="","",games!$B301)</f>
      </c>
      <c r="C301" t="str">
        <f>IF($A301="","",games!$C301)</f>
      </c>
      <c r="D301">
        <f>IF($A301="","",COUNTIF(connections!$A$2:$A$2500,$A301)+COUNTIF(connections!$B$2:$B$2500,$A301))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IF(OR($A301="",games!$H301=""),"",games!$H301)</f>
      </c>
      <c r="Q301">
        <f>IF(OR($A301="",$P301&lt;&gt;"Yes"),"",$D301+ROW()/1000000)</f>
      </c>
      <c r="T301" t="str">
        <f>IF(connections!$A301="","",IFERROR(INDEX(games!$B$2:$B$1200,MATCH(connections!$A301,games!$A$2:$A$1200,0)),""))</f>
      </c>
      <c r="U301">
        <f>IF(connections!$A301="","",IFERROR(INDEX(games!$B$2:$B$1200,MATCH(connections!$B301,games!$A$2:$A$1200,0)),""))</f>
      </c>
      <c r="V301">
        <f>IF(OR($T301="",$U301=""),"",$U301-$T301)</f>
      </c>
    </row>
    <row r="302">
      <c r="A302" t="str">
        <f>IF(games!$A302="","",games!$A302)</f>
      </c>
      <c r="B302">
        <f>IF($A302="","",games!$B302)</f>
      </c>
      <c r="C302" t="str">
        <f>IF($A302="","",games!$C302)</f>
      </c>
      <c r="D302">
        <f>IF($A302="","",COUNTIF(connections!$A$2:$A$2500,$A302)+COUNTIF(connections!$B$2:$B$2500,$A302))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IF(OR($A302="",games!$H302=""),"",games!$H302)</f>
      </c>
      <c r="Q302">
        <f>IF(OR($A302="",$P302&lt;&gt;"Yes"),"",$D302+ROW()/1000000)</f>
      </c>
      <c r="T302" t="str">
        <f>IF(connections!$A302="","",IFERROR(INDEX(games!$B$2:$B$1200,MATCH(connections!$A302,games!$A$2:$A$1200,0)),""))</f>
      </c>
      <c r="U302">
        <f>IF(connections!$A302="","",IFERROR(INDEX(games!$B$2:$B$1200,MATCH(connections!$B302,games!$A$2:$A$1200,0)),""))</f>
      </c>
      <c r="V302">
        <f>IF(OR($T302="",$U302=""),"",$U302-$T302)</f>
      </c>
    </row>
    <row r="303">
      <c r="A303" t="str">
        <f>IF(games!$A303="","",games!$A303)</f>
      </c>
      <c r="B303">
        <f>IF($A303="","",games!$B303)</f>
      </c>
      <c r="C303" t="str">
        <f>IF($A303="","",games!$C303)</f>
      </c>
      <c r="D303">
        <f>IF($A303="","",COUNTIF(connections!$A$2:$A$2500,$A303)+COUNTIF(connections!$B$2:$B$2500,$A303))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IF(OR($A303="",games!$H303=""),"",games!$H303)</f>
      </c>
      <c r="Q303">
        <f>IF(OR($A303="",$P303&lt;&gt;"Yes"),"",$D303+ROW()/1000000)</f>
      </c>
      <c r="T303" t="str">
        <f>IF(connections!$A303="","",IFERROR(INDEX(games!$B$2:$B$1200,MATCH(connections!$A303,games!$A$2:$A$1200,0)),""))</f>
      </c>
      <c r="U303">
        <f>IF(connections!$A303="","",IFERROR(INDEX(games!$B$2:$B$1200,MATCH(connections!$B303,games!$A$2:$A$1200,0)),""))</f>
      </c>
      <c r="V303">
        <f>IF(OR($T303="",$U303=""),"",$U303-$T303)</f>
      </c>
    </row>
    <row r="304">
      <c r="A304" t="str">
        <f>IF(games!$A304="","",games!$A304)</f>
      </c>
      <c r="B304">
        <f>IF($A304="","",games!$B304)</f>
      </c>
      <c r="C304" t="str">
        <f>IF($A304="","",games!$C304)</f>
      </c>
      <c r="D304">
        <f>IF($A304="","",COUNTIF(connections!$A$2:$A$2500,$A304)+COUNTIF(connections!$B$2:$B$2500,$A304))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IF(OR($A304="",games!$H304=""),"",games!$H304)</f>
      </c>
      <c r="Q304">
        <f>IF(OR($A304="",$P304&lt;&gt;"Yes"),"",$D304+ROW()/1000000)</f>
      </c>
      <c r="T304" t="str">
        <f>IF(connections!$A304="","",IFERROR(INDEX(games!$B$2:$B$1200,MATCH(connections!$A304,games!$A$2:$A$1200,0)),""))</f>
      </c>
      <c r="U304">
        <f>IF(connections!$A304="","",IFERROR(INDEX(games!$B$2:$B$1200,MATCH(connections!$B304,games!$A$2:$A$1200,0)),""))</f>
      </c>
      <c r="V304">
        <f>IF(OR($T304="",$U304=""),"",$U304-$T304)</f>
      </c>
    </row>
    <row r="305">
      <c r="A305" t="str">
        <f>IF(games!$A305="","",games!$A305)</f>
      </c>
      <c r="B305">
        <f>IF($A305="","",games!$B305)</f>
      </c>
      <c r="C305" t="str">
        <f>IF($A305="","",games!$C305)</f>
      </c>
      <c r="D305">
        <f>IF($A305="","",COUNTIF(connections!$A$2:$A$2500,$A305)+COUNTIF(connections!$B$2:$B$2500,$A305))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IF(OR($A305="",games!$H305=""),"",games!$H305)</f>
      </c>
      <c r="Q305">
        <f>IF(OR($A305="",$P305&lt;&gt;"Yes"),"",$D305+ROW()/1000000)</f>
      </c>
      <c r="T305" t="str">
        <f>IF(connections!$A305="","",IFERROR(INDEX(games!$B$2:$B$1200,MATCH(connections!$A305,games!$A$2:$A$1200,0)),""))</f>
      </c>
      <c r="U305">
        <f>IF(connections!$A305="","",IFERROR(INDEX(games!$B$2:$B$1200,MATCH(connections!$B305,games!$A$2:$A$1200,0)),""))</f>
      </c>
      <c r="V305">
        <f>IF(OR($T305="",$U305=""),"",$U305-$T305)</f>
      </c>
    </row>
    <row r="306">
      <c r="A306" t="str">
        <f>IF(games!$A306="","",games!$A306)</f>
      </c>
      <c r="B306">
        <f>IF($A306="","",games!$B306)</f>
      </c>
      <c r="C306" t="str">
        <f>IF($A306="","",games!$C306)</f>
      </c>
      <c r="D306">
        <f>IF($A306="","",COUNTIF(connections!$A$2:$A$2500,$A306)+COUNTIF(connections!$B$2:$B$2500,$A306))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IF(OR($A306="",games!$H306=""),"",games!$H306)</f>
      </c>
      <c r="Q306">
        <f>IF(OR($A306="",$P306&lt;&gt;"Yes"),"",$D306+ROW()/1000000)</f>
      </c>
      <c r="T306" t="str">
        <f>IF(connections!$A306="","",IFERROR(INDEX(games!$B$2:$B$1200,MATCH(connections!$A306,games!$A$2:$A$1200,0)),""))</f>
      </c>
      <c r="U306">
        <f>IF(connections!$A306="","",IFERROR(INDEX(games!$B$2:$B$1200,MATCH(connections!$B306,games!$A$2:$A$1200,0)),""))</f>
      </c>
      <c r="V306">
        <f>IF(OR($T306="",$U306=""),"",$U306-$T306)</f>
      </c>
    </row>
    <row r="307">
      <c r="A307" t="str">
        <f>IF(games!$A307="","",games!$A307)</f>
      </c>
      <c r="B307">
        <f>IF($A307="","",games!$B307)</f>
      </c>
      <c r="C307" t="str">
        <f>IF($A307="","",games!$C307)</f>
      </c>
      <c r="D307">
        <f>IF($A307="","",COUNTIF(connections!$A$2:$A$2500,$A307)+COUNTIF(connections!$B$2:$B$2500,$A307))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IF(OR($A307="",games!$H307=""),"",games!$H307)</f>
      </c>
      <c r="Q307">
        <f>IF(OR($A307="",$P307&lt;&gt;"Yes"),"",$D307+ROW()/1000000)</f>
      </c>
      <c r="T307" t="str">
        <f>IF(connections!$A307="","",IFERROR(INDEX(games!$B$2:$B$1200,MATCH(connections!$A307,games!$A$2:$A$1200,0)),""))</f>
      </c>
      <c r="U307">
        <f>IF(connections!$A307="","",IFERROR(INDEX(games!$B$2:$B$1200,MATCH(connections!$B307,games!$A$2:$A$1200,0)),""))</f>
      </c>
      <c r="V307">
        <f>IF(OR($T307="",$U307=""),"",$U307-$T307)</f>
      </c>
    </row>
    <row r="308">
      <c r="A308" t="str">
        <f>IF(games!$A308="","",games!$A308)</f>
      </c>
      <c r="B308">
        <f>IF($A308="","",games!$B308)</f>
      </c>
      <c r="C308" t="str">
        <f>IF($A308="","",games!$C308)</f>
      </c>
      <c r="D308">
        <f>IF($A308="","",COUNTIF(connections!$A$2:$A$2500,$A308)+COUNTIF(connections!$B$2:$B$2500,$A308))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IF(OR($A308="",games!$H308=""),"",games!$H308)</f>
      </c>
      <c r="Q308">
        <f>IF(OR($A308="",$P308&lt;&gt;"Yes"),"",$D308+ROW()/1000000)</f>
      </c>
      <c r="T308" t="str">
        <f>IF(connections!$A308="","",IFERROR(INDEX(games!$B$2:$B$1200,MATCH(connections!$A308,games!$A$2:$A$1200,0)),""))</f>
      </c>
      <c r="U308">
        <f>IF(connections!$A308="","",IFERROR(INDEX(games!$B$2:$B$1200,MATCH(connections!$B308,games!$A$2:$A$1200,0)),""))</f>
      </c>
      <c r="V308">
        <f>IF(OR($T308="",$U308=""),"",$U308-$T308)</f>
      </c>
    </row>
    <row r="309">
      <c r="A309" t="str">
        <f>IF(games!$A309="","",games!$A309)</f>
      </c>
      <c r="B309">
        <f>IF($A309="","",games!$B309)</f>
      </c>
      <c r="C309" t="str">
        <f>IF($A309="","",games!$C309)</f>
      </c>
      <c r="D309">
        <f>IF($A309="","",COUNTIF(connections!$A$2:$A$2500,$A309)+COUNTIF(connections!$B$2:$B$2500,$A309))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IF(OR($A309="",games!$H309=""),"",games!$H309)</f>
      </c>
      <c r="Q309">
        <f>IF(OR($A309="",$P309&lt;&gt;"Yes"),"",$D309+ROW()/1000000)</f>
      </c>
      <c r="T309" t="str">
        <f>IF(connections!$A309="","",IFERROR(INDEX(games!$B$2:$B$1200,MATCH(connections!$A309,games!$A$2:$A$1200,0)),""))</f>
      </c>
      <c r="U309">
        <f>IF(connections!$A309="","",IFERROR(INDEX(games!$B$2:$B$1200,MATCH(connections!$B309,games!$A$2:$A$1200,0)),""))</f>
      </c>
      <c r="V309">
        <f>IF(OR($T309="",$U309=""),"",$U309-$T309)</f>
      </c>
    </row>
    <row r="310">
      <c r="A310" t="str">
        <f>IF(games!$A310="","",games!$A310)</f>
      </c>
      <c r="B310">
        <f>IF($A310="","",games!$B310)</f>
      </c>
      <c r="C310" t="str">
        <f>IF($A310="","",games!$C310)</f>
      </c>
      <c r="D310">
        <f>IF($A310="","",COUNTIF(connections!$A$2:$A$2500,$A310)+COUNTIF(connections!$B$2:$B$2500,$A310))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IF(OR($A310="",games!$H310=""),"",games!$H310)</f>
      </c>
      <c r="Q310">
        <f>IF(OR($A310="",$P310&lt;&gt;"Yes"),"",$D310+ROW()/1000000)</f>
      </c>
      <c r="T310" t="str">
        <f>IF(connections!$A310="","",IFERROR(INDEX(games!$B$2:$B$1200,MATCH(connections!$A310,games!$A$2:$A$1200,0)),""))</f>
      </c>
      <c r="U310">
        <f>IF(connections!$A310="","",IFERROR(INDEX(games!$B$2:$B$1200,MATCH(connections!$B310,games!$A$2:$A$1200,0)),""))</f>
      </c>
      <c r="V310">
        <f>IF(OR($T310="",$U310=""),"",$U310-$T310)</f>
      </c>
    </row>
    <row r="311">
      <c r="A311" t="str">
        <f>IF(games!$A311="","",games!$A311)</f>
      </c>
      <c r="B311">
        <f>IF($A311="","",games!$B311)</f>
      </c>
      <c r="C311" t="str">
        <f>IF($A311="","",games!$C311)</f>
      </c>
      <c r="D311">
        <f>IF($A311="","",COUNTIF(connections!$A$2:$A$2500,$A311)+COUNTIF(connections!$B$2:$B$2500,$A311))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IF(OR($A311="",games!$H311=""),"",games!$H311)</f>
      </c>
      <c r="Q311">
        <f>IF(OR($A311="",$P311&lt;&gt;"Yes"),"",$D311+ROW()/1000000)</f>
      </c>
      <c r="T311" t="str">
        <f>IF(connections!$A311="","",IFERROR(INDEX(games!$B$2:$B$1200,MATCH(connections!$A311,games!$A$2:$A$1200,0)),""))</f>
      </c>
      <c r="U311">
        <f>IF(connections!$A311="","",IFERROR(INDEX(games!$B$2:$B$1200,MATCH(connections!$B311,games!$A$2:$A$1200,0)),""))</f>
      </c>
      <c r="V311">
        <f>IF(OR($T311="",$U311=""),"",$U311-$T311)</f>
      </c>
    </row>
    <row r="312">
      <c r="A312" t="str">
        <f>IF(games!$A312="","",games!$A312)</f>
      </c>
      <c r="B312">
        <f>IF($A312="","",games!$B312)</f>
      </c>
      <c r="C312" t="str">
        <f>IF($A312="","",games!$C312)</f>
      </c>
      <c r="D312">
        <f>IF($A312="","",COUNTIF(connections!$A$2:$A$2500,$A312)+COUNTIF(connections!$B$2:$B$2500,$A312))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IF(OR($A312="",games!$H312=""),"",games!$H312)</f>
      </c>
      <c r="Q312">
        <f>IF(OR($A312="",$P312&lt;&gt;"Yes"),"",$D312+ROW()/1000000)</f>
      </c>
      <c r="T312" t="str">
        <f>IF(connections!$A312="","",IFERROR(INDEX(games!$B$2:$B$1200,MATCH(connections!$A312,games!$A$2:$A$1200,0)),""))</f>
      </c>
      <c r="U312">
        <f>IF(connections!$A312="","",IFERROR(INDEX(games!$B$2:$B$1200,MATCH(connections!$B312,games!$A$2:$A$1200,0)),""))</f>
      </c>
      <c r="V312">
        <f>IF(OR($T312="",$U312=""),"",$U312-$T312)</f>
      </c>
    </row>
    <row r="313">
      <c r="A313" t="str">
        <f>IF(games!$A313="","",games!$A313)</f>
      </c>
      <c r="B313">
        <f>IF($A313="","",games!$B313)</f>
      </c>
      <c r="C313" t="str">
        <f>IF($A313="","",games!$C313)</f>
      </c>
      <c r="D313">
        <f>IF($A313="","",COUNTIF(connections!$A$2:$A$2500,$A313)+COUNTIF(connections!$B$2:$B$2500,$A313))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IF(OR($A313="",games!$H313=""),"",games!$H313)</f>
      </c>
      <c r="Q313">
        <f>IF(OR($A313="",$P313&lt;&gt;"Yes"),"",$D313+ROW()/1000000)</f>
      </c>
      <c r="T313" t="str">
        <f>IF(connections!$A313="","",IFERROR(INDEX(games!$B$2:$B$1200,MATCH(connections!$A313,games!$A$2:$A$1200,0)),""))</f>
      </c>
      <c r="U313">
        <f>IF(connections!$A313="","",IFERROR(INDEX(games!$B$2:$B$1200,MATCH(connections!$B313,games!$A$2:$A$1200,0)),""))</f>
      </c>
      <c r="V313">
        <f>IF(OR($T313="",$U313=""),"",$U313-$T313)</f>
      </c>
    </row>
    <row r="314">
      <c r="A314" t="str">
        <f>IF(games!$A314="","",games!$A314)</f>
      </c>
      <c r="B314">
        <f>IF($A314="","",games!$B314)</f>
      </c>
      <c r="C314" t="str">
        <f>IF($A314="","",games!$C314)</f>
      </c>
      <c r="D314">
        <f>IF($A314="","",COUNTIF(connections!$A$2:$A$2500,$A314)+COUNTIF(connections!$B$2:$B$2500,$A314))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IF(OR($A314="",games!$H314=""),"",games!$H314)</f>
      </c>
      <c r="Q314">
        <f>IF(OR($A314="",$P314&lt;&gt;"Yes"),"",$D314+ROW()/1000000)</f>
      </c>
      <c r="T314" t="str">
        <f>IF(connections!$A314="","",IFERROR(INDEX(games!$B$2:$B$1200,MATCH(connections!$A314,games!$A$2:$A$1200,0)),""))</f>
      </c>
      <c r="U314">
        <f>IF(connections!$A314="","",IFERROR(INDEX(games!$B$2:$B$1200,MATCH(connections!$B314,games!$A$2:$A$1200,0)),""))</f>
      </c>
      <c r="V314">
        <f>IF(OR($T314="",$U314=""),"",$U314-$T314)</f>
      </c>
    </row>
    <row r="315">
      <c r="A315" t="str">
        <f>IF(games!$A315="","",games!$A315)</f>
      </c>
      <c r="B315">
        <f>IF($A315="","",games!$B315)</f>
      </c>
      <c r="C315" t="str">
        <f>IF($A315="","",games!$C315)</f>
      </c>
      <c r="D315">
        <f>IF($A315="","",COUNTIF(connections!$A$2:$A$2500,$A315)+COUNTIF(connections!$B$2:$B$2500,$A315))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IF(OR($A315="",games!$H315=""),"",games!$H315)</f>
      </c>
      <c r="Q315">
        <f>IF(OR($A315="",$P315&lt;&gt;"Yes"),"",$D315+ROW()/1000000)</f>
      </c>
      <c r="T315" t="str">
        <f>IF(connections!$A315="","",IFERROR(INDEX(games!$B$2:$B$1200,MATCH(connections!$A315,games!$A$2:$A$1200,0)),""))</f>
      </c>
      <c r="U315">
        <f>IF(connections!$A315="","",IFERROR(INDEX(games!$B$2:$B$1200,MATCH(connections!$B315,games!$A$2:$A$1200,0)),""))</f>
      </c>
      <c r="V315">
        <f>IF(OR($T315="",$U315=""),"",$U315-$T315)</f>
      </c>
    </row>
    <row r="316">
      <c r="A316" t="str">
        <f>IF(games!$A316="","",games!$A316)</f>
      </c>
      <c r="B316">
        <f>IF($A316="","",games!$B316)</f>
      </c>
      <c r="C316" t="str">
        <f>IF($A316="","",games!$C316)</f>
      </c>
      <c r="D316">
        <f>IF($A316="","",COUNTIF(connections!$A$2:$A$2500,$A316)+COUNTIF(connections!$B$2:$B$2500,$A316))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IF(OR($A316="",games!$H316=""),"",games!$H316)</f>
      </c>
      <c r="Q316">
        <f>IF(OR($A316="",$P316&lt;&gt;"Yes"),"",$D316+ROW()/1000000)</f>
      </c>
      <c r="T316" t="str">
        <f>IF(connections!$A316="","",IFERROR(INDEX(games!$B$2:$B$1200,MATCH(connections!$A316,games!$A$2:$A$1200,0)),""))</f>
      </c>
      <c r="U316">
        <f>IF(connections!$A316="","",IFERROR(INDEX(games!$B$2:$B$1200,MATCH(connections!$B316,games!$A$2:$A$1200,0)),""))</f>
      </c>
      <c r="V316">
        <f>IF(OR($T316="",$U316=""),"",$U316-$T316)</f>
      </c>
    </row>
    <row r="317">
      <c r="A317" t="str">
        <f>IF(games!$A317="","",games!$A317)</f>
      </c>
      <c r="B317">
        <f>IF($A317="","",games!$B317)</f>
      </c>
      <c r="C317" t="str">
        <f>IF($A317="","",games!$C317)</f>
      </c>
      <c r="D317">
        <f>IF($A317="","",COUNTIF(connections!$A$2:$A$2500,$A317)+COUNTIF(connections!$B$2:$B$2500,$A317))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IF(OR($A317="",games!$H317=""),"",games!$H317)</f>
      </c>
      <c r="Q317">
        <f>IF(OR($A317="",$P317&lt;&gt;"Yes"),"",$D317+ROW()/1000000)</f>
      </c>
      <c r="T317" t="str">
        <f>IF(connections!$A317="","",IFERROR(INDEX(games!$B$2:$B$1200,MATCH(connections!$A317,games!$A$2:$A$1200,0)),""))</f>
      </c>
      <c r="U317">
        <f>IF(connections!$A317="","",IFERROR(INDEX(games!$B$2:$B$1200,MATCH(connections!$B317,games!$A$2:$A$1200,0)),""))</f>
      </c>
      <c r="V317">
        <f>IF(OR($T317="",$U317=""),"",$U317-$T317)</f>
      </c>
    </row>
    <row r="318">
      <c r="A318" t="str">
        <f>IF(games!$A318="","",games!$A318)</f>
      </c>
      <c r="B318">
        <f>IF($A318="","",games!$B318)</f>
      </c>
      <c r="C318" t="str">
        <f>IF($A318="","",games!$C318)</f>
      </c>
      <c r="D318">
        <f>IF($A318="","",COUNTIF(connections!$A$2:$A$2500,$A318)+COUNTIF(connections!$B$2:$B$2500,$A318))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IF(OR($A318="",games!$H318=""),"",games!$H318)</f>
      </c>
      <c r="Q318">
        <f>IF(OR($A318="",$P318&lt;&gt;"Yes"),"",$D318+ROW()/1000000)</f>
      </c>
      <c r="T318" t="str">
        <f>IF(connections!$A318="","",IFERROR(INDEX(games!$B$2:$B$1200,MATCH(connections!$A318,games!$A$2:$A$1200,0)),""))</f>
      </c>
      <c r="U318">
        <f>IF(connections!$A318="","",IFERROR(INDEX(games!$B$2:$B$1200,MATCH(connections!$B318,games!$A$2:$A$1200,0)),""))</f>
      </c>
      <c r="V318">
        <f>IF(OR($T318="",$U318=""),"",$U318-$T318)</f>
      </c>
    </row>
    <row r="319">
      <c r="A319" t="str">
        <f>IF(games!$A319="","",games!$A319)</f>
      </c>
      <c r="B319">
        <f>IF($A319="","",games!$B319)</f>
      </c>
      <c r="C319" t="str">
        <f>IF($A319="","",games!$C319)</f>
      </c>
      <c r="D319">
        <f>IF($A319="","",COUNTIF(connections!$A$2:$A$2500,$A319)+COUNTIF(connections!$B$2:$B$2500,$A319))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IF(OR($A319="",games!$H319=""),"",games!$H319)</f>
      </c>
      <c r="Q319">
        <f>IF(OR($A319="",$P319&lt;&gt;"Yes"),"",$D319+ROW()/1000000)</f>
      </c>
      <c r="T319" t="str">
        <f>IF(connections!$A319="","",IFERROR(INDEX(games!$B$2:$B$1200,MATCH(connections!$A319,games!$A$2:$A$1200,0)),""))</f>
      </c>
      <c r="U319">
        <f>IF(connections!$A319="","",IFERROR(INDEX(games!$B$2:$B$1200,MATCH(connections!$B319,games!$A$2:$A$1200,0)),""))</f>
      </c>
      <c r="V319">
        <f>IF(OR($T319="",$U319=""),"",$U319-$T319)</f>
      </c>
    </row>
    <row r="320">
      <c r="A320" t="str">
        <f>IF(games!$A320="","",games!$A320)</f>
      </c>
      <c r="B320">
        <f>IF($A320="","",games!$B320)</f>
      </c>
      <c r="C320" t="str">
        <f>IF($A320="","",games!$C320)</f>
      </c>
      <c r="D320">
        <f>IF($A320="","",COUNTIF(connections!$A$2:$A$2500,$A320)+COUNTIF(connections!$B$2:$B$2500,$A320))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IF(OR($A320="",games!$H320=""),"",games!$H320)</f>
      </c>
      <c r="Q320">
        <f>IF(OR($A320="",$P320&lt;&gt;"Yes"),"",$D320+ROW()/1000000)</f>
      </c>
      <c r="T320" t="str">
        <f>IF(connections!$A320="","",IFERROR(INDEX(games!$B$2:$B$1200,MATCH(connections!$A320,games!$A$2:$A$1200,0)),""))</f>
      </c>
      <c r="U320">
        <f>IF(connections!$A320="","",IFERROR(INDEX(games!$B$2:$B$1200,MATCH(connections!$B320,games!$A$2:$A$1200,0)),""))</f>
      </c>
      <c r="V320">
        <f>IF(OR($T320="",$U320=""),"",$U320-$T320)</f>
      </c>
    </row>
    <row r="321">
      <c r="A321" t="str">
        <f>IF(games!$A321="","",games!$A321)</f>
      </c>
      <c r="B321">
        <f>IF($A321="","",games!$B321)</f>
      </c>
      <c r="C321" t="str">
        <f>IF($A321="","",games!$C321)</f>
      </c>
      <c r="D321">
        <f>IF($A321="","",COUNTIF(connections!$A$2:$A$2500,$A321)+COUNTIF(connections!$B$2:$B$2500,$A321))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IF(OR($A321="",games!$H321=""),"",games!$H321)</f>
      </c>
      <c r="Q321">
        <f>IF(OR($A321="",$P321&lt;&gt;"Yes"),"",$D321+ROW()/1000000)</f>
      </c>
      <c r="T321" t="str">
        <f>IF(connections!$A321="","",IFERROR(INDEX(games!$B$2:$B$1200,MATCH(connections!$A321,games!$A$2:$A$1200,0)),""))</f>
      </c>
      <c r="U321">
        <f>IF(connections!$A321="","",IFERROR(INDEX(games!$B$2:$B$1200,MATCH(connections!$B321,games!$A$2:$A$1200,0)),""))</f>
      </c>
      <c r="V321">
        <f>IF(OR($T321="",$U321=""),"",$U321-$T321)</f>
      </c>
    </row>
    <row r="322">
      <c r="A322" t="str">
        <f>IF(games!$A322="","",games!$A322)</f>
      </c>
      <c r="B322">
        <f>IF($A322="","",games!$B322)</f>
      </c>
      <c r="C322" t="str">
        <f>IF($A322="","",games!$C322)</f>
      </c>
      <c r="D322">
        <f>IF($A322="","",COUNTIF(connections!$A$2:$A$2500,$A322)+COUNTIF(connections!$B$2:$B$2500,$A322))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IF(OR($A322="",games!$H322=""),"",games!$H322)</f>
      </c>
      <c r="Q322">
        <f>IF(OR($A322="",$P322&lt;&gt;"Yes"),"",$D322+ROW()/1000000)</f>
      </c>
      <c r="T322" t="str">
        <f>IF(connections!$A322="","",IFERROR(INDEX(games!$B$2:$B$1200,MATCH(connections!$A322,games!$A$2:$A$1200,0)),""))</f>
      </c>
      <c r="U322">
        <f>IF(connections!$A322="","",IFERROR(INDEX(games!$B$2:$B$1200,MATCH(connections!$B322,games!$A$2:$A$1200,0)),""))</f>
      </c>
      <c r="V322">
        <f>IF(OR($T322="",$U322=""),"",$U322-$T322)</f>
      </c>
    </row>
    <row r="323">
      <c r="A323" t="str">
        <f>IF(games!$A323="","",games!$A323)</f>
      </c>
      <c r="B323">
        <f>IF($A323="","",games!$B323)</f>
      </c>
      <c r="C323" t="str">
        <f>IF($A323="","",games!$C323)</f>
      </c>
      <c r="D323">
        <f>IF($A323="","",COUNTIF(connections!$A$2:$A$2500,$A323)+COUNTIF(connections!$B$2:$B$2500,$A323))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IF(OR($A323="",games!$H323=""),"",games!$H323)</f>
      </c>
      <c r="Q323">
        <f>IF(OR($A323="",$P323&lt;&gt;"Yes"),"",$D323+ROW()/1000000)</f>
      </c>
      <c r="T323" t="str">
        <f>IF(connections!$A323="","",IFERROR(INDEX(games!$B$2:$B$1200,MATCH(connections!$A323,games!$A$2:$A$1200,0)),""))</f>
      </c>
      <c r="U323">
        <f>IF(connections!$A323="","",IFERROR(INDEX(games!$B$2:$B$1200,MATCH(connections!$B323,games!$A$2:$A$1200,0)),""))</f>
      </c>
      <c r="V323">
        <f>IF(OR($T323="",$U323=""),"",$U323-$T323)</f>
      </c>
    </row>
    <row r="324">
      <c r="A324" t="str">
        <f>IF(games!$A324="","",games!$A324)</f>
      </c>
      <c r="B324">
        <f>IF($A324="","",games!$B324)</f>
      </c>
      <c r="C324" t="str">
        <f>IF($A324="","",games!$C324)</f>
      </c>
      <c r="D324">
        <f>IF($A324="","",COUNTIF(connections!$A$2:$A$2500,$A324)+COUNTIF(connections!$B$2:$B$2500,$A324))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IF(OR($A324="",games!$H324=""),"",games!$H324)</f>
      </c>
      <c r="Q324">
        <f>IF(OR($A324="",$P324&lt;&gt;"Yes"),"",$D324+ROW()/1000000)</f>
      </c>
      <c r="T324" t="str">
        <f>IF(connections!$A324="","",IFERROR(INDEX(games!$B$2:$B$1200,MATCH(connections!$A324,games!$A$2:$A$1200,0)),""))</f>
      </c>
      <c r="U324">
        <f>IF(connections!$A324="","",IFERROR(INDEX(games!$B$2:$B$1200,MATCH(connections!$B324,games!$A$2:$A$1200,0)),""))</f>
      </c>
      <c r="V324">
        <f>IF(OR($T324="",$U324=""),"",$U324-$T324)</f>
      </c>
    </row>
    <row r="325">
      <c r="A325" t="str">
        <f>IF(games!$A325="","",games!$A325)</f>
      </c>
      <c r="B325">
        <f>IF($A325="","",games!$B325)</f>
      </c>
      <c r="C325" t="str">
        <f>IF($A325="","",games!$C325)</f>
      </c>
      <c r="D325">
        <f>IF($A325="","",COUNTIF(connections!$A$2:$A$2500,$A325)+COUNTIF(connections!$B$2:$B$2500,$A325))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IF(OR($A325="",games!$H325=""),"",games!$H325)</f>
      </c>
      <c r="Q325">
        <f>IF(OR($A325="",$P325&lt;&gt;"Yes"),"",$D325+ROW()/1000000)</f>
      </c>
      <c r="T325" t="str">
        <f>IF(connections!$A325="","",IFERROR(INDEX(games!$B$2:$B$1200,MATCH(connections!$A325,games!$A$2:$A$1200,0)),""))</f>
      </c>
      <c r="U325">
        <f>IF(connections!$A325="","",IFERROR(INDEX(games!$B$2:$B$1200,MATCH(connections!$B325,games!$A$2:$A$1200,0)),""))</f>
      </c>
      <c r="V325">
        <f>IF(OR($T325="",$U325=""),"",$U325-$T325)</f>
      </c>
    </row>
    <row r="326">
      <c r="A326" t="str">
        <f>IF(games!$A326="","",games!$A326)</f>
      </c>
      <c r="B326">
        <f>IF($A326="","",games!$B326)</f>
      </c>
      <c r="C326" t="str">
        <f>IF($A326="","",games!$C326)</f>
      </c>
      <c r="D326">
        <f>IF($A326="","",COUNTIF(connections!$A$2:$A$2500,$A326)+COUNTIF(connections!$B$2:$B$2500,$A326))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IF(OR($A326="",games!$H326=""),"",games!$H326)</f>
      </c>
      <c r="Q326">
        <f>IF(OR($A326="",$P326&lt;&gt;"Yes"),"",$D326+ROW()/1000000)</f>
      </c>
      <c r="T326" t="str">
        <f>IF(connections!$A326="","",IFERROR(INDEX(games!$B$2:$B$1200,MATCH(connections!$A326,games!$A$2:$A$1200,0)),""))</f>
      </c>
      <c r="U326">
        <f>IF(connections!$A326="","",IFERROR(INDEX(games!$B$2:$B$1200,MATCH(connections!$B326,games!$A$2:$A$1200,0)),""))</f>
      </c>
      <c r="V326">
        <f>IF(OR($T326="",$U326=""),"",$U326-$T326)</f>
      </c>
    </row>
    <row r="327">
      <c r="A327" t="str">
        <f>IF(games!$A327="","",games!$A327)</f>
      </c>
      <c r="B327">
        <f>IF($A327="","",games!$B327)</f>
      </c>
      <c r="C327" t="str">
        <f>IF($A327="","",games!$C327)</f>
      </c>
      <c r="D327">
        <f>IF($A327="","",COUNTIF(connections!$A$2:$A$2500,$A327)+COUNTIF(connections!$B$2:$B$2500,$A327))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IF(OR($A327="",games!$H327=""),"",games!$H327)</f>
      </c>
      <c r="Q327">
        <f>IF(OR($A327="",$P327&lt;&gt;"Yes"),"",$D327+ROW()/1000000)</f>
      </c>
      <c r="T327" t="str">
        <f>IF(connections!$A327="","",IFERROR(INDEX(games!$B$2:$B$1200,MATCH(connections!$A327,games!$A$2:$A$1200,0)),""))</f>
      </c>
      <c r="U327">
        <f>IF(connections!$A327="","",IFERROR(INDEX(games!$B$2:$B$1200,MATCH(connections!$B327,games!$A$2:$A$1200,0)),""))</f>
      </c>
      <c r="V327">
        <f>IF(OR($T327="",$U327=""),"",$U327-$T327)</f>
      </c>
    </row>
    <row r="328">
      <c r="A328" t="str">
        <f>IF(games!$A328="","",games!$A328)</f>
      </c>
      <c r="B328">
        <f>IF($A328="","",games!$B328)</f>
      </c>
      <c r="C328" t="str">
        <f>IF($A328="","",games!$C328)</f>
      </c>
      <c r="D328">
        <f>IF($A328="","",COUNTIF(connections!$A$2:$A$2500,$A328)+COUNTIF(connections!$B$2:$B$2500,$A328))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IF(OR($A328="",games!$H328=""),"",games!$H328)</f>
      </c>
      <c r="Q328">
        <f>IF(OR($A328="",$P328&lt;&gt;"Yes"),"",$D328+ROW()/1000000)</f>
      </c>
      <c r="T328" t="str">
        <f>IF(connections!$A328="","",IFERROR(INDEX(games!$B$2:$B$1200,MATCH(connections!$A328,games!$A$2:$A$1200,0)),""))</f>
      </c>
      <c r="U328">
        <f>IF(connections!$A328="","",IFERROR(INDEX(games!$B$2:$B$1200,MATCH(connections!$B328,games!$A$2:$A$1200,0)),""))</f>
      </c>
      <c r="V328">
        <f>IF(OR($T328="",$U328=""),"",$U328-$T328)</f>
      </c>
    </row>
    <row r="329">
      <c r="A329" t="str">
        <f>IF(games!$A329="","",games!$A329)</f>
      </c>
      <c r="B329">
        <f>IF($A329="","",games!$B329)</f>
      </c>
      <c r="C329" t="str">
        <f>IF($A329="","",games!$C329)</f>
      </c>
      <c r="D329">
        <f>IF($A329="","",COUNTIF(connections!$A$2:$A$2500,$A329)+COUNTIF(connections!$B$2:$B$2500,$A329))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IF(OR($A329="",games!$H329=""),"",games!$H329)</f>
      </c>
      <c r="Q329">
        <f>IF(OR($A329="",$P329&lt;&gt;"Yes"),"",$D329+ROW()/1000000)</f>
      </c>
      <c r="T329" t="str">
        <f>IF(connections!$A329="","",IFERROR(INDEX(games!$B$2:$B$1200,MATCH(connections!$A329,games!$A$2:$A$1200,0)),""))</f>
      </c>
      <c r="U329">
        <f>IF(connections!$A329="","",IFERROR(INDEX(games!$B$2:$B$1200,MATCH(connections!$B329,games!$A$2:$A$1200,0)),""))</f>
      </c>
      <c r="V329">
        <f>IF(OR($T329="",$U329=""),"",$U329-$T329)</f>
      </c>
    </row>
    <row r="330">
      <c r="A330" t="str">
        <f>IF(games!$A330="","",games!$A330)</f>
      </c>
      <c r="B330">
        <f>IF($A330="","",games!$B330)</f>
      </c>
      <c r="C330" t="str">
        <f>IF($A330="","",games!$C330)</f>
      </c>
      <c r="D330">
        <f>IF($A330="","",COUNTIF(connections!$A$2:$A$2500,$A330)+COUNTIF(connections!$B$2:$B$2500,$A330))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IF(OR($A330="",games!$H330=""),"",games!$H330)</f>
      </c>
      <c r="Q330">
        <f>IF(OR($A330="",$P330&lt;&gt;"Yes"),"",$D330+ROW()/1000000)</f>
      </c>
      <c r="T330" t="str">
        <f>IF(connections!$A330="","",IFERROR(INDEX(games!$B$2:$B$1200,MATCH(connections!$A330,games!$A$2:$A$1200,0)),""))</f>
      </c>
      <c r="U330">
        <f>IF(connections!$A330="","",IFERROR(INDEX(games!$B$2:$B$1200,MATCH(connections!$B330,games!$A$2:$A$1200,0)),""))</f>
      </c>
      <c r="V330">
        <f>IF(OR($T330="",$U330=""),"",$U330-$T330)</f>
      </c>
    </row>
    <row r="331">
      <c r="A331" t="str">
        <f>IF(games!$A331="","",games!$A331)</f>
      </c>
      <c r="B331">
        <f>IF($A331="","",games!$B331)</f>
      </c>
      <c r="C331" t="str">
        <f>IF($A331="","",games!$C331)</f>
      </c>
      <c r="D331">
        <f>IF($A331="","",COUNTIF(connections!$A$2:$A$2500,$A331)+COUNTIF(connections!$B$2:$B$2500,$A331))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IF(OR($A331="",games!$H331=""),"",games!$H331)</f>
      </c>
      <c r="Q331">
        <f>IF(OR($A331="",$P331&lt;&gt;"Yes"),"",$D331+ROW()/1000000)</f>
      </c>
      <c r="T331" t="str">
        <f>IF(connections!$A331="","",IFERROR(INDEX(games!$B$2:$B$1200,MATCH(connections!$A331,games!$A$2:$A$1200,0)),""))</f>
      </c>
      <c r="U331">
        <f>IF(connections!$A331="","",IFERROR(INDEX(games!$B$2:$B$1200,MATCH(connections!$B331,games!$A$2:$A$1200,0)),""))</f>
      </c>
      <c r="V331">
        <f>IF(OR($T331="",$U331=""),"",$U331-$T331)</f>
      </c>
    </row>
    <row r="332">
      <c r="A332" t="str">
        <f>IF(games!$A332="","",games!$A332)</f>
      </c>
      <c r="B332">
        <f>IF($A332="","",games!$B332)</f>
      </c>
      <c r="C332" t="str">
        <f>IF($A332="","",games!$C332)</f>
      </c>
      <c r="D332">
        <f>IF($A332="","",COUNTIF(connections!$A$2:$A$2500,$A332)+COUNTIF(connections!$B$2:$B$2500,$A332))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IF(OR($A332="",games!$H332=""),"",games!$H332)</f>
      </c>
      <c r="Q332">
        <f>IF(OR($A332="",$P332&lt;&gt;"Yes"),"",$D332+ROW()/1000000)</f>
      </c>
      <c r="T332" t="str">
        <f>IF(connections!$A332="","",IFERROR(INDEX(games!$B$2:$B$1200,MATCH(connections!$A332,games!$A$2:$A$1200,0)),""))</f>
      </c>
      <c r="U332">
        <f>IF(connections!$A332="","",IFERROR(INDEX(games!$B$2:$B$1200,MATCH(connections!$B332,games!$A$2:$A$1200,0)),""))</f>
      </c>
      <c r="V332">
        <f>IF(OR($T332="",$U332=""),"",$U332-$T332)</f>
      </c>
    </row>
    <row r="333">
      <c r="A333" t="str">
        <f>IF(games!$A333="","",games!$A333)</f>
      </c>
      <c r="B333">
        <f>IF($A333="","",games!$B333)</f>
      </c>
      <c r="C333" t="str">
        <f>IF($A333="","",games!$C333)</f>
      </c>
      <c r="D333">
        <f>IF($A333="","",COUNTIF(connections!$A$2:$A$2500,$A333)+COUNTIF(connections!$B$2:$B$2500,$A333))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IF(OR($A333="",games!$H333=""),"",games!$H333)</f>
      </c>
      <c r="Q333">
        <f>IF(OR($A333="",$P333&lt;&gt;"Yes"),"",$D333+ROW()/1000000)</f>
      </c>
      <c r="T333" t="str">
        <f>IF(connections!$A333="","",IFERROR(INDEX(games!$B$2:$B$1200,MATCH(connections!$A333,games!$A$2:$A$1200,0)),""))</f>
      </c>
      <c r="U333">
        <f>IF(connections!$A333="","",IFERROR(INDEX(games!$B$2:$B$1200,MATCH(connections!$B333,games!$A$2:$A$1200,0)),""))</f>
      </c>
      <c r="V333">
        <f>IF(OR($T333="",$U333=""),"",$U333-$T333)</f>
      </c>
    </row>
    <row r="334">
      <c r="A334" t="str">
        <f>IF(games!$A334="","",games!$A334)</f>
      </c>
      <c r="B334">
        <f>IF($A334="","",games!$B334)</f>
      </c>
      <c r="C334" t="str">
        <f>IF($A334="","",games!$C334)</f>
      </c>
      <c r="D334">
        <f>IF($A334="","",COUNTIF(connections!$A$2:$A$2500,$A334)+COUNTIF(connections!$B$2:$B$2500,$A334))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IF(OR($A334="",games!$H334=""),"",games!$H334)</f>
      </c>
      <c r="Q334">
        <f>IF(OR($A334="",$P334&lt;&gt;"Yes"),"",$D334+ROW()/1000000)</f>
      </c>
      <c r="T334" t="str">
        <f>IF(connections!$A334="","",IFERROR(INDEX(games!$B$2:$B$1200,MATCH(connections!$A334,games!$A$2:$A$1200,0)),""))</f>
      </c>
      <c r="U334">
        <f>IF(connections!$A334="","",IFERROR(INDEX(games!$B$2:$B$1200,MATCH(connections!$B334,games!$A$2:$A$1200,0)),""))</f>
      </c>
      <c r="V334">
        <f>IF(OR($T334="",$U334=""),"",$U334-$T334)</f>
      </c>
    </row>
    <row r="335">
      <c r="A335" t="str">
        <f>IF(games!$A335="","",games!$A335)</f>
      </c>
      <c r="B335">
        <f>IF($A335="","",games!$B335)</f>
      </c>
      <c r="C335" t="str">
        <f>IF($A335="","",games!$C335)</f>
      </c>
      <c r="D335">
        <f>IF($A335="","",COUNTIF(connections!$A$2:$A$2500,$A335)+COUNTIF(connections!$B$2:$B$2500,$A335))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IF(OR($A335="",games!$H335=""),"",games!$H335)</f>
      </c>
      <c r="Q335">
        <f>IF(OR($A335="",$P335&lt;&gt;"Yes"),"",$D335+ROW()/1000000)</f>
      </c>
      <c r="T335" t="str">
        <f>IF(connections!$A335="","",IFERROR(INDEX(games!$B$2:$B$1200,MATCH(connections!$A335,games!$A$2:$A$1200,0)),""))</f>
      </c>
      <c r="U335">
        <f>IF(connections!$A335="","",IFERROR(INDEX(games!$B$2:$B$1200,MATCH(connections!$B335,games!$A$2:$A$1200,0)),""))</f>
      </c>
      <c r="V335">
        <f>IF(OR($T335="",$U335=""),"",$U335-$T335)</f>
      </c>
    </row>
    <row r="336">
      <c r="A336" t="str">
        <f>IF(games!$A336="","",games!$A336)</f>
      </c>
      <c r="B336">
        <f>IF($A336="","",games!$B336)</f>
      </c>
      <c r="C336" t="str">
        <f>IF($A336="","",games!$C336)</f>
      </c>
      <c r="D336">
        <f>IF($A336="","",COUNTIF(connections!$A$2:$A$2500,$A336)+COUNTIF(connections!$B$2:$B$2500,$A336))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IF(OR($A336="",games!$H336=""),"",games!$H336)</f>
      </c>
      <c r="Q336">
        <f>IF(OR($A336="",$P336&lt;&gt;"Yes"),"",$D336+ROW()/1000000)</f>
      </c>
      <c r="T336" t="str">
        <f>IF(connections!$A336="","",IFERROR(INDEX(games!$B$2:$B$1200,MATCH(connections!$A336,games!$A$2:$A$1200,0)),""))</f>
      </c>
      <c r="U336">
        <f>IF(connections!$A336="","",IFERROR(INDEX(games!$B$2:$B$1200,MATCH(connections!$B336,games!$A$2:$A$1200,0)),""))</f>
      </c>
      <c r="V336">
        <f>IF(OR($T336="",$U336=""),"",$U336-$T336)</f>
      </c>
    </row>
    <row r="337">
      <c r="A337" t="str">
        <f>IF(games!$A337="","",games!$A337)</f>
      </c>
      <c r="B337">
        <f>IF($A337="","",games!$B337)</f>
      </c>
      <c r="C337" t="str">
        <f>IF($A337="","",games!$C337)</f>
      </c>
      <c r="D337">
        <f>IF($A337="","",COUNTIF(connections!$A$2:$A$2500,$A337)+COUNTIF(connections!$B$2:$B$2500,$A337))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IF(OR($A337="",games!$H337=""),"",games!$H337)</f>
      </c>
      <c r="Q337">
        <f>IF(OR($A337="",$P337&lt;&gt;"Yes"),"",$D337+ROW()/1000000)</f>
      </c>
      <c r="T337" t="str">
        <f>IF(connections!$A337="","",IFERROR(INDEX(games!$B$2:$B$1200,MATCH(connections!$A337,games!$A$2:$A$1200,0)),""))</f>
      </c>
      <c r="U337">
        <f>IF(connections!$A337="","",IFERROR(INDEX(games!$B$2:$B$1200,MATCH(connections!$B337,games!$A$2:$A$1200,0)),""))</f>
      </c>
      <c r="V337">
        <f>IF(OR($T337="",$U337=""),"",$U337-$T337)</f>
      </c>
    </row>
    <row r="338">
      <c r="A338" t="str">
        <f>IF(games!$A338="","",games!$A338)</f>
      </c>
      <c r="B338">
        <f>IF($A338="","",games!$B338)</f>
      </c>
      <c r="C338" t="str">
        <f>IF($A338="","",games!$C338)</f>
      </c>
      <c r="D338">
        <f>IF($A338="","",COUNTIF(connections!$A$2:$A$2500,$A338)+COUNTIF(connections!$B$2:$B$2500,$A338))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IF(OR($A338="",games!$H338=""),"",games!$H338)</f>
      </c>
      <c r="Q338">
        <f>IF(OR($A338="",$P338&lt;&gt;"Yes"),"",$D338+ROW()/1000000)</f>
      </c>
      <c r="T338" t="str">
        <f>IF(connections!$A338="","",IFERROR(INDEX(games!$B$2:$B$1200,MATCH(connections!$A338,games!$A$2:$A$1200,0)),""))</f>
      </c>
      <c r="U338">
        <f>IF(connections!$A338="","",IFERROR(INDEX(games!$B$2:$B$1200,MATCH(connections!$B338,games!$A$2:$A$1200,0)),""))</f>
      </c>
      <c r="V338">
        <f>IF(OR($T338="",$U338=""),"",$U338-$T338)</f>
      </c>
    </row>
    <row r="339">
      <c r="A339" t="str">
        <f>IF(games!$A339="","",games!$A339)</f>
      </c>
      <c r="B339">
        <f>IF($A339="","",games!$B339)</f>
      </c>
      <c r="C339" t="str">
        <f>IF($A339="","",games!$C339)</f>
      </c>
      <c r="D339">
        <f>IF($A339="","",COUNTIF(connections!$A$2:$A$2500,$A339)+COUNTIF(connections!$B$2:$B$2500,$A339))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IF(OR($A339="",games!$H339=""),"",games!$H339)</f>
      </c>
      <c r="Q339">
        <f>IF(OR($A339="",$P339&lt;&gt;"Yes"),"",$D339+ROW()/1000000)</f>
      </c>
      <c r="T339" t="str">
        <f>IF(connections!$A339="","",IFERROR(INDEX(games!$B$2:$B$1200,MATCH(connections!$A339,games!$A$2:$A$1200,0)),""))</f>
      </c>
      <c r="U339">
        <f>IF(connections!$A339="","",IFERROR(INDEX(games!$B$2:$B$1200,MATCH(connections!$B339,games!$A$2:$A$1200,0)),""))</f>
      </c>
      <c r="V339">
        <f>IF(OR($T339="",$U339=""),"",$U339-$T339)</f>
      </c>
    </row>
    <row r="340">
      <c r="A340" t="str">
        <f>IF(games!$A340="","",games!$A340)</f>
      </c>
      <c r="B340">
        <f>IF($A340="","",games!$B340)</f>
      </c>
      <c r="C340" t="str">
        <f>IF($A340="","",games!$C340)</f>
      </c>
      <c r="D340">
        <f>IF($A340="","",COUNTIF(connections!$A$2:$A$2500,$A340)+COUNTIF(connections!$B$2:$B$2500,$A340))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IF(OR($A340="",games!$H340=""),"",games!$H340)</f>
      </c>
      <c r="Q340">
        <f>IF(OR($A340="",$P340&lt;&gt;"Yes"),"",$D340+ROW()/1000000)</f>
      </c>
      <c r="T340" t="str">
        <f>IF(connections!$A340="","",IFERROR(INDEX(games!$B$2:$B$1200,MATCH(connections!$A340,games!$A$2:$A$1200,0)),""))</f>
      </c>
      <c r="U340">
        <f>IF(connections!$A340="","",IFERROR(INDEX(games!$B$2:$B$1200,MATCH(connections!$B340,games!$A$2:$A$1200,0)),""))</f>
      </c>
      <c r="V340">
        <f>IF(OR($T340="",$U340=""),"",$U340-$T340)</f>
      </c>
    </row>
    <row r="341">
      <c r="A341" t="str">
        <f>IF(games!$A341="","",games!$A341)</f>
      </c>
      <c r="B341">
        <f>IF($A341="","",games!$B341)</f>
      </c>
      <c r="C341" t="str">
        <f>IF($A341="","",games!$C341)</f>
      </c>
      <c r="D341">
        <f>IF($A341="","",COUNTIF(connections!$A$2:$A$2500,$A341)+COUNTIF(connections!$B$2:$B$2500,$A341))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IF(OR($A341="",games!$H341=""),"",games!$H341)</f>
      </c>
      <c r="Q341">
        <f>IF(OR($A341="",$P341&lt;&gt;"Yes"),"",$D341+ROW()/1000000)</f>
      </c>
      <c r="T341" t="str">
        <f>IF(connections!$A341="","",IFERROR(INDEX(games!$B$2:$B$1200,MATCH(connections!$A341,games!$A$2:$A$1200,0)),""))</f>
      </c>
      <c r="U341">
        <f>IF(connections!$A341="","",IFERROR(INDEX(games!$B$2:$B$1200,MATCH(connections!$B341,games!$A$2:$A$1200,0)),""))</f>
      </c>
      <c r="V341">
        <f>IF(OR($T341="",$U341=""),"",$U341-$T341)</f>
      </c>
    </row>
    <row r="342">
      <c r="A342" t="str">
        <f>IF(games!$A342="","",games!$A342)</f>
      </c>
      <c r="B342">
        <f>IF($A342="","",games!$B342)</f>
      </c>
      <c r="C342" t="str">
        <f>IF($A342="","",games!$C342)</f>
      </c>
      <c r="D342">
        <f>IF($A342="","",COUNTIF(connections!$A$2:$A$2500,$A342)+COUNTIF(connections!$B$2:$B$2500,$A342))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IF(OR($A342="",games!$H342=""),"",games!$H342)</f>
      </c>
      <c r="Q342">
        <f>IF(OR($A342="",$P342&lt;&gt;"Yes"),"",$D342+ROW()/1000000)</f>
      </c>
      <c r="T342" t="str">
        <f>IF(connections!$A342="","",IFERROR(INDEX(games!$B$2:$B$1200,MATCH(connections!$A342,games!$A$2:$A$1200,0)),""))</f>
      </c>
      <c r="U342">
        <f>IF(connections!$A342="","",IFERROR(INDEX(games!$B$2:$B$1200,MATCH(connections!$B342,games!$A$2:$A$1200,0)),""))</f>
      </c>
      <c r="V342">
        <f>IF(OR($T342="",$U342=""),"",$U342-$T342)</f>
      </c>
    </row>
    <row r="343">
      <c r="A343" t="str">
        <f>IF(games!$A343="","",games!$A343)</f>
      </c>
      <c r="B343">
        <f>IF($A343="","",games!$B343)</f>
      </c>
      <c r="C343" t="str">
        <f>IF($A343="","",games!$C343)</f>
      </c>
      <c r="D343">
        <f>IF($A343="","",COUNTIF(connections!$A$2:$A$2500,$A343)+COUNTIF(connections!$B$2:$B$2500,$A343))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IF(OR($A343="",games!$H343=""),"",games!$H343)</f>
      </c>
      <c r="Q343">
        <f>IF(OR($A343="",$P343&lt;&gt;"Yes"),"",$D343+ROW()/1000000)</f>
      </c>
      <c r="T343" t="str">
        <f>IF(connections!$A343="","",IFERROR(INDEX(games!$B$2:$B$1200,MATCH(connections!$A343,games!$A$2:$A$1200,0)),""))</f>
      </c>
      <c r="U343">
        <f>IF(connections!$A343="","",IFERROR(INDEX(games!$B$2:$B$1200,MATCH(connections!$B343,games!$A$2:$A$1200,0)),""))</f>
      </c>
      <c r="V343">
        <f>IF(OR($T343="",$U343=""),"",$U343-$T343)</f>
      </c>
    </row>
    <row r="344">
      <c r="A344" t="str">
        <f>IF(games!$A344="","",games!$A344)</f>
      </c>
      <c r="B344">
        <f>IF($A344="","",games!$B344)</f>
      </c>
      <c r="C344" t="str">
        <f>IF($A344="","",games!$C344)</f>
      </c>
      <c r="D344">
        <f>IF($A344="","",COUNTIF(connections!$A$2:$A$2500,$A344)+COUNTIF(connections!$B$2:$B$2500,$A344))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IF(OR($A344="",games!$H344=""),"",games!$H344)</f>
      </c>
      <c r="Q344">
        <f>IF(OR($A344="",$P344&lt;&gt;"Yes"),"",$D344+ROW()/1000000)</f>
      </c>
      <c r="T344" t="str">
        <f>IF(connections!$A344="","",IFERROR(INDEX(games!$B$2:$B$1200,MATCH(connections!$A344,games!$A$2:$A$1200,0)),""))</f>
      </c>
      <c r="U344">
        <f>IF(connections!$A344="","",IFERROR(INDEX(games!$B$2:$B$1200,MATCH(connections!$B344,games!$A$2:$A$1200,0)),""))</f>
      </c>
      <c r="V344">
        <f>IF(OR($T344="",$U344=""),"",$U344-$T344)</f>
      </c>
    </row>
    <row r="345">
      <c r="A345" t="str">
        <f>IF(games!$A345="","",games!$A345)</f>
      </c>
      <c r="B345">
        <f>IF($A345="","",games!$B345)</f>
      </c>
      <c r="C345" t="str">
        <f>IF($A345="","",games!$C345)</f>
      </c>
      <c r="D345">
        <f>IF($A345="","",COUNTIF(connections!$A$2:$A$2500,$A345)+COUNTIF(connections!$B$2:$B$2500,$A345))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IF(OR($A345="",games!$H345=""),"",games!$H345)</f>
      </c>
      <c r="Q345">
        <f>IF(OR($A345="",$P345&lt;&gt;"Yes"),"",$D345+ROW()/1000000)</f>
      </c>
      <c r="T345" t="str">
        <f>IF(connections!$A345="","",IFERROR(INDEX(games!$B$2:$B$1200,MATCH(connections!$A345,games!$A$2:$A$1200,0)),""))</f>
      </c>
      <c r="U345">
        <f>IF(connections!$A345="","",IFERROR(INDEX(games!$B$2:$B$1200,MATCH(connections!$B345,games!$A$2:$A$1200,0)),""))</f>
      </c>
      <c r="V345">
        <f>IF(OR($T345="",$U345=""),"",$U345-$T345)</f>
      </c>
    </row>
    <row r="346">
      <c r="A346" t="str">
        <f>IF(games!$A346="","",games!$A346)</f>
      </c>
      <c r="B346">
        <f>IF($A346="","",games!$B346)</f>
      </c>
      <c r="C346" t="str">
        <f>IF($A346="","",games!$C346)</f>
      </c>
      <c r="D346">
        <f>IF($A346="","",COUNTIF(connections!$A$2:$A$2500,$A346)+COUNTIF(connections!$B$2:$B$2500,$A346))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IF(OR($A346="",games!$H346=""),"",games!$H346)</f>
      </c>
      <c r="Q346">
        <f>IF(OR($A346="",$P346&lt;&gt;"Yes"),"",$D346+ROW()/1000000)</f>
      </c>
      <c r="T346" t="str">
        <f>IF(connections!$A346="","",IFERROR(INDEX(games!$B$2:$B$1200,MATCH(connections!$A346,games!$A$2:$A$1200,0)),""))</f>
      </c>
      <c r="U346">
        <f>IF(connections!$A346="","",IFERROR(INDEX(games!$B$2:$B$1200,MATCH(connections!$B346,games!$A$2:$A$1200,0)),""))</f>
      </c>
      <c r="V346">
        <f>IF(OR($T346="",$U346=""),"",$U346-$T346)</f>
      </c>
    </row>
    <row r="347">
      <c r="A347" t="str">
        <f>IF(games!$A347="","",games!$A347)</f>
      </c>
      <c r="B347">
        <f>IF($A347="","",games!$B347)</f>
      </c>
      <c r="C347" t="str">
        <f>IF($A347="","",games!$C347)</f>
      </c>
      <c r="D347">
        <f>IF($A347="","",COUNTIF(connections!$A$2:$A$2500,$A347)+COUNTIF(connections!$B$2:$B$2500,$A347))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IF(OR($A347="",games!$H347=""),"",games!$H347)</f>
      </c>
      <c r="Q347">
        <f>IF(OR($A347="",$P347&lt;&gt;"Yes"),"",$D347+ROW()/1000000)</f>
      </c>
      <c r="T347" t="str">
        <f>IF(connections!$A347="","",IFERROR(INDEX(games!$B$2:$B$1200,MATCH(connections!$A347,games!$A$2:$A$1200,0)),""))</f>
      </c>
      <c r="U347">
        <f>IF(connections!$A347="","",IFERROR(INDEX(games!$B$2:$B$1200,MATCH(connections!$B347,games!$A$2:$A$1200,0)),""))</f>
      </c>
      <c r="V347">
        <f>IF(OR($T347="",$U347=""),"",$U347-$T347)</f>
      </c>
    </row>
    <row r="348">
      <c r="A348" t="str">
        <f>IF(games!$A348="","",games!$A348)</f>
      </c>
      <c r="B348">
        <f>IF($A348="","",games!$B348)</f>
      </c>
      <c r="C348" t="str">
        <f>IF($A348="","",games!$C348)</f>
      </c>
      <c r="D348">
        <f>IF($A348="","",COUNTIF(connections!$A$2:$A$2500,$A348)+COUNTIF(connections!$B$2:$B$2500,$A348))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IF(OR($A348="",games!$H348=""),"",games!$H348)</f>
      </c>
      <c r="Q348">
        <f>IF(OR($A348="",$P348&lt;&gt;"Yes"),"",$D348+ROW()/1000000)</f>
      </c>
      <c r="T348" t="str">
        <f>IF(connections!$A348="","",IFERROR(INDEX(games!$B$2:$B$1200,MATCH(connections!$A348,games!$A$2:$A$1200,0)),""))</f>
      </c>
      <c r="U348">
        <f>IF(connections!$A348="","",IFERROR(INDEX(games!$B$2:$B$1200,MATCH(connections!$B348,games!$A$2:$A$1200,0)),""))</f>
      </c>
      <c r="V348">
        <f>IF(OR($T348="",$U348=""),"",$U348-$T348)</f>
      </c>
    </row>
    <row r="349">
      <c r="A349" t="str">
        <f>IF(games!$A349="","",games!$A349)</f>
      </c>
      <c r="B349">
        <f>IF($A349="","",games!$B349)</f>
      </c>
      <c r="C349" t="str">
        <f>IF($A349="","",games!$C349)</f>
      </c>
      <c r="D349">
        <f>IF($A349="","",COUNTIF(connections!$A$2:$A$2500,$A349)+COUNTIF(connections!$B$2:$B$2500,$A349))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IF(OR($A349="",games!$H349=""),"",games!$H349)</f>
      </c>
      <c r="Q349">
        <f>IF(OR($A349="",$P349&lt;&gt;"Yes"),"",$D349+ROW()/1000000)</f>
      </c>
      <c r="T349" t="str">
        <f>IF(connections!$A349="","",IFERROR(INDEX(games!$B$2:$B$1200,MATCH(connections!$A349,games!$A$2:$A$1200,0)),""))</f>
      </c>
      <c r="U349">
        <f>IF(connections!$A349="","",IFERROR(INDEX(games!$B$2:$B$1200,MATCH(connections!$B349,games!$A$2:$A$1200,0)),""))</f>
      </c>
      <c r="V349">
        <f>IF(OR($T349="",$U349=""),"",$U349-$T349)</f>
      </c>
    </row>
    <row r="350">
      <c r="A350" t="str">
        <f>IF(games!$A350="","",games!$A350)</f>
      </c>
      <c r="B350">
        <f>IF($A350="","",games!$B350)</f>
      </c>
      <c r="C350" t="str">
        <f>IF($A350="","",games!$C350)</f>
      </c>
      <c r="D350">
        <f>IF($A350="","",COUNTIF(connections!$A$2:$A$2500,$A350)+COUNTIF(connections!$B$2:$B$2500,$A350))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IF(OR($A350="",games!$H350=""),"",games!$H350)</f>
      </c>
      <c r="Q350">
        <f>IF(OR($A350="",$P350&lt;&gt;"Yes"),"",$D350+ROW()/1000000)</f>
      </c>
      <c r="T350" t="str">
        <f>IF(connections!$A350="","",IFERROR(INDEX(games!$B$2:$B$1200,MATCH(connections!$A350,games!$A$2:$A$1200,0)),""))</f>
      </c>
      <c r="U350">
        <f>IF(connections!$A350="","",IFERROR(INDEX(games!$B$2:$B$1200,MATCH(connections!$B350,games!$A$2:$A$1200,0)),""))</f>
      </c>
      <c r="V350">
        <f>IF(OR($T350="",$U350=""),"",$U350-$T350)</f>
      </c>
    </row>
    <row r="351">
      <c r="A351" t="str">
        <f>IF(games!$A351="","",games!$A351)</f>
      </c>
      <c r="B351">
        <f>IF($A351="","",games!$B351)</f>
      </c>
      <c r="C351" t="str">
        <f>IF($A351="","",games!$C351)</f>
      </c>
      <c r="D351">
        <f>IF($A351="","",COUNTIF(connections!$A$2:$A$2500,$A351)+COUNTIF(connections!$B$2:$B$2500,$A351))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IF(OR($A351="",games!$H351=""),"",games!$H351)</f>
      </c>
      <c r="Q351">
        <f>IF(OR($A351="",$P351&lt;&gt;"Yes"),"",$D351+ROW()/1000000)</f>
      </c>
      <c r="T351" t="str">
        <f>IF(connections!$A351="","",IFERROR(INDEX(games!$B$2:$B$1200,MATCH(connections!$A351,games!$A$2:$A$1200,0)),""))</f>
      </c>
      <c r="U351">
        <f>IF(connections!$A351="","",IFERROR(INDEX(games!$B$2:$B$1200,MATCH(connections!$B351,games!$A$2:$A$1200,0)),""))</f>
      </c>
      <c r="V351">
        <f>IF(OR($T351="",$U351=""),"",$U351-$T351)</f>
      </c>
    </row>
    <row r="352">
      <c r="A352" t="str">
        <f>IF(games!$A352="","",games!$A352)</f>
      </c>
      <c r="B352">
        <f>IF($A352="","",games!$B352)</f>
      </c>
      <c r="C352" t="str">
        <f>IF($A352="","",games!$C352)</f>
      </c>
      <c r="D352">
        <f>IF($A352="","",COUNTIF(connections!$A$2:$A$2500,$A352)+COUNTIF(connections!$B$2:$B$2500,$A352))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IF(OR($A352="",games!$H352=""),"",games!$H352)</f>
      </c>
      <c r="Q352">
        <f>IF(OR($A352="",$P352&lt;&gt;"Yes"),"",$D352+ROW()/1000000)</f>
      </c>
      <c r="T352" t="str">
        <f>IF(connections!$A352="","",IFERROR(INDEX(games!$B$2:$B$1200,MATCH(connections!$A352,games!$A$2:$A$1200,0)),""))</f>
      </c>
      <c r="U352">
        <f>IF(connections!$A352="","",IFERROR(INDEX(games!$B$2:$B$1200,MATCH(connections!$B352,games!$A$2:$A$1200,0)),""))</f>
      </c>
      <c r="V352">
        <f>IF(OR($T352="",$U352=""),"",$U352-$T352)</f>
      </c>
    </row>
    <row r="353">
      <c r="A353" t="str">
        <f>IF(games!$A353="","",games!$A353)</f>
      </c>
      <c r="B353">
        <f>IF($A353="","",games!$B353)</f>
      </c>
      <c r="C353" t="str">
        <f>IF($A353="","",games!$C353)</f>
      </c>
      <c r="D353">
        <f>IF($A353="","",COUNTIF(connections!$A$2:$A$2500,$A353)+COUNTIF(connections!$B$2:$B$2500,$A353))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IF(OR($A353="",games!$H353=""),"",games!$H353)</f>
      </c>
      <c r="Q353">
        <f>IF(OR($A353="",$P353&lt;&gt;"Yes"),"",$D353+ROW()/1000000)</f>
      </c>
      <c r="T353" t="str">
        <f>IF(connections!$A353="","",IFERROR(INDEX(games!$B$2:$B$1200,MATCH(connections!$A353,games!$A$2:$A$1200,0)),""))</f>
      </c>
      <c r="U353">
        <f>IF(connections!$A353="","",IFERROR(INDEX(games!$B$2:$B$1200,MATCH(connections!$B353,games!$A$2:$A$1200,0)),""))</f>
      </c>
      <c r="V353">
        <f>IF(OR($T353="",$U353=""),"",$U353-$T353)</f>
      </c>
    </row>
    <row r="354">
      <c r="A354" t="str">
        <f>IF(games!$A354="","",games!$A354)</f>
      </c>
      <c r="B354">
        <f>IF($A354="","",games!$B354)</f>
      </c>
      <c r="C354" t="str">
        <f>IF($A354="","",games!$C354)</f>
      </c>
      <c r="D354">
        <f>IF($A354="","",COUNTIF(connections!$A$2:$A$2500,$A354)+COUNTIF(connections!$B$2:$B$2500,$A354))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IF(OR($A354="",games!$H354=""),"",games!$H354)</f>
      </c>
      <c r="Q354">
        <f>IF(OR($A354="",$P354&lt;&gt;"Yes"),"",$D354+ROW()/1000000)</f>
      </c>
      <c r="T354" t="str">
        <f>IF(connections!$A354="","",IFERROR(INDEX(games!$B$2:$B$1200,MATCH(connections!$A354,games!$A$2:$A$1200,0)),""))</f>
      </c>
      <c r="U354">
        <f>IF(connections!$A354="","",IFERROR(INDEX(games!$B$2:$B$1200,MATCH(connections!$B354,games!$A$2:$A$1200,0)),""))</f>
      </c>
      <c r="V354">
        <f>IF(OR($T354="",$U354=""),"",$U354-$T354)</f>
      </c>
    </row>
    <row r="355">
      <c r="A355" t="str">
        <f>IF(games!$A355="","",games!$A355)</f>
      </c>
      <c r="B355">
        <f>IF($A355="","",games!$B355)</f>
      </c>
      <c r="C355" t="str">
        <f>IF($A355="","",games!$C355)</f>
      </c>
      <c r="D355">
        <f>IF($A355="","",COUNTIF(connections!$A$2:$A$2500,$A355)+COUNTIF(connections!$B$2:$B$2500,$A355))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IF(OR($A355="",games!$H355=""),"",games!$H355)</f>
      </c>
      <c r="Q355">
        <f>IF(OR($A355="",$P355&lt;&gt;"Yes"),"",$D355+ROW()/1000000)</f>
      </c>
      <c r="T355" t="str">
        <f>IF(connections!$A355="","",IFERROR(INDEX(games!$B$2:$B$1200,MATCH(connections!$A355,games!$A$2:$A$1200,0)),""))</f>
      </c>
      <c r="U355">
        <f>IF(connections!$A355="","",IFERROR(INDEX(games!$B$2:$B$1200,MATCH(connections!$B355,games!$A$2:$A$1200,0)),""))</f>
      </c>
      <c r="V355">
        <f>IF(OR($T355="",$U355=""),"",$U355-$T355)</f>
      </c>
    </row>
    <row r="356">
      <c r="A356" t="str">
        <f>IF(games!$A356="","",games!$A356)</f>
      </c>
      <c r="B356">
        <f>IF($A356="","",games!$B356)</f>
      </c>
      <c r="C356" t="str">
        <f>IF($A356="","",games!$C356)</f>
      </c>
      <c r="D356">
        <f>IF($A356="","",COUNTIF(connections!$A$2:$A$2500,$A356)+COUNTIF(connections!$B$2:$B$2500,$A356))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IF(OR($A356="",games!$H356=""),"",games!$H356)</f>
      </c>
      <c r="Q356">
        <f>IF(OR($A356="",$P356&lt;&gt;"Yes"),"",$D356+ROW()/1000000)</f>
      </c>
      <c r="T356" t="str">
        <f>IF(connections!$A356="","",IFERROR(INDEX(games!$B$2:$B$1200,MATCH(connections!$A356,games!$A$2:$A$1200,0)),""))</f>
      </c>
      <c r="U356">
        <f>IF(connections!$A356="","",IFERROR(INDEX(games!$B$2:$B$1200,MATCH(connections!$B356,games!$A$2:$A$1200,0)),""))</f>
      </c>
      <c r="V356">
        <f>IF(OR($T356="",$U356=""),"",$U356-$T356)</f>
      </c>
    </row>
    <row r="357">
      <c r="A357" t="str">
        <f>IF(games!$A357="","",games!$A357)</f>
      </c>
      <c r="B357">
        <f>IF($A357="","",games!$B357)</f>
      </c>
      <c r="C357" t="str">
        <f>IF($A357="","",games!$C357)</f>
      </c>
      <c r="D357">
        <f>IF($A357="","",COUNTIF(connections!$A$2:$A$2500,$A357)+COUNTIF(connections!$B$2:$B$2500,$A357))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IF(OR($A357="",games!$H357=""),"",games!$H357)</f>
      </c>
      <c r="Q357">
        <f>IF(OR($A357="",$P357&lt;&gt;"Yes"),"",$D357+ROW()/1000000)</f>
      </c>
      <c r="T357" t="str">
        <f>IF(connections!$A357="","",IFERROR(INDEX(games!$B$2:$B$1200,MATCH(connections!$A357,games!$A$2:$A$1200,0)),""))</f>
      </c>
      <c r="U357">
        <f>IF(connections!$A357="","",IFERROR(INDEX(games!$B$2:$B$1200,MATCH(connections!$B357,games!$A$2:$A$1200,0)),""))</f>
      </c>
      <c r="V357">
        <f>IF(OR($T357="",$U357=""),"",$U357-$T357)</f>
      </c>
    </row>
    <row r="358">
      <c r="A358" t="str">
        <f>IF(games!$A358="","",games!$A358)</f>
      </c>
      <c r="B358">
        <f>IF($A358="","",games!$B358)</f>
      </c>
      <c r="C358" t="str">
        <f>IF($A358="","",games!$C358)</f>
      </c>
      <c r="D358">
        <f>IF($A358="","",COUNTIF(connections!$A$2:$A$2500,$A358)+COUNTIF(connections!$B$2:$B$2500,$A358))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IF(OR($A358="",games!$H358=""),"",games!$H358)</f>
      </c>
      <c r="Q358">
        <f>IF(OR($A358="",$P358&lt;&gt;"Yes"),"",$D358+ROW()/1000000)</f>
      </c>
      <c r="T358" t="str">
        <f>IF(connections!$A358="","",IFERROR(INDEX(games!$B$2:$B$1200,MATCH(connections!$A358,games!$A$2:$A$1200,0)),""))</f>
      </c>
      <c r="U358">
        <f>IF(connections!$A358="","",IFERROR(INDEX(games!$B$2:$B$1200,MATCH(connections!$B358,games!$A$2:$A$1200,0)),""))</f>
      </c>
      <c r="V358">
        <f>IF(OR($T358="",$U358=""),"",$U358-$T358)</f>
      </c>
    </row>
    <row r="359">
      <c r="A359" t="str">
        <f>IF(games!$A359="","",games!$A359)</f>
      </c>
      <c r="B359">
        <f>IF($A359="","",games!$B359)</f>
      </c>
      <c r="C359" t="str">
        <f>IF($A359="","",games!$C359)</f>
      </c>
      <c r="D359">
        <f>IF($A359="","",COUNTIF(connections!$A$2:$A$2500,$A359)+COUNTIF(connections!$B$2:$B$2500,$A359))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IF(OR($A359="",games!$H359=""),"",games!$H359)</f>
      </c>
      <c r="Q359">
        <f>IF(OR($A359="",$P359&lt;&gt;"Yes"),"",$D359+ROW()/1000000)</f>
      </c>
      <c r="T359" t="str">
        <f>IF(connections!$A359="","",IFERROR(INDEX(games!$B$2:$B$1200,MATCH(connections!$A359,games!$A$2:$A$1200,0)),""))</f>
      </c>
      <c r="U359">
        <f>IF(connections!$A359="","",IFERROR(INDEX(games!$B$2:$B$1200,MATCH(connections!$B359,games!$A$2:$A$1200,0)),""))</f>
      </c>
      <c r="V359">
        <f>IF(OR($T359="",$U359=""),"",$U359-$T359)</f>
      </c>
    </row>
    <row r="360">
      <c r="A360" t="str">
        <f>IF(games!$A360="","",games!$A360)</f>
      </c>
      <c r="B360">
        <f>IF($A360="","",games!$B360)</f>
      </c>
      <c r="C360" t="str">
        <f>IF($A360="","",games!$C360)</f>
      </c>
      <c r="D360">
        <f>IF($A360="","",COUNTIF(connections!$A$2:$A$2500,$A360)+COUNTIF(connections!$B$2:$B$2500,$A360))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IF(OR($A360="",games!$H360=""),"",games!$H360)</f>
      </c>
      <c r="Q360">
        <f>IF(OR($A360="",$P360&lt;&gt;"Yes"),"",$D360+ROW()/1000000)</f>
      </c>
      <c r="T360" t="str">
        <f>IF(connections!$A360="","",IFERROR(INDEX(games!$B$2:$B$1200,MATCH(connections!$A360,games!$A$2:$A$1200,0)),""))</f>
      </c>
      <c r="U360">
        <f>IF(connections!$A360="","",IFERROR(INDEX(games!$B$2:$B$1200,MATCH(connections!$B360,games!$A$2:$A$1200,0)),""))</f>
      </c>
      <c r="V360">
        <f>IF(OR($T360="",$U360=""),"",$U360-$T360)</f>
      </c>
    </row>
    <row r="361">
      <c r="A361" t="str">
        <f>IF(games!$A361="","",games!$A361)</f>
      </c>
      <c r="B361">
        <f>IF($A361="","",games!$B361)</f>
      </c>
      <c r="C361" t="str">
        <f>IF($A361="","",games!$C361)</f>
      </c>
      <c r="D361">
        <f>IF($A361="","",COUNTIF(connections!$A$2:$A$2500,$A361)+COUNTIF(connections!$B$2:$B$2500,$A361))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IF(OR($A361="",games!$H361=""),"",games!$H361)</f>
      </c>
      <c r="Q361">
        <f>IF(OR($A361="",$P361&lt;&gt;"Yes"),"",$D361+ROW()/1000000)</f>
      </c>
      <c r="T361" t="str">
        <f>IF(connections!$A361="","",IFERROR(INDEX(games!$B$2:$B$1200,MATCH(connections!$A361,games!$A$2:$A$1200,0)),""))</f>
      </c>
      <c r="U361">
        <f>IF(connections!$A361="","",IFERROR(INDEX(games!$B$2:$B$1200,MATCH(connections!$B361,games!$A$2:$A$1200,0)),""))</f>
      </c>
      <c r="V361">
        <f>IF(OR($T361="",$U361=""),"",$U361-$T361)</f>
      </c>
    </row>
    <row r="362">
      <c r="A362" t="str">
        <f>IF(games!$A362="","",games!$A362)</f>
      </c>
      <c r="B362">
        <f>IF($A362="","",games!$B362)</f>
      </c>
      <c r="C362" t="str">
        <f>IF($A362="","",games!$C362)</f>
      </c>
      <c r="D362">
        <f>IF($A362="","",COUNTIF(connections!$A$2:$A$2500,$A362)+COUNTIF(connections!$B$2:$B$2500,$A362))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IF(OR($A362="",games!$H362=""),"",games!$H362)</f>
      </c>
      <c r="Q362">
        <f>IF(OR($A362="",$P362&lt;&gt;"Yes"),"",$D362+ROW()/1000000)</f>
      </c>
      <c r="T362" t="str">
        <f>IF(connections!$A362="","",IFERROR(INDEX(games!$B$2:$B$1200,MATCH(connections!$A362,games!$A$2:$A$1200,0)),""))</f>
      </c>
      <c r="U362">
        <f>IF(connections!$A362="","",IFERROR(INDEX(games!$B$2:$B$1200,MATCH(connections!$B362,games!$A$2:$A$1200,0)),""))</f>
      </c>
      <c r="V362">
        <f>IF(OR($T362="",$U362=""),"",$U362-$T362)</f>
      </c>
    </row>
    <row r="363">
      <c r="A363" t="str">
        <f>IF(games!$A363="","",games!$A363)</f>
      </c>
      <c r="B363">
        <f>IF($A363="","",games!$B363)</f>
      </c>
      <c r="C363" t="str">
        <f>IF($A363="","",games!$C363)</f>
      </c>
      <c r="D363">
        <f>IF($A363="","",COUNTIF(connections!$A$2:$A$2500,$A363)+COUNTIF(connections!$B$2:$B$2500,$A363))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IF(OR($A363="",games!$H363=""),"",games!$H363)</f>
      </c>
      <c r="Q363">
        <f>IF(OR($A363="",$P363&lt;&gt;"Yes"),"",$D363+ROW()/1000000)</f>
      </c>
      <c r="T363" t="str">
        <f>IF(connections!$A363="","",IFERROR(INDEX(games!$B$2:$B$1200,MATCH(connections!$A363,games!$A$2:$A$1200,0)),""))</f>
      </c>
      <c r="U363">
        <f>IF(connections!$A363="","",IFERROR(INDEX(games!$B$2:$B$1200,MATCH(connections!$B363,games!$A$2:$A$1200,0)),""))</f>
      </c>
      <c r="V363">
        <f>IF(OR($T363="",$U363=""),"",$U363-$T363)</f>
      </c>
    </row>
    <row r="364">
      <c r="A364" t="str">
        <f>IF(games!$A364="","",games!$A364)</f>
      </c>
      <c r="B364">
        <f>IF($A364="","",games!$B364)</f>
      </c>
      <c r="C364" t="str">
        <f>IF($A364="","",games!$C364)</f>
      </c>
      <c r="D364">
        <f>IF($A364="","",COUNTIF(connections!$A$2:$A$2500,$A364)+COUNTIF(connections!$B$2:$B$2500,$A364))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IF(OR($A364="",games!$H364=""),"",games!$H364)</f>
      </c>
      <c r="Q364">
        <f>IF(OR($A364="",$P364&lt;&gt;"Yes"),"",$D364+ROW()/1000000)</f>
      </c>
      <c r="T364" t="str">
        <f>IF(connections!$A364="","",IFERROR(INDEX(games!$B$2:$B$1200,MATCH(connections!$A364,games!$A$2:$A$1200,0)),""))</f>
      </c>
      <c r="U364">
        <f>IF(connections!$A364="","",IFERROR(INDEX(games!$B$2:$B$1200,MATCH(connections!$B364,games!$A$2:$A$1200,0)),""))</f>
      </c>
      <c r="V364">
        <f>IF(OR($T364="",$U364=""),"",$U364-$T364)</f>
      </c>
    </row>
    <row r="365">
      <c r="A365" t="str">
        <f>IF(games!$A365="","",games!$A365)</f>
      </c>
      <c r="B365">
        <f>IF($A365="","",games!$B365)</f>
      </c>
      <c r="C365" t="str">
        <f>IF($A365="","",games!$C365)</f>
      </c>
      <c r="D365">
        <f>IF($A365="","",COUNTIF(connections!$A$2:$A$2500,$A365)+COUNTIF(connections!$B$2:$B$2500,$A365))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IF(OR($A365="",games!$H365=""),"",games!$H365)</f>
      </c>
      <c r="Q365">
        <f>IF(OR($A365="",$P365&lt;&gt;"Yes"),"",$D365+ROW()/1000000)</f>
      </c>
      <c r="T365" t="str">
        <f>IF(connections!$A365="","",IFERROR(INDEX(games!$B$2:$B$1200,MATCH(connections!$A365,games!$A$2:$A$1200,0)),""))</f>
      </c>
      <c r="U365">
        <f>IF(connections!$A365="","",IFERROR(INDEX(games!$B$2:$B$1200,MATCH(connections!$B365,games!$A$2:$A$1200,0)),""))</f>
      </c>
      <c r="V365">
        <f>IF(OR($T365="",$U365=""),"",$U365-$T365)</f>
      </c>
    </row>
    <row r="366">
      <c r="A366" t="str">
        <f>IF(games!$A366="","",games!$A366)</f>
      </c>
      <c r="B366">
        <f>IF($A366="","",games!$B366)</f>
      </c>
      <c r="C366" t="str">
        <f>IF($A366="","",games!$C366)</f>
      </c>
      <c r="D366">
        <f>IF($A366="","",COUNTIF(connections!$A$2:$A$2500,$A366)+COUNTIF(connections!$B$2:$B$2500,$A366))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IF(OR($A366="",games!$H366=""),"",games!$H366)</f>
      </c>
      <c r="Q366">
        <f>IF(OR($A366="",$P366&lt;&gt;"Yes"),"",$D366+ROW()/1000000)</f>
      </c>
      <c r="T366" t="str">
        <f>IF(connections!$A366="","",IFERROR(INDEX(games!$B$2:$B$1200,MATCH(connections!$A366,games!$A$2:$A$1200,0)),""))</f>
      </c>
      <c r="U366">
        <f>IF(connections!$A366="","",IFERROR(INDEX(games!$B$2:$B$1200,MATCH(connections!$B366,games!$A$2:$A$1200,0)),""))</f>
      </c>
      <c r="V366">
        <f>IF(OR($T366="",$U366=""),"",$U366-$T366)</f>
      </c>
    </row>
    <row r="367">
      <c r="A367" t="str">
        <f>IF(games!$A367="","",games!$A367)</f>
      </c>
      <c r="B367">
        <f>IF($A367="","",games!$B367)</f>
      </c>
      <c r="C367" t="str">
        <f>IF($A367="","",games!$C367)</f>
      </c>
      <c r="D367">
        <f>IF($A367="","",COUNTIF(connections!$A$2:$A$2500,$A367)+COUNTIF(connections!$B$2:$B$2500,$A367))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IF(OR($A367="",games!$H367=""),"",games!$H367)</f>
      </c>
      <c r="Q367">
        <f>IF(OR($A367="",$P367&lt;&gt;"Yes"),"",$D367+ROW()/1000000)</f>
      </c>
      <c r="T367" t="str">
        <f>IF(connections!$A367="","",IFERROR(INDEX(games!$B$2:$B$1200,MATCH(connections!$A367,games!$A$2:$A$1200,0)),""))</f>
      </c>
      <c r="U367">
        <f>IF(connections!$A367="","",IFERROR(INDEX(games!$B$2:$B$1200,MATCH(connections!$B367,games!$A$2:$A$1200,0)),""))</f>
      </c>
      <c r="V367">
        <f>IF(OR($T367="",$U367=""),"",$U367-$T367)</f>
      </c>
    </row>
    <row r="368">
      <c r="A368" t="str">
        <f>IF(games!$A368="","",games!$A368)</f>
      </c>
      <c r="B368">
        <f>IF($A368="","",games!$B368)</f>
      </c>
      <c r="C368" t="str">
        <f>IF($A368="","",games!$C368)</f>
      </c>
      <c r="D368">
        <f>IF($A368="","",COUNTIF(connections!$A$2:$A$2500,$A368)+COUNTIF(connections!$B$2:$B$2500,$A368))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IF(OR($A368="",games!$H368=""),"",games!$H368)</f>
      </c>
      <c r="Q368">
        <f>IF(OR($A368="",$P368&lt;&gt;"Yes"),"",$D368+ROW()/1000000)</f>
      </c>
      <c r="T368" t="str">
        <f>IF(connections!$A368="","",IFERROR(INDEX(games!$B$2:$B$1200,MATCH(connections!$A368,games!$A$2:$A$1200,0)),""))</f>
      </c>
      <c r="U368">
        <f>IF(connections!$A368="","",IFERROR(INDEX(games!$B$2:$B$1200,MATCH(connections!$B368,games!$A$2:$A$1200,0)),""))</f>
      </c>
      <c r="V368">
        <f>IF(OR($T368="",$U368=""),"",$U368-$T368)</f>
      </c>
    </row>
    <row r="369">
      <c r="A369" t="str">
        <f>IF(games!$A369="","",games!$A369)</f>
      </c>
      <c r="B369">
        <f>IF($A369="","",games!$B369)</f>
      </c>
      <c r="C369" t="str">
        <f>IF($A369="","",games!$C369)</f>
      </c>
      <c r="D369">
        <f>IF($A369="","",COUNTIF(connections!$A$2:$A$2500,$A369)+COUNTIF(connections!$B$2:$B$2500,$A369))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IF(OR($A369="",games!$H369=""),"",games!$H369)</f>
      </c>
      <c r="Q369">
        <f>IF(OR($A369="",$P369&lt;&gt;"Yes"),"",$D369+ROW()/1000000)</f>
      </c>
      <c r="T369" t="str">
        <f>IF(connections!$A369="","",IFERROR(INDEX(games!$B$2:$B$1200,MATCH(connections!$A369,games!$A$2:$A$1200,0)),""))</f>
      </c>
      <c r="U369">
        <f>IF(connections!$A369="","",IFERROR(INDEX(games!$B$2:$B$1200,MATCH(connections!$B369,games!$A$2:$A$1200,0)),""))</f>
      </c>
      <c r="V369">
        <f>IF(OR($T369="",$U369=""),"",$U369-$T369)</f>
      </c>
    </row>
    <row r="370">
      <c r="A370" t="str">
        <f>IF(games!$A370="","",games!$A370)</f>
      </c>
      <c r="B370">
        <f>IF($A370="","",games!$B370)</f>
      </c>
      <c r="C370" t="str">
        <f>IF($A370="","",games!$C370)</f>
      </c>
      <c r="D370">
        <f>IF($A370="","",COUNTIF(connections!$A$2:$A$2500,$A370)+COUNTIF(connections!$B$2:$B$2500,$A370))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IF(OR($A370="",games!$H370=""),"",games!$H370)</f>
      </c>
      <c r="Q370">
        <f>IF(OR($A370="",$P370&lt;&gt;"Yes"),"",$D370+ROW()/1000000)</f>
      </c>
      <c r="T370" t="str">
        <f>IF(connections!$A370="","",IFERROR(INDEX(games!$B$2:$B$1200,MATCH(connections!$A370,games!$A$2:$A$1200,0)),""))</f>
      </c>
      <c r="U370">
        <f>IF(connections!$A370="","",IFERROR(INDEX(games!$B$2:$B$1200,MATCH(connections!$B370,games!$A$2:$A$1200,0)),""))</f>
      </c>
      <c r="V370">
        <f>IF(OR($T370="",$U370=""),"",$U370-$T370)</f>
      </c>
    </row>
    <row r="371">
      <c r="A371" t="str">
        <f>IF(games!$A371="","",games!$A371)</f>
      </c>
      <c r="B371">
        <f>IF($A371="","",games!$B371)</f>
      </c>
      <c r="C371" t="str">
        <f>IF($A371="","",games!$C371)</f>
      </c>
      <c r="D371">
        <f>IF($A371="","",COUNTIF(connections!$A$2:$A$2500,$A371)+COUNTIF(connections!$B$2:$B$2500,$A371))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IF(OR($A371="",games!$H371=""),"",games!$H371)</f>
      </c>
      <c r="Q371">
        <f>IF(OR($A371="",$P371&lt;&gt;"Yes"),"",$D371+ROW()/1000000)</f>
      </c>
      <c r="T371" t="str">
        <f>IF(connections!$A371="","",IFERROR(INDEX(games!$B$2:$B$1200,MATCH(connections!$A371,games!$A$2:$A$1200,0)),""))</f>
      </c>
      <c r="U371">
        <f>IF(connections!$A371="","",IFERROR(INDEX(games!$B$2:$B$1200,MATCH(connections!$B371,games!$A$2:$A$1200,0)),""))</f>
      </c>
      <c r="V371">
        <f>IF(OR($T371="",$U371=""),"",$U371-$T371)</f>
      </c>
    </row>
    <row r="372">
      <c r="A372" t="str">
        <f>IF(games!$A372="","",games!$A372)</f>
      </c>
      <c r="B372">
        <f>IF($A372="","",games!$B372)</f>
      </c>
      <c r="C372" t="str">
        <f>IF($A372="","",games!$C372)</f>
      </c>
      <c r="D372">
        <f>IF($A372="","",COUNTIF(connections!$A$2:$A$2500,$A372)+COUNTIF(connections!$B$2:$B$2500,$A372))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IF(OR($A372="",games!$H372=""),"",games!$H372)</f>
      </c>
      <c r="Q372">
        <f>IF(OR($A372="",$P372&lt;&gt;"Yes"),"",$D372+ROW()/1000000)</f>
      </c>
      <c r="T372" t="str">
        <f>IF(connections!$A372="","",IFERROR(INDEX(games!$B$2:$B$1200,MATCH(connections!$A372,games!$A$2:$A$1200,0)),""))</f>
      </c>
      <c r="U372">
        <f>IF(connections!$A372="","",IFERROR(INDEX(games!$B$2:$B$1200,MATCH(connections!$B372,games!$A$2:$A$1200,0)),""))</f>
      </c>
      <c r="V372">
        <f>IF(OR($T372="",$U372=""),"",$U372-$T372)</f>
      </c>
    </row>
    <row r="373">
      <c r="A373" t="str">
        <f>IF(games!$A373="","",games!$A373)</f>
      </c>
      <c r="B373">
        <f>IF($A373="","",games!$B373)</f>
      </c>
      <c r="C373" t="str">
        <f>IF($A373="","",games!$C373)</f>
      </c>
      <c r="D373">
        <f>IF($A373="","",COUNTIF(connections!$A$2:$A$2500,$A373)+COUNTIF(connections!$B$2:$B$2500,$A373))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IF(OR($A373="",games!$H373=""),"",games!$H373)</f>
      </c>
      <c r="Q373">
        <f>IF(OR($A373="",$P373&lt;&gt;"Yes"),"",$D373+ROW()/1000000)</f>
      </c>
      <c r="T373" t="str">
        <f>IF(connections!$A373="","",IFERROR(INDEX(games!$B$2:$B$1200,MATCH(connections!$A373,games!$A$2:$A$1200,0)),""))</f>
      </c>
      <c r="U373">
        <f>IF(connections!$A373="","",IFERROR(INDEX(games!$B$2:$B$1200,MATCH(connections!$B373,games!$A$2:$A$1200,0)),""))</f>
      </c>
      <c r="V373">
        <f>IF(OR($T373="",$U373=""),"",$U373-$T373)</f>
      </c>
    </row>
    <row r="374">
      <c r="A374" t="str">
        <f>IF(games!$A374="","",games!$A374)</f>
      </c>
      <c r="B374">
        <f>IF($A374="","",games!$B374)</f>
      </c>
      <c r="C374" t="str">
        <f>IF($A374="","",games!$C374)</f>
      </c>
      <c r="D374">
        <f>IF($A374="","",COUNTIF(connections!$A$2:$A$2500,$A374)+COUNTIF(connections!$B$2:$B$2500,$A374))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IF(OR($A374="",games!$H374=""),"",games!$H374)</f>
      </c>
      <c r="Q374">
        <f>IF(OR($A374="",$P374&lt;&gt;"Yes"),"",$D374+ROW()/1000000)</f>
      </c>
      <c r="T374" t="str">
        <f>IF(connections!$A374="","",IFERROR(INDEX(games!$B$2:$B$1200,MATCH(connections!$A374,games!$A$2:$A$1200,0)),""))</f>
      </c>
      <c r="U374">
        <f>IF(connections!$A374="","",IFERROR(INDEX(games!$B$2:$B$1200,MATCH(connections!$B374,games!$A$2:$A$1200,0)),""))</f>
      </c>
      <c r="V374">
        <f>IF(OR($T374="",$U374=""),"",$U374-$T374)</f>
      </c>
    </row>
    <row r="375">
      <c r="A375" t="str">
        <f>IF(games!$A375="","",games!$A375)</f>
      </c>
      <c r="B375">
        <f>IF($A375="","",games!$B375)</f>
      </c>
      <c r="C375" t="str">
        <f>IF($A375="","",games!$C375)</f>
      </c>
      <c r="D375">
        <f>IF($A375="","",COUNTIF(connections!$A$2:$A$2500,$A375)+COUNTIF(connections!$B$2:$B$2500,$A375))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IF(OR($A375="",games!$H375=""),"",games!$H375)</f>
      </c>
      <c r="Q375">
        <f>IF(OR($A375="",$P375&lt;&gt;"Yes"),"",$D375+ROW()/1000000)</f>
      </c>
      <c r="T375" t="str">
        <f>IF(connections!$A375="","",IFERROR(INDEX(games!$B$2:$B$1200,MATCH(connections!$A375,games!$A$2:$A$1200,0)),""))</f>
      </c>
      <c r="U375">
        <f>IF(connections!$A375="","",IFERROR(INDEX(games!$B$2:$B$1200,MATCH(connections!$B375,games!$A$2:$A$1200,0)),""))</f>
      </c>
      <c r="V375">
        <f>IF(OR($T375="",$U375=""),"",$U375-$T375)</f>
      </c>
    </row>
    <row r="376">
      <c r="A376" t="str">
        <f>IF(games!$A376="","",games!$A376)</f>
      </c>
      <c r="B376">
        <f>IF($A376="","",games!$B376)</f>
      </c>
      <c r="C376" t="str">
        <f>IF($A376="","",games!$C376)</f>
      </c>
      <c r="D376">
        <f>IF($A376="","",COUNTIF(connections!$A$2:$A$2500,$A376)+COUNTIF(connections!$B$2:$B$2500,$A376))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IF(OR($A376="",games!$H376=""),"",games!$H376)</f>
      </c>
      <c r="Q376">
        <f>IF(OR($A376="",$P376&lt;&gt;"Yes"),"",$D376+ROW()/1000000)</f>
      </c>
      <c r="T376" t="str">
        <f>IF(connections!$A376="","",IFERROR(INDEX(games!$B$2:$B$1200,MATCH(connections!$A376,games!$A$2:$A$1200,0)),""))</f>
      </c>
      <c r="U376">
        <f>IF(connections!$A376="","",IFERROR(INDEX(games!$B$2:$B$1200,MATCH(connections!$B376,games!$A$2:$A$1200,0)),""))</f>
      </c>
      <c r="V376">
        <f>IF(OR($T376="",$U376=""),"",$U376-$T376)</f>
      </c>
    </row>
    <row r="377">
      <c r="A377" t="str">
        <f>IF(games!$A377="","",games!$A377)</f>
      </c>
      <c r="B377">
        <f>IF($A377="","",games!$B377)</f>
      </c>
      <c r="C377" t="str">
        <f>IF($A377="","",games!$C377)</f>
      </c>
      <c r="D377">
        <f>IF($A377="","",COUNTIF(connections!$A$2:$A$2500,$A377)+COUNTIF(connections!$B$2:$B$2500,$A377))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IF(OR($A377="",games!$H377=""),"",games!$H377)</f>
      </c>
      <c r="Q377">
        <f>IF(OR($A377="",$P377&lt;&gt;"Yes"),"",$D377+ROW()/1000000)</f>
      </c>
      <c r="T377" t="str">
        <f>IF(connections!$A377="","",IFERROR(INDEX(games!$B$2:$B$1200,MATCH(connections!$A377,games!$A$2:$A$1200,0)),""))</f>
      </c>
      <c r="U377">
        <f>IF(connections!$A377="","",IFERROR(INDEX(games!$B$2:$B$1200,MATCH(connections!$B377,games!$A$2:$A$1200,0)),""))</f>
      </c>
      <c r="V377">
        <f>IF(OR($T377="",$U377=""),"",$U377-$T377)</f>
      </c>
    </row>
    <row r="378">
      <c r="A378" t="str">
        <f>IF(games!$A378="","",games!$A378)</f>
      </c>
      <c r="B378">
        <f>IF($A378="","",games!$B378)</f>
      </c>
      <c r="C378" t="str">
        <f>IF($A378="","",games!$C378)</f>
      </c>
      <c r="D378">
        <f>IF($A378="","",COUNTIF(connections!$A$2:$A$2500,$A378)+COUNTIF(connections!$B$2:$B$2500,$A378))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IF(OR($A378="",games!$H378=""),"",games!$H378)</f>
      </c>
      <c r="Q378">
        <f>IF(OR($A378="",$P378&lt;&gt;"Yes"),"",$D378+ROW()/1000000)</f>
      </c>
      <c r="T378" t="str">
        <f>IF(connections!$A378="","",IFERROR(INDEX(games!$B$2:$B$1200,MATCH(connections!$A378,games!$A$2:$A$1200,0)),""))</f>
      </c>
      <c r="U378">
        <f>IF(connections!$A378="","",IFERROR(INDEX(games!$B$2:$B$1200,MATCH(connections!$B378,games!$A$2:$A$1200,0)),""))</f>
      </c>
      <c r="V378">
        <f>IF(OR($T378="",$U378=""),"",$U378-$T378)</f>
      </c>
    </row>
    <row r="379">
      <c r="A379" t="str">
        <f>IF(games!$A379="","",games!$A379)</f>
      </c>
      <c r="B379">
        <f>IF($A379="","",games!$B379)</f>
      </c>
      <c r="C379" t="str">
        <f>IF($A379="","",games!$C379)</f>
      </c>
      <c r="D379">
        <f>IF($A379="","",COUNTIF(connections!$A$2:$A$2500,$A379)+COUNTIF(connections!$B$2:$B$2500,$A379))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IF(OR($A379="",games!$H379=""),"",games!$H379)</f>
      </c>
      <c r="Q379">
        <f>IF(OR($A379="",$P379&lt;&gt;"Yes"),"",$D379+ROW()/1000000)</f>
      </c>
      <c r="T379" t="str">
        <f>IF(connections!$A379="","",IFERROR(INDEX(games!$B$2:$B$1200,MATCH(connections!$A379,games!$A$2:$A$1200,0)),""))</f>
      </c>
      <c r="U379">
        <f>IF(connections!$A379="","",IFERROR(INDEX(games!$B$2:$B$1200,MATCH(connections!$B379,games!$A$2:$A$1200,0)),""))</f>
      </c>
      <c r="V379">
        <f>IF(OR($T379="",$U379=""),"",$U379-$T379)</f>
      </c>
    </row>
    <row r="380">
      <c r="A380" t="str">
        <f>IF(games!$A380="","",games!$A380)</f>
      </c>
      <c r="B380">
        <f>IF($A380="","",games!$B380)</f>
      </c>
      <c r="C380" t="str">
        <f>IF($A380="","",games!$C380)</f>
      </c>
      <c r="D380">
        <f>IF($A380="","",COUNTIF(connections!$A$2:$A$2500,$A380)+COUNTIF(connections!$B$2:$B$2500,$A380))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IF(OR($A380="",games!$H380=""),"",games!$H380)</f>
      </c>
      <c r="Q380">
        <f>IF(OR($A380="",$P380&lt;&gt;"Yes"),"",$D380+ROW()/1000000)</f>
      </c>
      <c r="T380" t="str">
        <f>IF(connections!$A380="","",IFERROR(INDEX(games!$B$2:$B$1200,MATCH(connections!$A380,games!$A$2:$A$1200,0)),""))</f>
      </c>
      <c r="U380">
        <f>IF(connections!$A380="","",IFERROR(INDEX(games!$B$2:$B$1200,MATCH(connections!$B380,games!$A$2:$A$1200,0)),""))</f>
      </c>
      <c r="V380">
        <f>IF(OR($T380="",$U380=""),"",$U380-$T380)</f>
      </c>
    </row>
    <row r="381">
      <c r="A381" t="str">
        <f>IF(games!$A381="","",games!$A381)</f>
      </c>
      <c r="B381">
        <f>IF($A381="","",games!$B381)</f>
      </c>
      <c r="C381" t="str">
        <f>IF($A381="","",games!$C381)</f>
      </c>
      <c r="D381">
        <f>IF($A381="","",COUNTIF(connections!$A$2:$A$2500,$A381)+COUNTIF(connections!$B$2:$B$2500,$A381))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IF(OR($A381="",games!$H381=""),"",games!$H381)</f>
      </c>
      <c r="Q381">
        <f>IF(OR($A381="",$P381&lt;&gt;"Yes"),"",$D381+ROW()/1000000)</f>
      </c>
      <c r="T381" t="str">
        <f>IF(connections!$A381="","",IFERROR(INDEX(games!$B$2:$B$1200,MATCH(connections!$A381,games!$A$2:$A$1200,0)),""))</f>
      </c>
      <c r="U381">
        <f>IF(connections!$A381="","",IFERROR(INDEX(games!$B$2:$B$1200,MATCH(connections!$B381,games!$A$2:$A$1200,0)),""))</f>
      </c>
      <c r="V381">
        <f>IF(OR($T381="",$U381=""),"",$U381-$T381)</f>
      </c>
    </row>
    <row r="382">
      <c r="A382" t="str">
        <f>IF(games!$A382="","",games!$A382)</f>
      </c>
      <c r="B382">
        <f>IF($A382="","",games!$B382)</f>
      </c>
      <c r="C382" t="str">
        <f>IF($A382="","",games!$C382)</f>
      </c>
      <c r="D382">
        <f>IF($A382="","",COUNTIF(connections!$A$2:$A$2500,$A382)+COUNTIF(connections!$B$2:$B$2500,$A382))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IF(OR($A382="",games!$H382=""),"",games!$H382)</f>
      </c>
      <c r="Q382">
        <f>IF(OR($A382="",$P382&lt;&gt;"Yes"),"",$D382+ROW()/1000000)</f>
      </c>
      <c r="T382" t="str">
        <f>IF(connections!$A382="","",IFERROR(INDEX(games!$B$2:$B$1200,MATCH(connections!$A382,games!$A$2:$A$1200,0)),""))</f>
      </c>
      <c r="U382">
        <f>IF(connections!$A382="","",IFERROR(INDEX(games!$B$2:$B$1200,MATCH(connections!$B382,games!$A$2:$A$1200,0)),""))</f>
      </c>
      <c r="V382">
        <f>IF(OR($T382="",$U382=""),"",$U382-$T382)</f>
      </c>
    </row>
    <row r="383">
      <c r="A383" t="str">
        <f>IF(games!$A383="","",games!$A383)</f>
      </c>
      <c r="B383">
        <f>IF($A383="","",games!$B383)</f>
      </c>
      <c r="C383" t="str">
        <f>IF($A383="","",games!$C383)</f>
      </c>
      <c r="D383">
        <f>IF($A383="","",COUNTIF(connections!$A$2:$A$2500,$A383)+COUNTIF(connections!$B$2:$B$2500,$A383))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IF(OR($A383="",games!$H383=""),"",games!$H383)</f>
      </c>
      <c r="Q383">
        <f>IF(OR($A383="",$P383&lt;&gt;"Yes"),"",$D383+ROW()/1000000)</f>
      </c>
      <c r="T383" t="str">
        <f>IF(connections!$A383="","",IFERROR(INDEX(games!$B$2:$B$1200,MATCH(connections!$A383,games!$A$2:$A$1200,0)),""))</f>
      </c>
      <c r="U383">
        <f>IF(connections!$A383="","",IFERROR(INDEX(games!$B$2:$B$1200,MATCH(connections!$B383,games!$A$2:$A$1200,0)),""))</f>
      </c>
      <c r="V383">
        <f>IF(OR($T383="",$U383=""),"",$U383-$T383)</f>
      </c>
    </row>
    <row r="384">
      <c r="A384" t="str">
        <f>IF(games!$A384="","",games!$A384)</f>
      </c>
      <c r="B384">
        <f>IF($A384="","",games!$B384)</f>
      </c>
      <c r="C384" t="str">
        <f>IF($A384="","",games!$C384)</f>
      </c>
      <c r="D384">
        <f>IF($A384="","",COUNTIF(connections!$A$2:$A$2500,$A384)+COUNTIF(connections!$B$2:$B$2500,$A384))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IF(OR($A384="",games!$H384=""),"",games!$H384)</f>
      </c>
      <c r="Q384">
        <f>IF(OR($A384="",$P384&lt;&gt;"Yes"),"",$D384+ROW()/1000000)</f>
      </c>
      <c r="T384" t="str">
        <f>IF(connections!$A384="","",IFERROR(INDEX(games!$B$2:$B$1200,MATCH(connections!$A384,games!$A$2:$A$1200,0)),""))</f>
      </c>
      <c r="U384">
        <f>IF(connections!$A384="","",IFERROR(INDEX(games!$B$2:$B$1200,MATCH(connections!$B384,games!$A$2:$A$1200,0)),""))</f>
      </c>
      <c r="V384">
        <f>IF(OR($T384="",$U384=""),"",$U384-$T384)</f>
      </c>
    </row>
    <row r="385">
      <c r="A385" t="str">
        <f>IF(games!$A385="","",games!$A385)</f>
      </c>
      <c r="B385">
        <f>IF($A385="","",games!$B385)</f>
      </c>
      <c r="C385" t="str">
        <f>IF($A385="","",games!$C385)</f>
      </c>
      <c r="D385">
        <f>IF($A385="","",COUNTIF(connections!$A$2:$A$2500,$A385)+COUNTIF(connections!$B$2:$B$2500,$A385))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IF(OR($A385="",games!$H385=""),"",games!$H385)</f>
      </c>
      <c r="Q385">
        <f>IF(OR($A385="",$P385&lt;&gt;"Yes"),"",$D385+ROW()/1000000)</f>
      </c>
      <c r="T385" t="str">
        <f>IF(connections!$A385="","",IFERROR(INDEX(games!$B$2:$B$1200,MATCH(connections!$A385,games!$A$2:$A$1200,0)),""))</f>
      </c>
      <c r="U385">
        <f>IF(connections!$A385="","",IFERROR(INDEX(games!$B$2:$B$1200,MATCH(connections!$B385,games!$A$2:$A$1200,0)),""))</f>
      </c>
      <c r="V385">
        <f>IF(OR($T385="",$U385=""),"",$U385-$T385)</f>
      </c>
    </row>
    <row r="386">
      <c r="A386" t="str">
        <f>IF(games!$A386="","",games!$A386)</f>
      </c>
      <c r="B386">
        <f>IF($A386="","",games!$B386)</f>
      </c>
      <c r="C386" t="str">
        <f>IF($A386="","",games!$C386)</f>
      </c>
      <c r="D386">
        <f>IF($A386="","",COUNTIF(connections!$A$2:$A$2500,$A386)+COUNTIF(connections!$B$2:$B$2500,$A386))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IF(OR($A386="",games!$H386=""),"",games!$H386)</f>
      </c>
      <c r="Q386">
        <f>IF(OR($A386="",$P386&lt;&gt;"Yes"),"",$D386+ROW()/1000000)</f>
      </c>
      <c r="T386" t="str">
        <f>IF(connections!$A386="","",IFERROR(INDEX(games!$B$2:$B$1200,MATCH(connections!$A386,games!$A$2:$A$1200,0)),""))</f>
      </c>
      <c r="U386">
        <f>IF(connections!$A386="","",IFERROR(INDEX(games!$B$2:$B$1200,MATCH(connections!$B386,games!$A$2:$A$1200,0)),""))</f>
      </c>
      <c r="V386">
        <f>IF(OR($T386="",$U386=""),"",$U386-$T386)</f>
      </c>
    </row>
    <row r="387">
      <c r="A387" t="str">
        <f>IF(games!$A387="","",games!$A387)</f>
      </c>
      <c r="B387">
        <f>IF($A387="","",games!$B387)</f>
      </c>
      <c r="C387" t="str">
        <f>IF($A387="","",games!$C387)</f>
      </c>
      <c r="D387">
        <f>IF($A387="","",COUNTIF(connections!$A$2:$A$2500,$A387)+COUNTIF(connections!$B$2:$B$2500,$A387))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IF(OR($A387="",games!$H387=""),"",games!$H387)</f>
      </c>
      <c r="Q387">
        <f>IF(OR($A387="",$P387&lt;&gt;"Yes"),"",$D387+ROW()/1000000)</f>
      </c>
      <c r="T387" t="str">
        <f>IF(connections!$A387="","",IFERROR(INDEX(games!$B$2:$B$1200,MATCH(connections!$A387,games!$A$2:$A$1200,0)),""))</f>
      </c>
      <c r="U387">
        <f>IF(connections!$A387="","",IFERROR(INDEX(games!$B$2:$B$1200,MATCH(connections!$B387,games!$A$2:$A$1200,0)),""))</f>
      </c>
      <c r="V387">
        <f>IF(OR($T387="",$U387=""),"",$U387-$T387)</f>
      </c>
    </row>
    <row r="388">
      <c r="A388" t="str">
        <f>IF(games!$A388="","",games!$A388)</f>
      </c>
      <c r="B388">
        <f>IF($A388="","",games!$B388)</f>
      </c>
      <c r="C388" t="str">
        <f>IF($A388="","",games!$C388)</f>
      </c>
      <c r="D388">
        <f>IF($A388="","",COUNTIF(connections!$A$2:$A$2500,$A388)+COUNTIF(connections!$B$2:$B$2500,$A388))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IF(OR($A388="",games!$H388=""),"",games!$H388)</f>
      </c>
      <c r="Q388">
        <f>IF(OR($A388="",$P388&lt;&gt;"Yes"),"",$D388+ROW()/1000000)</f>
      </c>
      <c r="T388" t="str">
        <f>IF(connections!$A388="","",IFERROR(INDEX(games!$B$2:$B$1200,MATCH(connections!$A388,games!$A$2:$A$1200,0)),""))</f>
      </c>
      <c r="U388">
        <f>IF(connections!$A388="","",IFERROR(INDEX(games!$B$2:$B$1200,MATCH(connections!$B388,games!$A$2:$A$1200,0)),""))</f>
      </c>
      <c r="V388">
        <f>IF(OR($T388="",$U388=""),"",$U388-$T388)</f>
      </c>
    </row>
    <row r="389">
      <c r="A389" t="str">
        <f>IF(games!$A389="","",games!$A389)</f>
      </c>
      <c r="B389">
        <f>IF($A389="","",games!$B389)</f>
      </c>
      <c r="C389" t="str">
        <f>IF($A389="","",games!$C389)</f>
      </c>
      <c r="D389">
        <f>IF($A389="","",COUNTIF(connections!$A$2:$A$2500,$A389)+COUNTIF(connections!$B$2:$B$2500,$A389))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IF(OR($A389="",games!$H389=""),"",games!$H389)</f>
      </c>
      <c r="Q389">
        <f>IF(OR($A389="",$P389&lt;&gt;"Yes"),"",$D389+ROW()/1000000)</f>
      </c>
      <c r="T389" t="str">
        <f>IF(connections!$A389="","",IFERROR(INDEX(games!$B$2:$B$1200,MATCH(connections!$A389,games!$A$2:$A$1200,0)),""))</f>
      </c>
      <c r="U389">
        <f>IF(connections!$A389="","",IFERROR(INDEX(games!$B$2:$B$1200,MATCH(connections!$B389,games!$A$2:$A$1200,0)),""))</f>
      </c>
      <c r="V389">
        <f>IF(OR($T389="",$U389=""),"",$U389-$T389)</f>
      </c>
    </row>
    <row r="390">
      <c r="A390" t="str">
        <f>IF(games!$A390="","",games!$A390)</f>
      </c>
      <c r="B390">
        <f>IF($A390="","",games!$B390)</f>
      </c>
      <c r="C390" t="str">
        <f>IF($A390="","",games!$C390)</f>
      </c>
      <c r="D390">
        <f>IF($A390="","",COUNTIF(connections!$A$2:$A$2500,$A390)+COUNTIF(connections!$B$2:$B$2500,$A390))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IF(OR($A390="",games!$H390=""),"",games!$H390)</f>
      </c>
      <c r="Q390">
        <f>IF(OR($A390="",$P390&lt;&gt;"Yes"),"",$D390+ROW()/1000000)</f>
      </c>
      <c r="T390" t="str">
        <f>IF(connections!$A390="","",IFERROR(INDEX(games!$B$2:$B$1200,MATCH(connections!$A390,games!$A$2:$A$1200,0)),""))</f>
      </c>
      <c r="U390">
        <f>IF(connections!$A390="","",IFERROR(INDEX(games!$B$2:$B$1200,MATCH(connections!$B390,games!$A$2:$A$1200,0)),""))</f>
      </c>
      <c r="V390">
        <f>IF(OR($T390="",$U390=""),"",$U390-$T390)</f>
      </c>
    </row>
    <row r="391">
      <c r="A391" t="str">
        <f>IF(games!$A391="","",games!$A391)</f>
      </c>
      <c r="B391">
        <f>IF($A391="","",games!$B391)</f>
      </c>
      <c r="C391" t="str">
        <f>IF($A391="","",games!$C391)</f>
      </c>
      <c r="D391">
        <f>IF($A391="","",COUNTIF(connections!$A$2:$A$2500,$A391)+COUNTIF(connections!$B$2:$B$2500,$A391))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IF(OR($A391="",games!$H391=""),"",games!$H391)</f>
      </c>
      <c r="Q391">
        <f>IF(OR($A391="",$P391&lt;&gt;"Yes"),"",$D391+ROW()/1000000)</f>
      </c>
      <c r="T391" t="str">
        <f>IF(connections!$A391="","",IFERROR(INDEX(games!$B$2:$B$1200,MATCH(connections!$A391,games!$A$2:$A$1200,0)),""))</f>
      </c>
      <c r="U391">
        <f>IF(connections!$A391="","",IFERROR(INDEX(games!$B$2:$B$1200,MATCH(connections!$B391,games!$A$2:$A$1200,0)),""))</f>
      </c>
      <c r="V391">
        <f>IF(OR($T391="",$U391=""),"",$U391-$T391)</f>
      </c>
    </row>
    <row r="392">
      <c r="A392" t="str">
        <f>IF(games!$A392="","",games!$A392)</f>
      </c>
      <c r="B392">
        <f>IF($A392="","",games!$B392)</f>
      </c>
      <c r="C392" t="str">
        <f>IF($A392="","",games!$C392)</f>
      </c>
      <c r="D392">
        <f>IF($A392="","",COUNTIF(connections!$A$2:$A$2500,$A392)+COUNTIF(connections!$B$2:$B$2500,$A392))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IF(OR($A392="",games!$H392=""),"",games!$H392)</f>
      </c>
      <c r="Q392">
        <f>IF(OR($A392="",$P392&lt;&gt;"Yes"),"",$D392+ROW()/1000000)</f>
      </c>
      <c r="T392" t="str">
        <f>IF(connections!$A392="","",IFERROR(INDEX(games!$B$2:$B$1200,MATCH(connections!$A392,games!$A$2:$A$1200,0)),""))</f>
      </c>
      <c r="U392">
        <f>IF(connections!$A392="","",IFERROR(INDEX(games!$B$2:$B$1200,MATCH(connections!$B392,games!$A$2:$A$1200,0)),""))</f>
      </c>
      <c r="V392">
        <f>IF(OR($T392="",$U392=""),"",$U392-$T392)</f>
      </c>
    </row>
    <row r="393">
      <c r="A393" t="str">
        <f>IF(games!$A393="","",games!$A393)</f>
      </c>
      <c r="B393">
        <f>IF($A393="","",games!$B393)</f>
      </c>
      <c r="C393" t="str">
        <f>IF($A393="","",games!$C393)</f>
      </c>
      <c r="D393">
        <f>IF($A393="","",COUNTIF(connections!$A$2:$A$2500,$A393)+COUNTIF(connections!$B$2:$B$2500,$A393))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IF(OR($A393="",games!$H393=""),"",games!$H393)</f>
      </c>
      <c r="Q393">
        <f>IF(OR($A393="",$P393&lt;&gt;"Yes"),"",$D393+ROW()/1000000)</f>
      </c>
      <c r="T393" t="str">
        <f>IF(connections!$A393="","",IFERROR(INDEX(games!$B$2:$B$1200,MATCH(connections!$A393,games!$A$2:$A$1200,0)),""))</f>
      </c>
      <c r="U393">
        <f>IF(connections!$A393="","",IFERROR(INDEX(games!$B$2:$B$1200,MATCH(connections!$B393,games!$A$2:$A$1200,0)),""))</f>
      </c>
      <c r="V393">
        <f>IF(OR($T393="",$U393=""),"",$U393-$T393)</f>
      </c>
    </row>
    <row r="394">
      <c r="A394" t="str">
        <f>IF(games!$A394="","",games!$A394)</f>
      </c>
      <c r="B394">
        <f>IF($A394="","",games!$B394)</f>
      </c>
      <c r="C394" t="str">
        <f>IF($A394="","",games!$C394)</f>
      </c>
      <c r="D394">
        <f>IF($A394="","",COUNTIF(connections!$A$2:$A$2500,$A394)+COUNTIF(connections!$B$2:$B$2500,$A394))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IF(OR($A394="",games!$H394=""),"",games!$H394)</f>
      </c>
      <c r="Q394">
        <f>IF(OR($A394="",$P394&lt;&gt;"Yes"),"",$D394+ROW()/1000000)</f>
      </c>
      <c r="T394" t="str">
        <f>IF(connections!$A394="","",IFERROR(INDEX(games!$B$2:$B$1200,MATCH(connections!$A394,games!$A$2:$A$1200,0)),""))</f>
      </c>
      <c r="U394">
        <f>IF(connections!$A394="","",IFERROR(INDEX(games!$B$2:$B$1200,MATCH(connections!$B394,games!$A$2:$A$1200,0)),""))</f>
      </c>
      <c r="V394">
        <f>IF(OR($T394="",$U394=""),"",$U394-$T394)</f>
      </c>
    </row>
    <row r="395">
      <c r="A395" t="str">
        <f>IF(games!$A395="","",games!$A395)</f>
      </c>
      <c r="B395">
        <f>IF($A395="","",games!$B395)</f>
      </c>
      <c r="C395" t="str">
        <f>IF($A395="","",games!$C395)</f>
      </c>
      <c r="D395">
        <f>IF($A395="","",COUNTIF(connections!$A$2:$A$2500,$A395)+COUNTIF(connections!$B$2:$B$2500,$A395))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IF(OR($A395="",games!$H395=""),"",games!$H395)</f>
      </c>
      <c r="Q395">
        <f>IF(OR($A395="",$P395&lt;&gt;"Yes"),"",$D395+ROW()/1000000)</f>
      </c>
      <c r="T395" t="str">
        <f>IF(connections!$A395="","",IFERROR(INDEX(games!$B$2:$B$1200,MATCH(connections!$A395,games!$A$2:$A$1200,0)),""))</f>
      </c>
      <c r="U395">
        <f>IF(connections!$A395="","",IFERROR(INDEX(games!$B$2:$B$1200,MATCH(connections!$B395,games!$A$2:$A$1200,0)),""))</f>
      </c>
      <c r="V395">
        <f>IF(OR($T395="",$U395=""),"",$U395-$T395)</f>
      </c>
    </row>
    <row r="396">
      <c r="A396" t="str">
        <f>IF(games!$A396="","",games!$A396)</f>
      </c>
      <c r="B396">
        <f>IF($A396="","",games!$B396)</f>
      </c>
      <c r="C396" t="str">
        <f>IF($A396="","",games!$C396)</f>
      </c>
      <c r="D396">
        <f>IF($A396="","",COUNTIF(connections!$A$2:$A$2500,$A396)+COUNTIF(connections!$B$2:$B$2500,$A396))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IF(OR($A396="",games!$H396=""),"",games!$H396)</f>
      </c>
      <c r="Q396">
        <f>IF(OR($A396="",$P396&lt;&gt;"Yes"),"",$D396+ROW()/1000000)</f>
      </c>
      <c r="T396" t="str">
        <f>IF(connections!$A396="","",IFERROR(INDEX(games!$B$2:$B$1200,MATCH(connections!$A396,games!$A$2:$A$1200,0)),""))</f>
      </c>
      <c r="U396">
        <f>IF(connections!$A396="","",IFERROR(INDEX(games!$B$2:$B$1200,MATCH(connections!$B396,games!$A$2:$A$1200,0)),""))</f>
      </c>
      <c r="V396">
        <f>IF(OR($T396="",$U396=""),"",$U396-$T396)</f>
      </c>
    </row>
    <row r="397">
      <c r="A397" t="str">
        <f>IF(games!$A397="","",games!$A397)</f>
      </c>
      <c r="B397">
        <f>IF($A397="","",games!$B397)</f>
      </c>
      <c r="C397" t="str">
        <f>IF($A397="","",games!$C397)</f>
      </c>
      <c r="D397">
        <f>IF($A397="","",COUNTIF(connections!$A$2:$A$2500,$A397)+COUNTIF(connections!$B$2:$B$2500,$A397))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IF(OR($A397="",games!$H397=""),"",games!$H397)</f>
      </c>
      <c r="Q397">
        <f>IF(OR($A397="",$P397&lt;&gt;"Yes"),"",$D397+ROW()/1000000)</f>
      </c>
      <c r="T397" t="str">
        <f>IF(connections!$A397="","",IFERROR(INDEX(games!$B$2:$B$1200,MATCH(connections!$A397,games!$A$2:$A$1200,0)),""))</f>
      </c>
      <c r="U397">
        <f>IF(connections!$A397="","",IFERROR(INDEX(games!$B$2:$B$1200,MATCH(connections!$B397,games!$A$2:$A$1200,0)),""))</f>
      </c>
      <c r="V397">
        <f>IF(OR($T397="",$U397=""),"",$U397-$T397)</f>
      </c>
    </row>
    <row r="398">
      <c r="A398" t="str">
        <f>IF(games!$A398="","",games!$A398)</f>
      </c>
      <c r="B398">
        <f>IF($A398="","",games!$B398)</f>
      </c>
      <c r="C398" t="str">
        <f>IF($A398="","",games!$C398)</f>
      </c>
      <c r="D398">
        <f>IF($A398="","",COUNTIF(connections!$A$2:$A$2500,$A398)+COUNTIF(connections!$B$2:$B$2500,$A398))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IF(OR($A398="",games!$H398=""),"",games!$H398)</f>
      </c>
      <c r="Q398">
        <f>IF(OR($A398="",$P398&lt;&gt;"Yes"),"",$D398+ROW()/1000000)</f>
      </c>
      <c r="T398" t="str">
        <f>IF(connections!$A398="","",IFERROR(INDEX(games!$B$2:$B$1200,MATCH(connections!$A398,games!$A$2:$A$1200,0)),""))</f>
      </c>
      <c r="U398">
        <f>IF(connections!$A398="","",IFERROR(INDEX(games!$B$2:$B$1200,MATCH(connections!$B398,games!$A$2:$A$1200,0)),""))</f>
      </c>
      <c r="V398">
        <f>IF(OR($T398="",$U398=""),"",$U398-$T398)</f>
      </c>
    </row>
    <row r="399">
      <c r="A399" t="str">
        <f>IF(games!$A399="","",games!$A399)</f>
      </c>
      <c r="B399">
        <f>IF($A399="","",games!$B399)</f>
      </c>
      <c r="C399" t="str">
        <f>IF($A399="","",games!$C399)</f>
      </c>
      <c r="D399">
        <f>IF($A399="","",COUNTIF(connections!$A$2:$A$2500,$A399)+COUNTIF(connections!$B$2:$B$2500,$A399))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IF(OR($A399="",games!$H399=""),"",games!$H399)</f>
      </c>
      <c r="Q399">
        <f>IF(OR($A399="",$P399&lt;&gt;"Yes"),"",$D399+ROW()/1000000)</f>
      </c>
      <c r="T399" t="str">
        <f>IF(connections!$A399="","",IFERROR(INDEX(games!$B$2:$B$1200,MATCH(connections!$A399,games!$A$2:$A$1200,0)),""))</f>
      </c>
      <c r="U399">
        <f>IF(connections!$A399="","",IFERROR(INDEX(games!$B$2:$B$1200,MATCH(connections!$B399,games!$A$2:$A$1200,0)),""))</f>
      </c>
      <c r="V399">
        <f>IF(OR($T399="",$U399=""),"",$U399-$T399)</f>
      </c>
    </row>
    <row r="400">
      <c r="A400" t="str">
        <f>IF(games!$A400="","",games!$A400)</f>
      </c>
      <c r="B400">
        <f>IF($A400="","",games!$B400)</f>
      </c>
      <c r="C400" t="str">
        <f>IF($A400="","",games!$C400)</f>
      </c>
      <c r="D400">
        <f>IF($A400="","",COUNTIF(connections!$A$2:$A$2500,$A400)+COUNTIF(connections!$B$2:$B$2500,$A400))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IF(OR($A400="",games!$H400=""),"",games!$H400)</f>
      </c>
      <c r="Q400">
        <f>IF(OR($A400="",$P400&lt;&gt;"Yes"),"",$D400+ROW()/1000000)</f>
      </c>
      <c r="T400" t="str">
        <f>IF(connections!$A400="","",IFERROR(INDEX(games!$B$2:$B$1200,MATCH(connections!$A400,games!$A$2:$A$1200,0)),""))</f>
      </c>
      <c r="U400">
        <f>IF(connections!$A400="","",IFERROR(INDEX(games!$B$2:$B$1200,MATCH(connections!$B400,games!$A$2:$A$1200,0)),""))</f>
      </c>
      <c r="V400">
        <f>IF(OR($T400="",$U400=""),"",$U400-$T400)</f>
      </c>
    </row>
    <row r="401">
      <c r="A401" t="str">
        <f>IF(games!$A401="","",games!$A401)</f>
      </c>
      <c r="B401">
        <f>IF($A401="","",games!$B401)</f>
      </c>
      <c r="C401" t="str">
        <f>IF($A401="","",games!$C401)</f>
      </c>
      <c r="D401">
        <f>IF($A401="","",COUNTIF(connections!$A$2:$A$2500,$A401)+COUNTIF(connections!$B$2:$B$2500,$A401))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IF(OR($A401="",games!$H401=""),"",games!$H401)</f>
      </c>
      <c r="Q401">
        <f>IF(OR($A401="",$P401&lt;&gt;"Yes"),"",$D401+ROW()/1000000)</f>
      </c>
      <c r="T401" t="str">
        <f>IF(connections!$A401="","",IFERROR(INDEX(games!$B$2:$B$1200,MATCH(connections!$A401,games!$A$2:$A$1200,0)),""))</f>
      </c>
      <c r="U401">
        <f>IF(connections!$A401="","",IFERROR(INDEX(games!$B$2:$B$1200,MATCH(connections!$B401,games!$A$2:$A$1200,0)),""))</f>
      </c>
      <c r="V401">
        <f>IF(OR($T401="",$U401=""),"",$U401-$T401)</f>
      </c>
    </row>
    <row r="402">
      <c r="A402" t="str">
        <f>IF(games!$A402="","",games!$A402)</f>
      </c>
      <c r="B402">
        <f>IF($A402="","",games!$B402)</f>
      </c>
      <c r="C402" t="str">
        <f>IF($A402="","",games!$C402)</f>
      </c>
      <c r="D402">
        <f>IF($A402="","",COUNTIF(connections!$A$2:$A$2500,$A402)+COUNTIF(connections!$B$2:$B$2500,$A402))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IF(OR($A402="",games!$H402=""),"",games!$H402)</f>
      </c>
      <c r="Q402">
        <f>IF(OR($A402="",$P402&lt;&gt;"Yes"),"",$D402+ROW()/1000000)</f>
      </c>
      <c r="T402" t="str">
        <f>IF(connections!$A402="","",IFERROR(INDEX(games!$B$2:$B$1200,MATCH(connections!$A402,games!$A$2:$A$1200,0)),""))</f>
      </c>
      <c r="U402">
        <f>IF(connections!$A402="","",IFERROR(INDEX(games!$B$2:$B$1200,MATCH(connections!$B402,games!$A$2:$A$1200,0)),""))</f>
      </c>
      <c r="V402">
        <f>IF(OR($T402="",$U402=""),"",$U402-$T402)</f>
      </c>
    </row>
    <row r="403">
      <c r="A403" t="str">
        <f>IF(games!$A403="","",games!$A403)</f>
      </c>
      <c r="B403">
        <f>IF($A403="","",games!$B403)</f>
      </c>
      <c r="C403" t="str">
        <f>IF($A403="","",games!$C403)</f>
      </c>
      <c r="D403">
        <f>IF($A403="","",COUNTIF(connections!$A$2:$A$2500,$A403)+COUNTIF(connections!$B$2:$B$2500,$A403))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IF(OR($A403="",games!$H403=""),"",games!$H403)</f>
      </c>
      <c r="Q403">
        <f>IF(OR($A403="",$P403&lt;&gt;"Yes"),"",$D403+ROW()/1000000)</f>
      </c>
      <c r="T403" t="str">
        <f>IF(connections!$A403="","",IFERROR(INDEX(games!$B$2:$B$1200,MATCH(connections!$A403,games!$A$2:$A$1200,0)),""))</f>
      </c>
      <c r="U403">
        <f>IF(connections!$A403="","",IFERROR(INDEX(games!$B$2:$B$1200,MATCH(connections!$B403,games!$A$2:$A$1200,0)),""))</f>
      </c>
      <c r="V403">
        <f>IF(OR($T403="",$U403=""),"",$U403-$T403)</f>
      </c>
    </row>
    <row r="404">
      <c r="A404" t="str">
        <f>IF(games!$A404="","",games!$A404)</f>
      </c>
      <c r="B404">
        <f>IF($A404="","",games!$B404)</f>
      </c>
      <c r="C404" t="str">
        <f>IF($A404="","",games!$C404)</f>
      </c>
      <c r="D404">
        <f>IF($A404="","",COUNTIF(connections!$A$2:$A$2500,$A404)+COUNTIF(connections!$B$2:$B$2500,$A404))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IF(OR($A404="",games!$H404=""),"",games!$H404)</f>
      </c>
      <c r="Q404">
        <f>IF(OR($A404="",$P404&lt;&gt;"Yes"),"",$D404+ROW()/1000000)</f>
      </c>
      <c r="T404" t="str">
        <f>IF(connections!$A404="","",IFERROR(INDEX(games!$B$2:$B$1200,MATCH(connections!$A404,games!$A$2:$A$1200,0)),""))</f>
      </c>
      <c r="U404">
        <f>IF(connections!$A404="","",IFERROR(INDEX(games!$B$2:$B$1200,MATCH(connections!$B404,games!$A$2:$A$1200,0)),""))</f>
      </c>
      <c r="V404">
        <f>IF(OR($T404="",$U404=""),"",$U404-$T404)</f>
      </c>
    </row>
    <row r="405">
      <c r="A405" t="str">
        <f>IF(games!$A405="","",games!$A405)</f>
      </c>
      <c r="B405">
        <f>IF($A405="","",games!$B405)</f>
      </c>
      <c r="C405" t="str">
        <f>IF($A405="","",games!$C405)</f>
      </c>
      <c r="D405">
        <f>IF($A405="","",COUNTIF(connections!$A$2:$A$2500,$A405)+COUNTIF(connections!$B$2:$B$2500,$A405))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IF(OR($A405="",games!$H405=""),"",games!$H405)</f>
      </c>
      <c r="Q405">
        <f>IF(OR($A405="",$P405&lt;&gt;"Yes"),"",$D405+ROW()/1000000)</f>
      </c>
      <c r="T405" t="str">
        <f>IF(connections!$A405="","",IFERROR(INDEX(games!$B$2:$B$1200,MATCH(connections!$A405,games!$A$2:$A$1200,0)),""))</f>
      </c>
      <c r="U405">
        <f>IF(connections!$A405="","",IFERROR(INDEX(games!$B$2:$B$1200,MATCH(connections!$B405,games!$A$2:$A$1200,0)),""))</f>
      </c>
      <c r="V405">
        <f>IF(OR($T405="",$U405=""),"",$U405-$T405)</f>
      </c>
    </row>
    <row r="406">
      <c r="A406" t="str">
        <f>IF(games!$A406="","",games!$A406)</f>
      </c>
      <c r="B406">
        <f>IF($A406="","",games!$B406)</f>
      </c>
      <c r="C406" t="str">
        <f>IF($A406="","",games!$C406)</f>
      </c>
      <c r="D406">
        <f>IF($A406="","",COUNTIF(connections!$A$2:$A$2500,$A406)+COUNTIF(connections!$B$2:$B$2500,$A406))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IF(OR($A406="",games!$H406=""),"",games!$H406)</f>
      </c>
      <c r="Q406">
        <f>IF(OR($A406="",$P406&lt;&gt;"Yes"),"",$D406+ROW()/1000000)</f>
      </c>
      <c r="T406" t="str">
        <f>IF(connections!$A406="","",IFERROR(INDEX(games!$B$2:$B$1200,MATCH(connections!$A406,games!$A$2:$A$1200,0)),""))</f>
      </c>
      <c r="U406">
        <f>IF(connections!$A406="","",IFERROR(INDEX(games!$B$2:$B$1200,MATCH(connections!$B406,games!$A$2:$A$1200,0)),""))</f>
      </c>
      <c r="V406">
        <f>IF(OR($T406="",$U406=""),"",$U406-$T406)</f>
      </c>
    </row>
    <row r="407">
      <c r="A407" t="str">
        <f>IF(games!$A407="","",games!$A407)</f>
      </c>
      <c r="B407">
        <f>IF($A407="","",games!$B407)</f>
      </c>
      <c r="C407" t="str">
        <f>IF($A407="","",games!$C407)</f>
      </c>
      <c r="D407">
        <f>IF($A407="","",COUNTIF(connections!$A$2:$A$2500,$A407)+COUNTIF(connections!$B$2:$B$2500,$A407))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IF(OR($A407="",games!$H407=""),"",games!$H407)</f>
      </c>
      <c r="Q407">
        <f>IF(OR($A407="",$P407&lt;&gt;"Yes"),"",$D407+ROW()/1000000)</f>
      </c>
      <c r="T407" t="str">
        <f>IF(connections!$A407="","",IFERROR(INDEX(games!$B$2:$B$1200,MATCH(connections!$A407,games!$A$2:$A$1200,0)),""))</f>
      </c>
      <c r="U407">
        <f>IF(connections!$A407="","",IFERROR(INDEX(games!$B$2:$B$1200,MATCH(connections!$B407,games!$A$2:$A$1200,0)),""))</f>
      </c>
      <c r="V407">
        <f>IF(OR($T407="",$U407=""),"",$U407-$T407)</f>
      </c>
    </row>
    <row r="408">
      <c r="A408" t="str">
        <f>IF(games!$A408="","",games!$A408)</f>
      </c>
      <c r="B408">
        <f>IF($A408="","",games!$B408)</f>
      </c>
      <c r="C408" t="str">
        <f>IF($A408="","",games!$C408)</f>
      </c>
      <c r="D408">
        <f>IF($A408="","",COUNTIF(connections!$A$2:$A$2500,$A408)+COUNTIF(connections!$B$2:$B$2500,$A408))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IF(OR($A408="",games!$H408=""),"",games!$H408)</f>
      </c>
      <c r="Q408">
        <f>IF(OR($A408="",$P408&lt;&gt;"Yes"),"",$D408+ROW()/1000000)</f>
      </c>
      <c r="T408" t="str">
        <f>IF(connections!$A408="","",IFERROR(INDEX(games!$B$2:$B$1200,MATCH(connections!$A408,games!$A$2:$A$1200,0)),""))</f>
      </c>
      <c r="U408">
        <f>IF(connections!$A408="","",IFERROR(INDEX(games!$B$2:$B$1200,MATCH(connections!$B408,games!$A$2:$A$1200,0)),""))</f>
      </c>
      <c r="V408">
        <f>IF(OR($T408="",$U408=""),"",$U408-$T408)</f>
      </c>
    </row>
    <row r="409">
      <c r="A409" t="str">
        <f>IF(games!$A409="","",games!$A409)</f>
      </c>
      <c r="B409">
        <f>IF($A409="","",games!$B409)</f>
      </c>
      <c r="C409" t="str">
        <f>IF($A409="","",games!$C409)</f>
      </c>
      <c r="D409">
        <f>IF($A409="","",COUNTIF(connections!$A$2:$A$2500,$A409)+COUNTIF(connections!$B$2:$B$2500,$A409))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IF(OR($A409="",games!$H409=""),"",games!$H409)</f>
      </c>
      <c r="Q409">
        <f>IF(OR($A409="",$P409&lt;&gt;"Yes"),"",$D409+ROW()/1000000)</f>
      </c>
      <c r="T409" t="str">
        <f>IF(connections!$A409="","",IFERROR(INDEX(games!$B$2:$B$1200,MATCH(connections!$A409,games!$A$2:$A$1200,0)),""))</f>
      </c>
      <c r="U409">
        <f>IF(connections!$A409="","",IFERROR(INDEX(games!$B$2:$B$1200,MATCH(connections!$B409,games!$A$2:$A$1200,0)),""))</f>
      </c>
      <c r="V409">
        <f>IF(OR($T409="",$U409=""),"",$U409-$T409)</f>
      </c>
    </row>
    <row r="410">
      <c r="A410" t="str">
        <f>IF(games!$A410="","",games!$A410)</f>
      </c>
      <c r="B410">
        <f>IF($A410="","",games!$B410)</f>
      </c>
      <c r="C410" t="str">
        <f>IF($A410="","",games!$C410)</f>
      </c>
      <c r="D410">
        <f>IF($A410="","",COUNTIF(connections!$A$2:$A$2500,$A410)+COUNTIF(connections!$B$2:$B$2500,$A410))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IF(OR($A410="",games!$H410=""),"",games!$H410)</f>
      </c>
      <c r="Q410">
        <f>IF(OR($A410="",$P410&lt;&gt;"Yes"),"",$D410+ROW()/1000000)</f>
      </c>
      <c r="T410" t="str">
        <f>IF(connections!$A410="","",IFERROR(INDEX(games!$B$2:$B$1200,MATCH(connections!$A410,games!$A$2:$A$1200,0)),""))</f>
      </c>
      <c r="U410">
        <f>IF(connections!$A410="","",IFERROR(INDEX(games!$B$2:$B$1200,MATCH(connections!$B410,games!$A$2:$A$1200,0)),""))</f>
      </c>
      <c r="V410">
        <f>IF(OR($T410="",$U410=""),"",$U410-$T410)</f>
      </c>
    </row>
    <row r="411">
      <c r="A411" t="str">
        <f>IF(games!$A411="","",games!$A411)</f>
      </c>
      <c r="B411">
        <f>IF($A411="","",games!$B411)</f>
      </c>
      <c r="C411" t="str">
        <f>IF($A411="","",games!$C411)</f>
      </c>
      <c r="D411">
        <f>IF($A411="","",COUNTIF(connections!$A$2:$A$2500,$A411)+COUNTIF(connections!$B$2:$B$2500,$A411))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IF(OR($A411="",games!$H411=""),"",games!$H411)</f>
      </c>
      <c r="Q411">
        <f>IF(OR($A411="",$P411&lt;&gt;"Yes"),"",$D411+ROW()/1000000)</f>
      </c>
      <c r="T411" t="str">
        <f>IF(connections!$A411="","",IFERROR(INDEX(games!$B$2:$B$1200,MATCH(connections!$A411,games!$A$2:$A$1200,0)),""))</f>
      </c>
      <c r="U411">
        <f>IF(connections!$A411="","",IFERROR(INDEX(games!$B$2:$B$1200,MATCH(connections!$B411,games!$A$2:$A$1200,0)),""))</f>
      </c>
      <c r="V411">
        <f>IF(OR($T411="",$U411=""),"",$U411-$T411)</f>
      </c>
    </row>
    <row r="412">
      <c r="A412" t="str">
        <f>IF(games!$A412="","",games!$A412)</f>
      </c>
      <c r="B412">
        <f>IF($A412="","",games!$B412)</f>
      </c>
      <c r="C412" t="str">
        <f>IF($A412="","",games!$C412)</f>
      </c>
      <c r="D412">
        <f>IF($A412="","",COUNTIF(connections!$A$2:$A$2500,$A412)+COUNTIF(connections!$B$2:$B$2500,$A412))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IF(OR($A412="",games!$H412=""),"",games!$H412)</f>
      </c>
      <c r="Q412">
        <f>IF(OR($A412="",$P412&lt;&gt;"Yes"),"",$D412+ROW()/1000000)</f>
      </c>
      <c r="T412" t="str">
        <f>IF(connections!$A412="","",IFERROR(INDEX(games!$B$2:$B$1200,MATCH(connections!$A412,games!$A$2:$A$1200,0)),""))</f>
      </c>
      <c r="U412">
        <f>IF(connections!$A412="","",IFERROR(INDEX(games!$B$2:$B$1200,MATCH(connections!$B412,games!$A$2:$A$1200,0)),""))</f>
      </c>
      <c r="V412">
        <f>IF(OR($T412="",$U412=""),"",$U412-$T412)</f>
      </c>
    </row>
    <row r="413">
      <c r="A413" t="str">
        <f>IF(games!$A413="","",games!$A413)</f>
      </c>
      <c r="B413">
        <f>IF($A413="","",games!$B413)</f>
      </c>
      <c r="C413" t="str">
        <f>IF($A413="","",games!$C413)</f>
      </c>
      <c r="D413">
        <f>IF($A413="","",COUNTIF(connections!$A$2:$A$2500,$A413)+COUNTIF(connections!$B$2:$B$2500,$A413))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IF(OR($A413="",games!$H413=""),"",games!$H413)</f>
      </c>
      <c r="Q413">
        <f>IF(OR($A413="",$P413&lt;&gt;"Yes"),"",$D413+ROW()/1000000)</f>
      </c>
      <c r="T413" t="str">
        <f>IF(connections!$A413="","",IFERROR(INDEX(games!$B$2:$B$1200,MATCH(connections!$A413,games!$A$2:$A$1200,0)),""))</f>
      </c>
      <c r="U413">
        <f>IF(connections!$A413="","",IFERROR(INDEX(games!$B$2:$B$1200,MATCH(connections!$B413,games!$A$2:$A$1200,0)),""))</f>
      </c>
      <c r="V413">
        <f>IF(OR($T413="",$U413=""),"",$U413-$T413)</f>
      </c>
    </row>
    <row r="414">
      <c r="A414" t="str">
        <f>IF(games!$A414="","",games!$A414)</f>
      </c>
      <c r="B414">
        <f>IF($A414="","",games!$B414)</f>
      </c>
      <c r="C414" t="str">
        <f>IF($A414="","",games!$C414)</f>
      </c>
      <c r="D414">
        <f>IF($A414="","",COUNTIF(connections!$A$2:$A$2500,$A414)+COUNTIF(connections!$B$2:$B$2500,$A414))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IF(OR($A414="",games!$H414=""),"",games!$H414)</f>
      </c>
      <c r="Q414">
        <f>IF(OR($A414="",$P414&lt;&gt;"Yes"),"",$D414+ROW()/1000000)</f>
      </c>
      <c r="T414" t="str">
        <f>IF(connections!$A414="","",IFERROR(INDEX(games!$B$2:$B$1200,MATCH(connections!$A414,games!$A$2:$A$1200,0)),""))</f>
      </c>
      <c r="U414">
        <f>IF(connections!$A414="","",IFERROR(INDEX(games!$B$2:$B$1200,MATCH(connections!$B414,games!$A$2:$A$1200,0)),""))</f>
      </c>
      <c r="V414">
        <f>IF(OR($T414="",$U414=""),"",$U414-$T414)</f>
      </c>
    </row>
    <row r="415">
      <c r="A415" t="str">
        <f>IF(games!$A415="","",games!$A415)</f>
      </c>
      <c r="B415">
        <f>IF($A415="","",games!$B415)</f>
      </c>
      <c r="C415" t="str">
        <f>IF($A415="","",games!$C415)</f>
      </c>
      <c r="D415">
        <f>IF($A415="","",COUNTIF(connections!$A$2:$A$2500,$A415)+COUNTIF(connections!$B$2:$B$2500,$A415))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IF(OR($A415="",games!$H415=""),"",games!$H415)</f>
      </c>
      <c r="Q415">
        <f>IF(OR($A415="",$P415&lt;&gt;"Yes"),"",$D415+ROW()/1000000)</f>
      </c>
      <c r="T415" t="str">
        <f>IF(connections!$A415="","",IFERROR(INDEX(games!$B$2:$B$1200,MATCH(connections!$A415,games!$A$2:$A$1200,0)),""))</f>
      </c>
      <c r="U415">
        <f>IF(connections!$A415="","",IFERROR(INDEX(games!$B$2:$B$1200,MATCH(connections!$B415,games!$A$2:$A$1200,0)),""))</f>
      </c>
      <c r="V415">
        <f>IF(OR($T415="",$U415=""),"",$U415-$T415)</f>
      </c>
    </row>
    <row r="416">
      <c r="A416" t="str">
        <f>IF(games!$A416="","",games!$A416)</f>
      </c>
      <c r="B416">
        <f>IF($A416="","",games!$B416)</f>
      </c>
      <c r="C416" t="str">
        <f>IF($A416="","",games!$C416)</f>
      </c>
      <c r="D416">
        <f>IF($A416="","",COUNTIF(connections!$A$2:$A$2500,$A416)+COUNTIF(connections!$B$2:$B$2500,$A416))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IF(OR($A416="",games!$H416=""),"",games!$H416)</f>
      </c>
      <c r="Q416">
        <f>IF(OR($A416="",$P416&lt;&gt;"Yes"),"",$D416+ROW()/1000000)</f>
      </c>
      <c r="T416" t="str">
        <f>IF(connections!$A416="","",IFERROR(INDEX(games!$B$2:$B$1200,MATCH(connections!$A416,games!$A$2:$A$1200,0)),""))</f>
      </c>
      <c r="U416">
        <f>IF(connections!$A416="","",IFERROR(INDEX(games!$B$2:$B$1200,MATCH(connections!$B416,games!$A$2:$A$1200,0)),""))</f>
      </c>
      <c r="V416">
        <f>IF(OR($T416="",$U416=""),"",$U416-$T416)</f>
      </c>
    </row>
    <row r="417">
      <c r="A417" t="str">
        <f>IF(games!$A417="","",games!$A417)</f>
      </c>
      <c r="B417">
        <f>IF($A417="","",games!$B417)</f>
      </c>
      <c r="C417" t="str">
        <f>IF($A417="","",games!$C417)</f>
      </c>
      <c r="D417">
        <f>IF($A417="","",COUNTIF(connections!$A$2:$A$2500,$A417)+COUNTIF(connections!$B$2:$B$2500,$A417))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IF(OR($A417="",games!$H417=""),"",games!$H417)</f>
      </c>
      <c r="Q417">
        <f>IF(OR($A417="",$P417&lt;&gt;"Yes"),"",$D417+ROW()/1000000)</f>
      </c>
      <c r="T417" t="str">
        <f>IF(connections!$A417="","",IFERROR(INDEX(games!$B$2:$B$1200,MATCH(connections!$A417,games!$A$2:$A$1200,0)),""))</f>
      </c>
      <c r="U417">
        <f>IF(connections!$A417="","",IFERROR(INDEX(games!$B$2:$B$1200,MATCH(connections!$B417,games!$A$2:$A$1200,0)),""))</f>
      </c>
      <c r="V417">
        <f>IF(OR($T417="",$U417=""),"",$U417-$T417)</f>
      </c>
    </row>
    <row r="418">
      <c r="A418" t="str">
        <f>IF(games!$A418="","",games!$A418)</f>
      </c>
      <c r="B418">
        <f>IF($A418="","",games!$B418)</f>
      </c>
      <c r="C418" t="str">
        <f>IF($A418="","",games!$C418)</f>
      </c>
      <c r="D418">
        <f>IF($A418="","",COUNTIF(connections!$A$2:$A$2500,$A418)+COUNTIF(connections!$B$2:$B$2500,$A418))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IF(OR($A418="",games!$H418=""),"",games!$H418)</f>
      </c>
      <c r="Q418">
        <f>IF(OR($A418="",$P418&lt;&gt;"Yes"),"",$D418+ROW()/1000000)</f>
      </c>
      <c r="T418" t="str">
        <f>IF(connections!$A418="","",IFERROR(INDEX(games!$B$2:$B$1200,MATCH(connections!$A418,games!$A$2:$A$1200,0)),""))</f>
      </c>
      <c r="U418">
        <f>IF(connections!$A418="","",IFERROR(INDEX(games!$B$2:$B$1200,MATCH(connections!$B418,games!$A$2:$A$1200,0)),""))</f>
      </c>
      <c r="V418">
        <f>IF(OR($T418="",$U418=""),"",$U418-$T418)</f>
      </c>
    </row>
    <row r="419">
      <c r="A419" t="str">
        <f>IF(games!$A419="","",games!$A419)</f>
      </c>
      <c r="B419">
        <f>IF($A419="","",games!$B419)</f>
      </c>
      <c r="C419" t="str">
        <f>IF($A419="","",games!$C419)</f>
      </c>
      <c r="D419">
        <f>IF($A419="","",COUNTIF(connections!$A$2:$A$2500,$A419)+COUNTIF(connections!$B$2:$B$2500,$A419))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IF(OR($A419="",games!$H419=""),"",games!$H419)</f>
      </c>
      <c r="Q419">
        <f>IF(OR($A419="",$P419&lt;&gt;"Yes"),"",$D419+ROW()/1000000)</f>
      </c>
      <c r="T419" t="str">
        <f>IF(connections!$A419="","",IFERROR(INDEX(games!$B$2:$B$1200,MATCH(connections!$A419,games!$A$2:$A$1200,0)),""))</f>
      </c>
      <c r="U419">
        <f>IF(connections!$A419="","",IFERROR(INDEX(games!$B$2:$B$1200,MATCH(connections!$B419,games!$A$2:$A$1200,0)),""))</f>
      </c>
      <c r="V419">
        <f>IF(OR($T419="",$U419=""),"",$U419-$T419)</f>
      </c>
    </row>
    <row r="420">
      <c r="A420" t="str">
        <f>IF(games!$A420="","",games!$A420)</f>
      </c>
      <c r="B420">
        <f>IF($A420="","",games!$B420)</f>
      </c>
      <c r="C420" t="str">
        <f>IF($A420="","",games!$C420)</f>
      </c>
      <c r="D420">
        <f>IF($A420="","",COUNTIF(connections!$A$2:$A$2500,$A420)+COUNTIF(connections!$B$2:$B$2500,$A420))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IF(OR($A420="",games!$H420=""),"",games!$H420)</f>
      </c>
      <c r="Q420">
        <f>IF(OR($A420="",$P420&lt;&gt;"Yes"),"",$D420+ROW()/1000000)</f>
      </c>
      <c r="T420" t="str">
        <f>IF(connections!$A420="","",IFERROR(INDEX(games!$B$2:$B$1200,MATCH(connections!$A420,games!$A$2:$A$1200,0)),""))</f>
      </c>
      <c r="U420">
        <f>IF(connections!$A420="","",IFERROR(INDEX(games!$B$2:$B$1200,MATCH(connections!$B420,games!$A$2:$A$1200,0)),""))</f>
      </c>
      <c r="V420">
        <f>IF(OR($T420="",$U420=""),"",$U420-$T420)</f>
      </c>
    </row>
    <row r="421">
      <c r="A421" t="str">
        <f>IF(games!$A421="","",games!$A421)</f>
      </c>
      <c r="B421">
        <f>IF($A421="","",games!$B421)</f>
      </c>
      <c r="C421" t="str">
        <f>IF($A421="","",games!$C421)</f>
      </c>
      <c r="D421">
        <f>IF($A421="","",COUNTIF(connections!$A$2:$A$2500,$A421)+COUNTIF(connections!$B$2:$B$2500,$A421))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IF(OR($A421="",games!$H421=""),"",games!$H421)</f>
      </c>
      <c r="Q421">
        <f>IF(OR($A421="",$P421&lt;&gt;"Yes"),"",$D421+ROW()/1000000)</f>
      </c>
      <c r="T421" t="str">
        <f>IF(connections!$A421="","",IFERROR(INDEX(games!$B$2:$B$1200,MATCH(connections!$A421,games!$A$2:$A$1200,0)),""))</f>
      </c>
      <c r="U421">
        <f>IF(connections!$A421="","",IFERROR(INDEX(games!$B$2:$B$1200,MATCH(connections!$B421,games!$A$2:$A$1200,0)),""))</f>
      </c>
      <c r="V421">
        <f>IF(OR($T421="",$U421=""),"",$U421-$T421)</f>
      </c>
    </row>
    <row r="422">
      <c r="A422" t="str">
        <f>IF(games!$A422="","",games!$A422)</f>
      </c>
      <c r="B422">
        <f>IF($A422="","",games!$B422)</f>
      </c>
      <c r="C422" t="str">
        <f>IF($A422="","",games!$C422)</f>
      </c>
      <c r="D422">
        <f>IF($A422="","",COUNTIF(connections!$A$2:$A$2500,$A422)+COUNTIF(connections!$B$2:$B$2500,$A422))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IF(OR($A422="",games!$H422=""),"",games!$H422)</f>
      </c>
      <c r="Q422">
        <f>IF(OR($A422="",$P422&lt;&gt;"Yes"),"",$D422+ROW()/1000000)</f>
      </c>
      <c r="T422" t="str">
        <f>IF(connections!$A422="","",IFERROR(INDEX(games!$B$2:$B$1200,MATCH(connections!$A422,games!$A$2:$A$1200,0)),""))</f>
      </c>
      <c r="U422">
        <f>IF(connections!$A422="","",IFERROR(INDEX(games!$B$2:$B$1200,MATCH(connections!$B422,games!$A$2:$A$1200,0)),""))</f>
      </c>
      <c r="V422">
        <f>IF(OR($T422="",$U422=""),"",$U422-$T422)</f>
      </c>
    </row>
    <row r="423">
      <c r="A423" t="str">
        <f>IF(games!$A423="","",games!$A423)</f>
      </c>
      <c r="B423">
        <f>IF($A423="","",games!$B423)</f>
      </c>
      <c r="C423" t="str">
        <f>IF($A423="","",games!$C423)</f>
      </c>
      <c r="D423">
        <f>IF($A423="","",COUNTIF(connections!$A$2:$A$2500,$A423)+COUNTIF(connections!$B$2:$B$2500,$A423))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IF(OR($A423="",games!$H423=""),"",games!$H423)</f>
      </c>
      <c r="Q423">
        <f>IF(OR($A423="",$P423&lt;&gt;"Yes"),"",$D423+ROW()/1000000)</f>
      </c>
      <c r="T423" t="str">
        <f>IF(connections!$A423="","",IFERROR(INDEX(games!$B$2:$B$1200,MATCH(connections!$A423,games!$A$2:$A$1200,0)),""))</f>
      </c>
      <c r="U423">
        <f>IF(connections!$A423="","",IFERROR(INDEX(games!$B$2:$B$1200,MATCH(connections!$B423,games!$A$2:$A$1200,0)),""))</f>
      </c>
      <c r="V423">
        <f>IF(OR($T423="",$U423=""),"",$U423-$T423)</f>
      </c>
    </row>
    <row r="424">
      <c r="A424" t="str">
        <f>IF(games!$A424="","",games!$A424)</f>
      </c>
      <c r="B424">
        <f>IF($A424="","",games!$B424)</f>
      </c>
      <c r="C424" t="str">
        <f>IF($A424="","",games!$C424)</f>
      </c>
      <c r="D424">
        <f>IF($A424="","",COUNTIF(connections!$A$2:$A$2500,$A424)+COUNTIF(connections!$B$2:$B$2500,$A424))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IF(OR($A424="",games!$H424=""),"",games!$H424)</f>
      </c>
      <c r="Q424">
        <f>IF(OR($A424="",$P424&lt;&gt;"Yes"),"",$D424+ROW()/1000000)</f>
      </c>
      <c r="T424" t="str">
        <f>IF(connections!$A424="","",IFERROR(INDEX(games!$B$2:$B$1200,MATCH(connections!$A424,games!$A$2:$A$1200,0)),""))</f>
      </c>
      <c r="U424">
        <f>IF(connections!$A424="","",IFERROR(INDEX(games!$B$2:$B$1200,MATCH(connections!$B424,games!$A$2:$A$1200,0)),""))</f>
      </c>
      <c r="V424">
        <f>IF(OR($T424="",$U424=""),"",$U424-$T424)</f>
      </c>
    </row>
    <row r="425">
      <c r="A425" t="str">
        <f>IF(games!$A425="","",games!$A425)</f>
      </c>
      <c r="B425">
        <f>IF($A425="","",games!$B425)</f>
      </c>
      <c r="C425" t="str">
        <f>IF($A425="","",games!$C425)</f>
      </c>
      <c r="D425">
        <f>IF($A425="","",COUNTIF(connections!$A$2:$A$2500,$A425)+COUNTIF(connections!$B$2:$B$2500,$A425))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IF(OR($A425="",games!$H425=""),"",games!$H425)</f>
      </c>
      <c r="Q425">
        <f>IF(OR($A425="",$P425&lt;&gt;"Yes"),"",$D425+ROW()/1000000)</f>
      </c>
      <c r="T425" t="str">
        <f>IF(connections!$A425="","",IFERROR(INDEX(games!$B$2:$B$1200,MATCH(connections!$A425,games!$A$2:$A$1200,0)),""))</f>
      </c>
      <c r="U425">
        <f>IF(connections!$A425="","",IFERROR(INDEX(games!$B$2:$B$1200,MATCH(connections!$B425,games!$A$2:$A$1200,0)),""))</f>
      </c>
      <c r="V425">
        <f>IF(OR($T425="",$U425=""),"",$U425-$T425)</f>
      </c>
    </row>
    <row r="426">
      <c r="A426" t="str">
        <f>IF(games!$A426="","",games!$A426)</f>
      </c>
      <c r="B426">
        <f>IF($A426="","",games!$B426)</f>
      </c>
      <c r="C426" t="str">
        <f>IF($A426="","",games!$C426)</f>
      </c>
      <c r="D426">
        <f>IF($A426="","",COUNTIF(connections!$A$2:$A$2500,$A426)+COUNTIF(connections!$B$2:$B$2500,$A426))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IF(OR($A426="",games!$H426=""),"",games!$H426)</f>
      </c>
      <c r="Q426">
        <f>IF(OR($A426="",$P426&lt;&gt;"Yes"),"",$D426+ROW()/1000000)</f>
      </c>
      <c r="T426" t="str">
        <f>IF(connections!$A426="","",IFERROR(INDEX(games!$B$2:$B$1200,MATCH(connections!$A426,games!$A$2:$A$1200,0)),""))</f>
      </c>
      <c r="U426">
        <f>IF(connections!$A426="","",IFERROR(INDEX(games!$B$2:$B$1200,MATCH(connections!$B426,games!$A$2:$A$1200,0)),""))</f>
      </c>
      <c r="V426">
        <f>IF(OR($T426="",$U426=""),"",$U426-$T426)</f>
      </c>
    </row>
    <row r="427">
      <c r="A427" t="str">
        <f>IF(games!$A427="","",games!$A427)</f>
      </c>
      <c r="B427">
        <f>IF($A427="","",games!$B427)</f>
      </c>
      <c r="C427" t="str">
        <f>IF($A427="","",games!$C427)</f>
      </c>
      <c r="D427">
        <f>IF($A427="","",COUNTIF(connections!$A$2:$A$2500,$A427)+COUNTIF(connections!$B$2:$B$2500,$A427))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IF(OR($A427="",games!$H427=""),"",games!$H427)</f>
      </c>
      <c r="Q427">
        <f>IF(OR($A427="",$P427&lt;&gt;"Yes"),"",$D427+ROW()/1000000)</f>
      </c>
      <c r="T427" t="str">
        <f>IF(connections!$A427="","",IFERROR(INDEX(games!$B$2:$B$1200,MATCH(connections!$A427,games!$A$2:$A$1200,0)),""))</f>
      </c>
      <c r="U427">
        <f>IF(connections!$A427="","",IFERROR(INDEX(games!$B$2:$B$1200,MATCH(connections!$B427,games!$A$2:$A$1200,0)),""))</f>
      </c>
      <c r="V427">
        <f>IF(OR($T427="",$U427=""),"",$U427-$T427)</f>
      </c>
    </row>
    <row r="428">
      <c r="A428" t="str">
        <f>IF(games!$A428="","",games!$A428)</f>
      </c>
      <c r="B428">
        <f>IF($A428="","",games!$B428)</f>
      </c>
      <c r="C428" t="str">
        <f>IF($A428="","",games!$C428)</f>
      </c>
      <c r="D428">
        <f>IF($A428="","",COUNTIF(connections!$A$2:$A$2500,$A428)+COUNTIF(connections!$B$2:$B$2500,$A428))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IF(OR($A428="",games!$H428=""),"",games!$H428)</f>
      </c>
      <c r="Q428">
        <f>IF(OR($A428="",$P428&lt;&gt;"Yes"),"",$D428+ROW()/1000000)</f>
      </c>
      <c r="T428" t="str">
        <f>IF(connections!$A428="","",IFERROR(INDEX(games!$B$2:$B$1200,MATCH(connections!$A428,games!$A$2:$A$1200,0)),""))</f>
      </c>
      <c r="U428">
        <f>IF(connections!$A428="","",IFERROR(INDEX(games!$B$2:$B$1200,MATCH(connections!$B428,games!$A$2:$A$1200,0)),""))</f>
      </c>
      <c r="V428">
        <f>IF(OR($T428="",$U428=""),"",$U428-$T428)</f>
      </c>
    </row>
    <row r="429">
      <c r="A429" t="str">
        <f>IF(games!$A429="","",games!$A429)</f>
      </c>
      <c r="B429">
        <f>IF($A429="","",games!$B429)</f>
      </c>
      <c r="C429" t="str">
        <f>IF($A429="","",games!$C429)</f>
      </c>
      <c r="D429">
        <f>IF($A429="","",COUNTIF(connections!$A$2:$A$2500,$A429)+COUNTIF(connections!$B$2:$B$2500,$A429))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IF(OR($A429="",games!$H429=""),"",games!$H429)</f>
      </c>
      <c r="Q429">
        <f>IF(OR($A429="",$P429&lt;&gt;"Yes"),"",$D429+ROW()/1000000)</f>
      </c>
      <c r="T429" t="str">
        <f>IF(connections!$A429="","",IFERROR(INDEX(games!$B$2:$B$1200,MATCH(connections!$A429,games!$A$2:$A$1200,0)),""))</f>
      </c>
      <c r="U429">
        <f>IF(connections!$A429="","",IFERROR(INDEX(games!$B$2:$B$1200,MATCH(connections!$B429,games!$A$2:$A$1200,0)),""))</f>
      </c>
      <c r="V429">
        <f>IF(OR($T429="",$U429=""),"",$U429-$T429)</f>
      </c>
    </row>
    <row r="430">
      <c r="A430" t="str">
        <f>IF(games!$A430="","",games!$A430)</f>
      </c>
      <c r="B430">
        <f>IF($A430="","",games!$B430)</f>
      </c>
      <c r="C430" t="str">
        <f>IF($A430="","",games!$C430)</f>
      </c>
      <c r="D430">
        <f>IF($A430="","",COUNTIF(connections!$A$2:$A$2500,$A430)+COUNTIF(connections!$B$2:$B$2500,$A430))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IF(OR($A430="",games!$H430=""),"",games!$H430)</f>
      </c>
      <c r="Q430">
        <f>IF(OR($A430="",$P430&lt;&gt;"Yes"),"",$D430+ROW()/1000000)</f>
      </c>
      <c r="T430" t="str">
        <f>IF(connections!$A430="","",IFERROR(INDEX(games!$B$2:$B$1200,MATCH(connections!$A430,games!$A$2:$A$1200,0)),""))</f>
      </c>
      <c r="U430">
        <f>IF(connections!$A430="","",IFERROR(INDEX(games!$B$2:$B$1200,MATCH(connections!$B430,games!$A$2:$A$1200,0)),""))</f>
      </c>
      <c r="V430">
        <f>IF(OR($T430="",$U430=""),"",$U430-$T430)</f>
      </c>
    </row>
    <row r="431">
      <c r="A431" t="str">
        <f>IF(games!$A431="","",games!$A431)</f>
      </c>
      <c r="B431">
        <f>IF($A431="","",games!$B431)</f>
      </c>
      <c r="C431" t="str">
        <f>IF($A431="","",games!$C431)</f>
      </c>
      <c r="D431">
        <f>IF($A431="","",COUNTIF(connections!$A$2:$A$2500,$A431)+COUNTIF(connections!$B$2:$B$2500,$A431))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IF(OR($A431="",games!$H431=""),"",games!$H431)</f>
      </c>
      <c r="Q431">
        <f>IF(OR($A431="",$P431&lt;&gt;"Yes"),"",$D431+ROW()/1000000)</f>
      </c>
      <c r="T431" t="str">
        <f>IF(connections!$A431="","",IFERROR(INDEX(games!$B$2:$B$1200,MATCH(connections!$A431,games!$A$2:$A$1200,0)),""))</f>
      </c>
      <c r="U431">
        <f>IF(connections!$A431="","",IFERROR(INDEX(games!$B$2:$B$1200,MATCH(connections!$B431,games!$A$2:$A$1200,0)),""))</f>
      </c>
      <c r="V431">
        <f>IF(OR($T431="",$U431=""),"",$U431-$T431)</f>
      </c>
    </row>
    <row r="432">
      <c r="A432" t="str">
        <f>IF(games!$A432="","",games!$A432)</f>
      </c>
      <c r="B432">
        <f>IF($A432="","",games!$B432)</f>
      </c>
      <c r="C432" t="str">
        <f>IF($A432="","",games!$C432)</f>
      </c>
      <c r="D432">
        <f>IF($A432="","",COUNTIF(connections!$A$2:$A$2500,$A432)+COUNTIF(connections!$B$2:$B$2500,$A432))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IF(OR($A432="",games!$H432=""),"",games!$H432)</f>
      </c>
      <c r="Q432">
        <f>IF(OR($A432="",$P432&lt;&gt;"Yes"),"",$D432+ROW()/1000000)</f>
      </c>
      <c r="T432" t="str">
        <f>IF(connections!$A432="","",IFERROR(INDEX(games!$B$2:$B$1200,MATCH(connections!$A432,games!$A$2:$A$1200,0)),""))</f>
      </c>
      <c r="U432">
        <f>IF(connections!$A432="","",IFERROR(INDEX(games!$B$2:$B$1200,MATCH(connections!$B432,games!$A$2:$A$1200,0)),""))</f>
      </c>
      <c r="V432">
        <f>IF(OR($T432="",$U432=""),"",$U432-$T432)</f>
      </c>
    </row>
    <row r="433">
      <c r="A433" t="str">
        <f>IF(games!$A433="","",games!$A433)</f>
      </c>
      <c r="B433">
        <f>IF($A433="","",games!$B433)</f>
      </c>
      <c r="C433" t="str">
        <f>IF($A433="","",games!$C433)</f>
      </c>
      <c r="D433">
        <f>IF($A433="","",COUNTIF(connections!$A$2:$A$2500,$A433)+COUNTIF(connections!$B$2:$B$2500,$A433))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IF(OR($A433="",games!$H433=""),"",games!$H433)</f>
      </c>
      <c r="Q433">
        <f>IF(OR($A433="",$P433&lt;&gt;"Yes"),"",$D433+ROW()/1000000)</f>
      </c>
      <c r="T433" t="str">
        <f>IF(connections!$A433="","",IFERROR(INDEX(games!$B$2:$B$1200,MATCH(connections!$A433,games!$A$2:$A$1200,0)),""))</f>
      </c>
      <c r="U433">
        <f>IF(connections!$A433="","",IFERROR(INDEX(games!$B$2:$B$1200,MATCH(connections!$B433,games!$A$2:$A$1200,0)),""))</f>
      </c>
      <c r="V433">
        <f>IF(OR($T433="",$U433=""),"",$U433-$T433)</f>
      </c>
    </row>
    <row r="434">
      <c r="A434" t="str">
        <f>IF(games!$A434="","",games!$A434)</f>
      </c>
      <c r="B434">
        <f>IF($A434="","",games!$B434)</f>
      </c>
      <c r="C434" t="str">
        <f>IF($A434="","",games!$C434)</f>
      </c>
      <c r="D434">
        <f>IF($A434="","",COUNTIF(connections!$A$2:$A$2500,$A434)+COUNTIF(connections!$B$2:$B$2500,$A434))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IF(OR($A434="",games!$H434=""),"",games!$H434)</f>
      </c>
      <c r="Q434">
        <f>IF(OR($A434="",$P434&lt;&gt;"Yes"),"",$D434+ROW()/1000000)</f>
      </c>
      <c r="T434" t="str">
        <f>IF(connections!$A434="","",IFERROR(INDEX(games!$B$2:$B$1200,MATCH(connections!$A434,games!$A$2:$A$1200,0)),""))</f>
      </c>
      <c r="U434">
        <f>IF(connections!$A434="","",IFERROR(INDEX(games!$B$2:$B$1200,MATCH(connections!$B434,games!$A$2:$A$1200,0)),""))</f>
      </c>
      <c r="V434">
        <f>IF(OR($T434="",$U434=""),"",$U434-$T434)</f>
      </c>
    </row>
    <row r="435">
      <c r="A435" t="str">
        <f>IF(games!$A435="","",games!$A435)</f>
      </c>
      <c r="B435">
        <f>IF($A435="","",games!$B435)</f>
      </c>
      <c r="C435" t="str">
        <f>IF($A435="","",games!$C435)</f>
      </c>
      <c r="D435">
        <f>IF($A435="","",COUNTIF(connections!$A$2:$A$2500,$A435)+COUNTIF(connections!$B$2:$B$2500,$A435))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IF(OR($A435="",games!$H435=""),"",games!$H435)</f>
      </c>
      <c r="Q435">
        <f>IF(OR($A435="",$P435&lt;&gt;"Yes"),"",$D435+ROW()/1000000)</f>
      </c>
      <c r="T435" t="str">
        <f>IF(connections!$A435="","",IFERROR(INDEX(games!$B$2:$B$1200,MATCH(connections!$A435,games!$A$2:$A$1200,0)),""))</f>
      </c>
      <c r="U435">
        <f>IF(connections!$A435="","",IFERROR(INDEX(games!$B$2:$B$1200,MATCH(connections!$B435,games!$A$2:$A$1200,0)),""))</f>
      </c>
      <c r="V435">
        <f>IF(OR($T435="",$U435=""),"",$U435-$T435)</f>
      </c>
    </row>
    <row r="436">
      <c r="A436" t="str">
        <f>IF(games!$A436="","",games!$A436)</f>
      </c>
      <c r="B436">
        <f>IF($A436="","",games!$B436)</f>
      </c>
      <c r="C436" t="str">
        <f>IF($A436="","",games!$C436)</f>
      </c>
      <c r="D436">
        <f>IF($A436="","",COUNTIF(connections!$A$2:$A$2500,$A436)+COUNTIF(connections!$B$2:$B$2500,$A436))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IF(OR($A436="",games!$H436=""),"",games!$H436)</f>
      </c>
      <c r="Q436">
        <f>IF(OR($A436="",$P436&lt;&gt;"Yes"),"",$D436+ROW()/1000000)</f>
      </c>
      <c r="T436" t="str">
        <f>IF(connections!$A436="","",IFERROR(INDEX(games!$B$2:$B$1200,MATCH(connections!$A436,games!$A$2:$A$1200,0)),""))</f>
      </c>
      <c r="U436">
        <f>IF(connections!$A436="","",IFERROR(INDEX(games!$B$2:$B$1200,MATCH(connections!$B436,games!$A$2:$A$1200,0)),""))</f>
      </c>
      <c r="V436">
        <f>IF(OR($T436="",$U436=""),"",$U436-$T436)</f>
      </c>
    </row>
    <row r="437">
      <c r="A437" t="str">
        <f>IF(games!$A437="","",games!$A437)</f>
      </c>
      <c r="B437">
        <f>IF($A437="","",games!$B437)</f>
      </c>
      <c r="C437" t="str">
        <f>IF($A437="","",games!$C437)</f>
      </c>
      <c r="D437">
        <f>IF($A437="","",COUNTIF(connections!$A$2:$A$2500,$A437)+COUNTIF(connections!$B$2:$B$2500,$A437))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IF(OR($A437="",games!$H437=""),"",games!$H437)</f>
      </c>
      <c r="Q437">
        <f>IF(OR($A437="",$P437&lt;&gt;"Yes"),"",$D437+ROW()/1000000)</f>
      </c>
      <c r="T437" t="str">
        <f>IF(connections!$A437="","",IFERROR(INDEX(games!$B$2:$B$1200,MATCH(connections!$A437,games!$A$2:$A$1200,0)),""))</f>
      </c>
      <c r="U437">
        <f>IF(connections!$A437="","",IFERROR(INDEX(games!$B$2:$B$1200,MATCH(connections!$B437,games!$A$2:$A$1200,0)),""))</f>
      </c>
      <c r="V437">
        <f>IF(OR($T437="",$U437=""),"",$U437-$T437)</f>
      </c>
    </row>
    <row r="438">
      <c r="A438" t="str">
        <f>IF(games!$A438="","",games!$A438)</f>
      </c>
      <c r="B438">
        <f>IF($A438="","",games!$B438)</f>
      </c>
      <c r="C438" t="str">
        <f>IF($A438="","",games!$C438)</f>
      </c>
      <c r="D438">
        <f>IF($A438="","",COUNTIF(connections!$A$2:$A$2500,$A438)+COUNTIF(connections!$B$2:$B$2500,$A438))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IF(OR($A438="",games!$H438=""),"",games!$H438)</f>
      </c>
      <c r="Q438">
        <f>IF(OR($A438="",$P438&lt;&gt;"Yes"),"",$D438+ROW()/1000000)</f>
      </c>
      <c r="T438" t="str">
        <f>IF(connections!$A438="","",IFERROR(INDEX(games!$B$2:$B$1200,MATCH(connections!$A438,games!$A$2:$A$1200,0)),""))</f>
      </c>
      <c r="U438">
        <f>IF(connections!$A438="","",IFERROR(INDEX(games!$B$2:$B$1200,MATCH(connections!$B438,games!$A$2:$A$1200,0)),""))</f>
      </c>
      <c r="V438">
        <f>IF(OR($T438="",$U438=""),"",$U438-$T438)</f>
      </c>
    </row>
    <row r="439">
      <c r="A439" t="str">
        <f>IF(games!$A439="","",games!$A439)</f>
      </c>
      <c r="B439">
        <f>IF($A439="","",games!$B439)</f>
      </c>
      <c r="C439" t="str">
        <f>IF($A439="","",games!$C439)</f>
      </c>
      <c r="D439">
        <f>IF($A439="","",COUNTIF(connections!$A$2:$A$2500,$A439)+COUNTIF(connections!$B$2:$B$2500,$A439))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IF(OR($A439="",games!$H439=""),"",games!$H439)</f>
      </c>
      <c r="Q439">
        <f>IF(OR($A439="",$P439&lt;&gt;"Yes"),"",$D439+ROW()/1000000)</f>
      </c>
      <c r="T439" t="str">
        <f>IF(connections!$A439="","",IFERROR(INDEX(games!$B$2:$B$1200,MATCH(connections!$A439,games!$A$2:$A$1200,0)),""))</f>
      </c>
      <c r="U439">
        <f>IF(connections!$A439="","",IFERROR(INDEX(games!$B$2:$B$1200,MATCH(connections!$B439,games!$A$2:$A$1200,0)),""))</f>
      </c>
      <c r="V439">
        <f>IF(OR($T439="",$U439=""),"",$U439-$T439)</f>
      </c>
    </row>
    <row r="440">
      <c r="A440" t="str">
        <f>IF(games!$A440="","",games!$A440)</f>
      </c>
      <c r="B440">
        <f>IF($A440="","",games!$B440)</f>
      </c>
      <c r="C440" t="str">
        <f>IF($A440="","",games!$C440)</f>
      </c>
      <c r="D440">
        <f>IF($A440="","",COUNTIF(connections!$A$2:$A$2500,$A440)+COUNTIF(connections!$B$2:$B$2500,$A440))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IF(OR($A440="",games!$H440=""),"",games!$H440)</f>
      </c>
      <c r="Q440">
        <f>IF(OR($A440="",$P440&lt;&gt;"Yes"),"",$D440+ROW()/1000000)</f>
      </c>
      <c r="T440" t="str">
        <f>IF(connections!$A440="","",IFERROR(INDEX(games!$B$2:$B$1200,MATCH(connections!$A440,games!$A$2:$A$1200,0)),""))</f>
      </c>
      <c r="U440">
        <f>IF(connections!$A440="","",IFERROR(INDEX(games!$B$2:$B$1200,MATCH(connections!$B440,games!$A$2:$A$1200,0)),""))</f>
      </c>
      <c r="V440">
        <f>IF(OR($T440="",$U440=""),"",$U440-$T440)</f>
      </c>
    </row>
    <row r="441">
      <c r="A441" t="str">
        <f>IF(games!$A441="","",games!$A441)</f>
      </c>
      <c r="B441">
        <f>IF($A441="","",games!$B441)</f>
      </c>
      <c r="C441" t="str">
        <f>IF($A441="","",games!$C441)</f>
      </c>
      <c r="D441">
        <f>IF($A441="","",COUNTIF(connections!$A$2:$A$2500,$A441)+COUNTIF(connections!$B$2:$B$2500,$A441))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IF(OR($A441="",games!$H441=""),"",games!$H441)</f>
      </c>
      <c r="Q441">
        <f>IF(OR($A441="",$P441&lt;&gt;"Yes"),"",$D441+ROW()/1000000)</f>
      </c>
      <c r="T441" t="str">
        <f>IF(connections!$A441="","",IFERROR(INDEX(games!$B$2:$B$1200,MATCH(connections!$A441,games!$A$2:$A$1200,0)),""))</f>
      </c>
      <c r="U441">
        <f>IF(connections!$A441="","",IFERROR(INDEX(games!$B$2:$B$1200,MATCH(connections!$B441,games!$A$2:$A$1200,0)),""))</f>
      </c>
      <c r="V441">
        <f>IF(OR($T441="",$U441=""),"",$U441-$T441)</f>
      </c>
    </row>
    <row r="442">
      <c r="A442" t="str">
        <f>IF(games!$A442="","",games!$A442)</f>
      </c>
      <c r="B442">
        <f>IF($A442="","",games!$B442)</f>
      </c>
      <c r="C442" t="str">
        <f>IF($A442="","",games!$C442)</f>
      </c>
      <c r="D442">
        <f>IF($A442="","",COUNTIF(connections!$A$2:$A$2500,$A442)+COUNTIF(connections!$B$2:$B$2500,$A442))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IF(OR($A442="",games!$H442=""),"",games!$H442)</f>
      </c>
      <c r="Q442">
        <f>IF(OR($A442="",$P442&lt;&gt;"Yes"),"",$D442+ROW()/1000000)</f>
      </c>
      <c r="T442" t="str">
        <f>IF(connections!$A442="","",IFERROR(INDEX(games!$B$2:$B$1200,MATCH(connections!$A442,games!$A$2:$A$1200,0)),""))</f>
      </c>
      <c r="U442">
        <f>IF(connections!$A442="","",IFERROR(INDEX(games!$B$2:$B$1200,MATCH(connections!$B442,games!$A$2:$A$1200,0)),""))</f>
      </c>
      <c r="V442">
        <f>IF(OR($T442="",$U442=""),"",$U442-$T442)</f>
      </c>
    </row>
    <row r="443">
      <c r="A443" t="str">
        <f>IF(games!$A443="","",games!$A443)</f>
      </c>
      <c r="B443">
        <f>IF($A443="","",games!$B443)</f>
      </c>
      <c r="C443" t="str">
        <f>IF($A443="","",games!$C443)</f>
      </c>
      <c r="D443">
        <f>IF($A443="","",COUNTIF(connections!$A$2:$A$2500,$A443)+COUNTIF(connections!$B$2:$B$2500,$A443))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IF(OR($A443="",games!$H443=""),"",games!$H443)</f>
      </c>
      <c r="Q443">
        <f>IF(OR($A443="",$P443&lt;&gt;"Yes"),"",$D443+ROW()/1000000)</f>
      </c>
      <c r="T443" t="str">
        <f>IF(connections!$A443="","",IFERROR(INDEX(games!$B$2:$B$1200,MATCH(connections!$A443,games!$A$2:$A$1200,0)),""))</f>
      </c>
      <c r="U443">
        <f>IF(connections!$A443="","",IFERROR(INDEX(games!$B$2:$B$1200,MATCH(connections!$B443,games!$A$2:$A$1200,0)),""))</f>
      </c>
      <c r="V443">
        <f>IF(OR($T443="",$U443=""),"",$U443-$T443)</f>
      </c>
    </row>
    <row r="444">
      <c r="A444" t="str">
        <f>IF(games!$A444="","",games!$A444)</f>
      </c>
      <c r="B444">
        <f>IF($A444="","",games!$B444)</f>
      </c>
      <c r="C444" t="str">
        <f>IF($A444="","",games!$C444)</f>
      </c>
      <c r="D444">
        <f>IF($A444="","",COUNTIF(connections!$A$2:$A$2500,$A444)+COUNTIF(connections!$B$2:$B$2500,$A444))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IF(OR($A444="",games!$H444=""),"",games!$H444)</f>
      </c>
      <c r="Q444">
        <f>IF(OR($A444="",$P444&lt;&gt;"Yes"),"",$D444+ROW()/1000000)</f>
      </c>
      <c r="T444" t="str">
        <f>IF(connections!$A444="","",IFERROR(INDEX(games!$B$2:$B$1200,MATCH(connections!$A444,games!$A$2:$A$1200,0)),""))</f>
      </c>
      <c r="U444">
        <f>IF(connections!$A444="","",IFERROR(INDEX(games!$B$2:$B$1200,MATCH(connections!$B444,games!$A$2:$A$1200,0)),""))</f>
      </c>
      <c r="V444">
        <f>IF(OR($T444="",$U444=""),"",$U444-$T444)</f>
      </c>
    </row>
    <row r="445">
      <c r="A445" t="str">
        <f>IF(games!$A445="","",games!$A445)</f>
      </c>
      <c r="B445">
        <f>IF($A445="","",games!$B445)</f>
      </c>
      <c r="C445" t="str">
        <f>IF($A445="","",games!$C445)</f>
      </c>
      <c r="D445">
        <f>IF($A445="","",COUNTIF(connections!$A$2:$A$2500,$A445)+COUNTIF(connections!$B$2:$B$2500,$A445))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IF(OR($A445="",games!$H445=""),"",games!$H445)</f>
      </c>
      <c r="Q445">
        <f>IF(OR($A445="",$P445&lt;&gt;"Yes"),"",$D445+ROW()/1000000)</f>
      </c>
      <c r="T445" t="str">
        <f>IF(connections!$A445="","",IFERROR(INDEX(games!$B$2:$B$1200,MATCH(connections!$A445,games!$A$2:$A$1200,0)),""))</f>
      </c>
      <c r="U445">
        <f>IF(connections!$A445="","",IFERROR(INDEX(games!$B$2:$B$1200,MATCH(connections!$B445,games!$A$2:$A$1200,0)),""))</f>
      </c>
      <c r="V445">
        <f>IF(OR($T445="",$U445=""),"",$U445-$T445)</f>
      </c>
    </row>
    <row r="446">
      <c r="A446" t="str">
        <f>IF(games!$A446="","",games!$A446)</f>
      </c>
      <c r="B446">
        <f>IF($A446="","",games!$B446)</f>
      </c>
      <c r="C446" t="str">
        <f>IF($A446="","",games!$C446)</f>
      </c>
      <c r="D446">
        <f>IF($A446="","",COUNTIF(connections!$A$2:$A$2500,$A446)+COUNTIF(connections!$B$2:$B$2500,$A446))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IF(OR($A446="",games!$H446=""),"",games!$H446)</f>
      </c>
      <c r="Q446">
        <f>IF(OR($A446="",$P446&lt;&gt;"Yes"),"",$D446+ROW()/1000000)</f>
      </c>
      <c r="T446" t="str">
        <f>IF(connections!$A446="","",IFERROR(INDEX(games!$B$2:$B$1200,MATCH(connections!$A446,games!$A$2:$A$1200,0)),""))</f>
      </c>
      <c r="U446">
        <f>IF(connections!$A446="","",IFERROR(INDEX(games!$B$2:$B$1200,MATCH(connections!$B446,games!$A$2:$A$1200,0)),""))</f>
      </c>
      <c r="V446">
        <f>IF(OR($T446="",$U446=""),"",$U446-$T446)</f>
      </c>
    </row>
    <row r="447">
      <c r="A447" t="str">
        <f>IF(games!$A447="","",games!$A447)</f>
      </c>
      <c r="B447">
        <f>IF($A447="","",games!$B447)</f>
      </c>
      <c r="C447" t="str">
        <f>IF($A447="","",games!$C447)</f>
      </c>
      <c r="D447">
        <f>IF($A447="","",COUNTIF(connections!$A$2:$A$2500,$A447)+COUNTIF(connections!$B$2:$B$2500,$A447))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IF(OR($A447="",games!$H447=""),"",games!$H447)</f>
      </c>
      <c r="Q447">
        <f>IF(OR($A447="",$P447&lt;&gt;"Yes"),"",$D447+ROW()/1000000)</f>
      </c>
      <c r="T447" t="str">
        <f>IF(connections!$A447="","",IFERROR(INDEX(games!$B$2:$B$1200,MATCH(connections!$A447,games!$A$2:$A$1200,0)),""))</f>
      </c>
      <c r="U447">
        <f>IF(connections!$A447="","",IFERROR(INDEX(games!$B$2:$B$1200,MATCH(connections!$B447,games!$A$2:$A$1200,0)),""))</f>
      </c>
      <c r="V447">
        <f>IF(OR($T447="",$U447=""),"",$U447-$T447)</f>
      </c>
    </row>
    <row r="448">
      <c r="A448" t="str">
        <f>IF(games!$A448="","",games!$A448)</f>
      </c>
      <c r="B448">
        <f>IF($A448="","",games!$B448)</f>
      </c>
      <c r="C448" t="str">
        <f>IF($A448="","",games!$C448)</f>
      </c>
      <c r="D448">
        <f>IF($A448="","",COUNTIF(connections!$A$2:$A$2500,$A448)+COUNTIF(connections!$B$2:$B$2500,$A448))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IF(OR($A448="",games!$H448=""),"",games!$H448)</f>
      </c>
      <c r="Q448">
        <f>IF(OR($A448="",$P448&lt;&gt;"Yes"),"",$D448+ROW()/1000000)</f>
      </c>
      <c r="T448" t="str">
        <f>IF(connections!$A448="","",IFERROR(INDEX(games!$B$2:$B$1200,MATCH(connections!$A448,games!$A$2:$A$1200,0)),""))</f>
      </c>
      <c r="U448">
        <f>IF(connections!$A448="","",IFERROR(INDEX(games!$B$2:$B$1200,MATCH(connections!$B448,games!$A$2:$A$1200,0)),""))</f>
      </c>
      <c r="V448">
        <f>IF(OR($T448="",$U448=""),"",$U448-$T448)</f>
      </c>
    </row>
    <row r="449">
      <c r="A449" t="str">
        <f>IF(games!$A449="","",games!$A449)</f>
      </c>
      <c r="B449">
        <f>IF($A449="","",games!$B449)</f>
      </c>
      <c r="C449" t="str">
        <f>IF($A449="","",games!$C449)</f>
      </c>
      <c r="D449">
        <f>IF($A449="","",COUNTIF(connections!$A$2:$A$2500,$A449)+COUNTIF(connections!$B$2:$B$2500,$A449))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IF(OR($A449="",games!$H449=""),"",games!$H449)</f>
      </c>
      <c r="Q449">
        <f>IF(OR($A449="",$P449&lt;&gt;"Yes"),"",$D449+ROW()/1000000)</f>
      </c>
      <c r="T449" t="str">
        <f>IF(connections!$A449="","",IFERROR(INDEX(games!$B$2:$B$1200,MATCH(connections!$A449,games!$A$2:$A$1200,0)),""))</f>
      </c>
      <c r="U449">
        <f>IF(connections!$A449="","",IFERROR(INDEX(games!$B$2:$B$1200,MATCH(connections!$B449,games!$A$2:$A$1200,0)),""))</f>
      </c>
      <c r="V449">
        <f>IF(OR($T449="",$U449=""),"",$U449-$T449)</f>
      </c>
    </row>
    <row r="450">
      <c r="A450" t="str">
        <f>IF(games!$A450="","",games!$A450)</f>
      </c>
      <c r="B450">
        <f>IF($A450="","",games!$B450)</f>
      </c>
      <c r="C450" t="str">
        <f>IF($A450="","",games!$C450)</f>
      </c>
      <c r="D450">
        <f>IF($A450="","",COUNTIF(connections!$A$2:$A$2500,$A450)+COUNTIF(connections!$B$2:$B$2500,$A450))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IF(OR($A450="",games!$H450=""),"",games!$H450)</f>
      </c>
      <c r="Q450">
        <f>IF(OR($A450="",$P450&lt;&gt;"Yes"),"",$D450+ROW()/1000000)</f>
      </c>
      <c r="T450" t="str">
        <f>IF(connections!$A450="","",IFERROR(INDEX(games!$B$2:$B$1200,MATCH(connections!$A450,games!$A$2:$A$1200,0)),""))</f>
      </c>
      <c r="U450">
        <f>IF(connections!$A450="","",IFERROR(INDEX(games!$B$2:$B$1200,MATCH(connections!$B450,games!$A$2:$A$1200,0)),""))</f>
      </c>
      <c r="V450">
        <f>IF(OR($T450="",$U450=""),"",$U450-$T450)</f>
      </c>
    </row>
    <row r="451">
      <c r="A451" t="str">
        <f>IF(games!$A451="","",games!$A451)</f>
      </c>
      <c r="B451">
        <f>IF($A451="","",games!$B451)</f>
      </c>
      <c r="C451" t="str">
        <f>IF($A451="","",games!$C451)</f>
      </c>
      <c r="D451">
        <f>IF($A451="","",COUNTIF(connections!$A$2:$A$2500,$A451)+COUNTIF(connections!$B$2:$B$2500,$A451))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IF(OR($A451="",games!$H451=""),"",games!$H451)</f>
      </c>
      <c r="Q451">
        <f>IF(OR($A451="",$P451&lt;&gt;"Yes"),"",$D451+ROW()/1000000)</f>
      </c>
      <c r="T451" t="str">
        <f>IF(connections!$A451="","",IFERROR(INDEX(games!$B$2:$B$1200,MATCH(connections!$A451,games!$A$2:$A$1200,0)),""))</f>
      </c>
      <c r="U451">
        <f>IF(connections!$A451="","",IFERROR(INDEX(games!$B$2:$B$1200,MATCH(connections!$B451,games!$A$2:$A$1200,0)),""))</f>
      </c>
      <c r="V451">
        <f>IF(OR($T451="",$U451=""),"",$U451-$T451)</f>
      </c>
    </row>
    <row r="452">
      <c r="A452" t="str">
        <f>IF(games!$A452="","",games!$A452)</f>
      </c>
      <c r="B452">
        <f>IF($A452="","",games!$B452)</f>
      </c>
      <c r="C452" t="str">
        <f>IF($A452="","",games!$C452)</f>
      </c>
      <c r="D452">
        <f>IF($A452="","",COUNTIF(connections!$A$2:$A$2500,$A452)+COUNTIF(connections!$B$2:$B$2500,$A452))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IF(OR($A452="",games!$H452=""),"",games!$H452)</f>
      </c>
      <c r="Q452">
        <f>IF(OR($A452="",$P452&lt;&gt;"Yes"),"",$D452+ROW()/1000000)</f>
      </c>
      <c r="T452" t="str">
        <f>IF(connections!$A452="","",IFERROR(INDEX(games!$B$2:$B$1200,MATCH(connections!$A452,games!$A$2:$A$1200,0)),""))</f>
      </c>
      <c r="U452">
        <f>IF(connections!$A452="","",IFERROR(INDEX(games!$B$2:$B$1200,MATCH(connections!$B452,games!$A$2:$A$1200,0)),""))</f>
      </c>
      <c r="V452">
        <f>IF(OR($T452="",$U452=""),"",$U452-$T452)</f>
      </c>
    </row>
    <row r="453">
      <c r="A453" t="str">
        <f>IF(games!$A453="","",games!$A453)</f>
      </c>
      <c r="B453">
        <f>IF($A453="","",games!$B453)</f>
      </c>
      <c r="C453" t="str">
        <f>IF($A453="","",games!$C453)</f>
      </c>
      <c r="D453">
        <f>IF($A453="","",COUNTIF(connections!$A$2:$A$2500,$A453)+COUNTIF(connections!$B$2:$B$2500,$A453))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IF(OR($A453="",games!$H453=""),"",games!$H453)</f>
      </c>
      <c r="Q453">
        <f>IF(OR($A453="",$P453&lt;&gt;"Yes"),"",$D453+ROW()/1000000)</f>
      </c>
      <c r="T453" t="str">
        <f>IF(connections!$A453="","",IFERROR(INDEX(games!$B$2:$B$1200,MATCH(connections!$A453,games!$A$2:$A$1200,0)),""))</f>
      </c>
      <c r="U453">
        <f>IF(connections!$A453="","",IFERROR(INDEX(games!$B$2:$B$1200,MATCH(connections!$B453,games!$A$2:$A$1200,0)),""))</f>
      </c>
      <c r="V453">
        <f>IF(OR($T453="",$U453=""),"",$U453-$T453)</f>
      </c>
    </row>
    <row r="454">
      <c r="A454" t="str">
        <f>IF(games!$A454="","",games!$A454)</f>
      </c>
      <c r="B454">
        <f>IF($A454="","",games!$B454)</f>
      </c>
      <c r="C454" t="str">
        <f>IF($A454="","",games!$C454)</f>
      </c>
      <c r="D454">
        <f>IF($A454="","",COUNTIF(connections!$A$2:$A$2500,$A454)+COUNTIF(connections!$B$2:$B$2500,$A454))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IF(OR($A454="",games!$H454=""),"",games!$H454)</f>
      </c>
      <c r="Q454">
        <f>IF(OR($A454="",$P454&lt;&gt;"Yes"),"",$D454+ROW()/1000000)</f>
      </c>
      <c r="T454" t="str">
        <f>IF(connections!$A454="","",IFERROR(INDEX(games!$B$2:$B$1200,MATCH(connections!$A454,games!$A$2:$A$1200,0)),""))</f>
      </c>
      <c r="U454">
        <f>IF(connections!$A454="","",IFERROR(INDEX(games!$B$2:$B$1200,MATCH(connections!$B454,games!$A$2:$A$1200,0)),""))</f>
      </c>
      <c r="V454">
        <f>IF(OR($T454="",$U454=""),"",$U454-$T454)</f>
      </c>
    </row>
    <row r="455">
      <c r="A455" t="str">
        <f>IF(games!$A455="","",games!$A455)</f>
      </c>
      <c r="B455">
        <f>IF($A455="","",games!$B455)</f>
      </c>
      <c r="C455" t="str">
        <f>IF($A455="","",games!$C455)</f>
      </c>
      <c r="D455">
        <f>IF($A455="","",COUNTIF(connections!$A$2:$A$2500,$A455)+COUNTIF(connections!$B$2:$B$2500,$A455))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IF(OR($A455="",games!$H455=""),"",games!$H455)</f>
      </c>
      <c r="Q455">
        <f>IF(OR($A455="",$P455&lt;&gt;"Yes"),"",$D455+ROW()/1000000)</f>
      </c>
      <c r="T455" t="str">
        <f>IF(connections!$A455="","",IFERROR(INDEX(games!$B$2:$B$1200,MATCH(connections!$A455,games!$A$2:$A$1200,0)),""))</f>
      </c>
      <c r="U455">
        <f>IF(connections!$A455="","",IFERROR(INDEX(games!$B$2:$B$1200,MATCH(connections!$B455,games!$A$2:$A$1200,0)),""))</f>
      </c>
      <c r="V455">
        <f>IF(OR($T455="",$U455=""),"",$U455-$T455)</f>
      </c>
    </row>
    <row r="456">
      <c r="A456" t="str">
        <f>IF(games!$A456="","",games!$A456)</f>
      </c>
      <c r="B456">
        <f>IF($A456="","",games!$B456)</f>
      </c>
      <c r="C456" t="str">
        <f>IF($A456="","",games!$C456)</f>
      </c>
      <c r="D456">
        <f>IF($A456="","",COUNTIF(connections!$A$2:$A$2500,$A456)+COUNTIF(connections!$B$2:$B$2500,$A456))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IF(OR($A456="",games!$H456=""),"",games!$H456)</f>
      </c>
      <c r="Q456">
        <f>IF(OR($A456="",$P456&lt;&gt;"Yes"),"",$D456+ROW()/1000000)</f>
      </c>
      <c r="T456" t="str">
        <f>IF(connections!$A456="","",IFERROR(INDEX(games!$B$2:$B$1200,MATCH(connections!$A456,games!$A$2:$A$1200,0)),""))</f>
      </c>
      <c r="U456">
        <f>IF(connections!$A456="","",IFERROR(INDEX(games!$B$2:$B$1200,MATCH(connections!$B456,games!$A$2:$A$1200,0)),""))</f>
      </c>
      <c r="V456">
        <f>IF(OR($T456="",$U456=""),"",$U456-$T456)</f>
      </c>
    </row>
    <row r="457">
      <c r="A457" t="str">
        <f>IF(games!$A457="","",games!$A457)</f>
      </c>
      <c r="B457">
        <f>IF($A457="","",games!$B457)</f>
      </c>
      <c r="C457" t="str">
        <f>IF($A457="","",games!$C457)</f>
      </c>
      <c r="D457">
        <f>IF($A457="","",COUNTIF(connections!$A$2:$A$2500,$A457)+COUNTIF(connections!$B$2:$B$2500,$A457))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IF(OR($A457="",games!$H457=""),"",games!$H457)</f>
      </c>
      <c r="Q457">
        <f>IF(OR($A457="",$P457&lt;&gt;"Yes"),"",$D457+ROW()/1000000)</f>
      </c>
      <c r="T457" t="str">
        <f>IF(connections!$A457="","",IFERROR(INDEX(games!$B$2:$B$1200,MATCH(connections!$A457,games!$A$2:$A$1200,0)),""))</f>
      </c>
      <c r="U457">
        <f>IF(connections!$A457="","",IFERROR(INDEX(games!$B$2:$B$1200,MATCH(connections!$B457,games!$A$2:$A$1200,0)),""))</f>
      </c>
      <c r="V457">
        <f>IF(OR($T457="",$U457=""),"",$U457-$T457)</f>
      </c>
    </row>
    <row r="458">
      <c r="A458" t="str">
        <f>IF(games!$A458="","",games!$A458)</f>
      </c>
      <c r="B458">
        <f>IF($A458="","",games!$B458)</f>
      </c>
      <c r="C458" t="str">
        <f>IF($A458="","",games!$C458)</f>
      </c>
      <c r="D458">
        <f>IF($A458="","",COUNTIF(connections!$A$2:$A$2500,$A458)+COUNTIF(connections!$B$2:$B$2500,$A458))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IF(OR($A458="",games!$H458=""),"",games!$H458)</f>
      </c>
      <c r="Q458">
        <f>IF(OR($A458="",$P458&lt;&gt;"Yes"),"",$D458+ROW()/1000000)</f>
      </c>
      <c r="T458" t="str">
        <f>IF(connections!$A458="","",IFERROR(INDEX(games!$B$2:$B$1200,MATCH(connections!$A458,games!$A$2:$A$1200,0)),""))</f>
      </c>
      <c r="U458">
        <f>IF(connections!$A458="","",IFERROR(INDEX(games!$B$2:$B$1200,MATCH(connections!$B458,games!$A$2:$A$1200,0)),""))</f>
      </c>
      <c r="V458">
        <f>IF(OR($T458="",$U458=""),"",$U458-$T458)</f>
      </c>
    </row>
    <row r="459">
      <c r="A459" t="str">
        <f>IF(games!$A459="","",games!$A459)</f>
      </c>
      <c r="B459">
        <f>IF($A459="","",games!$B459)</f>
      </c>
      <c r="C459" t="str">
        <f>IF($A459="","",games!$C459)</f>
      </c>
      <c r="D459">
        <f>IF($A459="","",COUNTIF(connections!$A$2:$A$2500,$A459)+COUNTIF(connections!$B$2:$B$2500,$A459))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IF(OR($A459="",games!$H459=""),"",games!$H459)</f>
      </c>
      <c r="Q459">
        <f>IF(OR($A459="",$P459&lt;&gt;"Yes"),"",$D459+ROW()/1000000)</f>
      </c>
      <c r="T459" t="str">
        <f>IF(connections!$A459="","",IFERROR(INDEX(games!$B$2:$B$1200,MATCH(connections!$A459,games!$A$2:$A$1200,0)),""))</f>
      </c>
      <c r="U459">
        <f>IF(connections!$A459="","",IFERROR(INDEX(games!$B$2:$B$1200,MATCH(connections!$B459,games!$A$2:$A$1200,0)),""))</f>
      </c>
      <c r="V459">
        <f>IF(OR($T459="",$U459=""),"",$U459-$T459)</f>
      </c>
    </row>
    <row r="460">
      <c r="A460" t="str">
        <f>IF(games!$A460="","",games!$A460)</f>
      </c>
      <c r="B460">
        <f>IF($A460="","",games!$B460)</f>
      </c>
      <c r="C460" t="str">
        <f>IF($A460="","",games!$C460)</f>
      </c>
      <c r="D460">
        <f>IF($A460="","",COUNTIF(connections!$A$2:$A$2500,$A460)+COUNTIF(connections!$B$2:$B$2500,$A460))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IF(OR($A460="",games!$H460=""),"",games!$H460)</f>
      </c>
      <c r="Q460">
        <f>IF(OR($A460="",$P460&lt;&gt;"Yes"),"",$D460+ROW()/1000000)</f>
      </c>
      <c r="T460" t="str">
        <f>IF(connections!$A460="","",IFERROR(INDEX(games!$B$2:$B$1200,MATCH(connections!$A460,games!$A$2:$A$1200,0)),""))</f>
      </c>
      <c r="U460">
        <f>IF(connections!$A460="","",IFERROR(INDEX(games!$B$2:$B$1200,MATCH(connections!$B460,games!$A$2:$A$1200,0)),""))</f>
      </c>
      <c r="V460">
        <f>IF(OR($T460="",$U460=""),"",$U460-$T460)</f>
      </c>
    </row>
    <row r="461">
      <c r="A461" t="str">
        <f>IF(games!$A461="","",games!$A461)</f>
      </c>
      <c r="B461">
        <f>IF($A461="","",games!$B461)</f>
      </c>
      <c r="C461" t="str">
        <f>IF($A461="","",games!$C461)</f>
      </c>
      <c r="D461">
        <f>IF($A461="","",COUNTIF(connections!$A$2:$A$2500,$A461)+COUNTIF(connections!$B$2:$B$2500,$A461))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IF(OR($A461="",games!$H461=""),"",games!$H461)</f>
      </c>
      <c r="Q461">
        <f>IF(OR($A461="",$P461&lt;&gt;"Yes"),"",$D461+ROW()/1000000)</f>
      </c>
      <c r="T461" t="str">
        <f>IF(connections!$A461="","",IFERROR(INDEX(games!$B$2:$B$1200,MATCH(connections!$A461,games!$A$2:$A$1200,0)),""))</f>
      </c>
      <c r="U461">
        <f>IF(connections!$A461="","",IFERROR(INDEX(games!$B$2:$B$1200,MATCH(connections!$B461,games!$A$2:$A$1200,0)),""))</f>
      </c>
      <c r="V461">
        <f>IF(OR($T461="",$U461=""),"",$U461-$T461)</f>
      </c>
    </row>
    <row r="462">
      <c r="A462" t="str">
        <f>IF(games!$A462="","",games!$A462)</f>
      </c>
      <c r="B462">
        <f>IF($A462="","",games!$B462)</f>
      </c>
      <c r="C462" t="str">
        <f>IF($A462="","",games!$C462)</f>
      </c>
      <c r="D462">
        <f>IF($A462="","",COUNTIF(connections!$A$2:$A$2500,$A462)+COUNTIF(connections!$B$2:$B$2500,$A462))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IF(OR($A462="",games!$H462=""),"",games!$H462)</f>
      </c>
      <c r="Q462">
        <f>IF(OR($A462="",$P462&lt;&gt;"Yes"),"",$D462+ROW()/1000000)</f>
      </c>
      <c r="T462" t="str">
        <f>IF(connections!$A462="","",IFERROR(INDEX(games!$B$2:$B$1200,MATCH(connections!$A462,games!$A$2:$A$1200,0)),""))</f>
      </c>
      <c r="U462">
        <f>IF(connections!$A462="","",IFERROR(INDEX(games!$B$2:$B$1200,MATCH(connections!$B462,games!$A$2:$A$1200,0)),""))</f>
      </c>
      <c r="V462">
        <f>IF(OR($T462="",$U462=""),"",$U462-$T462)</f>
      </c>
    </row>
    <row r="463">
      <c r="A463" t="str">
        <f>IF(games!$A463="","",games!$A463)</f>
      </c>
      <c r="B463">
        <f>IF($A463="","",games!$B463)</f>
      </c>
      <c r="C463" t="str">
        <f>IF($A463="","",games!$C463)</f>
      </c>
      <c r="D463">
        <f>IF($A463="","",COUNTIF(connections!$A$2:$A$2500,$A463)+COUNTIF(connections!$B$2:$B$2500,$A463))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IF(OR($A463="",games!$H463=""),"",games!$H463)</f>
      </c>
      <c r="Q463">
        <f>IF(OR($A463="",$P463&lt;&gt;"Yes"),"",$D463+ROW()/1000000)</f>
      </c>
      <c r="T463" t="str">
        <f>IF(connections!$A463="","",IFERROR(INDEX(games!$B$2:$B$1200,MATCH(connections!$A463,games!$A$2:$A$1200,0)),""))</f>
      </c>
      <c r="U463">
        <f>IF(connections!$A463="","",IFERROR(INDEX(games!$B$2:$B$1200,MATCH(connections!$B463,games!$A$2:$A$1200,0)),""))</f>
      </c>
      <c r="V463">
        <f>IF(OR($T463="",$U463=""),"",$U463-$T463)</f>
      </c>
    </row>
    <row r="464">
      <c r="A464" t="str">
        <f>IF(games!$A464="","",games!$A464)</f>
      </c>
      <c r="B464">
        <f>IF($A464="","",games!$B464)</f>
      </c>
      <c r="C464" t="str">
        <f>IF($A464="","",games!$C464)</f>
      </c>
      <c r="D464">
        <f>IF($A464="","",COUNTIF(connections!$A$2:$A$2500,$A464)+COUNTIF(connections!$B$2:$B$2500,$A464))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IF(OR($A464="",games!$H464=""),"",games!$H464)</f>
      </c>
      <c r="Q464">
        <f>IF(OR($A464="",$P464&lt;&gt;"Yes"),"",$D464+ROW()/1000000)</f>
      </c>
      <c r="T464" t="str">
        <f>IF(connections!$A464="","",IFERROR(INDEX(games!$B$2:$B$1200,MATCH(connections!$A464,games!$A$2:$A$1200,0)),""))</f>
      </c>
      <c r="U464">
        <f>IF(connections!$A464="","",IFERROR(INDEX(games!$B$2:$B$1200,MATCH(connections!$B464,games!$A$2:$A$1200,0)),""))</f>
      </c>
      <c r="V464">
        <f>IF(OR($T464="",$U464=""),"",$U464-$T464)</f>
      </c>
    </row>
    <row r="465">
      <c r="A465" t="str">
        <f>IF(games!$A465="","",games!$A465)</f>
      </c>
      <c r="B465">
        <f>IF($A465="","",games!$B465)</f>
      </c>
      <c r="C465" t="str">
        <f>IF($A465="","",games!$C465)</f>
      </c>
      <c r="D465">
        <f>IF($A465="","",COUNTIF(connections!$A$2:$A$2500,$A465)+COUNTIF(connections!$B$2:$B$2500,$A465))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IF(OR($A465="",games!$H465=""),"",games!$H465)</f>
      </c>
      <c r="Q465">
        <f>IF(OR($A465="",$P465&lt;&gt;"Yes"),"",$D465+ROW()/1000000)</f>
      </c>
      <c r="T465" t="str">
        <f>IF(connections!$A465="","",IFERROR(INDEX(games!$B$2:$B$1200,MATCH(connections!$A465,games!$A$2:$A$1200,0)),""))</f>
      </c>
      <c r="U465">
        <f>IF(connections!$A465="","",IFERROR(INDEX(games!$B$2:$B$1200,MATCH(connections!$B465,games!$A$2:$A$1200,0)),""))</f>
      </c>
      <c r="V465">
        <f>IF(OR($T465="",$U465=""),"",$U465-$T465)</f>
      </c>
    </row>
    <row r="466">
      <c r="A466" t="str">
        <f>IF(games!$A466="","",games!$A466)</f>
      </c>
      <c r="B466">
        <f>IF($A466="","",games!$B466)</f>
      </c>
      <c r="C466" t="str">
        <f>IF($A466="","",games!$C466)</f>
      </c>
      <c r="D466">
        <f>IF($A466="","",COUNTIF(connections!$A$2:$A$2500,$A466)+COUNTIF(connections!$B$2:$B$2500,$A466))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IF(OR($A466="",games!$H466=""),"",games!$H466)</f>
      </c>
      <c r="Q466">
        <f>IF(OR($A466="",$P466&lt;&gt;"Yes"),"",$D466+ROW()/1000000)</f>
      </c>
      <c r="T466" t="str">
        <f>IF(connections!$A466="","",IFERROR(INDEX(games!$B$2:$B$1200,MATCH(connections!$A466,games!$A$2:$A$1200,0)),""))</f>
      </c>
      <c r="U466">
        <f>IF(connections!$A466="","",IFERROR(INDEX(games!$B$2:$B$1200,MATCH(connections!$B466,games!$A$2:$A$1200,0)),""))</f>
      </c>
      <c r="V466">
        <f>IF(OR($T466="",$U466=""),"",$U466-$T466)</f>
      </c>
    </row>
    <row r="467">
      <c r="A467" t="str">
        <f>IF(games!$A467="","",games!$A467)</f>
      </c>
      <c r="B467">
        <f>IF($A467="","",games!$B467)</f>
      </c>
      <c r="C467" t="str">
        <f>IF($A467="","",games!$C467)</f>
      </c>
      <c r="D467">
        <f>IF($A467="","",COUNTIF(connections!$A$2:$A$2500,$A467)+COUNTIF(connections!$B$2:$B$2500,$A467))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IF(OR($A467="",games!$H467=""),"",games!$H467)</f>
      </c>
      <c r="Q467">
        <f>IF(OR($A467="",$P467&lt;&gt;"Yes"),"",$D467+ROW()/1000000)</f>
      </c>
      <c r="T467" t="str">
        <f>IF(connections!$A467="","",IFERROR(INDEX(games!$B$2:$B$1200,MATCH(connections!$A467,games!$A$2:$A$1200,0)),""))</f>
      </c>
      <c r="U467">
        <f>IF(connections!$A467="","",IFERROR(INDEX(games!$B$2:$B$1200,MATCH(connections!$B467,games!$A$2:$A$1200,0)),""))</f>
      </c>
      <c r="V467">
        <f>IF(OR($T467="",$U467=""),"",$U467-$T467)</f>
      </c>
    </row>
    <row r="468">
      <c r="A468" t="str">
        <f>IF(games!$A468="","",games!$A468)</f>
      </c>
      <c r="B468">
        <f>IF($A468="","",games!$B468)</f>
      </c>
      <c r="C468" t="str">
        <f>IF($A468="","",games!$C468)</f>
      </c>
      <c r="D468">
        <f>IF($A468="","",COUNTIF(connections!$A$2:$A$2500,$A468)+COUNTIF(connections!$B$2:$B$2500,$A468))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IF(OR($A468="",games!$H468=""),"",games!$H468)</f>
      </c>
      <c r="Q468">
        <f>IF(OR($A468="",$P468&lt;&gt;"Yes"),"",$D468+ROW()/1000000)</f>
      </c>
      <c r="T468" t="str">
        <f>IF(connections!$A468="","",IFERROR(INDEX(games!$B$2:$B$1200,MATCH(connections!$A468,games!$A$2:$A$1200,0)),""))</f>
      </c>
      <c r="U468">
        <f>IF(connections!$A468="","",IFERROR(INDEX(games!$B$2:$B$1200,MATCH(connections!$B468,games!$A$2:$A$1200,0)),""))</f>
      </c>
      <c r="V468">
        <f>IF(OR($T468="",$U468=""),"",$U468-$T468)</f>
      </c>
    </row>
    <row r="469">
      <c r="A469" t="str">
        <f>IF(games!$A469="","",games!$A469)</f>
      </c>
      <c r="B469">
        <f>IF($A469="","",games!$B469)</f>
      </c>
      <c r="C469" t="str">
        <f>IF($A469="","",games!$C469)</f>
      </c>
      <c r="D469">
        <f>IF($A469="","",COUNTIF(connections!$A$2:$A$2500,$A469)+COUNTIF(connections!$B$2:$B$2500,$A469))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IF(OR($A469="",games!$H469=""),"",games!$H469)</f>
      </c>
      <c r="Q469">
        <f>IF(OR($A469="",$P469&lt;&gt;"Yes"),"",$D469+ROW()/1000000)</f>
      </c>
      <c r="T469" t="str">
        <f>IF(connections!$A469="","",IFERROR(INDEX(games!$B$2:$B$1200,MATCH(connections!$A469,games!$A$2:$A$1200,0)),""))</f>
      </c>
      <c r="U469">
        <f>IF(connections!$A469="","",IFERROR(INDEX(games!$B$2:$B$1200,MATCH(connections!$B469,games!$A$2:$A$1200,0)),""))</f>
      </c>
      <c r="V469">
        <f>IF(OR($T469="",$U469=""),"",$U469-$T469)</f>
      </c>
    </row>
    <row r="470">
      <c r="A470" t="str">
        <f>IF(games!$A470="","",games!$A470)</f>
      </c>
      <c r="B470">
        <f>IF($A470="","",games!$B470)</f>
      </c>
      <c r="C470" t="str">
        <f>IF($A470="","",games!$C470)</f>
      </c>
      <c r="D470">
        <f>IF($A470="","",COUNTIF(connections!$A$2:$A$2500,$A470)+COUNTIF(connections!$B$2:$B$2500,$A470))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IF(OR($A470="",games!$H470=""),"",games!$H470)</f>
      </c>
      <c r="Q470">
        <f>IF(OR($A470="",$P470&lt;&gt;"Yes"),"",$D470+ROW()/1000000)</f>
      </c>
      <c r="T470" t="str">
        <f>IF(connections!$A470="","",IFERROR(INDEX(games!$B$2:$B$1200,MATCH(connections!$A470,games!$A$2:$A$1200,0)),""))</f>
      </c>
      <c r="U470">
        <f>IF(connections!$A470="","",IFERROR(INDEX(games!$B$2:$B$1200,MATCH(connections!$B470,games!$A$2:$A$1200,0)),""))</f>
      </c>
      <c r="V470">
        <f>IF(OR($T470="",$U470=""),"",$U470-$T470)</f>
      </c>
    </row>
    <row r="471">
      <c r="A471" t="str">
        <f>IF(games!$A471="","",games!$A471)</f>
      </c>
      <c r="B471">
        <f>IF($A471="","",games!$B471)</f>
      </c>
      <c r="C471" t="str">
        <f>IF($A471="","",games!$C471)</f>
      </c>
      <c r="D471">
        <f>IF($A471="","",COUNTIF(connections!$A$2:$A$2500,$A471)+COUNTIF(connections!$B$2:$B$2500,$A471))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IF(OR($A471="",games!$H471=""),"",games!$H471)</f>
      </c>
      <c r="Q471">
        <f>IF(OR($A471="",$P471&lt;&gt;"Yes"),"",$D471+ROW()/1000000)</f>
      </c>
      <c r="T471" t="str">
        <f>IF(connections!$A471="","",IFERROR(INDEX(games!$B$2:$B$1200,MATCH(connections!$A471,games!$A$2:$A$1200,0)),""))</f>
      </c>
      <c r="U471">
        <f>IF(connections!$A471="","",IFERROR(INDEX(games!$B$2:$B$1200,MATCH(connections!$B471,games!$A$2:$A$1200,0)),""))</f>
      </c>
      <c r="V471">
        <f>IF(OR($T471="",$U471=""),"",$U471-$T471)</f>
      </c>
    </row>
    <row r="472">
      <c r="A472" t="str">
        <f>IF(games!$A472="","",games!$A472)</f>
      </c>
      <c r="B472">
        <f>IF($A472="","",games!$B472)</f>
      </c>
      <c r="C472" t="str">
        <f>IF($A472="","",games!$C472)</f>
      </c>
      <c r="D472">
        <f>IF($A472="","",COUNTIF(connections!$A$2:$A$2500,$A472)+COUNTIF(connections!$B$2:$B$2500,$A472))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IF(OR($A472="",games!$H472=""),"",games!$H472)</f>
      </c>
      <c r="Q472">
        <f>IF(OR($A472="",$P472&lt;&gt;"Yes"),"",$D472+ROW()/1000000)</f>
      </c>
      <c r="T472" t="str">
        <f>IF(connections!$A472="","",IFERROR(INDEX(games!$B$2:$B$1200,MATCH(connections!$A472,games!$A$2:$A$1200,0)),""))</f>
      </c>
      <c r="U472">
        <f>IF(connections!$A472="","",IFERROR(INDEX(games!$B$2:$B$1200,MATCH(connections!$B472,games!$A$2:$A$1200,0)),""))</f>
      </c>
      <c r="V472">
        <f>IF(OR($T472="",$U472=""),"",$U472-$T472)</f>
      </c>
    </row>
    <row r="473">
      <c r="A473" t="str">
        <f>IF(games!$A473="","",games!$A473)</f>
      </c>
      <c r="B473">
        <f>IF($A473="","",games!$B473)</f>
      </c>
      <c r="C473" t="str">
        <f>IF($A473="","",games!$C473)</f>
      </c>
      <c r="D473">
        <f>IF($A473="","",COUNTIF(connections!$A$2:$A$2500,$A473)+COUNTIF(connections!$B$2:$B$2500,$A473))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IF(OR($A473="",games!$H473=""),"",games!$H473)</f>
      </c>
      <c r="Q473">
        <f>IF(OR($A473="",$P473&lt;&gt;"Yes"),"",$D473+ROW()/1000000)</f>
      </c>
      <c r="T473" t="str">
        <f>IF(connections!$A473="","",IFERROR(INDEX(games!$B$2:$B$1200,MATCH(connections!$A473,games!$A$2:$A$1200,0)),""))</f>
      </c>
      <c r="U473">
        <f>IF(connections!$A473="","",IFERROR(INDEX(games!$B$2:$B$1200,MATCH(connections!$B473,games!$A$2:$A$1200,0)),""))</f>
      </c>
      <c r="V473">
        <f>IF(OR($T473="",$U473=""),"",$U473-$T473)</f>
      </c>
    </row>
    <row r="474">
      <c r="A474" t="str">
        <f>IF(games!$A474="","",games!$A474)</f>
      </c>
      <c r="B474">
        <f>IF($A474="","",games!$B474)</f>
      </c>
      <c r="C474" t="str">
        <f>IF($A474="","",games!$C474)</f>
      </c>
      <c r="D474">
        <f>IF($A474="","",COUNTIF(connections!$A$2:$A$2500,$A474)+COUNTIF(connections!$B$2:$B$2500,$A474))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IF(OR($A474="",games!$H474=""),"",games!$H474)</f>
      </c>
      <c r="Q474">
        <f>IF(OR($A474="",$P474&lt;&gt;"Yes"),"",$D474+ROW()/1000000)</f>
      </c>
      <c r="T474" t="str">
        <f>IF(connections!$A474="","",IFERROR(INDEX(games!$B$2:$B$1200,MATCH(connections!$A474,games!$A$2:$A$1200,0)),""))</f>
      </c>
      <c r="U474">
        <f>IF(connections!$A474="","",IFERROR(INDEX(games!$B$2:$B$1200,MATCH(connections!$B474,games!$A$2:$A$1200,0)),""))</f>
      </c>
      <c r="V474">
        <f>IF(OR($T474="",$U474=""),"",$U474-$T474)</f>
      </c>
    </row>
    <row r="475">
      <c r="A475" t="str">
        <f>IF(games!$A475="","",games!$A475)</f>
      </c>
      <c r="B475">
        <f>IF($A475="","",games!$B475)</f>
      </c>
      <c r="C475" t="str">
        <f>IF($A475="","",games!$C475)</f>
      </c>
      <c r="D475">
        <f>IF($A475="","",COUNTIF(connections!$A$2:$A$2500,$A475)+COUNTIF(connections!$B$2:$B$2500,$A475))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IF(OR($A475="",games!$H475=""),"",games!$H475)</f>
      </c>
      <c r="Q475">
        <f>IF(OR($A475="",$P475&lt;&gt;"Yes"),"",$D475+ROW()/1000000)</f>
      </c>
      <c r="T475" t="str">
        <f>IF(connections!$A475="","",IFERROR(INDEX(games!$B$2:$B$1200,MATCH(connections!$A475,games!$A$2:$A$1200,0)),""))</f>
      </c>
      <c r="U475">
        <f>IF(connections!$A475="","",IFERROR(INDEX(games!$B$2:$B$1200,MATCH(connections!$B475,games!$A$2:$A$1200,0)),""))</f>
      </c>
      <c r="V475">
        <f>IF(OR($T475="",$U475=""),"",$U475-$T475)</f>
      </c>
    </row>
    <row r="476">
      <c r="A476" t="str">
        <f>IF(games!$A476="","",games!$A476)</f>
      </c>
      <c r="B476">
        <f>IF($A476="","",games!$B476)</f>
      </c>
      <c r="C476" t="str">
        <f>IF($A476="","",games!$C476)</f>
      </c>
      <c r="D476">
        <f>IF($A476="","",COUNTIF(connections!$A$2:$A$2500,$A476)+COUNTIF(connections!$B$2:$B$2500,$A476))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IF(OR($A476="",games!$H476=""),"",games!$H476)</f>
      </c>
      <c r="Q476">
        <f>IF(OR($A476="",$P476&lt;&gt;"Yes"),"",$D476+ROW()/1000000)</f>
      </c>
      <c r="T476" t="str">
        <f>IF(connections!$A476="","",IFERROR(INDEX(games!$B$2:$B$1200,MATCH(connections!$A476,games!$A$2:$A$1200,0)),""))</f>
      </c>
      <c r="U476">
        <f>IF(connections!$A476="","",IFERROR(INDEX(games!$B$2:$B$1200,MATCH(connections!$B476,games!$A$2:$A$1200,0)),""))</f>
      </c>
      <c r="V476">
        <f>IF(OR($T476="",$U476=""),"",$U476-$T476)</f>
      </c>
    </row>
    <row r="477">
      <c r="A477" t="str">
        <f>IF(games!$A477="","",games!$A477)</f>
      </c>
      <c r="B477">
        <f>IF($A477="","",games!$B477)</f>
      </c>
      <c r="C477" t="str">
        <f>IF($A477="","",games!$C477)</f>
      </c>
      <c r="D477">
        <f>IF($A477="","",COUNTIF(connections!$A$2:$A$2500,$A477)+COUNTIF(connections!$B$2:$B$2500,$A477))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IF(OR($A477="",games!$H477=""),"",games!$H477)</f>
      </c>
      <c r="Q477">
        <f>IF(OR($A477="",$P477&lt;&gt;"Yes"),"",$D477+ROW()/1000000)</f>
      </c>
      <c r="T477" t="str">
        <f>IF(connections!$A477="","",IFERROR(INDEX(games!$B$2:$B$1200,MATCH(connections!$A477,games!$A$2:$A$1200,0)),""))</f>
      </c>
      <c r="U477">
        <f>IF(connections!$A477="","",IFERROR(INDEX(games!$B$2:$B$1200,MATCH(connections!$B477,games!$A$2:$A$1200,0)),""))</f>
      </c>
      <c r="V477">
        <f>IF(OR($T477="",$U477=""),"",$U477-$T477)</f>
      </c>
    </row>
    <row r="478">
      <c r="A478" t="str">
        <f>IF(games!$A478="","",games!$A478)</f>
      </c>
      <c r="B478">
        <f>IF($A478="","",games!$B478)</f>
      </c>
      <c r="C478" t="str">
        <f>IF($A478="","",games!$C478)</f>
      </c>
      <c r="D478">
        <f>IF($A478="","",COUNTIF(connections!$A$2:$A$2500,$A478)+COUNTIF(connections!$B$2:$B$2500,$A478))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IF(OR($A478="",games!$H478=""),"",games!$H478)</f>
      </c>
      <c r="Q478">
        <f>IF(OR($A478="",$P478&lt;&gt;"Yes"),"",$D478+ROW()/1000000)</f>
      </c>
      <c r="T478" t="str">
        <f>IF(connections!$A478="","",IFERROR(INDEX(games!$B$2:$B$1200,MATCH(connections!$A478,games!$A$2:$A$1200,0)),""))</f>
      </c>
      <c r="U478">
        <f>IF(connections!$A478="","",IFERROR(INDEX(games!$B$2:$B$1200,MATCH(connections!$B478,games!$A$2:$A$1200,0)),""))</f>
      </c>
      <c r="V478">
        <f>IF(OR($T478="",$U478=""),"",$U478-$T478)</f>
      </c>
    </row>
    <row r="479">
      <c r="A479" t="str">
        <f>IF(games!$A479="","",games!$A479)</f>
      </c>
      <c r="B479">
        <f>IF($A479="","",games!$B479)</f>
      </c>
      <c r="C479" t="str">
        <f>IF($A479="","",games!$C479)</f>
      </c>
      <c r="D479">
        <f>IF($A479="","",COUNTIF(connections!$A$2:$A$2500,$A479)+COUNTIF(connections!$B$2:$B$2500,$A479))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IF(OR($A479="",games!$H479=""),"",games!$H479)</f>
      </c>
      <c r="Q479">
        <f>IF(OR($A479="",$P479&lt;&gt;"Yes"),"",$D479+ROW()/1000000)</f>
      </c>
      <c r="T479" t="str">
        <f>IF(connections!$A479="","",IFERROR(INDEX(games!$B$2:$B$1200,MATCH(connections!$A479,games!$A$2:$A$1200,0)),""))</f>
      </c>
      <c r="U479">
        <f>IF(connections!$A479="","",IFERROR(INDEX(games!$B$2:$B$1200,MATCH(connections!$B479,games!$A$2:$A$1200,0)),""))</f>
      </c>
      <c r="V479">
        <f>IF(OR($T479="",$U479=""),"",$U479-$T479)</f>
      </c>
    </row>
    <row r="480">
      <c r="A480" t="str">
        <f>IF(games!$A480="","",games!$A480)</f>
      </c>
      <c r="B480">
        <f>IF($A480="","",games!$B480)</f>
      </c>
      <c r="C480" t="str">
        <f>IF($A480="","",games!$C480)</f>
      </c>
      <c r="D480">
        <f>IF($A480="","",COUNTIF(connections!$A$2:$A$2500,$A480)+COUNTIF(connections!$B$2:$B$2500,$A480))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IF(OR($A480="",games!$H480=""),"",games!$H480)</f>
      </c>
      <c r="Q480">
        <f>IF(OR($A480="",$P480&lt;&gt;"Yes"),"",$D480+ROW()/1000000)</f>
      </c>
      <c r="T480" t="str">
        <f>IF(connections!$A480="","",IFERROR(INDEX(games!$B$2:$B$1200,MATCH(connections!$A480,games!$A$2:$A$1200,0)),""))</f>
      </c>
      <c r="U480">
        <f>IF(connections!$A480="","",IFERROR(INDEX(games!$B$2:$B$1200,MATCH(connections!$B480,games!$A$2:$A$1200,0)),""))</f>
      </c>
      <c r="V480">
        <f>IF(OR($T480="",$U480=""),"",$U480-$T480)</f>
      </c>
    </row>
    <row r="481">
      <c r="A481" t="str">
        <f>IF(games!$A481="","",games!$A481)</f>
      </c>
      <c r="B481">
        <f>IF($A481="","",games!$B481)</f>
      </c>
      <c r="C481" t="str">
        <f>IF($A481="","",games!$C481)</f>
      </c>
      <c r="D481">
        <f>IF($A481="","",COUNTIF(connections!$A$2:$A$2500,$A481)+COUNTIF(connections!$B$2:$B$2500,$A481))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IF(OR($A481="",games!$H481=""),"",games!$H481)</f>
      </c>
      <c r="Q481">
        <f>IF(OR($A481="",$P481&lt;&gt;"Yes"),"",$D481+ROW()/1000000)</f>
      </c>
      <c r="T481" t="str">
        <f>IF(connections!$A481="","",IFERROR(INDEX(games!$B$2:$B$1200,MATCH(connections!$A481,games!$A$2:$A$1200,0)),""))</f>
      </c>
      <c r="U481">
        <f>IF(connections!$A481="","",IFERROR(INDEX(games!$B$2:$B$1200,MATCH(connections!$B481,games!$A$2:$A$1200,0)),""))</f>
      </c>
      <c r="V481">
        <f>IF(OR($T481="",$U481=""),"",$U481-$T481)</f>
      </c>
    </row>
    <row r="482">
      <c r="A482" t="str">
        <f>IF(games!$A482="","",games!$A482)</f>
      </c>
      <c r="B482">
        <f>IF($A482="","",games!$B482)</f>
      </c>
      <c r="C482" t="str">
        <f>IF($A482="","",games!$C482)</f>
      </c>
      <c r="D482">
        <f>IF($A482="","",COUNTIF(connections!$A$2:$A$2500,$A482)+COUNTIF(connections!$B$2:$B$2500,$A482))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IF(OR($A482="",games!$H482=""),"",games!$H482)</f>
      </c>
      <c r="Q482">
        <f>IF(OR($A482="",$P482&lt;&gt;"Yes"),"",$D482+ROW()/1000000)</f>
      </c>
      <c r="T482" t="str">
        <f>IF(connections!$A482="","",IFERROR(INDEX(games!$B$2:$B$1200,MATCH(connections!$A482,games!$A$2:$A$1200,0)),""))</f>
      </c>
      <c r="U482">
        <f>IF(connections!$A482="","",IFERROR(INDEX(games!$B$2:$B$1200,MATCH(connections!$B482,games!$A$2:$A$1200,0)),""))</f>
      </c>
      <c r="V482">
        <f>IF(OR($T482="",$U482=""),"",$U482-$T482)</f>
      </c>
    </row>
    <row r="483">
      <c r="A483" t="str">
        <f>IF(games!$A483="","",games!$A483)</f>
      </c>
      <c r="B483">
        <f>IF($A483="","",games!$B483)</f>
      </c>
      <c r="C483" t="str">
        <f>IF($A483="","",games!$C483)</f>
      </c>
      <c r="D483">
        <f>IF($A483="","",COUNTIF(connections!$A$2:$A$2500,$A483)+COUNTIF(connections!$B$2:$B$2500,$A483))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IF(OR($A483="",games!$H483=""),"",games!$H483)</f>
      </c>
      <c r="Q483">
        <f>IF(OR($A483="",$P483&lt;&gt;"Yes"),"",$D483+ROW()/1000000)</f>
      </c>
      <c r="T483" t="str">
        <f>IF(connections!$A483="","",IFERROR(INDEX(games!$B$2:$B$1200,MATCH(connections!$A483,games!$A$2:$A$1200,0)),""))</f>
      </c>
      <c r="U483">
        <f>IF(connections!$A483="","",IFERROR(INDEX(games!$B$2:$B$1200,MATCH(connections!$B483,games!$A$2:$A$1200,0)),""))</f>
      </c>
      <c r="V483">
        <f>IF(OR($T483="",$U483=""),"",$U483-$T483)</f>
      </c>
    </row>
    <row r="484">
      <c r="A484" t="str">
        <f>IF(games!$A484="","",games!$A484)</f>
      </c>
      <c r="B484">
        <f>IF($A484="","",games!$B484)</f>
      </c>
      <c r="C484" t="str">
        <f>IF($A484="","",games!$C484)</f>
      </c>
      <c r="D484">
        <f>IF($A484="","",COUNTIF(connections!$A$2:$A$2500,$A484)+COUNTIF(connections!$B$2:$B$2500,$A484))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IF(OR($A484="",games!$H484=""),"",games!$H484)</f>
      </c>
      <c r="Q484">
        <f>IF(OR($A484="",$P484&lt;&gt;"Yes"),"",$D484+ROW()/1000000)</f>
      </c>
      <c r="T484" t="str">
        <f>IF(connections!$A484="","",IFERROR(INDEX(games!$B$2:$B$1200,MATCH(connections!$A484,games!$A$2:$A$1200,0)),""))</f>
      </c>
      <c r="U484">
        <f>IF(connections!$A484="","",IFERROR(INDEX(games!$B$2:$B$1200,MATCH(connections!$B484,games!$A$2:$A$1200,0)),""))</f>
      </c>
      <c r="V484">
        <f>IF(OR($T484="",$U484=""),"",$U484-$T484)</f>
      </c>
    </row>
    <row r="485">
      <c r="A485" t="str">
        <f>IF(games!$A485="","",games!$A485)</f>
      </c>
      <c r="B485">
        <f>IF($A485="","",games!$B485)</f>
      </c>
      <c r="C485" t="str">
        <f>IF($A485="","",games!$C485)</f>
      </c>
      <c r="D485">
        <f>IF($A485="","",COUNTIF(connections!$A$2:$A$2500,$A485)+COUNTIF(connections!$B$2:$B$2500,$A485))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IF(OR($A485="",games!$H485=""),"",games!$H485)</f>
      </c>
      <c r="Q485">
        <f>IF(OR($A485="",$P485&lt;&gt;"Yes"),"",$D485+ROW()/1000000)</f>
      </c>
      <c r="T485" t="str">
        <f>IF(connections!$A485="","",IFERROR(INDEX(games!$B$2:$B$1200,MATCH(connections!$A485,games!$A$2:$A$1200,0)),""))</f>
      </c>
      <c r="U485">
        <f>IF(connections!$A485="","",IFERROR(INDEX(games!$B$2:$B$1200,MATCH(connections!$B485,games!$A$2:$A$1200,0)),""))</f>
      </c>
      <c r="V485">
        <f>IF(OR($T485="",$U485=""),"",$U485-$T485)</f>
      </c>
    </row>
    <row r="486">
      <c r="A486" t="str">
        <f>IF(games!$A486="","",games!$A486)</f>
      </c>
      <c r="B486">
        <f>IF($A486="","",games!$B486)</f>
      </c>
      <c r="C486" t="str">
        <f>IF($A486="","",games!$C486)</f>
      </c>
      <c r="D486">
        <f>IF($A486="","",COUNTIF(connections!$A$2:$A$2500,$A486)+COUNTIF(connections!$B$2:$B$2500,$A486))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IF(OR($A486="",games!$H486=""),"",games!$H486)</f>
      </c>
      <c r="Q486">
        <f>IF(OR($A486="",$P486&lt;&gt;"Yes"),"",$D486+ROW()/1000000)</f>
      </c>
      <c r="T486" t="str">
        <f>IF(connections!$A486="","",IFERROR(INDEX(games!$B$2:$B$1200,MATCH(connections!$A486,games!$A$2:$A$1200,0)),""))</f>
      </c>
      <c r="U486">
        <f>IF(connections!$A486="","",IFERROR(INDEX(games!$B$2:$B$1200,MATCH(connections!$B486,games!$A$2:$A$1200,0)),""))</f>
      </c>
      <c r="V486">
        <f>IF(OR($T486="",$U486=""),"",$U486-$T486)</f>
      </c>
    </row>
    <row r="487">
      <c r="A487" t="str">
        <f>IF(games!$A487="","",games!$A487)</f>
      </c>
      <c r="B487">
        <f>IF($A487="","",games!$B487)</f>
      </c>
      <c r="C487" t="str">
        <f>IF($A487="","",games!$C487)</f>
      </c>
      <c r="D487">
        <f>IF($A487="","",COUNTIF(connections!$A$2:$A$2500,$A487)+COUNTIF(connections!$B$2:$B$2500,$A487))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IF(OR($A487="",games!$H487=""),"",games!$H487)</f>
      </c>
      <c r="Q487">
        <f>IF(OR($A487="",$P487&lt;&gt;"Yes"),"",$D487+ROW()/1000000)</f>
      </c>
      <c r="T487" t="str">
        <f>IF(connections!$A487="","",IFERROR(INDEX(games!$B$2:$B$1200,MATCH(connections!$A487,games!$A$2:$A$1200,0)),""))</f>
      </c>
      <c r="U487">
        <f>IF(connections!$A487="","",IFERROR(INDEX(games!$B$2:$B$1200,MATCH(connections!$B487,games!$A$2:$A$1200,0)),""))</f>
      </c>
      <c r="V487">
        <f>IF(OR($T487="",$U487=""),"",$U487-$T487)</f>
      </c>
    </row>
    <row r="488">
      <c r="A488" t="str">
        <f>IF(games!$A488="","",games!$A488)</f>
      </c>
      <c r="B488">
        <f>IF($A488="","",games!$B488)</f>
      </c>
      <c r="C488" t="str">
        <f>IF($A488="","",games!$C488)</f>
      </c>
      <c r="D488">
        <f>IF($A488="","",COUNTIF(connections!$A$2:$A$2500,$A488)+COUNTIF(connections!$B$2:$B$2500,$A488))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IF(OR($A488="",games!$H488=""),"",games!$H488)</f>
      </c>
      <c r="Q488">
        <f>IF(OR($A488="",$P488&lt;&gt;"Yes"),"",$D488+ROW()/1000000)</f>
      </c>
      <c r="T488" t="str">
        <f>IF(connections!$A488="","",IFERROR(INDEX(games!$B$2:$B$1200,MATCH(connections!$A488,games!$A$2:$A$1200,0)),""))</f>
      </c>
      <c r="U488">
        <f>IF(connections!$A488="","",IFERROR(INDEX(games!$B$2:$B$1200,MATCH(connections!$B488,games!$A$2:$A$1200,0)),""))</f>
      </c>
      <c r="V488">
        <f>IF(OR($T488="",$U488=""),"",$U488-$T488)</f>
      </c>
    </row>
    <row r="489">
      <c r="A489" t="str">
        <f>IF(games!$A489="","",games!$A489)</f>
      </c>
      <c r="B489">
        <f>IF($A489="","",games!$B489)</f>
      </c>
      <c r="C489" t="str">
        <f>IF($A489="","",games!$C489)</f>
      </c>
      <c r="D489">
        <f>IF($A489="","",COUNTIF(connections!$A$2:$A$2500,$A489)+COUNTIF(connections!$B$2:$B$2500,$A489))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IF(OR($A489="",games!$H489=""),"",games!$H489)</f>
      </c>
      <c r="Q489">
        <f>IF(OR($A489="",$P489&lt;&gt;"Yes"),"",$D489+ROW()/1000000)</f>
      </c>
      <c r="T489" t="str">
        <f>IF(connections!$A489="","",IFERROR(INDEX(games!$B$2:$B$1200,MATCH(connections!$A489,games!$A$2:$A$1200,0)),""))</f>
      </c>
      <c r="U489">
        <f>IF(connections!$A489="","",IFERROR(INDEX(games!$B$2:$B$1200,MATCH(connections!$B489,games!$A$2:$A$1200,0)),""))</f>
      </c>
      <c r="V489">
        <f>IF(OR($T489="",$U489=""),"",$U489-$T489)</f>
      </c>
    </row>
    <row r="490">
      <c r="A490" t="str">
        <f>IF(games!$A490="","",games!$A490)</f>
      </c>
      <c r="B490">
        <f>IF($A490="","",games!$B490)</f>
      </c>
      <c r="C490" t="str">
        <f>IF($A490="","",games!$C490)</f>
      </c>
      <c r="D490">
        <f>IF($A490="","",COUNTIF(connections!$A$2:$A$2500,$A490)+COUNTIF(connections!$B$2:$B$2500,$A490))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IF(OR($A490="",games!$H490=""),"",games!$H490)</f>
      </c>
      <c r="Q490">
        <f>IF(OR($A490="",$P490&lt;&gt;"Yes"),"",$D490+ROW()/1000000)</f>
      </c>
      <c r="T490" t="str">
        <f>IF(connections!$A490="","",IFERROR(INDEX(games!$B$2:$B$1200,MATCH(connections!$A490,games!$A$2:$A$1200,0)),""))</f>
      </c>
      <c r="U490">
        <f>IF(connections!$A490="","",IFERROR(INDEX(games!$B$2:$B$1200,MATCH(connections!$B490,games!$A$2:$A$1200,0)),""))</f>
      </c>
      <c r="V490">
        <f>IF(OR($T490="",$U490=""),"",$U490-$T490)</f>
      </c>
    </row>
    <row r="491">
      <c r="A491" t="str">
        <f>IF(games!$A491="","",games!$A491)</f>
      </c>
      <c r="B491">
        <f>IF($A491="","",games!$B491)</f>
      </c>
      <c r="C491" t="str">
        <f>IF($A491="","",games!$C491)</f>
      </c>
      <c r="D491">
        <f>IF($A491="","",COUNTIF(connections!$A$2:$A$2500,$A491)+COUNTIF(connections!$B$2:$B$2500,$A491))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IF(OR($A491="",games!$H491=""),"",games!$H491)</f>
      </c>
      <c r="Q491">
        <f>IF(OR($A491="",$P491&lt;&gt;"Yes"),"",$D491+ROW()/1000000)</f>
      </c>
      <c r="T491" t="str">
        <f>IF(connections!$A491="","",IFERROR(INDEX(games!$B$2:$B$1200,MATCH(connections!$A491,games!$A$2:$A$1200,0)),""))</f>
      </c>
      <c r="U491">
        <f>IF(connections!$A491="","",IFERROR(INDEX(games!$B$2:$B$1200,MATCH(connections!$B491,games!$A$2:$A$1200,0)),""))</f>
      </c>
      <c r="V491">
        <f>IF(OR($T491="",$U491=""),"",$U491-$T491)</f>
      </c>
    </row>
    <row r="492">
      <c r="A492" t="str">
        <f>IF(games!$A492="","",games!$A492)</f>
      </c>
      <c r="B492">
        <f>IF($A492="","",games!$B492)</f>
      </c>
      <c r="C492" t="str">
        <f>IF($A492="","",games!$C492)</f>
      </c>
      <c r="D492">
        <f>IF($A492="","",COUNTIF(connections!$A$2:$A$2500,$A492)+COUNTIF(connections!$B$2:$B$2500,$A492))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IF(OR($A492="",games!$H492=""),"",games!$H492)</f>
      </c>
      <c r="Q492">
        <f>IF(OR($A492="",$P492&lt;&gt;"Yes"),"",$D492+ROW()/1000000)</f>
      </c>
      <c r="T492" t="str">
        <f>IF(connections!$A492="","",IFERROR(INDEX(games!$B$2:$B$1200,MATCH(connections!$A492,games!$A$2:$A$1200,0)),""))</f>
      </c>
      <c r="U492">
        <f>IF(connections!$A492="","",IFERROR(INDEX(games!$B$2:$B$1200,MATCH(connections!$B492,games!$A$2:$A$1200,0)),""))</f>
      </c>
      <c r="V492">
        <f>IF(OR($T492="",$U492=""),"",$U492-$T492)</f>
      </c>
    </row>
    <row r="493">
      <c r="A493" t="str">
        <f>IF(games!$A493="","",games!$A493)</f>
      </c>
      <c r="B493">
        <f>IF($A493="","",games!$B493)</f>
      </c>
      <c r="C493" t="str">
        <f>IF($A493="","",games!$C493)</f>
      </c>
      <c r="D493">
        <f>IF($A493="","",COUNTIF(connections!$A$2:$A$2500,$A493)+COUNTIF(connections!$B$2:$B$2500,$A493))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IF(OR($A493="",games!$H493=""),"",games!$H493)</f>
      </c>
      <c r="Q493">
        <f>IF(OR($A493="",$P493&lt;&gt;"Yes"),"",$D493+ROW()/1000000)</f>
      </c>
      <c r="T493" t="str">
        <f>IF(connections!$A493="","",IFERROR(INDEX(games!$B$2:$B$1200,MATCH(connections!$A493,games!$A$2:$A$1200,0)),""))</f>
      </c>
      <c r="U493">
        <f>IF(connections!$A493="","",IFERROR(INDEX(games!$B$2:$B$1200,MATCH(connections!$B493,games!$A$2:$A$1200,0)),""))</f>
      </c>
      <c r="V493">
        <f>IF(OR($T493="",$U493=""),"",$U493-$T493)</f>
      </c>
    </row>
    <row r="494">
      <c r="A494" t="str">
        <f>IF(games!$A494="","",games!$A494)</f>
      </c>
      <c r="B494">
        <f>IF($A494="","",games!$B494)</f>
      </c>
      <c r="C494" t="str">
        <f>IF($A494="","",games!$C494)</f>
      </c>
      <c r="D494">
        <f>IF($A494="","",COUNTIF(connections!$A$2:$A$2500,$A494)+COUNTIF(connections!$B$2:$B$2500,$A494))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IF(OR($A494="",games!$H494=""),"",games!$H494)</f>
      </c>
      <c r="Q494">
        <f>IF(OR($A494="",$P494&lt;&gt;"Yes"),"",$D494+ROW()/1000000)</f>
      </c>
      <c r="T494" t="str">
        <f>IF(connections!$A494="","",IFERROR(INDEX(games!$B$2:$B$1200,MATCH(connections!$A494,games!$A$2:$A$1200,0)),""))</f>
      </c>
      <c r="U494">
        <f>IF(connections!$A494="","",IFERROR(INDEX(games!$B$2:$B$1200,MATCH(connections!$B494,games!$A$2:$A$1200,0)),""))</f>
      </c>
      <c r="V494">
        <f>IF(OR($T494="",$U494=""),"",$U494-$T494)</f>
      </c>
    </row>
    <row r="495">
      <c r="A495" t="str">
        <f>IF(games!$A495="","",games!$A495)</f>
      </c>
      <c r="B495">
        <f>IF($A495="","",games!$B495)</f>
      </c>
      <c r="C495" t="str">
        <f>IF($A495="","",games!$C495)</f>
      </c>
      <c r="D495">
        <f>IF($A495="","",COUNTIF(connections!$A$2:$A$2500,$A495)+COUNTIF(connections!$B$2:$B$2500,$A495))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IF(OR($A495="",games!$H495=""),"",games!$H495)</f>
      </c>
      <c r="Q495">
        <f>IF(OR($A495="",$P495&lt;&gt;"Yes"),"",$D495+ROW()/1000000)</f>
      </c>
      <c r="T495" t="str">
        <f>IF(connections!$A495="","",IFERROR(INDEX(games!$B$2:$B$1200,MATCH(connections!$A495,games!$A$2:$A$1200,0)),""))</f>
      </c>
      <c r="U495">
        <f>IF(connections!$A495="","",IFERROR(INDEX(games!$B$2:$B$1200,MATCH(connections!$B495,games!$A$2:$A$1200,0)),""))</f>
      </c>
      <c r="V495">
        <f>IF(OR($T495="",$U495=""),"",$U495-$T495)</f>
      </c>
    </row>
    <row r="496">
      <c r="A496" t="str">
        <f>IF(games!$A496="","",games!$A496)</f>
      </c>
      <c r="B496">
        <f>IF($A496="","",games!$B496)</f>
      </c>
      <c r="C496" t="str">
        <f>IF($A496="","",games!$C496)</f>
      </c>
      <c r="D496">
        <f>IF($A496="","",COUNTIF(connections!$A$2:$A$2500,$A496)+COUNTIF(connections!$B$2:$B$2500,$A496))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IF(OR($A496="",games!$H496=""),"",games!$H496)</f>
      </c>
      <c r="Q496">
        <f>IF(OR($A496="",$P496&lt;&gt;"Yes"),"",$D496+ROW()/1000000)</f>
      </c>
      <c r="T496" t="str">
        <f>IF(connections!$A496="","",IFERROR(INDEX(games!$B$2:$B$1200,MATCH(connections!$A496,games!$A$2:$A$1200,0)),""))</f>
      </c>
      <c r="U496">
        <f>IF(connections!$A496="","",IFERROR(INDEX(games!$B$2:$B$1200,MATCH(connections!$B496,games!$A$2:$A$1200,0)),""))</f>
      </c>
      <c r="V496">
        <f>IF(OR($T496="",$U496=""),"",$U496-$T496)</f>
      </c>
    </row>
    <row r="497">
      <c r="A497" t="str">
        <f>IF(games!$A497="","",games!$A497)</f>
      </c>
      <c r="B497">
        <f>IF($A497="","",games!$B497)</f>
      </c>
      <c r="C497" t="str">
        <f>IF($A497="","",games!$C497)</f>
      </c>
      <c r="D497">
        <f>IF($A497="","",COUNTIF(connections!$A$2:$A$2500,$A497)+COUNTIF(connections!$B$2:$B$2500,$A497))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IF(OR($A497="",games!$H497=""),"",games!$H497)</f>
      </c>
      <c r="Q497">
        <f>IF(OR($A497="",$P497&lt;&gt;"Yes"),"",$D497+ROW()/1000000)</f>
      </c>
      <c r="T497" t="str">
        <f>IF(connections!$A497="","",IFERROR(INDEX(games!$B$2:$B$1200,MATCH(connections!$A497,games!$A$2:$A$1200,0)),""))</f>
      </c>
      <c r="U497">
        <f>IF(connections!$A497="","",IFERROR(INDEX(games!$B$2:$B$1200,MATCH(connections!$B497,games!$A$2:$A$1200,0)),""))</f>
      </c>
      <c r="V497">
        <f>IF(OR($T497="",$U497=""),"",$U497-$T497)</f>
      </c>
    </row>
    <row r="498">
      <c r="A498" t="str">
        <f>IF(games!$A498="","",games!$A498)</f>
      </c>
      <c r="B498">
        <f>IF($A498="","",games!$B498)</f>
      </c>
      <c r="C498" t="str">
        <f>IF($A498="","",games!$C498)</f>
      </c>
      <c r="D498">
        <f>IF($A498="","",COUNTIF(connections!$A$2:$A$2500,$A498)+COUNTIF(connections!$B$2:$B$2500,$A498))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IF(OR($A498="",games!$H498=""),"",games!$H498)</f>
      </c>
      <c r="Q498">
        <f>IF(OR($A498="",$P498&lt;&gt;"Yes"),"",$D498+ROW()/1000000)</f>
      </c>
      <c r="T498" t="str">
        <f>IF(connections!$A498="","",IFERROR(INDEX(games!$B$2:$B$1200,MATCH(connections!$A498,games!$A$2:$A$1200,0)),""))</f>
      </c>
      <c r="U498">
        <f>IF(connections!$A498="","",IFERROR(INDEX(games!$B$2:$B$1200,MATCH(connections!$B498,games!$A$2:$A$1200,0)),""))</f>
      </c>
      <c r="V498">
        <f>IF(OR($T498="",$U498=""),"",$U498-$T498)</f>
      </c>
    </row>
    <row r="499">
      <c r="A499" t="str">
        <f>IF(games!$A499="","",games!$A499)</f>
      </c>
      <c r="B499">
        <f>IF($A499="","",games!$B499)</f>
      </c>
      <c r="C499" t="str">
        <f>IF($A499="","",games!$C499)</f>
      </c>
      <c r="D499">
        <f>IF($A499="","",COUNTIF(connections!$A$2:$A$2500,$A499)+COUNTIF(connections!$B$2:$B$2500,$A499))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IF(OR($A499="",games!$H499=""),"",games!$H499)</f>
      </c>
      <c r="Q499">
        <f>IF(OR($A499="",$P499&lt;&gt;"Yes"),"",$D499+ROW()/1000000)</f>
      </c>
      <c r="T499" t="str">
        <f>IF(connections!$A499="","",IFERROR(INDEX(games!$B$2:$B$1200,MATCH(connections!$A499,games!$A$2:$A$1200,0)),""))</f>
      </c>
      <c r="U499">
        <f>IF(connections!$A499="","",IFERROR(INDEX(games!$B$2:$B$1200,MATCH(connections!$B499,games!$A$2:$A$1200,0)),""))</f>
      </c>
      <c r="V499">
        <f>IF(OR($T499="",$U499=""),"",$U499-$T499)</f>
      </c>
    </row>
    <row r="500">
      <c r="A500" t="str">
        <f>IF(games!$A500="","",games!$A500)</f>
      </c>
      <c r="B500">
        <f>IF($A500="","",games!$B500)</f>
      </c>
      <c r="C500" t="str">
        <f>IF($A500="","",games!$C500)</f>
      </c>
      <c r="D500">
        <f>IF($A500="","",COUNTIF(connections!$A$2:$A$2500,$A500)+COUNTIF(connections!$B$2:$B$2500,$A500))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IF(OR($A500="",games!$H500=""),"",games!$H500)</f>
      </c>
      <c r="Q500">
        <f>IF(OR($A500="",$P500&lt;&gt;"Yes"),"",$D500+ROW()/1000000)</f>
      </c>
      <c r="T500" t="str">
        <f>IF(connections!$A500="","",IFERROR(INDEX(games!$B$2:$B$1200,MATCH(connections!$A500,games!$A$2:$A$1200,0)),""))</f>
      </c>
      <c r="U500">
        <f>IF(connections!$A500="","",IFERROR(INDEX(games!$B$2:$B$1200,MATCH(connections!$B500,games!$A$2:$A$1200,0)),""))</f>
      </c>
      <c r="V500">
        <f>IF(OR($T500="",$U500=""),"",$U500-$T500)</f>
      </c>
    </row>
    <row r="501">
      <c r="A501" t="str">
        <f>IF(games!$A501="","",games!$A501)</f>
      </c>
      <c r="B501">
        <f>IF($A501="","",games!$B501)</f>
      </c>
      <c r="C501" t="str">
        <f>IF($A501="","",games!$C501)</f>
      </c>
      <c r="D501">
        <f>IF($A501="","",COUNTIF(connections!$A$2:$A$2500,$A501)+COUNTIF(connections!$B$2:$B$2500,$A501))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IF(OR($A501="",games!$H501=""),"",games!$H501)</f>
      </c>
      <c r="Q501">
        <f>IF(OR($A501="",$P501&lt;&gt;"Yes"),"",$D501+ROW()/1000000)</f>
      </c>
      <c r="T501" t="str">
        <f>IF(connections!$A501="","",IFERROR(INDEX(games!$B$2:$B$1200,MATCH(connections!$A501,games!$A$2:$A$1200,0)),""))</f>
      </c>
      <c r="U501">
        <f>IF(connections!$A501="","",IFERROR(INDEX(games!$B$2:$B$1200,MATCH(connections!$B501,games!$A$2:$A$1200,0)),""))</f>
      </c>
      <c r="V501">
        <f>IF(OR($T501="",$U501=""),"",$U501-$T501)</f>
      </c>
    </row>
    <row r="502">
      <c r="A502" t="str">
        <f>IF(games!$A502="","",games!$A502)</f>
      </c>
      <c r="B502">
        <f>IF($A502="","",games!$B502)</f>
      </c>
      <c r="C502" t="str">
        <f>IF($A502="","",games!$C502)</f>
      </c>
      <c r="D502">
        <f>IF($A502="","",COUNTIF(connections!$A$2:$A$2500,$A502)+COUNTIF(connections!$B$2:$B$2500,$A502))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IF(OR($A502="",games!$H502=""),"",games!$H502)</f>
      </c>
      <c r="Q502">
        <f>IF(OR($A502="",$P502&lt;&gt;"Yes"),"",$D502+ROW()/1000000)</f>
      </c>
      <c r="T502" t="str">
        <f>IF(connections!$A502="","",IFERROR(INDEX(games!$B$2:$B$1200,MATCH(connections!$A502,games!$A$2:$A$1200,0)),""))</f>
      </c>
      <c r="U502">
        <f>IF(connections!$A502="","",IFERROR(INDEX(games!$B$2:$B$1200,MATCH(connections!$B502,games!$A$2:$A$1200,0)),""))</f>
      </c>
      <c r="V502">
        <f>IF(OR($T502="",$U502=""),"",$U502-$T502)</f>
      </c>
    </row>
    <row r="503">
      <c r="A503" t="str">
        <f>IF(games!$A503="","",games!$A503)</f>
      </c>
      <c r="B503">
        <f>IF($A503="","",games!$B503)</f>
      </c>
      <c r="C503" t="str">
        <f>IF($A503="","",games!$C503)</f>
      </c>
      <c r="D503">
        <f>IF($A503="","",COUNTIF(connections!$A$2:$A$2500,$A503)+COUNTIF(connections!$B$2:$B$2500,$A503))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IF(OR($A503="",games!$H503=""),"",games!$H503)</f>
      </c>
      <c r="Q503">
        <f>IF(OR($A503="",$P503&lt;&gt;"Yes"),"",$D503+ROW()/1000000)</f>
      </c>
      <c r="T503" t="str">
        <f>IF(connections!$A503="","",IFERROR(INDEX(games!$B$2:$B$1200,MATCH(connections!$A503,games!$A$2:$A$1200,0)),""))</f>
      </c>
      <c r="U503">
        <f>IF(connections!$A503="","",IFERROR(INDEX(games!$B$2:$B$1200,MATCH(connections!$B503,games!$A$2:$A$1200,0)),""))</f>
      </c>
      <c r="V503">
        <f>IF(OR($T503="",$U503=""),"",$U503-$T503)</f>
      </c>
    </row>
    <row r="504">
      <c r="A504" t="str">
        <f>IF(games!$A504="","",games!$A504)</f>
      </c>
      <c r="B504">
        <f>IF($A504="","",games!$B504)</f>
      </c>
      <c r="C504" t="str">
        <f>IF($A504="","",games!$C504)</f>
      </c>
      <c r="D504">
        <f>IF($A504="","",COUNTIF(connections!$A$2:$A$2500,$A504)+COUNTIF(connections!$B$2:$B$2500,$A504))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IF(OR($A504="",games!$H504=""),"",games!$H504)</f>
      </c>
      <c r="Q504">
        <f>IF(OR($A504="",$P504&lt;&gt;"Yes"),"",$D504+ROW()/1000000)</f>
      </c>
      <c r="T504" t="str">
        <f>IF(connections!$A504="","",IFERROR(INDEX(games!$B$2:$B$1200,MATCH(connections!$A504,games!$A$2:$A$1200,0)),""))</f>
      </c>
      <c r="U504">
        <f>IF(connections!$A504="","",IFERROR(INDEX(games!$B$2:$B$1200,MATCH(connections!$B504,games!$A$2:$A$1200,0)),""))</f>
      </c>
      <c r="V504">
        <f>IF(OR($T504="",$U504=""),"",$U504-$T504)</f>
      </c>
    </row>
    <row r="505">
      <c r="A505" t="str">
        <f>IF(games!$A505="","",games!$A505)</f>
      </c>
      <c r="B505">
        <f>IF($A505="","",games!$B505)</f>
      </c>
      <c r="C505" t="str">
        <f>IF($A505="","",games!$C505)</f>
      </c>
      <c r="D505">
        <f>IF($A505="","",COUNTIF(connections!$A$2:$A$2500,$A505)+COUNTIF(connections!$B$2:$B$2500,$A505))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IF(OR($A505="",games!$H505=""),"",games!$H505)</f>
      </c>
      <c r="Q505">
        <f>IF(OR($A505="",$P505&lt;&gt;"Yes"),"",$D505+ROW()/1000000)</f>
      </c>
      <c r="T505" t="str">
        <f>IF(connections!$A505="","",IFERROR(INDEX(games!$B$2:$B$1200,MATCH(connections!$A505,games!$A$2:$A$1200,0)),""))</f>
      </c>
      <c r="U505">
        <f>IF(connections!$A505="","",IFERROR(INDEX(games!$B$2:$B$1200,MATCH(connections!$B505,games!$A$2:$A$1200,0)),""))</f>
      </c>
      <c r="V505">
        <f>IF(OR($T505="",$U505=""),"",$U505-$T505)</f>
      </c>
    </row>
    <row r="506">
      <c r="A506" t="str">
        <f>IF(games!$A506="","",games!$A506)</f>
      </c>
      <c r="B506">
        <f>IF($A506="","",games!$B506)</f>
      </c>
      <c r="C506" t="str">
        <f>IF($A506="","",games!$C506)</f>
      </c>
      <c r="D506">
        <f>IF($A506="","",COUNTIF(connections!$A$2:$A$2500,$A506)+COUNTIF(connections!$B$2:$B$2500,$A506))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IF(OR($A506="",games!$H506=""),"",games!$H506)</f>
      </c>
      <c r="Q506">
        <f>IF(OR($A506="",$P506&lt;&gt;"Yes"),"",$D506+ROW()/1000000)</f>
      </c>
      <c r="T506" t="str">
        <f>IF(connections!$A506="","",IFERROR(INDEX(games!$B$2:$B$1200,MATCH(connections!$A506,games!$A$2:$A$1200,0)),""))</f>
      </c>
      <c r="U506">
        <f>IF(connections!$A506="","",IFERROR(INDEX(games!$B$2:$B$1200,MATCH(connections!$B506,games!$A$2:$A$1200,0)),""))</f>
      </c>
      <c r="V506">
        <f>IF(OR($T506="",$U506=""),"",$U506-$T506)</f>
      </c>
    </row>
    <row r="507">
      <c r="A507" t="str">
        <f>IF(games!$A507="","",games!$A507)</f>
      </c>
      <c r="B507">
        <f>IF($A507="","",games!$B507)</f>
      </c>
      <c r="C507" t="str">
        <f>IF($A507="","",games!$C507)</f>
      </c>
      <c r="D507">
        <f>IF($A507="","",COUNTIF(connections!$A$2:$A$2500,$A507)+COUNTIF(connections!$B$2:$B$2500,$A507))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IF(OR($A507="",games!$H507=""),"",games!$H507)</f>
      </c>
      <c r="Q507">
        <f>IF(OR($A507="",$P507&lt;&gt;"Yes"),"",$D507+ROW()/1000000)</f>
      </c>
      <c r="T507" t="str">
        <f>IF(connections!$A507="","",IFERROR(INDEX(games!$B$2:$B$1200,MATCH(connections!$A507,games!$A$2:$A$1200,0)),""))</f>
      </c>
      <c r="U507">
        <f>IF(connections!$A507="","",IFERROR(INDEX(games!$B$2:$B$1200,MATCH(connections!$B507,games!$A$2:$A$1200,0)),""))</f>
      </c>
      <c r="V507">
        <f>IF(OR($T507="",$U507=""),"",$U507-$T507)</f>
      </c>
    </row>
    <row r="508">
      <c r="A508" t="str">
        <f>IF(games!$A508="","",games!$A508)</f>
      </c>
      <c r="B508">
        <f>IF($A508="","",games!$B508)</f>
      </c>
      <c r="C508" t="str">
        <f>IF($A508="","",games!$C508)</f>
      </c>
      <c r="D508">
        <f>IF($A508="","",COUNTIF(connections!$A$2:$A$2500,$A508)+COUNTIF(connections!$B$2:$B$2500,$A508))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IF(OR($A508="",games!$H508=""),"",games!$H508)</f>
      </c>
      <c r="Q508">
        <f>IF(OR($A508="",$P508&lt;&gt;"Yes"),"",$D508+ROW()/1000000)</f>
      </c>
      <c r="T508" t="str">
        <f>IF(connections!$A508="","",IFERROR(INDEX(games!$B$2:$B$1200,MATCH(connections!$A508,games!$A$2:$A$1200,0)),""))</f>
      </c>
      <c r="U508">
        <f>IF(connections!$A508="","",IFERROR(INDEX(games!$B$2:$B$1200,MATCH(connections!$B508,games!$A$2:$A$1200,0)),""))</f>
      </c>
      <c r="V508">
        <f>IF(OR($T508="",$U508=""),"",$U508-$T508)</f>
      </c>
    </row>
    <row r="509">
      <c r="A509" t="str">
        <f>IF(games!$A509="","",games!$A509)</f>
      </c>
      <c r="B509">
        <f>IF($A509="","",games!$B509)</f>
      </c>
      <c r="C509" t="str">
        <f>IF($A509="","",games!$C509)</f>
      </c>
      <c r="D509">
        <f>IF($A509="","",COUNTIF(connections!$A$2:$A$2500,$A509)+COUNTIF(connections!$B$2:$B$2500,$A509))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IF(OR($A509="",games!$H509=""),"",games!$H509)</f>
      </c>
      <c r="Q509">
        <f>IF(OR($A509="",$P509&lt;&gt;"Yes"),"",$D509+ROW()/1000000)</f>
      </c>
      <c r="T509" t="str">
        <f>IF(connections!$A509="","",IFERROR(INDEX(games!$B$2:$B$1200,MATCH(connections!$A509,games!$A$2:$A$1200,0)),""))</f>
      </c>
      <c r="U509">
        <f>IF(connections!$A509="","",IFERROR(INDEX(games!$B$2:$B$1200,MATCH(connections!$B509,games!$A$2:$A$1200,0)),""))</f>
      </c>
      <c r="V509">
        <f>IF(OR($T509="",$U509=""),"",$U509-$T509)</f>
      </c>
    </row>
    <row r="510">
      <c r="A510" t="str">
        <f>IF(games!$A510="","",games!$A510)</f>
      </c>
      <c r="B510">
        <f>IF($A510="","",games!$B510)</f>
      </c>
      <c r="C510" t="str">
        <f>IF($A510="","",games!$C510)</f>
      </c>
      <c r="D510">
        <f>IF($A510="","",COUNTIF(connections!$A$2:$A$2500,$A510)+COUNTIF(connections!$B$2:$B$2500,$A510))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IF(OR($A510="",games!$H510=""),"",games!$H510)</f>
      </c>
      <c r="Q510">
        <f>IF(OR($A510="",$P510&lt;&gt;"Yes"),"",$D510+ROW()/1000000)</f>
      </c>
      <c r="T510" t="str">
        <f>IF(connections!$A510="","",IFERROR(INDEX(games!$B$2:$B$1200,MATCH(connections!$A510,games!$A$2:$A$1200,0)),""))</f>
      </c>
      <c r="U510">
        <f>IF(connections!$A510="","",IFERROR(INDEX(games!$B$2:$B$1200,MATCH(connections!$B510,games!$A$2:$A$1200,0)),""))</f>
      </c>
      <c r="V510">
        <f>IF(OR($T510="",$U510=""),"",$U510-$T510)</f>
      </c>
    </row>
    <row r="511">
      <c r="A511" t="str">
        <f>IF(games!$A511="","",games!$A511)</f>
      </c>
      <c r="B511">
        <f>IF($A511="","",games!$B511)</f>
      </c>
      <c r="C511" t="str">
        <f>IF($A511="","",games!$C511)</f>
      </c>
      <c r="D511">
        <f>IF($A511="","",COUNTIF(connections!$A$2:$A$2500,$A511)+COUNTIF(connections!$B$2:$B$2500,$A511))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IF(OR($A511="",games!$H511=""),"",games!$H511)</f>
      </c>
      <c r="Q511">
        <f>IF(OR($A511="",$P511&lt;&gt;"Yes"),"",$D511+ROW()/1000000)</f>
      </c>
      <c r="T511" t="str">
        <f>IF(connections!$A511="","",IFERROR(INDEX(games!$B$2:$B$1200,MATCH(connections!$A511,games!$A$2:$A$1200,0)),""))</f>
      </c>
      <c r="U511">
        <f>IF(connections!$A511="","",IFERROR(INDEX(games!$B$2:$B$1200,MATCH(connections!$B511,games!$A$2:$A$1200,0)),""))</f>
      </c>
      <c r="V511">
        <f>IF(OR($T511="",$U511=""),"",$U511-$T511)</f>
      </c>
    </row>
    <row r="512">
      <c r="A512" t="str">
        <f>IF(games!$A512="","",games!$A512)</f>
      </c>
      <c r="B512">
        <f>IF($A512="","",games!$B512)</f>
      </c>
      <c r="C512" t="str">
        <f>IF($A512="","",games!$C512)</f>
      </c>
      <c r="D512">
        <f>IF($A512="","",COUNTIF(connections!$A$2:$A$2500,$A512)+COUNTIF(connections!$B$2:$B$2500,$A512))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IF(OR($A512="",games!$H512=""),"",games!$H512)</f>
      </c>
      <c r="Q512">
        <f>IF(OR($A512="",$P512&lt;&gt;"Yes"),"",$D512+ROW()/1000000)</f>
      </c>
      <c r="T512" t="str">
        <f>IF(connections!$A512="","",IFERROR(INDEX(games!$B$2:$B$1200,MATCH(connections!$A512,games!$A$2:$A$1200,0)),""))</f>
      </c>
      <c r="U512">
        <f>IF(connections!$A512="","",IFERROR(INDEX(games!$B$2:$B$1200,MATCH(connections!$B512,games!$A$2:$A$1200,0)),""))</f>
      </c>
      <c r="V512">
        <f>IF(OR($T512="",$U512=""),"",$U512-$T512)</f>
      </c>
    </row>
    <row r="513">
      <c r="A513" t="str">
        <f>IF(games!$A513="","",games!$A513)</f>
      </c>
      <c r="B513">
        <f>IF($A513="","",games!$B513)</f>
      </c>
      <c r="C513" t="str">
        <f>IF($A513="","",games!$C513)</f>
      </c>
      <c r="D513">
        <f>IF($A513="","",COUNTIF(connections!$A$2:$A$2500,$A513)+COUNTIF(connections!$B$2:$B$2500,$A513))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IF(OR($A513="",games!$H513=""),"",games!$H513)</f>
      </c>
      <c r="Q513">
        <f>IF(OR($A513="",$P513&lt;&gt;"Yes"),"",$D513+ROW()/1000000)</f>
      </c>
      <c r="T513" t="str">
        <f>IF(connections!$A513="","",IFERROR(INDEX(games!$B$2:$B$1200,MATCH(connections!$A513,games!$A$2:$A$1200,0)),""))</f>
      </c>
      <c r="U513">
        <f>IF(connections!$A513="","",IFERROR(INDEX(games!$B$2:$B$1200,MATCH(connections!$B513,games!$A$2:$A$1200,0)),""))</f>
      </c>
      <c r="V513">
        <f>IF(OR($T513="",$U513=""),"",$U513-$T513)</f>
      </c>
    </row>
    <row r="514">
      <c r="A514" t="str">
        <f>IF(games!$A514="","",games!$A514)</f>
      </c>
      <c r="B514">
        <f>IF($A514="","",games!$B514)</f>
      </c>
      <c r="C514" t="str">
        <f>IF($A514="","",games!$C514)</f>
      </c>
      <c r="D514">
        <f>IF($A514="","",COUNTIF(connections!$A$2:$A$2500,$A514)+COUNTIF(connections!$B$2:$B$2500,$A514))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IF(OR($A514="",games!$H514=""),"",games!$H514)</f>
      </c>
      <c r="Q514">
        <f>IF(OR($A514="",$P514&lt;&gt;"Yes"),"",$D514+ROW()/1000000)</f>
      </c>
      <c r="T514" t="str">
        <f>IF(connections!$A514="","",IFERROR(INDEX(games!$B$2:$B$1200,MATCH(connections!$A514,games!$A$2:$A$1200,0)),""))</f>
      </c>
      <c r="U514">
        <f>IF(connections!$A514="","",IFERROR(INDEX(games!$B$2:$B$1200,MATCH(connections!$B514,games!$A$2:$A$1200,0)),""))</f>
      </c>
      <c r="V514">
        <f>IF(OR($T514="",$U514=""),"",$U514-$T514)</f>
      </c>
    </row>
    <row r="515">
      <c r="A515" t="str">
        <f>IF(games!$A515="","",games!$A515)</f>
      </c>
      <c r="B515">
        <f>IF($A515="","",games!$B515)</f>
      </c>
      <c r="C515" t="str">
        <f>IF($A515="","",games!$C515)</f>
      </c>
      <c r="D515">
        <f>IF($A515="","",COUNTIF(connections!$A$2:$A$2500,$A515)+COUNTIF(connections!$B$2:$B$2500,$A515))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IF(OR($A515="",games!$H515=""),"",games!$H515)</f>
      </c>
      <c r="Q515">
        <f>IF(OR($A515="",$P515&lt;&gt;"Yes"),"",$D515+ROW()/1000000)</f>
      </c>
      <c r="T515" t="str">
        <f>IF(connections!$A515="","",IFERROR(INDEX(games!$B$2:$B$1200,MATCH(connections!$A515,games!$A$2:$A$1200,0)),""))</f>
      </c>
      <c r="U515">
        <f>IF(connections!$A515="","",IFERROR(INDEX(games!$B$2:$B$1200,MATCH(connections!$B515,games!$A$2:$A$1200,0)),""))</f>
      </c>
      <c r="V515">
        <f>IF(OR($T515="",$U515=""),"",$U515-$T515)</f>
      </c>
    </row>
    <row r="516">
      <c r="A516" t="str">
        <f>IF(games!$A516="","",games!$A516)</f>
      </c>
      <c r="B516">
        <f>IF($A516="","",games!$B516)</f>
      </c>
      <c r="C516" t="str">
        <f>IF($A516="","",games!$C516)</f>
      </c>
      <c r="D516">
        <f>IF($A516="","",COUNTIF(connections!$A$2:$A$2500,$A516)+COUNTIF(connections!$B$2:$B$2500,$A516))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IF(OR($A516="",games!$H516=""),"",games!$H516)</f>
      </c>
      <c r="Q516">
        <f>IF(OR($A516="",$P516&lt;&gt;"Yes"),"",$D516+ROW()/1000000)</f>
      </c>
      <c r="T516" t="str">
        <f>IF(connections!$A516="","",IFERROR(INDEX(games!$B$2:$B$1200,MATCH(connections!$A516,games!$A$2:$A$1200,0)),""))</f>
      </c>
      <c r="U516">
        <f>IF(connections!$A516="","",IFERROR(INDEX(games!$B$2:$B$1200,MATCH(connections!$B516,games!$A$2:$A$1200,0)),""))</f>
      </c>
      <c r="V516">
        <f>IF(OR($T516="",$U516=""),"",$U516-$T516)</f>
      </c>
    </row>
    <row r="517">
      <c r="A517" t="str">
        <f>IF(games!$A517="","",games!$A517)</f>
      </c>
      <c r="B517">
        <f>IF($A517="","",games!$B517)</f>
      </c>
      <c r="C517" t="str">
        <f>IF($A517="","",games!$C517)</f>
      </c>
      <c r="D517">
        <f>IF($A517="","",COUNTIF(connections!$A$2:$A$2500,$A517)+COUNTIF(connections!$B$2:$B$2500,$A517))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IF(OR($A517="",games!$H517=""),"",games!$H517)</f>
      </c>
      <c r="Q517">
        <f>IF(OR($A517="",$P517&lt;&gt;"Yes"),"",$D517+ROW()/1000000)</f>
      </c>
      <c r="T517" t="str">
        <f>IF(connections!$A517="","",IFERROR(INDEX(games!$B$2:$B$1200,MATCH(connections!$A517,games!$A$2:$A$1200,0)),""))</f>
      </c>
      <c r="U517">
        <f>IF(connections!$A517="","",IFERROR(INDEX(games!$B$2:$B$1200,MATCH(connections!$B517,games!$A$2:$A$1200,0)),""))</f>
      </c>
      <c r="V517">
        <f>IF(OR($T517="",$U517=""),"",$U517-$T517)</f>
      </c>
    </row>
    <row r="518">
      <c r="A518" t="str">
        <f>IF(games!$A518="","",games!$A518)</f>
      </c>
      <c r="B518">
        <f>IF($A518="","",games!$B518)</f>
      </c>
      <c r="C518" t="str">
        <f>IF($A518="","",games!$C518)</f>
      </c>
      <c r="D518">
        <f>IF($A518="","",COUNTIF(connections!$A$2:$A$2500,$A518)+COUNTIF(connections!$B$2:$B$2500,$A518))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IF(OR($A518="",games!$H518=""),"",games!$H518)</f>
      </c>
      <c r="Q518">
        <f>IF(OR($A518="",$P518&lt;&gt;"Yes"),"",$D518+ROW()/1000000)</f>
      </c>
      <c r="T518" t="str">
        <f>IF(connections!$A518="","",IFERROR(INDEX(games!$B$2:$B$1200,MATCH(connections!$A518,games!$A$2:$A$1200,0)),""))</f>
      </c>
      <c r="U518">
        <f>IF(connections!$A518="","",IFERROR(INDEX(games!$B$2:$B$1200,MATCH(connections!$B518,games!$A$2:$A$1200,0)),""))</f>
      </c>
      <c r="V518">
        <f>IF(OR($T518="",$U518=""),"",$U518-$T518)</f>
      </c>
    </row>
    <row r="519">
      <c r="A519" t="str">
        <f>IF(games!$A519="","",games!$A519)</f>
      </c>
      <c r="B519">
        <f>IF($A519="","",games!$B519)</f>
      </c>
      <c r="C519" t="str">
        <f>IF($A519="","",games!$C519)</f>
      </c>
      <c r="D519">
        <f>IF($A519="","",COUNTIF(connections!$A$2:$A$2500,$A519)+COUNTIF(connections!$B$2:$B$2500,$A519))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IF(OR($A519="",games!$H519=""),"",games!$H519)</f>
      </c>
      <c r="Q519">
        <f>IF(OR($A519="",$P519&lt;&gt;"Yes"),"",$D519+ROW()/1000000)</f>
      </c>
      <c r="T519" t="str">
        <f>IF(connections!$A519="","",IFERROR(INDEX(games!$B$2:$B$1200,MATCH(connections!$A519,games!$A$2:$A$1200,0)),""))</f>
      </c>
      <c r="U519">
        <f>IF(connections!$A519="","",IFERROR(INDEX(games!$B$2:$B$1200,MATCH(connections!$B519,games!$A$2:$A$1200,0)),""))</f>
      </c>
      <c r="V519">
        <f>IF(OR($T519="",$U519=""),"",$U519-$T519)</f>
      </c>
    </row>
    <row r="520">
      <c r="A520" t="str">
        <f>IF(games!$A520="","",games!$A520)</f>
      </c>
      <c r="B520">
        <f>IF($A520="","",games!$B520)</f>
      </c>
      <c r="C520" t="str">
        <f>IF($A520="","",games!$C520)</f>
      </c>
      <c r="D520">
        <f>IF($A520="","",COUNTIF(connections!$A$2:$A$2500,$A520)+COUNTIF(connections!$B$2:$B$2500,$A520))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IF(OR($A520="",games!$H520=""),"",games!$H520)</f>
      </c>
      <c r="Q520">
        <f>IF(OR($A520="",$P520&lt;&gt;"Yes"),"",$D520+ROW()/1000000)</f>
      </c>
      <c r="T520" t="str">
        <f>IF(connections!$A520="","",IFERROR(INDEX(games!$B$2:$B$1200,MATCH(connections!$A520,games!$A$2:$A$1200,0)),""))</f>
      </c>
      <c r="U520">
        <f>IF(connections!$A520="","",IFERROR(INDEX(games!$B$2:$B$1200,MATCH(connections!$B520,games!$A$2:$A$1200,0)),""))</f>
      </c>
      <c r="V520">
        <f>IF(OR($T520="",$U520=""),"",$U520-$T520)</f>
      </c>
    </row>
    <row r="521">
      <c r="A521" t="str">
        <f>IF(games!$A521="","",games!$A521)</f>
      </c>
      <c r="B521">
        <f>IF($A521="","",games!$B521)</f>
      </c>
      <c r="C521" t="str">
        <f>IF($A521="","",games!$C521)</f>
      </c>
      <c r="D521">
        <f>IF($A521="","",COUNTIF(connections!$A$2:$A$2500,$A521)+COUNTIF(connections!$B$2:$B$2500,$A521))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IF(OR($A521="",games!$H521=""),"",games!$H521)</f>
      </c>
      <c r="Q521">
        <f>IF(OR($A521="",$P521&lt;&gt;"Yes"),"",$D521+ROW()/1000000)</f>
      </c>
      <c r="T521" t="str">
        <f>IF(connections!$A521="","",IFERROR(INDEX(games!$B$2:$B$1200,MATCH(connections!$A521,games!$A$2:$A$1200,0)),""))</f>
      </c>
      <c r="U521">
        <f>IF(connections!$A521="","",IFERROR(INDEX(games!$B$2:$B$1200,MATCH(connections!$B521,games!$A$2:$A$1200,0)),""))</f>
      </c>
      <c r="V521">
        <f>IF(OR($T521="",$U521=""),"",$U521-$T521)</f>
      </c>
    </row>
    <row r="522">
      <c r="A522" t="str">
        <f>IF(games!$A522="","",games!$A522)</f>
      </c>
      <c r="B522">
        <f>IF($A522="","",games!$B522)</f>
      </c>
      <c r="C522" t="str">
        <f>IF($A522="","",games!$C522)</f>
      </c>
      <c r="D522">
        <f>IF($A522="","",COUNTIF(connections!$A$2:$A$2500,$A522)+COUNTIF(connections!$B$2:$B$2500,$A522))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IF(OR($A522="",games!$H522=""),"",games!$H522)</f>
      </c>
      <c r="Q522">
        <f>IF(OR($A522="",$P522&lt;&gt;"Yes"),"",$D522+ROW()/1000000)</f>
      </c>
      <c r="T522" t="str">
        <f>IF(connections!$A522="","",IFERROR(INDEX(games!$B$2:$B$1200,MATCH(connections!$A522,games!$A$2:$A$1200,0)),""))</f>
      </c>
      <c r="U522">
        <f>IF(connections!$A522="","",IFERROR(INDEX(games!$B$2:$B$1200,MATCH(connections!$B522,games!$A$2:$A$1200,0)),""))</f>
      </c>
      <c r="V522">
        <f>IF(OR($T522="",$U522=""),"",$U522-$T522)</f>
      </c>
    </row>
    <row r="523">
      <c r="A523" t="str">
        <f>IF(games!$A523="","",games!$A523)</f>
      </c>
      <c r="B523">
        <f>IF($A523="","",games!$B523)</f>
      </c>
      <c r="C523" t="str">
        <f>IF($A523="","",games!$C523)</f>
      </c>
      <c r="D523">
        <f>IF($A523="","",COUNTIF(connections!$A$2:$A$2500,$A523)+COUNTIF(connections!$B$2:$B$2500,$A523))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IF(OR($A523="",games!$H523=""),"",games!$H523)</f>
      </c>
      <c r="Q523">
        <f>IF(OR($A523="",$P523&lt;&gt;"Yes"),"",$D523+ROW()/1000000)</f>
      </c>
      <c r="T523" t="str">
        <f>IF(connections!$A523="","",IFERROR(INDEX(games!$B$2:$B$1200,MATCH(connections!$A523,games!$A$2:$A$1200,0)),""))</f>
      </c>
      <c r="U523">
        <f>IF(connections!$A523="","",IFERROR(INDEX(games!$B$2:$B$1200,MATCH(connections!$B523,games!$A$2:$A$1200,0)),""))</f>
      </c>
      <c r="V523">
        <f>IF(OR($T523="",$U523=""),"",$U523-$T523)</f>
      </c>
    </row>
    <row r="524">
      <c r="A524" t="str">
        <f>IF(games!$A524="","",games!$A524)</f>
      </c>
      <c r="B524">
        <f>IF($A524="","",games!$B524)</f>
      </c>
      <c r="C524" t="str">
        <f>IF($A524="","",games!$C524)</f>
      </c>
      <c r="D524">
        <f>IF($A524="","",COUNTIF(connections!$A$2:$A$2500,$A524)+COUNTIF(connections!$B$2:$B$2500,$A524))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IF(OR($A524="",games!$H524=""),"",games!$H524)</f>
      </c>
      <c r="Q524">
        <f>IF(OR($A524="",$P524&lt;&gt;"Yes"),"",$D524+ROW()/1000000)</f>
      </c>
      <c r="T524" t="str">
        <f>IF(connections!$A524="","",IFERROR(INDEX(games!$B$2:$B$1200,MATCH(connections!$A524,games!$A$2:$A$1200,0)),""))</f>
      </c>
      <c r="U524">
        <f>IF(connections!$A524="","",IFERROR(INDEX(games!$B$2:$B$1200,MATCH(connections!$B524,games!$A$2:$A$1200,0)),""))</f>
      </c>
      <c r="V524">
        <f>IF(OR($T524="",$U524=""),"",$U524-$T524)</f>
      </c>
    </row>
    <row r="525">
      <c r="A525" t="str">
        <f>IF(games!$A525="","",games!$A525)</f>
      </c>
      <c r="B525">
        <f>IF($A525="","",games!$B525)</f>
      </c>
      <c r="C525" t="str">
        <f>IF($A525="","",games!$C525)</f>
      </c>
      <c r="D525">
        <f>IF($A525="","",COUNTIF(connections!$A$2:$A$2500,$A525)+COUNTIF(connections!$B$2:$B$2500,$A525))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IF(OR($A525="",games!$H525=""),"",games!$H525)</f>
      </c>
      <c r="Q525">
        <f>IF(OR($A525="",$P525&lt;&gt;"Yes"),"",$D525+ROW()/1000000)</f>
      </c>
      <c r="T525" t="str">
        <f>IF(connections!$A525="","",IFERROR(INDEX(games!$B$2:$B$1200,MATCH(connections!$A525,games!$A$2:$A$1200,0)),""))</f>
      </c>
      <c r="U525">
        <f>IF(connections!$A525="","",IFERROR(INDEX(games!$B$2:$B$1200,MATCH(connections!$B525,games!$A$2:$A$1200,0)),""))</f>
      </c>
      <c r="V525">
        <f>IF(OR($T525="",$U525=""),"",$U525-$T525)</f>
      </c>
    </row>
    <row r="526">
      <c r="A526" t="str">
        <f>IF(games!$A526="","",games!$A526)</f>
      </c>
      <c r="B526">
        <f>IF($A526="","",games!$B526)</f>
      </c>
      <c r="C526" t="str">
        <f>IF($A526="","",games!$C526)</f>
      </c>
      <c r="D526">
        <f>IF($A526="","",COUNTIF(connections!$A$2:$A$2500,$A526)+COUNTIF(connections!$B$2:$B$2500,$A526))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IF(OR($A526="",games!$H526=""),"",games!$H526)</f>
      </c>
      <c r="Q526">
        <f>IF(OR($A526="",$P526&lt;&gt;"Yes"),"",$D526+ROW()/1000000)</f>
      </c>
      <c r="T526" t="str">
        <f>IF(connections!$A526="","",IFERROR(INDEX(games!$B$2:$B$1200,MATCH(connections!$A526,games!$A$2:$A$1200,0)),""))</f>
      </c>
      <c r="U526">
        <f>IF(connections!$A526="","",IFERROR(INDEX(games!$B$2:$B$1200,MATCH(connections!$B526,games!$A$2:$A$1200,0)),""))</f>
      </c>
      <c r="V526">
        <f>IF(OR($T526="",$U526=""),"",$U526-$T526)</f>
      </c>
    </row>
    <row r="527">
      <c r="A527" t="str">
        <f>IF(games!$A527="","",games!$A527)</f>
      </c>
      <c r="B527">
        <f>IF($A527="","",games!$B527)</f>
      </c>
      <c r="C527" t="str">
        <f>IF($A527="","",games!$C527)</f>
      </c>
      <c r="D527">
        <f>IF($A527="","",COUNTIF(connections!$A$2:$A$2500,$A527)+COUNTIF(connections!$B$2:$B$2500,$A527))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IF(OR($A527="",games!$H527=""),"",games!$H527)</f>
      </c>
      <c r="Q527">
        <f>IF(OR($A527="",$P527&lt;&gt;"Yes"),"",$D527+ROW()/1000000)</f>
      </c>
      <c r="T527" t="str">
        <f>IF(connections!$A527="","",IFERROR(INDEX(games!$B$2:$B$1200,MATCH(connections!$A527,games!$A$2:$A$1200,0)),""))</f>
      </c>
      <c r="U527">
        <f>IF(connections!$A527="","",IFERROR(INDEX(games!$B$2:$B$1200,MATCH(connections!$B527,games!$A$2:$A$1200,0)),""))</f>
      </c>
      <c r="V527">
        <f>IF(OR($T527="",$U527=""),"",$U527-$T527)</f>
      </c>
    </row>
    <row r="528">
      <c r="A528" t="str">
        <f>IF(games!$A528="","",games!$A528)</f>
      </c>
      <c r="B528">
        <f>IF($A528="","",games!$B528)</f>
      </c>
      <c r="C528" t="str">
        <f>IF($A528="","",games!$C528)</f>
      </c>
      <c r="D528">
        <f>IF($A528="","",COUNTIF(connections!$A$2:$A$2500,$A528)+COUNTIF(connections!$B$2:$B$2500,$A528))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IF(OR($A528="",games!$H528=""),"",games!$H528)</f>
      </c>
      <c r="Q528">
        <f>IF(OR($A528="",$P528&lt;&gt;"Yes"),"",$D528+ROW()/1000000)</f>
      </c>
      <c r="T528" t="str">
        <f>IF(connections!$A528="","",IFERROR(INDEX(games!$B$2:$B$1200,MATCH(connections!$A528,games!$A$2:$A$1200,0)),""))</f>
      </c>
      <c r="U528">
        <f>IF(connections!$A528="","",IFERROR(INDEX(games!$B$2:$B$1200,MATCH(connections!$B528,games!$A$2:$A$1200,0)),""))</f>
      </c>
      <c r="V528">
        <f>IF(OR($T528="",$U528=""),"",$U528-$T528)</f>
      </c>
    </row>
    <row r="529">
      <c r="A529" t="str">
        <f>IF(games!$A529="","",games!$A529)</f>
      </c>
      <c r="B529">
        <f>IF($A529="","",games!$B529)</f>
      </c>
      <c r="C529" t="str">
        <f>IF($A529="","",games!$C529)</f>
      </c>
      <c r="D529">
        <f>IF($A529="","",COUNTIF(connections!$A$2:$A$2500,$A529)+COUNTIF(connections!$B$2:$B$2500,$A529))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IF(OR($A529="",games!$H529=""),"",games!$H529)</f>
      </c>
      <c r="Q529">
        <f>IF(OR($A529="",$P529&lt;&gt;"Yes"),"",$D529+ROW()/1000000)</f>
      </c>
      <c r="T529" t="str">
        <f>IF(connections!$A529="","",IFERROR(INDEX(games!$B$2:$B$1200,MATCH(connections!$A529,games!$A$2:$A$1200,0)),""))</f>
      </c>
      <c r="U529">
        <f>IF(connections!$A529="","",IFERROR(INDEX(games!$B$2:$B$1200,MATCH(connections!$B529,games!$A$2:$A$1200,0)),""))</f>
      </c>
      <c r="V529">
        <f>IF(OR($T529="",$U529=""),"",$U529-$T529)</f>
      </c>
    </row>
    <row r="530">
      <c r="A530" t="str">
        <f>IF(games!$A530="","",games!$A530)</f>
      </c>
      <c r="B530">
        <f>IF($A530="","",games!$B530)</f>
      </c>
      <c r="C530" t="str">
        <f>IF($A530="","",games!$C530)</f>
      </c>
      <c r="D530">
        <f>IF($A530="","",COUNTIF(connections!$A$2:$A$2500,$A530)+COUNTIF(connections!$B$2:$B$2500,$A530))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IF(OR($A530="",games!$H530=""),"",games!$H530)</f>
      </c>
      <c r="Q530">
        <f>IF(OR($A530="",$P530&lt;&gt;"Yes"),"",$D530+ROW()/1000000)</f>
      </c>
      <c r="T530" t="str">
        <f>IF(connections!$A530="","",IFERROR(INDEX(games!$B$2:$B$1200,MATCH(connections!$A530,games!$A$2:$A$1200,0)),""))</f>
      </c>
      <c r="U530">
        <f>IF(connections!$A530="","",IFERROR(INDEX(games!$B$2:$B$1200,MATCH(connections!$B530,games!$A$2:$A$1200,0)),""))</f>
      </c>
      <c r="V530">
        <f>IF(OR($T530="",$U530=""),"",$U530-$T530)</f>
      </c>
    </row>
    <row r="531">
      <c r="A531" t="str">
        <f>IF(games!$A531="","",games!$A531)</f>
      </c>
      <c r="B531">
        <f>IF($A531="","",games!$B531)</f>
      </c>
      <c r="C531" t="str">
        <f>IF($A531="","",games!$C531)</f>
      </c>
      <c r="D531">
        <f>IF($A531="","",COUNTIF(connections!$A$2:$A$2500,$A531)+COUNTIF(connections!$B$2:$B$2500,$A531))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IF(OR($A531="",games!$H531=""),"",games!$H531)</f>
      </c>
      <c r="Q531">
        <f>IF(OR($A531="",$P531&lt;&gt;"Yes"),"",$D531+ROW()/1000000)</f>
      </c>
      <c r="T531" t="str">
        <f>IF(connections!$A531="","",IFERROR(INDEX(games!$B$2:$B$1200,MATCH(connections!$A531,games!$A$2:$A$1200,0)),""))</f>
      </c>
      <c r="U531">
        <f>IF(connections!$A531="","",IFERROR(INDEX(games!$B$2:$B$1200,MATCH(connections!$B531,games!$A$2:$A$1200,0)),""))</f>
      </c>
      <c r="V531">
        <f>IF(OR($T531="",$U531=""),"",$U531-$T531)</f>
      </c>
    </row>
    <row r="532">
      <c r="A532" t="str">
        <f>IF(games!$A532="","",games!$A532)</f>
      </c>
      <c r="B532">
        <f>IF($A532="","",games!$B532)</f>
      </c>
      <c r="C532" t="str">
        <f>IF($A532="","",games!$C532)</f>
      </c>
      <c r="D532">
        <f>IF($A532="","",COUNTIF(connections!$A$2:$A$2500,$A532)+COUNTIF(connections!$B$2:$B$2500,$A532))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IF(OR($A532="",games!$H532=""),"",games!$H532)</f>
      </c>
      <c r="Q532">
        <f>IF(OR($A532="",$P532&lt;&gt;"Yes"),"",$D532+ROW()/1000000)</f>
      </c>
      <c r="T532" t="str">
        <f>IF(connections!$A532="","",IFERROR(INDEX(games!$B$2:$B$1200,MATCH(connections!$A532,games!$A$2:$A$1200,0)),""))</f>
      </c>
      <c r="U532">
        <f>IF(connections!$A532="","",IFERROR(INDEX(games!$B$2:$B$1200,MATCH(connections!$B532,games!$A$2:$A$1200,0)),""))</f>
      </c>
      <c r="V532">
        <f>IF(OR($T532="",$U532=""),"",$U532-$T532)</f>
      </c>
    </row>
    <row r="533">
      <c r="A533" t="str">
        <f>IF(games!$A533="","",games!$A533)</f>
      </c>
      <c r="B533">
        <f>IF($A533="","",games!$B533)</f>
      </c>
      <c r="C533" t="str">
        <f>IF($A533="","",games!$C533)</f>
      </c>
      <c r="D533">
        <f>IF($A533="","",COUNTIF(connections!$A$2:$A$2500,$A533)+COUNTIF(connections!$B$2:$B$2500,$A533))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IF(OR($A533="",games!$H533=""),"",games!$H533)</f>
      </c>
      <c r="Q533">
        <f>IF(OR($A533="",$P533&lt;&gt;"Yes"),"",$D533+ROW()/1000000)</f>
      </c>
      <c r="T533" t="str">
        <f>IF(connections!$A533="","",IFERROR(INDEX(games!$B$2:$B$1200,MATCH(connections!$A533,games!$A$2:$A$1200,0)),""))</f>
      </c>
      <c r="U533">
        <f>IF(connections!$A533="","",IFERROR(INDEX(games!$B$2:$B$1200,MATCH(connections!$B533,games!$A$2:$A$1200,0)),""))</f>
      </c>
      <c r="V533">
        <f>IF(OR($T533="",$U533=""),"",$U533-$T533)</f>
      </c>
    </row>
    <row r="534">
      <c r="A534" t="str">
        <f>IF(games!$A534="","",games!$A534)</f>
      </c>
      <c r="B534">
        <f>IF($A534="","",games!$B534)</f>
      </c>
      <c r="C534" t="str">
        <f>IF($A534="","",games!$C534)</f>
      </c>
      <c r="D534">
        <f>IF($A534="","",COUNTIF(connections!$A$2:$A$2500,$A534)+COUNTIF(connections!$B$2:$B$2500,$A534))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IF(OR($A534="",games!$H534=""),"",games!$H534)</f>
      </c>
      <c r="Q534">
        <f>IF(OR($A534="",$P534&lt;&gt;"Yes"),"",$D534+ROW()/1000000)</f>
      </c>
      <c r="T534" t="str">
        <f>IF(connections!$A534="","",IFERROR(INDEX(games!$B$2:$B$1200,MATCH(connections!$A534,games!$A$2:$A$1200,0)),""))</f>
      </c>
      <c r="U534">
        <f>IF(connections!$A534="","",IFERROR(INDEX(games!$B$2:$B$1200,MATCH(connections!$B534,games!$A$2:$A$1200,0)),""))</f>
      </c>
      <c r="V534">
        <f>IF(OR($T534="",$U534=""),"",$U534-$T534)</f>
      </c>
    </row>
    <row r="535">
      <c r="A535" t="str">
        <f>IF(games!$A535="","",games!$A535)</f>
      </c>
      <c r="B535">
        <f>IF($A535="","",games!$B535)</f>
      </c>
      <c r="C535" t="str">
        <f>IF($A535="","",games!$C535)</f>
      </c>
      <c r="D535">
        <f>IF($A535="","",COUNTIF(connections!$A$2:$A$2500,$A535)+COUNTIF(connections!$B$2:$B$2500,$A535))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IF(OR($A535="",games!$H535=""),"",games!$H535)</f>
      </c>
      <c r="Q535">
        <f>IF(OR($A535="",$P535&lt;&gt;"Yes"),"",$D535+ROW()/1000000)</f>
      </c>
      <c r="T535" t="str">
        <f>IF(connections!$A535="","",IFERROR(INDEX(games!$B$2:$B$1200,MATCH(connections!$A535,games!$A$2:$A$1200,0)),""))</f>
      </c>
      <c r="U535">
        <f>IF(connections!$A535="","",IFERROR(INDEX(games!$B$2:$B$1200,MATCH(connections!$B535,games!$A$2:$A$1200,0)),""))</f>
      </c>
      <c r="V535">
        <f>IF(OR($T535="",$U535=""),"",$U535-$T535)</f>
      </c>
    </row>
    <row r="536">
      <c r="A536" t="str">
        <f>IF(games!$A536="","",games!$A536)</f>
      </c>
      <c r="B536">
        <f>IF($A536="","",games!$B536)</f>
      </c>
      <c r="C536" t="str">
        <f>IF($A536="","",games!$C536)</f>
      </c>
      <c r="D536">
        <f>IF($A536="","",COUNTIF(connections!$A$2:$A$2500,$A536)+COUNTIF(connections!$B$2:$B$2500,$A536))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IF(OR($A536="",games!$H536=""),"",games!$H536)</f>
      </c>
      <c r="Q536">
        <f>IF(OR($A536="",$P536&lt;&gt;"Yes"),"",$D536+ROW()/1000000)</f>
      </c>
      <c r="T536" t="str">
        <f>IF(connections!$A536="","",IFERROR(INDEX(games!$B$2:$B$1200,MATCH(connections!$A536,games!$A$2:$A$1200,0)),""))</f>
      </c>
      <c r="U536">
        <f>IF(connections!$A536="","",IFERROR(INDEX(games!$B$2:$B$1200,MATCH(connections!$B536,games!$A$2:$A$1200,0)),""))</f>
      </c>
      <c r="V536">
        <f>IF(OR($T536="",$U536=""),"",$U536-$T536)</f>
      </c>
    </row>
    <row r="537">
      <c r="A537" t="str">
        <f>IF(games!$A537="","",games!$A537)</f>
      </c>
      <c r="B537">
        <f>IF($A537="","",games!$B537)</f>
      </c>
      <c r="C537" t="str">
        <f>IF($A537="","",games!$C537)</f>
      </c>
      <c r="D537">
        <f>IF($A537="","",COUNTIF(connections!$A$2:$A$2500,$A537)+COUNTIF(connections!$B$2:$B$2500,$A537))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IF(OR($A537="",games!$H537=""),"",games!$H537)</f>
      </c>
      <c r="Q537">
        <f>IF(OR($A537="",$P537&lt;&gt;"Yes"),"",$D537+ROW()/1000000)</f>
      </c>
      <c r="T537" t="str">
        <f>IF(connections!$A537="","",IFERROR(INDEX(games!$B$2:$B$1200,MATCH(connections!$A537,games!$A$2:$A$1200,0)),""))</f>
      </c>
      <c r="U537">
        <f>IF(connections!$A537="","",IFERROR(INDEX(games!$B$2:$B$1200,MATCH(connections!$B537,games!$A$2:$A$1200,0)),""))</f>
      </c>
      <c r="V537">
        <f>IF(OR($T537="",$U537=""),"",$U537-$T537)</f>
      </c>
    </row>
    <row r="538">
      <c r="A538" t="str">
        <f>IF(games!$A538="","",games!$A538)</f>
      </c>
      <c r="B538">
        <f>IF($A538="","",games!$B538)</f>
      </c>
      <c r="C538" t="str">
        <f>IF($A538="","",games!$C538)</f>
      </c>
      <c r="D538">
        <f>IF($A538="","",COUNTIF(connections!$A$2:$A$2500,$A538)+COUNTIF(connections!$B$2:$B$2500,$A538))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IF(OR($A538="",games!$H538=""),"",games!$H538)</f>
      </c>
      <c r="Q538">
        <f>IF(OR($A538="",$P538&lt;&gt;"Yes"),"",$D538+ROW()/1000000)</f>
      </c>
      <c r="T538" t="str">
        <f>IF(connections!$A538="","",IFERROR(INDEX(games!$B$2:$B$1200,MATCH(connections!$A538,games!$A$2:$A$1200,0)),""))</f>
      </c>
      <c r="U538">
        <f>IF(connections!$A538="","",IFERROR(INDEX(games!$B$2:$B$1200,MATCH(connections!$B538,games!$A$2:$A$1200,0)),""))</f>
      </c>
      <c r="V538">
        <f>IF(OR($T538="",$U538=""),"",$U538-$T538)</f>
      </c>
    </row>
    <row r="539">
      <c r="A539" t="str">
        <f>IF(games!$A539="","",games!$A539)</f>
      </c>
      <c r="B539">
        <f>IF($A539="","",games!$B539)</f>
      </c>
      <c r="C539" t="str">
        <f>IF($A539="","",games!$C539)</f>
      </c>
      <c r="D539">
        <f>IF($A539="","",COUNTIF(connections!$A$2:$A$2500,$A539)+COUNTIF(connections!$B$2:$B$2500,$A539))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IF(OR($A539="",games!$H539=""),"",games!$H539)</f>
      </c>
      <c r="Q539">
        <f>IF(OR($A539="",$P539&lt;&gt;"Yes"),"",$D539+ROW()/1000000)</f>
      </c>
      <c r="T539" t="str">
        <f>IF(connections!$A539="","",IFERROR(INDEX(games!$B$2:$B$1200,MATCH(connections!$A539,games!$A$2:$A$1200,0)),""))</f>
      </c>
      <c r="U539">
        <f>IF(connections!$A539="","",IFERROR(INDEX(games!$B$2:$B$1200,MATCH(connections!$B539,games!$A$2:$A$1200,0)),""))</f>
      </c>
      <c r="V539">
        <f>IF(OR($T539="",$U539=""),"",$U539-$T539)</f>
      </c>
    </row>
    <row r="540">
      <c r="A540" t="str">
        <f>IF(games!$A540="","",games!$A540)</f>
      </c>
      <c r="B540">
        <f>IF($A540="","",games!$B540)</f>
      </c>
      <c r="C540" t="str">
        <f>IF($A540="","",games!$C540)</f>
      </c>
      <c r="D540">
        <f>IF($A540="","",COUNTIF(connections!$A$2:$A$2500,$A540)+COUNTIF(connections!$B$2:$B$2500,$A540))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IF(OR($A540="",games!$H540=""),"",games!$H540)</f>
      </c>
      <c r="Q540">
        <f>IF(OR($A540="",$P540&lt;&gt;"Yes"),"",$D540+ROW()/1000000)</f>
      </c>
      <c r="T540" t="str">
        <f>IF(connections!$A540="","",IFERROR(INDEX(games!$B$2:$B$1200,MATCH(connections!$A540,games!$A$2:$A$1200,0)),""))</f>
      </c>
      <c r="U540">
        <f>IF(connections!$A540="","",IFERROR(INDEX(games!$B$2:$B$1200,MATCH(connections!$B540,games!$A$2:$A$1200,0)),""))</f>
      </c>
      <c r="V540">
        <f>IF(OR($T540="",$U540=""),"",$U540-$T540)</f>
      </c>
    </row>
    <row r="541">
      <c r="A541" t="str">
        <f>IF(games!$A541="","",games!$A541)</f>
      </c>
      <c r="B541">
        <f>IF($A541="","",games!$B541)</f>
      </c>
      <c r="C541" t="str">
        <f>IF($A541="","",games!$C541)</f>
      </c>
      <c r="D541">
        <f>IF($A541="","",COUNTIF(connections!$A$2:$A$2500,$A541)+COUNTIF(connections!$B$2:$B$2500,$A541))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IF(OR($A541="",games!$H541=""),"",games!$H541)</f>
      </c>
      <c r="Q541">
        <f>IF(OR($A541="",$P541&lt;&gt;"Yes"),"",$D541+ROW()/1000000)</f>
      </c>
      <c r="T541" t="str">
        <f>IF(connections!$A541="","",IFERROR(INDEX(games!$B$2:$B$1200,MATCH(connections!$A541,games!$A$2:$A$1200,0)),""))</f>
      </c>
      <c r="U541">
        <f>IF(connections!$A541="","",IFERROR(INDEX(games!$B$2:$B$1200,MATCH(connections!$B541,games!$A$2:$A$1200,0)),""))</f>
      </c>
      <c r="V541">
        <f>IF(OR($T541="",$U541=""),"",$U541-$T541)</f>
      </c>
    </row>
    <row r="542">
      <c r="A542" t="str">
        <f>IF(games!$A542="","",games!$A542)</f>
      </c>
      <c r="B542">
        <f>IF($A542="","",games!$B542)</f>
      </c>
      <c r="C542" t="str">
        <f>IF($A542="","",games!$C542)</f>
      </c>
      <c r="D542">
        <f>IF($A542="","",COUNTIF(connections!$A$2:$A$2500,$A542)+COUNTIF(connections!$B$2:$B$2500,$A542))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IF(OR($A542="",games!$H542=""),"",games!$H542)</f>
      </c>
      <c r="Q542">
        <f>IF(OR($A542="",$P542&lt;&gt;"Yes"),"",$D542+ROW()/1000000)</f>
      </c>
      <c r="T542" t="str">
        <f>IF(connections!$A542="","",IFERROR(INDEX(games!$B$2:$B$1200,MATCH(connections!$A542,games!$A$2:$A$1200,0)),""))</f>
      </c>
      <c r="U542">
        <f>IF(connections!$A542="","",IFERROR(INDEX(games!$B$2:$B$1200,MATCH(connections!$B542,games!$A$2:$A$1200,0)),""))</f>
      </c>
      <c r="V542">
        <f>IF(OR($T542="",$U542=""),"",$U542-$T542)</f>
      </c>
    </row>
    <row r="543">
      <c r="A543" t="str">
        <f>IF(games!$A543="","",games!$A543)</f>
      </c>
      <c r="B543">
        <f>IF($A543="","",games!$B543)</f>
      </c>
      <c r="C543" t="str">
        <f>IF($A543="","",games!$C543)</f>
      </c>
      <c r="D543">
        <f>IF($A543="","",COUNTIF(connections!$A$2:$A$2500,$A543)+COUNTIF(connections!$B$2:$B$2500,$A543))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IF(OR($A543="",games!$H543=""),"",games!$H543)</f>
      </c>
      <c r="Q543">
        <f>IF(OR($A543="",$P543&lt;&gt;"Yes"),"",$D543+ROW()/1000000)</f>
      </c>
      <c r="T543" t="str">
        <f>IF(connections!$A543="","",IFERROR(INDEX(games!$B$2:$B$1200,MATCH(connections!$A543,games!$A$2:$A$1200,0)),""))</f>
      </c>
      <c r="U543">
        <f>IF(connections!$A543="","",IFERROR(INDEX(games!$B$2:$B$1200,MATCH(connections!$B543,games!$A$2:$A$1200,0)),""))</f>
      </c>
      <c r="V543">
        <f>IF(OR($T543="",$U543=""),"",$U543-$T543)</f>
      </c>
    </row>
    <row r="544">
      <c r="A544" t="str">
        <f>IF(games!$A544="","",games!$A544)</f>
      </c>
      <c r="B544">
        <f>IF($A544="","",games!$B544)</f>
      </c>
      <c r="C544" t="str">
        <f>IF($A544="","",games!$C544)</f>
      </c>
      <c r="D544">
        <f>IF($A544="","",COUNTIF(connections!$A$2:$A$2500,$A544)+COUNTIF(connections!$B$2:$B$2500,$A544))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IF(OR($A544="",games!$H544=""),"",games!$H544)</f>
      </c>
      <c r="Q544">
        <f>IF(OR($A544="",$P544&lt;&gt;"Yes"),"",$D544+ROW()/1000000)</f>
      </c>
      <c r="T544" t="str">
        <f>IF(connections!$A544="","",IFERROR(INDEX(games!$B$2:$B$1200,MATCH(connections!$A544,games!$A$2:$A$1200,0)),""))</f>
      </c>
      <c r="U544">
        <f>IF(connections!$A544="","",IFERROR(INDEX(games!$B$2:$B$1200,MATCH(connections!$B544,games!$A$2:$A$1200,0)),""))</f>
      </c>
      <c r="V544">
        <f>IF(OR($T544="",$U544=""),"",$U544-$T544)</f>
      </c>
    </row>
    <row r="545">
      <c r="A545" t="str">
        <f>IF(games!$A545="","",games!$A545)</f>
      </c>
      <c r="B545">
        <f>IF($A545="","",games!$B545)</f>
      </c>
      <c r="C545" t="str">
        <f>IF($A545="","",games!$C545)</f>
      </c>
      <c r="D545">
        <f>IF($A545="","",COUNTIF(connections!$A$2:$A$2500,$A545)+COUNTIF(connections!$B$2:$B$2500,$A545))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IF(OR($A545="",games!$H545=""),"",games!$H545)</f>
      </c>
      <c r="Q545">
        <f>IF(OR($A545="",$P545&lt;&gt;"Yes"),"",$D545+ROW()/1000000)</f>
      </c>
      <c r="T545" t="str">
        <f>IF(connections!$A545="","",IFERROR(INDEX(games!$B$2:$B$1200,MATCH(connections!$A545,games!$A$2:$A$1200,0)),""))</f>
      </c>
      <c r="U545">
        <f>IF(connections!$A545="","",IFERROR(INDEX(games!$B$2:$B$1200,MATCH(connections!$B545,games!$A$2:$A$1200,0)),""))</f>
      </c>
      <c r="V545">
        <f>IF(OR($T545="",$U545=""),"",$U545-$T545)</f>
      </c>
    </row>
    <row r="546">
      <c r="A546" t="str">
        <f>IF(games!$A546="","",games!$A546)</f>
      </c>
      <c r="B546">
        <f>IF($A546="","",games!$B546)</f>
      </c>
      <c r="C546" t="str">
        <f>IF($A546="","",games!$C546)</f>
      </c>
      <c r="D546">
        <f>IF($A546="","",COUNTIF(connections!$A$2:$A$2500,$A546)+COUNTIF(connections!$B$2:$B$2500,$A546))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IF(OR($A546="",games!$H546=""),"",games!$H546)</f>
      </c>
      <c r="Q546">
        <f>IF(OR($A546="",$P546&lt;&gt;"Yes"),"",$D546+ROW()/1000000)</f>
      </c>
      <c r="T546" t="str">
        <f>IF(connections!$A546="","",IFERROR(INDEX(games!$B$2:$B$1200,MATCH(connections!$A546,games!$A$2:$A$1200,0)),""))</f>
      </c>
      <c r="U546">
        <f>IF(connections!$A546="","",IFERROR(INDEX(games!$B$2:$B$1200,MATCH(connections!$B546,games!$A$2:$A$1200,0)),""))</f>
      </c>
      <c r="V546">
        <f>IF(OR($T546="",$U546=""),"",$U546-$T546)</f>
      </c>
    </row>
    <row r="547">
      <c r="A547" t="str">
        <f>IF(games!$A547="","",games!$A547)</f>
      </c>
      <c r="B547">
        <f>IF($A547="","",games!$B547)</f>
      </c>
      <c r="C547" t="str">
        <f>IF($A547="","",games!$C547)</f>
      </c>
      <c r="D547">
        <f>IF($A547="","",COUNTIF(connections!$A$2:$A$2500,$A547)+COUNTIF(connections!$B$2:$B$2500,$A547))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IF(OR($A547="",games!$H547=""),"",games!$H547)</f>
      </c>
      <c r="Q547">
        <f>IF(OR($A547="",$P547&lt;&gt;"Yes"),"",$D547+ROW()/1000000)</f>
      </c>
      <c r="T547" t="str">
        <f>IF(connections!$A547="","",IFERROR(INDEX(games!$B$2:$B$1200,MATCH(connections!$A547,games!$A$2:$A$1200,0)),""))</f>
      </c>
      <c r="U547">
        <f>IF(connections!$A547="","",IFERROR(INDEX(games!$B$2:$B$1200,MATCH(connections!$B547,games!$A$2:$A$1200,0)),""))</f>
      </c>
      <c r="V547">
        <f>IF(OR($T547="",$U547=""),"",$U547-$T547)</f>
      </c>
    </row>
    <row r="548">
      <c r="A548" t="str">
        <f>IF(games!$A548="","",games!$A548)</f>
      </c>
      <c r="B548">
        <f>IF($A548="","",games!$B548)</f>
      </c>
      <c r="C548" t="str">
        <f>IF($A548="","",games!$C548)</f>
      </c>
      <c r="D548">
        <f>IF($A548="","",COUNTIF(connections!$A$2:$A$2500,$A548)+COUNTIF(connections!$B$2:$B$2500,$A548))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IF(OR($A548="",games!$H548=""),"",games!$H548)</f>
      </c>
      <c r="Q548">
        <f>IF(OR($A548="",$P548&lt;&gt;"Yes"),"",$D548+ROW()/1000000)</f>
      </c>
      <c r="T548" t="str">
        <f>IF(connections!$A548="","",IFERROR(INDEX(games!$B$2:$B$1200,MATCH(connections!$A548,games!$A$2:$A$1200,0)),""))</f>
      </c>
      <c r="U548">
        <f>IF(connections!$A548="","",IFERROR(INDEX(games!$B$2:$B$1200,MATCH(connections!$B548,games!$A$2:$A$1200,0)),""))</f>
      </c>
      <c r="V548">
        <f>IF(OR($T548="",$U548=""),"",$U548-$T548)</f>
      </c>
    </row>
    <row r="549">
      <c r="A549" t="str">
        <f>IF(games!$A549="","",games!$A549)</f>
      </c>
      <c r="B549">
        <f>IF($A549="","",games!$B549)</f>
      </c>
      <c r="C549" t="str">
        <f>IF($A549="","",games!$C549)</f>
      </c>
      <c r="D549">
        <f>IF($A549="","",COUNTIF(connections!$A$2:$A$2500,$A549)+COUNTIF(connections!$B$2:$B$2500,$A549))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IF(OR($A549="",games!$H549=""),"",games!$H549)</f>
      </c>
      <c r="Q549">
        <f>IF(OR($A549="",$P549&lt;&gt;"Yes"),"",$D549+ROW()/1000000)</f>
      </c>
      <c r="T549" t="str">
        <f>IF(connections!$A549="","",IFERROR(INDEX(games!$B$2:$B$1200,MATCH(connections!$A549,games!$A$2:$A$1200,0)),""))</f>
      </c>
      <c r="U549">
        <f>IF(connections!$A549="","",IFERROR(INDEX(games!$B$2:$B$1200,MATCH(connections!$B549,games!$A$2:$A$1200,0)),""))</f>
      </c>
      <c r="V549">
        <f>IF(OR($T549="",$U549=""),"",$U549-$T549)</f>
      </c>
    </row>
    <row r="550">
      <c r="A550" t="str">
        <f>IF(games!$A550="","",games!$A550)</f>
      </c>
      <c r="B550">
        <f>IF($A550="","",games!$B550)</f>
      </c>
      <c r="C550" t="str">
        <f>IF($A550="","",games!$C550)</f>
      </c>
      <c r="D550">
        <f>IF($A550="","",COUNTIF(connections!$A$2:$A$2500,$A550)+COUNTIF(connections!$B$2:$B$2500,$A550))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IF(OR($A550="",games!$H550=""),"",games!$H550)</f>
      </c>
      <c r="Q550">
        <f>IF(OR($A550="",$P550&lt;&gt;"Yes"),"",$D550+ROW()/1000000)</f>
      </c>
      <c r="T550" t="str">
        <f>IF(connections!$A550="","",IFERROR(INDEX(games!$B$2:$B$1200,MATCH(connections!$A550,games!$A$2:$A$1200,0)),""))</f>
      </c>
      <c r="U550">
        <f>IF(connections!$A550="","",IFERROR(INDEX(games!$B$2:$B$1200,MATCH(connections!$B550,games!$A$2:$A$1200,0)),""))</f>
      </c>
      <c r="V550">
        <f>IF(OR($T550="",$U550=""),"",$U550-$T550)</f>
      </c>
    </row>
    <row r="551">
      <c r="A551" t="str">
        <f>IF(games!$A551="","",games!$A551)</f>
      </c>
      <c r="B551">
        <f>IF($A551="","",games!$B551)</f>
      </c>
      <c r="C551" t="str">
        <f>IF($A551="","",games!$C551)</f>
      </c>
      <c r="D551">
        <f>IF($A551="","",COUNTIF(connections!$A$2:$A$2500,$A551)+COUNTIF(connections!$B$2:$B$2500,$A551))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IF(OR($A551="",games!$H551=""),"",games!$H551)</f>
      </c>
      <c r="Q551">
        <f>IF(OR($A551="",$P551&lt;&gt;"Yes"),"",$D551+ROW()/1000000)</f>
      </c>
      <c r="T551" t="str">
        <f>IF(connections!$A551="","",IFERROR(INDEX(games!$B$2:$B$1200,MATCH(connections!$A551,games!$A$2:$A$1200,0)),""))</f>
      </c>
      <c r="U551">
        <f>IF(connections!$A551="","",IFERROR(INDEX(games!$B$2:$B$1200,MATCH(connections!$B551,games!$A$2:$A$1200,0)),""))</f>
      </c>
      <c r="V551">
        <f>IF(OR($T551="",$U551=""),"",$U551-$T551)</f>
      </c>
    </row>
    <row r="552">
      <c r="A552" t="str">
        <f>IF(games!$A552="","",games!$A552)</f>
      </c>
      <c r="B552">
        <f>IF($A552="","",games!$B552)</f>
      </c>
      <c r="C552" t="str">
        <f>IF($A552="","",games!$C552)</f>
      </c>
      <c r="D552">
        <f>IF($A552="","",COUNTIF(connections!$A$2:$A$2500,$A552)+COUNTIF(connections!$B$2:$B$2500,$A552))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IF(OR($A552="",games!$H552=""),"",games!$H552)</f>
      </c>
      <c r="Q552">
        <f>IF(OR($A552="",$P552&lt;&gt;"Yes"),"",$D552+ROW()/1000000)</f>
      </c>
      <c r="T552" t="str">
        <f>IF(connections!$A552="","",IFERROR(INDEX(games!$B$2:$B$1200,MATCH(connections!$A552,games!$A$2:$A$1200,0)),""))</f>
      </c>
      <c r="U552">
        <f>IF(connections!$A552="","",IFERROR(INDEX(games!$B$2:$B$1200,MATCH(connections!$B552,games!$A$2:$A$1200,0)),""))</f>
      </c>
      <c r="V552">
        <f>IF(OR($T552="",$U552=""),"",$U552-$T552)</f>
      </c>
    </row>
    <row r="553">
      <c r="A553" t="str">
        <f>IF(games!$A553="","",games!$A553)</f>
      </c>
      <c r="B553">
        <f>IF($A553="","",games!$B553)</f>
      </c>
      <c r="C553" t="str">
        <f>IF($A553="","",games!$C553)</f>
      </c>
      <c r="D553">
        <f>IF($A553="","",COUNTIF(connections!$A$2:$A$2500,$A553)+COUNTIF(connections!$B$2:$B$2500,$A553))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IF(OR($A553="",games!$H553=""),"",games!$H553)</f>
      </c>
      <c r="Q553">
        <f>IF(OR($A553="",$P553&lt;&gt;"Yes"),"",$D553+ROW()/1000000)</f>
      </c>
      <c r="T553" t="str">
        <f>IF(connections!$A553="","",IFERROR(INDEX(games!$B$2:$B$1200,MATCH(connections!$A553,games!$A$2:$A$1200,0)),""))</f>
      </c>
      <c r="U553">
        <f>IF(connections!$A553="","",IFERROR(INDEX(games!$B$2:$B$1200,MATCH(connections!$B553,games!$A$2:$A$1200,0)),""))</f>
      </c>
      <c r="V553">
        <f>IF(OR($T553="",$U553=""),"",$U553-$T553)</f>
      </c>
    </row>
    <row r="554">
      <c r="A554" t="str">
        <f>IF(games!$A554="","",games!$A554)</f>
      </c>
      <c r="B554">
        <f>IF($A554="","",games!$B554)</f>
      </c>
      <c r="C554" t="str">
        <f>IF($A554="","",games!$C554)</f>
      </c>
      <c r="D554">
        <f>IF($A554="","",COUNTIF(connections!$A$2:$A$2500,$A554)+COUNTIF(connections!$B$2:$B$2500,$A554))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IF(OR($A554="",games!$H554=""),"",games!$H554)</f>
      </c>
      <c r="Q554">
        <f>IF(OR($A554="",$P554&lt;&gt;"Yes"),"",$D554+ROW()/1000000)</f>
      </c>
      <c r="T554" t="str">
        <f>IF(connections!$A554="","",IFERROR(INDEX(games!$B$2:$B$1200,MATCH(connections!$A554,games!$A$2:$A$1200,0)),""))</f>
      </c>
      <c r="U554">
        <f>IF(connections!$A554="","",IFERROR(INDEX(games!$B$2:$B$1200,MATCH(connections!$B554,games!$A$2:$A$1200,0)),""))</f>
      </c>
      <c r="V554">
        <f>IF(OR($T554="",$U554=""),"",$U554-$T554)</f>
      </c>
    </row>
    <row r="555">
      <c r="A555" t="str">
        <f>IF(games!$A555="","",games!$A555)</f>
      </c>
      <c r="B555">
        <f>IF($A555="","",games!$B555)</f>
      </c>
      <c r="C555" t="str">
        <f>IF($A555="","",games!$C555)</f>
      </c>
      <c r="D555">
        <f>IF($A555="","",COUNTIF(connections!$A$2:$A$2500,$A555)+COUNTIF(connections!$B$2:$B$2500,$A555))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IF(OR($A555="",games!$H555=""),"",games!$H555)</f>
      </c>
      <c r="Q555">
        <f>IF(OR($A555="",$P555&lt;&gt;"Yes"),"",$D555+ROW()/1000000)</f>
      </c>
      <c r="T555" t="str">
        <f>IF(connections!$A555="","",IFERROR(INDEX(games!$B$2:$B$1200,MATCH(connections!$A555,games!$A$2:$A$1200,0)),""))</f>
      </c>
      <c r="U555">
        <f>IF(connections!$A555="","",IFERROR(INDEX(games!$B$2:$B$1200,MATCH(connections!$B555,games!$A$2:$A$1200,0)),""))</f>
      </c>
      <c r="V555">
        <f>IF(OR($T555="",$U555=""),"",$U555-$T555)</f>
      </c>
    </row>
    <row r="556">
      <c r="A556" t="str">
        <f>IF(games!$A556="","",games!$A556)</f>
      </c>
      <c r="B556">
        <f>IF($A556="","",games!$B556)</f>
      </c>
      <c r="C556" t="str">
        <f>IF($A556="","",games!$C556)</f>
      </c>
      <c r="D556">
        <f>IF($A556="","",COUNTIF(connections!$A$2:$A$2500,$A556)+COUNTIF(connections!$B$2:$B$2500,$A556))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IF(OR($A556="",games!$H556=""),"",games!$H556)</f>
      </c>
      <c r="Q556">
        <f>IF(OR($A556="",$P556&lt;&gt;"Yes"),"",$D556+ROW()/1000000)</f>
      </c>
      <c r="T556" t="str">
        <f>IF(connections!$A556="","",IFERROR(INDEX(games!$B$2:$B$1200,MATCH(connections!$A556,games!$A$2:$A$1200,0)),""))</f>
      </c>
      <c r="U556">
        <f>IF(connections!$A556="","",IFERROR(INDEX(games!$B$2:$B$1200,MATCH(connections!$B556,games!$A$2:$A$1200,0)),""))</f>
      </c>
      <c r="V556">
        <f>IF(OR($T556="",$U556=""),"",$U556-$T556)</f>
      </c>
    </row>
    <row r="557">
      <c r="A557" t="str">
        <f>IF(games!$A557="","",games!$A557)</f>
      </c>
      <c r="B557">
        <f>IF($A557="","",games!$B557)</f>
      </c>
      <c r="C557" t="str">
        <f>IF($A557="","",games!$C557)</f>
      </c>
      <c r="D557">
        <f>IF($A557="","",COUNTIF(connections!$A$2:$A$2500,$A557)+COUNTIF(connections!$B$2:$B$2500,$A557))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IF(OR($A557="",games!$H557=""),"",games!$H557)</f>
      </c>
      <c r="Q557">
        <f>IF(OR($A557="",$P557&lt;&gt;"Yes"),"",$D557+ROW()/1000000)</f>
      </c>
      <c r="T557" t="str">
        <f>IF(connections!$A557="","",IFERROR(INDEX(games!$B$2:$B$1200,MATCH(connections!$A557,games!$A$2:$A$1200,0)),""))</f>
      </c>
      <c r="U557">
        <f>IF(connections!$A557="","",IFERROR(INDEX(games!$B$2:$B$1200,MATCH(connections!$B557,games!$A$2:$A$1200,0)),""))</f>
      </c>
      <c r="V557">
        <f>IF(OR($T557="",$U557=""),"",$U557-$T557)</f>
      </c>
    </row>
    <row r="558">
      <c r="A558" t="str">
        <f>IF(games!$A558="","",games!$A558)</f>
      </c>
      <c r="B558">
        <f>IF($A558="","",games!$B558)</f>
      </c>
      <c r="C558" t="str">
        <f>IF($A558="","",games!$C558)</f>
      </c>
      <c r="D558">
        <f>IF($A558="","",COUNTIF(connections!$A$2:$A$2500,$A558)+COUNTIF(connections!$B$2:$B$2500,$A558))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IF(OR($A558="",games!$H558=""),"",games!$H558)</f>
      </c>
      <c r="Q558">
        <f>IF(OR($A558="",$P558&lt;&gt;"Yes"),"",$D558+ROW()/1000000)</f>
      </c>
      <c r="T558" t="str">
        <f>IF(connections!$A558="","",IFERROR(INDEX(games!$B$2:$B$1200,MATCH(connections!$A558,games!$A$2:$A$1200,0)),""))</f>
      </c>
      <c r="U558">
        <f>IF(connections!$A558="","",IFERROR(INDEX(games!$B$2:$B$1200,MATCH(connections!$B558,games!$A$2:$A$1200,0)),""))</f>
      </c>
      <c r="V558">
        <f>IF(OR($T558="",$U558=""),"",$U558-$T558)</f>
      </c>
    </row>
    <row r="559">
      <c r="A559" t="str">
        <f>IF(games!$A559="","",games!$A559)</f>
      </c>
      <c r="B559">
        <f>IF($A559="","",games!$B559)</f>
      </c>
      <c r="C559" t="str">
        <f>IF($A559="","",games!$C559)</f>
      </c>
      <c r="D559">
        <f>IF($A559="","",COUNTIF(connections!$A$2:$A$2500,$A559)+COUNTIF(connections!$B$2:$B$2500,$A559))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IF(OR($A559="",games!$H559=""),"",games!$H559)</f>
      </c>
      <c r="Q559">
        <f>IF(OR($A559="",$P559&lt;&gt;"Yes"),"",$D559+ROW()/1000000)</f>
      </c>
      <c r="T559" t="str">
        <f>IF(connections!$A559="","",IFERROR(INDEX(games!$B$2:$B$1200,MATCH(connections!$A559,games!$A$2:$A$1200,0)),""))</f>
      </c>
      <c r="U559">
        <f>IF(connections!$A559="","",IFERROR(INDEX(games!$B$2:$B$1200,MATCH(connections!$B559,games!$A$2:$A$1200,0)),""))</f>
      </c>
      <c r="V559">
        <f>IF(OR($T559="",$U559=""),"",$U559-$T559)</f>
      </c>
    </row>
    <row r="560">
      <c r="A560" t="str">
        <f>IF(games!$A560="","",games!$A560)</f>
      </c>
      <c r="B560">
        <f>IF($A560="","",games!$B560)</f>
      </c>
      <c r="C560" t="str">
        <f>IF($A560="","",games!$C560)</f>
      </c>
      <c r="D560">
        <f>IF($A560="","",COUNTIF(connections!$A$2:$A$2500,$A560)+COUNTIF(connections!$B$2:$B$2500,$A560))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IF(OR($A560="",games!$H560=""),"",games!$H560)</f>
      </c>
      <c r="Q560">
        <f>IF(OR($A560="",$P560&lt;&gt;"Yes"),"",$D560+ROW()/1000000)</f>
      </c>
      <c r="T560" t="str">
        <f>IF(connections!$A560="","",IFERROR(INDEX(games!$B$2:$B$1200,MATCH(connections!$A560,games!$A$2:$A$1200,0)),""))</f>
      </c>
      <c r="U560">
        <f>IF(connections!$A560="","",IFERROR(INDEX(games!$B$2:$B$1200,MATCH(connections!$B560,games!$A$2:$A$1200,0)),""))</f>
      </c>
      <c r="V560">
        <f>IF(OR($T560="",$U560=""),"",$U560-$T560)</f>
      </c>
    </row>
    <row r="561">
      <c r="A561" t="str">
        <f>IF(games!$A561="","",games!$A561)</f>
      </c>
      <c r="B561">
        <f>IF($A561="","",games!$B561)</f>
      </c>
      <c r="C561" t="str">
        <f>IF($A561="","",games!$C561)</f>
      </c>
      <c r="D561">
        <f>IF($A561="","",COUNTIF(connections!$A$2:$A$2500,$A561)+COUNTIF(connections!$B$2:$B$2500,$A561))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IF(OR($A561="",games!$H561=""),"",games!$H561)</f>
      </c>
      <c r="Q561">
        <f>IF(OR($A561="",$P561&lt;&gt;"Yes"),"",$D561+ROW()/1000000)</f>
      </c>
      <c r="T561" t="str">
        <f>IF(connections!$A561="","",IFERROR(INDEX(games!$B$2:$B$1200,MATCH(connections!$A561,games!$A$2:$A$1200,0)),""))</f>
      </c>
      <c r="U561">
        <f>IF(connections!$A561="","",IFERROR(INDEX(games!$B$2:$B$1200,MATCH(connections!$B561,games!$A$2:$A$1200,0)),""))</f>
      </c>
      <c r="V561">
        <f>IF(OR($T561="",$U561=""),"",$U561-$T561)</f>
      </c>
    </row>
    <row r="562">
      <c r="A562" t="str">
        <f>IF(games!$A562="","",games!$A562)</f>
      </c>
      <c r="B562">
        <f>IF($A562="","",games!$B562)</f>
      </c>
      <c r="C562" t="str">
        <f>IF($A562="","",games!$C562)</f>
      </c>
      <c r="D562">
        <f>IF($A562="","",COUNTIF(connections!$A$2:$A$2500,$A562)+COUNTIF(connections!$B$2:$B$2500,$A562))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IF(OR($A562="",games!$H562=""),"",games!$H562)</f>
      </c>
      <c r="Q562">
        <f>IF(OR($A562="",$P562&lt;&gt;"Yes"),"",$D562+ROW()/1000000)</f>
      </c>
      <c r="T562" t="str">
        <f>IF(connections!$A562="","",IFERROR(INDEX(games!$B$2:$B$1200,MATCH(connections!$A562,games!$A$2:$A$1200,0)),""))</f>
      </c>
      <c r="U562">
        <f>IF(connections!$A562="","",IFERROR(INDEX(games!$B$2:$B$1200,MATCH(connections!$B562,games!$A$2:$A$1200,0)),""))</f>
      </c>
      <c r="V562">
        <f>IF(OR($T562="",$U562=""),"",$U562-$T562)</f>
      </c>
    </row>
    <row r="563">
      <c r="A563" t="str">
        <f>IF(games!$A563="","",games!$A563)</f>
      </c>
      <c r="B563">
        <f>IF($A563="","",games!$B563)</f>
      </c>
      <c r="C563" t="str">
        <f>IF($A563="","",games!$C563)</f>
      </c>
      <c r="D563">
        <f>IF($A563="","",COUNTIF(connections!$A$2:$A$2500,$A563)+COUNTIF(connections!$B$2:$B$2500,$A563))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IF(OR($A563="",games!$H563=""),"",games!$H563)</f>
      </c>
      <c r="Q563">
        <f>IF(OR($A563="",$P563&lt;&gt;"Yes"),"",$D563+ROW()/1000000)</f>
      </c>
      <c r="T563" t="str">
        <f>IF(connections!$A563="","",IFERROR(INDEX(games!$B$2:$B$1200,MATCH(connections!$A563,games!$A$2:$A$1200,0)),""))</f>
      </c>
      <c r="U563">
        <f>IF(connections!$A563="","",IFERROR(INDEX(games!$B$2:$B$1200,MATCH(connections!$B563,games!$A$2:$A$1200,0)),""))</f>
      </c>
      <c r="V563">
        <f>IF(OR($T563="",$U563=""),"",$U563-$T563)</f>
      </c>
    </row>
    <row r="564">
      <c r="A564" t="str">
        <f>IF(games!$A564="","",games!$A564)</f>
      </c>
      <c r="B564">
        <f>IF($A564="","",games!$B564)</f>
      </c>
      <c r="C564" t="str">
        <f>IF($A564="","",games!$C564)</f>
      </c>
      <c r="D564">
        <f>IF($A564="","",COUNTIF(connections!$A$2:$A$2500,$A564)+COUNTIF(connections!$B$2:$B$2500,$A564))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IF(OR($A564="",games!$H564=""),"",games!$H564)</f>
      </c>
      <c r="Q564">
        <f>IF(OR($A564="",$P564&lt;&gt;"Yes"),"",$D564+ROW()/1000000)</f>
      </c>
      <c r="T564" t="str">
        <f>IF(connections!$A564="","",IFERROR(INDEX(games!$B$2:$B$1200,MATCH(connections!$A564,games!$A$2:$A$1200,0)),""))</f>
      </c>
      <c r="U564">
        <f>IF(connections!$A564="","",IFERROR(INDEX(games!$B$2:$B$1200,MATCH(connections!$B564,games!$A$2:$A$1200,0)),""))</f>
      </c>
      <c r="V564">
        <f>IF(OR($T564="",$U564=""),"",$U564-$T564)</f>
      </c>
    </row>
    <row r="565">
      <c r="A565" t="str">
        <f>IF(games!$A565="","",games!$A565)</f>
      </c>
      <c r="B565">
        <f>IF($A565="","",games!$B565)</f>
      </c>
      <c r="C565" t="str">
        <f>IF($A565="","",games!$C565)</f>
      </c>
      <c r="D565">
        <f>IF($A565="","",COUNTIF(connections!$A$2:$A$2500,$A565)+COUNTIF(connections!$B$2:$B$2500,$A565))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IF(OR($A565="",games!$H565=""),"",games!$H565)</f>
      </c>
      <c r="Q565">
        <f>IF(OR($A565="",$P565&lt;&gt;"Yes"),"",$D565+ROW()/1000000)</f>
      </c>
      <c r="T565" t="str">
        <f>IF(connections!$A565="","",IFERROR(INDEX(games!$B$2:$B$1200,MATCH(connections!$A565,games!$A$2:$A$1200,0)),""))</f>
      </c>
      <c r="U565">
        <f>IF(connections!$A565="","",IFERROR(INDEX(games!$B$2:$B$1200,MATCH(connections!$B565,games!$A$2:$A$1200,0)),""))</f>
      </c>
      <c r="V565">
        <f>IF(OR($T565="",$U565=""),"",$U565-$T565)</f>
      </c>
    </row>
    <row r="566">
      <c r="A566" t="str">
        <f>IF(games!$A566="","",games!$A566)</f>
      </c>
      <c r="B566">
        <f>IF($A566="","",games!$B566)</f>
      </c>
      <c r="C566" t="str">
        <f>IF($A566="","",games!$C566)</f>
      </c>
      <c r="D566">
        <f>IF($A566="","",COUNTIF(connections!$A$2:$A$2500,$A566)+COUNTIF(connections!$B$2:$B$2500,$A566))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IF(OR($A566="",games!$H566=""),"",games!$H566)</f>
      </c>
      <c r="Q566">
        <f>IF(OR($A566="",$P566&lt;&gt;"Yes"),"",$D566+ROW()/1000000)</f>
      </c>
      <c r="T566" t="str">
        <f>IF(connections!$A566="","",IFERROR(INDEX(games!$B$2:$B$1200,MATCH(connections!$A566,games!$A$2:$A$1200,0)),""))</f>
      </c>
      <c r="U566">
        <f>IF(connections!$A566="","",IFERROR(INDEX(games!$B$2:$B$1200,MATCH(connections!$B566,games!$A$2:$A$1200,0)),""))</f>
      </c>
      <c r="V566">
        <f>IF(OR($T566="",$U566=""),"",$U566-$T566)</f>
      </c>
    </row>
    <row r="567">
      <c r="A567" t="str">
        <f>IF(games!$A567="","",games!$A567)</f>
      </c>
      <c r="B567">
        <f>IF($A567="","",games!$B567)</f>
      </c>
      <c r="C567" t="str">
        <f>IF($A567="","",games!$C567)</f>
      </c>
      <c r="D567">
        <f>IF($A567="","",COUNTIF(connections!$A$2:$A$2500,$A567)+COUNTIF(connections!$B$2:$B$2500,$A567))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IF(OR($A567="",games!$H567=""),"",games!$H567)</f>
      </c>
      <c r="Q567">
        <f>IF(OR($A567="",$P567&lt;&gt;"Yes"),"",$D567+ROW()/1000000)</f>
      </c>
      <c r="T567" t="str">
        <f>IF(connections!$A567="","",IFERROR(INDEX(games!$B$2:$B$1200,MATCH(connections!$A567,games!$A$2:$A$1200,0)),""))</f>
      </c>
      <c r="U567">
        <f>IF(connections!$A567="","",IFERROR(INDEX(games!$B$2:$B$1200,MATCH(connections!$B567,games!$A$2:$A$1200,0)),""))</f>
      </c>
      <c r="V567">
        <f>IF(OR($T567="",$U567=""),"",$U567-$T567)</f>
      </c>
    </row>
    <row r="568">
      <c r="A568" t="str">
        <f>IF(games!$A568="","",games!$A568)</f>
      </c>
      <c r="B568">
        <f>IF($A568="","",games!$B568)</f>
      </c>
      <c r="C568" t="str">
        <f>IF($A568="","",games!$C568)</f>
      </c>
      <c r="D568">
        <f>IF($A568="","",COUNTIF(connections!$A$2:$A$2500,$A568)+COUNTIF(connections!$B$2:$B$2500,$A568))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IF(OR($A568="",games!$H568=""),"",games!$H568)</f>
      </c>
      <c r="Q568">
        <f>IF(OR($A568="",$P568&lt;&gt;"Yes"),"",$D568+ROW()/1000000)</f>
      </c>
      <c r="T568" t="str">
        <f>IF(connections!$A568="","",IFERROR(INDEX(games!$B$2:$B$1200,MATCH(connections!$A568,games!$A$2:$A$1200,0)),""))</f>
      </c>
      <c r="U568">
        <f>IF(connections!$A568="","",IFERROR(INDEX(games!$B$2:$B$1200,MATCH(connections!$B568,games!$A$2:$A$1200,0)),""))</f>
      </c>
      <c r="V568">
        <f>IF(OR($T568="",$U568=""),"",$U568-$T568)</f>
      </c>
    </row>
    <row r="569">
      <c r="A569" t="str">
        <f>IF(games!$A569="","",games!$A569)</f>
      </c>
      <c r="B569">
        <f>IF($A569="","",games!$B569)</f>
      </c>
      <c r="C569" t="str">
        <f>IF($A569="","",games!$C569)</f>
      </c>
      <c r="D569">
        <f>IF($A569="","",COUNTIF(connections!$A$2:$A$2500,$A569)+COUNTIF(connections!$B$2:$B$2500,$A569))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IF(OR($A569="",games!$H569=""),"",games!$H569)</f>
      </c>
      <c r="Q569">
        <f>IF(OR($A569="",$P569&lt;&gt;"Yes"),"",$D569+ROW()/1000000)</f>
      </c>
      <c r="T569" t="str">
        <f>IF(connections!$A569="","",IFERROR(INDEX(games!$B$2:$B$1200,MATCH(connections!$A569,games!$A$2:$A$1200,0)),""))</f>
      </c>
      <c r="U569">
        <f>IF(connections!$A569="","",IFERROR(INDEX(games!$B$2:$B$1200,MATCH(connections!$B569,games!$A$2:$A$1200,0)),""))</f>
      </c>
      <c r="V569">
        <f>IF(OR($T569="",$U569=""),"",$U569-$T569)</f>
      </c>
    </row>
    <row r="570">
      <c r="A570" t="str">
        <f>IF(games!$A570="","",games!$A570)</f>
      </c>
      <c r="B570">
        <f>IF($A570="","",games!$B570)</f>
      </c>
      <c r="C570" t="str">
        <f>IF($A570="","",games!$C570)</f>
      </c>
      <c r="D570">
        <f>IF($A570="","",COUNTIF(connections!$A$2:$A$2500,$A570)+COUNTIF(connections!$B$2:$B$2500,$A570))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IF(OR($A570="",games!$H570=""),"",games!$H570)</f>
      </c>
      <c r="Q570">
        <f>IF(OR($A570="",$P570&lt;&gt;"Yes"),"",$D570+ROW()/1000000)</f>
      </c>
      <c r="T570" t="str">
        <f>IF(connections!$A570="","",IFERROR(INDEX(games!$B$2:$B$1200,MATCH(connections!$A570,games!$A$2:$A$1200,0)),""))</f>
      </c>
      <c r="U570">
        <f>IF(connections!$A570="","",IFERROR(INDEX(games!$B$2:$B$1200,MATCH(connections!$B570,games!$A$2:$A$1200,0)),""))</f>
      </c>
      <c r="V570">
        <f>IF(OR($T570="",$U570=""),"",$U570-$T570)</f>
      </c>
    </row>
    <row r="571">
      <c r="A571" t="str">
        <f>IF(games!$A571="","",games!$A571)</f>
      </c>
      <c r="B571">
        <f>IF($A571="","",games!$B571)</f>
      </c>
      <c r="C571" t="str">
        <f>IF($A571="","",games!$C571)</f>
      </c>
      <c r="D571">
        <f>IF($A571="","",COUNTIF(connections!$A$2:$A$2500,$A571)+COUNTIF(connections!$B$2:$B$2500,$A571))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IF(OR($A571="",games!$H571=""),"",games!$H571)</f>
      </c>
      <c r="Q571">
        <f>IF(OR($A571="",$P571&lt;&gt;"Yes"),"",$D571+ROW()/1000000)</f>
      </c>
      <c r="T571" t="str">
        <f>IF(connections!$A571="","",IFERROR(INDEX(games!$B$2:$B$1200,MATCH(connections!$A571,games!$A$2:$A$1200,0)),""))</f>
      </c>
      <c r="U571">
        <f>IF(connections!$A571="","",IFERROR(INDEX(games!$B$2:$B$1200,MATCH(connections!$B571,games!$A$2:$A$1200,0)),""))</f>
      </c>
      <c r="V571">
        <f>IF(OR($T571="",$U571=""),"",$U571-$T571)</f>
      </c>
    </row>
    <row r="572">
      <c r="A572" t="str">
        <f>IF(games!$A572="","",games!$A572)</f>
      </c>
      <c r="B572">
        <f>IF($A572="","",games!$B572)</f>
      </c>
      <c r="C572" t="str">
        <f>IF($A572="","",games!$C572)</f>
      </c>
      <c r="D572">
        <f>IF($A572="","",COUNTIF(connections!$A$2:$A$2500,$A572)+COUNTIF(connections!$B$2:$B$2500,$A572))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IF(OR($A572="",games!$H572=""),"",games!$H572)</f>
      </c>
      <c r="Q572">
        <f>IF(OR($A572="",$P572&lt;&gt;"Yes"),"",$D572+ROW()/1000000)</f>
      </c>
      <c r="T572" t="str">
        <f>IF(connections!$A572="","",IFERROR(INDEX(games!$B$2:$B$1200,MATCH(connections!$A572,games!$A$2:$A$1200,0)),""))</f>
      </c>
      <c r="U572">
        <f>IF(connections!$A572="","",IFERROR(INDEX(games!$B$2:$B$1200,MATCH(connections!$B572,games!$A$2:$A$1200,0)),""))</f>
      </c>
      <c r="V572">
        <f>IF(OR($T572="",$U572=""),"",$U572-$T572)</f>
      </c>
    </row>
    <row r="573">
      <c r="A573" t="str">
        <f>IF(games!$A573="","",games!$A573)</f>
      </c>
      <c r="B573">
        <f>IF($A573="","",games!$B573)</f>
      </c>
      <c r="C573" t="str">
        <f>IF($A573="","",games!$C573)</f>
      </c>
      <c r="D573">
        <f>IF($A573="","",COUNTIF(connections!$A$2:$A$2500,$A573)+COUNTIF(connections!$B$2:$B$2500,$A573))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IF(OR($A573="",games!$H573=""),"",games!$H573)</f>
      </c>
      <c r="Q573">
        <f>IF(OR($A573="",$P573&lt;&gt;"Yes"),"",$D573+ROW()/1000000)</f>
      </c>
      <c r="T573" t="str">
        <f>IF(connections!$A573="","",IFERROR(INDEX(games!$B$2:$B$1200,MATCH(connections!$A573,games!$A$2:$A$1200,0)),""))</f>
      </c>
      <c r="U573">
        <f>IF(connections!$A573="","",IFERROR(INDEX(games!$B$2:$B$1200,MATCH(connections!$B573,games!$A$2:$A$1200,0)),""))</f>
      </c>
      <c r="V573">
        <f>IF(OR($T573="",$U573=""),"",$U573-$T573)</f>
      </c>
    </row>
    <row r="574">
      <c r="A574" t="str">
        <f>IF(games!$A574="","",games!$A574)</f>
      </c>
      <c r="B574">
        <f>IF($A574="","",games!$B574)</f>
      </c>
      <c r="C574" t="str">
        <f>IF($A574="","",games!$C574)</f>
      </c>
      <c r="D574">
        <f>IF($A574="","",COUNTIF(connections!$A$2:$A$2500,$A574)+COUNTIF(connections!$B$2:$B$2500,$A574))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IF(OR($A574="",games!$H574=""),"",games!$H574)</f>
      </c>
      <c r="Q574">
        <f>IF(OR($A574="",$P574&lt;&gt;"Yes"),"",$D574+ROW()/1000000)</f>
      </c>
      <c r="T574" t="str">
        <f>IF(connections!$A574="","",IFERROR(INDEX(games!$B$2:$B$1200,MATCH(connections!$A574,games!$A$2:$A$1200,0)),""))</f>
      </c>
      <c r="U574">
        <f>IF(connections!$A574="","",IFERROR(INDEX(games!$B$2:$B$1200,MATCH(connections!$B574,games!$A$2:$A$1200,0)),""))</f>
      </c>
      <c r="V574">
        <f>IF(OR($T574="",$U574=""),"",$U574-$T574)</f>
      </c>
    </row>
    <row r="575">
      <c r="A575" t="str">
        <f>IF(games!$A575="","",games!$A575)</f>
      </c>
      <c r="B575">
        <f>IF($A575="","",games!$B575)</f>
      </c>
      <c r="C575" t="str">
        <f>IF($A575="","",games!$C575)</f>
      </c>
      <c r="D575">
        <f>IF($A575="","",COUNTIF(connections!$A$2:$A$2500,$A575)+COUNTIF(connections!$B$2:$B$2500,$A575))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IF(OR($A575="",games!$H575=""),"",games!$H575)</f>
      </c>
      <c r="Q575">
        <f>IF(OR($A575="",$P575&lt;&gt;"Yes"),"",$D575+ROW()/1000000)</f>
      </c>
      <c r="T575" t="str">
        <f>IF(connections!$A575="","",IFERROR(INDEX(games!$B$2:$B$1200,MATCH(connections!$A575,games!$A$2:$A$1200,0)),""))</f>
      </c>
      <c r="U575">
        <f>IF(connections!$A575="","",IFERROR(INDEX(games!$B$2:$B$1200,MATCH(connections!$B575,games!$A$2:$A$1200,0)),""))</f>
      </c>
      <c r="V575">
        <f>IF(OR($T575="",$U575=""),"",$U575-$T575)</f>
      </c>
    </row>
    <row r="576">
      <c r="A576" t="str">
        <f>IF(games!$A576="","",games!$A576)</f>
      </c>
      <c r="B576">
        <f>IF($A576="","",games!$B576)</f>
      </c>
      <c r="C576" t="str">
        <f>IF($A576="","",games!$C576)</f>
      </c>
      <c r="D576">
        <f>IF($A576="","",COUNTIF(connections!$A$2:$A$2500,$A576)+COUNTIF(connections!$B$2:$B$2500,$A576))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IF(OR($A576="",games!$H576=""),"",games!$H576)</f>
      </c>
      <c r="Q576">
        <f>IF(OR($A576="",$P576&lt;&gt;"Yes"),"",$D576+ROW()/1000000)</f>
      </c>
      <c r="T576" t="str">
        <f>IF(connections!$A576="","",IFERROR(INDEX(games!$B$2:$B$1200,MATCH(connections!$A576,games!$A$2:$A$1200,0)),""))</f>
      </c>
      <c r="U576">
        <f>IF(connections!$A576="","",IFERROR(INDEX(games!$B$2:$B$1200,MATCH(connections!$B576,games!$A$2:$A$1200,0)),""))</f>
      </c>
      <c r="V576">
        <f>IF(OR($T576="",$U576=""),"",$U576-$T576)</f>
      </c>
    </row>
    <row r="577">
      <c r="A577" t="str">
        <f>IF(games!$A577="","",games!$A577)</f>
      </c>
      <c r="B577">
        <f>IF($A577="","",games!$B577)</f>
      </c>
      <c r="C577" t="str">
        <f>IF($A577="","",games!$C577)</f>
      </c>
      <c r="D577">
        <f>IF($A577="","",COUNTIF(connections!$A$2:$A$2500,$A577)+COUNTIF(connections!$B$2:$B$2500,$A577))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IF(OR($A577="",games!$H577=""),"",games!$H577)</f>
      </c>
      <c r="Q577">
        <f>IF(OR($A577="",$P577&lt;&gt;"Yes"),"",$D577+ROW()/1000000)</f>
      </c>
      <c r="T577" t="str">
        <f>IF(connections!$A577="","",IFERROR(INDEX(games!$B$2:$B$1200,MATCH(connections!$A577,games!$A$2:$A$1200,0)),""))</f>
      </c>
      <c r="U577">
        <f>IF(connections!$A577="","",IFERROR(INDEX(games!$B$2:$B$1200,MATCH(connections!$B577,games!$A$2:$A$1200,0)),""))</f>
      </c>
      <c r="V577">
        <f>IF(OR($T577="",$U577=""),"",$U577-$T577)</f>
      </c>
    </row>
    <row r="578">
      <c r="A578" t="str">
        <f>IF(games!$A578="","",games!$A578)</f>
      </c>
      <c r="B578">
        <f>IF($A578="","",games!$B578)</f>
      </c>
      <c r="C578" t="str">
        <f>IF($A578="","",games!$C578)</f>
      </c>
      <c r="D578">
        <f>IF($A578="","",COUNTIF(connections!$A$2:$A$2500,$A578)+COUNTIF(connections!$B$2:$B$2500,$A578))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IF(OR($A578="",games!$H578=""),"",games!$H578)</f>
      </c>
      <c r="Q578">
        <f>IF(OR($A578="",$P578&lt;&gt;"Yes"),"",$D578+ROW()/1000000)</f>
      </c>
      <c r="T578" t="str">
        <f>IF(connections!$A578="","",IFERROR(INDEX(games!$B$2:$B$1200,MATCH(connections!$A578,games!$A$2:$A$1200,0)),""))</f>
      </c>
      <c r="U578">
        <f>IF(connections!$A578="","",IFERROR(INDEX(games!$B$2:$B$1200,MATCH(connections!$B578,games!$A$2:$A$1200,0)),""))</f>
      </c>
      <c r="V578">
        <f>IF(OR($T578="",$U578=""),"",$U578-$T578)</f>
      </c>
    </row>
    <row r="579">
      <c r="A579" t="str">
        <f>IF(games!$A579="","",games!$A579)</f>
      </c>
      <c r="B579">
        <f>IF($A579="","",games!$B579)</f>
      </c>
      <c r="C579" t="str">
        <f>IF($A579="","",games!$C579)</f>
      </c>
      <c r="D579">
        <f>IF($A579="","",COUNTIF(connections!$A$2:$A$2500,$A579)+COUNTIF(connections!$B$2:$B$2500,$A579))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IF(OR($A579="",games!$H579=""),"",games!$H579)</f>
      </c>
      <c r="Q579">
        <f>IF(OR($A579="",$P579&lt;&gt;"Yes"),"",$D579+ROW()/1000000)</f>
      </c>
      <c r="T579" t="str">
        <f>IF(connections!$A579="","",IFERROR(INDEX(games!$B$2:$B$1200,MATCH(connections!$A579,games!$A$2:$A$1200,0)),""))</f>
      </c>
      <c r="U579">
        <f>IF(connections!$A579="","",IFERROR(INDEX(games!$B$2:$B$1200,MATCH(connections!$B579,games!$A$2:$A$1200,0)),""))</f>
      </c>
      <c r="V579">
        <f>IF(OR($T579="",$U579=""),"",$U579-$T579)</f>
      </c>
    </row>
    <row r="580">
      <c r="A580" t="str">
        <f>IF(games!$A580="","",games!$A580)</f>
      </c>
      <c r="B580">
        <f>IF($A580="","",games!$B580)</f>
      </c>
      <c r="C580" t="str">
        <f>IF($A580="","",games!$C580)</f>
      </c>
      <c r="D580">
        <f>IF($A580="","",COUNTIF(connections!$A$2:$A$2500,$A580)+COUNTIF(connections!$B$2:$B$2500,$A580))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IF(OR($A580="",games!$H580=""),"",games!$H580)</f>
      </c>
      <c r="Q580">
        <f>IF(OR($A580="",$P580&lt;&gt;"Yes"),"",$D580+ROW()/1000000)</f>
      </c>
      <c r="T580" t="str">
        <f>IF(connections!$A580="","",IFERROR(INDEX(games!$B$2:$B$1200,MATCH(connections!$A580,games!$A$2:$A$1200,0)),""))</f>
      </c>
      <c r="U580">
        <f>IF(connections!$A580="","",IFERROR(INDEX(games!$B$2:$B$1200,MATCH(connections!$B580,games!$A$2:$A$1200,0)),""))</f>
      </c>
      <c r="V580">
        <f>IF(OR($T580="",$U580=""),"",$U580-$T580)</f>
      </c>
    </row>
    <row r="581">
      <c r="A581" t="str">
        <f>IF(games!$A581="","",games!$A581)</f>
      </c>
      <c r="B581">
        <f>IF($A581="","",games!$B581)</f>
      </c>
      <c r="C581" t="str">
        <f>IF($A581="","",games!$C581)</f>
      </c>
      <c r="D581">
        <f>IF($A581="","",COUNTIF(connections!$A$2:$A$2500,$A581)+COUNTIF(connections!$B$2:$B$2500,$A581))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IF(OR($A581="",games!$H581=""),"",games!$H581)</f>
      </c>
      <c r="Q581">
        <f>IF(OR($A581="",$P581&lt;&gt;"Yes"),"",$D581+ROW()/1000000)</f>
      </c>
      <c r="T581" t="str">
        <f>IF(connections!$A581="","",IFERROR(INDEX(games!$B$2:$B$1200,MATCH(connections!$A581,games!$A$2:$A$1200,0)),""))</f>
      </c>
      <c r="U581">
        <f>IF(connections!$A581="","",IFERROR(INDEX(games!$B$2:$B$1200,MATCH(connections!$B581,games!$A$2:$A$1200,0)),""))</f>
      </c>
      <c r="V581">
        <f>IF(OR($T581="",$U581=""),"",$U581-$T581)</f>
      </c>
    </row>
    <row r="582">
      <c r="A582" t="str">
        <f>IF(games!$A582="","",games!$A582)</f>
      </c>
      <c r="B582">
        <f>IF($A582="","",games!$B582)</f>
      </c>
      <c r="C582" t="str">
        <f>IF($A582="","",games!$C582)</f>
      </c>
      <c r="D582">
        <f>IF($A582="","",COUNTIF(connections!$A$2:$A$2500,$A582)+COUNTIF(connections!$B$2:$B$2500,$A582))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IF(OR($A582="",games!$H582=""),"",games!$H582)</f>
      </c>
      <c r="Q582">
        <f>IF(OR($A582="",$P582&lt;&gt;"Yes"),"",$D582+ROW()/1000000)</f>
      </c>
      <c r="T582" t="str">
        <f>IF(connections!$A582="","",IFERROR(INDEX(games!$B$2:$B$1200,MATCH(connections!$A582,games!$A$2:$A$1200,0)),""))</f>
      </c>
      <c r="U582">
        <f>IF(connections!$A582="","",IFERROR(INDEX(games!$B$2:$B$1200,MATCH(connections!$B582,games!$A$2:$A$1200,0)),""))</f>
      </c>
      <c r="V582">
        <f>IF(OR($T582="",$U582=""),"",$U582-$T582)</f>
      </c>
    </row>
    <row r="583">
      <c r="A583" t="str">
        <f>IF(games!$A583="","",games!$A583)</f>
      </c>
      <c r="B583">
        <f>IF($A583="","",games!$B583)</f>
      </c>
      <c r="C583" t="str">
        <f>IF($A583="","",games!$C583)</f>
      </c>
      <c r="D583">
        <f>IF($A583="","",COUNTIF(connections!$A$2:$A$2500,$A583)+COUNTIF(connections!$B$2:$B$2500,$A583))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IF(OR($A583="",games!$H583=""),"",games!$H583)</f>
      </c>
      <c r="Q583">
        <f>IF(OR($A583="",$P583&lt;&gt;"Yes"),"",$D583+ROW()/1000000)</f>
      </c>
      <c r="T583" t="str">
        <f>IF(connections!$A583="","",IFERROR(INDEX(games!$B$2:$B$1200,MATCH(connections!$A583,games!$A$2:$A$1200,0)),""))</f>
      </c>
      <c r="U583">
        <f>IF(connections!$A583="","",IFERROR(INDEX(games!$B$2:$B$1200,MATCH(connections!$B583,games!$A$2:$A$1200,0)),""))</f>
      </c>
      <c r="V583">
        <f>IF(OR($T583="",$U583=""),"",$U583-$T583)</f>
      </c>
    </row>
    <row r="584">
      <c r="A584" t="str">
        <f>IF(games!$A584="","",games!$A584)</f>
      </c>
      <c r="B584">
        <f>IF($A584="","",games!$B584)</f>
      </c>
      <c r="C584" t="str">
        <f>IF($A584="","",games!$C584)</f>
      </c>
      <c r="D584">
        <f>IF($A584="","",COUNTIF(connections!$A$2:$A$2500,$A584)+COUNTIF(connections!$B$2:$B$2500,$A584))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IF(OR($A584="",games!$H584=""),"",games!$H584)</f>
      </c>
      <c r="Q584">
        <f>IF(OR($A584="",$P584&lt;&gt;"Yes"),"",$D584+ROW()/1000000)</f>
      </c>
      <c r="T584" t="str">
        <f>IF(connections!$A584="","",IFERROR(INDEX(games!$B$2:$B$1200,MATCH(connections!$A584,games!$A$2:$A$1200,0)),""))</f>
      </c>
      <c r="U584">
        <f>IF(connections!$A584="","",IFERROR(INDEX(games!$B$2:$B$1200,MATCH(connections!$B584,games!$A$2:$A$1200,0)),""))</f>
      </c>
      <c r="V584">
        <f>IF(OR($T584="",$U584=""),"",$U584-$T584)</f>
      </c>
    </row>
    <row r="585">
      <c r="A585" t="str">
        <f>IF(games!$A585="","",games!$A585)</f>
      </c>
      <c r="B585">
        <f>IF($A585="","",games!$B585)</f>
      </c>
      <c r="C585" t="str">
        <f>IF($A585="","",games!$C585)</f>
      </c>
      <c r="D585">
        <f>IF($A585="","",COUNTIF(connections!$A$2:$A$2500,$A585)+COUNTIF(connections!$B$2:$B$2500,$A585))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IF(OR($A585="",games!$H585=""),"",games!$H585)</f>
      </c>
      <c r="Q585">
        <f>IF(OR($A585="",$P585&lt;&gt;"Yes"),"",$D585+ROW()/1000000)</f>
      </c>
      <c r="T585" t="str">
        <f>IF(connections!$A585="","",IFERROR(INDEX(games!$B$2:$B$1200,MATCH(connections!$A585,games!$A$2:$A$1200,0)),""))</f>
      </c>
      <c r="U585">
        <f>IF(connections!$A585="","",IFERROR(INDEX(games!$B$2:$B$1200,MATCH(connections!$B585,games!$A$2:$A$1200,0)),""))</f>
      </c>
      <c r="V585">
        <f>IF(OR($T585="",$U585=""),"",$U585-$T585)</f>
      </c>
    </row>
    <row r="586">
      <c r="A586" t="str">
        <f>IF(games!$A586="","",games!$A586)</f>
      </c>
      <c r="B586">
        <f>IF($A586="","",games!$B586)</f>
      </c>
      <c r="C586" t="str">
        <f>IF($A586="","",games!$C586)</f>
      </c>
      <c r="D586">
        <f>IF($A586="","",COUNTIF(connections!$A$2:$A$2500,$A586)+COUNTIF(connections!$B$2:$B$2500,$A586))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IF(OR($A586="",games!$H586=""),"",games!$H586)</f>
      </c>
      <c r="Q586">
        <f>IF(OR($A586="",$P586&lt;&gt;"Yes"),"",$D586+ROW()/1000000)</f>
      </c>
      <c r="T586" t="str">
        <f>IF(connections!$A586="","",IFERROR(INDEX(games!$B$2:$B$1200,MATCH(connections!$A586,games!$A$2:$A$1200,0)),""))</f>
      </c>
      <c r="U586">
        <f>IF(connections!$A586="","",IFERROR(INDEX(games!$B$2:$B$1200,MATCH(connections!$B586,games!$A$2:$A$1200,0)),""))</f>
      </c>
      <c r="V586">
        <f>IF(OR($T586="",$U586=""),"",$U586-$T586)</f>
      </c>
    </row>
    <row r="587">
      <c r="A587" t="str">
        <f>IF(games!$A587="","",games!$A587)</f>
      </c>
      <c r="B587">
        <f>IF($A587="","",games!$B587)</f>
      </c>
      <c r="C587" t="str">
        <f>IF($A587="","",games!$C587)</f>
      </c>
      <c r="D587">
        <f>IF($A587="","",COUNTIF(connections!$A$2:$A$2500,$A587)+COUNTIF(connections!$B$2:$B$2500,$A587))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IF(OR($A587="",games!$H587=""),"",games!$H587)</f>
      </c>
      <c r="Q587">
        <f>IF(OR($A587="",$P587&lt;&gt;"Yes"),"",$D587+ROW()/1000000)</f>
      </c>
      <c r="T587" t="str">
        <f>IF(connections!$A587="","",IFERROR(INDEX(games!$B$2:$B$1200,MATCH(connections!$A587,games!$A$2:$A$1200,0)),""))</f>
      </c>
      <c r="U587">
        <f>IF(connections!$A587="","",IFERROR(INDEX(games!$B$2:$B$1200,MATCH(connections!$B587,games!$A$2:$A$1200,0)),""))</f>
      </c>
      <c r="V587">
        <f>IF(OR($T587="",$U587=""),"",$U587-$T587)</f>
      </c>
    </row>
    <row r="588">
      <c r="A588" t="str">
        <f>IF(games!$A588="","",games!$A588)</f>
      </c>
      <c r="B588">
        <f>IF($A588="","",games!$B588)</f>
      </c>
      <c r="C588" t="str">
        <f>IF($A588="","",games!$C588)</f>
      </c>
      <c r="D588">
        <f>IF($A588="","",COUNTIF(connections!$A$2:$A$2500,$A588)+COUNTIF(connections!$B$2:$B$2500,$A588))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IF(OR($A588="",games!$H588=""),"",games!$H588)</f>
      </c>
      <c r="Q588">
        <f>IF(OR($A588="",$P588&lt;&gt;"Yes"),"",$D588+ROW()/1000000)</f>
      </c>
      <c r="T588" t="str">
        <f>IF(connections!$A588="","",IFERROR(INDEX(games!$B$2:$B$1200,MATCH(connections!$A588,games!$A$2:$A$1200,0)),""))</f>
      </c>
      <c r="U588">
        <f>IF(connections!$A588="","",IFERROR(INDEX(games!$B$2:$B$1200,MATCH(connections!$B588,games!$A$2:$A$1200,0)),""))</f>
      </c>
      <c r="V588">
        <f>IF(OR($T588="",$U588=""),"",$U588-$T588)</f>
      </c>
    </row>
    <row r="589">
      <c r="A589" t="str">
        <f>IF(games!$A589="","",games!$A589)</f>
      </c>
      <c r="B589">
        <f>IF($A589="","",games!$B589)</f>
      </c>
      <c r="C589" t="str">
        <f>IF($A589="","",games!$C589)</f>
      </c>
      <c r="D589">
        <f>IF($A589="","",COUNTIF(connections!$A$2:$A$2500,$A589)+COUNTIF(connections!$B$2:$B$2500,$A589))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IF(OR($A589="",games!$H589=""),"",games!$H589)</f>
      </c>
      <c r="Q589">
        <f>IF(OR($A589="",$P589&lt;&gt;"Yes"),"",$D589+ROW()/1000000)</f>
      </c>
      <c r="T589" t="str">
        <f>IF(connections!$A589="","",IFERROR(INDEX(games!$B$2:$B$1200,MATCH(connections!$A589,games!$A$2:$A$1200,0)),""))</f>
      </c>
      <c r="U589">
        <f>IF(connections!$A589="","",IFERROR(INDEX(games!$B$2:$B$1200,MATCH(connections!$B589,games!$A$2:$A$1200,0)),""))</f>
      </c>
      <c r="V589">
        <f>IF(OR($T589="",$U589=""),"",$U589-$T589)</f>
      </c>
    </row>
    <row r="590">
      <c r="A590" t="str">
        <f>IF(games!$A590="","",games!$A590)</f>
      </c>
      <c r="B590">
        <f>IF($A590="","",games!$B590)</f>
      </c>
      <c r="C590" t="str">
        <f>IF($A590="","",games!$C590)</f>
      </c>
      <c r="D590">
        <f>IF($A590="","",COUNTIF(connections!$A$2:$A$2500,$A590)+COUNTIF(connections!$B$2:$B$2500,$A590))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IF(OR($A590="",games!$H590=""),"",games!$H590)</f>
      </c>
      <c r="Q590">
        <f>IF(OR($A590="",$P590&lt;&gt;"Yes"),"",$D590+ROW()/1000000)</f>
      </c>
      <c r="T590" t="str">
        <f>IF(connections!$A590="","",IFERROR(INDEX(games!$B$2:$B$1200,MATCH(connections!$A590,games!$A$2:$A$1200,0)),""))</f>
      </c>
      <c r="U590">
        <f>IF(connections!$A590="","",IFERROR(INDEX(games!$B$2:$B$1200,MATCH(connections!$B590,games!$A$2:$A$1200,0)),""))</f>
      </c>
      <c r="V590">
        <f>IF(OR($T590="",$U590=""),"",$U590-$T590)</f>
      </c>
    </row>
    <row r="591">
      <c r="A591" t="str">
        <f>IF(games!$A591="","",games!$A591)</f>
      </c>
      <c r="B591">
        <f>IF($A591="","",games!$B591)</f>
      </c>
      <c r="C591" t="str">
        <f>IF($A591="","",games!$C591)</f>
      </c>
      <c r="D591">
        <f>IF($A591="","",COUNTIF(connections!$A$2:$A$2500,$A591)+COUNTIF(connections!$B$2:$B$2500,$A591))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IF(OR($A591="",games!$H591=""),"",games!$H591)</f>
      </c>
      <c r="Q591">
        <f>IF(OR($A591="",$P591&lt;&gt;"Yes"),"",$D591+ROW()/1000000)</f>
      </c>
      <c r="T591" t="str">
        <f>IF(connections!$A591="","",IFERROR(INDEX(games!$B$2:$B$1200,MATCH(connections!$A591,games!$A$2:$A$1200,0)),""))</f>
      </c>
      <c r="U591">
        <f>IF(connections!$A591="","",IFERROR(INDEX(games!$B$2:$B$1200,MATCH(connections!$B591,games!$A$2:$A$1200,0)),""))</f>
      </c>
      <c r="V591">
        <f>IF(OR($T591="",$U591=""),"",$U591-$T591)</f>
      </c>
    </row>
    <row r="592">
      <c r="A592" t="str">
        <f>IF(games!$A592="","",games!$A592)</f>
      </c>
      <c r="B592">
        <f>IF($A592="","",games!$B592)</f>
      </c>
      <c r="C592" t="str">
        <f>IF($A592="","",games!$C592)</f>
      </c>
      <c r="D592">
        <f>IF($A592="","",COUNTIF(connections!$A$2:$A$2500,$A592)+COUNTIF(connections!$B$2:$B$2500,$A592))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IF(OR($A592="",games!$H592=""),"",games!$H592)</f>
      </c>
      <c r="Q592">
        <f>IF(OR($A592="",$P592&lt;&gt;"Yes"),"",$D592+ROW()/1000000)</f>
      </c>
      <c r="T592" t="str">
        <f>IF(connections!$A592="","",IFERROR(INDEX(games!$B$2:$B$1200,MATCH(connections!$A592,games!$A$2:$A$1200,0)),""))</f>
      </c>
      <c r="U592">
        <f>IF(connections!$A592="","",IFERROR(INDEX(games!$B$2:$B$1200,MATCH(connections!$B592,games!$A$2:$A$1200,0)),""))</f>
      </c>
      <c r="V592">
        <f>IF(OR($T592="",$U592=""),"",$U592-$T592)</f>
      </c>
    </row>
    <row r="593">
      <c r="A593" t="str">
        <f>IF(games!$A593="","",games!$A593)</f>
      </c>
      <c r="B593">
        <f>IF($A593="","",games!$B593)</f>
      </c>
      <c r="C593" t="str">
        <f>IF($A593="","",games!$C593)</f>
      </c>
      <c r="D593">
        <f>IF($A593="","",COUNTIF(connections!$A$2:$A$2500,$A593)+COUNTIF(connections!$B$2:$B$2500,$A593))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IF(OR($A593="",games!$H593=""),"",games!$H593)</f>
      </c>
      <c r="Q593">
        <f>IF(OR($A593="",$P593&lt;&gt;"Yes"),"",$D593+ROW()/1000000)</f>
      </c>
      <c r="T593" t="str">
        <f>IF(connections!$A593="","",IFERROR(INDEX(games!$B$2:$B$1200,MATCH(connections!$A593,games!$A$2:$A$1200,0)),""))</f>
      </c>
      <c r="U593">
        <f>IF(connections!$A593="","",IFERROR(INDEX(games!$B$2:$B$1200,MATCH(connections!$B593,games!$A$2:$A$1200,0)),""))</f>
      </c>
      <c r="V593">
        <f>IF(OR($T593="",$U593=""),"",$U593-$T593)</f>
      </c>
    </row>
    <row r="594">
      <c r="A594" t="str">
        <f>IF(games!$A594="","",games!$A594)</f>
      </c>
      <c r="B594">
        <f>IF($A594="","",games!$B594)</f>
      </c>
      <c r="C594" t="str">
        <f>IF($A594="","",games!$C594)</f>
      </c>
      <c r="D594">
        <f>IF($A594="","",COUNTIF(connections!$A$2:$A$2500,$A594)+COUNTIF(connections!$B$2:$B$2500,$A594))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IF(OR($A594="",games!$H594=""),"",games!$H594)</f>
      </c>
      <c r="Q594">
        <f>IF(OR($A594="",$P594&lt;&gt;"Yes"),"",$D594+ROW()/1000000)</f>
      </c>
      <c r="T594" t="str">
        <f>IF(connections!$A594="","",IFERROR(INDEX(games!$B$2:$B$1200,MATCH(connections!$A594,games!$A$2:$A$1200,0)),""))</f>
      </c>
      <c r="U594">
        <f>IF(connections!$A594="","",IFERROR(INDEX(games!$B$2:$B$1200,MATCH(connections!$B594,games!$A$2:$A$1200,0)),""))</f>
      </c>
      <c r="V594">
        <f>IF(OR($T594="",$U594=""),"",$U594-$T594)</f>
      </c>
    </row>
    <row r="595">
      <c r="A595" t="str">
        <f>IF(games!$A595="","",games!$A595)</f>
      </c>
      <c r="B595">
        <f>IF($A595="","",games!$B595)</f>
      </c>
      <c r="C595" t="str">
        <f>IF($A595="","",games!$C595)</f>
      </c>
      <c r="D595">
        <f>IF($A595="","",COUNTIF(connections!$A$2:$A$2500,$A595)+COUNTIF(connections!$B$2:$B$2500,$A595))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IF(OR($A595="",games!$H595=""),"",games!$H595)</f>
      </c>
      <c r="Q595">
        <f>IF(OR($A595="",$P595&lt;&gt;"Yes"),"",$D595+ROW()/1000000)</f>
      </c>
      <c r="T595" t="str">
        <f>IF(connections!$A595="","",IFERROR(INDEX(games!$B$2:$B$1200,MATCH(connections!$A595,games!$A$2:$A$1200,0)),""))</f>
      </c>
      <c r="U595">
        <f>IF(connections!$A595="","",IFERROR(INDEX(games!$B$2:$B$1200,MATCH(connections!$B595,games!$A$2:$A$1200,0)),""))</f>
      </c>
      <c r="V595">
        <f>IF(OR($T595="",$U595=""),"",$U595-$T595)</f>
      </c>
    </row>
    <row r="596">
      <c r="A596" t="str">
        <f>IF(games!$A596="","",games!$A596)</f>
      </c>
      <c r="B596">
        <f>IF($A596="","",games!$B596)</f>
      </c>
      <c r="C596" t="str">
        <f>IF($A596="","",games!$C596)</f>
      </c>
      <c r="D596">
        <f>IF($A596="","",COUNTIF(connections!$A$2:$A$2500,$A596)+COUNTIF(connections!$B$2:$B$2500,$A596))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IF(OR($A596="",games!$H596=""),"",games!$H596)</f>
      </c>
      <c r="Q596">
        <f>IF(OR($A596="",$P596&lt;&gt;"Yes"),"",$D596+ROW()/1000000)</f>
      </c>
      <c r="T596" t="str">
        <f>IF(connections!$A596="","",IFERROR(INDEX(games!$B$2:$B$1200,MATCH(connections!$A596,games!$A$2:$A$1200,0)),""))</f>
      </c>
      <c r="U596">
        <f>IF(connections!$A596="","",IFERROR(INDEX(games!$B$2:$B$1200,MATCH(connections!$B596,games!$A$2:$A$1200,0)),""))</f>
      </c>
      <c r="V596">
        <f>IF(OR($T596="",$U596=""),"",$U596-$T596)</f>
      </c>
    </row>
    <row r="597">
      <c r="A597" t="str">
        <f>IF(games!$A597="","",games!$A597)</f>
      </c>
      <c r="B597">
        <f>IF($A597="","",games!$B597)</f>
      </c>
      <c r="C597" t="str">
        <f>IF($A597="","",games!$C597)</f>
      </c>
      <c r="D597">
        <f>IF($A597="","",COUNTIF(connections!$A$2:$A$2500,$A597)+COUNTIF(connections!$B$2:$B$2500,$A597))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IF(OR($A597="",games!$H597=""),"",games!$H597)</f>
      </c>
      <c r="Q597">
        <f>IF(OR($A597="",$P597&lt;&gt;"Yes"),"",$D597+ROW()/1000000)</f>
      </c>
      <c r="T597" t="str">
        <f>IF(connections!$A597="","",IFERROR(INDEX(games!$B$2:$B$1200,MATCH(connections!$A597,games!$A$2:$A$1200,0)),""))</f>
      </c>
      <c r="U597">
        <f>IF(connections!$A597="","",IFERROR(INDEX(games!$B$2:$B$1200,MATCH(connections!$B597,games!$A$2:$A$1200,0)),""))</f>
      </c>
      <c r="V597">
        <f>IF(OR($T597="",$U597=""),"",$U597-$T597)</f>
      </c>
    </row>
    <row r="598">
      <c r="A598" t="str">
        <f>IF(games!$A598="","",games!$A598)</f>
      </c>
      <c r="B598">
        <f>IF($A598="","",games!$B598)</f>
      </c>
      <c r="C598" t="str">
        <f>IF($A598="","",games!$C598)</f>
      </c>
      <c r="D598">
        <f>IF($A598="","",COUNTIF(connections!$A$2:$A$2500,$A598)+COUNTIF(connections!$B$2:$B$2500,$A598))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IF(OR($A598="",games!$H598=""),"",games!$H598)</f>
      </c>
      <c r="Q598">
        <f>IF(OR($A598="",$P598&lt;&gt;"Yes"),"",$D598+ROW()/1000000)</f>
      </c>
      <c r="T598" t="str">
        <f>IF(connections!$A598="","",IFERROR(INDEX(games!$B$2:$B$1200,MATCH(connections!$A598,games!$A$2:$A$1200,0)),""))</f>
      </c>
      <c r="U598">
        <f>IF(connections!$A598="","",IFERROR(INDEX(games!$B$2:$B$1200,MATCH(connections!$B598,games!$A$2:$A$1200,0)),""))</f>
      </c>
      <c r="V598">
        <f>IF(OR($T598="",$U598=""),"",$U598-$T598)</f>
      </c>
    </row>
    <row r="599">
      <c r="A599" t="str">
        <f>IF(games!$A599="","",games!$A599)</f>
      </c>
      <c r="B599">
        <f>IF($A599="","",games!$B599)</f>
      </c>
      <c r="C599" t="str">
        <f>IF($A599="","",games!$C599)</f>
      </c>
      <c r="D599">
        <f>IF($A599="","",COUNTIF(connections!$A$2:$A$2500,$A599)+COUNTIF(connections!$B$2:$B$2500,$A599))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IF(OR($A599="",games!$H599=""),"",games!$H599)</f>
      </c>
      <c r="Q599">
        <f>IF(OR($A599="",$P599&lt;&gt;"Yes"),"",$D599+ROW()/1000000)</f>
      </c>
      <c r="T599" t="str">
        <f>IF(connections!$A599="","",IFERROR(INDEX(games!$B$2:$B$1200,MATCH(connections!$A599,games!$A$2:$A$1200,0)),""))</f>
      </c>
      <c r="U599">
        <f>IF(connections!$A599="","",IFERROR(INDEX(games!$B$2:$B$1200,MATCH(connections!$B599,games!$A$2:$A$1200,0)),""))</f>
      </c>
      <c r="V599">
        <f>IF(OR($T599="",$U599=""),"",$U599-$T599)</f>
      </c>
    </row>
    <row r="600">
      <c r="A600" t="str">
        <f>IF(games!$A600="","",games!$A600)</f>
      </c>
      <c r="B600">
        <f>IF($A600="","",games!$B600)</f>
      </c>
      <c r="C600" t="str">
        <f>IF($A600="","",games!$C600)</f>
      </c>
      <c r="D600">
        <f>IF($A600="","",COUNTIF(connections!$A$2:$A$2500,$A600)+COUNTIF(connections!$B$2:$B$2500,$A600))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IF(OR($A600="",games!$H600=""),"",games!$H600)</f>
      </c>
      <c r="Q600">
        <f>IF(OR($A600="",$P600&lt;&gt;"Yes"),"",$D600+ROW()/1000000)</f>
      </c>
      <c r="T600" t="str">
        <f>IF(connections!$A600="","",IFERROR(INDEX(games!$B$2:$B$1200,MATCH(connections!$A600,games!$A$2:$A$1200,0)),""))</f>
      </c>
      <c r="U600">
        <f>IF(connections!$A600="","",IFERROR(INDEX(games!$B$2:$B$1200,MATCH(connections!$B600,games!$A$2:$A$1200,0)),""))</f>
      </c>
      <c r="V600">
        <f>IF(OR($T600="",$U600=""),"",$U600-$T600)</f>
      </c>
    </row>
    <row r="601">
      <c r="A601" t="str">
        <f>IF(games!$A601="","",games!$A601)</f>
      </c>
      <c r="B601">
        <f>IF($A601="","",games!$B601)</f>
      </c>
      <c r="C601" t="str">
        <f>IF($A601="","",games!$C601)</f>
      </c>
      <c r="D601">
        <f>IF($A601="","",COUNTIF(connections!$A$2:$A$2500,$A601)+COUNTIF(connections!$B$2:$B$2500,$A601))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IF(OR($A601="",games!$H601=""),"",games!$H601)</f>
      </c>
      <c r="Q601">
        <f>IF(OR($A601="",$P601&lt;&gt;"Yes"),"",$D601+ROW()/1000000)</f>
      </c>
      <c r="T601" t="str">
        <f>IF(connections!$A601="","",IFERROR(INDEX(games!$B$2:$B$1200,MATCH(connections!$A601,games!$A$2:$A$1200,0)),""))</f>
      </c>
      <c r="U601">
        <f>IF(connections!$A601="","",IFERROR(INDEX(games!$B$2:$B$1200,MATCH(connections!$B601,games!$A$2:$A$1200,0)),""))</f>
      </c>
      <c r="V601">
        <f>IF(OR($T601="",$U601=""),"",$U601-$T601)</f>
      </c>
    </row>
    <row r="602">
      <c r="A602" t="str">
        <f>IF(games!$A602="","",games!$A602)</f>
      </c>
      <c r="B602">
        <f>IF($A602="","",games!$B602)</f>
      </c>
      <c r="C602" t="str">
        <f>IF($A602="","",games!$C602)</f>
      </c>
      <c r="D602">
        <f>IF($A602="","",COUNTIF(connections!$A$2:$A$2500,$A602)+COUNTIF(connections!$B$2:$B$2500,$A602))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IF(OR($A602="",games!$H602=""),"",games!$H602)</f>
      </c>
      <c r="Q602">
        <f>IF(OR($A602="",$P602&lt;&gt;"Yes"),"",$D602+ROW()/1000000)</f>
      </c>
      <c r="T602" t="str">
        <f>IF(connections!$A602="","",IFERROR(INDEX(games!$B$2:$B$1200,MATCH(connections!$A602,games!$A$2:$A$1200,0)),""))</f>
      </c>
      <c r="U602">
        <f>IF(connections!$A602="","",IFERROR(INDEX(games!$B$2:$B$1200,MATCH(connections!$B602,games!$A$2:$A$1200,0)),""))</f>
      </c>
      <c r="V602">
        <f>IF(OR($T602="",$U602=""),"",$U602-$T602)</f>
      </c>
    </row>
    <row r="603">
      <c r="A603" t="str">
        <f>IF(games!$A603="","",games!$A603)</f>
      </c>
      <c r="B603">
        <f>IF($A603="","",games!$B603)</f>
      </c>
      <c r="C603" t="str">
        <f>IF($A603="","",games!$C603)</f>
      </c>
      <c r="D603">
        <f>IF($A603="","",COUNTIF(connections!$A$2:$A$2500,$A603)+COUNTIF(connections!$B$2:$B$2500,$A603))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IF(OR($A603="",games!$H603=""),"",games!$H603)</f>
      </c>
      <c r="Q603">
        <f>IF(OR($A603="",$P603&lt;&gt;"Yes"),"",$D603+ROW()/1000000)</f>
      </c>
      <c r="T603" t="str">
        <f>IF(connections!$A603="","",IFERROR(INDEX(games!$B$2:$B$1200,MATCH(connections!$A603,games!$A$2:$A$1200,0)),""))</f>
      </c>
      <c r="U603">
        <f>IF(connections!$A603="","",IFERROR(INDEX(games!$B$2:$B$1200,MATCH(connections!$B603,games!$A$2:$A$1200,0)),""))</f>
      </c>
      <c r="V603">
        <f>IF(OR($T603="",$U603=""),"",$U603-$T603)</f>
      </c>
    </row>
    <row r="604">
      <c r="A604" t="str">
        <f>IF(games!$A604="","",games!$A604)</f>
      </c>
      <c r="B604">
        <f>IF($A604="","",games!$B604)</f>
      </c>
      <c r="C604" t="str">
        <f>IF($A604="","",games!$C604)</f>
      </c>
      <c r="D604">
        <f>IF($A604="","",COUNTIF(connections!$A$2:$A$2500,$A604)+COUNTIF(connections!$B$2:$B$2500,$A604))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IF(OR($A604="",games!$H604=""),"",games!$H604)</f>
      </c>
      <c r="Q604">
        <f>IF(OR($A604="",$P604&lt;&gt;"Yes"),"",$D604+ROW()/1000000)</f>
      </c>
      <c r="T604" t="str">
        <f>IF(connections!$A604="","",IFERROR(INDEX(games!$B$2:$B$1200,MATCH(connections!$A604,games!$A$2:$A$1200,0)),""))</f>
      </c>
      <c r="U604">
        <f>IF(connections!$A604="","",IFERROR(INDEX(games!$B$2:$B$1200,MATCH(connections!$B604,games!$A$2:$A$1200,0)),""))</f>
      </c>
      <c r="V604">
        <f>IF(OR($T604="",$U604=""),"",$U604-$T604)</f>
      </c>
    </row>
    <row r="605">
      <c r="A605" t="str">
        <f>IF(games!$A605="","",games!$A605)</f>
      </c>
      <c r="B605">
        <f>IF($A605="","",games!$B605)</f>
      </c>
      <c r="C605" t="str">
        <f>IF($A605="","",games!$C605)</f>
      </c>
      <c r="D605">
        <f>IF($A605="","",COUNTIF(connections!$A$2:$A$2500,$A605)+COUNTIF(connections!$B$2:$B$2500,$A605))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IF(OR($A605="",games!$H605=""),"",games!$H605)</f>
      </c>
      <c r="Q605">
        <f>IF(OR($A605="",$P605&lt;&gt;"Yes"),"",$D605+ROW()/1000000)</f>
      </c>
      <c r="T605" t="str">
        <f>IF(connections!$A605="","",IFERROR(INDEX(games!$B$2:$B$1200,MATCH(connections!$A605,games!$A$2:$A$1200,0)),""))</f>
      </c>
      <c r="U605">
        <f>IF(connections!$A605="","",IFERROR(INDEX(games!$B$2:$B$1200,MATCH(connections!$B605,games!$A$2:$A$1200,0)),""))</f>
      </c>
      <c r="V605">
        <f>IF(OR($T605="",$U605=""),"",$U605-$T605)</f>
      </c>
    </row>
    <row r="606">
      <c r="A606" t="str">
        <f>IF(games!$A606="","",games!$A606)</f>
      </c>
      <c r="B606">
        <f>IF($A606="","",games!$B606)</f>
      </c>
      <c r="C606" t="str">
        <f>IF($A606="","",games!$C606)</f>
      </c>
      <c r="D606">
        <f>IF($A606="","",COUNTIF(connections!$A$2:$A$2500,$A606)+COUNTIF(connections!$B$2:$B$2500,$A606))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IF(OR($A606="",games!$H606=""),"",games!$H606)</f>
      </c>
      <c r="Q606">
        <f>IF(OR($A606="",$P606&lt;&gt;"Yes"),"",$D606+ROW()/1000000)</f>
      </c>
      <c r="T606" t="str">
        <f>IF(connections!$A606="","",IFERROR(INDEX(games!$B$2:$B$1200,MATCH(connections!$A606,games!$A$2:$A$1200,0)),""))</f>
      </c>
      <c r="U606">
        <f>IF(connections!$A606="","",IFERROR(INDEX(games!$B$2:$B$1200,MATCH(connections!$B606,games!$A$2:$A$1200,0)),""))</f>
      </c>
      <c r="V606">
        <f>IF(OR($T606="",$U606=""),"",$U606-$T606)</f>
      </c>
    </row>
    <row r="607">
      <c r="A607" t="str">
        <f>IF(games!$A607="","",games!$A607)</f>
      </c>
      <c r="B607">
        <f>IF($A607="","",games!$B607)</f>
      </c>
      <c r="C607" t="str">
        <f>IF($A607="","",games!$C607)</f>
      </c>
      <c r="D607">
        <f>IF($A607="","",COUNTIF(connections!$A$2:$A$2500,$A607)+COUNTIF(connections!$B$2:$B$2500,$A607))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IF(OR($A607="",games!$H607=""),"",games!$H607)</f>
      </c>
      <c r="Q607">
        <f>IF(OR($A607="",$P607&lt;&gt;"Yes"),"",$D607+ROW()/1000000)</f>
      </c>
      <c r="T607" t="str">
        <f>IF(connections!$A607="","",IFERROR(INDEX(games!$B$2:$B$1200,MATCH(connections!$A607,games!$A$2:$A$1200,0)),""))</f>
      </c>
      <c r="U607">
        <f>IF(connections!$A607="","",IFERROR(INDEX(games!$B$2:$B$1200,MATCH(connections!$B607,games!$A$2:$A$1200,0)),""))</f>
      </c>
      <c r="V607">
        <f>IF(OR($T607="",$U607=""),"",$U607-$T607)</f>
      </c>
    </row>
    <row r="608">
      <c r="A608" t="str">
        <f>IF(games!$A608="","",games!$A608)</f>
      </c>
      <c r="B608">
        <f>IF($A608="","",games!$B608)</f>
      </c>
      <c r="C608" t="str">
        <f>IF($A608="","",games!$C608)</f>
      </c>
      <c r="D608">
        <f>IF($A608="","",COUNTIF(connections!$A$2:$A$2500,$A608)+COUNTIF(connections!$B$2:$B$2500,$A608))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IF(OR($A608="",games!$H608=""),"",games!$H608)</f>
      </c>
      <c r="Q608">
        <f>IF(OR($A608="",$P608&lt;&gt;"Yes"),"",$D608+ROW()/1000000)</f>
      </c>
      <c r="T608" t="str">
        <f>IF(connections!$A608="","",IFERROR(INDEX(games!$B$2:$B$1200,MATCH(connections!$A608,games!$A$2:$A$1200,0)),""))</f>
      </c>
      <c r="U608">
        <f>IF(connections!$A608="","",IFERROR(INDEX(games!$B$2:$B$1200,MATCH(connections!$B608,games!$A$2:$A$1200,0)),""))</f>
      </c>
      <c r="V608">
        <f>IF(OR($T608="",$U608=""),"",$U608-$T608)</f>
      </c>
    </row>
    <row r="609">
      <c r="A609" t="str">
        <f>IF(games!$A609="","",games!$A609)</f>
      </c>
      <c r="B609">
        <f>IF($A609="","",games!$B609)</f>
      </c>
      <c r="C609" t="str">
        <f>IF($A609="","",games!$C609)</f>
      </c>
      <c r="D609">
        <f>IF($A609="","",COUNTIF(connections!$A$2:$A$2500,$A609)+COUNTIF(connections!$B$2:$B$2500,$A609))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IF(OR($A609="",games!$H609=""),"",games!$H609)</f>
      </c>
      <c r="Q609">
        <f>IF(OR($A609="",$P609&lt;&gt;"Yes"),"",$D609+ROW()/1000000)</f>
      </c>
      <c r="T609" t="str">
        <f>IF(connections!$A609="","",IFERROR(INDEX(games!$B$2:$B$1200,MATCH(connections!$A609,games!$A$2:$A$1200,0)),""))</f>
      </c>
      <c r="U609">
        <f>IF(connections!$A609="","",IFERROR(INDEX(games!$B$2:$B$1200,MATCH(connections!$B609,games!$A$2:$A$1200,0)),""))</f>
      </c>
      <c r="V609">
        <f>IF(OR($T609="",$U609=""),"",$U609-$T609)</f>
      </c>
    </row>
    <row r="610">
      <c r="A610" t="str">
        <f>IF(games!$A610="","",games!$A610)</f>
      </c>
      <c r="B610">
        <f>IF($A610="","",games!$B610)</f>
      </c>
      <c r="C610" t="str">
        <f>IF($A610="","",games!$C610)</f>
      </c>
      <c r="D610">
        <f>IF($A610="","",COUNTIF(connections!$A$2:$A$2500,$A610)+COUNTIF(connections!$B$2:$B$2500,$A610))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IF(OR($A610="",games!$H610=""),"",games!$H610)</f>
      </c>
      <c r="Q610">
        <f>IF(OR($A610="",$P610&lt;&gt;"Yes"),"",$D610+ROW()/1000000)</f>
      </c>
      <c r="T610" t="str">
        <f>IF(connections!$A610="","",IFERROR(INDEX(games!$B$2:$B$1200,MATCH(connections!$A610,games!$A$2:$A$1200,0)),""))</f>
      </c>
      <c r="U610">
        <f>IF(connections!$A610="","",IFERROR(INDEX(games!$B$2:$B$1200,MATCH(connections!$B610,games!$A$2:$A$1200,0)),""))</f>
      </c>
      <c r="V610">
        <f>IF(OR($T610="",$U610=""),"",$U610-$T610)</f>
      </c>
    </row>
    <row r="611">
      <c r="A611" t="str">
        <f>IF(games!$A611="","",games!$A611)</f>
      </c>
      <c r="B611">
        <f>IF($A611="","",games!$B611)</f>
      </c>
      <c r="C611" t="str">
        <f>IF($A611="","",games!$C611)</f>
      </c>
      <c r="D611">
        <f>IF($A611="","",COUNTIF(connections!$A$2:$A$2500,$A611)+COUNTIF(connections!$B$2:$B$2500,$A611))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IF(OR($A611="",games!$H611=""),"",games!$H611)</f>
      </c>
      <c r="Q611">
        <f>IF(OR($A611="",$P611&lt;&gt;"Yes"),"",$D611+ROW()/1000000)</f>
      </c>
      <c r="T611" t="str">
        <f>IF(connections!$A611="","",IFERROR(INDEX(games!$B$2:$B$1200,MATCH(connections!$A611,games!$A$2:$A$1200,0)),""))</f>
      </c>
      <c r="U611">
        <f>IF(connections!$A611="","",IFERROR(INDEX(games!$B$2:$B$1200,MATCH(connections!$B611,games!$A$2:$A$1200,0)),""))</f>
      </c>
      <c r="V611">
        <f>IF(OR($T611="",$U611=""),"",$U611-$T611)</f>
      </c>
    </row>
    <row r="612">
      <c r="A612" t="str">
        <f>IF(games!$A612="","",games!$A612)</f>
      </c>
      <c r="B612">
        <f>IF($A612="","",games!$B612)</f>
      </c>
      <c r="C612" t="str">
        <f>IF($A612="","",games!$C612)</f>
      </c>
      <c r="D612">
        <f>IF($A612="","",COUNTIF(connections!$A$2:$A$2500,$A612)+COUNTIF(connections!$B$2:$B$2500,$A612))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IF(OR($A612="",games!$H612=""),"",games!$H612)</f>
      </c>
      <c r="Q612">
        <f>IF(OR($A612="",$P612&lt;&gt;"Yes"),"",$D612+ROW()/1000000)</f>
      </c>
      <c r="T612" t="str">
        <f>IF(connections!$A612="","",IFERROR(INDEX(games!$B$2:$B$1200,MATCH(connections!$A612,games!$A$2:$A$1200,0)),""))</f>
      </c>
      <c r="U612">
        <f>IF(connections!$A612="","",IFERROR(INDEX(games!$B$2:$B$1200,MATCH(connections!$B612,games!$A$2:$A$1200,0)),""))</f>
      </c>
      <c r="V612">
        <f>IF(OR($T612="",$U612=""),"",$U612-$T612)</f>
      </c>
    </row>
    <row r="613">
      <c r="A613" t="str">
        <f>IF(games!$A613="","",games!$A613)</f>
      </c>
      <c r="B613">
        <f>IF($A613="","",games!$B613)</f>
      </c>
      <c r="C613" t="str">
        <f>IF($A613="","",games!$C613)</f>
      </c>
      <c r="D613">
        <f>IF($A613="","",COUNTIF(connections!$A$2:$A$2500,$A613)+COUNTIF(connections!$B$2:$B$2500,$A613))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IF(OR($A613="",games!$H613=""),"",games!$H613)</f>
      </c>
      <c r="Q613">
        <f>IF(OR($A613="",$P613&lt;&gt;"Yes"),"",$D613+ROW()/1000000)</f>
      </c>
      <c r="T613" t="str">
        <f>IF(connections!$A613="","",IFERROR(INDEX(games!$B$2:$B$1200,MATCH(connections!$A613,games!$A$2:$A$1200,0)),""))</f>
      </c>
      <c r="U613">
        <f>IF(connections!$A613="","",IFERROR(INDEX(games!$B$2:$B$1200,MATCH(connections!$B613,games!$A$2:$A$1200,0)),""))</f>
      </c>
      <c r="V613">
        <f>IF(OR($T613="",$U613=""),"",$U613-$T613)</f>
      </c>
    </row>
    <row r="614">
      <c r="A614" t="str">
        <f>IF(games!$A614="","",games!$A614)</f>
      </c>
      <c r="B614">
        <f>IF($A614="","",games!$B614)</f>
      </c>
      <c r="C614" t="str">
        <f>IF($A614="","",games!$C614)</f>
      </c>
      <c r="D614">
        <f>IF($A614="","",COUNTIF(connections!$A$2:$A$2500,$A614)+COUNTIF(connections!$B$2:$B$2500,$A614))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IF(OR($A614="",games!$H614=""),"",games!$H614)</f>
      </c>
      <c r="Q614">
        <f>IF(OR($A614="",$P614&lt;&gt;"Yes"),"",$D614+ROW()/1000000)</f>
      </c>
      <c r="T614" t="str">
        <f>IF(connections!$A614="","",IFERROR(INDEX(games!$B$2:$B$1200,MATCH(connections!$A614,games!$A$2:$A$1200,0)),""))</f>
      </c>
      <c r="U614">
        <f>IF(connections!$A614="","",IFERROR(INDEX(games!$B$2:$B$1200,MATCH(connections!$B614,games!$A$2:$A$1200,0)),""))</f>
      </c>
      <c r="V614">
        <f>IF(OR($T614="",$U614=""),"",$U614-$T614)</f>
      </c>
    </row>
    <row r="615">
      <c r="A615" t="str">
        <f>IF(games!$A615="","",games!$A615)</f>
      </c>
      <c r="B615">
        <f>IF($A615="","",games!$B615)</f>
      </c>
      <c r="C615" t="str">
        <f>IF($A615="","",games!$C615)</f>
      </c>
      <c r="D615">
        <f>IF($A615="","",COUNTIF(connections!$A$2:$A$2500,$A615)+COUNTIF(connections!$B$2:$B$2500,$A615))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IF(OR($A615="",games!$H615=""),"",games!$H615)</f>
      </c>
      <c r="Q615">
        <f>IF(OR($A615="",$P615&lt;&gt;"Yes"),"",$D615+ROW()/1000000)</f>
      </c>
      <c r="T615" t="str">
        <f>IF(connections!$A615="","",IFERROR(INDEX(games!$B$2:$B$1200,MATCH(connections!$A615,games!$A$2:$A$1200,0)),""))</f>
      </c>
      <c r="U615">
        <f>IF(connections!$A615="","",IFERROR(INDEX(games!$B$2:$B$1200,MATCH(connections!$B615,games!$A$2:$A$1200,0)),""))</f>
      </c>
      <c r="V615">
        <f>IF(OR($T615="",$U615=""),"",$U615-$T615)</f>
      </c>
    </row>
    <row r="616">
      <c r="A616" t="str">
        <f>IF(games!$A616="","",games!$A616)</f>
      </c>
      <c r="B616">
        <f>IF($A616="","",games!$B616)</f>
      </c>
      <c r="C616" t="str">
        <f>IF($A616="","",games!$C616)</f>
      </c>
      <c r="D616">
        <f>IF($A616="","",COUNTIF(connections!$A$2:$A$2500,$A616)+COUNTIF(connections!$B$2:$B$2500,$A616))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IF(OR($A616="",games!$H616=""),"",games!$H616)</f>
      </c>
      <c r="Q616">
        <f>IF(OR($A616="",$P616&lt;&gt;"Yes"),"",$D616+ROW()/1000000)</f>
      </c>
      <c r="T616" t="str">
        <f>IF(connections!$A616="","",IFERROR(INDEX(games!$B$2:$B$1200,MATCH(connections!$A616,games!$A$2:$A$1200,0)),""))</f>
      </c>
      <c r="U616">
        <f>IF(connections!$A616="","",IFERROR(INDEX(games!$B$2:$B$1200,MATCH(connections!$B616,games!$A$2:$A$1200,0)),""))</f>
      </c>
      <c r="V616">
        <f>IF(OR($T616="",$U616=""),"",$U616-$T616)</f>
      </c>
    </row>
    <row r="617">
      <c r="A617" t="str">
        <f>IF(games!$A617="","",games!$A617)</f>
      </c>
      <c r="B617">
        <f>IF($A617="","",games!$B617)</f>
      </c>
      <c r="C617" t="str">
        <f>IF($A617="","",games!$C617)</f>
      </c>
      <c r="D617">
        <f>IF($A617="","",COUNTIF(connections!$A$2:$A$2500,$A617)+COUNTIF(connections!$B$2:$B$2500,$A617))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IF(OR($A617="",games!$H617=""),"",games!$H617)</f>
      </c>
      <c r="Q617">
        <f>IF(OR($A617="",$P617&lt;&gt;"Yes"),"",$D617+ROW()/1000000)</f>
      </c>
      <c r="T617" t="str">
        <f>IF(connections!$A617="","",IFERROR(INDEX(games!$B$2:$B$1200,MATCH(connections!$A617,games!$A$2:$A$1200,0)),""))</f>
      </c>
      <c r="U617">
        <f>IF(connections!$A617="","",IFERROR(INDEX(games!$B$2:$B$1200,MATCH(connections!$B617,games!$A$2:$A$1200,0)),""))</f>
      </c>
      <c r="V617">
        <f>IF(OR($T617="",$U617=""),"",$U617-$T617)</f>
      </c>
    </row>
    <row r="618">
      <c r="A618" t="str">
        <f>IF(games!$A618="","",games!$A618)</f>
      </c>
      <c r="B618">
        <f>IF($A618="","",games!$B618)</f>
      </c>
      <c r="C618" t="str">
        <f>IF($A618="","",games!$C618)</f>
      </c>
      <c r="D618">
        <f>IF($A618="","",COUNTIF(connections!$A$2:$A$2500,$A618)+COUNTIF(connections!$B$2:$B$2500,$A618))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IF(OR($A618="",games!$H618=""),"",games!$H618)</f>
      </c>
      <c r="Q618">
        <f>IF(OR($A618="",$P618&lt;&gt;"Yes"),"",$D618+ROW()/1000000)</f>
      </c>
      <c r="T618" t="str">
        <f>IF(connections!$A618="","",IFERROR(INDEX(games!$B$2:$B$1200,MATCH(connections!$A618,games!$A$2:$A$1200,0)),""))</f>
      </c>
      <c r="U618">
        <f>IF(connections!$A618="","",IFERROR(INDEX(games!$B$2:$B$1200,MATCH(connections!$B618,games!$A$2:$A$1200,0)),""))</f>
      </c>
      <c r="V618">
        <f>IF(OR($T618="",$U618=""),"",$U618-$T618)</f>
      </c>
    </row>
    <row r="619">
      <c r="A619" t="str">
        <f>IF(games!$A619="","",games!$A619)</f>
      </c>
      <c r="B619">
        <f>IF($A619="","",games!$B619)</f>
      </c>
      <c r="C619" t="str">
        <f>IF($A619="","",games!$C619)</f>
      </c>
      <c r="D619">
        <f>IF($A619="","",COUNTIF(connections!$A$2:$A$2500,$A619)+COUNTIF(connections!$B$2:$B$2500,$A619))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IF(OR($A619="",games!$H619=""),"",games!$H619)</f>
      </c>
      <c r="Q619">
        <f>IF(OR($A619="",$P619&lt;&gt;"Yes"),"",$D619+ROW()/1000000)</f>
      </c>
      <c r="T619" t="str">
        <f>IF(connections!$A619="","",IFERROR(INDEX(games!$B$2:$B$1200,MATCH(connections!$A619,games!$A$2:$A$1200,0)),""))</f>
      </c>
      <c r="U619">
        <f>IF(connections!$A619="","",IFERROR(INDEX(games!$B$2:$B$1200,MATCH(connections!$B619,games!$A$2:$A$1200,0)),""))</f>
      </c>
      <c r="V619">
        <f>IF(OR($T619="",$U619=""),"",$U619-$T619)</f>
      </c>
    </row>
    <row r="620">
      <c r="A620" t="str">
        <f>IF(games!$A620="","",games!$A620)</f>
      </c>
      <c r="B620">
        <f>IF($A620="","",games!$B620)</f>
      </c>
      <c r="C620" t="str">
        <f>IF($A620="","",games!$C620)</f>
      </c>
      <c r="D620">
        <f>IF($A620="","",COUNTIF(connections!$A$2:$A$2500,$A620)+COUNTIF(connections!$B$2:$B$2500,$A620))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IF(OR($A620="",games!$H620=""),"",games!$H620)</f>
      </c>
      <c r="Q620">
        <f>IF(OR($A620="",$P620&lt;&gt;"Yes"),"",$D620+ROW()/1000000)</f>
      </c>
      <c r="T620" t="str">
        <f>IF(connections!$A620="","",IFERROR(INDEX(games!$B$2:$B$1200,MATCH(connections!$A620,games!$A$2:$A$1200,0)),""))</f>
      </c>
      <c r="U620">
        <f>IF(connections!$A620="","",IFERROR(INDEX(games!$B$2:$B$1200,MATCH(connections!$B620,games!$A$2:$A$1200,0)),""))</f>
      </c>
      <c r="V620">
        <f>IF(OR($T620="",$U620=""),"",$U620-$T620)</f>
      </c>
    </row>
    <row r="621">
      <c r="A621" t="str">
        <f>IF(games!$A621="","",games!$A621)</f>
      </c>
      <c r="B621">
        <f>IF($A621="","",games!$B621)</f>
      </c>
      <c r="C621" t="str">
        <f>IF($A621="","",games!$C621)</f>
      </c>
      <c r="D621">
        <f>IF($A621="","",COUNTIF(connections!$A$2:$A$2500,$A621)+COUNTIF(connections!$B$2:$B$2500,$A621))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IF(OR($A621="",games!$H621=""),"",games!$H621)</f>
      </c>
      <c r="Q621">
        <f>IF(OR($A621="",$P621&lt;&gt;"Yes"),"",$D621+ROW()/1000000)</f>
      </c>
      <c r="T621" t="str">
        <f>IF(connections!$A621="","",IFERROR(INDEX(games!$B$2:$B$1200,MATCH(connections!$A621,games!$A$2:$A$1200,0)),""))</f>
      </c>
      <c r="U621">
        <f>IF(connections!$A621="","",IFERROR(INDEX(games!$B$2:$B$1200,MATCH(connections!$B621,games!$A$2:$A$1200,0)),""))</f>
      </c>
      <c r="V621">
        <f>IF(OR($T621="",$U621=""),"",$U621-$T621)</f>
      </c>
    </row>
    <row r="622">
      <c r="A622" t="str">
        <f>IF(games!$A622="","",games!$A622)</f>
      </c>
      <c r="B622">
        <f>IF($A622="","",games!$B622)</f>
      </c>
      <c r="C622" t="str">
        <f>IF($A622="","",games!$C622)</f>
      </c>
      <c r="D622">
        <f>IF($A622="","",COUNTIF(connections!$A$2:$A$2500,$A622)+COUNTIF(connections!$B$2:$B$2500,$A622))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IF(OR($A622="",games!$H622=""),"",games!$H622)</f>
      </c>
      <c r="Q622">
        <f>IF(OR($A622="",$P622&lt;&gt;"Yes"),"",$D622+ROW()/1000000)</f>
      </c>
      <c r="T622" t="str">
        <f>IF(connections!$A622="","",IFERROR(INDEX(games!$B$2:$B$1200,MATCH(connections!$A622,games!$A$2:$A$1200,0)),""))</f>
      </c>
      <c r="U622">
        <f>IF(connections!$A622="","",IFERROR(INDEX(games!$B$2:$B$1200,MATCH(connections!$B622,games!$A$2:$A$1200,0)),""))</f>
      </c>
      <c r="V622">
        <f>IF(OR($T622="",$U622=""),"",$U622-$T622)</f>
      </c>
    </row>
    <row r="623">
      <c r="A623" t="str">
        <f>IF(games!$A623="","",games!$A623)</f>
      </c>
      <c r="B623">
        <f>IF($A623="","",games!$B623)</f>
      </c>
      <c r="C623" t="str">
        <f>IF($A623="","",games!$C623)</f>
      </c>
      <c r="D623">
        <f>IF($A623="","",COUNTIF(connections!$A$2:$A$2500,$A623)+COUNTIF(connections!$B$2:$B$2500,$A623))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IF(OR($A623="",games!$H623=""),"",games!$H623)</f>
      </c>
      <c r="Q623">
        <f>IF(OR($A623="",$P623&lt;&gt;"Yes"),"",$D623+ROW()/1000000)</f>
      </c>
      <c r="T623" t="str">
        <f>IF(connections!$A623="","",IFERROR(INDEX(games!$B$2:$B$1200,MATCH(connections!$A623,games!$A$2:$A$1200,0)),""))</f>
      </c>
      <c r="U623">
        <f>IF(connections!$A623="","",IFERROR(INDEX(games!$B$2:$B$1200,MATCH(connections!$B623,games!$A$2:$A$1200,0)),""))</f>
      </c>
      <c r="V623">
        <f>IF(OR($T623="",$U623=""),"",$U623-$T623)</f>
      </c>
    </row>
    <row r="624">
      <c r="A624" t="str">
        <f>IF(games!$A624="","",games!$A624)</f>
      </c>
      <c r="B624">
        <f>IF($A624="","",games!$B624)</f>
      </c>
      <c r="C624" t="str">
        <f>IF($A624="","",games!$C624)</f>
      </c>
      <c r="D624">
        <f>IF($A624="","",COUNTIF(connections!$A$2:$A$2500,$A624)+COUNTIF(connections!$B$2:$B$2500,$A624))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IF(OR($A624="",games!$H624=""),"",games!$H624)</f>
      </c>
      <c r="Q624">
        <f>IF(OR($A624="",$P624&lt;&gt;"Yes"),"",$D624+ROW()/1000000)</f>
      </c>
      <c r="T624" t="str">
        <f>IF(connections!$A624="","",IFERROR(INDEX(games!$B$2:$B$1200,MATCH(connections!$A624,games!$A$2:$A$1200,0)),""))</f>
      </c>
      <c r="U624">
        <f>IF(connections!$A624="","",IFERROR(INDEX(games!$B$2:$B$1200,MATCH(connections!$B624,games!$A$2:$A$1200,0)),""))</f>
      </c>
      <c r="V624">
        <f>IF(OR($T624="",$U624=""),"",$U624-$T624)</f>
      </c>
    </row>
    <row r="625">
      <c r="A625" t="str">
        <f>IF(games!$A625="","",games!$A625)</f>
      </c>
      <c r="B625">
        <f>IF($A625="","",games!$B625)</f>
      </c>
      <c r="C625" t="str">
        <f>IF($A625="","",games!$C625)</f>
      </c>
      <c r="D625">
        <f>IF($A625="","",COUNTIF(connections!$A$2:$A$2500,$A625)+COUNTIF(connections!$B$2:$B$2500,$A625))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IF(OR($A625="",games!$H625=""),"",games!$H625)</f>
      </c>
      <c r="Q625">
        <f>IF(OR($A625="",$P625&lt;&gt;"Yes"),"",$D625+ROW()/1000000)</f>
      </c>
      <c r="T625" t="str">
        <f>IF(connections!$A625="","",IFERROR(INDEX(games!$B$2:$B$1200,MATCH(connections!$A625,games!$A$2:$A$1200,0)),""))</f>
      </c>
      <c r="U625">
        <f>IF(connections!$A625="","",IFERROR(INDEX(games!$B$2:$B$1200,MATCH(connections!$B625,games!$A$2:$A$1200,0)),""))</f>
      </c>
      <c r="V625">
        <f>IF(OR($T625="",$U625=""),"",$U625-$T625)</f>
      </c>
    </row>
    <row r="626">
      <c r="A626" t="str">
        <f>IF(games!$A626="","",games!$A626)</f>
      </c>
      <c r="B626">
        <f>IF($A626="","",games!$B626)</f>
      </c>
      <c r="C626" t="str">
        <f>IF($A626="","",games!$C626)</f>
      </c>
      <c r="D626">
        <f>IF($A626="","",COUNTIF(connections!$A$2:$A$2500,$A626)+COUNTIF(connections!$B$2:$B$2500,$A626))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IF(OR($A626="",games!$H626=""),"",games!$H626)</f>
      </c>
      <c r="Q626">
        <f>IF(OR($A626="",$P626&lt;&gt;"Yes"),"",$D626+ROW()/1000000)</f>
      </c>
      <c r="T626" t="str">
        <f>IF(connections!$A626="","",IFERROR(INDEX(games!$B$2:$B$1200,MATCH(connections!$A626,games!$A$2:$A$1200,0)),""))</f>
      </c>
      <c r="U626">
        <f>IF(connections!$A626="","",IFERROR(INDEX(games!$B$2:$B$1200,MATCH(connections!$B626,games!$A$2:$A$1200,0)),""))</f>
      </c>
      <c r="V626">
        <f>IF(OR($T626="",$U626=""),"",$U626-$T626)</f>
      </c>
    </row>
    <row r="627">
      <c r="A627" t="str">
        <f>IF(games!$A627="","",games!$A627)</f>
      </c>
      <c r="B627">
        <f>IF($A627="","",games!$B627)</f>
      </c>
      <c r="C627" t="str">
        <f>IF($A627="","",games!$C627)</f>
      </c>
      <c r="D627">
        <f>IF($A627="","",COUNTIF(connections!$A$2:$A$2500,$A627)+COUNTIF(connections!$B$2:$B$2500,$A627))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IF(OR($A627="",games!$H627=""),"",games!$H627)</f>
      </c>
      <c r="Q627">
        <f>IF(OR($A627="",$P627&lt;&gt;"Yes"),"",$D627+ROW()/1000000)</f>
      </c>
      <c r="T627" t="str">
        <f>IF(connections!$A627="","",IFERROR(INDEX(games!$B$2:$B$1200,MATCH(connections!$A627,games!$A$2:$A$1200,0)),""))</f>
      </c>
      <c r="U627">
        <f>IF(connections!$A627="","",IFERROR(INDEX(games!$B$2:$B$1200,MATCH(connections!$B627,games!$A$2:$A$1200,0)),""))</f>
      </c>
      <c r="V627">
        <f>IF(OR($T627="",$U627=""),"",$U627-$T627)</f>
      </c>
    </row>
    <row r="628">
      <c r="A628" t="str">
        <f>IF(games!$A628="","",games!$A628)</f>
      </c>
      <c r="B628">
        <f>IF($A628="","",games!$B628)</f>
      </c>
      <c r="C628" t="str">
        <f>IF($A628="","",games!$C628)</f>
      </c>
      <c r="D628">
        <f>IF($A628="","",COUNTIF(connections!$A$2:$A$2500,$A628)+COUNTIF(connections!$B$2:$B$2500,$A628))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IF(OR($A628="",games!$H628=""),"",games!$H628)</f>
      </c>
      <c r="Q628">
        <f>IF(OR($A628="",$P628&lt;&gt;"Yes"),"",$D628+ROW()/1000000)</f>
      </c>
      <c r="T628" t="str">
        <f>IF(connections!$A628="","",IFERROR(INDEX(games!$B$2:$B$1200,MATCH(connections!$A628,games!$A$2:$A$1200,0)),""))</f>
      </c>
      <c r="U628">
        <f>IF(connections!$A628="","",IFERROR(INDEX(games!$B$2:$B$1200,MATCH(connections!$B628,games!$A$2:$A$1200,0)),""))</f>
      </c>
      <c r="V628">
        <f>IF(OR($T628="",$U628=""),"",$U628-$T628)</f>
      </c>
    </row>
    <row r="629">
      <c r="A629" t="str">
        <f>IF(games!$A629="","",games!$A629)</f>
      </c>
      <c r="B629">
        <f>IF($A629="","",games!$B629)</f>
      </c>
      <c r="C629" t="str">
        <f>IF($A629="","",games!$C629)</f>
      </c>
      <c r="D629">
        <f>IF($A629="","",COUNTIF(connections!$A$2:$A$2500,$A629)+COUNTIF(connections!$B$2:$B$2500,$A629))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IF(OR($A629="",games!$H629=""),"",games!$H629)</f>
      </c>
      <c r="Q629">
        <f>IF(OR($A629="",$P629&lt;&gt;"Yes"),"",$D629+ROW()/1000000)</f>
      </c>
      <c r="T629" t="str">
        <f>IF(connections!$A629="","",IFERROR(INDEX(games!$B$2:$B$1200,MATCH(connections!$A629,games!$A$2:$A$1200,0)),""))</f>
      </c>
      <c r="U629">
        <f>IF(connections!$A629="","",IFERROR(INDEX(games!$B$2:$B$1200,MATCH(connections!$B629,games!$A$2:$A$1200,0)),""))</f>
      </c>
      <c r="V629">
        <f>IF(OR($T629="",$U629=""),"",$U629-$T629)</f>
      </c>
    </row>
    <row r="630">
      <c r="A630" t="str">
        <f>IF(games!$A630="","",games!$A630)</f>
      </c>
      <c r="B630">
        <f>IF($A630="","",games!$B630)</f>
      </c>
      <c r="C630" t="str">
        <f>IF($A630="","",games!$C630)</f>
      </c>
      <c r="D630">
        <f>IF($A630="","",COUNTIF(connections!$A$2:$A$2500,$A630)+COUNTIF(connections!$B$2:$B$2500,$A630))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IF(OR($A630="",games!$H630=""),"",games!$H630)</f>
      </c>
      <c r="Q630">
        <f>IF(OR($A630="",$P630&lt;&gt;"Yes"),"",$D630+ROW()/1000000)</f>
      </c>
      <c r="T630" t="str">
        <f>IF(connections!$A630="","",IFERROR(INDEX(games!$B$2:$B$1200,MATCH(connections!$A630,games!$A$2:$A$1200,0)),""))</f>
      </c>
      <c r="U630">
        <f>IF(connections!$A630="","",IFERROR(INDEX(games!$B$2:$B$1200,MATCH(connections!$B630,games!$A$2:$A$1200,0)),""))</f>
      </c>
      <c r="V630">
        <f>IF(OR($T630="",$U630=""),"",$U630-$T630)</f>
      </c>
    </row>
    <row r="631">
      <c r="A631" t="str">
        <f>IF(games!$A631="","",games!$A631)</f>
      </c>
      <c r="B631">
        <f>IF($A631="","",games!$B631)</f>
      </c>
      <c r="C631" t="str">
        <f>IF($A631="","",games!$C631)</f>
      </c>
      <c r="D631">
        <f>IF($A631="","",COUNTIF(connections!$A$2:$A$2500,$A631)+COUNTIF(connections!$B$2:$B$2500,$A631))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IF(OR($A631="",games!$H631=""),"",games!$H631)</f>
      </c>
      <c r="Q631">
        <f>IF(OR($A631="",$P631&lt;&gt;"Yes"),"",$D631+ROW()/1000000)</f>
      </c>
      <c r="T631" t="str">
        <f>IF(connections!$A631="","",IFERROR(INDEX(games!$B$2:$B$1200,MATCH(connections!$A631,games!$A$2:$A$1200,0)),""))</f>
      </c>
      <c r="U631">
        <f>IF(connections!$A631="","",IFERROR(INDEX(games!$B$2:$B$1200,MATCH(connections!$B631,games!$A$2:$A$1200,0)),""))</f>
      </c>
      <c r="V631">
        <f>IF(OR($T631="",$U631=""),"",$U631-$T631)</f>
      </c>
    </row>
    <row r="632">
      <c r="A632" t="str">
        <f>IF(games!$A632="","",games!$A632)</f>
      </c>
      <c r="B632">
        <f>IF($A632="","",games!$B632)</f>
      </c>
      <c r="C632" t="str">
        <f>IF($A632="","",games!$C632)</f>
      </c>
      <c r="D632">
        <f>IF($A632="","",COUNTIF(connections!$A$2:$A$2500,$A632)+COUNTIF(connections!$B$2:$B$2500,$A632))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IF(OR($A632="",games!$H632=""),"",games!$H632)</f>
      </c>
      <c r="Q632">
        <f>IF(OR($A632="",$P632&lt;&gt;"Yes"),"",$D632+ROW()/1000000)</f>
      </c>
      <c r="T632" t="str">
        <f>IF(connections!$A632="","",IFERROR(INDEX(games!$B$2:$B$1200,MATCH(connections!$A632,games!$A$2:$A$1200,0)),""))</f>
      </c>
      <c r="U632">
        <f>IF(connections!$A632="","",IFERROR(INDEX(games!$B$2:$B$1200,MATCH(connections!$B632,games!$A$2:$A$1200,0)),""))</f>
      </c>
      <c r="V632">
        <f>IF(OR($T632="",$U632=""),"",$U632-$T632)</f>
      </c>
    </row>
    <row r="633">
      <c r="A633" t="str">
        <f>IF(games!$A633="","",games!$A633)</f>
      </c>
      <c r="B633">
        <f>IF($A633="","",games!$B633)</f>
      </c>
      <c r="C633" t="str">
        <f>IF($A633="","",games!$C633)</f>
      </c>
      <c r="D633">
        <f>IF($A633="","",COUNTIF(connections!$A$2:$A$2500,$A633)+COUNTIF(connections!$B$2:$B$2500,$A633))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IF(OR($A633="",games!$H633=""),"",games!$H633)</f>
      </c>
      <c r="Q633">
        <f>IF(OR($A633="",$P633&lt;&gt;"Yes"),"",$D633+ROW()/1000000)</f>
      </c>
      <c r="T633" t="str">
        <f>IF(connections!$A633="","",IFERROR(INDEX(games!$B$2:$B$1200,MATCH(connections!$A633,games!$A$2:$A$1200,0)),""))</f>
      </c>
      <c r="U633">
        <f>IF(connections!$A633="","",IFERROR(INDEX(games!$B$2:$B$1200,MATCH(connections!$B633,games!$A$2:$A$1200,0)),""))</f>
      </c>
      <c r="V633">
        <f>IF(OR($T633="",$U633=""),"",$U633-$T633)</f>
      </c>
    </row>
    <row r="634">
      <c r="A634" t="str">
        <f>IF(games!$A634="","",games!$A634)</f>
      </c>
      <c r="B634">
        <f>IF($A634="","",games!$B634)</f>
      </c>
      <c r="C634" t="str">
        <f>IF($A634="","",games!$C634)</f>
      </c>
      <c r="D634">
        <f>IF($A634="","",COUNTIF(connections!$A$2:$A$2500,$A634)+COUNTIF(connections!$B$2:$B$2500,$A634))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IF(OR($A634="",games!$H634=""),"",games!$H634)</f>
      </c>
      <c r="Q634">
        <f>IF(OR($A634="",$P634&lt;&gt;"Yes"),"",$D634+ROW()/1000000)</f>
      </c>
      <c r="T634" t="str">
        <f>IF(connections!$A634="","",IFERROR(INDEX(games!$B$2:$B$1200,MATCH(connections!$A634,games!$A$2:$A$1200,0)),""))</f>
      </c>
      <c r="U634">
        <f>IF(connections!$A634="","",IFERROR(INDEX(games!$B$2:$B$1200,MATCH(connections!$B634,games!$A$2:$A$1200,0)),""))</f>
      </c>
      <c r="V634">
        <f>IF(OR($T634="",$U634=""),"",$U634-$T634)</f>
      </c>
    </row>
    <row r="635">
      <c r="A635" t="str">
        <f>IF(games!$A635="","",games!$A635)</f>
      </c>
      <c r="B635">
        <f>IF($A635="","",games!$B635)</f>
      </c>
      <c r="C635" t="str">
        <f>IF($A635="","",games!$C635)</f>
      </c>
      <c r="D635">
        <f>IF($A635="","",COUNTIF(connections!$A$2:$A$2500,$A635)+COUNTIF(connections!$B$2:$B$2500,$A635))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IF(OR($A635="",games!$H635=""),"",games!$H635)</f>
      </c>
      <c r="Q635">
        <f>IF(OR($A635="",$P635&lt;&gt;"Yes"),"",$D635+ROW()/1000000)</f>
      </c>
      <c r="T635" t="str">
        <f>IF(connections!$A635="","",IFERROR(INDEX(games!$B$2:$B$1200,MATCH(connections!$A635,games!$A$2:$A$1200,0)),""))</f>
      </c>
      <c r="U635">
        <f>IF(connections!$A635="","",IFERROR(INDEX(games!$B$2:$B$1200,MATCH(connections!$B635,games!$A$2:$A$1200,0)),""))</f>
      </c>
      <c r="V635">
        <f>IF(OR($T635="",$U635=""),"",$U635-$T635)</f>
      </c>
    </row>
    <row r="636">
      <c r="A636" t="str">
        <f>IF(games!$A636="","",games!$A636)</f>
      </c>
      <c r="B636">
        <f>IF($A636="","",games!$B636)</f>
      </c>
      <c r="C636" t="str">
        <f>IF($A636="","",games!$C636)</f>
      </c>
      <c r="D636">
        <f>IF($A636="","",COUNTIF(connections!$A$2:$A$2500,$A636)+COUNTIF(connections!$B$2:$B$2500,$A636))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IF(OR($A636="",games!$H636=""),"",games!$H636)</f>
      </c>
      <c r="Q636">
        <f>IF(OR($A636="",$P636&lt;&gt;"Yes"),"",$D636+ROW()/1000000)</f>
      </c>
      <c r="T636" t="str">
        <f>IF(connections!$A636="","",IFERROR(INDEX(games!$B$2:$B$1200,MATCH(connections!$A636,games!$A$2:$A$1200,0)),""))</f>
      </c>
      <c r="U636">
        <f>IF(connections!$A636="","",IFERROR(INDEX(games!$B$2:$B$1200,MATCH(connections!$B636,games!$A$2:$A$1200,0)),""))</f>
      </c>
      <c r="V636">
        <f>IF(OR($T636="",$U636=""),"",$U636-$T636)</f>
      </c>
    </row>
    <row r="637">
      <c r="A637" t="str">
        <f>IF(games!$A637="","",games!$A637)</f>
      </c>
      <c r="B637">
        <f>IF($A637="","",games!$B637)</f>
      </c>
      <c r="C637" t="str">
        <f>IF($A637="","",games!$C637)</f>
      </c>
      <c r="D637">
        <f>IF($A637="","",COUNTIF(connections!$A$2:$A$2500,$A637)+COUNTIF(connections!$B$2:$B$2500,$A637))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IF(OR($A637="",games!$H637=""),"",games!$H637)</f>
      </c>
      <c r="Q637">
        <f>IF(OR($A637="",$P637&lt;&gt;"Yes"),"",$D637+ROW()/1000000)</f>
      </c>
      <c r="T637" t="str">
        <f>IF(connections!$A637="","",IFERROR(INDEX(games!$B$2:$B$1200,MATCH(connections!$A637,games!$A$2:$A$1200,0)),""))</f>
      </c>
      <c r="U637">
        <f>IF(connections!$A637="","",IFERROR(INDEX(games!$B$2:$B$1200,MATCH(connections!$B637,games!$A$2:$A$1200,0)),""))</f>
      </c>
      <c r="V637">
        <f>IF(OR($T637="",$U637=""),"",$U637-$T637)</f>
      </c>
    </row>
    <row r="638">
      <c r="A638" t="str">
        <f>IF(games!$A638="","",games!$A638)</f>
      </c>
      <c r="B638">
        <f>IF($A638="","",games!$B638)</f>
      </c>
      <c r="C638" t="str">
        <f>IF($A638="","",games!$C638)</f>
      </c>
      <c r="D638">
        <f>IF($A638="","",COUNTIF(connections!$A$2:$A$2500,$A638)+COUNTIF(connections!$B$2:$B$2500,$A638))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IF(OR($A638="",games!$H638=""),"",games!$H638)</f>
      </c>
      <c r="Q638">
        <f>IF(OR($A638="",$P638&lt;&gt;"Yes"),"",$D638+ROW()/1000000)</f>
      </c>
      <c r="T638" t="str">
        <f>IF(connections!$A638="","",IFERROR(INDEX(games!$B$2:$B$1200,MATCH(connections!$A638,games!$A$2:$A$1200,0)),""))</f>
      </c>
      <c r="U638">
        <f>IF(connections!$A638="","",IFERROR(INDEX(games!$B$2:$B$1200,MATCH(connections!$B638,games!$A$2:$A$1200,0)),""))</f>
      </c>
      <c r="V638">
        <f>IF(OR($T638="",$U638=""),"",$U638-$T638)</f>
      </c>
    </row>
    <row r="639">
      <c r="A639" t="str">
        <f>IF(games!$A639="","",games!$A639)</f>
      </c>
      <c r="B639">
        <f>IF($A639="","",games!$B639)</f>
      </c>
      <c r="C639" t="str">
        <f>IF($A639="","",games!$C639)</f>
      </c>
      <c r="D639">
        <f>IF($A639="","",COUNTIF(connections!$A$2:$A$2500,$A639)+COUNTIF(connections!$B$2:$B$2500,$A639))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IF(OR($A639="",games!$H639=""),"",games!$H639)</f>
      </c>
      <c r="Q639">
        <f>IF(OR($A639="",$P639&lt;&gt;"Yes"),"",$D639+ROW()/1000000)</f>
      </c>
      <c r="T639" t="str">
        <f>IF(connections!$A639="","",IFERROR(INDEX(games!$B$2:$B$1200,MATCH(connections!$A639,games!$A$2:$A$1200,0)),""))</f>
      </c>
      <c r="U639">
        <f>IF(connections!$A639="","",IFERROR(INDEX(games!$B$2:$B$1200,MATCH(connections!$B639,games!$A$2:$A$1200,0)),""))</f>
      </c>
      <c r="V639">
        <f>IF(OR($T639="",$U639=""),"",$U639-$T639)</f>
      </c>
    </row>
    <row r="640">
      <c r="A640" t="str">
        <f>IF(games!$A640="","",games!$A640)</f>
      </c>
      <c r="B640">
        <f>IF($A640="","",games!$B640)</f>
      </c>
      <c r="C640" t="str">
        <f>IF($A640="","",games!$C640)</f>
      </c>
      <c r="D640">
        <f>IF($A640="","",COUNTIF(connections!$A$2:$A$2500,$A640)+COUNTIF(connections!$B$2:$B$2500,$A640))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IF(OR($A640="",games!$H640=""),"",games!$H640)</f>
      </c>
      <c r="Q640">
        <f>IF(OR($A640="",$P640&lt;&gt;"Yes"),"",$D640+ROW()/1000000)</f>
      </c>
      <c r="T640" t="str">
        <f>IF(connections!$A640="","",IFERROR(INDEX(games!$B$2:$B$1200,MATCH(connections!$A640,games!$A$2:$A$1200,0)),""))</f>
      </c>
      <c r="U640">
        <f>IF(connections!$A640="","",IFERROR(INDEX(games!$B$2:$B$1200,MATCH(connections!$B640,games!$A$2:$A$1200,0)),""))</f>
      </c>
      <c r="V640">
        <f>IF(OR($T640="",$U640=""),"",$U640-$T640)</f>
      </c>
    </row>
    <row r="641">
      <c r="A641" t="str">
        <f>IF(games!$A641="","",games!$A641)</f>
      </c>
      <c r="B641">
        <f>IF($A641="","",games!$B641)</f>
      </c>
      <c r="C641" t="str">
        <f>IF($A641="","",games!$C641)</f>
      </c>
      <c r="D641">
        <f>IF($A641="","",COUNTIF(connections!$A$2:$A$2500,$A641)+COUNTIF(connections!$B$2:$B$2500,$A641))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IF(OR($A641="",games!$H641=""),"",games!$H641)</f>
      </c>
      <c r="Q641">
        <f>IF(OR($A641="",$P641&lt;&gt;"Yes"),"",$D641+ROW()/1000000)</f>
      </c>
      <c r="T641" t="str">
        <f>IF(connections!$A641="","",IFERROR(INDEX(games!$B$2:$B$1200,MATCH(connections!$A641,games!$A$2:$A$1200,0)),""))</f>
      </c>
      <c r="U641">
        <f>IF(connections!$A641="","",IFERROR(INDEX(games!$B$2:$B$1200,MATCH(connections!$B641,games!$A$2:$A$1200,0)),""))</f>
      </c>
      <c r="V641">
        <f>IF(OR($T641="",$U641=""),"",$U641-$T641)</f>
      </c>
    </row>
    <row r="642">
      <c r="A642" t="str">
        <f>IF(games!$A642="","",games!$A642)</f>
      </c>
      <c r="B642">
        <f>IF($A642="","",games!$B642)</f>
      </c>
      <c r="C642" t="str">
        <f>IF($A642="","",games!$C642)</f>
      </c>
      <c r="D642">
        <f>IF($A642="","",COUNTIF(connections!$A$2:$A$2500,$A642)+COUNTIF(connections!$B$2:$B$2500,$A642))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IF(OR($A642="",games!$H642=""),"",games!$H642)</f>
      </c>
      <c r="Q642">
        <f>IF(OR($A642="",$P642&lt;&gt;"Yes"),"",$D642+ROW()/1000000)</f>
      </c>
      <c r="T642" t="str">
        <f>IF(connections!$A642="","",IFERROR(INDEX(games!$B$2:$B$1200,MATCH(connections!$A642,games!$A$2:$A$1200,0)),""))</f>
      </c>
      <c r="U642">
        <f>IF(connections!$A642="","",IFERROR(INDEX(games!$B$2:$B$1200,MATCH(connections!$B642,games!$A$2:$A$1200,0)),""))</f>
      </c>
      <c r="V642">
        <f>IF(OR($T642="",$U642=""),"",$U642-$T642)</f>
      </c>
    </row>
    <row r="643">
      <c r="A643" t="str">
        <f>IF(games!$A643="","",games!$A643)</f>
      </c>
      <c r="B643">
        <f>IF($A643="","",games!$B643)</f>
      </c>
      <c r="C643" t="str">
        <f>IF($A643="","",games!$C643)</f>
      </c>
      <c r="D643">
        <f>IF($A643="","",COUNTIF(connections!$A$2:$A$2500,$A643)+COUNTIF(connections!$B$2:$B$2500,$A643))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IF(OR($A643="",games!$H643=""),"",games!$H643)</f>
      </c>
      <c r="Q643">
        <f>IF(OR($A643="",$P643&lt;&gt;"Yes"),"",$D643+ROW()/1000000)</f>
      </c>
      <c r="T643" t="str">
        <f>IF(connections!$A643="","",IFERROR(INDEX(games!$B$2:$B$1200,MATCH(connections!$A643,games!$A$2:$A$1200,0)),""))</f>
      </c>
      <c r="U643">
        <f>IF(connections!$A643="","",IFERROR(INDEX(games!$B$2:$B$1200,MATCH(connections!$B643,games!$A$2:$A$1200,0)),""))</f>
      </c>
      <c r="V643">
        <f>IF(OR($T643="",$U643=""),"",$U643-$T643)</f>
      </c>
    </row>
    <row r="644">
      <c r="A644" t="str">
        <f>IF(games!$A644="","",games!$A644)</f>
      </c>
      <c r="B644">
        <f>IF($A644="","",games!$B644)</f>
      </c>
      <c r="C644" t="str">
        <f>IF($A644="","",games!$C644)</f>
      </c>
      <c r="D644">
        <f>IF($A644="","",COUNTIF(connections!$A$2:$A$2500,$A644)+COUNTIF(connections!$B$2:$B$2500,$A644))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IF(OR($A644="",games!$H644=""),"",games!$H644)</f>
      </c>
      <c r="Q644">
        <f>IF(OR($A644="",$P644&lt;&gt;"Yes"),"",$D644+ROW()/1000000)</f>
      </c>
      <c r="T644" t="str">
        <f>IF(connections!$A644="","",IFERROR(INDEX(games!$B$2:$B$1200,MATCH(connections!$A644,games!$A$2:$A$1200,0)),""))</f>
      </c>
      <c r="U644">
        <f>IF(connections!$A644="","",IFERROR(INDEX(games!$B$2:$B$1200,MATCH(connections!$B644,games!$A$2:$A$1200,0)),""))</f>
      </c>
      <c r="V644">
        <f>IF(OR($T644="",$U644=""),"",$U644-$T644)</f>
      </c>
    </row>
    <row r="645">
      <c r="A645" t="str">
        <f>IF(games!$A645="","",games!$A645)</f>
      </c>
      <c r="B645">
        <f>IF($A645="","",games!$B645)</f>
      </c>
      <c r="C645" t="str">
        <f>IF($A645="","",games!$C645)</f>
      </c>
      <c r="D645">
        <f>IF($A645="","",COUNTIF(connections!$A$2:$A$2500,$A645)+COUNTIF(connections!$B$2:$B$2500,$A645))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IF(OR($A645="",games!$H645=""),"",games!$H645)</f>
      </c>
      <c r="Q645">
        <f>IF(OR($A645="",$P645&lt;&gt;"Yes"),"",$D645+ROW()/1000000)</f>
      </c>
      <c r="T645" t="str">
        <f>IF(connections!$A645="","",IFERROR(INDEX(games!$B$2:$B$1200,MATCH(connections!$A645,games!$A$2:$A$1200,0)),""))</f>
      </c>
      <c r="U645">
        <f>IF(connections!$A645="","",IFERROR(INDEX(games!$B$2:$B$1200,MATCH(connections!$B645,games!$A$2:$A$1200,0)),""))</f>
      </c>
      <c r="V645">
        <f>IF(OR($T645="",$U645=""),"",$U645-$T645)</f>
      </c>
    </row>
    <row r="646">
      <c r="A646" t="str">
        <f>IF(games!$A646="","",games!$A646)</f>
      </c>
      <c r="B646">
        <f>IF($A646="","",games!$B646)</f>
      </c>
      <c r="C646" t="str">
        <f>IF($A646="","",games!$C646)</f>
      </c>
      <c r="D646">
        <f>IF($A646="","",COUNTIF(connections!$A$2:$A$2500,$A646)+COUNTIF(connections!$B$2:$B$2500,$A646))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IF(OR($A646="",games!$H646=""),"",games!$H646)</f>
      </c>
      <c r="Q646">
        <f>IF(OR($A646="",$P646&lt;&gt;"Yes"),"",$D646+ROW()/1000000)</f>
      </c>
      <c r="T646" t="str">
        <f>IF(connections!$A646="","",IFERROR(INDEX(games!$B$2:$B$1200,MATCH(connections!$A646,games!$A$2:$A$1200,0)),""))</f>
      </c>
      <c r="U646">
        <f>IF(connections!$A646="","",IFERROR(INDEX(games!$B$2:$B$1200,MATCH(connections!$B646,games!$A$2:$A$1200,0)),""))</f>
      </c>
      <c r="V646">
        <f>IF(OR($T646="",$U646=""),"",$U646-$T646)</f>
      </c>
    </row>
    <row r="647">
      <c r="A647" t="str">
        <f>IF(games!$A647="","",games!$A647)</f>
      </c>
      <c r="B647">
        <f>IF($A647="","",games!$B647)</f>
      </c>
      <c r="C647" t="str">
        <f>IF($A647="","",games!$C647)</f>
      </c>
      <c r="D647">
        <f>IF($A647="","",COUNTIF(connections!$A$2:$A$2500,$A647)+COUNTIF(connections!$B$2:$B$2500,$A647))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IF(OR($A647="",games!$H647=""),"",games!$H647)</f>
      </c>
      <c r="Q647">
        <f>IF(OR($A647="",$P647&lt;&gt;"Yes"),"",$D647+ROW()/1000000)</f>
      </c>
      <c r="T647" t="str">
        <f>IF(connections!$A647="","",IFERROR(INDEX(games!$B$2:$B$1200,MATCH(connections!$A647,games!$A$2:$A$1200,0)),""))</f>
      </c>
      <c r="U647">
        <f>IF(connections!$A647="","",IFERROR(INDEX(games!$B$2:$B$1200,MATCH(connections!$B647,games!$A$2:$A$1200,0)),""))</f>
      </c>
      <c r="V647">
        <f>IF(OR($T647="",$U647=""),"",$U647-$T647)</f>
      </c>
    </row>
    <row r="648">
      <c r="A648" t="str">
        <f>IF(games!$A648="","",games!$A648)</f>
      </c>
      <c r="B648">
        <f>IF($A648="","",games!$B648)</f>
      </c>
      <c r="C648" t="str">
        <f>IF($A648="","",games!$C648)</f>
      </c>
      <c r="D648">
        <f>IF($A648="","",COUNTIF(connections!$A$2:$A$2500,$A648)+COUNTIF(connections!$B$2:$B$2500,$A648))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IF(OR($A648="",games!$H648=""),"",games!$H648)</f>
      </c>
      <c r="Q648">
        <f>IF(OR($A648="",$P648&lt;&gt;"Yes"),"",$D648+ROW()/1000000)</f>
      </c>
      <c r="T648" t="str">
        <f>IF(connections!$A648="","",IFERROR(INDEX(games!$B$2:$B$1200,MATCH(connections!$A648,games!$A$2:$A$1200,0)),""))</f>
      </c>
      <c r="U648">
        <f>IF(connections!$A648="","",IFERROR(INDEX(games!$B$2:$B$1200,MATCH(connections!$B648,games!$A$2:$A$1200,0)),""))</f>
      </c>
      <c r="V648">
        <f>IF(OR($T648="",$U648=""),"",$U648-$T648)</f>
      </c>
    </row>
    <row r="649">
      <c r="A649" t="str">
        <f>IF(games!$A649="","",games!$A649)</f>
      </c>
      <c r="B649">
        <f>IF($A649="","",games!$B649)</f>
      </c>
      <c r="C649" t="str">
        <f>IF($A649="","",games!$C649)</f>
      </c>
      <c r="D649">
        <f>IF($A649="","",COUNTIF(connections!$A$2:$A$2500,$A649)+COUNTIF(connections!$B$2:$B$2500,$A649))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IF(OR($A649="",games!$H649=""),"",games!$H649)</f>
      </c>
      <c r="Q649">
        <f>IF(OR($A649="",$P649&lt;&gt;"Yes"),"",$D649+ROW()/1000000)</f>
      </c>
      <c r="T649" t="str">
        <f>IF(connections!$A649="","",IFERROR(INDEX(games!$B$2:$B$1200,MATCH(connections!$A649,games!$A$2:$A$1200,0)),""))</f>
      </c>
      <c r="U649">
        <f>IF(connections!$A649="","",IFERROR(INDEX(games!$B$2:$B$1200,MATCH(connections!$B649,games!$A$2:$A$1200,0)),""))</f>
      </c>
      <c r="V649">
        <f>IF(OR($T649="",$U649=""),"",$U649-$T649)</f>
      </c>
    </row>
    <row r="650">
      <c r="A650" t="str">
        <f>IF(games!$A650="","",games!$A650)</f>
      </c>
      <c r="B650">
        <f>IF($A650="","",games!$B650)</f>
      </c>
      <c r="C650" t="str">
        <f>IF($A650="","",games!$C650)</f>
      </c>
      <c r="D650">
        <f>IF($A650="","",COUNTIF(connections!$A$2:$A$2500,$A650)+COUNTIF(connections!$B$2:$B$2500,$A650))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IF(OR($A650="",games!$H650=""),"",games!$H650)</f>
      </c>
      <c r="Q650">
        <f>IF(OR($A650="",$P650&lt;&gt;"Yes"),"",$D650+ROW()/1000000)</f>
      </c>
      <c r="T650" t="str">
        <f>IF(connections!$A650="","",IFERROR(INDEX(games!$B$2:$B$1200,MATCH(connections!$A650,games!$A$2:$A$1200,0)),""))</f>
      </c>
      <c r="U650">
        <f>IF(connections!$A650="","",IFERROR(INDEX(games!$B$2:$B$1200,MATCH(connections!$B650,games!$A$2:$A$1200,0)),""))</f>
      </c>
      <c r="V650">
        <f>IF(OR($T650="",$U650=""),"",$U650-$T650)</f>
      </c>
    </row>
    <row r="651">
      <c r="A651" t="str">
        <f>IF(games!$A651="","",games!$A651)</f>
      </c>
      <c r="B651">
        <f>IF($A651="","",games!$B651)</f>
      </c>
      <c r="C651" t="str">
        <f>IF($A651="","",games!$C651)</f>
      </c>
      <c r="D651">
        <f>IF($A651="","",COUNTIF(connections!$A$2:$A$2500,$A651)+COUNTIF(connections!$B$2:$B$2500,$A651))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IF(OR($A651="",games!$H651=""),"",games!$H651)</f>
      </c>
      <c r="Q651">
        <f>IF(OR($A651="",$P651&lt;&gt;"Yes"),"",$D651+ROW()/1000000)</f>
      </c>
      <c r="T651" t="str">
        <f>IF(connections!$A651="","",IFERROR(INDEX(games!$B$2:$B$1200,MATCH(connections!$A651,games!$A$2:$A$1200,0)),""))</f>
      </c>
      <c r="U651">
        <f>IF(connections!$A651="","",IFERROR(INDEX(games!$B$2:$B$1200,MATCH(connections!$B651,games!$A$2:$A$1200,0)),""))</f>
      </c>
      <c r="V651">
        <f>IF(OR($T651="",$U651=""),"",$U651-$T651)</f>
      </c>
    </row>
    <row r="652">
      <c r="A652" t="str">
        <f>IF(games!$A652="","",games!$A652)</f>
      </c>
      <c r="B652">
        <f>IF($A652="","",games!$B652)</f>
      </c>
      <c r="C652" t="str">
        <f>IF($A652="","",games!$C652)</f>
      </c>
      <c r="D652">
        <f>IF($A652="","",COUNTIF(connections!$A$2:$A$2500,$A652)+COUNTIF(connections!$B$2:$B$2500,$A652))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IF(OR($A652="",games!$H652=""),"",games!$H652)</f>
      </c>
      <c r="Q652">
        <f>IF(OR($A652="",$P652&lt;&gt;"Yes"),"",$D652+ROW()/1000000)</f>
      </c>
      <c r="T652" t="str">
        <f>IF(connections!$A652="","",IFERROR(INDEX(games!$B$2:$B$1200,MATCH(connections!$A652,games!$A$2:$A$1200,0)),""))</f>
      </c>
      <c r="U652">
        <f>IF(connections!$A652="","",IFERROR(INDEX(games!$B$2:$B$1200,MATCH(connections!$B652,games!$A$2:$A$1200,0)),""))</f>
      </c>
      <c r="V652">
        <f>IF(OR($T652="",$U652=""),"",$U652-$T652)</f>
      </c>
    </row>
    <row r="653">
      <c r="A653" t="str">
        <f>IF(games!$A653="","",games!$A653)</f>
      </c>
      <c r="B653">
        <f>IF($A653="","",games!$B653)</f>
      </c>
      <c r="C653" t="str">
        <f>IF($A653="","",games!$C653)</f>
      </c>
      <c r="D653">
        <f>IF($A653="","",COUNTIF(connections!$A$2:$A$2500,$A653)+COUNTIF(connections!$B$2:$B$2500,$A653))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IF(OR($A653="",games!$H653=""),"",games!$H653)</f>
      </c>
      <c r="Q653">
        <f>IF(OR($A653="",$P653&lt;&gt;"Yes"),"",$D653+ROW()/1000000)</f>
      </c>
      <c r="T653" t="str">
        <f>IF(connections!$A653="","",IFERROR(INDEX(games!$B$2:$B$1200,MATCH(connections!$A653,games!$A$2:$A$1200,0)),""))</f>
      </c>
      <c r="U653">
        <f>IF(connections!$A653="","",IFERROR(INDEX(games!$B$2:$B$1200,MATCH(connections!$B653,games!$A$2:$A$1200,0)),""))</f>
      </c>
      <c r="V653">
        <f>IF(OR($T653="",$U653=""),"",$U653-$T653)</f>
      </c>
    </row>
    <row r="654">
      <c r="A654" t="str">
        <f>IF(games!$A654="","",games!$A654)</f>
      </c>
      <c r="B654">
        <f>IF($A654="","",games!$B654)</f>
      </c>
      <c r="C654" t="str">
        <f>IF($A654="","",games!$C654)</f>
      </c>
      <c r="D654">
        <f>IF($A654="","",COUNTIF(connections!$A$2:$A$2500,$A654)+COUNTIF(connections!$B$2:$B$2500,$A654))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IF(OR($A654="",games!$H654=""),"",games!$H654)</f>
      </c>
      <c r="Q654">
        <f>IF(OR($A654="",$P654&lt;&gt;"Yes"),"",$D654+ROW()/1000000)</f>
      </c>
      <c r="T654" t="str">
        <f>IF(connections!$A654="","",IFERROR(INDEX(games!$B$2:$B$1200,MATCH(connections!$A654,games!$A$2:$A$1200,0)),""))</f>
      </c>
      <c r="U654">
        <f>IF(connections!$A654="","",IFERROR(INDEX(games!$B$2:$B$1200,MATCH(connections!$B654,games!$A$2:$A$1200,0)),""))</f>
      </c>
      <c r="V654">
        <f>IF(OR($T654="",$U654=""),"",$U654-$T654)</f>
      </c>
    </row>
    <row r="655">
      <c r="A655" t="str">
        <f>IF(games!$A655="","",games!$A655)</f>
      </c>
      <c r="B655">
        <f>IF($A655="","",games!$B655)</f>
      </c>
      <c r="C655" t="str">
        <f>IF($A655="","",games!$C655)</f>
      </c>
      <c r="D655">
        <f>IF($A655="","",COUNTIF(connections!$A$2:$A$2500,$A655)+COUNTIF(connections!$B$2:$B$2500,$A655))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IF(OR($A655="",games!$H655=""),"",games!$H655)</f>
      </c>
      <c r="Q655">
        <f>IF(OR($A655="",$P655&lt;&gt;"Yes"),"",$D655+ROW()/1000000)</f>
      </c>
      <c r="T655" t="str">
        <f>IF(connections!$A655="","",IFERROR(INDEX(games!$B$2:$B$1200,MATCH(connections!$A655,games!$A$2:$A$1200,0)),""))</f>
      </c>
      <c r="U655">
        <f>IF(connections!$A655="","",IFERROR(INDEX(games!$B$2:$B$1200,MATCH(connections!$B655,games!$A$2:$A$1200,0)),""))</f>
      </c>
      <c r="V655">
        <f>IF(OR($T655="",$U655=""),"",$U655-$T655)</f>
      </c>
    </row>
    <row r="656">
      <c r="A656" t="str">
        <f>IF(games!$A656="","",games!$A656)</f>
      </c>
      <c r="B656">
        <f>IF($A656="","",games!$B656)</f>
      </c>
      <c r="C656" t="str">
        <f>IF($A656="","",games!$C656)</f>
      </c>
      <c r="D656">
        <f>IF($A656="","",COUNTIF(connections!$A$2:$A$2500,$A656)+COUNTIF(connections!$B$2:$B$2500,$A656))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IF(OR($A656="",games!$H656=""),"",games!$H656)</f>
      </c>
      <c r="Q656">
        <f>IF(OR($A656="",$P656&lt;&gt;"Yes"),"",$D656+ROW()/1000000)</f>
      </c>
      <c r="T656" t="str">
        <f>IF(connections!$A656="","",IFERROR(INDEX(games!$B$2:$B$1200,MATCH(connections!$A656,games!$A$2:$A$1200,0)),""))</f>
      </c>
      <c r="U656">
        <f>IF(connections!$A656="","",IFERROR(INDEX(games!$B$2:$B$1200,MATCH(connections!$B656,games!$A$2:$A$1200,0)),""))</f>
      </c>
      <c r="V656">
        <f>IF(OR($T656="",$U656=""),"",$U656-$T656)</f>
      </c>
    </row>
    <row r="657">
      <c r="A657" t="str">
        <f>IF(games!$A657="","",games!$A657)</f>
      </c>
      <c r="B657">
        <f>IF($A657="","",games!$B657)</f>
      </c>
      <c r="C657" t="str">
        <f>IF($A657="","",games!$C657)</f>
      </c>
      <c r="D657">
        <f>IF($A657="","",COUNTIF(connections!$A$2:$A$2500,$A657)+COUNTIF(connections!$B$2:$B$2500,$A657))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IF(OR($A657="",games!$H657=""),"",games!$H657)</f>
      </c>
      <c r="Q657">
        <f>IF(OR($A657="",$P657&lt;&gt;"Yes"),"",$D657+ROW()/1000000)</f>
      </c>
      <c r="T657" t="str">
        <f>IF(connections!$A657="","",IFERROR(INDEX(games!$B$2:$B$1200,MATCH(connections!$A657,games!$A$2:$A$1200,0)),""))</f>
      </c>
      <c r="U657">
        <f>IF(connections!$A657="","",IFERROR(INDEX(games!$B$2:$B$1200,MATCH(connections!$B657,games!$A$2:$A$1200,0)),""))</f>
      </c>
      <c r="V657">
        <f>IF(OR($T657="",$U657=""),"",$U657-$T657)</f>
      </c>
    </row>
    <row r="658">
      <c r="A658" t="str">
        <f>IF(games!$A658="","",games!$A658)</f>
      </c>
      <c r="B658">
        <f>IF($A658="","",games!$B658)</f>
      </c>
      <c r="C658" t="str">
        <f>IF($A658="","",games!$C658)</f>
      </c>
      <c r="D658">
        <f>IF($A658="","",COUNTIF(connections!$A$2:$A$2500,$A658)+COUNTIF(connections!$B$2:$B$2500,$A658))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IF(OR($A658="",games!$H658=""),"",games!$H658)</f>
      </c>
      <c r="Q658">
        <f>IF(OR($A658="",$P658&lt;&gt;"Yes"),"",$D658+ROW()/1000000)</f>
      </c>
      <c r="T658" t="str">
        <f>IF(connections!$A658="","",IFERROR(INDEX(games!$B$2:$B$1200,MATCH(connections!$A658,games!$A$2:$A$1200,0)),""))</f>
      </c>
      <c r="U658">
        <f>IF(connections!$A658="","",IFERROR(INDEX(games!$B$2:$B$1200,MATCH(connections!$B658,games!$A$2:$A$1200,0)),""))</f>
      </c>
      <c r="V658">
        <f>IF(OR($T658="",$U658=""),"",$U658-$T658)</f>
      </c>
    </row>
    <row r="659">
      <c r="A659" t="str">
        <f>IF(games!$A659="","",games!$A659)</f>
      </c>
      <c r="B659">
        <f>IF($A659="","",games!$B659)</f>
      </c>
      <c r="C659" t="str">
        <f>IF($A659="","",games!$C659)</f>
      </c>
      <c r="D659">
        <f>IF($A659="","",COUNTIF(connections!$A$2:$A$2500,$A659)+COUNTIF(connections!$B$2:$B$2500,$A659))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IF(OR($A659="",games!$H659=""),"",games!$H659)</f>
      </c>
      <c r="Q659">
        <f>IF(OR($A659="",$P659&lt;&gt;"Yes"),"",$D659+ROW()/1000000)</f>
      </c>
      <c r="T659" t="str">
        <f>IF(connections!$A659="","",IFERROR(INDEX(games!$B$2:$B$1200,MATCH(connections!$A659,games!$A$2:$A$1200,0)),""))</f>
      </c>
      <c r="U659">
        <f>IF(connections!$A659="","",IFERROR(INDEX(games!$B$2:$B$1200,MATCH(connections!$B659,games!$A$2:$A$1200,0)),""))</f>
      </c>
      <c r="V659">
        <f>IF(OR($T659="",$U659=""),"",$U659-$T659)</f>
      </c>
    </row>
    <row r="660">
      <c r="A660" t="str">
        <f>IF(games!$A660="","",games!$A660)</f>
      </c>
      <c r="B660">
        <f>IF($A660="","",games!$B660)</f>
      </c>
      <c r="C660" t="str">
        <f>IF($A660="","",games!$C660)</f>
      </c>
      <c r="D660">
        <f>IF($A660="","",COUNTIF(connections!$A$2:$A$2500,$A660)+COUNTIF(connections!$B$2:$B$2500,$A660))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IF(OR($A660="",games!$H660=""),"",games!$H660)</f>
      </c>
      <c r="Q660">
        <f>IF(OR($A660="",$P660&lt;&gt;"Yes"),"",$D660+ROW()/1000000)</f>
      </c>
      <c r="T660" t="str">
        <f>IF(connections!$A660="","",IFERROR(INDEX(games!$B$2:$B$1200,MATCH(connections!$A660,games!$A$2:$A$1200,0)),""))</f>
      </c>
      <c r="U660">
        <f>IF(connections!$A660="","",IFERROR(INDEX(games!$B$2:$B$1200,MATCH(connections!$B660,games!$A$2:$A$1200,0)),""))</f>
      </c>
      <c r="V660">
        <f>IF(OR($T660="",$U660=""),"",$U660-$T660)</f>
      </c>
    </row>
    <row r="661">
      <c r="A661" t="str">
        <f>IF(games!$A661="","",games!$A661)</f>
      </c>
      <c r="B661">
        <f>IF($A661="","",games!$B661)</f>
      </c>
      <c r="C661" t="str">
        <f>IF($A661="","",games!$C661)</f>
      </c>
      <c r="D661">
        <f>IF($A661="","",COUNTIF(connections!$A$2:$A$2500,$A661)+COUNTIF(connections!$B$2:$B$2500,$A661))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IF(OR($A661="",games!$H661=""),"",games!$H661)</f>
      </c>
      <c r="Q661">
        <f>IF(OR($A661="",$P661&lt;&gt;"Yes"),"",$D661+ROW()/1000000)</f>
      </c>
      <c r="T661" t="str">
        <f>IF(connections!$A661="","",IFERROR(INDEX(games!$B$2:$B$1200,MATCH(connections!$A661,games!$A$2:$A$1200,0)),""))</f>
      </c>
      <c r="U661">
        <f>IF(connections!$A661="","",IFERROR(INDEX(games!$B$2:$B$1200,MATCH(connections!$B661,games!$A$2:$A$1200,0)),""))</f>
      </c>
      <c r="V661">
        <f>IF(OR($T661="",$U661=""),"",$U661-$T661)</f>
      </c>
    </row>
    <row r="662">
      <c r="A662" t="str">
        <f>IF(games!$A662="","",games!$A662)</f>
      </c>
      <c r="B662">
        <f>IF($A662="","",games!$B662)</f>
      </c>
      <c r="C662" t="str">
        <f>IF($A662="","",games!$C662)</f>
      </c>
      <c r="D662">
        <f>IF($A662="","",COUNTIF(connections!$A$2:$A$2500,$A662)+COUNTIF(connections!$B$2:$B$2500,$A662))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IF(OR($A662="",games!$H662=""),"",games!$H662)</f>
      </c>
      <c r="Q662">
        <f>IF(OR($A662="",$P662&lt;&gt;"Yes"),"",$D662+ROW()/1000000)</f>
      </c>
      <c r="T662" t="str">
        <f>IF(connections!$A662="","",IFERROR(INDEX(games!$B$2:$B$1200,MATCH(connections!$A662,games!$A$2:$A$1200,0)),""))</f>
      </c>
      <c r="U662">
        <f>IF(connections!$A662="","",IFERROR(INDEX(games!$B$2:$B$1200,MATCH(connections!$B662,games!$A$2:$A$1200,0)),""))</f>
      </c>
      <c r="V662">
        <f>IF(OR($T662="",$U662=""),"",$U662-$T662)</f>
      </c>
    </row>
    <row r="663">
      <c r="A663" t="str">
        <f>IF(games!$A663="","",games!$A663)</f>
      </c>
      <c r="B663">
        <f>IF($A663="","",games!$B663)</f>
      </c>
      <c r="C663" t="str">
        <f>IF($A663="","",games!$C663)</f>
      </c>
      <c r="D663">
        <f>IF($A663="","",COUNTIF(connections!$A$2:$A$2500,$A663)+COUNTIF(connections!$B$2:$B$2500,$A663))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IF(OR($A663="",games!$H663=""),"",games!$H663)</f>
      </c>
      <c r="Q663">
        <f>IF(OR($A663="",$P663&lt;&gt;"Yes"),"",$D663+ROW()/1000000)</f>
      </c>
      <c r="T663" t="str">
        <f>IF(connections!$A663="","",IFERROR(INDEX(games!$B$2:$B$1200,MATCH(connections!$A663,games!$A$2:$A$1200,0)),""))</f>
      </c>
      <c r="U663">
        <f>IF(connections!$A663="","",IFERROR(INDEX(games!$B$2:$B$1200,MATCH(connections!$B663,games!$A$2:$A$1200,0)),""))</f>
      </c>
      <c r="V663">
        <f>IF(OR($T663="",$U663=""),"",$U663-$T663)</f>
      </c>
    </row>
    <row r="664">
      <c r="A664" t="str">
        <f>IF(games!$A664="","",games!$A664)</f>
      </c>
      <c r="B664">
        <f>IF($A664="","",games!$B664)</f>
      </c>
      <c r="C664" t="str">
        <f>IF($A664="","",games!$C664)</f>
      </c>
      <c r="D664">
        <f>IF($A664="","",COUNTIF(connections!$A$2:$A$2500,$A664)+COUNTIF(connections!$B$2:$B$2500,$A664))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IF(OR($A664="",games!$H664=""),"",games!$H664)</f>
      </c>
      <c r="Q664">
        <f>IF(OR($A664="",$P664&lt;&gt;"Yes"),"",$D664+ROW()/1000000)</f>
      </c>
      <c r="T664" t="str">
        <f>IF(connections!$A664="","",IFERROR(INDEX(games!$B$2:$B$1200,MATCH(connections!$A664,games!$A$2:$A$1200,0)),""))</f>
      </c>
      <c r="U664">
        <f>IF(connections!$A664="","",IFERROR(INDEX(games!$B$2:$B$1200,MATCH(connections!$B664,games!$A$2:$A$1200,0)),""))</f>
      </c>
      <c r="V664">
        <f>IF(OR($T664="",$U664=""),"",$U664-$T664)</f>
      </c>
    </row>
    <row r="665">
      <c r="A665" t="str">
        <f>IF(games!$A665="","",games!$A665)</f>
      </c>
      <c r="B665">
        <f>IF($A665="","",games!$B665)</f>
      </c>
      <c r="C665" t="str">
        <f>IF($A665="","",games!$C665)</f>
      </c>
      <c r="D665">
        <f>IF($A665="","",COUNTIF(connections!$A$2:$A$2500,$A665)+COUNTIF(connections!$B$2:$B$2500,$A665))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IF(OR($A665="",games!$H665=""),"",games!$H665)</f>
      </c>
      <c r="Q665">
        <f>IF(OR($A665="",$P665&lt;&gt;"Yes"),"",$D665+ROW()/1000000)</f>
      </c>
      <c r="T665" t="str">
        <f>IF(connections!$A665="","",IFERROR(INDEX(games!$B$2:$B$1200,MATCH(connections!$A665,games!$A$2:$A$1200,0)),""))</f>
      </c>
      <c r="U665">
        <f>IF(connections!$A665="","",IFERROR(INDEX(games!$B$2:$B$1200,MATCH(connections!$B665,games!$A$2:$A$1200,0)),""))</f>
      </c>
      <c r="V665">
        <f>IF(OR($T665="",$U665=""),"",$U665-$T665)</f>
      </c>
    </row>
    <row r="666">
      <c r="A666" t="str">
        <f>IF(games!$A666="","",games!$A666)</f>
      </c>
      <c r="B666">
        <f>IF($A666="","",games!$B666)</f>
      </c>
      <c r="C666" t="str">
        <f>IF($A666="","",games!$C666)</f>
      </c>
      <c r="D666">
        <f>IF($A666="","",COUNTIF(connections!$A$2:$A$2500,$A666)+COUNTIF(connections!$B$2:$B$2500,$A666))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IF(OR($A666="",games!$H666=""),"",games!$H666)</f>
      </c>
      <c r="Q666">
        <f>IF(OR($A666="",$P666&lt;&gt;"Yes"),"",$D666+ROW()/1000000)</f>
      </c>
      <c r="T666" t="str">
        <f>IF(connections!$A666="","",IFERROR(INDEX(games!$B$2:$B$1200,MATCH(connections!$A666,games!$A$2:$A$1200,0)),""))</f>
      </c>
      <c r="U666">
        <f>IF(connections!$A666="","",IFERROR(INDEX(games!$B$2:$B$1200,MATCH(connections!$B666,games!$A$2:$A$1200,0)),""))</f>
      </c>
      <c r="V666">
        <f>IF(OR($T666="",$U666=""),"",$U666-$T666)</f>
      </c>
    </row>
    <row r="667">
      <c r="A667" t="str">
        <f>IF(games!$A667="","",games!$A667)</f>
      </c>
      <c r="B667">
        <f>IF($A667="","",games!$B667)</f>
      </c>
      <c r="C667" t="str">
        <f>IF($A667="","",games!$C667)</f>
      </c>
      <c r="D667">
        <f>IF($A667="","",COUNTIF(connections!$A$2:$A$2500,$A667)+COUNTIF(connections!$B$2:$B$2500,$A667))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IF(OR($A667="",games!$H667=""),"",games!$H667)</f>
      </c>
      <c r="Q667">
        <f>IF(OR($A667="",$P667&lt;&gt;"Yes"),"",$D667+ROW()/1000000)</f>
      </c>
      <c r="T667" t="str">
        <f>IF(connections!$A667="","",IFERROR(INDEX(games!$B$2:$B$1200,MATCH(connections!$A667,games!$A$2:$A$1200,0)),""))</f>
      </c>
      <c r="U667">
        <f>IF(connections!$A667="","",IFERROR(INDEX(games!$B$2:$B$1200,MATCH(connections!$B667,games!$A$2:$A$1200,0)),""))</f>
      </c>
      <c r="V667">
        <f>IF(OR($T667="",$U667=""),"",$U667-$T667)</f>
      </c>
    </row>
    <row r="668">
      <c r="A668" t="str">
        <f>IF(games!$A668="","",games!$A668)</f>
      </c>
      <c r="B668">
        <f>IF($A668="","",games!$B668)</f>
      </c>
      <c r="C668" t="str">
        <f>IF($A668="","",games!$C668)</f>
      </c>
      <c r="D668">
        <f>IF($A668="","",COUNTIF(connections!$A$2:$A$2500,$A668)+COUNTIF(connections!$B$2:$B$2500,$A668))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IF(OR($A668="",games!$H668=""),"",games!$H668)</f>
      </c>
      <c r="Q668">
        <f>IF(OR($A668="",$P668&lt;&gt;"Yes"),"",$D668+ROW()/1000000)</f>
      </c>
      <c r="T668" t="str">
        <f>IF(connections!$A668="","",IFERROR(INDEX(games!$B$2:$B$1200,MATCH(connections!$A668,games!$A$2:$A$1200,0)),""))</f>
      </c>
      <c r="U668">
        <f>IF(connections!$A668="","",IFERROR(INDEX(games!$B$2:$B$1200,MATCH(connections!$B668,games!$A$2:$A$1200,0)),""))</f>
      </c>
      <c r="V668">
        <f>IF(OR($T668="",$U668=""),"",$U668-$T668)</f>
      </c>
    </row>
    <row r="669">
      <c r="A669" t="str">
        <f>IF(games!$A669="","",games!$A669)</f>
      </c>
      <c r="B669">
        <f>IF($A669="","",games!$B669)</f>
      </c>
      <c r="C669" t="str">
        <f>IF($A669="","",games!$C669)</f>
      </c>
      <c r="D669">
        <f>IF($A669="","",COUNTIF(connections!$A$2:$A$2500,$A669)+COUNTIF(connections!$B$2:$B$2500,$A669))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IF(OR($A669="",games!$H669=""),"",games!$H669)</f>
      </c>
      <c r="Q669">
        <f>IF(OR($A669="",$P669&lt;&gt;"Yes"),"",$D669+ROW()/1000000)</f>
      </c>
      <c r="T669" t="str">
        <f>IF(connections!$A669="","",IFERROR(INDEX(games!$B$2:$B$1200,MATCH(connections!$A669,games!$A$2:$A$1200,0)),""))</f>
      </c>
      <c r="U669">
        <f>IF(connections!$A669="","",IFERROR(INDEX(games!$B$2:$B$1200,MATCH(connections!$B669,games!$A$2:$A$1200,0)),""))</f>
      </c>
      <c r="V669">
        <f>IF(OR($T669="",$U669=""),"",$U669-$T669)</f>
      </c>
    </row>
    <row r="670">
      <c r="A670" t="str">
        <f>IF(games!$A670="","",games!$A670)</f>
      </c>
      <c r="B670">
        <f>IF($A670="","",games!$B670)</f>
      </c>
      <c r="C670" t="str">
        <f>IF($A670="","",games!$C670)</f>
      </c>
      <c r="D670">
        <f>IF($A670="","",COUNTIF(connections!$A$2:$A$2500,$A670)+COUNTIF(connections!$B$2:$B$2500,$A670))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IF(OR($A670="",games!$H670=""),"",games!$H670)</f>
      </c>
      <c r="Q670">
        <f>IF(OR($A670="",$P670&lt;&gt;"Yes"),"",$D670+ROW()/1000000)</f>
      </c>
      <c r="T670" t="str">
        <f>IF(connections!$A670="","",IFERROR(INDEX(games!$B$2:$B$1200,MATCH(connections!$A670,games!$A$2:$A$1200,0)),""))</f>
      </c>
      <c r="U670">
        <f>IF(connections!$A670="","",IFERROR(INDEX(games!$B$2:$B$1200,MATCH(connections!$B670,games!$A$2:$A$1200,0)),""))</f>
      </c>
      <c r="V670">
        <f>IF(OR($T670="",$U670=""),"",$U670-$T670)</f>
      </c>
    </row>
    <row r="671">
      <c r="A671" t="str">
        <f>IF(games!$A671="","",games!$A671)</f>
      </c>
      <c r="B671">
        <f>IF($A671="","",games!$B671)</f>
      </c>
      <c r="C671" t="str">
        <f>IF($A671="","",games!$C671)</f>
      </c>
      <c r="D671">
        <f>IF($A671="","",COUNTIF(connections!$A$2:$A$2500,$A671)+COUNTIF(connections!$B$2:$B$2500,$A671))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IF(OR($A671="",games!$H671=""),"",games!$H671)</f>
      </c>
      <c r="Q671">
        <f>IF(OR($A671="",$P671&lt;&gt;"Yes"),"",$D671+ROW()/1000000)</f>
      </c>
      <c r="T671" t="str">
        <f>IF(connections!$A671="","",IFERROR(INDEX(games!$B$2:$B$1200,MATCH(connections!$A671,games!$A$2:$A$1200,0)),""))</f>
      </c>
      <c r="U671">
        <f>IF(connections!$A671="","",IFERROR(INDEX(games!$B$2:$B$1200,MATCH(connections!$B671,games!$A$2:$A$1200,0)),""))</f>
      </c>
      <c r="V671">
        <f>IF(OR($T671="",$U671=""),"",$U671-$T671)</f>
      </c>
    </row>
    <row r="672">
      <c r="A672" t="str">
        <f>IF(games!$A672="","",games!$A672)</f>
      </c>
      <c r="B672">
        <f>IF($A672="","",games!$B672)</f>
      </c>
      <c r="C672" t="str">
        <f>IF($A672="","",games!$C672)</f>
      </c>
      <c r="D672">
        <f>IF($A672="","",COUNTIF(connections!$A$2:$A$2500,$A672)+COUNTIF(connections!$B$2:$B$2500,$A672))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IF(OR($A672="",games!$H672=""),"",games!$H672)</f>
      </c>
      <c r="Q672">
        <f>IF(OR($A672="",$P672&lt;&gt;"Yes"),"",$D672+ROW()/1000000)</f>
      </c>
      <c r="T672" t="str">
        <f>IF(connections!$A672="","",IFERROR(INDEX(games!$B$2:$B$1200,MATCH(connections!$A672,games!$A$2:$A$1200,0)),""))</f>
      </c>
      <c r="U672">
        <f>IF(connections!$A672="","",IFERROR(INDEX(games!$B$2:$B$1200,MATCH(connections!$B672,games!$A$2:$A$1200,0)),""))</f>
      </c>
      <c r="V672">
        <f>IF(OR($T672="",$U672=""),"",$U672-$T672)</f>
      </c>
    </row>
    <row r="673">
      <c r="A673" t="str">
        <f>IF(games!$A673="","",games!$A673)</f>
      </c>
      <c r="B673">
        <f>IF($A673="","",games!$B673)</f>
      </c>
      <c r="C673" t="str">
        <f>IF($A673="","",games!$C673)</f>
      </c>
      <c r="D673">
        <f>IF($A673="","",COUNTIF(connections!$A$2:$A$2500,$A673)+COUNTIF(connections!$B$2:$B$2500,$A673))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IF(OR($A673="",games!$H673=""),"",games!$H673)</f>
      </c>
      <c r="Q673">
        <f>IF(OR($A673="",$P673&lt;&gt;"Yes"),"",$D673+ROW()/1000000)</f>
      </c>
      <c r="T673" t="str">
        <f>IF(connections!$A673="","",IFERROR(INDEX(games!$B$2:$B$1200,MATCH(connections!$A673,games!$A$2:$A$1200,0)),""))</f>
      </c>
      <c r="U673">
        <f>IF(connections!$A673="","",IFERROR(INDEX(games!$B$2:$B$1200,MATCH(connections!$B673,games!$A$2:$A$1200,0)),""))</f>
      </c>
      <c r="V673">
        <f>IF(OR($T673="",$U673=""),"",$U673-$T673)</f>
      </c>
    </row>
    <row r="674">
      <c r="A674" t="str">
        <f>IF(games!$A674="","",games!$A674)</f>
      </c>
      <c r="B674">
        <f>IF($A674="","",games!$B674)</f>
      </c>
      <c r="C674" t="str">
        <f>IF($A674="","",games!$C674)</f>
      </c>
      <c r="D674">
        <f>IF($A674="","",COUNTIF(connections!$A$2:$A$2500,$A674)+COUNTIF(connections!$B$2:$B$2500,$A674))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IF(OR($A674="",games!$H674=""),"",games!$H674)</f>
      </c>
      <c r="Q674">
        <f>IF(OR($A674="",$P674&lt;&gt;"Yes"),"",$D674+ROW()/1000000)</f>
      </c>
      <c r="T674" t="str">
        <f>IF(connections!$A674="","",IFERROR(INDEX(games!$B$2:$B$1200,MATCH(connections!$A674,games!$A$2:$A$1200,0)),""))</f>
      </c>
      <c r="U674">
        <f>IF(connections!$A674="","",IFERROR(INDEX(games!$B$2:$B$1200,MATCH(connections!$B674,games!$A$2:$A$1200,0)),""))</f>
      </c>
      <c r="V674">
        <f>IF(OR($T674="",$U674=""),"",$U674-$T674)</f>
      </c>
    </row>
    <row r="675">
      <c r="A675" t="str">
        <f>IF(games!$A675="","",games!$A675)</f>
      </c>
      <c r="B675">
        <f>IF($A675="","",games!$B675)</f>
      </c>
      <c r="C675" t="str">
        <f>IF($A675="","",games!$C675)</f>
      </c>
      <c r="D675">
        <f>IF($A675="","",COUNTIF(connections!$A$2:$A$2500,$A675)+COUNTIF(connections!$B$2:$B$2500,$A675))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IF(OR($A675="",games!$H675=""),"",games!$H675)</f>
      </c>
      <c r="Q675">
        <f>IF(OR($A675="",$P675&lt;&gt;"Yes"),"",$D675+ROW()/1000000)</f>
      </c>
      <c r="T675" t="str">
        <f>IF(connections!$A675="","",IFERROR(INDEX(games!$B$2:$B$1200,MATCH(connections!$A675,games!$A$2:$A$1200,0)),""))</f>
      </c>
      <c r="U675">
        <f>IF(connections!$A675="","",IFERROR(INDEX(games!$B$2:$B$1200,MATCH(connections!$B675,games!$A$2:$A$1200,0)),""))</f>
      </c>
      <c r="V675">
        <f>IF(OR($T675="",$U675=""),"",$U675-$T675)</f>
      </c>
    </row>
    <row r="676">
      <c r="A676" t="str">
        <f>IF(games!$A676="","",games!$A676)</f>
      </c>
      <c r="B676">
        <f>IF($A676="","",games!$B676)</f>
      </c>
      <c r="C676" t="str">
        <f>IF($A676="","",games!$C676)</f>
      </c>
      <c r="D676">
        <f>IF($A676="","",COUNTIF(connections!$A$2:$A$2500,$A676)+COUNTIF(connections!$B$2:$B$2500,$A676))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IF(OR($A676="",games!$H676=""),"",games!$H676)</f>
      </c>
      <c r="Q676">
        <f>IF(OR($A676="",$P676&lt;&gt;"Yes"),"",$D676+ROW()/1000000)</f>
      </c>
      <c r="T676" t="str">
        <f>IF(connections!$A676="","",IFERROR(INDEX(games!$B$2:$B$1200,MATCH(connections!$A676,games!$A$2:$A$1200,0)),""))</f>
      </c>
      <c r="U676">
        <f>IF(connections!$A676="","",IFERROR(INDEX(games!$B$2:$B$1200,MATCH(connections!$B676,games!$A$2:$A$1200,0)),""))</f>
      </c>
      <c r="V676">
        <f>IF(OR($T676="",$U676=""),"",$U676-$T676)</f>
      </c>
    </row>
    <row r="677">
      <c r="A677" t="str">
        <f>IF(games!$A677="","",games!$A677)</f>
      </c>
      <c r="B677">
        <f>IF($A677="","",games!$B677)</f>
      </c>
      <c r="C677" t="str">
        <f>IF($A677="","",games!$C677)</f>
      </c>
      <c r="D677">
        <f>IF($A677="","",COUNTIF(connections!$A$2:$A$2500,$A677)+COUNTIF(connections!$B$2:$B$2500,$A677))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IF(OR($A677="",games!$H677=""),"",games!$H677)</f>
      </c>
      <c r="Q677">
        <f>IF(OR($A677="",$P677&lt;&gt;"Yes"),"",$D677+ROW()/1000000)</f>
      </c>
      <c r="T677" t="str">
        <f>IF(connections!$A677="","",IFERROR(INDEX(games!$B$2:$B$1200,MATCH(connections!$A677,games!$A$2:$A$1200,0)),""))</f>
      </c>
      <c r="U677">
        <f>IF(connections!$A677="","",IFERROR(INDEX(games!$B$2:$B$1200,MATCH(connections!$B677,games!$A$2:$A$1200,0)),""))</f>
      </c>
      <c r="V677">
        <f>IF(OR($T677="",$U677=""),"",$U677-$T677)</f>
      </c>
    </row>
    <row r="678">
      <c r="A678" t="str">
        <f>IF(games!$A678="","",games!$A678)</f>
      </c>
      <c r="B678">
        <f>IF($A678="","",games!$B678)</f>
      </c>
      <c r="C678" t="str">
        <f>IF($A678="","",games!$C678)</f>
      </c>
      <c r="D678">
        <f>IF($A678="","",COUNTIF(connections!$A$2:$A$2500,$A678)+COUNTIF(connections!$B$2:$B$2500,$A678))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IF(OR($A678="",games!$H678=""),"",games!$H678)</f>
      </c>
      <c r="Q678">
        <f>IF(OR($A678="",$P678&lt;&gt;"Yes"),"",$D678+ROW()/1000000)</f>
      </c>
      <c r="T678" t="str">
        <f>IF(connections!$A678="","",IFERROR(INDEX(games!$B$2:$B$1200,MATCH(connections!$A678,games!$A$2:$A$1200,0)),""))</f>
      </c>
      <c r="U678">
        <f>IF(connections!$A678="","",IFERROR(INDEX(games!$B$2:$B$1200,MATCH(connections!$B678,games!$A$2:$A$1200,0)),""))</f>
      </c>
      <c r="V678">
        <f>IF(OR($T678="",$U678=""),"",$U678-$T678)</f>
      </c>
    </row>
    <row r="679">
      <c r="A679" t="str">
        <f>IF(games!$A679="","",games!$A679)</f>
      </c>
      <c r="B679">
        <f>IF($A679="","",games!$B679)</f>
      </c>
      <c r="C679" t="str">
        <f>IF($A679="","",games!$C679)</f>
      </c>
      <c r="D679">
        <f>IF($A679="","",COUNTIF(connections!$A$2:$A$2500,$A679)+COUNTIF(connections!$B$2:$B$2500,$A679))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IF(OR($A679="",games!$H679=""),"",games!$H679)</f>
      </c>
      <c r="Q679">
        <f>IF(OR($A679="",$P679&lt;&gt;"Yes"),"",$D679+ROW()/1000000)</f>
      </c>
      <c r="T679" t="str">
        <f>IF(connections!$A679="","",IFERROR(INDEX(games!$B$2:$B$1200,MATCH(connections!$A679,games!$A$2:$A$1200,0)),""))</f>
      </c>
      <c r="U679">
        <f>IF(connections!$A679="","",IFERROR(INDEX(games!$B$2:$B$1200,MATCH(connections!$B679,games!$A$2:$A$1200,0)),""))</f>
      </c>
      <c r="V679">
        <f>IF(OR($T679="",$U679=""),"",$U679-$T679)</f>
      </c>
    </row>
    <row r="680">
      <c r="A680" t="str">
        <f>IF(games!$A680="","",games!$A680)</f>
      </c>
      <c r="B680">
        <f>IF($A680="","",games!$B680)</f>
      </c>
      <c r="C680" t="str">
        <f>IF($A680="","",games!$C680)</f>
      </c>
      <c r="D680">
        <f>IF($A680="","",COUNTIF(connections!$A$2:$A$2500,$A680)+COUNTIF(connections!$B$2:$B$2500,$A680))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IF(OR($A680="",games!$H680=""),"",games!$H680)</f>
      </c>
      <c r="Q680">
        <f>IF(OR($A680="",$P680&lt;&gt;"Yes"),"",$D680+ROW()/1000000)</f>
      </c>
      <c r="T680" t="str">
        <f>IF(connections!$A680="","",IFERROR(INDEX(games!$B$2:$B$1200,MATCH(connections!$A680,games!$A$2:$A$1200,0)),""))</f>
      </c>
      <c r="U680">
        <f>IF(connections!$A680="","",IFERROR(INDEX(games!$B$2:$B$1200,MATCH(connections!$B680,games!$A$2:$A$1200,0)),""))</f>
      </c>
      <c r="V680">
        <f>IF(OR($T680="",$U680=""),"",$U680-$T680)</f>
      </c>
    </row>
    <row r="681">
      <c r="A681" t="str">
        <f>IF(games!$A681="","",games!$A681)</f>
      </c>
      <c r="B681">
        <f>IF($A681="","",games!$B681)</f>
      </c>
      <c r="C681" t="str">
        <f>IF($A681="","",games!$C681)</f>
      </c>
      <c r="D681">
        <f>IF($A681="","",COUNTIF(connections!$A$2:$A$2500,$A681)+COUNTIF(connections!$B$2:$B$2500,$A681))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IF(OR($A681="",games!$H681=""),"",games!$H681)</f>
      </c>
      <c r="Q681">
        <f>IF(OR($A681="",$P681&lt;&gt;"Yes"),"",$D681+ROW()/1000000)</f>
      </c>
      <c r="T681" t="str">
        <f>IF(connections!$A681="","",IFERROR(INDEX(games!$B$2:$B$1200,MATCH(connections!$A681,games!$A$2:$A$1200,0)),""))</f>
      </c>
      <c r="U681">
        <f>IF(connections!$A681="","",IFERROR(INDEX(games!$B$2:$B$1200,MATCH(connections!$B681,games!$A$2:$A$1200,0)),""))</f>
      </c>
      <c r="V681">
        <f>IF(OR($T681="",$U681=""),"",$U681-$T681)</f>
      </c>
    </row>
    <row r="682">
      <c r="A682" t="str">
        <f>IF(games!$A682="","",games!$A682)</f>
      </c>
      <c r="B682">
        <f>IF($A682="","",games!$B682)</f>
      </c>
      <c r="C682" t="str">
        <f>IF($A682="","",games!$C682)</f>
      </c>
      <c r="D682">
        <f>IF($A682="","",COUNTIF(connections!$A$2:$A$2500,$A682)+COUNTIF(connections!$B$2:$B$2500,$A682))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IF(OR($A682="",games!$H682=""),"",games!$H682)</f>
      </c>
      <c r="Q682">
        <f>IF(OR($A682="",$P682&lt;&gt;"Yes"),"",$D682+ROW()/1000000)</f>
      </c>
      <c r="T682" t="str">
        <f>IF(connections!$A682="","",IFERROR(INDEX(games!$B$2:$B$1200,MATCH(connections!$A682,games!$A$2:$A$1200,0)),""))</f>
      </c>
      <c r="U682">
        <f>IF(connections!$A682="","",IFERROR(INDEX(games!$B$2:$B$1200,MATCH(connections!$B682,games!$A$2:$A$1200,0)),""))</f>
      </c>
      <c r="V682">
        <f>IF(OR($T682="",$U682=""),"",$U682-$T682)</f>
      </c>
    </row>
    <row r="683">
      <c r="A683" t="str">
        <f>IF(games!$A683="","",games!$A683)</f>
      </c>
      <c r="B683">
        <f>IF($A683="","",games!$B683)</f>
      </c>
      <c r="C683" t="str">
        <f>IF($A683="","",games!$C683)</f>
      </c>
      <c r="D683">
        <f>IF($A683="","",COUNTIF(connections!$A$2:$A$2500,$A683)+COUNTIF(connections!$B$2:$B$2500,$A683))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IF(OR($A683="",games!$H683=""),"",games!$H683)</f>
      </c>
      <c r="Q683">
        <f>IF(OR($A683="",$P683&lt;&gt;"Yes"),"",$D683+ROW()/1000000)</f>
      </c>
      <c r="T683" t="str">
        <f>IF(connections!$A683="","",IFERROR(INDEX(games!$B$2:$B$1200,MATCH(connections!$A683,games!$A$2:$A$1200,0)),""))</f>
      </c>
      <c r="U683">
        <f>IF(connections!$A683="","",IFERROR(INDEX(games!$B$2:$B$1200,MATCH(connections!$B683,games!$A$2:$A$1200,0)),""))</f>
      </c>
      <c r="V683">
        <f>IF(OR($T683="",$U683=""),"",$U683-$T683)</f>
      </c>
    </row>
    <row r="684">
      <c r="A684" t="str">
        <f>IF(games!$A684="","",games!$A684)</f>
      </c>
      <c r="B684">
        <f>IF($A684="","",games!$B684)</f>
      </c>
      <c r="C684" t="str">
        <f>IF($A684="","",games!$C684)</f>
      </c>
      <c r="D684">
        <f>IF($A684="","",COUNTIF(connections!$A$2:$A$2500,$A684)+COUNTIF(connections!$B$2:$B$2500,$A684))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IF(OR($A684="",games!$H684=""),"",games!$H684)</f>
      </c>
      <c r="Q684">
        <f>IF(OR($A684="",$P684&lt;&gt;"Yes"),"",$D684+ROW()/1000000)</f>
      </c>
      <c r="T684" t="str">
        <f>IF(connections!$A684="","",IFERROR(INDEX(games!$B$2:$B$1200,MATCH(connections!$A684,games!$A$2:$A$1200,0)),""))</f>
      </c>
      <c r="U684">
        <f>IF(connections!$A684="","",IFERROR(INDEX(games!$B$2:$B$1200,MATCH(connections!$B684,games!$A$2:$A$1200,0)),""))</f>
      </c>
      <c r="V684">
        <f>IF(OR($T684="",$U684=""),"",$U684-$T684)</f>
      </c>
    </row>
    <row r="685">
      <c r="A685" t="str">
        <f>IF(games!$A685="","",games!$A685)</f>
      </c>
      <c r="B685">
        <f>IF($A685="","",games!$B685)</f>
      </c>
      <c r="C685" t="str">
        <f>IF($A685="","",games!$C685)</f>
      </c>
      <c r="D685">
        <f>IF($A685="","",COUNTIF(connections!$A$2:$A$2500,$A685)+COUNTIF(connections!$B$2:$B$2500,$A685))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IF(OR($A685="",games!$H685=""),"",games!$H685)</f>
      </c>
      <c r="Q685">
        <f>IF(OR($A685="",$P685&lt;&gt;"Yes"),"",$D685+ROW()/1000000)</f>
      </c>
      <c r="T685" t="str">
        <f>IF(connections!$A685="","",IFERROR(INDEX(games!$B$2:$B$1200,MATCH(connections!$A685,games!$A$2:$A$1200,0)),""))</f>
      </c>
      <c r="U685">
        <f>IF(connections!$A685="","",IFERROR(INDEX(games!$B$2:$B$1200,MATCH(connections!$B685,games!$A$2:$A$1200,0)),""))</f>
      </c>
      <c r="V685">
        <f>IF(OR($T685="",$U685=""),"",$U685-$T685)</f>
      </c>
    </row>
    <row r="686">
      <c r="A686" t="str">
        <f>IF(games!$A686="","",games!$A686)</f>
      </c>
      <c r="B686">
        <f>IF($A686="","",games!$B686)</f>
      </c>
      <c r="C686" t="str">
        <f>IF($A686="","",games!$C686)</f>
      </c>
      <c r="D686">
        <f>IF($A686="","",COUNTIF(connections!$A$2:$A$2500,$A686)+COUNTIF(connections!$B$2:$B$2500,$A686))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IF(OR($A686="",games!$H686=""),"",games!$H686)</f>
      </c>
      <c r="Q686">
        <f>IF(OR($A686="",$P686&lt;&gt;"Yes"),"",$D686+ROW()/1000000)</f>
      </c>
      <c r="T686" t="str">
        <f>IF(connections!$A686="","",IFERROR(INDEX(games!$B$2:$B$1200,MATCH(connections!$A686,games!$A$2:$A$1200,0)),""))</f>
      </c>
      <c r="U686">
        <f>IF(connections!$A686="","",IFERROR(INDEX(games!$B$2:$B$1200,MATCH(connections!$B686,games!$A$2:$A$1200,0)),""))</f>
      </c>
      <c r="V686">
        <f>IF(OR($T686="",$U686=""),"",$U686-$T686)</f>
      </c>
    </row>
    <row r="687">
      <c r="A687" t="str">
        <f>IF(games!$A687="","",games!$A687)</f>
      </c>
      <c r="B687">
        <f>IF($A687="","",games!$B687)</f>
      </c>
      <c r="C687" t="str">
        <f>IF($A687="","",games!$C687)</f>
      </c>
      <c r="D687">
        <f>IF($A687="","",COUNTIF(connections!$A$2:$A$2500,$A687)+COUNTIF(connections!$B$2:$B$2500,$A687))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IF(OR($A687="",games!$H687=""),"",games!$H687)</f>
      </c>
      <c r="Q687">
        <f>IF(OR($A687="",$P687&lt;&gt;"Yes"),"",$D687+ROW()/1000000)</f>
      </c>
      <c r="T687" t="str">
        <f>IF(connections!$A687="","",IFERROR(INDEX(games!$B$2:$B$1200,MATCH(connections!$A687,games!$A$2:$A$1200,0)),""))</f>
      </c>
      <c r="U687">
        <f>IF(connections!$A687="","",IFERROR(INDEX(games!$B$2:$B$1200,MATCH(connections!$B687,games!$A$2:$A$1200,0)),""))</f>
      </c>
      <c r="V687">
        <f>IF(OR($T687="",$U687=""),"",$U687-$T687)</f>
      </c>
    </row>
    <row r="688">
      <c r="A688" t="str">
        <f>IF(games!$A688="","",games!$A688)</f>
      </c>
      <c r="B688">
        <f>IF($A688="","",games!$B688)</f>
      </c>
      <c r="C688" t="str">
        <f>IF($A688="","",games!$C688)</f>
      </c>
      <c r="D688">
        <f>IF($A688="","",COUNTIF(connections!$A$2:$A$2500,$A688)+COUNTIF(connections!$B$2:$B$2500,$A688))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IF(OR($A688="",games!$H688=""),"",games!$H688)</f>
      </c>
      <c r="Q688">
        <f>IF(OR($A688="",$P688&lt;&gt;"Yes"),"",$D688+ROW()/1000000)</f>
      </c>
      <c r="T688" t="str">
        <f>IF(connections!$A688="","",IFERROR(INDEX(games!$B$2:$B$1200,MATCH(connections!$A688,games!$A$2:$A$1200,0)),""))</f>
      </c>
      <c r="U688">
        <f>IF(connections!$A688="","",IFERROR(INDEX(games!$B$2:$B$1200,MATCH(connections!$B688,games!$A$2:$A$1200,0)),""))</f>
      </c>
      <c r="V688">
        <f>IF(OR($T688="",$U688=""),"",$U688-$T688)</f>
      </c>
    </row>
    <row r="689">
      <c r="A689" t="str">
        <f>IF(games!$A689="","",games!$A689)</f>
      </c>
      <c r="B689">
        <f>IF($A689="","",games!$B689)</f>
      </c>
      <c r="C689" t="str">
        <f>IF($A689="","",games!$C689)</f>
      </c>
      <c r="D689">
        <f>IF($A689="","",COUNTIF(connections!$A$2:$A$2500,$A689)+COUNTIF(connections!$B$2:$B$2500,$A689))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IF(OR($A689="",games!$H689=""),"",games!$H689)</f>
      </c>
      <c r="Q689">
        <f>IF(OR($A689="",$P689&lt;&gt;"Yes"),"",$D689+ROW()/1000000)</f>
      </c>
      <c r="T689" t="str">
        <f>IF(connections!$A689="","",IFERROR(INDEX(games!$B$2:$B$1200,MATCH(connections!$A689,games!$A$2:$A$1200,0)),""))</f>
      </c>
      <c r="U689">
        <f>IF(connections!$A689="","",IFERROR(INDEX(games!$B$2:$B$1200,MATCH(connections!$B689,games!$A$2:$A$1200,0)),""))</f>
      </c>
      <c r="V689">
        <f>IF(OR($T689="",$U689=""),"",$U689-$T689)</f>
      </c>
    </row>
    <row r="690">
      <c r="A690" t="str">
        <f>IF(games!$A690="","",games!$A690)</f>
      </c>
      <c r="B690">
        <f>IF($A690="","",games!$B690)</f>
      </c>
      <c r="C690" t="str">
        <f>IF($A690="","",games!$C690)</f>
      </c>
      <c r="D690">
        <f>IF($A690="","",COUNTIF(connections!$A$2:$A$2500,$A690)+COUNTIF(connections!$B$2:$B$2500,$A690))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IF(OR($A690="",games!$H690=""),"",games!$H690)</f>
      </c>
      <c r="Q690">
        <f>IF(OR($A690="",$P690&lt;&gt;"Yes"),"",$D690+ROW()/1000000)</f>
      </c>
      <c r="T690" t="str">
        <f>IF(connections!$A690="","",IFERROR(INDEX(games!$B$2:$B$1200,MATCH(connections!$A690,games!$A$2:$A$1200,0)),""))</f>
      </c>
      <c r="U690">
        <f>IF(connections!$A690="","",IFERROR(INDEX(games!$B$2:$B$1200,MATCH(connections!$B690,games!$A$2:$A$1200,0)),""))</f>
      </c>
      <c r="V690">
        <f>IF(OR($T690="",$U690=""),"",$U690-$T690)</f>
      </c>
    </row>
    <row r="691">
      <c r="A691" t="str">
        <f>IF(games!$A691="","",games!$A691)</f>
      </c>
      <c r="B691">
        <f>IF($A691="","",games!$B691)</f>
      </c>
      <c r="C691" t="str">
        <f>IF($A691="","",games!$C691)</f>
      </c>
      <c r="D691">
        <f>IF($A691="","",COUNTIF(connections!$A$2:$A$2500,$A691)+COUNTIF(connections!$B$2:$B$2500,$A691))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IF(OR($A691="",games!$H691=""),"",games!$H691)</f>
      </c>
      <c r="Q691">
        <f>IF(OR($A691="",$P691&lt;&gt;"Yes"),"",$D691+ROW()/1000000)</f>
      </c>
      <c r="T691" t="str">
        <f>IF(connections!$A691="","",IFERROR(INDEX(games!$B$2:$B$1200,MATCH(connections!$A691,games!$A$2:$A$1200,0)),""))</f>
      </c>
      <c r="U691">
        <f>IF(connections!$A691="","",IFERROR(INDEX(games!$B$2:$B$1200,MATCH(connections!$B691,games!$A$2:$A$1200,0)),""))</f>
      </c>
      <c r="V691">
        <f>IF(OR($T691="",$U691=""),"",$U691-$T691)</f>
      </c>
    </row>
    <row r="692">
      <c r="A692" t="str">
        <f>IF(games!$A692="","",games!$A692)</f>
      </c>
      <c r="B692">
        <f>IF($A692="","",games!$B692)</f>
      </c>
      <c r="C692" t="str">
        <f>IF($A692="","",games!$C692)</f>
      </c>
      <c r="D692">
        <f>IF($A692="","",COUNTIF(connections!$A$2:$A$2500,$A692)+COUNTIF(connections!$B$2:$B$2500,$A692))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IF(OR($A692="",games!$H692=""),"",games!$H692)</f>
      </c>
      <c r="Q692">
        <f>IF(OR($A692="",$P692&lt;&gt;"Yes"),"",$D692+ROW()/1000000)</f>
      </c>
      <c r="T692" t="str">
        <f>IF(connections!$A692="","",IFERROR(INDEX(games!$B$2:$B$1200,MATCH(connections!$A692,games!$A$2:$A$1200,0)),""))</f>
      </c>
      <c r="U692">
        <f>IF(connections!$A692="","",IFERROR(INDEX(games!$B$2:$B$1200,MATCH(connections!$B692,games!$A$2:$A$1200,0)),""))</f>
      </c>
      <c r="V692">
        <f>IF(OR($T692="",$U692=""),"",$U692-$T692)</f>
      </c>
    </row>
    <row r="693">
      <c r="A693" t="str">
        <f>IF(games!$A693="","",games!$A693)</f>
      </c>
      <c r="B693">
        <f>IF($A693="","",games!$B693)</f>
      </c>
      <c r="C693" t="str">
        <f>IF($A693="","",games!$C693)</f>
      </c>
      <c r="D693">
        <f>IF($A693="","",COUNTIF(connections!$A$2:$A$2500,$A693)+COUNTIF(connections!$B$2:$B$2500,$A693))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IF(OR($A693="",games!$H693=""),"",games!$H693)</f>
      </c>
      <c r="Q693">
        <f>IF(OR($A693="",$P693&lt;&gt;"Yes"),"",$D693+ROW()/1000000)</f>
      </c>
      <c r="T693" t="str">
        <f>IF(connections!$A693="","",IFERROR(INDEX(games!$B$2:$B$1200,MATCH(connections!$A693,games!$A$2:$A$1200,0)),""))</f>
      </c>
      <c r="U693">
        <f>IF(connections!$A693="","",IFERROR(INDEX(games!$B$2:$B$1200,MATCH(connections!$B693,games!$A$2:$A$1200,0)),""))</f>
      </c>
      <c r="V693">
        <f>IF(OR($T693="",$U693=""),"",$U693-$T693)</f>
      </c>
    </row>
    <row r="694">
      <c r="A694" t="str">
        <f>IF(games!$A694="","",games!$A694)</f>
      </c>
      <c r="B694">
        <f>IF($A694="","",games!$B694)</f>
      </c>
      <c r="C694" t="str">
        <f>IF($A694="","",games!$C694)</f>
      </c>
      <c r="D694">
        <f>IF($A694="","",COUNTIF(connections!$A$2:$A$2500,$A694)+COUNTIF(connections!$B$2:$B$2500,$A694))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IF(OR($A694="",games!$H694=""),"",games!$H694)</f>
      </c>
      <c r="Q694">
        <f>IF(OR($A694="",$P694&lt;&gt;"Yes"),"",$D694+ROW()/1000000)</f>
      </c>
      <c r="T694" t="str">
        <f>IF(connections!$A694="","",IFERROR(INDEX(games!$B$2:$B$1200,MATCH(connections!$A694,games!$A$2:$A$1200,0)),""))</f>
      </c>
      <c r="U694">
        <f>IF(connections!$A694="","",IFERROR(INDEX(games!$B$2:$B$1200,MATCH(connections!$B694,games!$A$2:$A$1200,0)),""))</f>
      </c>
      <c r="V694">
        <f>IF(OR($T694="",$U694=""),"",$U694-$T694)</f>
      </c>
    </row>
    <row r="695">
      <c r="A695" t="str">
        <f>IF(games!$A695="","",games!$A695)</f>
      </c>
      <c r="B695">
        <f>IF($A695="","",games!$B695)</f>
      </c>
      <c r="C695" t="str">
        <f>IF($A695="","",games!$C695)</f>
      </c>
      <c r="D695">
        <f>IF($A695="","",COUNTIF(connections!$A$2:$A$2500,$A695)+COUNTIF(connections!$B$2:$B$2500,$A695))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IF(OR($A695="",games!$H695=""),"",games!$H695)</f>
      </c>
      <c r="Q695">
        <f>IF(OR($A695="",$P695&lt;&gt;"Yes"),"",$D695+ROW()/1000000)</f>
      </c>
      <c r="T695" t="str">
        <f>IF(connections!$A695="","",IFERROR(INDEX(games!$B$2:$B$1200,MATCH(connections!$A695,games!$A$2:$A$1200,0)),""))</f>
      </c>
      <c r="U695">
        <f>IF(connections!$A695="","",IFERROR(INDEX(games!$B$2:$B$1200,MATCH(connections!$B695,games!$A$2:$A$1200,0)),""))</f>
      </c>
      <c r="V695">
        <f>IF(OR($T695="",$U695=""),"",$U695-$T695)</f>
      </c>
    </row>
    <row r="696">
      <c r="A696" t="str">
        <f>IF(games!$A696="","",games!$A696)</f>
      </c>
      <c r="B696">
        <f>IF($A696="","",games!$B696)</f>
      </c>
      <c r="C696" t="str">
        <f>IF($A696="","",games!$C696)</f>
      </c>
      <c r="D696">
        <f>IF($A696="","",COUNTIF(connections!$A$2:$A$2500,$A696)+COUNTIF(connections!$B$2:$B$2500,$A696))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IF(OR($A696="",games!$H696=""),"",games!$H696)</f>
      </c>
      <c r="Q696">
        <f>IF(OR($A696="",$P696&lt;&gt;"Yes"),"",$D696+ROW()/1000000)</f>
      </c>
      <c r="T696" t="str">
        <f>IF(connections!$A696="","",IFERROR(INDEX(games!$B$2:$B$1200,MATCH(connections!$A696,games!$A$2:$A$1200,0)),""))</f>
      </c>
      <c r="U696">
        <f>IF(connections!$A696="","",IFERROR(INDEX(games!$B$2:$B$1200,MATCH(connections!$B696,games!$A$2:$A$1200,0)),""))</f>
      </c>
      <c r="V696">
        <f>IF(OR($T696="",$U696=""),"",$U696-$T696)</f>
      </c>
    </row>
    <row r="697">
      <c r="A697" t="str">
        <f>IF(games!$A697="","",games!$A697)</f>
      </c>
      <c r="B697">
        <f>IF($A697="","",games!$B697)</f>
      </c>
      <c r="C697" t="str">
        <f>IF($A697="","",games!$C697)</f>
      </c>
      <c r="D697">
        <f>IF($A697="","",COUNTIF(connections!$A$2:$A$2500,$A697)+COUNTIF(connections!$B$2:$B$2500,$A697))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IF(OR($A697="",games!$H697=""),"",games!$H697)</f>
      </c>
      <c r="Q697">
        <f>IF(OR($A697="",$P697&lt;&gt;"Yes"),"",$D697+ROW()/1000000)</f>
      </c>
      <c r="T697" t="str">
        <f>IF(connections!$A697="","",IFERROR(INDEX(games!$B$2:$B$1200,MATCH(connections!$A697,games!$A$2:$A$1200,0)),""))</f>
      </c>
      <c r="U697">
        <f>IF(connections!$A697="","",IFERROR(INDEX(games!$B$2:$B$1200,MATCH(connections!$B697,games!$A$2:$A$1200,0)),""))</f>
      </c>
      <c r="V697">
        <f>IF(OR($T697="",$U697=""),"",$U697-$T697)</f>
      </c>
    </row>
    <row r="698">
      <c r="A698" t="str">
        <f>IF(games!$A698="","",games!$A698)</f>
      </c>
      <c r="B698">
        <f>IF($A698="","",games!$B698)</f>
      </c>
      <c r="C698" t="str">
        <f>IF($A698="","",games!$C698)</f>
      </c>
      <c r="D698">
        <f>IF($A698="","",COUNTIF(connections!$A$2:$A$2500,$A698)+COUNTIF(connections!$B$2:$B$2500,$A698))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IF(OR($A698="",games!$H698=""),"",games!$H698)</f>
      </c>
      <c r="Q698">
        <f>IF(OR($A698="",$P698&lt;&gt;"Yes"),"",$D698+ROW()/1000000)</f>
      </c>
      <c r="T698" t="str">
        <f>IF(connections!$A698="","",IFERROR(INDEX(games!$B$2:$B$1200,MATCH(connections!$A698,games!$A$2:$A$1200,0)),""))</f>
      </c>
      <c r="U698">
        <f>IF(connections!$A698="","",IFERROR(INDEX(games!$B$2:$B$1200,MATCH(connections!$B698,games!$A$2:$A$1200,0)),""))</f>
      </c>
      <c r="V698">
        <f>IF(OR($T698="",$U698=""),"",$U698-$T698)</f>
      </c>
    </row>
    <row r="699">
      <c r="A699" t="str">
        <f>IF(games!$A699="","",games!$A699)</f>
      </c>
      <c r="B699">
        <f>IF($A699="","",games!$B699)</f>
      </c>
      <c r="C699" t="str">
        <f>IF($A699="","",games!$C699)</f>
      </c>
      <c r="D699">
        <f>IF($A699="","",COUNTIF(connections!$A$2:$A$2500,$A699)+COUNTIF(connections!$B$2:$B$2500,$A699))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IF(OR($A699="",games!$H699=""),"",games!$H699)</f>
      </c>
      <c r="Q699">
        <f>IF(OR($A699="",$P699&lt;&gt;"Yes"),"",$D699+ROW()/1000000)</f>
      </c>
      <c r="T699" t="str">
        <f>IF(connections!$A699="","",IFERROR(INDEX(games!$B$2:$B$1200,MATCH(connections!$A699,games!$A$2:$A$1200,0)),""))</f>
      </c>
      <c r="U699">
        <f>IF(connections!$A699="","",IFERROR(INDEX(games!$B$2:$B$1200,MATCH(connections!$B699,games!$A$2:$A$1200,0)),""))</f>
      </c>
      <c r="V699">
        <f>IF(OR($T699="",$U699=""),"",$U699-$T699)</f>
      </c>
    </row>
    <row r="700">
      <c r="A700" t="str">
        <f>IF(games!$A700="","",games!$A700)</f>
      </c>
      <c r="B700">
        <f>IF($A700="","",games!$B700)</f>
      </c>
      <c r="C700" t="str">
        <f>IF($A700="","",games!$C700)</f>
      </c>
      <c r="D700">
        <f>IF($A700="","",COUNTIF(connections!$A$2:$A$2500,$A700)+COUNTIF(connections!$B$2:$B$2500,$A700))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IF(OR($A700="",games!$H700=""),"",games!$H700)</f>
      </c>
      <c r="Q700">
        <f>IF(OR($A700="",$P700&lt;&gt;"Yes"),"",$D700+ROW()/1000000)</f>
      </c>
      <c r="T700" t="str">
        <f>IF(connections!$A700="","",IFERROR(INDEX(games!$B$2:$B$1200,MATCH(connections!$A700,games!$A$2:$A$1200,0)),""))</f>
      </c>
      <c r="U700">
        <f>IF(connections!$A700="","",IFERROR(INDEX(games!$B$2:$B$1200,MATCH(connections!$B700,games!$A$2:$A$1200,0)),""))</f>
      </c>
      <c r="V700">
        <f>IF(OR($T700="",$U700=""),"",$U700-$T700)</f>
      </c>
    </row>
    <row r="701">
      <c r="A701" t="str">
        <f>IF(games!$A701="","",games!$A701)</f>
      </c>
      <c r="B701">
        <f>IF($A701="","",games!$B701)</f>
      </c>
      <c r="C701" t="str">
        <f>IF($A701="","",games!$C701)</f>
      </c>
      <c r="D701">
        <f>IF($A701="","",COUNTIF(connections!$A$2:$A$2500,$A701)+COUNTIF(connections!$B$2:$B$2500,$A701))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IF(OR($A701="",games!$H701=""),"",games!$H701)</f>
      </c>
      <c r="Q701">
        <f>IF(OR($A701="",$P701&lt;&gt;"Yes"),"",$D701+ROW()/1000000)</f>
      </c>
      <c r="T701" t="str">
        <f>IF(connections!$A701="","",IFERROR(INDEX(games!$B$2:$B$1200,MATCH(connections!$A701,games!$A$2:$A$1200,0)),""))</f>
      </c>
      <c r="U701">
        <f>IF(connections!$A701="","",IFERROR(INDEX(games!$B$2:$B$1200,MATCH(connections!$B701,games!$A$2:$A$1200,0)),""))</f>
      </c>
      <c r="V701">
        <f>IF(OR($T701="",$U701=""),"",$U701-$T701)</f>
      </c>
    </row>
    <row r="702">
      <c r="A702" t="str">
        <f>IF(games!$A702="","",games!$A702)</f>
      </c>
      <c r="B702">
        <f>IF($A702="","",games!$B702)</f>
      </c>
      <c r="C702" t="str">
        <f>IF($A702="","",games!$C702)</f>
      </c>
      <c r="D702">
        <f>IF($A702="","",COUNTIF(connections!$A$2:$A$2500,$A702)+COUNTIF(connections!$B$2:$B$2500,$A702))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IF(OR($A702="",games!$H702=""),"",games!$H702)</f>
      </c>
      <c r="Q702">
        <f>IF(OR($A702="",$P702&lt;&gt;"Yes"),"",$D702+ROW()/1000000)</f>
      </c>
      <c r="T702" t="str">
        <f>IF(connections!$A702="","",IFERROR(INDEX(games!$B$2:$B$1200,MATCH(connections!$A702,games!$A$2:$A$1200,0)),""))</f>
      </c>
      <c r="U702">
        <f>IF(connections!$A702="","",IFERROR(INDEX(games!$B$2:$B$1200,MATCH(connections!$B702,games!$A$2:$A$1200,0)),""))</f>
      </c>
      <c r="V702">
        <f>IF(OR($T702="",$U702=""),"",$U702-$T702)</f>
      </c>
    </row>
    <row r="703">
      <c r="A703" t="str">
        <f>IF(games!$A703="","",games!$A703)</f>
      </c>
      <c r="B703">
        <f>IF($A703="","",games!$B703)</f>
      </c>
      <c r="C703" t="str">
        <f>IF($A703="","",games!$C703)</f>
      </c>
      <c r="D703">
        <f>IF($A703="","",COUNTIF(connections!$A$2:$A$2500,$A703)+COUNTIF(connections!$B$2:$B$2500,$A703))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IF(OR($A703="",games!$H703=""),"",games!$H703)</f>
      </c>
      <c r="Q703">
        <f>IF(OR($A703="",$P703&lt;&gt;"Yes"),"",$D703+ROW()/1000000)</f>
      </c>
      <c r="T703" t="str">
        <f>IF(connections!$A703="","",IFERROR(INDEX(games!$B$2:$B$1200,MATCH(connections!$A703,games!$A$2:$A$1200,0)),""))</f>
      </c>
      <c r="U703">
        <f>IF(connections!$A703="","",IFERROR(INDEX(games!$B$2:$B$1200,MATCH(connections!$B703,games!$A$2:$A$1200,0)),""))</f>
      </c>
      <c r="V703">
        <f>IF(OR($T703="",$U703=""),"",$U703-$T703)</f>
      </c>
    </row>
    <row r="704">
      <c r="A704" t="str">
        <f>IF(games!$A704="","",games!$A704)</f>
      </c>
      <c r="B704">
        <f>IF($A704="","",games!$B704)</f>
      </c>
      <c r="C704" t="str">
        <f>IF($A704="","",games!$C704)</f>
      </c>
      <c r="D704">
        <f>IF($A704="","",COUNTIF(connections!$A$2:$A$2500,$A704)+COUNTIF(connections!$B$2:$B$2500,$A704))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IF(OR($A704="",games!$H704=""),"",games!$H704)</f>
      </c>
      <c r="Q704">
        <f>IF(OR($A704="",$P704&lt;&gt;"Yes"),"",$D704+ROW()/1000000)</f>
      </c>
      <c r="T704" t="str">
        <f>IF(connections!$A704="","",IFERROR(INDEX(games!$B$2:$B$1200,MATCH(connections!$A704,games!$A$2:$A$1200,0)),""))</f>
      </c>
      <c r="U704">
        <f>IF(connections!$A704="","",IFERROR(INDEX(games!$B$2:$B$1200,MATCH(connections!$B704,games!$A$2:$A$1200,0)),""))</f>
      </c>
      <c r="V704">
        <f>IF(OR($T704="",$U704=""),"",$U704-$T704)</f>
      </c>
    </row>
    <row r="705">
      <c r="A705" t="str">
        <f>IF(games!$A705="","",games!$A705)</f>
      </c>
      <c r="B705">
        <f>IF($A705="","",games!$B705)</f>
      </c>
      <c r="C705" t="str">
        <f>IF($A705="","",games!$C705)</f>
      </c>
      <c r="D705">
        <f>IF($A705="","",COUNTIF(connections!$A$2:$A$2500,$A705)+COUNTIF(connections!$B$2:$B$2500,$A705))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IF(OR($A705="",games!$H705=""),"",games!$H705)</f>
      </c>
      <c r="Q705">
        <f>IF(OR($A705="",$P705&lt;&gt;"Yes"),"",$D705+ROW()/1000000)</f>
      </c>
      <c r="T705" t="str">
        <f>IF(connections!$A705="","",IFERROR(INDEX(games!$B$2:$B$1200,MATCH(connections!$A705,games!$A$2:$A$1200,0)),""))</f>
      </c>
      <c r="U705">
        <f>IF(connections!$A705="","",IFERROR(INDEX(games!$B$2:$B$1200,MATCH(connections!$B705,games!$A$2:$A$1200,0)),""))</f>
      </c>
      <c r="V705">
        <f>IF(OR($T705="",$U705=""),"",$U705-$T705)</f>
      </c>
    </row>
    <row r="706">
      <c r="A706" t="str">
        <f>IF(games!$A706="","",games!$A706)</f>
      </c>
      <c r="B706">
        <f>IF($A706="","",games!$B706)</f>
      </c>
      <c r="C706" t="str">
        <f>IF($A706="","",games!$C706)</f>
      </c>
      <c r="D706">
        <f>IF($A706="","",COUNTIF(connections!$A$2:$A$2500,$A706)+COUNTIF(connections!$B$2:$B$2500,$A706))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IF(OR($A706="",games!$H706=""),"",games!$H706)</f>
      </c>
      <c r="Q706">
        <f>IF(OR($A706="",$P706&lt;&gt;"Yes"),"",$D706+ROW()/1000000)</f>
      </c>
      <c r="T706" t="str">
        <f>IF(connections!$A706="","",IFERROR(INDEX(games!$B$2:$B$1200,MATCH(connections!$A706,games!$A$2:$A$1200,0)),""))</f>
      </c>
      <c r="U706">
        <f>IF(connections!$A706="","",IFERROR(INDEX(games!$B$2:$B$1200,MATCH(connections!$B706,games!$A$2:$A$1200,0)),""))</f>
      </c>
      <c r="V706">
        <f>IF(OR($T706="",$U706=""),"",$U706-$T706)</f>
      </c>
    </row>
    <row r="707">
      <c r="A707" t="str">
        <f>IF(games!$A707="","",games!$A707)</f>
      </c>
      <c r="B707">
        <f>IF($A707="","",games!$B707)</f>
      </c>
      <c r="C707" t="str">
        <f>IF($A707="","",games!$C707)</f>
      </c>
      <c r="D707">
        <f>IF($A707="","",COUNTIF(connections!$A$2:$A$2500,$A707)+COUNTIF(connections!$B$2:$B$2500,$A707))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IF(OR($A707="",games!$H707=""),"",games!$H707)</f>
      </c>
      <c r="Q707">
        <f>IF(OR($A707="",$P707&lt;&gt;"Yes"),"",$D707+ROW()/1000000)</f>
      </c>
      <c r="T707" t="str">
        <f>IF(connections!$A707="","",IFERROR(INDEX(games!$B$2:$B$1200,MATCH(connections!$A707,games!$A$2:$A$1200,0)),""))</f>
      </c>
      <c r="U707">
        <f>IF(connections!$A707="","",IFERROR(INDEX(games!$B$2:$B$1200,MATCH(connections!$B707,games!$A$2:$A$1200,0)),""))</f>
      </c>
      <c r="V707">
        <f>IF(OR($T707="",$U707=""),"",$U707-$T707)</f>
      </c>
    </row>
    <row r="708">
      <c r="A708" t="str">
        <f>IF(games!$A708="","",games!$A708)</f>
      </c>
      <c r="B708">
        <f>IF($A708="","",games!$B708)</f>
      </c>
      <c r="C708" t="str">
        <f>IF($A708="","",games!$C708)</f>
      </c>
      <c r="D708">
        <f>IF($A708="","",COUNTIF(connections!$A$2:$A$2500,$A708)+COUNTIF(connections!$B$2:$B$2500,$A708))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IF(OR($A708="",games!$H708=""),"",games!$H708)</f>
      </c>
      <c r="Q708">
        <f>IF(OR($A708="",$P708&lt;&gt;"Yes"),"",$D708+ROW()/1000000)</f>
      </c>
      <c r="T708" t="str">
        <f>IF(connections!$A708="","",IFERROR(INDEX(games!$B$2:$B$1200,MATCH(connections!$A708,games!$A$2:$A$1200,0)),""))</f>
      </c>
      <c r="U708">
        <f>IF(connections!$A708="","",IFERROR(INDEX(games!$B$2:$B$1200,MATCH(connections!$B708,games!$A$2:$A$1200,0)),""))</f>
      </c>
      <c r="V708">
        <f>IF(OR($T708="",$U708=""),"",$U708-$T708)</f>
      </c>
    </row>
    <row r="709">
      <c r="A709" t="str">
        <f>IF(games!$A709="","",games!$A709)</f>
      </c>
      <c r="B709">
        <f>IF($A709="","",games!$B709)</f>
      </c>
      <c r="C709" t="str">
        <f>IF($A709="","",games!$C709)</f>
      </c>
      <c r="D709">
        <f>IF($A709="","",COUNTIF(connections!$A$2:$A$2500,$A709)+COUNTIF(connections!$B$2:$B$2500,$A709))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IF(OR($A709="",games!$H709=""),"",games!$H709)</f>
      </c>
      <c r="Q709">
        <f>IF(OR($A709="",$P709&lt;&gt;"Yes"),"",$D709+ROW()/1000000)</f>
      </c>
      <c r="T709" t="str">
        <f>IF(connections!$A709="","",IFERROR(INDEX(games!$B$2:$B$1200,MATCH(connections!$A709,games!$A$2:$A$1200,0)),""))</f>
      </c>
      <c r="U709">
        <f>IF(connections!$A709="","",IFERROR(INDEX(games!$B$2:$B$1200,MATCH(connections!$B709,games!$A$2:$A$1200,0)),""))</f>
      </c>
      <c r="V709">
        <f>IF(OR($T709="",$U709=""),"",$U709-$T709)</f>
      </c>
    </row>
    <row r="710">
      <c r="A710" t="str">
        <f>IF(games!$A710="","",games!$A710)</f>
      </c>
      <c r="B710">
        <f>IF($A710="","",games!$B710)</f>
      </c>
      <c r="C710" t="str">
        <f>IF($A710="","",games!$C710)</f>
      </c>
      <c r="D710">
        <f>IF($A710="","",COUNTIF(connections!$A$2:$A$2500,$A710)+COUNTIF(connections!$B$2:$B$2500,$A710))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IF(OR($A710="",games!$H710=""),"",games!$H710)</f>
      </c>
      <c r="Q710">
        <f>IF(OR($A710="",$P710&lt;&gt;"Yes"),"",$D710+ROW()/1000000)</f>
      </c>
      <c r="T710" t="str">
        <f>IF(connections!$A710="","",IFERROR(INDEX(games!$B$2:$B$1200,MATCH(connections!$A710,games!$A$2:$A$1200,0)),""))</f>
      </c>
      <c r="U710">
        <f>IF(connections!$A710="","",IFERROR(INDEX(games!$B$2:$B$1200,MATCH(connections!$B710,games!$A$2:$A$1200,0)),""))</f>
      </c>
      <c r="V710">
        <f>IF(OR($T710="",$U710=""),"",$U710-$T710)</f>
      </c>
    </row>
    <row r="711">
      <c r="A711" t="str">
        <f>IF(games!$A711="","",games!$A711)</f>
      </c>
      <c r="B711">
        <f>IF($A711="","",games!$B711)</f>
      </c>
      <c r="C711" t="str">
        <f>IF($A711="","",games!$C711)</f>
      </c>
      <c r="D711">
        <f>IF($A711="","",COUNTIF(connections!$A$2:$A$2500,$A711)+COUNTIF(connections!$B$2:$B$2500,$A711))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IF(OR($A711="",games!$H711=""),"",games!$H711)</f>
      </c>
      <c r="Q711">
        <f>IF(OR($A711="",$P711&lt;&gt;"Yes"),"",$D711+ROW()/1000000)</f>
      </c>
      <c r="T711" t="str">
        <f>IF(connections!$A711="","",IFERROR(INDEX(games!$B$2:$B$1200,MATCH(connections!$A711,games!$A$2:$A$1200,0)),""))</f>
      </c>
      <c r="U711">
        <f>IF(connections!$A711="","",IFERROR(INDEX(games!$B$2:$B$1200,MATCH(connections!$B711,games!$A$2:$A$1200,0)),""))</f>
      </c>
      <c r="V711">
        <f>IF(OR($T711="",$U711=""),"",$U711-$T711)</f>
      </c>
    </row>
    <row r="712">
      <c r="A712" t="str">
        <f>IF(games!$A712="","",games!$A712)</f>
      </c>
      <c r="B712">
        <f>IF($A712="","",games!$B712)</f>
      </c>
      <c r="C712" t="str">
        <f>IF($A712="","",games!$C712)</f>
      </c>
      <c r="D712">
        <f>IF($A712="","",COUNTIF(connections!$A$2:$A$2500,$A712)+COUNTIF(connections!$B$2:$B$2500,$A712))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IF(OR($A712="",games!$H712=""),"",games!$H712)</f>
      </c>
      <c r="Q712">
        <f>IF(OR($A712="",$P712&lt;&gt;"Yes"),"",$D712+ROW()/1000000)</f>
      </c>
      <c r="T712" t="str">
        <f>IF(connections!$A712="","",IFERROR(INDEX(games!$B$2:$B$1200,MATCH(connections!$A712,games!$A$2:$A$1200,0)),""))</f>
      </c>
      <c r="U712">
        <f>IF(connections!$A712="","",IFERROR(INDEX(games!$B$2:$B$1200,MATCH(connections!$B712,games!$A$2:$A$1200,0)),""))</f>
      </c>
      <c r="V712">
        <f>IF(OR($T712="",$U712=""),"",$U712-$T712)</f>
      </c>
    </row>
    <row r="713">
      <c r="A713" t="str">
        <f>IF(games!$A713="","",games!$A713)</f>
      </c>
      <c r="B713">
        <f>IF($A713="","",games!$B713)</f>
      </c>
      <c r="C713" t="str">
        <f>IF($A713="","",games!$C713)</f>
      </c>
      <c r="D713">
        <f>IF($A713="","",COUNTIF(connections!$A$2:$A$2500,$A713)+COUNTIF(connections!$B$2:$B$2500,$A713))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IF(OR($A713="",games!$H713=""),"",games!$H713)</f>
      </c>
      <c r="Q713">
        <f>IF(OR($A713="",$P713&lt;&gt;"Yes"),"",$D713+ROW()/1000000)</f>
      </c>
      <c r="T713" t="str">
        <f>IF(connections!$A713="","",IFERROR(INDEX(games!$B$2:$B$1200,MATCH(connections!$A713,games!$A$2:$A$1200,0)),""))</f>
      </c>
      <c r="U713">
        <f>IF(connections!$A713="","",IFERROR(INDEX(games!$B$2:$B$1200,MATCH(connections!$B713,games!$A$2:$A$1200,0)),""))</f>
      </c>
      <c r="V713">
        <f>IF(OR($T713="",$U713=""),"",$U713-$T713)</f>
      </c>
    </row>
    <row r="714">
      <c r="A714" t="str">
        <f>IF(games!$A714="","",games!$A714)</f>
      </c>
      <c r="B714">
        <f>IF($A714="","",games!$B714)</f>
      </c>
      <c r="C714" t="str">
        <f>IF($A714="","",games!$C714)</f>
      </c>
      <c r="D714">
        <f>IF($A714="","",COUNTIF(connections!$A$2:$A$2500,$A714)+COUNTIF(connections!$B$2:$B$2500,$A714))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IF(OR($A714="",games!$H714=""),"",games!$H714)</f>
      </c>
      <c r="Q714">
        <f>IF(OR($A714="",$P714&lt;&gt;"Yes"),"",$D714+ROW()/1000000)</f>
      </c>
      <c r="T714" t="str">
        <f>IF(connections!$A714="","",IFERROR(INDEX(games!$B$2:$B$1200,MATCH(connections!$A714,games!$A$2:$A$1200,0)),""))</f>
      </c>
      <c r="U714">
        <f>IF(connections!$A714="","",IFERROR(INDEX(games!$B$2:$B$1200,MATCH(connections!$B714,games!$A$2:$A$1200,0)),""))</f>
      </c>
      <c r="V714">
        <f>IF(OR($T714="",$U714=""),"",$U714-$T714)</f>
      </c>
    </row>
    <row r="715">
      <c r="A715" t="str">
        <f>IF(games!$A715="","",games!$A715)</f>
      </c>
      <c r="B715">
        <f>IF($A715="","",games!$B715)</f>
      </c>
      <c r="C715" t="str">
        <f>IF($A715="","",games!$C715)</f>
      </c>
      <c r="D715">
        <f>IF($A715="","",COUNTIF(connections!$A$2:$A$2500,$A715)+COUNTIF(connections!$B$2:$B$2500,$A715))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IF(OR($A715="",games!$H715=""),"",games!$H715)</f>
      </c>
      <c r="Q715">
        <f>IF(OR($A715="",$P715&lt;&gt;"Yes"),"",$D715+ROW()/1000000)</f>
      </c>
      <c r="T715" t="str">
        <f>IF(connections!$A715="","",IFERROR(INDEX(games!$B$2:$B$1200,MATCH(connections!$A715,games!$A$2:$A$1200,0)),""))</f>
      </c>
      <c r="U715">
        <f>IF(connections!$A715="","",IFERROR(INDEX(games!$B$2:$B$1200,MATCH(connections!$B715,games!$A$2:$A$1200,0)),""))</f>
      </c>
      <c r="V715">
        <f>IF(OR($T715="",$U715=""),"",$U715-$T715)</f>
      </c>
    </row>
    <row r="716">
      <c r="A716" t="str">
        <f>IF(games!$A716="","",games!$A716)</f>
      </c>
      <c r="B716">
        <f>IF($A716="","",games!$B716)</f>
      </c>
      <c r="C716" t="str">
        <f>IF($A716="","",games!$C716)</f>
      </c>
      <c r="D716">
        <f>IF($A716="","",COUNTIF(connections!$A$2:$A$2500,$A716)+COUNTIF(connections!$B$2:$B$2500,$A716))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IF(OR($A716="",games!$H716=""),"",games!$H716)</f>
      </c>
      <c r="Q716">
        <f>IF(OR($A716="",$P716&lt;&gt;"Yes"),"",$D716+ROW()/1000000)</f>
      </c>
      <c r="T716" t="str">
        <f>IF(connections!$A716="","",IFERROR(INDEX(games!$B$2:$B$1200,MATCH(connections!$A716,games!$A$2:$A$1200,0)),""))</f>
      </c>
      <c r="U716">
        <f>IF(connections!$A716="","",IFERROR(INDEX(games!$B$2:$B$1200,MATCH(connections!$B716,games!$A$2:$A$1200,0)),""))</f>
      </c>
      <c r="V716">
        <f>IF(OR($T716="",$U716=""),"",$U716-$T716)</f>
      </c>
    </row>
    <row r="717">
      <c r="A717" t="str">
        <f>IF(games!$A717="","",games!$A717)</f>
      </c>
      <c r="B717">
        <f>IF($A717="","",games!$B717)</f>
      </c>
      <c r="C717" t="str">
        <f>IF($A717="","",games!$C717)</f>
      </c>
      <c r="D717">
        <f>IF($A717="","",COUNTIF(connections!$A$2:$A$2500,$A717)+COUNTIF(connections!$B$2:$B$2500,$A717))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IF(OR($A717="",games!$H717=""),"",games!$H717)</f>
      </c>
      <c r="Q717">
        <f>IF(OR($A717="",$P717&lt;&gt;"Yes"),"",$D717+ROW()/1000000)</f>
      </c>
      <c r="T717" t="str">
        <f>IF(connections!$A717="","",IFERROR(INDEX(games!$B$2:$B$1200,MATCH(connections!$A717,games!$A$2:$A$1200,0)),""))</f>
      </c>
      <c r="U717">
        <f>IF(connections!$A717="","",IFERROR(INDEX(games!$B$2:$B$1200,MATCH(connections!$B717,games!$A$2:$A$1200,0)),""))</f>
      </c>
      <c r="V717">
        <f>IF(OR($T717="",$U717=""),"",$U717-$T717)</f>
      </c>
    </row>
    <row r="718">
      <c r="A718" t="str">
        <f>IF(games!$A718="","",games!$A718)</f>
      </c>
      <c r="B718">
        <f>IF($A718="","",games!$B718)</f>
      </c>
      <c r="C718" t="str">
        <f>IF($A718="","",games!$C718)</f>
      </c>
      <c r="D718">
        <f>IF($A718="","",COUNTIF(connections!$A$2:$A$2500,$A718)+COUNTIF(connections!$B$2:$B$2500,$A718))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IF(OR($A718="",games!$H718=""),"",games!$H718)</f>
      </c>
      <c r="Q718">
        <f>IF(OR($A718="",$P718&lt;&gt;"Yes"),"",$D718+ROW()/1000000)</f>
      </c>
      <c r="T718" t="str">
        <f>IF(connections!$A718="","",IFERROR(INDEX(games!$B$2:$B$1200,MATCH(connections!$A718,games!$A$2:$A$1200,0)),""))</f>
      </c>
      <c r="U718">
        <f>IF(connections!$A718="","",IFERROR(INDEX(games!$B$2:$B$1200,MATCH(connections!$B718,games!$A$2:$A$1200,0)),""))</f>
      </c>
      <c r="V718">
        <f>IF(OR($T718="",$U718=""),"",$U718-$T718)</f>
      </c>
    </row>
    <row r="719">
      <c r="A719" t="str">
        <f>IF(games!$A719="","",games!$A719)</f>
      </c>
      <c r="B719">
        <f>IF($A719="","",games!$B719)</f>
      </c>
      <c r="C719" t="str">
        <f>IF($A719="","",games!$C719)</f>
      </c>
      <c r="D719">
        <f>IF($A719="","",COUNTIF(connections!$A$2:$A$2500,$A719)+COUNTIF(connections!$B$2:$B$2500,$A719))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IF(OR($A719="",games!$H719=""),"",games!$H719)</f>
      </c>
      <c r="Q719">
        <f>IF(OR($A719="",$P719&lt;&gt;"Yes"),"",$D719+ROW()/1000000)</f>
      </c>
      <c r="T719" t="str">
        <f>IF(connections!$A719="","",IFERROR(INDEX(games!$B$2:$B$1200,MATCH(connections!$A719,games!$A$2:$A$1200,0)),""))</f>
      </c>
      <c r="U719">
        <f>IF(connections!$A719="","",IFERROR(INDEX(games!$B$2:$B$1200,MATCH(connections!$B719,games!$A$2:$A$1200,0)),""))</f>
      </c>
      <c r="V719">
        <f>IF(OR($T719="",$U719=""),"",$U719-$T719)</f>
      </c>
    </row>
    <row r="720">
      <c r="A720" t="str">
        <f>IF(games!$A720="","",games!$A720)</f>
      </c>
      <c r="B720">
        <f>IF($A720="","",games!$B720)</f>
      </c>
      <c r="C720" t="str">
        <f>IF($A720="","",games!$C720)</f>
      </c>
      <c r="D720">
        <f>IF($A720="","",COUNTIF(connections!$A$2:$A$2500,$A720)+COUNTIF(connections!$B$2:$B$2500,$A720))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IF(OR($A720="",games!$H720=""),"",games!$H720)</f>
      </c>
      <c r="Q720">
        <f>IF(OR($A720="",$P720&lt;&gt;"Yes"),"",$D720+ROW()/1000000)</f>
      </c>
      <c r="T720" t="str">
        <f>IF(connections!$A720="","",IFERROR(INDEX(games!$B$2:$B$1200,MATCH(connections!$A720,games!$A$2:$A$1200,0)),""))</f>
      </c>
      <c r="U720">
        <f>IF(connections!$A720="","",IFERROR(INDEX(games!$B$2:$B$1200,MATCH(connections!$B720,games!$A$2:$A$1200,0)),""))</f>
      </c>
      <c r="V720">
        <f>IF(OR($T720="",$U720=""),"",$U720-$T720)</f>
      </c>
    </row>
    <row r="721">
      <c r="A721" t="str">
        <f>IF(games!$A721="","",games!$A721)</f>
      </c>
      <c r="B721">
        <f>IF($A721="","",games!$B721)</f>
      </c>
      <c r="C721" t="str">
        <f>IF($A721="","",games!$C721)</f>
      </c>
      <c r="D721">
        <f>IF($A721="","",COUNTIF(connections!$A$2:$A$2500,$A721)+COUNTIF(connections!$B$2:$B$2500,$A721))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IF(OR($A721="",games!$H721=""),"",games!$H721)</f>
      </c>
      <c r="Q721">
        <f>IF(OR($A721="",$P721&lt;&gt;"Yes"),"",$D721+ROW()/1000000)</f>
      </c>
      <c r="T721" t="str">
        <f>IF(connections!$A721="","",IFERROR(INDEX(games!$B$2:$B$1200,MATCH(connections!$A721,games!$A$2:$A$1200,0)),""))</f>
      </c>
      <c r="U721">
        <f>IF(connections!$A721="","",IFERROR(INDEX(games!$B$2:$B$1200,MATCH(connections!$B721,games!$A$2:$A$1200,0)),""))</f>
      </c>
      <c r="V721">
        <f>IF(OR($T721="",$U721=""),"",$U721-$T721)</f>
      </c>
    </row>
    <row r="722">
      <c r="A722" t="str">
        <f>IF(games!$A722="","",games!$A722)</f>
      </c>
      <c r="B722">
        <f>IF($A722="","",games!$B722)</f>
      </c>
      <c r="C722" t="str">
        <f>IF($A722="","",games!$C722)</f>
      </c>
      <c r="D722">
        <f>IF($A722="","",COUNTIF(connections!$A$2:$A$2500,$A722)+COUNTIF(connections!$B$2:$B$2500,$A722))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IF(OR($A722="",games!$H722=""),"",games!$H722)</f>
      </c>
      <c r="Q722">
        <f>IF(OR($A722="",$P722&lt;&gt;"Yes"),"",$D722+ROW()/1000000)</f>
      </c>
      <c r="T722" t="str">
        <f>IF(connections!$A722="","",IFERROR(INDEX(games!$B$2:$B$1200,MATCH(connections!$A722,games!$A$2:$A$1200,0)),""))</f>
      </c>
      <c r="U722">
        <f>IF(connections!$A722="","",IFERROR(INDEX(games!$B$2:$B$1200,MATCH(connections!$B722,games!$A$2:$A$1200,0)),""))</f>
      </c>
      <c r="V722">
        <f>IF(OR($T722="",$U722=""),"",$U722-$T722)</f>
      </c>
    </row>
    <row r="723">
      <c r="A723" t="str">
        <f>IF(games!$A723="","",games!$A723)</f>
      </c>
      <c r="B723">
        <f>IF($A723="","",games!$B723)</f>
      </c>
      <c r="C723" t="str">
        <f>IF($A723="","",games!$C723)</f>
      </c>
      <c r="D723">
        <f>IF($A723="","",COUNTIF(connections!$A$2:$A$2500,$A723)+COUNTIF(connections!$B$2:$B$2500,$A723))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IF(OR($A723="",games!$H723=""),"",games!$H723)</f>
      </c>
      <c r="Q723">
        <f>IF(OR($A723="",$P723&lt;&gt;"Yes"),"",$D723+ROW()/1000000)</f>
      </c>
      <c r="T723" t="str">
        <f>IF(connections!$A723="","",IFERROR(INDEX(games!$B$2:$B$1200,MATCH(connections!$A723,games!$A$2:$A$1200,0)),""))</f>
      </c>
      <c r="U723">
        <f>IF(connections!$A723="","",IFERROR(INDEX(games!$B$2:$B$1200,MATCH(connections!$B723,games!$A$2:$A$1200,0)),""))</f>
      </c>
      <c r="V723">
        <f>IF(OR($T723="",$U723=""),"",$U723-$T723)</f>
      </c>
    </row>
    <row r="724">
      <c r="A724" t="str">
        <f>IF(games!$A724="","",games!$A724)</f>
      </c>
      <c r="B724">
        <f>IF($A724="","",games!$B724)</f>
      </c>
      <c r="C724" t="str">
        <f>IF($A724="","",games!$C724)</f>
      </c>
      <c r="D724">
        <f>IF($A724="","",COUNTIF(connections!$A$2:$A$2500,$A724)+COUNTIF(connections!$B$2:$B$2500,$A724))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IF(OR($A724="",games!$H724=""),"",games!$H724)</f>
      </c>
      <c r="Q724">
        <f>IF(OR($A724="",$P724&lt;&gt;"Yes"),"",$D724+ROW()/1000000)</f>
      </c>
      <c r="T724" t="str">
        <f>IF(connections!$A724="","",IFERROR(INDEX(games!$B$2:$B$1200,MATCH(connections!$A724,games!$A$2:$A$1200,0)),""))</f>
      </c>
      <c r="U724">
        <f>IF(connections!$A724="","",IFERROR(INDEX(games!$B$2:$B$1200,MATCH(connections!$B724,games!$A$2:$A$1200,0)),""))</f>
      </c>
      <c r="V724">
        <f>IF(OR($T724="",$U724=""),"",$U724-$T724)</f>
      </c>
    </row>
    <row r="725">
      <c r="A725" t="str">
        <f>IF(games!$A725="","",games!$A725)</f>
      </c>
      <c r="B725">
        <f>IF($A725="","",games!$B725)</f>
      </c>
      <c r="C725" t="str">
        <f>IF($A725="","",games!$C725)</f>
      </c>
      <c r="D725">
        <f>IF($A725="","",COUNTIF(connections!$A$2:$A$2500,$A725)+COUNTIF(connections!$B$2:$B$2500,$A725))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IF(OR($A725="",games!$H725=""),"",games!$H725)</f>
      </c>
      <c r="Q725">
        <f>IF(OR($A725="",$P725&lt;&gt;"Yes"),"",$D725+ROW()/1000000)</f>
      </c>
      <c r="T725" t="str">
        <f>IF(connections!$A725="","",IFERROR(INDEX(games!$B$2:$B$1200,MATCH(connections!$A725,games!$A$2:$A$1200,0)),""))</f>
      </c>
      <c r="U725">
        <f>IF(connections!$A725="","",IFERROR(INDEX(games!$B$2:$B$1200,MATCH(connections!$B725,games!$A$2:$A$1200,0)),""))</f>
      </c>
      <c r="V725">
        <f>IF(OR($T725="",$U725=""),"",$U725-$T725)</f>
      </c>
    </row>
    <row r="726">
      <c r="A726" t="str">
        <f>IF(games!$A726="","",games!$A726)</f>
      </c>
      <c r="B726">
        <f>IF($A726="","",games!$B726)</f>
      </c>
      <c r="C726" t="str">
        <f>IF($A726="","",games!$C726)</f>
      </c>
      <c r="D726">
        <f>IF($A726="","",COUNTIF(connections!$A$2:$A$2500,$A726)+COUNTIF(connections!$B$2:$B$2500,$A726))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IF(OR($A726="",games!$H726=""),"",games!$H726)</f>
      </c>
      <c r="Q726">
        <f>IF(OR($A726="",$P726&lt;&gt;"Yes"),"",$D726+ROW()/1000000)</f>
      </c>
      <c r="T726" t="str">
        <f>IF(connections!$A726="","",IFERROR(INDEX(games!$B$2:$B$1200,MATCH(connections!$A726,games!$A$2:$A$1200,0)),""))</f>
      </c>
      <c r="U726">
        <f>IF(connections!$A726="","",IFERROR(INDEX(games!$B$2:$B$1200,MATCH(connections!$B726,games!$A$2:$A$1200,0)),""))</f>
      </c>
      <c r="V726">
        <f>IF(OR($T726="",$U726=""),"",$U726-$T726)</f>
      </c>
    </row>
    <row r="727">
      <c r="A727" t="str">
        <f>IF(games!$A727="","",games!$A727)</f>
      </c>
      <c r="B727">
        <f>IF($A727="","",games!$B727)</f>
      </c>
      <c r="C727" t="str">
        <f>IF($A727="","",games!$C727)</f>
      </c>
      <c r="D727">
        <f>IF($A727="","",COUNTIF(connections!$A$2:$A$2500,$A727)+COUNTIF(connections!$B$2:$B$2500,$A727))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IF(OR($A727="",games!$H727=""),"",games!$H727)</f>
      </c>
      <c r="Q727">
        <f>IF(OR($A727="",$P727&lt;&gt;"Yes"),"",$D727+ROW()/1000000)</f>
      </c>
      <c r="T727" t="str">
        <f>IF(connections!$A727="","",IFERROR(INDEX(games!$B$2:$B$1200,MATCH(connections!$A727,games!$A$2:$A$1200,0)),""))</f>
      </c>
      <c r="U727">
        <f>IF(connections!$A727="","",IFERROR(INDEX(games!$B$2:$B$1200,MATCH(connections!$B727,games!$A$2:$A$1200,0)),""))</f>
      </c>
      <c r="V727">
        <f>IF(OR($T727="",$U727=""),"",$U727-$T727)</f>
      </c>
    </row>
    <row r="728">
      <c r="A728" t="str">
        <f>IF(games!$A728="","",games!$A728)</f>
      </c>
      <c r="B728">
        <f>IF($A728="","",games!$B728)</f>
      </c>
      <c r="C728" t="str">
        <f>IF($A728="","",games!$C728)</f>
      </c>
      <c r="D728">
        <f>IF($A728="","",COUNTIF(connections!$A$2:$A$2500,$A728)+COUNTIF(connections!$B$2:$B$2500,$A728))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IF(OR($A728="",games!$H728=""),"",games!$H728)</f>
      </c>
      <c r="Q728">
        <f>IF(OR($A728="",$P728&lt;&gt;"Yes"),"",$D728+ROW()/1000000)</f>
      </c>
      <c r="T728" t="str">
        <f>IF(connections!$A728="","",IFERROR(INDEX(games!$B$2:$B$1200,MATCH(connections!$A728,games!$A$2:$A$1200,0)),""))</f>
      </c>
      <c r="U728">
        <f>IF(connections!$A728="","",IFERROR(INDEX(games!$B$2:$B$1200,MATCH(connections!$B728,games!$A$2:$A$1200,0)),""))</f>
      </c>
      <c r="V728">
        <f>IF(OR($T728="",$U728=""),"",$U728-$T728)</f>
      </c>
    </row>
    <row r="729">
      <c r="A729" t="str">
        <f>IF(games!$A729="","",games!$A729)</f>
      </c>
      <c r="B729">
        <f>IF($A729="","",games!$B729)</f>
      </c>
      <c r="C729" t="str">
        <f>IF($A729="","",games!$C729)</f>
      </c>
      <c r="D729">
        <f>IF($A729="","",COUNTIF(connections!$A$2:$A$2500,$A729)+COUNTIF(connections!$B$2:$B$2500,$A729))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IF(OR($A729="",games!$H729=""),"",games!$H729)</f>
      </c>
      <c r="Q729">
        <f>IF(OR($A729="",$P729&lt;&gt;"Yes"),"",$D729+ROW()/1000000)</f>
      </c>
      <c r="T729" t="str">
        <f>IF(connections!$A729="","",IFERROR(INDEX(games!$B$2:$B$1200,MATCH(connections!$A729,games!$A$2:$A$1200,0)),""))</f>
      </c>
      <c r="U729">
        <f>IF(connections!$A729="","",IFERROR(INDEX(games!$B$2:$B$1200,MATCH(connections!$B729,games!$A$2:$A$1200,0)),""))</f>
      </c>
      <c r="V729">
        <f>IF(OR($T729="",$U729=""),"",$U729-$T729)</f>
      </c>
    </row>
    <row r="730">
      <c r="A730" t="str">
        <f>IF(games!$A730="","",games!$A730)</f>
      </c>
      <c r="B730">
        <f>IF($A730="","",games!$B730)</f>
      </c>
      <c r="C730" t="str">
        <f>IF($A730="","",games!$C730)</f>
      </c>
      <c r="D730">
        <f>IF($A730="","",COUNTIF(connections!$A$2:$A$2500,$A730)+COUNTIF(connections!$B$2:$B$2500,$A730))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IF(OR($A730="",games!$H730=""),"",games!$H730)</f>
      </c>
      <c r="Q730">
        <f>IF(OR($A730="",$P730&lt;&gt;"Yes"),"",$D730+ROW()/1000000)</f>
      </c>
      <c r="T730" t="str">
        <f>IF(connections!$A730="","",IFERROR(INDEX(games!$B$2:$B$1200,MATCH(connections!$A730,games!$A$2:$A$1200,0)),""))</f>
      </c>
      <c r="U730">
        <f>IF(connections!$A730="","",IFERROR(INDEX(games!$B$2:$B$1200,MATCH(connections!$B730,games!$A$2:$A$1200,0)),""))</f>
      </c>
      <c r="V730">
        <f>IF(OR($T730="",$U730=""),"",$U730-$T730)</f>
      </c>
    </row>
    <row r="731">
      <c r="A731" t="str">
        <f>IF(games!$A731="","",games!$A731)</f>
      </c>
      <c r="B731">
        <f>IF($A731="","",games!$B731)</f>
      </c>
      <c r="C731" t="str">
        <f>IF($A731="","",games!$C731)</f>
      </c>
      <c r="D731">
        <f>IF($A731="","",COUNTIF(connections!$A$2:$A$2500,$A731)+COUNTIF(connections!$B$2:$B$2500,$A731))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IF(OR($A731="",games!$H731=""),"",games!$H731)</f>
      </c>
      <c r="Q731">
        <f>IF(OR($A731="",$P731&lt;&gt;"Yes"),"",$D731+ROW()/1000000)</f>
      </c>
      <c r="T731" t="str">
        <f>IF(connections!$A731="","",IFERROR(INDEX(games!$B$2:$B$1200,MATCH(connections!$A731,games!$A$2:$A$1200,0)),""))</f>
      </c>
      <c r="U731">
        <f>IF(connections!$A731="","",IFERROR(INDEX(games!$B$2:$B$1200,MATCH(connections!$B731,games!$A$2:$A$1200,0)),""))</f>
      </c>
      <c r="V731">
        <f>IF(OR($T731="",$U731=""),"",$U731-$T731)</f>
      </c>
    </row>
    <row r="732">
      <c r="A732" t="str">
        <f>IF(games!$A732="","",games!$A732)</f>
      </c>
      <c r="B732">
        <f>IF($A732="","",games!$B732)</f>
      </c>
      <c r="C732" t="str">
        <f>IF($A732="","",games!$C732)</f>
      </c>
      <c r="D732">
        <f>IF($A732="","",COUNTIF(connections!$A$2:$A$2500,$A732)+COUNTIF(connections!$B$2:$B$2500,$A732))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IF(OR($A732="",games!$H732=""),"",games!$H732)</f>
      </c>
      <c r="Q732">
        <f>IF(OR($A732="",$P732&lt;&gt;"Yes"),"",$D732+ROW()/1000000)</f>
      </c>
      <c r="T732" t="str">
        <f>IF(connections!$A732="","",IFERROR(INDEX(games!$B$2:$B$1200,MATCH(connections!$A732,games!$A$2:$A$1200,0)),""))</f>
      </c>
      <c r="U732">
        <f>IF(connections!$A732="","",IFERROR(INDEX(games!$B$2:$B$1200,MATCH(connections!$B732,games!$A$2:$A$1200,0)),""))</f>
      </c>
      <c r="V732">
        <f>IF(OR($T732="",$U732=""),"",$U732-$T732)</f>
      </c>
    </row>
    <row r="733">
      <c r="A733" t="str">
        <f>IF(games!$A733="","",games!$A733)</f>
      </c>
      <c r="B733">
        <f>IF($A733="","",games!$B733)</f>
      </c>
      <c r="C733" t="str">
        <f>IF($A733="","",games!$C733)</f>
      </c>
      <c r="D733">
        <f>IF($A733="","",COUNTIF(connections!$A$2:$A$2500,$A733)+COUNTIF(connections!$B$2:$B$2500,$A733))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IF(OR($A733="",games!$H733=""),"",games!$H733)</f>
      </c>
      <c r="Q733">
        <f>IF(OR($A733="",$P733&lt;&gt;"Yes"),"",$D733+ROW()/1000000)</f>
      </c>
      <c r="T733" t="str">
        <f>IF(connections!$A733="","",IFERROR(INDEX(games!$B$2:$B$1200,MATCH(connections!$A733,games!$A$2:$A$1200,0)),""))</f>
      </c>
      <c r="U733">
        <f>IF(connections!$A733="","",IFERROR(INDEX(games!$B$2:$B$1200,MATCH(connections!$B733,games!$A$2:$A$1200,0)),""))</f>
      </c>
      <c r="V733">
        <f>IF(OR($T733="",$U733=""),"",$U733-$T733)</f>
      </c>
    </row>
    <row r="734">
      <c r="A734" t="str">
        <f>IF(games!$A734="","",games!$A734)</f>
      </c>
      <c r="B734">
        <f>IF($A734="","",games!$B734)</f>
      </c>
      <c r="C734" t="str">
        <f>IF($A734="","",games!$C734)</f>
      </c>
      <c r="D734">
        <f>IF($A734="","",COUNTIF(connections!$A$2:$A$2500,$A734)+COUNTIF(connections!$B$2:$B$2500,$A734))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IF(OR($A734="",games!$H734=""),"",games!$H734)</f>
      </c>
      <c r="Q734">
        <f>IF(OR($A734="",$P734&lt;&gt;"Yes"),"",$D734+ROW()/1000000)</f>
      </c>
      <c r="T734" t="str">
        <f>IF(connections!$A734="","",IFERROR(INDEX(games!$B$2:$B$1200,MATCH(connections!$A734,games!$A$2:$A$1200,0)),""))</f>
      </c>
      <c r="U734">
        <f>IF(connections!$A734="","",IFERROR(INDEX(games!$B$2:$B$1200,MATCH(connections!$B734,games!$A$2:$A$1200,0)),""))</f>
      </c>
      <c r="V734">
        <f>IF(OR($T734="",$U734=""),"",$U734-$T734)</f>
      </c>
    </row>
    <row r="735">
      <c r="A735" t="str">
        <f>IF(games!$A735="","",games!$A735)</f>
      </c>
      <c r="B735">
        <f>IF($A735="","",games!$B735)</f>
      </c>
      <c r="C735" t="str">
        <f>IF($A735="","",games!$C735)</f>
      </c>
      <c r="D735">
        <f>IF($A735="","",COUNTIF(connections!$A$2:$A$2500,$A735)+COUNTIF(connections!$B$2:$B$2500,$A735))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IF(OR($A735="",games!$H735=""),"",games!$H735)</f>
      </c>
      <c r="Q735">
        <f>IF(OR($A735="",$P735&lt;&gt;"Yes"),"",$D735+ROW()/1000000)</f>
      </c>
      <c r="T735" t="str">
        <f>IF(connections!$A735="","",IFERROR(INDEX(games!$B$2:$B$1200,MATCH(connections!$A735,games!$A$2:$A$1200,0)),""))</f>
      </c>
      <c r="U735">
        <f>IF(connections!$A735="","",IFERROR(INDEX(games!$B$2:$B$1200,MATCH(connections!$B735,games!$A$2:$A$1200,0)),""))</f>
      </c>
      <c r="V735">
        <f>IF(OR($T735="",$U735=""),"",$U735-$T735)</f>
      </c>
    </row>
    <row r="736">
      <c r="A736" t="str">
        <f>IF(games!$A736="","",games!$A736)</f>
      </c>
      <c r="B736">
        <f>IF($A736="","",games!$B736)</f>
      </c>
      <c r="C736" t="str">
        <f>IF($A736="","",games!$C736)</f>
      </c>
      <c r="D736">
        <f>IF($A736="","",COUNTIF(connections!$A$2:$A$2500,$A736)+COUNTIF(connections!$B$2:$B$2500,$A736))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IF(OR($A736="",games!$H736=""),"",games!$H736)</f>
      </c>
      <c r="Q736">
        <f>IF(OR($A736="",$P736&lt;&gt;"Yes"),"",$D736+ROW()/1000000)</f>
      </c>
      <c r="T736" t="str">
        <f>IF(connections!$A736="","",IFERROR(INDEX(games!$B$2:$B$1200,MATCH(connections!$A736,games!$A$2:$A$1200,0)),""))</f>
      </c>
      <c r="U736">
        <f>IF(connections!$A736="","",IFERROR(INDEX(games!$B$2:$B$1200,MATCH(connections!$B736,games!$A$2:$A$1200,0)),""))</f>
      </c>
      <c r="V736">
        <f>IF(OR($T736="",$U736=""),"",$U736-$T736)</f>
      </c>
    </row>
    <row r="737">
      <c r="A737" t="str">
        <f>IF(games!$A737="","",games!$A737)</f>
      </c>
      <c r="B737">
        <f>IF($A737="","",games!$B737)</f>
      </c>
      <c r="C737" t="str">
        <f>IF($A737="","",games!$C737)</f>
      </c>
      <c r="D737">
        <f>IF($A737="","",COUNTIF(connections!$A$2:$A$2500,$A737)+COUNTIF(connections!$B$2:$B$2500,$A737))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IF(OR($A737="",games!$H737=""),"",games!$H737)</f>
      </c>
      <c r="Q737">
        <f>IF(OR($A737="",$P737&lt;&gt;"Yes"),"",$D737+ROW()/1000000)</f>
      </c>
      <c r="T737" t="str">
        <f>IF(connections!$A737="","",IFERROR(INDEX(games!$B$2:$B$1200,MATCH(connections!$A737,games!$A$2:$A$1200,0)),""))</f>
      </c>
      <c r="U737">
        <f>IF(connections!$A737="","",IFERROR(INDEX(games!$B$2:$B$1200,MATCH(connections!$B737,games!$A$2:$A$1200,0)),""))</f>
      </c>
      <c r="V737">
        <f>IF(OR($T737="",$U737=""),"",$U737-$T737)</f>
      </c>
    </row>
    <row r="738">
      <c r="A738" t="str">
        <f>IF(games!$A738="","",games!$A738)</f>
      </c>
      <c r="B738">
        <f>IF($A738="","",games!$B738)</f>
      </c>
      <c r="C738" t="str">
        <f>IF($A738="","",games!$C738)</f>
      </c>
      <c r="D738">
        <f>IF($A738="","",COUNTIF(connections!$A$2:$A$2500,$A738)+COUNTIF(connections!$B$2:$B$2500,$A738))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IF(OR($A738="",games!$H738=""),"",games!$H738)</f>
      </c>
      <c r="Q738">
        <f>IF(OR($A738="",$P738&lt;&gt;"Yes"),"",$D738+ROW()/1000000)</f>
      </c>
      <c r="T738" t="str">
        <f>IF(connections!$A738="","",IFERROR(INDEX(games!$B$2:$B$1200,MATCH(connections!$A738,games!$A$2:$A$1200,0)),""))</f>
      </c>
      <c r="U738">
        <f>IF(connections!$A738="","",IFERROR(INDEX(games!$B$2:$B$1200,MATCH(connections!$B738,games!$A$2:$A$1200,0)),""))</f>
      </c>
      <c r="V738">
        <f>IF(OR($T738="",$U738=""),"",$U738-$T738)</f>
      </c>
    </row>
    <row r="739">
      <c r="A739" t="str">
        <f>IF(games!$A739="","",games!$A739)</f>
      </c>
      <c r="B739">
        <f>IF($A739="","",games!$B739)</f>
      </c>
      <c r="C739" t="str">
        <f>IF($A739="","",games!$C739)</f>
      </c>
      <c r="D739">
        <f>IF($A739="","",COUNTIF(connections!$A$2:$A$2500,$A739)+COUNTIF(connections!$B$2:$B$2500,$A739))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IF(OR($A739="",games!$H739=""),"",games!$H739)</f>
      </c>
      <c r="Q739">
        <f>IF(OR($A739="",$P739&lt;&gt;"Yes"),"",$D739+ROW()/1000000)</f>
      </c>
      <c r="T739" t="str">
        <f>IF(connections!$A739="","",IFERROR(INDEX(games!$B$2:$B$1200,MATCH(connections!$A739,games!$A$2:$A$1200,0)),""))</f>
      </c>
      <c r="U739">
        <f>IF(connections!$A739="","",IFERROR(INDEX(games!$B$2:$B$1200,MATCH(connections!$B739,games!$A$2:$A$1200,0)),""))</f>
      </c>
      <c r="V739">
        <f>IF(OR($T739="",$U739=""),"",$U739-$T739)</f>
      </c>
    </row>
    <row r="740">
      <c r="A740" t="str">
        <f>IF(games!$A740="","",games!$A740)</f>
      </c>
      <c r="B740">
        <f>IF($A740="","",games!$B740)</f>
      </c>
      <c r="C740" t="str">
        <f>IF($A740="","",games!$C740)</f>
      </c>
      <c r="D740">
        <f>IF($A740="","",COUNTIF(connections!$A$2:$A$2500,$A740)+COUNTIF(connections!$B$2:$B$2500,$A740))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IF(OR($A740="",games!$H740=""),"",games!$H740)</f>
      </c>
      <c r="Q740">
        <f>IF(OR($A740="",$P740&lt;&gt;"Yes"),"",$D740+ROW()/1000000)</f>
      </c>
      <c r="T740" t="str">
        <f>IF(connections!$A740="","",IFERROR(INDEX(games!$B$2:$B$1200,MATCH(connections!$A740,games!$A$2:$A$1200,0)),""))</f>
      </c>
      <c r="U740">
        <f>IF(connections!$A740="","",IFERROR(INDEX(games!$B$2:$B$1200,MATCH(connections!$B740,games!$A$2:$A$1200,0)),""))</f>
      </c>
      <c r="V740">
        <f>IF(OR($T740="",$U740=""),"",$U740-$T740)</f>
      </c>
    </row>
    <row r="741">
      <c r="A741" t="str">
        <f>IF(games!$A741="","",games!$A741)</f>
      </c>
      <c r="B741">
        <f>IF($A741="","",games!$B741)</f>
      </c>
      <c r="C741" t="str">
        <f>IF($A741="","",games!$C741)</f>
      </c>
      <c r="D741">
        <f>IF($A741="","",COUNTIF(connections!$A$2:$A$2500,$A741)+COUNTIF(connections!$B$2:$B$2500,$A741))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IF(OR($A741="",games!$H741=""),"",games!$H741)</f>
      </c>
      <c r="Q741">
        <f>IF(OR($A741="",$P741&lt;&gt;"Yes"),"",$D741+ROW()/1000000)</f>
      </c>
      <c r="T741" t="str">
        <f>IF(connections!$A741="","",IFERROR(INDEX(games!$B$2:$B$1200,MATCH(connections!$A741,games!$A$2:$A$1200,0)),""))</f>
      </c>
      <c r="U741">
        <f>IF(connections!$A741="","",IFERROR(INDEX(games!$B$2:$B$1200,MATCH(connections!$B741,games!$A$2:$A$1200,0)),""))</f>
      </c>
      <c r="V741">
        <f>IF(OR($T741="",$U741=""),"",$U741-$T741)</f>
      </c>
    </row>
    <row r="742">
      <c r="A742" t="str">
        <f>IF(games!$A742="","",games!$A742)</f>
      </c>
      <c r="B742">
        <f>IF($A742="","",games!$B742)</f>
      </c>
      <c r="C742" t="str">
        <f>IF($A742="","",games!$C742)</f>
      </c>
      <c r="D742">
        <f>IF($A742="","",COUNTIF(connections!$A$2:$A$2500,$A742)+COUNTIF(connections!$B$2:$B$2500,$A742))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IF(OR($A742="",games!$H742=""),"",games!$H742)</f>
      </c>
      <c r="Q742">
        <f>IF(OR($A742="",$P742&lt;&gt;"Yes"),"",$D742+ROW()/1000000)</f>
      </c>
      <c r="T742" t="str">
        <f>IF(connections!$A742="","",IFERROR(INDEX(games!$B$2:$B$1200,MATCH(connections!$A742,games!$A$2:$A$1200,0)),""))</f>
      </c>
      <c r="U742">
        <f>IF(connections!$A742="","",IFERROR(INDEX(games!$B$2:$B$1200,MATCH(connections!$B742,games!$A$2:$A$1200,0)),""))</f>
      </c>
      <c r="V742">
        <f>IF(OR($T742="",$U742=""),"",$U742-$T742)</f>
      </c>
    </row>
    <row r="743">
      <c r="A743" t="str">
        <f>IF(games!$A743="","",games!$A743)</f>
      </c>
      <c r="B743">
        <f>IF($A743="","",games!$B743)</f>
      </c>
      <c r="C743" t="str">
        <f>IF($A743="","",games!$C743)</f>
      </c>
      <c r="D743">
        <f>IF($A743="","",COUNTIF(connections!$A$2:$A$2500,$A743)+COUNTIF(connections!$B$2:$B$2500,$A743))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IF(OR($A743="",games!$H743=""),"",games!$H743)</f>
      </c>
      <c r="Q743">
        <f>IF(OR($A743="",$P743&lt;&gt;"Yes"),"",$D743+ROW()/1000000)</f>
      </c>
      <c r="T743" t="str">
        <f>IF(connections!$A743="","",IFERROR(INDEX(games!$B$2:$B$1200,MATCH(connections!$A743,games!$A$2:$A$1200,0)),""))</f>
      </c>
      <c r="U743">
        <f>IF(connections!$A743="","",IFERROR(INDEX(games!$B$2:$B$1200,MATCH(connections!$B743,games!$A$2:$A$1200,0)),""))</f>
      </c>
      <c r="V743">
        <f>IF(OR($T743="",$U743=""),"",$U743-$T743)</f>
      </c>
    </row>
    <row r="744">
      <c r="A744" t="str">
        <f>IF(games!$A744="","",games!$A744)</f>
      </c>
      <c r="B744">
        <f>IF($A744="","",games!$B744)</f>
      </c>
      <c r="C744" t="str">
        <f>IF($A744="","",games!$C744)</f>
      </c>
      <c r="D744">
        <f>IF($A744="","",COUNTIF(connections!$A$2:$A$2500,$A744)+COUNTIF(connections!$B$2:$B$2500,$A744))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IF(OR($A744="",games!$H744=""),"",games!$H744)</f>
      </c>
      <c r="Q744">
        <f>IF(OR($A744="",$P744&lt;&gt;"Yes"),"",$D744+ROW()/1000000)</f>
      </c>
      <c r="T744" t="str">
        <f>IF(connections!$A744="","",IFERROR(INDEX(games!$B$2:$B$1200,MATCH(connections!$A744,games!$A$2:$A$1200,0)),""))</f>
      </c>
      <c r="U744">
        <f>IF(connections!$A744="","",IFERROR(INDEX(games!$B$2:$B$1200,MATCH(connections!$B744,games!$A$2:$A$1200,0)),""))</f>
      </c>
      <c r="V744">
        <f>IF(OR($T744="",$U744=""),"",$U744-$T744)</f>
      </c>
    </row>
    <row r="745">
      <c r="A745" t="str">
        <f>IF(games!$A745="","",games!$A745)</f>
      </c>
      <c r="B745">
        <f>IF($A745="","",games!$B745)</f>
      </c>
      <c r="C745" t="str">
        <f>IF($A745="","",games!$C745)</f>
      </c>
      <c r="D745">
        <f>IF($A745="","",COUNTIF(connections!$A$2:$A$2500,$A745)+COUNTIF(connections!$B$2:$B$2500,$A745))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IF(OR($A745="",games!$H745=""),"",games!$H745)</f>
      </c>
      <c r="Q745">
        <f>IF(OR($A745="",$P745&lt;&gt;"Yes"),"",$D745+ROW()/1000000)</f>
      </c>
      <c r="T745" t="str">
        <f>IF(connections!$A745="","",IFERROR(INDEX(games!$B$2:$B$1200,MATCH(connections!$A745,games!$A$2:$A$1200,0)),""))</f>
      </c>
      <c r="U745">
        <f>IF(connections!$A745="","",IFERROR(INDEX(games!$B$2:$B$1200,MATCH(connections!$B745,games!$A$2:$A$1200,0)),""))</f>
      </c>
      <c r="V745">
        <f>IF(OR($T745="",$U745=""),"",$U745-$T745)</f>
      </c>
    </row>
    <row r="746">
      <c r="A746" t="str">
        <f>IF(games!$A746="","",games!$A746)</f>
      </c>
      <c r="B746">
        <f>IF($A746="","",games!$B746)</f>
      </c>
      <c r="C746" t="str">
        <f>IF($A746="","",games!$C746)</f>
      </c>
      <c r="D746">
        <f>IF($A746="","",COUNTIF(connections!$A$2:$A$2500,$A746)+COUNTIF(connections!$B$2:$B$2500,$A746))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IF(OR($A746="",games!$H746=""),"",games!$H746)</f>
      </c>
      <c r="Q746">
        <f>IF(OR($A746="",$P746&lt;&gt;"Yes"),"",$D746+ROW()/1000000)</f>
      </c>
      <c r="T746" t="str">
        <f>IF(connections!$A746="","",IFERROR(INDEX(games!$B$2:$B$1200,MATCH(connections!$A746,games!$A$2:$A$1200,0)),""))</f>
      </c>
      <c r="U746">
        <f>IF(connections!$A746="","",IFERROR(INDEX(games!$B$2:$B$1200,MATCH(connections!$B746,games!$A$2:$A$1200,0)),""))</f>
      </c>
      <c r="V746">
        <f>IF(OR($T746="",$U746=""),"",$U746-$T746)</f>
      </c>
    </row>
    <row r="747">
      <c r="A747" t="str">
        <f>IF(games!$A747="","",games!$A747)</f>
      </c>
      <c r="B747">
        <f>IF($A747="","",games!$B747)</f>
      </c>
      <c r="C747" t="str">
        <f>IF($A747="","",games!$C747)</f>
      </c>
      <c r="D747">
        <f>IF($A747="","",COUNTIF(connections!$A$2:$A$2500,$A747)+COUNTIF(connections!$B$2:$B$2500,$A747))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IF(OR($A747="",games!$H747=""),"",games!$H747)</f>
      </c>
      <c r="Q747">
        <f>IF(OR($A747="",$P747&lt;&gt;"Yes"),"",$D747+ROW()/1000000)</f>
      </c>
      <c r="T747" t="str">
        <f>IF(connections!$A747="","",IFERROR(INDEX(games!$B$2:$B$1200,MATCH(connections!$A747,games!$A$2:$A$1200,0)),""))</f>
      </c>
      <c r="U747">
        <f>IF(connections!$A747="","",IFERROR(INDEX(games!$B$2:$B$1200,MATCH(connections!$B747,games!$A$2:$A$1200,0)),""))</f>
      </c>
      <c r="V747">
        <f>IF(OR($T747="",$U747=""),"",$U747-$T747)</f>
      </c>
    </row>
    <row r="748">
      <c r="A748" t="str">
        <f>IF(games!$A748="","",games!$A748)</f>
      </c>
      <c r="B748">
        <f>IF($A748="","",games!$B748)</f>
      </c>
      <c r="C748" t="str">
        <f>IF($A748="","",games!$C748)</f>
      </c>
      <c r="D748">
        <f>IF($A748="","",COUNTIF(connections!$A$2:$A$2500,$A748)+COUNTIF(connections!$B$2:$B$2500,$A748))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IF(OR($A748="",games!$H748=""),"",games!$H748)</f>
      </c>
      <c r="Q748">
        <f>IF(OR($A748="",$P748&lt;&gt;"Yes"),"",$D748+ROW()/1000000)</f>
      </c>
      <c r="T748" t="str">
        <f>IF(connections!$A748="","",IFERROR(INDEX(games!$B$2:$B$1200,MATCH(connections!$A748,games!$A$2:$A$1200,0)),""))</f>
      </c>
      <c r="U748">
        <f>IF(connections!$A748="","",IFERROR(INDEX(games!$B$2:$B$1200,MATCH(connections!$B748,games!$A$2:$A$1200,0)),""))</f>
      </c>
      <c r="V748">
        <f>IF(OR($T748="",$U748=""),"",$U748-$T748)</f>
      </c>
    </row>
    <row r="749">
      <c r="A749" t="str">
        <f>IF(games!$A749="","",games!$A749)</f>
      </c>
      <c r="B749">
        <f>IF($A749="","",games!$B749)</f>
      </c>
      <c r="C749" t="str">
        <f>IF($A749="","",games!$C749)</f>
      </c>
      <c r="D749">
        <f>IF($A749="","",COUNTIF(connections!$A$2:$A$2500,$A749)+COUNTIF(connections!$B$2:$B$2500,$A749))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IF(OR($A749="",games!$H749=""),"",games!$H749)</f>
      </c>
      <c r="Q749">
        <f>IF(OR($A749="",$P749&lt;&gt;"Yes"),"",$D749+ROW()/1000000)</f>
      </c>
      <c r="T749" t="str">
        <f>IF(connections!$A749="","",IFERROR(INDEX(games!$B$2:$B$1200,MATCH(connections!$A749,games!$A$2:$A$1200,0)),""))</f>
      </c>
      <c r="U749">
        <f>IF(connections!$A749="","",IFERROR(INDEX(games!$B$2:$B$1200,MATCH(connections!$B749,games!$A$2:$A$1200,0)),""))</f>
      </c>
      <c r="V749">
        <f>IF(OR($T749="",$U749=""),"",$U749-$T749)</f>
      </c>
    </row>
    <row r="750">
      <c r="A750" t="str">
        <f>IF(games!$A750="","",games!$A750)</f>
      </c>
      <c r="B750">
        <f>IF($A750="","",games!$B750)</f>
      </c>
      <c r="C750" t="str">
        <f>IF($A750="","",games!$C750)</f>
      </c>
      <c r="D750">
        <f>IF($A750="","",COUNTIF(connections!$A$2:$A$2500,$A750)+COUNTIF(connections!$B$2:$B$2500,$A750))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IF(OR($A750="",games!$H750=""),"",games!$H750)</f>
      </c>
      <c r="Q750">
        <f>IF(OR($A750="",$P750&lt;&gt;"Yes"),"",$D750+ROW()/1000000)</f>
      </c>
      <c r="T750" t="str">
        <f>IF(connections!$A750="","",IFERROR(INDEX(games!$B$2:$B$1200,MATCH(connections!$A750,games!$A$2:$A$1200,0)),""))</f>
      </c>
      <c r="U750">
        <f>IF(connections!$A750="","",IFERROR(INDEX(games!$B$2:$B$1200,MATCH(connections!$B750,games!$A$2:$A$1200,0)),""))</f>
      </c>
      <c r="V750">
        <f>IF(OR($T750="",$U750=""),"",$U750-$T750)</f>
      </c>
    </row>
    <row r="751">
      <c r="A751" t="str">
        <f>IF(games!$A751="","",games!$A751)</f>
      </c>
      <c r="B751">
        <f>IF($A751="","",games!$B751)</f>
      </c>
      <c r="C751" t="str">
        <f>IF($A751="","",games!$C751)</f>
      </c>
      <c r="D751">
        <f>IF($A751="","",COUNTIF(connections!$A$2:$A$2500,$A751)+COUNTIF(connections!$B$2:$B$2500,$A751))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IF(OR($A751="",games!$H751=""),"",games!$H751)</f>
      </c>
      <c r="Q751">
        <f>IF(OR($A751="",$P751&lt;&gt;"Yes"),"",$D751+ROW()/1000000)</f>
      </c>
      <c r="T751" t="str">
        <f>IF(connections!$A751="","",IFERROR(INDEX(games!$B$2:$B$1200,MATCH(connections!$A751,games!$A$2:$A$1200,0)),""))</f>
      </c>
      <c r="U751">
        <f>IF(connections!$A751="","",IFERROR(INDEX(games!$B$2:$B$1200,MATCH(connections!$B751,games!$A$2:$A$1200,0)),""))</f>
      </c>
      <c r="V751">
        <f>IF(OR($T751="",$U751=""),"",$U751-$T751)</f>
      </c>
    </row>
    <row r="752">
      <c r="A752" t="str">
        <f>IF(games!$A752="","",games!$A752)</f>
      </c>
      <c r="B752">
        <f>IF($A752="","",games!$B752)</f>
      </c>
      <c r="C752" t="str">
        <f>IF($A752="","",games!$C752)</f>
      </c>
      <c r="D752">
        <f>IF($A752="","",COUNTIF(connections!$A$2:$A$2500,$A752)+COUNTIF(connections!$B$2:$B$2500,$A752))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IF(OR($A752="",games!$H752=""),"",games!$H752)</f>
      </c>
      <c r="Q752">
        <f>IF(OR($A752="",$P752&lt;&gt;"Yes"),"",$D752+ROW()/1000000)</f>
      </c>
      <c r="T752" t="str">
        <f>IF(connections!$A752="","",IFERROR(INDEX(games!$B$2:$B$1200,MATCH(connections!$A752,games!$A$2:$A$1200,0)),""))</f>
      </c>
      <c r="U752">
        <f>IF(connections!$A752="","",IFERROR(INDEX(games!$B$2:$B$1200,MATCH(connections!$B752,games!$A$2:$A$1200,0)),""))</f>
      </c>
      <c r="V752">
        <f>IF(OR($T752="",$U752=""),"",$U752-$T752)</f>
      </c>
    </row>
    <row r="753">
      <c r="A753" t="str">
        <f>IF(games!$A753="","",games!$A753)</f>
      </c>
      <c r="B753">
        <f>IF($A753="","",games!$B753)</f>
      </c>
      <c r="C753" t="str">
        <f>IF($A753="","",games!$C753)</f>
      </c>
      <c r="D753">
        <f>IF($A753="","",COUNTIF(connections!$A$2:$A$2500,$A753)+COUNTIF(connections!$B$2:$B$2500,$A753))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IF(OR($A753="",games!$H753=""),"",games!$H753)</f>
      </c>
      <c r="Q753">
        <f>IF(OR($A753="",$P753&lt;&gt;"Yes"),"",$D753+ROW()/1000000)</f>
      </c>
      <c r="T753" t="str">
        <f>IF(connections!$A753="","",IFERROR(INDEX(games!$B$2:$B$1200,MATCH(connections!$A753,games!$A$2:$A$1200,0)),""))</f>
      </c>
      <c r="U753">
        <f>IF(connections!$A753="","",IFERROR(INDEX(games!$B$2:$B$1200,MATCH(connections!$B753,games!$A$2:$A$1200,0)),""))</f>
      </c>
      <c r="V753">
        <f>IF(OR($T753="",$U753=""),"",$U753-$T753)</f>
      </c>
    </row>
    <row r="754">
      <c r="A754" t="str">
        <f>IF(games!$A754="","",games!$A754)</f>
      </c>
      <c r="B754">
        <f>IF($A754="","",games!$B754)</f>
      </c>
      <c r="C754" t="str">
        <f>IF($A754="","",games!$C754)</f>
      </c>
      <c r="D754">
        <f>IF($A754="","",COUNTIF(connections!$A$2:$A$2500,$A754)+COUNTIF(connections!$B$2:$B$2500,$A754))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IF(OR($A754="",games!$H754=""),"",games!$H754)</f>
      </c>
      <c r="Q754">
        <f>IF(OR($A754="",$P754&lt;&gt;"Yes"),"",$D754+ROW()/1000000)</f>
      </c>
      <c r="T754" t="str">
        <f>IF(connections!$A754="","",IFERROR(INDEX(games!$B$2:$B$1200,MATCH(connections!$A754,games!$A$2:$A$1200,0)),""))</f>
      </c>
      <c r="U754">
        <f>IF(connections!$A754="","",IFERROR(INDEX(games!$B$2:$B$1200,MATCH(connections!$B754,games!$A$2:$A$1200,0)),""))</f>
      </c>
      <c r="V754">
        <f>IF(OR($T754="",$U754=""),"",$U754-$T754)</f>
      </c>
    </row>
    <row r="755">
      <c r="A755" t="str">
        <f>IF(games!$A755="","",games!$A755)</f>
      </c>
      <c r="B755">
        <f>IF($A755="","",games!$B755)</f>
      </c>
      <c r="C755" t="str">
        <f>IF($A755="","",games!$C755)</f>
      </c>
      <c r="D755">
        <f>IF($A755="","",COUNTIF(connections!$A$2:$A$2500,$A755)+COUNTIF(connections!$B$2:$B$2500,$A755))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IF(OR($A755="",games!$H755=""),"",games!$H755)</f>
      </c>
      <c r="Q755">
        <f>IF(OR($A755="",$P755&lt;&gt;"Yes"),"",$D755+ROW()/1000000)</f>
      </c>
      <c r="T755" t="str">
        <f>IF(connections!$A755="","",IFERROR(INDEX(games!$B$2:$B$1200,MATCH(connections!$A755,games!$A$2:$A$1200,0)),""))</f>
      </c>
      <c r="U755">
        <f>IF(connections!$A755="","",IFERROR(INDEX(games!$B$2:$B$1200,MATCH(connections!$B755,games!$A$2:$A$1200,0)),""))</f>
      </c>
      <c r="V755">
        <f>IF(OR($T755="",$U755=""),"",$U755-$T755)</f>
      </c>
    </row>
    <row r="756">
      <c r="A756" t="str">
        <f>IF(games!$A756="","",games!$A756)</f>
      </c>
      <c r="B756">
        <f>IF($A756="","",games!$B756)</f>
      </c>
      <c r="C756" t="str">
        <f>IF($A756="","",games!$C756)</f>
      </c>
      <c r="D756">
        <f>IF($A756="","",COUNTIF(connections!$A$2:$A$2500,$A756)+COUNTIF(connections!$B$2:$B$2500,$A756))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IF(OR($A756="",games!$H756=""),"",games!$H756)</f>
      </c>
      <c r="Q756">
        <f>IF(OR($A756="",$P756&lt;&gt;"Yes"),"",$D756+ROW()/1000000)</f>
      </c>
      <c r="T756" t="str">
        <f>IF(connections!$A756="","",IFERROR(INDEX(games!$B$2:$B$1200,MATCH(connections!$A756,games!$A$2:$A$1200,0)),""))</f>
      </c>
      <c r="U756">
        <f>IF(connections!$A756="","",IFERROR(INDEX(games!$B$2:$B$1200,MATCH(connections!$B756,games!$A$2:$A$1200,0)),""))</f>
      </c>
      <c r="V756">
        <f>IF(OR($T756="",$U756=""),"",$U756-$T756)</f>
      </c>
    </row>
    <row r="757">
      <c r="A757" t="str">
        <f>IF(games!$A757="","",games!$A757)</f>
      </c>
      <c r="B757">
        <f>IF($A757="","",games!$B757)</f>
      </c>
      <c r="C757" t="str">
        <f>IF($A757="","",games!$C757)</f>
      </c>
      <c r="D757">
        <f>IF($A757="","",COUNTIF(connections!$A$2:$A$2500,$A757)+COUNTIF(connections!$B$2:$B$2500,$A757))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IF(OR($A757="",games!$H757=""),"",games!$H757)</f>
      </c>
      <c r="Q757">
        <f>IF(OR($A757="",$P757&lt;&gt;"Yes"),"",$D757+ROW()/1000000)</f>
      </c>
      <c r="T757" t="str">
        <f>IF(connections!$A757="","",IFERROR(INDEX(games!$B$2:$B$1200,MATCH(connections!$A757,games!$A$2:$A$1200,0)),""))</f>
      </c>
      <c r="U757">
        <f>IF(connections!$A757="","",IFERROR(INDEX(games!$B$2:$B$1200,MATCH(connections!$B757,games!$A$2:$A$1200,0)),""))</f>
      </c>
      <c r="V757">
        <f>IF(OR($T757="",$U757=""),"",$U757-$T757)</f>
      </c>
    </row>
    <row r="758">
      <c r="A758" t="str">
        <f>IF(games!$A758="","",games!$A758)</f>
      </c>
      <c r="B758">
        <f>IF($A758="","",games!$B758)</f>
      </c>
      <c r="C758" t="str">
        <f>IF($A758="","",games!$C758)</f>
      </c>
      <c r="D758">
        <f>IF($A758="","",COUNTIF(connections!$A$2:$A$2500,$A758)+COUNTIF(connections!$B$2:$B$2500,$A758))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IF(OR($A758="",games!$H758=""),"",games!$H758)</f>
      </c>
      <c r="Q758">
        <f>IF(OR($A758="",$P758&lt;&gt;"Yes"),"",$D758+ROW()/1000000)</f>
      </c>
      <c r="T758" t="str">
        <f>IF(connections!$A758="","",IFERROR(INDEX(games!$B$2:$B$1200,MATCH(connections!$A758,games!$A$2:$A$1200,0)),""))</f>
      </c>
      <c r="U758">
        <f>IF(connections!$A758="","",IFERROR(INDEX(games!$B$2:$B$1200,MATCH(connections!$B758,games!$A$2:$A$1200,0)),""))</f>
      </c>
      <c r="V758">
        <f>IF(OR($T758="",$U758=""),"",$U758-$T758)</f>
      </c>
    </row>
    <row r="759">
      <c r="A759" t="str">
        <f>IF(games!$A759="","",games!$A759)</f>
      </c>
      <c r="B759">
        <f>IF($A759="","",games!$B759)</f>
      </c>
      <c r="C759" t="str">
        <f>IF($A759="","",games!$C759)</f>
      </c>
      <c r="D759">
        <f>IF($A759="","",COUNTIF(connections!$A$2:$A$2500,$A759)+COUNTIF(connections!$B$2:$B$2500,$A759))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IF(OR($A759="",games!$H759=""),"",games!$H759)</f>
      </c>
      <c r="Q759">
        <f>IF(OR($A759="",$P759&lt;&gt;"Yes"),"",$D759+ROW()/1000000)</f>
      </c>
      <c r="T759" t="str">
        <f>IF(connections!$A759="","",IFERROR(INDEX(games!$B$2:$B$1200,MATCH(connections!$A759,games!$A$2:$A$1200,0)),""))</f>
      </c>
      <c r="U759">
        <f>IF(connections!$A759="","",IFERROR(INDEX(games!$B$2:$B$1200,MATCH(connections!$B759,games!$A$2:$A$1200,0)),""))</f>
      </c>
      <c r="V759">
        <f>IF(OR($T759="",$U759=""),"",$U759-$T759)</f>
      </c>
    </row>
    <row r="760">
      <c r="A760" t="str">
        <f>IF(games!$A760="","",games!$A760)</f>
      </c>
      <c r="B760">
        <f>IF($A760="","",games!$B760)</f>
      </c>
      <c r="C760" t="str">
        <f>IF($A760="","",games!$C760)</f>
      </c>
      <c r="D760">
        <f>IF($A760="","",COUNTIF(connections!$A$2:$A$2500,$A760)+COUNTIF(connections!$B$2:$B$2500,$A760))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IF(OR($A760="",games!$H760=""),"",games!$H760)</f>
      </c>
      <c r="Q760">
        <f>IF(OR($A760="",$P760&lt;&gt;"Yes"),"",$D760+ROW()/1000000)</f>
      </c>
      <c r="T760" t="str">
        <f>IF(connections!$A760="","",IFERROR(INDEX(games!$B$2:$B$1200,MATCH(connections!$A760,games!$A$2:$A$1200,0)),""))</f>
      </c>
      <c r="U760">
        <f>IF(connections!$A760="","",IFERROR(INDEX(games!$B$2:$B$1200,MATCH(connections!$B760,games!$A$2:$A$1200,0)),""))</f>
      </c>
      <c r="V760">
        <f>IF(OR($T760="",$U760=""),"",$U760-$T760)</f>
      </c>
    </row>
    <row r="761">
      <c r="A761" t="str">
        <f>IF(games!$A761="","",games!$A761)</f>
      </c>
      <c r="B761">
        <f>IF($A761="","",games!$B761)</f>
      </c>
      <c r="C761" t="str">
        <f>IF($A761="","",games!$C761)</f>
      </c>
      <c r="D761">
        <f>IF($A761="","",COUNTIF(connections!$A$2:$A$2500,$A761)+COUNTIF(connections!$B$2:$B$2500,$A761))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IF(OR($A761="",games!$H761=""),"",games!$H761)</f>
      </c>
      <c r="Q761">
        <f>IF(OR($A761="",$P761&lt;&gt;"Yes"),"",$D761+ROW()/1000000)</f>
      </c>
      <c r="T761" t="str">
        <f>IF(connections!$A761="","",IFERROR(INDEX(games!$B$2:$B$1200,MATCH(connections!$A761,games!$A$2:$A$1200,0)),""))</f>
      </c>
      <c r="U761">
        <f>IF(connections!$A761="","",IFERROR(INDEX(games!$B$2:$B$1200,MATCH(connections!$B761,games!$A$2:$A$1200,0)),""))</f>
      </c>
      <c r="V761">
        <f>IF(OR($T761="",$U761=""),"",$U761-$T761)</f>
      </c>
    </row>
    <row r="762">
      <c r="A762" t="str">
        <f>IF(games!$A762="","",games!$A762)</f>
      </c>
      <c r="B762">
        <f>IF($A762="","",games!$B762)</f>
      </c>
      <c r="C762" t="str">
        <f>IF($A762="","",games!$C762)</f>
      </c>
      <c r="D762">
        <f>IF($A762="","",COUNTIF(connections!$A$2:$A$2500,$A762)+COUNTIF(connections!$B$2:$B$2500,$A762))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IF(OR($A762="",games!$H762=""),"",games!$H762)</f>
      </c>
      <c r="Q762">
        <f>IF(OR($A762="",$P762&lt;&gt;"Yes"),"",$D762+ROW()/1000000)</f>
      </c>
      <c r="T762" t="str">
        <f>IF(connections!$A762="","",IFERROR(INDEX(games!$B$2:$B$1200,MATCH(connections!$A762,games!$A$2:$A$1200,0)),""))</f>
      </c>
      <c r="U762">
        <f>IF(connections!$A762="","",IFERROR(INDEX(games!$B$2:$B$1200,MATCH(connections!$B762,games!$A$2:$A$1200,0)),""))</f>
      </c>
      <c r="V762">
        <f>IF(OR($T762="",$U762=""),"",$U762-$T762)</f>
      </c>
    </row>
    <row r="763">
      <c r="A763" t="str">
        <f>IF(games!$A763="","",games!$A763)</f>
      </c>
      <c r="B763">
        <f>IF($A763="","",games!$B763)</f>
      </c>
      <c r="C763" t="str">
        <f>IF($A763="","",games!$C763)</f>
      </c>
      <c r="D763">
        <f>IF($A763="","",COUNTIF(connections!$A$2:$A$2500,$A763)+COUNTIF(connections!$B$2:$B$2500,$A763))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IF(OR($A763="",games!$H763=""),"",games!$H763)</f>
      </c>
      <c r="Q763">
        <f>IF(OR($A763="",$P763&lt;&gt;"Yes"),"",$D763+ROW()/1000000)</f>
      </c>
      <c r="T763" t="str">
        <f>IF(connections!$A763="","",IFERROR(INDEX(games!$B$2:$B$1200,MATCH(connections!$A763,games!$A$2:$A$1200,0)),""))</f>
      </c>
      <c r="U763">
        <f>IF(connections!$A763="","",IFERROR(INDEX(games!$B$2:$B$1200,MATCH(connections!$B763,games!$A$2:$A$1200,0)),""))</f>
      </c>
      <c r="V763">
        <f>IF(OR($T763="",$U763=""),"",$U763-$T763)</f>
      </c>
    </row>
    <row r="764">
      <c r="A764" t="str">
        <f>IF(games!$A764="","",games!$A764)</f>
      </c>
      <c r="B764">
        <f>IF($A764="","",games!$B764)</f>
      </c>
      <c r="C764" t="str">
        <f>IF($A764="","",games!$C764)</f>
      </c>
      <c r="D764">
        <f>IF($A764="","",COUNTIF(connections!$A$2:$A$2500,$A764)+COUNTIF(connections!$B$2:$B$2500,$A764))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IF(OR($A764="",games!$H764=""),"",games!$H764)</f>
      </c>
      <c r="Q764">
        <f>IF(OR($A764="",$P764&lt;&gt;"Yes"),"",$D764+ROW()/1000000)</f>
      </c>
      <c r="T764" t="str">
        <f>IF(connections!$A764="","",IFERROR(INDEX(games!$B$2:$B$1200,MATCH(connections!$A764,games!$A$2:$A$1200,0)),""))</f>
      </c>
      <c r="U764">
        <f>IF(connections!$A764="","",IFERROR(INDEX(games!$B$2:$B$1200,MATCH(connections!$B764,games!$A$2:$A$1200,0)),""))</f>
      </c>
      <c r="V764">
        <f>IF(OR($T764="",$U764=""),"",$U764-$T764)</f>
      </c>
    </row>
    <row r="765">
      <c r="A765" t="str">
        <f>IF(games!$A765="","",games!$A765)</f>
      </c>
      <c r="B765">
        <f>IF($A765="","",games!$B765)</f>
      </c>
      <c r="C765" t="str">
        <f>IF($A765="","",games!$C765)</f>
      </c>
      <c r="D765">
        <f>IF($A765="","",COUNTIF(connections!$A$2:$A$2500,$A765)+COUNTIF(connections!$B$2:$B$2500,$A765))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IF(OR($A765="",games!$H765=""),"",games!$H765)</f>
      </c>
      <c r="Q765">
        <f>IF(OR($A765="",$P765&lt;&gt;"Yes"),"",$D765+ROW()/1000000)</f>
      </c>
      <c r="T765" t="str">
        <f>IF(connections!$A765="","",IFERROR(INDEX(games!$B$2:$B$1200,MATCH(connections!$A765,games!$A$2:$A$1200,0)),""))</f>
      </c>
      <c r="U765">
        <f>IF(connections!$A765="","",IFERROR(INDEX(games!$B$2:$B$1200,MATCH(connections!$B765,games!$A$2:$A$1200,0)),""))</f>
      </c>
      <c r="V765">
        <f>IF(OR($T765="",$U765=""),"",$U765-$T765)</f>
      </c>
    </row>
    <row r="766">
      <c r="A766" t="str">
        <f>IF(games!$A766="","",games!$A766)</f>
      </c>
      <c r="B766">
        <f>IF($A766="","",games!$B766)</f>
      </c>
      <c r="C766" t="str">
        <f>IF($A766="","",games!$C766)</f>
      </c>
      <c r="D766">
        <f>IF($A766="","",COUNTIF(connections!$A$2:$A$2500,$A766)+COUNTIF(connections!$B$2:$B$2500,$A766))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IF(OR($A766="",games!$H766=""),"",games!$H766)</f>
      </c>
      <c r="Q766">
        <f>IF(OR($A766="",$P766&lt;&gt;"Yes"),"",$D766+ROW()/1000000)</f>
      </c>
      <c r="T766" t="str">
        <f>IF(connections!$A766="","",IFERROR(INDEX(games!$B$2:$B$1200,MATCH(connections!$A766,games!$A$2:$A$1200,0)),""))</f>
      </c>
      <c r="U766">
        <f>IF(connections!$A766="","",IFERROR(INDEX(games!$B$2:$B$1200,MATCH(connections!$B766,games!$A$2:$A$1200,0)),""))</f>
      </c>
      <c r="V766">
        <f>IF(OR($T766="",$U766=""),"",$U766-$T766)</f>
      </c>
    </row>
    <row r="767">
      <c r="A767" t="str">
        <f>IF(games!$A767="","",games!$A767)</f>
      </c>
      <c r="B767">
        <f>IF($A767="","",games!$B767)</f>
      </c>
      <c r="C767" t="str">
        <f>IF($A767="","",games!$C767)</f>
      </c>
      <c r="D767">
        <f>IF($A767="","",COUNTIF(connections!$A$2:$A$2500,$A767)+COUNTIF(connections!$B$2:$B$2500,$A767))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IF(OR($A767="",games!$H767=""),"",games!$H767)</f>
      </c>
      <c r="Q767">
        <f>IF(OR($A767="",$P767&lt;&gt;"Yes"),"",$D767+ROW()/1000000)</f>
      </c>
      <c r="T767" t="str">
        <f>IF(connections!$A767="","",IFERROR(INDEX(games!$B$2:$B$1200,MATCH(connections!$A767,games!$A$2:$A$1200,0)),""))</f>
      </c>
      <c r="U767">
        <f>IF(connections!$A767="","",IFERROR(INDEX(games!$B$2:$B$1200,MATCH(connections!$B767,games!$A$2:$A$1200,0)),""))</f>
      </c>
      <c r="V767">
        <f>IF(OR($T767="",$U767=""),"",$U767-$T767)</f>
      </c>
    </row>
    <row r="768">
      <c r="A768" t="str">
        <f>IF(games!$A768="","",games!$A768)</f>
      </c>
      <c r="B768">
        <f>IF($A768="","",games!$B768)</f>
      </c>
      <c r="C768" t="str">
        <f>IF($A768="","",games!$C768)</f>
      </c>
      <c r="D768">
        <f>IF($A768="","",COUNTIF(connections!$A$2:$A$2500,$A768)+COUNTIF(connections!$B$2:$B$2500,$A768))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IF(OR($A768="",games!$H768=""),"",games!$H768)</f>
      </c>
      <c r="Q768">
        <f>IF(OR($A768="",$P768&lt;&gt;"Yes"),"",$D768+ROW()/1000000)</f>
      </c>
      <c r="T768" t="str">
        <f>IF(connections!$A768="","",IFERROR(INDEX(games!$B$2:$B$1200,MATCH(connections!$A768,games!$A$2:$A$1200,0)),""))</f>
      </c>
      <c r="U768">
        <f>IF(connections!$A768="","",IFERROR(INDEX(games!$B$2:$B$1200,MATCH(connections!$B768,games!$A$2:$A$1200,0)),""))</f>
      </c>
      <c r="V768">
        <f>IF(OR($T768="",$U768=""),"",$U768-$T768)</f>
      </c>
    </row>
    <row r="769">
      <c r="A769" t="str">
        <f>IF(games!$A769="","",games!$A769)</f>
      </c>
      <c r="B769">
        <f>IF($A769="","",games!$B769)</f>
      </c>
      <c r="C769" t="str">
        <f>IF($A769="","",games!$C769)</f>
      </c>
      <c r="D769">
        <f>IF($A769="","",COUNTIF(connections!$A$2:$A$2500,$A769)+COUNTIF(connections!$B$2:$B$2500,$A769))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IF(OR($A769="",games!$H769=""),"",games!$H769)</f>
      </c>
      <c r="Q769">
        <f>IF(OR($A769="",$P769&lt;&gt;"Yes"),"",$D769+ROW()/1000000)</f>
      </c>
      <c r="T769" t="str">
        <f>IF(connections!$A769="","",IFERROR(INDEX(games!$B$2:$B$1200,MATCH(connections!$A769,games!$A$2:$A$1200,0)),""))</f>
      </c>
      <c r="U769">
        <f>IF(connections!$A769="","",IFERROR(INDEX(games!$B$2:$B$1200,MATCH(connections!$B769,games!$A$2:$A$1200,0)),""))</f>
      </c>
      <c r="V769">
        <f>IF(OR($T769="",$U769=""),"",$U769-$T769)</f>
      </c>
    </row>
    <row r="770">
      <c r="A770" t="str">
        <f>IF(games!$A770="","",games!$A770)</f>
      </c>
      <c r="B770">
        <f>IF($A770="","",games!$B770)</f>
      </c>
      <c r="C770" t="str">
        <f>IF($A770="","",games!$C770)</f>
      </c>
      <c r="D770">
        <f>IF($A770="","",COUNTIF(connections!$A$2:$A$2500,$A770)+COUNTIF(connections!$B$2:$B$2500,$A770))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IF(OR($A770="",games!$H770=""),"",games!$H770)</f>
      </c>
      <c r="Q770">
        <f>IF(OR($A770="",$P770&lt;&gt;"Yes"),"",$D770+ROW()/1000000)</f>
      </c>
      <c r="T770" t="str">
        <f>IF(connections!$A770="","",IFERROR(INDEX(games!$B$2:$B$1200,MATCH(connections!$A770,games!$A$2:$A$1200,0)),""))</f>
      </c>
      <c r="U770">
        <f>IF(connections!$A770="","",IFERROR(INDEX(games!$B$2:$B$1200,MATCH(connections!$B770,games!$A$2:$A$1200,0)),""))</f>
      </c>
      <c r="V770">
        <f>IF(OR($T770="",$U770=""),"",$U770-$T770)</f>
      </c>
    </row>
    <row r="771">
      <c r="A771" t="str">
        <f>IF(games!$A771="","",games!$A771)</f>
      </c>
      <c r="B771">
        <f>IF($A771="","",games!$B771)</f>
      </c>
      <c r="C771" t="str">
        <f>IF($A771="","",games!$C771)</f>
      </c>
      <c r="D771">
        <f>IF($A771="","",COUNTIF(connections!$A$2:$A$2500,$A771)+COUNTIF(connections!$B$2:$B$2500,$A771))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IF(OR($A771="",games!$H771=""),"",games!$H771)</f>
      </c>
      <c r="Q771">
        <f>IF(OR($A771="",$P771&lt;&gt;"Yes"),"",$D771+ROW()/1000000)</f>
      </c>
      <c r="T771" t="str">
        <f>IF(connections!$A771="","",IFERROR(INDEX(games!$B$2:$B$1200,MATCH(connections!$A771,games!$A$2:$A$1200,0)),""))</f>
      </c>
      <c r="U771">
        <f>IF(connections!$A771="","",IFERROR(INDEX(games!$B$2:$B$1200,MATCH(connections!$B771,games!$A$2:$A$1200,0)),""))</f>
      </c>
      <c r="V771">
        <f>IF(OR($T771="",$U771=""),"",$U771-$T771)</f>
      </c>
    </row>
    <row r="772">
      <c r="A772" t="str">
        <f>IF(games!$A772="","",games!$A772)</f>
      </c>
      <c r="B772">
        <f>IF($A772="","",games!$B772)</f>
      </c>
      <c r="C772" t="str">
        <f>IF($A772="","",games!$C772)</f>
      </c>
      <c r="D772">
        <f>IF($A772="","",COUNTIF(connections!$A$2:$A$2500,$A772)+COUNTIF(connections!$B$2:$B$2500,$A772))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IF(OR($A772="",games!$H772=""),"",games!$H772)</f>
      </c>
      <c r="Q772">
        <f>IF(OR($A772="",$P772&lt;&gt;"Yes"),"",$D772+ROW()/1000000)</f>
      </c>
      <c r="T772" t="str">
        <f>IF(connections!$A772="","",IFERROR(INDEX(games!$B$2:$B$1200,MATCH(connections!$A772,games!$A$2:$A$1200,0)),""))</f>
      </c>
      <c r="U772">
        <f>IF(connections!$A772="","",IFERROR(INDEX(games!$B$2:$B$1200,MATCH(connections!$B772,games!$A$2:$A$1200,0)),""))</f>
      </c>
      <c r="V772">
        <f>IF(OR($T772="",$U772=""),"",$U772-$T772)</f>
      </c>
    </row>
    <row r="773">
      <c r="A773" t="str">
        <f>IF(games!$A773="","",games!$A773)</f>
      </c>
      <c r="B773">
        <f>IF($A773="","",games!$B773)</f>
      </c>
      <c r="C773" t="str">
        <f>IF($A773="","",games!$C773)</f>
      </c>
      <c r="D773">
        <f>IF($A773="","",COUNTIF(connections!$A$2:$A$2500,$A773)+COUNTIF(connections!$B$2:$B$2500,$A773))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IF(OR($A773="",games!$H773=""),"",games!$H773)</f>
      </c>
      <c r="Q773">
        <f>IF(OR($A773="",$P773&lt;&gt;"Yes"),"",$D773+ROW()/1000000)</f>
      </c>
      <c r="T773" t="str">
        <f>IF(connections!$A773="","",IFERROR(INDEX(games!$B$2:$B$1200,MATCH(connections!$A773,games!$A$2:$A$1200,0)),""))</f>
      </c>
      <c r="U773">
        <f>IF(connections!$A773="","",IFERROR(INDEX(games!$B$2:$B$1200,MATCH(connections!$B773,games!$A$2:$A$1200,0)),""))</f>
      </c>
      <c r="V773">
        <f>IF(OR($T773="",$U773=""),"",$U773-$T773)</f>
      </c>
    </row>
    <row r="774">
      <c r="A774" t="str">
        <f>IF(games!$A774="","",games!$A774)</f>
      </c>
      <c r="B774">
        <f>IF($A774="","",games!$B774)</f>
      </c>
      <c r="C774" t="str">
        <f>IF($A774="","",games!$C774)</f>
      </c>
      <c r="D774">
        <f>IF($A774="","",COUNTIF(connections!$A$2:$A$2500,$A774)+COUNTIF(connections!$B$2:$B$2500,$A774))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IF(OR($A774="",games!$H774=""),"",games!$H774)</f>
      </c>
      <c r="Q774">
        <f>IF(OR($A774="",$P774&lt;&gt;"Yes"),"",$D774+ROW()/1000000)</f>
      </c>
      <c r="T774" t="str">
        <f>IF(connections!$A774="","",IFERROR(INDEX(games!$B$2:$B$1200,MATCH(connections!$A774,games!$A$2:$A$1200,0)),""))</f>
      </c>
      <c r="U774">
        <f>IF(connections!$A774="","",IFERROR(INDEX(games!$B$2:$B$1200,MATCH(connections!$B774,games!$A$2:$A$1200,0)),""))</f>
      </c>
      <c r="V774">
        <f>IF(OR($T774="",$U774=""),"",$U774-$T774)</f>
      </c>
    </row>
    <row r="775">
      <c r="A775" t="str">
        <f>IF(games!$A775="","",games!$A775)</f>
      </c>
      <c r="B775">
        <f>IF($A775="","",games!$B775)</f>
      </c>
      <c r="C775" t="str">
        <f>IF($A775="","",games!$C775)</f>
      </c>
      <c r="D775">
        <f>IF($A775="","",COUNTIF(connections!$A$2:$A$2500,$A775)+COUNTIF(connections!$B$2:$B$2500,$A775))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IF(OR($A775="",games!$H775=""),"",games!$H775)</f>
      </c>
      <c r="Q775">
        <f>IF(OR($A775="",$P775&lt;&gt;"Yes"),"",$D775+ROW()/1000000)</f>
      </c>
      <c r="T775" t="str">
        <f>IF(connections!$A775="","",IFERROR(INDEX(games!$B$2:$B$1200,MATCH(connections!$A775,games!$A$2:$A$1200,0)),""))</f>
      </c>
      <c r="U775">
        <f>IF(connections!$A775="","",IFERROR(INDEX(games!$B$2:$B$1200,MATCH(connections!$B775,games!$A$2:$A$1200,0)),""))</f>
      </c>
      <c r="V775">
        <f>IF(OR($T775="",$U775=""),"",$U775-$T775)</f>
      </c>
    </row>
    <row r="776">
      <c r="A776" t="str">
        <f>IF(games!$A776="","",games!$A776)</f>
      </c>
      <c r="B776">
        <f>IF($A776="","",games!$B776)</f>
      </c>
      <c r="C776" t="str">
        <f>IF($A776="","",games!$C776)</f>
      </c>
      <c r="D776">
        <f>IF($A776="","",COUNTIF(connections!$A$2:$A$2500,$A776)+COUNTIF(connections!$B$2:$B$2500,$A776))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IF(OR($A776="",games!$H776=""),"",games!$H776)</f>
      </c>
      <c r="Q776">
        <f>IF(OR($A776="",$P776&lt;&gt;"Yes"),"",$D776+ROW()/1000000)</f>
      </c>
      <c r="T776" t="str">
        <f>IF(connections!$A776="","",IFERROR(INDEX(games!$B$2:$B$1200,MATCH(connections!$A776,games!$A$2:$A$1200,0)),""))</f>
      </c>
      <c r="U776">
        <f>IF(connections!$A776="","",IFERROR(INDEX(games!$B$2:$B$1200,MATCH(connections!$B776,games!$A$2:$A$1200,0)),""))</f>
      </c>
      <c r="V776">
        <f>IF(OR($T776="",$U776=""),"",$U776-$T776)</f>
      </c>
    </row>
    <row r="777">
      <c r="A777" t="str">
        <f>IF(games!$A777="","",games!$A777)</f>
      </c>
      <c r="B777">
        <f>IF($A777="","",games!$B777)</f>
      </c>
      <c r="C777" t="str">
        <f>IF($A777="","",games!$C777)</f>
      </c>
      <c r="D777">
        <f>IF($A777="","",COUNTIF(connections!$A$2:$A$2500,$A777)+COUNTIF(connections!$B$2:$B$2500,$A777))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IF(OR($A777="",games!$H777=""),"",games!$H777)</f>
      </c>
      <c r="Q777">
        <f>IF(OR($A777="",$P777&lt;&gt;"Yes"),"",$D777+ROW()/1000000)</f>
      </c>
      <c r="T777" t="str">
        <f>IF(connections!$A777="","",IFERROR(INDEX(games!$B$2:$B$1200,MATCH(connections!$A777,games!$A$2:$A$1200,0)),""))</f>
      </c>
      <c r="U777">
        <f>IF(connections!$A777="","",IFERROR(INDEX(games!$B$2:$B$1200,MATCH(connections!$B777,games!$A$2:$A$1200,0)),""))</f>
      </c>
      <c r="V777">
        <f>IF(OR($T777="",$U777=""),"",$U777-$T777)</f>
      </c>
    </row>
    <row r="778">
      <c r="A778" t="str">
        <f>IF(games!$A778="","",games!$A778)</f>
      </c>
      <c r="B778">
        <f>IF($A778="","",games!$B778)</f>
      </c>
      <c r="C778" t="str">
        <f>IF($A778="","",games!$C778)</f>
      </c>
      <c r="D778">
        <f>IF($A778="","",COUNTIF(connections!$A$2:$A$2500,$A778)+COUNTIF(connections!$B$2:$B$2500,$A778))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IF(OR($A778="",games!$H778=""),"",games!$H778)</f>
      </c>
      <c r="Q778">
        <f>IF(OR($A778="",$P778&lt;&gt;"Yes"),"",$D778+ROW()/1000000)</f>
      </c>
      <c r="T778" t="str">
        <f>IF(connections!$A778="","",IFERROR(INDEX(games!$B$2:$B$1200,MATCH(connections!$A778,games!$A$2:$A$1200,0)),""))</f>
      </c>
      <c r="U778">
        <f>IF(connections!$A778="","",IFERROR(INDEX(games!$B$2:$B$1200,MATCH(connections!$B778,games!$A$2:$A$1200,0)),""))</f>
      </c>
      <c r="V778">
        <f>IF(OR($T778="",$U778=""),"",$U778-$T778)</f>
      </c>
    </row>
    <row r="779">
      <c r="A779" t="str">
        <f>IF(games!$A779="","",games!$A779)</f>
      </c>
      <c r="B779">
        <f>IF($A779="","",games!$B779)</f>
      </c>
      <c r="C779" t="str">
        <f>IF($A779="","",games!$C779)</f>
      </c>
      <c r="D779">
        <f>IF($A779="","",COUNTIF(connections!$A$2:$A$2500,$A779)+COUNTIF(connections!$B$2:$B$2500,$A779))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IF(OR($A779="",games!$H779=""),"",games!$H779)</f>
      </c>
      <c r="Q779">
        <f>IF(OR($A779="",$P779&lt;&gt;"Yes"),"",$D779+ROW()/1000000)</f>
      </c>
      <c r="T779" t="str">
        <f>IF(connections!$A779="","",IFERROR(INDEX(games!$B$2:$B$1200,MATCH(connections!$A779,games!$A$2:$A$1200,0)),""))</f>
      </c>
      <c r="U779">
        <f>IF(connections!$A779="","",IFERROR(INDEX(games!$B$2:$B$1200,MATCH(connections!$B779,games!$A$2:$A$1200,0)),""))</f>
      </c>
      <c r="V779">
        <f>IF(OR($T779="",$U779=""),"",$U779-$T779)</f>
      </c>
    </row>
    <row r="780">
      <c r="A780" t="str">
        <f>IF(games!$A780="","",games!$A780)</f>
      </c>
      <c r="B780">
        <f>IF($A780="","",games!$B780)</f>
      </c>
      <c r="C780" t="str">
        <f>IF($A780="","",games!$C780)</f>
      </c>
      <c r="D780">
        <f>IF($A780="","",COUNTIF(connections!$A$2:$A$2500,$A780)+COUNTIF(connections!$B$2:$B$2500,$A780))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IF(OR($A780="",games!$H780=""),"",games!$H780)</f>
      </c>
      <c r="Q780">
        <f>IF(OR($A780="",$P780&lt;&gt;"Yes"),"",$D780+ROW()/1000000)</f>
      </c>
      <c r="T780" t="str">
        <f>IF(connections!$A780="","",IFERROR(INDEX(games!$B$2:$B$1200,MATCH(connections!$A780,games!$A$2:$A$1200,0)),""))</f>
      </c>
      <c r="U780">
        <f>IF(connections!$A780="","",IFERROR(INDEX(games!$B$2:$B$1200,MATCH(connections!$B780,games!$A$2:$A$1200,0)),""))</f>
      </c>
      <c r="V780">
        <f>IF(OR($T780="",$U780=""),"",$U780-$T780)</f>
      </c>
    </row>
    <row r="781">
      <c r="A781" t="str">
        <f>IF(games!$A781="","",games!$A781)</f>
      </c>
      <c r="B781">
        <f>IF($A781="","",games!$B781)</f>
      </c>
      <c r="C781" t="str">
        <f>IF($A781="","",games!$C781)</f>
      </c>
      <c r="D781">
        <f>IF($A781="","",COUNTIF(connections!$A$2:$A$2500,$A781)+COUNTIF(connections!$B$2:$B$2500,$A781))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IF(OR($A781="",games!$H781=""),"",games!$H781)</f>
      </c>
      <c r="Q781">
        <f>IF(OR($A781="",$P781&lt;&gt;"Yes"),"",$D781+ROW()/1000000)</f>
      </c>
      <c r="T781" t="str">
        <f>IF(connections!$A781="","",IFERROR(INDEX(games!$B$2:$B$1200,MATCH(connections!$A781,games!$A$2:$A$1200,0)),""))</f>
      </c>
      <c r="U781">
        <f>IF(connections!$A781="","",IFERROR(INDEX(games!$B$2:$B$1200,MATCH(connections!$B781,games!$A$2:$A$1200,0)),""))</f>
      </c>
      <c r="V781">
        <f>IF(OR($T781="",$U781=""),"",$U781-$T781)</f>
      </c>
    </row>
    <row r="782">
      <c r="A782" t="str">
        <f>IF(games!$A782="","",games!$A782)</f>
      </c>
      <c r="B782">
        <f>IF($A782="","",games!$B782)</f>
      </c>
      <c r="C782" t="str">
        <f>IF($A782="","",games!$C782)</f>
      </c>
      <c r="D782">
        <f>IF($A782="","",COUNTIF(connections!$A$2:$A$2500,$A782)+COUNTIF(connections!$B$2:$B$2500,$A782))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IF(OR($A782="",games!$H782=""),"",games!$H782)</f>
      </c>
      <c r="Q782">
        <f>IF(OR($A782="",$P782&lt;&gt;"Yes"),"",$D782+ROW()/1000000)</f>
      </c>
      <c r="T782" t="str">
        <f>IF(connections!$A782="","",IFERROR(INDEX(games!$B$2:$B$1200,MATCH(connections!$A782,games!$A$2:$A$1200,0)),""))</f>
      </c>
      <c r="U782">
        <f>IF(connections!$A782="","",IFERROR(INDEX(games!$B$2:$B$1200,MATCH(connections!$B782,games!$A$2:$A$1200,0)),""))</f>
      </c>
      <c r="V782">
        <f>IF(OR($T782="",$U782=""),"",$U782-$T782)</f>
      </c>
    </row>
    <row r="783">
      <c r="A783" t="str">
        <f>IF(games!$A783="","",games!$A783)</f>
      </c>
      <c r="B783">
        <f>IF($A783="","",games!$B783)</f>
      </c>
      <c r="C783" t="str">
        <f>IF($A783="","",games!$C783)</f>
      </c>
      <c r="D783">
        <f>IF($A783="","",COUNTIF(connections!$A$2:$A$2500,$A783)+COUNTIF(connections!$B$2:$B$2500,$A783))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IF(OR($A783="",games!$H783=""),"",games!$H783)</f>
      </c>
      <c r="Q783">
        <f>IF(OR($A783="",$P783&lt;&gt;"Yes"),"",$D783+ROW()/1000000)</f>
      </c>
      <c r="T783" t="str">
        <f>IF(connections!$A783="","",IFERROR(INDEX(games!$B$2:$B$1200,MATCH(connections!$A783,games!$A$2:$A$1200,0)),""))</f>
      </c>
      <c r="U783">
        <f>IF(connections!$A783="","",IFERROR(INDEX(games!$B$2:$B$1200,MATCH(connections!$B783,games!$A$2:$A$1200,0)),""))</f>
      </c>
      <c r="V783">
        <f>IF(OR($T783="",$U783=""),"",$U783-$T783)</f>
      </c>
    </row>
    <row r="784">
      <c r="A784" t="str">
        <f>IF(games!$A784="","",games!$A784)</f>
      </c>
      <c r="B784">
        <f>IF($A784="","",games!$B784)</f>
      </c>
      <c r="C784" t="str">
        <f>IF($A784="","",games!$C784)</f>
      </c>
      <c r="D784">
        <f>IF($A784="","",COUNTIF(connections!$A$2:$A$2500,$A784)+COUNTIF(connections!$B$2:$B$2500,$A784))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IF(OR($A784="",games!$H784=""),"",games!$H784)</f>
      </c>
      <c r="Q784">
        <f>IF(OR($A784="",$P784&lt;&gt;"Yes"),"",$D784+ROW()/1000000)</f>
      </c>
      <c r="T784" t="str">
        <f>IF(connections!$A784="","",IFERROR(INDEX(games!$B$2:$B$1200,MATCH(connections!$A784,games!$A$2:$A$1200,0)),""))</f>
      </c>
      <c r="U784">
        <f>IF(connections!$A784="","",IFERROR(INDEX(games!$B$2:$B$1200,MATCH(connections!$B784,games!$A$2:$A$1200,0)),""))</f>
      </c>
      <c r="V784">
        <f>IF(OR($T784="",$U784=""),"",$U784-$T784)</f>
      </c>
    </row>
    <row r="785">
      <c r="A785" t="str">
        <f>IF(games!$A785="","",games!$A785)</f>
      </c>
      <c r="B785">
        <f>IF($A785="","",games!$B785)</f>
      </c>
      <c r="C785" t="str">
        <f>IF($A785="","",games!$C785)</f>
      </c>
      <c r="D785">
        <f>IF($A785="","",COUNTIF(connections!$A$2:$A$2500,$A785)+COUNTIF(connections!$B$2:$B$2500,$A785))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IF(OR($A785="",games!$H785=""),"",games!$H785)</f>
      </c>
      <c r="Q785">
        <f>IF(OR($A785="",$P785&lt;&gt;"Yes"),"",$D785+ROW()/1000000)</f>
      </c>
      <c r="T785" t="str">
        <f>IF(connections!$A785="","",IFERROR(INDEX(games!$B$2:$B$1200,MATCH(connections!$A785,games!$A$2:$A$1200,0)),""))</f>
      </c>
      <c r="U785">
        <f>IF(connections!$A785="","",IFERROR(INDEX(games!$B$2:$B$1200,MATCH(connections!$B785,games!$A$2:$A$1200,0)),""))</f>
      </c>
      <c r="V785">
        <f>IF(OR($T785="",$U785=""),"",$U785-$T785)</f>
      </c>
    </row>
    <row r="786">
      <c r="A786" t="str">
        <f>IF(games!$A786="","",games!$A786)</f>
      </c>
      <c r="B786">
        <f>IF($A786="","",games!$B786)</f>
      </c>
      <c r="C786" t="str">
        <f>IF($A786="","",games!$C786)</f>
      </c>
      <c r="D786">
        <f>IF($A786="","",COUNTIF(connections!$A$2:$A$2500,$A786)+COUNTIF(connections!$B$2:$B$2500,$A786))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IF(OR($A786="",games!$H786=""),"",games!$H786)</f>
      </c>
      <c r="Q786">
        <f>IF(OR($A786="",$P786&lt;&gt;"Yes"),"",$D786+ROW()/1000000)</f>
      </c>
      <c r="T786" t="str">
        <f>IF(connections!$A786="","",IFERROR(INDEX(games!$B$2:$B$1200,MATCH(connections!$A786,games!$A$2:$A$1200,0)),""))</f>
      </c>
      <c r="U786">
        <f>IF(connections!$A786="","",IFERROR(INDEX(games!$B$2:$B$1200,MATCH(connections!$B786,games!$A$2:$A$1200,0)),""))</f>
      </c>
      <c r="V786">
        <f>IF(OR($T786="",$U786=""),"",$U786-$T786)</f>
      </c>
    </row>
    <row r="787">
      <c r="A787" t="str">
        <f>IF(games!$A787="","",games!$A787)</f>
      </c>
      <c r="B787">
        <f>IF($A787="","",games!$B787)</f>
      </c>
      <c r="C787" t="str">
        <f>IF($A787="","",games!$C787)</f>
      </c>
      <c r="D787">
        <f>IF($A787="","",COUNTIF(connections!$A$2:$A$2500,$A787)+COUNTIF(connections!$B$2:$B$2500,$A787))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IF(OR($A787="",games!$H787=""),"",games!$H787)</f>
      </c>
      <c r="Q787">
        <f>IF(OR($A787="",$P787&lt;&gt;"Yes"),"",$D787+ROW()/1000000)</f>
      </c>
      <c r="T787" t="str">
        <f>IF(connections!$A787="","",IFERROR(INDEX(games!$B$2:$B$1200,MATCH(connections!$A787,games!$A$2:$A$1200,0)),""))</f>
      </c>
      <c r="U787">
        <f>IF(connections!$A787="","",IFERROR(INDEX(games!$B$2:$B$1200,MATCH(connections!$B787,games!$A$2:$A$1200,0)),""))</f>
      </c>
      <c r="V787">
        <f>IF(OR($T787="",$U787=""),"",$U787-$T787)</f>
      </c>
    </row>
    <row r="788">
      <c r="A788" t="str">
        <f>IF(games!$A788="","",games!$A788)</f>
      </c>
      <c r="B788">
        <f>IF($A788="","",games!$B788)</f>
      </c>
      <c r="C788" t="str">
        <f>IF($A788="","",games!$C788)</f>
      </c>
      <c r="D788">
        <f>IF($A788="","",COUNTIF(connections!$A$2:$A$2500,$A788)+COUNTIF(connections!$B$2:$B$2500,$A788))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IF(OR($A788="",games!$H788=""),"",games!$H788)</f>
      </c>
      <c r="Q788">
        <f>IF(OR($A788="",$P788&lt;&gt;"Yes"),"",$D788+ROW()/1000000)</f>
      </c>
      <c r="T788" t="str">
        <f>IF(connections!$A788="","",IFERROR(INDEX(games!$B$2:$B$1200,MATCH(connections!$A788,games!$A$2:$A$1200,0)),""))</f>
      </c>
      <c r="U788">
        <f>IF(connections!$A788="","",IFERROR(INDEX(games!$B$2:$B$1200,MATCH(connections!$B788,games!$A$2:$A$1200,0)),""))</f>
      </c>
      <c r="V788">
        <f>IF(OR($T788="",$U788=""),"",$U788-$T788)</f>
      </c>
    </row>
    <row r="789">
      <c r="A789" t="str">
        <f>IF(games!$A789="","",games!$A789)</f>
      </c>
      <c r="B789">
        <f>IF($A789="","",games!$B789)</f>
      </c>
      <c r="C789" t="str">
        <f>IF($A789="","",games!$C789)</f>
      </c>
      <c r="D789">
        <f>IF($A789="","",COUNTIF(connections!$A$2:$A$2500,$A789)+COUNTIF(connections!$B$2:$B$2500,$A789))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IF(OR($A789="",games!$H789=""),"",games!$H789)</f>
      </c>
      <c r="Q789">
        <f>IF(OR($A789="",$P789&lt;&gt;"Yes"),"",$D789+ROW()/1000000)</f>
      </c>
      <c r="T789" t="str">
        <f>IF(connections!$A789="","",IFERROR(INDEX(games!$B$2:$B$1200,MATCH(connections!$A789,games!$A$2:$A$1200,0)),""))</f>
      </c>
      <c r="U789">
        <f>IF(connections!$A789="","",IFERROR(INDEX(games!$B$2:$B$1200,MATCH(connections!$B789,games!$A$2:$A$1200,0)),""))</f>
      </c>
      <c r="V789">
        <f>IF(OR($T789="",$U789=""),"",$U789-$T789)</f>
      </c>
    </row>
    <row r="790">
      <c r="A790" t="str">
        <f>IF(games!$A790="","",games!$A790)</f>
      </c>
      <c r="B790">
        <f>IF($A790="","",games!$B790)</f>
      </c>
      <c r="C790" t="str">
        <f>IF($A790="","",games!$C790)</f>
      </c>
      <c r="D790">
        <f>IF($A790="","",COUNTIF(connections!$A$2:$A$2500,$A790)+COUNTIF(connections!$B$2:$B$2500,$A790))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IF(OR($A790="",games!$H790=""),"",games!$H790)</f>
      </c>
      <c r="Q790">
        <f>IF(OR($A790="",$P790&lt;&gt;"Yes"),"",$D790+ROW()/1000000)</f>
      </c>
      <c r="T790" t="str">
        <f>IF(connections!$A790="","",IFERROR(INDEX(games!$B$2:$B$1200,MATCH(connections!$A790,games!$A$2:$A$1200,0)),""))</f>
      </c>
      <c r="U790">
        <f>IF(connections!$A790="","",IFERROR(INDEX(games!$B$2:$B$1200,MATCH(connections!$B790,games!$A$2:$A$1200,0)),""))</f>
      </c>
      <c r="V790">
        <f>IF(OR($T790="",$U790=""),"",$U790-$T790)</f>
      </c>
    </row>
    <row r="791">
      <c r="A791" t="str">
        <f>IF(games!$A791="","",games!$A791)</f>
      </c>
      <c r="B791">
        <f>IF($A791="","",games!$B791)</f>
      </c>
      <c r="C791" t="str">
        <f>IF($A791="","",games!$C791)</f>
      </c>
      <c r="D791">
        <f>IF($A791="","",COUNTIF(connections!$A$2:$A$2500,$A791)+COUNTIF(connections!$B$2:$B$2500,$A791))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IF(OR($A791="",games!$H791=""),"",games!$H791)</f>
      </c>
      <c r="Q791">
        <f>IF(OR($A791="",$P791&lt;&gt;"Yes"),"",$D791+ROW()/1000000)</f>
      </c>
      <c r="T791" t="str">
        <f>IF(connections!$A791="","",IFERROR(INDEX(games!$B$2:$B$1200,MATCH(connections!$A791,games!$A$2:$A$1200,0)),""))</f>
      </c>
      <c r="U791">
        <f>IF(connections!$A791="","",IFERROR(INDEX(games!$B$2:$B$1200,MATCH(connections!$B791,games!$A$2:$A$1200,0)),""))</f>
      </c>
      <c r="V791">
        <f>IF(OR($T791="",$U791=""),"",$U791-$T791)</f>
      </c>
    </row>
    <row r="792">
      <c r="A792" t="str">
        <f>IF(games!$A792="","",games!$A792)</f>
      </c>
      <c r="B792">
        <f>IF($A792="","",games!$B792)</f>
      </c>
      <c r="C792" t="str">
        <f>IF($A792="","",games!$C792)</f>
      </c>
      <c r="D792">
        <f>IF($A792="","",COUNTIF(connections!$A$2:$A$2500,$A792)+COUNTIF(connections!$B$2:$B$2500,$A792))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IF(OR($A792="",games!$H792=""),"",games!$H792)</f>
      </c>
      <c r="Q792">
        <f>IF(OR($A792="",$P792&lt;&gt;"Yes"),"",$D792+ROW()/1000000)</f>
      </c>
      <c r="T792" t="str">
        <f>IF(connections!$A792="","",IFERROR(INDEX(games!$B$2:$B$1200,MATCH(connections!$A792,games!$A$2:$A$1200,0)),""))</f>
      </c>
      <c r="U792">
        <f>IF(connections!$A792="","",IFERROR(INDEX(games!$B$2:$B$1200,MATCH(connections!$B792,games!$A$2:$A$1200,0)),""))</f>
      </c>
      <c r="V792">
        <f>IF(OR($T792="",$U792=""),"",$U792-$T792)</f>
      </c>
    </row>
    <row r="793">
      <c r="A793" t="str">
        <f>IF(games!$A793="","",games!$A793)</f>
      </c>
      <c r="B793">
        <f>IF($A793="","",games!$B793)</f>
      </c>
      <c r="C793" t="str">
        <f>IF($A793="","",games!$C793)</f>
      </c>
      <c r="D793">
        <f>IF($A793="","",COUNTIF(connections!$A$2:$A$2500,$A793)+COUNTIF(connections!$B$2:$B$2500,$A793))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IF(OR($A793="",games!$H793=""),"",games!$H793)</f>
      </c>
      <c r="Q793">
        <f>IF(OR($A793="",$P793&lt;&gt;"Yes"),"",$D793+ROW()/1000000)</f>
      </c>
      <c r="T793" t="str">
        <f>IF(connections!$A793="","",IFERROR(INDEX(games!$B$2:$B$1200,MATCH(connections!$A793,games!$A$2:$A$1200,0)),""))</f>
      </c>
      <c r="U793">
        <f>IF(connections!$A793="","",IFERROR(INDEX(games!$B$2:$B$1200,MATCH(connections!$B793,games!$A$2:$A$1200,0)),""))</f>
      </c>
      <c r="V793">
        <f>IF(OR($T793="",$U793=""),"",$U793-$T793)</f>
      </c>
    </row>
    <row r="794">
      <c r="A794" t="str">
        <f>IF(games!$A794="","",games!$A794)</f>
      </c>
      <c r="B794">
        <f>IF($A794="","",games!$B794)</f>
      </c>
      <c r="C794" t="str">
        <f>IF($A794="","",games!$C794)</f>
      </c>
      <c r="D794">
        <f>IF($A794="","",COUNTIF(connections!$A$2:$A$2500,$A794)+COUNTIF(connections!$B$2:$B$2500,$A794))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IF(OR($A794="",games!$H794=""),"",games!$H794)</f>
      </c>
      <c r="Q794">
        <f>IF(OR($A794="",$P794&lt;&gt;"Yes"),"",$D794+ROW()/1000000)</f>
      </c>
      <c r="T794" t="str">
        <f>IF(connections!$A794="","",IFERROR(INDEX(games!$B$2:$B$1200,MATCH(connections!$A794,games!$A$2:$A$1200,0)),""))</f>
      </c>
      <c r="U794">
        <f>IF(connections!$A794="","",IFERROR(INDEX(games!$B$2:$B$1200,MATCH(connections!$B794,games!$A$2:$A$1200,0)),""))</f>
      </c>
      <c r="V794">
        <f>IF(OR($T794="",$U794=""),"",$U794-$T794)</f>
      </c>
    </row>
    <row r="795">
      <c r="A795" t="str">
        <f>IF(games!$A795="","",games!$A795)</f>
      </c>
      <c r="B795">
        <f>IF($A795="","",games!$B795)</f>
      </c>
      <c r="C795" t="str">
        <f>IF($A795="","",games!$C795)</f>
      </c>
      <c r="D795">
        <f>IF($A795="","",COUNTIF(connections!$A$2:$A$2500,$A795)+COUNTIF(connections!$B$2:$B$2500,$A795))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IF(OR($A795="",games!$H795=""),"",games!$H795)</f>
      </c>
      <c r="Q795">
        <f>IF(OR($A795="",$P795&lt;&gt;"Yes"),"",$D795+ROW()/1000000)</f>
      </c>
      <c r="T795" t="str">
        <f>IF(connections!$A795="","",IFERROR(INDEX(games!$B$2:$B$1200,MATCH(connections!$A795,games!$A$2:$A$1200,0)),""))</f>
      </c>
      <c r="U795">
        <f>IF(connections!$A795="","",IFERROR(INDEX(games!$B$2:$B$1200,MATCH(connections!$B795,games!$A$2:$A$1200,0)),""))</f>
      </c>
      <c r="V795">
        <f>IF(OR($T795="",$U795=""),"",$U795-$T795)</f>
      </c>
    </row>
    <row r="796">
      <c r="A796" t="str">
        <f>IF(games!$A796="","",games!$A796)</f>
      </c>
      <c r="B796">
        <f>IF($A796="","",games!$B796)</f>
      </c>
      <c r="C796" t="str">
        <f>IF($A796="","",games!$C796)</f>
      </c>
      <c r="D796">
        <f>IF($A796="","",COUNTIF(connections!$A$2:$A$2500,$A796)+COUNTIF(connections!$B$2:$B$2500,$A796))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IF(OR($A796="",games!$H796=""),"",games!$H796)</f>
      </c>
      <c r="Q796">
        <f>IF(OR($A796="",$P796&lt;&gt;"Yes"),"",$D796+ROW()/1000000)</f>
      </c>
      <c r="T796" t="str">
        <f>IF(connections!$A796="","",IFERROR(INDEX(games!$B$2:$B$1200,MATCH(connections!$A796,games!$A$2:$A$1200,0)),""))</f>
      </c>
      <c r="U796">
        <f>IF(connections!$A796="","",IFERROR(INDEX(games!$B$2:$B$1200,MATCH(connections!$B796,games!$A$2:$A$1200,0)),""))</f>
      </c>
      <c r="V796">
        <f>IF(OR($T796="",$U796=""),"",$U796-$T796)</f>
      </c>
    </row>
    <row r="797">
      <c r="A797" t="str">
        <f>IF(games!$A797="","",games!$A797)</f>
      </c>
      <c r="B797">
        <f>IF($A797="","",games!$B797)</f>
      </c>
      <c r="C797" t="str">
        <f>IF($A797="","",games!$C797)</f>
      </c>
      <c r="D797">
        <f>IF($A797="","",COUNTIF(connections!$A$2:$A$2500,$A797)+COUNTIF(connections!$B$2:$B$2500,$A797))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IF(OR($A797="",games!$H797=""),"",games!$H797)</f>
      </c>
      <c r="Q797">
        <f>IF(OR($A797="",$P797&lt;&gt;"Yes"),"",$D797+ROW()/1000000)</f>
      </c>
      <c r="T797" t="str">
        <f>IF(connections!$A797="","",IFERROR(INDEX(games!$B$2:$B$1200,MATCH(connections!$A797,games!$A$2:$A$1200,0)),""))</f>
      </c>
      <c r="U797">
        <f>IF(connections!$A797="","",IFERROR(INDEX(games!$B$2:$B$1200,MATCH(connections!$B797,games!$A$2:$A$1200,0)),""))</f>
      </c>
      <c r="V797">
        <f>IF(OR($T797="",$U797=""),"",$U797-$T797)</f>
      </c>
    </row>
    <row r="798">
      <c r="A798" t="str">
        <f>IF(games!$A798="","",games!$A798)</f>
      </c>
      <c r="B798">
        <f>IF($A798="","",games!$B798)</f>
      </c>
      <c r="C798" t="str">
        <f>IF($A798="","",games!$C798)</f>
      </c>
      <c r="D798">
        <f>IF($A798="","",COUNTIF(connections!$A$2:$A$2500,$A798)+COUNTIF(connections!$B$2:$B$2500,$A798))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IF(OR($A798="",games!$H798=""),"",games!$H798)</f>
      </c>
      <c r="Q798">
        <f>IF(OR($A798="",$P798&lt;&gt;"Yes"),"",$D798+ROW()/1000000)</f>
      </c>
      <c r="T798" t="str">
        <f>IF(connections!$A798="","",IFERROR(INDEX(games!$B$2:$B$1200,MATCH(connections!$A798,games!$A$2:$A$1200,0)),""))</f>
      </c>
      <c r="U798">
        <f>IF(connections!$A798="","",IFERROR(INDEX(games!$B$2:$B$1200,MATCH(connections!$B798,games!$A$2:$A$1200,0)),""))</f>
      </c>
      <c r="V798">
        <f>IF(OR($T798="",$U798=""),"",$U798-$T798)</f>
      </c>
    </row>
    <row r="799">
      <c r="A799" t="str">
        <f>IF(games!$A799="","",games!$A799)</f>
      </c>
      <c r="B799">
        <f>IF($A799="","",games!$B799)</f>
      </c>
      <c r="C799" t="str">
        <f>IF($A799="","",games!$C799)</f>
      </c>
      <c r="D799">
        <f>IF($A799="","",COUNTIF(connections!$A$2:$A$2500,$A799)+COUNTIF(connections!$B$2:$B$2500,$A799))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IF(OR($A799="",games!$H799=""),"",games!$H799)</f>
      </c>
      <c r="Q799">
        <f>IF(OR($A799="",$P799&lt;&gt;"Yes"),"",$D799+ROW()/1000000)</f>
      </c>
      <c r="T799" t="str">
        <f>IF(connections!$A799="","",IFERROR(INDEX(games!$B$2:$B$1200,MATCH(connections!$A799,games!$A$2:$A$1200,0)),""))</f>
      </c>
      <c r="U799">
        <f>IF(connections!$A799="","",IFERROR(INDEX(games!$B$2:$B$1200,MATCH(connections!$B799,games!$A$2:$A$1200,0)),""))</f>
      </c>
      <c r="V799">
        <f>IF(OR($T799="",$U799=""),"",$U799-$T799)</f>
      </c>
    </row>
    <row r="800">
      <c r="A800" t="str">
        <f>IF(games!$A800="","",games!$A800)</f>
      </c>
      <c r="B800">
        <f>IF($A800="","",games!$B800)</f>
      </c>
      <c r="C800" t="str">
        <f>IF($A800="","",games!$C800)</f>
      </c>
      <c r="D800">
        <f>IF($A800="","",COUNTIF(connections!$A$2:$A$2500,$A800)+COUNTIF(connections!$B$2:$B$2500,$A800))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IF(OR($A800="",games!$H800=""),"",games!$H800)</f>
      </c>
      <c r="Q800">
        <f>IF(OR($A800="",$P800&lt;&gt;"Yes"),"",$D800+ROW()/1000000)</f>
      </c>
      <c r="T800" t="str">
        <f>IF(connections!$A800="","",IFERROR(INDEX(games!$B$2:$B$1200,MATCH(connections!$A800,games!$A$2:$A$1200,0)),""))</f>
      </c>
      <c r="U800">
        <f>IF(connections!$A800="","",IFERROR(INDEX(games!$B$2:$B$1200,MATCH(connections!$B800,games!$A$2:$A$1200,0)),""))</f>
      </c>
      <c r="V800">
        <f>IF(OR($T800="",$U800=""),"",$U800-$T800)</f>
      </c>
    </row>
    <row r="801">
      <c r="A801" t="str">
        <f>IF(games!$A801="","",games!$A801)</f>
      </c>
      <c r="B801">
        <f>IF($A801="","",games!$B801)</f>
      </c>
      <c r="C801" t="str">
        <f>IF($A801="","",games!$C801)</f>
      </c>
      <c r="D801">
        <f>IF($A801="","",COUNTIF(connections!$A$2:$A$2500,$A801)+COUNTIF(connections!$B$2:$B$2500,$A801))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IF(OR($A801="",games!$H801=""),"",games!$H801)</f>
      </c>
      <c r="Q801">
        <f>IF(OR($A801="",$P801&lt;&gt;"Yes"),"",$D801+ROW()/1000000)</f>
      </c>
      <c r="T801" t="str">
        <f>IF(connections!$A801="","",IFERROR(INDEX(games!$B$2:$B$1200,MATCH(connections!$A801,games!$A$2:$A$1200,0)),""))</f>
      </c>
      <c r="U801">
        <f>IF(connections!$A801="","",IFERROR(INDEX(games!$B$2:$B$1200,MATCH(connections!$B801,games!$A$2:$A$1200,0)),""))</f>
      </c>
      <c r="V801">
        <f>IF(OR($T801="",$U801=""),"",$U801-$T801)</f>
      </c>
    </row>
    <row r="802">
      <c r="A802" t="str">
        <f>IF(games!$A802="","",games!$A802)</f>
      </c>
      <c r="B802">
        <f>IF($A802="","",games!$B802)</f>
      </c>
      <c r="C802" t="str">
        <f>IF($A802="","",games!$C802)</f>
      </c>
      <c r="D802">
        <f>IF($A802="","",COUNTIF(connections!$A$2:$A$2500,$A802)+COUNTIF(connections!$B$2:$B$2500,$A802))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IF(OR($A802="",games!$H802=""),"",games!$H802)</f>
      </c>
      <c r="Q802">
        <f>IF(OR($A802="",$P802&lt;&gt;"Yes"),"",$D802+ROW()/1000000)</f>
      </c>
      <c r="T802" t="str">
        <f>IF(connections!$A802="","",IFERROR(INDEX(games!$B$2:$B$1200,MATCH(connections!$A802,games!$A$2:$A$1200,0)),""))</f>
      </c>
      <c r="U802">
        <f>IF(connections!$A802="","",IFERROR(INDEX(games!$B$2:$B$1200,MATCH(connections!$B802,games!$A$2:$A$1200,0)),""))</f>
      </c>
      <c r="V802">
        <f>IF(OR($T802="",$U802=""),"",$U802-$T802)</f>
      </c>
    </row>
    <row r="803">
      <c r="A803" t="str">
        <f>IF(games!$A803="","",games!$A803)</f>
      </c>
      <c r="B803">
        <f>IF($A803="","",games!$B803)</f>
      </c>
      <c r="C803" t="str">
        <f>IF($A803="","",games!$C803)</f>
      </c>
      <c r="D803">
        <f>IF($A803="","",COUNTIF(connections!$A$2:$A$2500,$A803)+COUNTIF(connections!$B$2:$B$2500,$A803))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IF(OR($A803="",games!$H803=""),"",games!$H803)</f>
      </c>
      <c r="Q803">
        <f>IF(OR($A803="",$P803&lt;&gt;"Yes"),"",$D803+ROW()/1000000)</f>
      </c>
      <c r="T803" t="str">
        <f>IF(connections!$A803="","",IFERROR(INDEX(games!$B$2:$B$1200,MATCH(connections!$A803,games!$A$2:$A$1200,0)),""))</f>
      </c>
      <c r="U803">
        <f>IF(connections!$A803="","",IFERROR(INDEX(games!$B$2:$B$1200,MATCH(connections!$B803,games!$A$2:$A$1200,0)),""))</f>
      </c>
      <c r="V803">
        <f>IF(OR($T803="",$U803=""),"",$U803-$T803)</f>
      </c>
    </row>
    <row r="804">
      <c r="A804" t="str">
        <f>IF(games!$A804="","",games!$A804)</f>
      </c>
      <c r="B804">
        <f>IF($A804="","",games!$B804)</f>
      </c>
      <c r="C804" t="str">
        <f>IF($A804="","",games!$C804)</f>
      </c>
      <c r="D804">
        <f>IF($A804="","",COUNTIF(connections!$A$2:$A$2500,$A804)+COUNTIF(connections!$B$2:$B$2500,$A804))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IF(OR($A804="",games!$H804=""),"",games!$H804)</f>
      </c>
      <c r="Q804">
        <f>IF(OR($A804="",$P804&lt;&gt;"Yes"),"",$D804+ROW()/1000000)</f>
      </c>
      <c r="T804" t="str">
        <f>IF(connections!$A804="","",IFERROR(INDEX(games!$B$2:$B$1200,MATCH(connections!$A804,games!$A$2:$A$1200,0)),""))</f>
      </c>
      <c r="U804">
        <f>IF(connections!$A804="","",IFERROR(INDEX(games!$B$2:$B$1200,MATCH(connections!$B804,games!$A$2:$A$1200,0)),""))</f>
      </c>
      <c r="V804">
        <f>IF(OR($T804="",$U804=""),"",$U804-$T804)</f>
      </c>
    </row>
    <row r="805">
      <c r="A805" t="str">
        <f>IF(games!$A805="","",games!$A805)</f>
      </c>
      <c r="B805">
        <f>IF($A805="","",games!$B805)</f>
      </c>
      <c r="C805" t="str">
        <f>IF($A805="","",games!$C805)</f>
      </c>
      <c r="D805">
        <f>IF($A805="","",COUNTIF(connections!$A$2:$A$2500,$A805)+COUNTIF(connections!$B$2:$B$2500,$A805))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IF(OR($A805="",games!$H805=""),"",games!$H805)</f>
      </c>
      <c r="Q805">
        <f>IF(OR($A805="",$P805&lt;&gt;"Yes"),"",$D805+ROW()/1000000)</f>
      </c>
      <c r="T805" t="str">
        <f>IF(connections!$A805="","",IFERROR(INDEX(games!$B$2:$B$1200,MATCH(connections!$A805,games!$A$2:$A$1200,0)),""))</f>
      </c>
      <c r="U805">
        <f>IF(connections!$A805="","",IFERROR(INDEX(games!$B$2:$B$1200,MATCH(connections!$B805,games!$A$2:$A$1200,0)),""))</f>
      </c>
      <c r="V805">
        <f>IF(OR($T805="",$U805=""),"",$U805-$T805)</f>
      </c>
    </row>
    <row r="806">
      <c r="A806" t="str">
        <f>IF(games!$A806="","",games!$A806)</f>
      </c>
      <c r="B806">
        <f>IF($A806="","",games!$B806)</f>
      </c>
      <c r="C806" t="str">
        <f>IF($A806="","",games!$C806)</f>
      </c>
      <c r="D806">
        <f>IF($A806="","",COUNTIF(connections!$A$2:$A$2500,$A806)+COUNTIF(connections!$B$2:$B$2500,$A806))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IF(OR($A806="",games!$H806=""),"",games!$H806)</f>
      </c>
      <c r="Q806">
        <f>IF(OR($A806="",$P806&lt;&gt;"Yes"),"",$D806+ROW()/1000000)</f>
      </c>
      <c r="T806" t="str">
        <f>IF(connections!$A806="","",IFERROR(INDEX(games!$B$2:$B$1200,MATCH(connections!$A806,games!$A$2:$A$1200,0)),""))</f>
      </c>
      <c r="U806">
        <f>IF(connections!$A806="","",IFERROR(INDEX(games!$B$2:$B$1200,MATCH(connections!$B806,games!$A$2:$A$1200,0)),""))</f>
      </c>
      <c r="V806">
        <f>IF(OR($T806="",$U806=""),"",$U806-$T806)</f>
      </c>
    </row>
    <row r="807">
      <c r="A807" t="str">
        <f>IF(games!$A807="","",games!$A807)</f>
      </c>
      <c r="B807">
        <f>IF($A807="","",games!$B807)</f>
      </c>
      <c r="C807" t="str">
        <f>IF($A807="","",games!$C807)</f>
      </c>
      <c r="D807">
        <f>IF($A807="","",COUNTIF(connections!$A$2:$A$2500,$A807)+COUNTIF(connections!$B$2:$B$2500,$A807))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IF(OR($A807="",games!$H807=""),"",games!$H807)</f>
      </c>
      <c r="Q807">
        <f>IF(OR($A807="",$P807&lt;&gt;"Yes"),"",$D807+ROW()/1000000)</f>
      </c>
      <c r="T807" t="str">
        <f>IF(connections!$A807="","",IFERROR(INDEX(games!$B$2:$B$1200,MATCH(connections!$A807,games!$A$2:$A$1200,0)),""))</f>
      </c>
      <c r="U807">
        <f>IF(connections!$A807="","",IFERROR(INDEX(games!$B$2:$B$1200,MATCH(connections!$B807,games!$A$2:$A$1200,0)),""))</f>
      </c>
      <c r="V807">
        <f>IF(OR($T807="",$U807=""),"",$U807-$T807)</f>
      </c>
    </row>
    <row r="808">
      <c r="A808" t="str">
        <f>IF(games!$A808="","",games!$A808)</f>
      </c>
      <c r="B808">
        <f>IF($A808="","",games!$B808)</f>
      </c>
      <c r="C808" t="str">
        <f>IF($A808="","",games!$C808)</f>
      </c>
      <c r="D808">
        <f>IF($A808="","",COUNTIF(connections!$A$2:$A$2500,$A808)+COUNTIF(connections!$B$2:$B$2500,$A808))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IF(OR($A808="",games!$H808=""),"",games!$H808)</f>
      </c>
      <c r="Q808">
        <f>IF(OR($A808="",$P808&lt;&gt;"Yes"),"",$D808+ROW()/1000000)</f>
      </c>
      <c r="T808" t="str">
        <f>IF(connections!$A808="","",IFERROR(INDEX(games!$B$2:$B$1200,MATCH(connections!$A808,games!$A$2:$A$1200,0)),""))</f>
      </c>
      <c r="U808">
        <f>IF(connections!$A808="","",IFERROR(INDEX(games!$B$2:$B$1200,MATCH(connections!$B808,games!$A$2:$A$1200,0)),""))</f>
      </c>
      <c r="V808">
        <f>IF(OR($T808="",$U808=""),"",$U808-$T808)</f>
      </c>
    </row>
    <row r="809">
      <c r="A809" t="str">
        <f>IF(games!$A809="","",games!$A809)</f>
      </c>
      <c r="B809">
        <f>IF($A809="","",games!$B809)</f>
      </c>
      <c r="C809" t="str">
        <f>IF($A809="","",games!$C809)</f>
      </c>
      <c r="D809">
        <f>IF($A809="","",COUNTIF(connections!$A$2:$A$2500,$A809)+COUNTIF(connections!$B$2:$B$2500,$A809))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IF(OR($A809="",games!$H809=""),"",games!$H809)</f>
      </c>
      <c r="Q809">
        <f>IF(OR($A809="",$P809&lt;&gt;"Yes"),"",$D809+ROW()/1000000)</f>
      </c>
      <c r="T809" t="str">
        <f>IF(connections!$A809="","",IFERROR(INDEX(games!$B$2:$B$1200,MATCH(connections!$A809,games!$A$2:$A$1200,0)),""))</f>
      </c>
      <c r="U809">
        <f>IF(connections!$A809="","",IFERROR(INDEX(games!$B$2:$B$1200,MATCH(connections!$B809,games!$A$2:$A$1200,0)),""))</f>
      </c>
      <c r="V809">
        <f>IF(OR($T809="",$U809=""),"",$U809-$T809)</f>
      </c>
    </row>
    <row r="810">
      <c r="A810" t="str">
        <f>IF(games!$A810="","",games!$A810)</f>
      </c>
      <c r="B810">
        <f>IF($A810="","",games!$B810)</f>
      </c>
      <c r="C810" t="str">
        <f>IF($A810="","",games!$C810)</f>
      </c>
      <c r="D810">
        <f>IF($A810="","",COUNTIF(connections!$A$2:$A$2500,$A810)+COUNTIF(connections!$B$2:$B$2500,$A810))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IF(OR($A810="",games!$H810=""),"",games!$H810)</f>
      </c>
      <c r="Q810">
        <f>IF(OR($A810="",$P810&lt;&gt;"Yes"),"",$D810+ROW()/1000000)</f>
      </c>
      <c r="T810" t="str">
        <f>IF(connections!$A810="","",IFERROR(INDEX(games!$B$2:$B$1200,MATCH(connections!$A810,games!$A$2:$A$1200,0)),""))</f>
      </c>
      <c r="U810">
        <f>IF(connections!$A810="","",IFERROR(INDEX(games!$B$2:$B$1200,MATCH(connections!$B810,games!$A$2:$A$1200,0)),""))</f>
      </c>
      <c r="V810">
        <f>IF(OR($T810="",$U810=""),"",$U810-$T810)</f>
      </c>
    </row>
    <row r="811">
      <c r="A811" t="str">
        <f>IF(games!$A811="","",games!$A811)</f>
      </c>
      <c r="B811">
        <f>IF($A811="","",games!$B811)</f>
      </c>
      <c r="C811" t="str">
        <f>IF($A811="","",games!$C811)</f>
      </c>
      <c r="D811">
        <f>IF($A811="","",COUNTIF(connections!$A$2:$A$2500,$A811)+COUNTIF(connections!$B$2:$B$2500,$A811))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IF(OR($A811="",games!$H811=""),"",games!$H811)</f>
      </c>
      <c r="Q811">
        <f>IF(OR($A811="",$P811&lt;&gt;"Yes"),"",$D811+ROW()/1000000)</f>
      </c>
      <c r="T811" t="str">
        <f>IF(connections!$A811="","",IFERROR(INDEX(games!$B$2:$B$1200,MATCH(connections!$A811,games!$A$2:$A$1200,0)),""))</f>
      </c>
      <c r="U811">
        <f>IF(connections!$A811="","",IFERROR(INDEX(games!$B$2:$B$1200,MATCH(connections!$B811,games!$A$2:$A$1200,0)),""))</f>
      </c>
      <c r="V811">
        <f>IF(OR($T811="",$U811=""),"",$U811-$T811)</f>
      </c>
    </row>
    <row r="812">
      <c r="A812" t="str">
        <f>IF(games!$A812="","",games!$A812)</f>
      </c>
      <c r="B812">
        <f>IF($A812="","",games!$B812)</f>
      </c>
      <c r="C812" t="str">
        <f>IF($A812="","",games!$C812)</f>
      </c>
      <c r="D812">
        <f>IF($A812="","",COUNTIF(connections!$A$2:$A$2500,$A812)+COUNTIF(connections!$B$2:$B$2500,$A812))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IF(OR($A812="",games!$H812=""),"",games!$H812)</f>
      </c>
      <c r="Q812">
        <f>IF(OR($A812="",$P812&lt;&gt;"Yes"),"",$D812+ROW()/1000000)</f>
      </c>
      <c r="T812" t="str">
        <f>IF(connections!$A812="","",IFERROR(INDEX(games!$B$2:$B$1200,MATCH(connections!$A812,games!$A$2:$A$1200,0)),""))</f>
      </c>
      <c r="U812">
        <f>IF(connections!$A812="","",IFERROR(INDEX(games!$B$2:$B$1200,MATCH(connections!$B812,games!$A$2:$A$1200,0)),""))</f>
      </c>
      <c r="V812">
        <f>IF(OR($T812="",$U812=""),"",$U812-$T812)</f>
      </c>
    </row>
    <row r="813">
      <c r="A813" t="str">
        <f>IF(games!$A813="","",games!$A813)</f>
      </c>
      <c r="B813">
        <f>IF($A813="","",games!$B813)</f>
      </c>
      <c r="C813" t="str">
        <f>IF($A813="","",games!$C813)</f>
      </c>
      <c r="D813">
        <f>IF($A813="","",COUNTIF(connections!$A$2:$A$2500,$A813)+COUNTIF(connections!$B$2:$B$2500,$A813))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IF(OR($A813="",games!$H813=""),"",games!$H813)</f>
      </c>
      <c r="Q813">
        <f>IF(OR($A813="",$P813&lt;&gt;"Yes"),"",$D813+ROW()/1000000)</f>
      </c>
      <c r="T813" t="str">
        <f>IF(connections!$A813="","",IFERROR(INDEX(games!$B$2:$B$1200,MATCH(connections!$A813,games!$A$2:$A$1200,0)),""))</f>
      </c>
      <c r="U813">
        <f>IF(connections!$A813="","",IFERROR(INDEX(games!$B$2:$B$1200,MATCH(connections!$B813,games!$A$2:$A$1200,0)),""))</f>
      </c>
      <c r="V813">
        <f>IF(OR($T813="",$U813=""),"",$U813-$T813)</f>
      </c>
    </row>
    <row r="814">
      <c r="A814" t="str">
        <f>IF(games!$A814="","",games!$A814)</f>
      </c>
      <c r="B814">
        <f>IF($A814="","",games!$B814)</f>
      </c>
      <c r="C814" t="str">
        <f>IF($A814="","",games!$C814)</f>
      </c>
      <c r="D814">
        <f>IF($A814="","",COUNTIF(connections!$A$2:$A$2500,$A814)+COUNTIF(connections!$B$2:$B$2500,$A814))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IF(OR($A814="",games!$H814=""),"",games!$H814)</f>
      </c>
      <c r="Q814">
        <f>IF(OR($A814="",$P814&lt;&gt;"Yes"),"",$D814+ROW()/1000000)</f>
      </c>
      <c r="T814" t="str">
        <f>IF(connections!$A814="","",IFERROR(INDEX(games!$B$2:$B$1200,MATCH(connections!$A814,games!$A$2:$A$1200,0)),""))</f>
      </c>
      <c r="U814">
        <f>IF(connections!$A814="","",IFERROR(INDEX(games!$B$2:$B$1200,MATCH(connections!$B814,games!$A$2:$A$1200,0)),""))</f>
      </c>
      <c r="V814">
        <f>IF(OR($T814="",$U814=""),"",$U814-$T814)</f>
      </c>
    </row>
    <row r="815">
      <c r="A815" t="str">
        <f>IF(games!$A815="","",games!$A815)</f>
      </c>
      <c r="B815">
        <f>IF($A815="","",games!$B815)</f>
      </c>
      <c r="C815" t="str">
        <f>IF($A815="","",games!$C815)</f>
      </c>
      <c r="D815">
        <f>IF($A815="","",COUNTIF(connections!$A$2:$A$2500,$A815)+COUNTIF(connections!$B$2:$B$2500,$A815))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IF(OR($A815="",games!$H815=""),"",games!$H815)</f>
      </c>
      <c r="Q815">
        <f>IF(OR($A815="",$P815&lt;&gt;"Yes"),"",$D815+ROW()/1000000)</f>
      </c>
      <c r="T815" t="str">
        <f>IF(connections!$A815="","",IFERROR(INDEX(games!$B$2:$B$1200,MATCH(connections!$A815,games!$A$2:$A$1200,0)),""))</f>
      </c>
      <c r="U815">
        <f>IF(connections!$A815="","",IFERROR(INDEX(games!$B$2:$B$1200,MATCH(connections!$B815,games!$A$2:$A$1200,0)),""))</f>
      </c>
      <c r="V815">
        <f>IF(OR($T815="",$U815=""),"",$U815-$T815)</f>
      </c>
    </row>
    <row r="816">
      <c r="A816" t="str">
        <f>IF(games!$A816="","",games!$A816)</f>
      </c>
      <c r="B816">
        <f>IF($A816="","",games!$B816)</f>
      </c>
      <c r="C816" t="str">
        <f>IF($A816="","",games!$C816)</f>
      </c>
      <c r="D816">
        <f>IF($A816="","",COUNTIF(connections!$A$2:$A$2500,$A816)+COUNTIF(connections!$B$2:$B$2500,$A816))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IF(OR($A816="",games!$H816=""),"",games!$H816)</f>
      </c>
      <c r="Q816">
        <f>IF(OR($A816="",$P816&lt;&gt;"Yes"),"",$D816+ROW()/1000000)</f>
      </c>
      <c r="T816" t="str">
        <f>IF(connections!$A816="","",IFERROR(INDEX(games!$B$2:$B$1200,MATCH(connections!$A816,games!$A$2:$A$1200,0)),""))</f>
      </c>
      <c r="U816">
        <f>IF(connections!$A816="","",IFERROR(INDEX(games!$B$2:$B$1200,MATCH(connections!$B816,games!$A$2:$A$1200,0)),""))</f>
      </c>
      <c r="V816">
        <f>IF(OR($T816="",$U816=""),"",$U816-$T816)</f>
      </c>
    </row>
    <row r="817">
      <c r="A817" t="str">
        <f>IF(games!$A817="","",games!$A817)</f>
      </c>
      <c r="B817">
        <f>IF($A817="","",games!$B817)</f>
      </c>
      <c r="C817" t="str">
        <f>IF($A817="","",games!$C817)</f>
      </c>
      <c r="D817">
        <f>IF($A817="","",COUNTIF(connections!$A$2:$A$2500,$A817)+COUNTIF(connections!$B$2:$B$2500,$A817))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IF(OR($A817="",games!$H817=""),"",games!$H817)</f>
      </c>
      <c r="Q817">
        <f>IF(OR($A817="",$P817&lt;&gt;"Yes"),"",$D817+ROW()/1000000)</f>
      </c>
      <c r="T817" t="str">
        <f>IF(connections!$A817="","",IFERROR(INDEX(games!$B$2:$B$1200,MATCH(connections!$A817,games!$A$2:$A$1200,0)),""))</f>
      </c>
      <c r="U817">
        <f>IF(connections!$A817="","",IFERROR(INDEX(games!$B$2:$B$1200,MATCH(connections!$B817,games!$A$2:$A$1200,0)),""))</f>
      </c>
      <c r="V817">
        <f>IF(OR($T817="",$U817=""),"",$U817-$T817)</f>
      </c>
    </row>
    <row r="818">
      <c r="A818" t="str">
        <f>IF(games!$A818="","",games!$A818)</f>
      </c>
      <c r="B818">
        <f>IF($A818="","",games!$B818)</f>
      </c>
      <c r="C818" t="str">
        <f>IF($A818="","",games!$C818)</f>
      </c>
      <c r="D818">
        <f>IF($A818="","",COUNTIF(connections!$A$2:$A$2500,$A818)+COUNTIF(connections!$B$2:$B$2500,$A818))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IF(OR($A818="",games!$H818=""),"",games!$H818)</f>
      </c>
      <c r="Q818">
        <f>IF(OR($A818="",$P818&lt;&gt;"Yes"),"",$D818+ROW()/1000000)</f>
      </c>
      <c r="T818" t="str">
        <f>IF(connections!$A818="","",IFERROR(INDEX(games!$B$2:$B$1200,MATCH(connections!$A818,games!$A$2:$A$1200,0)),""))</f>
      </c>
      <c r="U818">
        <f>IF(connections!$A818="","",IFERROR(INDEX(games!$B$2:$B$1200,MATCH(connections!$B818,games!$A$2:$A$1200,0)),""))</f>
      </c>
      <c r="V818">
        <f>IF(OR($T818="",$U818=""),"",$U818-$T818)</f>
      </c>
    </row>
    <row r="819">
      <c r="A819" t="str">
        <f>IF(games!$A819="","",games!$A819)</f>
      </c>
      <c r="B819">
        <f>IF($A819="","",games!$B819)</f>
      </c>
      <c r="C819" t="str">
        <f>IF($A819="","",games!$C819)</f>
      </c>
      <c r="D819">
        <f>IF($A819="","",COUNTIF(connections!$A$2:$A$2500,$A819)+COUNTIF(connections!$B$2:$B$2500,$A819))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IF(OR($A819="",games!$H819=""),"",games!$H819)</f>
      </c>
      <c r="Q819">
        <f>IF(OR($A819="",$P819&lt;&gt;"Yes"),"",$D819+ROW()/1000000)</f>
      </c>
      <c r="T819" t="str">
        <f>IF(connections!$A819="","",IFERROR(INDEX(games!$B$2:$B$1200,MATCH(connections!$A819,games!$A$2:$A$1200,0)),""))</f>
      </c>
      <c r="U819">
        <f>IF(connections!$A819="","",IFERROR(INDEX(games!$B$2:$B$1200,MATCH(connections!$B819,games!$A$2:$A$1200,0)),""))</f>
      </c>
      <c r="V819">
        <f>IF(OR($T819="",$U819=""),"",$U819-$T819)</f>
      </c>
    </row>
    <row r="820">
      <c r="A820" t="str">
        <f>IF(games!$A820="","",games!$A820)</f>
      </c>
      <c r="B820">
        <f>IF($A820="","",games!$B820)</f>
      </c>
      <c r="C820" t="str">
        <f>IF($A820="","",games!$C820)</f>
      </c>
      <c r="D820">
        <f>IF($A820="","",COUNTIF(connections!$A$2:$A$2500,$A820)+COUNTIF(connections!$B$2:$B$2500,$A820))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IF(OR($A820="",games!$H820=""),"",games!$H820)</f>
      </c>
      <c r="Q820">
        <f>IF(OR($A820="",$P820&lt;&gt;"Yes"),"",$D820+ROW()/1000000)</f>
      </c>
      <c r="T820" t="str">
        <f>IF(connections!$A820="","",IFERROR(INDEX(games!$B$2:$B$1200,MATCH(connections!$A820,games!$A$2:$A$1200,0)),""))</f>
      </c>
      <c r="U820">
        <f>IF(connections!$A820="","",IFERROR(INDEX(games!$B$2:$B$1200,MATCH(connections!$B820,games!$A$2:$A$1200,0)),""))</f>
      </c>
      <c r="V820">
        <f>IF(OR($T820="",$U820=""),"",$U820-$T820)</f>
      </c>
    </row>
    <row r="821">
      <c r="A821" t="str">
        <f>IF(games!$A821="","",games!$A821)</f>
      </c>
      <c r="B821">
        <f>IF($A821="","",games!$B821)</f>
      </c>
      <c r="C821" t="str">
        <f>IF($A821="","",games!$C821)</f>
      </c>
      <c r="D821">
        <f>IF($A821="","",COUNTIF(connections!$A$2:$A$2500,$A821)+COUNTIF(connections!$B$2:$B$2500,$A821))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IF(OR($A821="",games!$H821=""),"",games!$H821)</f>
      </c>
      <c r="Q821">
        <f>IF(OR($A821="",$P821&lt;&gt;"Yes"),"",$D821+ROW()/1000000)</f>
      </c>
      <c r="T821" t="str">
        <f>IF(connections!$A821="","",IFERROR(INDEX(games!$B$2:$B$1200,MATCH(connections!$A821,games!$A$2:$A$1200,0)),""))</f>
      </c>
      <c r="U821">
        <f>IF(connections!$A821="","",IFERROR(INDEX(games!$B$2:$B$1200,MATCH(connections!$B821,games!$A$2:$A$1200,0)),""))</f>
      </c>
      <c r="V821">
        <f>IF(OR($T821="",$U821=""),"",$U821-$T821)</f>
      </c>
    </row>
    <row r="822">
      <c r="A822" t="str">
        <f>IF(games!$A822="","",games!$A822)</f>
      </c>
      <c r="B822">
        <f>IF($A822="","",games!$B822)</f>
      </c>
      <c r="C822" t="str">
        <f>IF($A822="","",games!$C822)</f>
      </c>
      <c r="D822">
        <f>IF($A822="","",COUNTIF(connections!$A$2:$A$2500,$A822)+COUNTIF(connections!$B$2:$B$2500,$A822))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IF(OR($A822="",games!$H822=""),"",games!$H822)</f>
      </c>
      <c r="Q822">
        <f>IF(OR($A822="",$P822&lt;&gt;"Yes"),"",$D822+ROW()/1000000)</f>
      </c>
      <c r="T822" t="str">
        <f>IF(connections!$A822="","",IFERROR(INDEX(games!$B$2:$B$1200,MATCH(connections!$A822,games!$A$2:$A$1200,0)),""))</f>
      </c>
      <c r="U822">
        <f>IF(connections!$A822="","",IFERROR(INDEX(games!$B$2:$B$1200,MATCH(connections!$B822,games!$A$2:$A$1200,0)),""))</f>
      </c>
      <c r="V822">
        <f>IF(OR($T822="",$U822=""),"",$U822-$T822)</f>
      </c>
    </row>
    <row r="823">
      <c r="A823" t="str">
        <f>IF(games!$A823="","",games!$A823)</f>
      </c>
      <c r="B823">
        <f>IF($A823="","",games!$B823)</f>
      </c>
      <c r="C823" t="str">
        <f>IF($A823="","",games!$C823)</f>
      </c>
      <c r="D823">
        <f>IF($A823="","",COUNTIF(connections!$A$2:$A$2500,$A823)+COUNTIF(connections!$B$2:$B$2500,$A823))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IF(OR($A823="",games!$H823=""),"",games!$H823)</f>
      </c>
      <c r="Q823">
        <f>IF(OR($A823="",$P823&lt;&gt;"Yes"),"",$D823+ROW()/1000000)</f>
      </c>
      <c r="T823" t="str">
        <f>IF(connections!$A823="","",IFERROR(INDEX(games!$B$2:$B$1200,MATCH(connections!$A823,games!$A$2:$A$1200,0)),""))</f>
      </c>
      <c r="U823">
        <f>IF(connections!$A823="","",IFERROR(INDEX(games!$B$2:$B$1200,MATCH(connections!$B823,games!$A$2:$A$1200,0)),""))</f>
      </c>
      <c r="V823">
        <f>IF(OR($T823="",$U823=""),"",$U823-$T823)</f>
      </c>
    </row>
    <row r="824">
      <c r="A824" t="str">
        <f>IF(games!$A824="","",games!$A824)</f>
      </c>
      <c r="B824">
        <f>IF($A824="","",games!$B824)</f>
      </c>
      <c r="C824" t="str">
        <f>IF($A824="","",games!$C824)</f>
      </c>
      <c r="D824">
        <f>IF($A824="","",COUNTIF(connections!$A$2:$A$2500,$A824)+COUNTIF(connections!$B$2:$B$2500,$A824))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IF(OR($A824="",games!$H824=""),"",games!$H824)</f>
      </c>
      <c r="Q824">
        <f>IF(OR($A824="",$P824&lt;&gt;"Yes"),"",$D824+ROW()/1000000)</f>
      </c>
      <c r="T824" t="str">
        <f>IF(connections!$A824="","",IFERROR(INDEX(games!$B$2:$B$1200,MATCH(connections!$A824,games!$A$2:$A$1200,0)),""))</f>
      </c>
      <c r="U824">
        <f>IF(connections!$A824="","",IFERROR(INDEX(games!$B$2:$B$1200,MATCH(connections!$B824,games!$A$2:$A$1200,0)),""))</f>
      </c>
      <c r="V824">
        <f>IF(OR($T824="",$U824=""),"",$U824-$T824)</f>
      </c>
    </row>
    <row r="825">
      <c r="A825" t="str">
        <f>IF(games!$A825="","",games!$A825)</f>
      </c>
      <c r="B825">
        <f>IF($A825="","",games!$B825)</f>
      </c>
      <c r="C825" t="str">
        <f>IF($A825="","",games!$C825)</f>
      </c>
      <c r="D825">
        <f>IF($A825="","",COUNTIF(connections!$A$2:$A$2500,$A825)+COUNTIF(connections!$B$2:$B$2500,$A825))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IF(OR($A825="",games!$H825=""),"",games!$H825)</f>
      </c>
      <c r="Q825">
        <f>IF(OR($A825="",$P825&lt;&gt;"Yes"),"",$D825+ROW()/1000000)</f>
      </c>
      <c r="T825" t="str">
        <f>IF(connections!$A825="","",IFERROR(INDEX(games!$B$2:$B$1200,MATCH(connections!$A825,games!$A$2:$A$1200,0)),""))</f>
      </c>
      <c r="U825">
        <f>IF(connections!$A825="","",IFERROR(INDEX(games!$B$2:$B$1200,MATCH(connections!$B825,games!$A$2:$A$1200,0)),""))</f>
      </c>
      <c r="V825">
        <f>IF(OR($T825="",$U825=""),"",$U825-$T825)</f>
      </c>
    </row>
    <row r="826">
      <c r="A826" t="str">
        <f>IF(games!$A826="","",games!$A826)</f>
      </c>
      <c r="B826">
        <f>IF($A826="","",games!$B826)</f>
      </c>
      <c r="C826" t="str">
        <f>IF($A826="","",games!$C826)</f>
      </c>
      <c r="D826">
        <f>IF($A826="","",COUNTIF(connections!$A$2:$A$2500,$A826)+COUNTIF(connections!$B$2:$B$2500,$A826))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IF(OR($A826="",games!$H826=""),"",games!$H826)</f>
      </c>
      <c r="Q826">
        <f>IF(OR($A826="",$P826&lt;&gt;"Yes"),"",$D826+ROW()/1000000)</f>
      </c>
      <c r="T826" t="str">
        <f>IF(connections!$A826="","",IFERROR(INDEX(games!$B$2:$B$1200,MATCH(connections!$A826,games!$A$2:$A$1200,0)),""))</f>
      </c>
      <c r="U826">
        <f>IF(connections!$A826="","",IFERROR(INDEX(games!$B$2:$B$1200,MATCH(connections!$B826,games!$A$2:$A$1200,0)),""))</f>
      </c>
      <c r="V826">
        <f>IF(OR($T826="",$U826=""),"",$U826-$T826)</f>
      </c>
    </row>
    <row r="827">
      <c r="A827" t="str">
        <f>IF(games!$A827="","",games!$A827)</f>
      </c>
      <c r="B827">
        <f>IF($A827="","",games!$B827)</f>
      </c>
      <c r="C827" t="str">
        <f>IF($A827="","",games!$C827)</f>
      </c>
      <c r="D827">
        <f>IF($A827="","",COUNTIF(connections!$A$2:$A$2500,$A827)+COUNTIF(connections!$B$2:$B$2500,$A827))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IF(OR($A827="",games!$H827=""),"",games!$H827)</f>
      </c>
      <c r="Q827">
        <f>IF(OR($A827="",$P827&lt;&gt;"Yes"),"",$D827+ROW()/1000000)</f>
      </c>
      <c r="T827" t="str">
        <f>IF(connections!$A827="","",IFERROR(INDEX(games!$B$2:$B$1200,MATCH(connections!$A827,games!$A$2:$A$1200,0)),""))</f>
      </c>
      <c r="U827">
        <f>IF(connections!$A827="","",IFERROR(INDEX(games!$B$2:$B$1200,MATCH(connections!$B827,games!$A$2:$A$1200,0)),""))</f>
      </c>
      <c r="V827">
        <f>IF(OR($T827="",$U827=""),"",$U827-$T827)</f>
      </c>
    </row>
    <row r="828">
      <c r="A828" t="str">
        <f>IF(games!$A828="","",games!$A828)</f>
      </c>
      <c r="B828">
        <f>IF($A828="","",games!$B828)</f>
      </c>
      <c r="C828" t="str">
        <f>IF($A828="","",games!$C828)</f>
      </c>
      <c r="D828">
        <f>IF($A828="","",COUNTIF(connections!$A$2:$A$2500,$A828)+COUNTIF(connections!$B$2:$B$2500,$A828))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IF(OR($A828="",games!$H828=""),"",games!$H828)</f>
      </c>
      <c r="Q828">
        <f>IF(OR($A828="",$P828&lt;&gt;"Yes"),"",$D828+ROW()/1000000)</f>
      </c>
      <c r="T828" t="str">
        <f>IF(connections!$A828="","",IFERROR(INDEX(games!$B$2:$B$1200,MATCH(connections!$A828,games!$A$2:$A$1200,0)),""))</f>
      </c>
      <c r="U828">
        <f>IF(connections!$A828="","",IFERROR(INDEX(games!$B$2:$B$1200,MATCH(connections!$B828,games!$A$2:$A$1200,0)),""))</f>
      </c>
      <c r="V828">
        <f>IF(OR($T828="",$U828=""),"",$U828-$T828)</f>
      </c>
    </row>
    <row r="829">
      <c r="A829" t="str">
        <f>IF(games!$A829="","",games!$A829)</f>
      </c>
      <c r="B829">
        <f>IF($A829="","",games!$B829)</f>
      </c>
      <c r="C829" t="str">
        <f>IF($A829="","",games!$C829)</f>
      </c>
      <c r="D829">
        <f>IF($A829="","",COUNTIF(connections!$A$2:$A$2500,$A829)+COUNTIF(connections!$B$2:$B$2500,$A829))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IF(OR($A829="",games!$H829=""),"",games!$H829)</f>
      </c>
      <c r="Q829">
        <f>IF(OR($A829="",$P829&lt;&gt;"Yes"),"",$D829+ROW()/1000000)</f>
      </c>
      <c r="T829" t="str">
        <f>IF(connections!$A829="","",IFERROR(INDEX(games!$B$2:$B$1200,MATCH(connections!$A829,games!$A$2:$A$1200,0)),""))</f>
      </c>
      <c r="U829">
        <f>IF(connections!$A829="","",IFERROR(INDEX(games!$B$2:$B$1200,MATCH(connections!$B829,games!$A$2:$A$1200,0)),""))</f>
      </c>
      <c r="V829">
        <f>IF(OR($T829="",$U829=""),"",$U829-$T829)</f>
      </c>
    </row>
    <row r="830">
      <c r="A830" t="str">
        <f>IF(games!$A830="","",games!$A830)</f>
      </c>
      <c r="B830">
        <f>IF($A830="","",games!$B830)</f>
      </c>
      <c r="C830" t="str">
        <f>IF($A830="","",games!$C830)</f>
      </c>
      <c r="D830">
        <f>IF($A830="","",COUNTIF(connections!$A$2:$A$2500,$A830)+COUNTIF(connections!$B$2:$B$2500,$A830))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IF(OR($A830="",games!$H830=""),"",games!$H830)</f>
      </c>
      <c r="Q830">
        <f>IF(OR($A830="",$P830&lt;&gt;"Yes"),"",$D830+ROW()/1000000)</f>
      </c>
      <c r="T830" t="str">
        <f>IF(connections!$A830="","",IFERROR(INDEX(games!$B$2:$B$1200,MATCH(connections!$A830,games!$A$2:$A$1200,0)),""))</f>
      </c>
      <c r="U830">
        <f>IF(connections!$A830="","",IFERROR(INDEX(games!$B$2:$B$1200,MATCH(connections!$B830,games!$A$2:$A$1200,0)),""))</f>
      </c>
      <c r="V830">
        <f>IF(OR($T830="",$U830=""),"",$U830-$T830)</f>
      </c>
    </row>
    <row r="831">
      <c r="A831" t="str">
        <f>IF(games!$A831="","",games!$A831)</f>
      </c>
      <c r="B831">
        <f>IF($A831="","",games!$B831)</f>
      </c>
      <c r="C831" t="str">
        <f>IF($A831="","",games!$C831)</f>
      </c>
      <c r="D831">
        <f>IF($A831="","",COUNTIF(connections!$A$2:$A$2500,$A831)+COUNTIF(connections!$B$2:$B$2500,$A831))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IF(OR($A831="",games!$H831=""),"",games!$H831)</f>
      </c>
      <c r="Q831">
        <f>IF(OR($A831="",$P831&lt;&gt;"Yes"),"",$D831+ROW()/1000000)</f>
      </c>
      <c r="T831" t="str">
        <f>IF(connections!$A831="","",IFERROR(INDEX(games!$B$2:$B$1200,MATCH(connections!$A831,games!$A$2:$A$1200,0)),""))</f>
      </c>
      <c r="U831">
        <f>IF(connections!$A831="","",IFERROR(INDEX(games!$B$2:$B$1200,MATCH(connections!$B831,games!$A$2:$A$1200,0)),""))</f>
      </c>
      <c r="V831">
        <f>IF(OR($T831="",$U831=""),"",$U831-$T831)</f>
      </c>
    </row>
    <row r="832">
      <c r="A832" t="str">
        <f>IF(games!$A832="","",games!$A832)</f>
      </c>
      <c r="B832">
        <f>IF($A832="","",games!$B832)</f>
      </c>
      <c r="C832" t="str">
        <f>IF($A832="","",games!$C832)</f>
      </c>
      <c r="D832">
        <f>IF($A832="","",COUNTIF(connections!$A$2:$A$2500,$A832)+COUNTIF(connections!$B$2:$B$2500,$A832))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IF(OR($A832="",games!$H832=""),"",games!$H832)</f>
      </c>
      <c r="Q832">
        <f>IF(OR($A832="",$P832&lt;&gt;"Yes"),"",$D832+ROW()/1000000)</f>
      </c>
      <c r="T832" t="str">
        <f>IF(connections!$A832="","",IFERROR(INDEX(games!$B$2:$B$1200,MATCH(connections!$A832,games!$A$2:$A$1200,0)),""))</f>
      </c>
      <c r="U832">
        <f>IF(connections!$A832="","",IFERROR(INDEX(games!$B$2:$B$1200,MATCH(connections!$B832,games!$A$2:$A$1200,0)),""))</f>
      </c>
      <c r="V832">
        <f>IF(OR($T832="",$U832=""),"",$U832-$T832)</f>
      </c>
    </row>
    <row r="833">
      <c r="A833" t="str">
        <f>IF(games!$A833="","",games!$A833)</f>
      </c>
      <c r="B833">
        <f>IF($A833="","",games!$B833)</f>
      </c>
      <c r="C833" t="str">
        <f>IF($A833="","",games!$C833)</f>
      </c>
      <c r="D833">
        <f>IF($A833="","",COUNTIF(connections!$A$2:$A$2500,$A833)+COUNTIF(connections!$B$2:$B$2500,$A833))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IF(OR($A833="",games!$H833=""),"",games!$H833)</f>
      </c>
      <c r="Q833">
        <f>IF(OR($A833="",$P833&lt;&gt;"Yes"),"",$D833+ROW()/1000000)</f>
      </c>
      <c r="T833" t="str">
        <f>IF(connections!$A833="","",IFERROR(INDEX(games!$B$2:$B$1200,MATCH(connections!$A833,games!$A$2:$A$1200,0)),""))</f>
      </c>
      <c r="U833">
        <f>IF(connections!$A833="","",IFERROR(INDEX(games!$B$2:$B$1200,MATCH(connections!$B833,games!$A$2:$A$1200,0)),""))</f>
      </c>
      <c r="V833">
        <f>IF(OR($T833="",$U833=""),"",$U833-$T833)</f>
      </c>
    </row>
    <row r="834">
      <c r="A834" t="str">
        <f>IF(games!$A834="","",games!$A834)</f>
      </c>
      <c r="B834">
        <f>IF($A834="","",games!$B834)</f>
      </c>
      <c r="C834" t="str">
        <f>IF($A834="","",games!$C834)</f>
      </c>
      <c r="D834">
        <f>IF($A834="","",COUNTIF(connections!$A$2:$A$2500,$A834)+COUNTIF(connections!$B$2:$B$2500,$A834))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IF(OR($A834="",games!$H834=""),"",games!$H834)</f>
      </c>
      <c r="Q834">
        <f>IF(OR($A834="",$P834&lt;&gt;"Yes"),"",$D834+ROW()/1000000)</f>
      </c>
      <c r="T834" t="str">
        <f>IF(connections!$A834="","",IFERROR(INDEX(games!$B$2:$B$1200,MATCH(connections!$A834,games!$A$2:$A$1200,0)),""))</f>
      </c>
      <c r="U834">
        <f>IF(connections!$A834="","",IFERROR(INDEX(games!$B$2:$B$1200,MATCH(connections!$B834,games!$A$2:$A$1200,0)),""))</f>
      </c>
      <c r="V834">
        <f>IF(OR($T834="",$U834=""),"",$U834-$T834)</f>
      </c>
    </row>
    <row r="835">
      <c r="A835" t="str">
        <f>IF(games!$A835="","",games!$A835)</f>
      </c>
      <c r="B835">
        <f>IF($A835="","",games!$B835)</f>
      </c>
      <c r="C835" t="str">
        <f>IF($A835="","",games!$C835)</f>
      </c>
      <c r="D835">
        <f>IF($A835="","",COUNTIF(connections!$A$2:$A$2500,$A835)+COUNTIF(connections!$B$2:$B$2500,$A835))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IF(OR($A835="",games!$H835=""),"",games!$H835)</f>
      </c>
      <c r="Q835">
        <f>IF(OR($A835="",$P835&lt;&gt;"Yes"),"",$D835+ROW()/1000000)</f>
      </c>
      <c r="T835" t="str">
        <f>IF(connections!$A835="","",IFERROR(INDEX(games!$B$2:$B$1200,MATCH(connections!$A835,games!$A$2:$A$1200,0)),""))</f>
      </c>
      <c r="U835">
        <f>IF(connections!$A835="","",IFERROR(INDEX(games!$B$2:$B$1200,MATCH(connections!$B835,games!$A$2:$A$1200,0)),""))</f>
      </c>
      <c r="V835">
        <f>IF(OR($T835="",$U835=""),"",$U835-$T835)</f>
      </c>
    </row>
    <row r="836">
      <c r="A836" t="str">
        <f>IF(games!$A836="","",games!$A836)</f>
      </c>
      <c r="B836">
        <f>IF($A836="","",games!$B836)</f>
      </c>
      <c r="C836" t="str">
        <f>IF($A836="","",games!$C836)</f>
      </c>
      <c r="D836">
        <f>IF($A836="","",COUNTIF(connections!$A$2:$A$2500,$A836)+COUNTIF(connections!$B$2:$B$2500,$A836))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IF(OR($A836="",games!$H836=""),"",games!$H836)</f>
      </c>
      <c r="Q836">
        <f>IF(OR($A836="",$P836&lt;&gt;"Yes"),"",$D836+ROW()/1000000)</f>
      </c>
      <c r="T836" t="str">
        <f>IF(connections!$A836="","",IFERROR(INDEX(games!$B$2:$B$1200,MATCH(connections!$A836,games!$A$2:$A$1200,0)),""))</f>
      </c>
      <c r="U836">
        <f>IF(connections!$A836="","",IFERROR(INDEX(games!$B$2:$B$1200,MATCH(connections!$B836,games!$A$2:$A$1200,0)),""))</f>
      </c>
      <c r="V836">
        <f>IF(OR($T836="",$U836=""),"",$U836-$T836)</f>
      </c>
    </row>
    <row r="837">
      <c r="A837" t="str">
        <f>IF(games!$A837="","",games!$A837)</f>
      </c>
      <c r="B837">
        <f>IF($A837="","",games!$B837)</f>
      </c>
      <c r="C837" t="str">
        <f>IF($A837="","",games!$C837)</f>
      </c>
      <c r="D837">
        <f>IF($A837="","",COUNTIF(connections!$A$2:$A$2500,$A837)+COUNTIF(connections!$B$2:$B$2500,$A837))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IF(OR($A837="",games!$H837=""),"",games!$H837)</f>
      </c>
      <c r="Q837">
        <f>IF(OR($A837="",$P837&lt;&gt;"Yes"),"",$D837+ROW()/1000000)</f>
      </c>
      <c r="T837" t="str">
        <f>IF(connections!$A837="","",IFERROR(INDEX(games!$B$2:$B$1200,MATCH(connections!$A837,games!$A$2:$A$1200,0)),""))</f>
      </c>
      <c r="U837">
        <f>IF(connections!$A837="","",IFERROR(INDEX(games!$B$2:$B$1200,MATCH(connections!$B837,games!$A$2:$A$1200,0)),""))</f>
      </c>
      <c r="V837">
        <f>IF(OR($T837="",$U837=""),"",$U837-$T837)</f>
      </c>
    </row>
    <row r="838">
      <c r="A838" t="str">
        <f>IF(games!$A838="","",games!$A838)</f>
      </c>
      <c r="B838">
        <f>IF($A838="","",games!$B838)</f>
      </c>
      <c r="C838" t="str">
        <f>IF($A838="","",games!$C838)</f>
      </c>
      <c r="D838">
        <f>IF($A838="","",COUNTIF(connections!$A$2:$A$2500,$A838)+COUNTIF(connections!$B$2:$B$2500,$A838))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IF(OR($A838="",games!$H838=""),"",games!$H838)</f>
      </c>
      <c r="Q838">
        <f>IF(OR($A838="",$P838&lt;&gt;"Yes"),"",$D838+ROW()/1000000)</f>
      </c>
      <c r="T838" t="str">
        <f>IF(connections!$A838="","",IFERROR(INDEX(games!$B$2:$B$1200,MATCH(connections!$A838,games!$A$2:$A$1200,0)),""))</f>
      </c>
      <c r="U838">
        <f>IF(connections!$A838="","",IFERROR(INDEX(games!$B$2:$B$1200,MATCH(connections!$B838,games!$A$2:$A$1200,0)),""))</f>
      </c>
      <c r="V838">
        <f>IF(OR($T838="",$U838=""),"",$U838-$T838)</f>
      </c>
    </row>
    <row r="839">
      <c r="A839" t="str">
        <f>IF(games!$A839="","",games!$A839)</f>
      </c>
      <c r="B839">
        <f>IF($A839="","",games!$B839)</f>
      </c>
      <c r="C839" t="str">
        <f>IF($A839="","",games!$C839)</f>
      </c>
      <c r="D839">
        <f>IF($A839="","",COUNTIF(connections!$A$2:$A$2500,$A839)+COUNTIF(connections!$B$2:$B$2500,$A839))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IF(OR($A839="",games!$H839=""),"",games!$H839)</f>
      </c>
      <c r="Q839">
        <f>IF(OR($A839="",$P839&lt;&gt;"Yes"),"",$D839+ROW()/1000000)</f>
      </c>
      <c r="T839" t="str">
        <f>IF(connections!$A839="","",IFERROR(INDEX(games!$B$2:$B$1200,MATCH(connections!$A839,games!$A$2:$A$1200,0)),""))</f>
      </c>
      <c r="U839">
        <f>IF(connections!$A839="","",IFERROR(INDEX(games!$B$2:$B$1200,MATCH(connections!$B839,games!$A$2:$A$1200,0)),""))</f>
      </c>
      <c r="V839">
        <f>IF(OR($T839="",$U839=""),"",$U839-$T839)</f>
      </c>
    </row>
    <row r="840">
      <c r="A840" t="str">
        <f>IF(games!$A840="","",games!$A840)</f>
      </c>
      <c r="B840">
        <f>IF($A840="","",games!$B840)</f>
      </c>
      <c r="C840" t="str">
        <f>IF($A840="","",games!$C840)</f>
      </c>
      <c r="D840">
        <f>IF($A840="","",COUNTIF(connections!$A$2:$A$2500,$A840)+COUNTIF(connections!$B$2:$B$2500,$A840))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IF(OR($A840="",games!$H840=""),"",games!$H840)</f>
      </c>
      <c r="Q840">
        <f>IF(OR($A840="",$P840&lt;&gt;"Yes"),"",$D840+ROW()/1000000)</f>
      </c>
      <c r="T840" t="str">
        <f>IF(connections!$A840="","",IFERROR(INDEX(games!$B$2:$B$1200,MATCH(connections!$A840,games!$A$2:$A$1200,0)),""))</f>
      </c>
      <c r="U840">
        <f>IF(connections!$A840="","",IFERROR(INDEX(games!$B$2:$B$1200,MATCH(connections!$B840,games!$A$2:$A$1200,0)),""))</f>
      </c>
      <c r="V840">
        <f>IF(OR($T840="",$U840=""),"",$U840-$T840)</f>
      </c>
    </row>
    <row r="841">
      <c r="A841" t="str">
        <f>IF(games!$A841="","",games!$A841)</f>
      </c>
      <c r="B841">
        <f>IF($A841="","",games!$B841)</f>
      </c>
      <c r="C841" t="str">
        <f>IF($A841="","",games!$C841)</f>
      </c>
      <c r="D841">
        <f>IF($A841="","",COUNTIF(connections!$A$2:$A$2500,$A841)+COUNTIF(connections!$B$2:$B$2500,$A841))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IF(OR($A841="",games!$H841=""),"",games!$H841)</f>
      </c>
      <c r="Q841">
        <f>IF(OR($A841="",$P841&lt;&gt;"Yes"),"",$D841+ROW()/1000000)</f>
      </c>
      <c r="T841" t="str">
        <f>IF(connections!$A841="","",IFERROR(INDEX(games!$B$2:$B$1200,MATCH(connections!$A841,games!$A$2:$A$1200,0)),""))</f>
      </c>
      <c r="U841">
        <f>IF(connections!$A841="","",IFERROR(INDEX(games!$B$2:$B$1200,MATCH(connections!$B841,games!$A$2:$A$1200,0)),""))</f>
      </c>
      <c r="V841">
        <f>IF(OR($T841="",$U841=""),"",$U841-$T841)</f>
      </c>
    </row>
    <row r="842">
      <c r="A842" t="str">
        <f>IF(games!$A842="","",games!$A842)</f>
      </c>
      <c r="B842">
        <f>IF($A842="","",games!$B842)</f>
      </c>
      <c r="C842" t="str">
        <f>IF($A842="","",games!$C842)</f>
      </c>
      <c r="D842">
        <f>IF($A842="","",COUNTIF(connections!$A$2:$A$2500,$A842)+COUNTIF(connections!$B$2:$B$2500,$A842))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IF(OR($A842="",games!$H842=""),"",games!$H842)</f>
      </c>
      <c r="Q842">
        <f>IF(OR($A842="",$P842&lt;&gt;"Yes"),"",$D842+ROW()/1000000)</f>
      </c>
      <c r="T842" t="str">
        <f>IF(connections!$A842="","",IFERROR(INDEX(games!$B$2:$B$1200,MATCH(connections!$A842,games!$A$2:$A$1200,0)),""))</f>
      </c>
      <c r="U842">
        <f>IF(connections!$A842="","",IFERROR(INDEX(games!$B$2:$B$1200,MATCH(connections!$B842,games!$A$2:$A$1200,0)),""))</f>
      </c>
      <c r="V842">
        <f>IF(OR($T842="",$U842=""),"",$U842-$T842)</f>
      </c>
    </row>
    <row r="843">
      <c r="A843" t="str">
        <f>IF(games!$A843="","",games!$A843)</f>
      </c>
      <c r="B843">
        <f>IF($A843="","",games!$B843)</f>
      </c>
      <c r="C843" t="str">
        <f>IF($A843="","",games!$C843)</f>
      </c>
      <c r="D843">
        <f>IF($A843="","",COUNTIF(connections!$A$2:$A$2500,$A843)+COUNTIF(connections!$B$2:$B$2500,$A843))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IF(OR($A843="",games!$H843=""),"",games!$H843)</f>
      </c>
      <c r="Q843">
        <f>IF(OR($A843="",$P843&lt;&gt;"Yes"),"",$D843+ROW()/1000000)</f>
      </c>
      <c r="T843" t="str">
        <f>IF(connections!$A843="","",IFERROR(INDEX(games!$B$2:$B$1200,MATCH(connections!$A843,games!$A$2:$A$1200,0)),""))</f>
      </c>
      <c r="U843">
        <f>IF(connections!$A843="","",IFERROR(INDEX(games!$B$2:$B$1200,MATCH(connections!$B843,games!$A$2:$A$1200,0)),""))</f>
      </c>
      <c r="V843">
        <f>IF(OR($T843="",$U843=""),"",$U843-$T843)</f>
      </c>
    </row>
    <row r="844">
      <c r="A844" t="str">
        <f>IF(games!$A844="","",games!$A844)</f>
      </c>
      <c r="B844">
        <f>IF($A844="","",games!$B844)</f>
      </c>
      <c r="C844" t="str">
        <f>IF($A844="","",games!$C844)</f>
      </c>
      <c r="D844">
        <f>IF($A844="","",COUNTIF(connections!$A$2:$A$2500,$A844)+COUNTIF(connections!$B$2:$B$2500,$A844))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IF(OR($A844="",games!$H844=""),"",games!$H844)</f>
      </c>
      <c r="Q844">
        <f>IF(OR($A844="",$P844&lt;&gt;"Yes"),"",$D844+ROW()/1000000)</f>
      </c>
      <c r="T844" t="str">
        <f>IF(connections!$A844="","",IFERROR(INDEX(games!$B$2:$B$1200,MATCH(connections!$A844,games!$A$2:$A$1200,0)),""))</f>
      </c>
      <c r="U844">
        <f>IF(connections!$A844="","",IFERROR(INDEX(games!$B$2:$B$1200,MATCH(connections!$B844,games!$A$2:$A$1200,0)),""))</f>
      </c>
      <c r="V844">
        <f>IF(OR($T844="",$U844=""),"",$U844-$T844)</f>
      </c>
    </row>
    <row r="845">
      <c r="A845" t="str">
        <f>IF(games!$A845="","",games!$A845)</f>
      </c>
      <c r="B845">
        <f>IF($A845="","",games!$B845)</f>
      </c>
      <c r="C845" t="str">
        <f>IF($A845="","",games!$C845)</f>
      </c>
      <c r="D845">
        <f>IF($A845="","",COUNTIF(connections!$A$2:$A$2500,$A845)+COUNTIF(connections!$B$2:$B$2500,$A845))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IF(OR($A845="",games!$H845=""),"",games!$H845)</f>
      </c>
      <c r="Q845">
        <f>IF(OR($A845="",$P845&lt;&gt;"Yes"),"",$D845+ROW()/1000000)</f>
      </c>
      <c r="T845" t="str">
        <f>IF(connections!$A845="","",IFERROR(INDEX(games!$B$2:$B$1200,MATCH(connections!$A845,games!$A$2:$A$1200,0)),""))</f>
      </c>
      <c r="U845">
        <f>IF(connections!$A845="","",IFERROR(INDEX(games!$B$2:$B$1200,MATCH(connections!$B845,games!$A$2:$A$1200,0)),""))</f>
      </c>
      <c r="V845">
        <f>IF(OR($T845="",$U845=""),"",$U845-$T845)</f>
      </c>
    </row>
    <row r="846">
      <c r="A846" t="str">
        <f>IF(games!$A846="","",games!$A846)</f>
      </c>
      <c r="B846">
        <f>IF($A846="","",games!$B846)</f>
      </c>
      <c r="C846" t="str">
        <f>IF($A846="","",games!$C846)</f>
      </c>
      <c r="D846">
        <f>IF($A846="","",COUNTIF(connections!$A$2:$A$2500,$A846)+COUNTIF(connections!$B$2:$B$2500,$A846))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IF(OR($A846="",games!$H846=""),"",games!$H846)</f>
      </c>
      <c r="Q846">
        <f>IF(OR($A846="",$P846&lt;&gt;"Yes"),"",$D846+ROW()/1000000)</f>
      </c>
      <c r="T846" t="str">
        <f>IF(connections!$A846="","",IFERROR(INDEX(games!$B$2:$B$1200,MATCH(connections!$A846,games!$A$2:$A$1200,0)),""))</f>
      </c>
      <c r="U846">
        <f>IF(connections!$A846="","",IFERROR(INDEX(games!$B$2:$B$1200,MATCH(connections!$B846,games!$A$2:$A$1200,0)),""))</f>
      </c>
      <c r="V846">
        <f>IF(OR($T846="",$U846=""),"",$U846-$T846)</f>
      </c>
    </row>
    <row r="847">
      <c r="A847" t="str">
        <f>IF(games!$A847="","",games!$A847)</f>
      </c>
      <c r="B847">
        <f>IF($A847="","",games!$B847)</f>
      </c>
      <c r="C847" t="str">
        <f>IF($A847="","",games!$C847)</f>
      </c>
      <c r="D847">
        <f>IF($A847="","",COUNTIF(connections!$A$2:$A$2500,$A847)+COUNTIF(connections!$B$2:$B$2500,$A847))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IF(OR($A847="",games!$H847=""),"",games!$H847)</f>
      </c>
      <c r="Q847">
        <f>IF(OR($A847="",$P847&lt;&gt;"Yes"),"",$D847+ROW()/1000000)</f>
      </c>
      <c r="T847" t="str">
        <f>IF(connections!$A847="","",IFERROR(INDEX(games!$B$2:$B$1200,MATCH(connections!$A847,games!$A$2:$A$1200,0)),""))</f>
      </c>
      <c r="U847">
        <f>IF(connections!$A847="","",IFERROR(INDEX(games!$B$2:$B$1200,MATCH(connections!$B847,games!$A$2:$A$1200,0)),""))</f>
      </c>
      <c r="V847">
        <f>IF(OR($T847="",$U847=""),"",$U847-$T847)</f>
      </c>
    </row>
    <row r="848">
      <c r="A848" t="str">
        <f>IF(games!$A848="","",games!$A848)</f>
      </c>
      <c r="B848">
        <f>IF($A848="","",games!$B848)</f>
      </c>
      <c r="C848" t="str">
        <f>IF($A848="","",games!$C848)</f>
      </c>
      <c r="D848">
        <f>IF($A848="","",COUNTIF(connections!$A$2:$A$2500,$A848)+COUNTIF(connections!$B$2:$B$2500,$A848))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IF(OR($A848="",games!$H848=""),"",games!$H848)</f>
      </c>
      <c r="Q848">
        <f>IF(OR($A848="",$P848&lt;&gt;"Yes"),"",$D848+ROW()/1000000)</f>
      </c>
      <c r="T848" t="str">
        <f>IF(connections!$A848="","",IFERROR(INDEX(games!$B$2:$B$1200,MATCH(connections!$A848,games!$A$2:$A$1200,0)),""))</f>
      </c>
      <c r="U848">
        <f>IF(connections!$A848="","",IFERROR(INDEX(games!$B$2:$B$1200,MATCH(connections!$B848,games!$A$2:$A$1200,0)),""))</f>
      </c>
      <c r="V848">
        <f>IF(OR($T848="",$U848=""),"",$U848-$T848)</f>
      </c>
    </row>
    <row r="849">
      <c r="A849" t="str">
        <f>IF(games!$A849="","",games!$A849)</f>
      </c>
      <c r="B849">
        <f>IF($A849="","",games!$B849)</f>
      </c>
      <c r="C849" t="str">
        <f>IF($A849="","",games!$C849)</f>
      </c>
      <c r="D849">
        <f>IF($A849="","",COUNTIF(connections!$A$2:$A$2500,$A849)+COUNTIF(connections!$B$2:$B$2500,$A849))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IF(OR($A849="",games!$H849=""),"",games!$H849)</f>
      </c>
      <c r="Q849">
        <f>IF(OR($A849="",$P849&lt;&gt;"Yes"),"",$D849+ROW()/1000000)</f>
      </c>
      <c r="T849" t="str">
        <f>IF(connections!$A849="","",IFERROR(INDEX(games!$B$2:$B$1200,MATCH(connections!$A849,games!$A$2:$A$1200,0)),""))</f>
      </c>
      <c r="U849">
        <f>IF(connections!$A849="","",IFERROR(INDEX(games!$B$2:$B$1200,MATCH(connections!$B849,games!$A$2:$A$1200,0)),""))</f>
      </c>
      <c r="V849">
        <f>IF(OR($T849="",$U849=""),"",$U849-$T849)</f>
      </c>
    </row>
    <row r="850">
      <c r="A850" t="str">
        <f>IF(games!$A850="","",games!$A850)</f>
      </c>
      <c r="B850">
        <f>IF($A850="","",games!$B850)</f>
      </c>
      <c r="C850" t="str">
        <f>IF($A850="","",games!$C850)</f>
      </c>
      <c r="D850">
        <f>IF($A850="","",COUNTIF(connections!$A$2:$A$2500,$A850)+COUNTIF(connections!$B$2:$B$2500,$A850))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IF(OR($A850="",games!$H850=""),"",games!$H850)</f>
      </c>
      <c r="Q850">
        <f>IF(OR($A850="",$P850&lt;&gt;"Yes"),"",$D850+ROW()/1000000)</f>
      </c>
      <c r="T850" t="str">
        <f>IF(connections!$A850="","",IFERROR(INDEX(games!$B$2:$B$1200,MATCH(connections!$A850,games!$A$2:$A$1200,0)),""))</f>
      </c>
      <c r="U850">
        <f>IF(connections!$A850="","",IFERROR(INDEX(games!$B$2:$B$1200,MATCH(connections!$B850,games!$A$2:$A$1200,0)),""))</f>
      </c>
      <c r="V850">
        <f>IF(OR($T850="",$U850=""),"",$U850-$T850)</f>
      </c>
    </row>
    <row r="851">
      <c r="A851" t="str">
        <f>IF(games!$A851="","",games!$A851)</f>
      </c>
      <c r="B851">
        <f>IF($A851="","",games!$B851)</f>
      </c>
      <c r="C851" t="str">
        <f>IF($A851="","",games!$C851)</f>
      </c>
      <c r="D851">
        <f>IF($A851="","",COUNTIF(connections!$A$2:$A$2500,$A851)+COUNTIF(connections!$B$2:$B$2500,$A851))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IF(OR($A851="",games!$H851=""),"",games!$H851)</f>
      </c>
      <c r="Q851">
        <f>IF(OR($A851="",$P851&lt;&gt;"Yes"),"",$D851+ROW()/1000000)</f>
      </c>
      <c r="T851" t="str">
        <f>IF(connections!$A851="","",IFERROR(INDEX(games!$B$2:$B$1200,MATCH(connections!$A851,games!$A$2:$A$1200,0)),""))</f>
      </c>
      <c r="U851">
        <f>IF(connections!$A851="","",IFERROR(INDEX(games!$B$2:$B$1200,MATCH(connections!$B851,games!$A$2:$A$1200,0)),""))</f>
      </c>
      <c r="V851">
        <f>IF(OR($T851="",$U851=""),"",$U851-$T851)</f>
      </c>
    </row>
    <row r="852">
      <c r="A852" t="str">
        <f>IF(games!$A852="","",games!$A852)</f>
      </c>
      <c r="B852">
        <f>IF($A852="","",games!$B852)</f>
      </c>
      <c r="C852" t="str">
        <f>IF($A852="","",games!$C852)</f>
      </c>
      <c r="D852">
        <f>IF($A852="","",COUNTIF(connections!$A$2:$A$2500,$A852)+COUNTIF(connections!$B$2:$B$2500,$A852))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IF(OR($A852="",games!$H852=""),"",games!$H852)</f>
      </c>
      <c r="Q852">
        <f>IF(OR($A852="",$P852&lt;&gt;"Yes"),"",$D852+ROW()/1000000)</f>
      </c>
      <c r="T852" t="str">
        <f>IF(connections!$A852="","",IFERROR(INDEX(games!$B$2:$B$1200,MATCH(connections!$A852,games!$A$2:$A$1200,0)),""))</f>
      </c>
      <c r="U852">
        <f>IF(connections!$A852="","",IFERROR(INDEX(games!$B$2:$B$1200,MATCH(connections!$B852,games!$A$2:$A$1200,0)),""))</f>
      </c>
      <c r="V852">
        <f>IF(OR($T852="",$U852=""),"",$U852-$T852)</f>
      </c>
    </row>
    <row r="853">
      <c r="A853" t="str">
        <f>IF(games!$A853="","",games!$A853)</f>
      </c>
      <c r="B853">
        <f>IF($A853="","",games!$B853)</f>
      </c>
      <c r="C853" t="str">
        <f>IF($A853="","",games!$C853)</f>
      </c>
      <c r="D853">
        <f>IF($A853="","",COUNTIF(connections!$A$2:$A$2500,$A853)+COUNTIF(connections!$B$2:$B$2500,$A853))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IF(OR($A853="",games!$H853=""),"",games!$H853)</f>
      </c>
      <c r="Q853">
        <f>IF(OR($A853="",$P853&lt;&gt;"Yes"),"",$D853+ROW()/1000000)</f>
      </c>
      <c r="T853" t="str">
        <f>IF(connections!$A853="","",IFERROR(INDEX(games!$B$2:$B$1200,MATCH(connections!$A853,games!$A$2:$A$1200,0)),""))</f>
      </c>
      <c r="U853">
        <f>IF(connections!$A853="","",IFERROR(INDEX(games!$B$2:$B$1200,MATCH(connections!$B853,games!$A$2:$A$1200,0)),""))</f>
      </c>
      <c r="V853">
        <f>IF(OR($T853="",$U853=""),"",$U853-$T853)</f>
      </c>
    </row>
    <row r="854">
      <c r="A854" t="str">
        <f>IF(games!$A854="","",games!$A854)</f>
      </c>
      <c r="B854">
        <f>IF($A854="","",games!$B854)</f>
      </c>
      <c r="C854" t="str">
        <f>IF($A854="","",games!$C854)</f>
      </c>
      <c r="D854">
        <f>IF($A854="","",COUNTIF(connections!$A$2:$A$2500,$A854)+COUNTIF(connections!$B$2:$B$2500,$A854))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IF(OR($A854="",games!$H854=""),"",games!$H854)</f>
      </c>
      <c r="Q854">
        <f>IF(OR($A854="",$P854&lt;&gt;"Yes"),"",$D854+ROW()/1000000)</f>
      </c>
      <c r="T854" t="str">
        <f>IF(connections!$A854="","",IFERROR(INDEX(games!$B$2:$B$1200,MATCH(connections!$A854,games!$A$2:$A$1200,0)),""))</f>
      </c>
      <c r="U854">
        <f>IF(connections!$A854="","",IFERROR(INDEX(games!$B$2:$B$1200,MATCH(connections!$B854,games!$A$2:$A$1200,0)),""))</f>
      </c>
      <c r="V854">
        <f>IF(OR($T854="",$U854=""),"",$U854-$T854)</f>
      </c>
    </row>
    <row r="855">
      <c r="A855" t="str">
        <f>IF(games!$A855="","",games!$A855)</f>
      </c>
      <c r="B855">
        <f>IF($A855="","",games!$B855)</f>
      </c>
      <c r="C855" t="str">
        <f>IF($A855="","",games!$C855)</f>
      </c>
      <c r="D855">
        <f>IF($A855="","",COUNTIF(connections!$A$2:$A$2500,$A855)+COUNTIF(connections!$B$2:$B$2500,$A855))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IF(OR($A855="",games!$H855=""),"",games!$H855)</f>
      </c>
      <c r="Q855">
        <f>IF(OR($A855="",$P855&lt;&gt;"Yes"),"",$D855+ROW()/1000000)</f>
      </c>
      <c r="T855" t="str">
        <f>IF(connections!$A855="","",IFERROR(INDEX(games!$B$2:$B$1200,MATCH(connections!$A855,games!$A$2:$A$1200,0)),""))</f>
      </c>
      <c r="U855">
        <f>IF(connections!$A855="","",IFERROR(INDEX(games!$B$2:$B$1200,MATCH(connections!$B855,games!$A$2:$A$1200,0)),""))</f>
      </c>
      <c r="V855">
        <f>IF(OR($T855="",$U855=""),"",$U855-$T855)</f>
      </c>
    </row>
    <row r="856">
      <c r="A856" t="str">
        <f>IF(games!$A856="","",games!$A856)</f>
      </c>
      <c r="B856">
        <f>IF($A856="","",games!$B856)</f>
      </c>
      <c r="C856" t="str">
        <f>IF($A856="","",games!$C856)</f>
      </c>
      <c r="D856">
        <f>IF($A856="","",COUNTIF(connections!$A$2:$A$2500,$A856)+COUNTIF(connections!$B$2:$B$2500,$A856))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IF(OR($A856="",games!$H856=""),"",games!$H856)</f>
      </c>
      <c r="Q856">
        <f>IF(OR($A856="",$P856&lt;&gt;"Yes"),"",$D856+ROW()/1000000)</f>
      </c>
      <c r="T856" t="str">
        <f>IF(connections!$A856="","",IFERROR(INDEX(games!$B$2:$B$1200,MATCH(connections!$A856,games!$A$2:$A$1200,0)),""))</f>
      </c>
      <c r="U856">
        <f>IF(connections!$A856="","",IFERROR(INDEX(games!$B$2:$B$1200,MATCH(connections!$B856,games!$A$2:$A$1200,0)),""))</f>
      </c>
      <c r="V856">
        <f>IF(OR($T856="",$U856=""),"",$U856-$T856)</f>
      </c>
    </row>
    <row r="857">
      <c r="A857" t="str">
        <f>IF(games!$A857="","",games!$A857)</f>
      </c>
      <c r="B857">
        <f>IF($A857="","",games!$B857)</f>
      </c>
      <c r="C857" t="str">
        <f>IF($A857="","",games!$C857)</f>
      </c>
      <c r="D857">
        <f>IF($A857="","",COUNTIF(connections!$A$2:$A$2500,$A857)+COUNTIF(connections!$B$2:$B$2500,$A857))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IF(OR($A857="",games!$H857=""),"",games!$H857)</f>
      </c>
      <c r="Q857">
        <f>IF(OR($A857="",$P857&lt;&gt;"Yes"),"",$D857+ROW()/1000000)</f>
      </c>
      <c r="T857" t="str">
        <f>IF(connections!$A857="","",IFERROR(INDEX(games!$B$2:$B$1200,MATCH(connections!$A857,games!$A$2:$A$1200,0)),""))</f>
      </c>
      <c r="U857">
        <f>IF(connections!$A857="","",IFERROR(INDEX(games!$B$2:$B$1200,MATCH(connections!$B857,games!$A$2:$A$1200,0)),""))</f>
      </c>
      <c r="V857">
        <f>IF(OR($T857="",$U857=""),"",$U857-$T857)</f>
      </c>
    </row>
    <row r="858">
      <c r="A858" t="str">
        <f>IF(games!$A858="","",games!$A858)</f>
      </c>
      <c r="B858">
        <f>IF($A858="","",games!$B858)</f>
      </c>
      <c r="C858" t="str">
        <f>IF($A858="","",games!$C858)</f>
      </c>
      <c r="D858">
        <f>IF($A858="","",COUNTIF(connections!$A$2:$A$2500,$A858)+COUNTIF(connections!$B$2:$B$2500,$A858))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IF(OR($A858="",games!$H858=""),"",games!$H858)</f>
      </c>
      <c r="Q858">
        <f>IF(OR($A858="",$P858&lt;&gt;"Yes"),"",$D858+ROW()/1000000)</f>
      </c>
      <c r="T858" t="str">
        <f>IF(connections!$A858="","",IFERROR(INDEX(games!$B$2:$B$1200,MATCH(connections!$A858,games!$A$2:$A$1200,0)),""))</f>
      </c>
      <c r="U858">
        <f>IF(connections!$A858="","",IFERROR(INDEX(games!$B$2:$B$1200,MATCH(connections!$B858,games!$A$2:$A$1200,0)),""))</f>
      </c>
      <c r="V858">
        <f>IF(OR($T858="",$U858=""),"",$U858-$T858)</f>
      </c>
    </row>
    <row r="859">
      <c r="A859" t="str">
        <f>IF(games!$A859="","",games!$A859)</f>
      </c>
      <c r="B859">
        <f>IF($A859="","",games!$B859)</f>
      </c>
      <c r="C859" t="str">
        <f>IF($A859="","",games!$C859)</f>
      </c>
      <c r="D859">
        <f>IF($A859="","",COUNTIF(connections!$A$2:$A$2500,$A859)+COUNTIF(connections!$B$2:$B$2500,$A859))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IF(OR($A859="",games!$H859=""),"",games!$H859)</f>
      </c>
      <c r="Q859">
        <f>IF(OR($A859="",$P859&lt;&gt;"Yes"),"",$D859+ROW()/1000000)</f>
      </c>
      <c r="T859" t="str">
        <f>IF(connections!$A859="","",IFERROR(INDEX(games!$B$2:$B$1200,MATCH(connections!$A859,games!$A$2:$A$1200,0)),""))</f>
      </c>
      <c r="U859">
        <f>IF(connections!$A859="","",IFERROR(INDEX(games!$B$2:$B$1200,MATCH(connections!$B859,games!$A$2:$A$1200,0)),""))</f>
      </c>
      <c r="V859">
        <f>IF(OR($T859="",$U859=""),"",$U859-$T859)</f>
      </c>
    </row>
    <row r="860">
      <c r="A860" t="str">
        <f>IF(games!$A860="","",games!$A860)</f>
      </c>
      <c r="B860">
        <f>IF($A860="","",games!$B860)</f>
      </c>
      <c r="C860" t="str">
        <f>IF($A860="","",games!$C860)</f>
      </c>
      <c r="D860">
        <f>IF($A860="","",COUNTIF(connections!$A$2:$A$2500,$A860)+COUNTIF(connections!$B$2:$B$2500,$A860))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IF(OR($A860="",games!$H860=""),"",games!$H860)</f>
      </c>
      <c r="Q860">
        <f>IF(OR($A860="",$P860&lt;&gt;"Yes"),"",$D860+ROW()/1000000)</f>
      </c>
      <c r="T860" t="str">
        <f>IF(connections!$A860="","",IFERROR(INDEX(games!$B$2:$B$1200,MATCH(connections!$A860,games!$A$2:$A$1200,0)),""))</f>
      </c>
      <c r="U860">
        <f>IF(connections!$A860="","",IFERROR(INDEX(games!$B$2:$B$1200,MATCH(connections!$B860,games!$A$2:$A$1200,0)),""))</f>
      </c>
      <c r="V860">
        <f>IF(OR($T860="",$U860=""),"",$U860-$T860)</f>
      </c>
    </row>
    <row r="861">
      <c r="A861" t="str">
        <f>IF(games!$A861="","",games!$A861)</f>
      </c>
      <c r="B861">
        <f>IF($A861="","",games!$B861)</f>
      </c>
      <c r="C861" t="str">
        <f>IF($A861="","",games!$C861)</f>
      </c>
      <c r="D861">
        <f>IF($A861="","",COUNTIF(connections!$A$2:$A$2500,$A861)+COUNTIF(connections!$B$2:$B$2500,$A861))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IF(OR($A861="",games!$H861=""),"",games!$H861)</f>
      </c>
      <c r="Q861">
        <f>IF(OR($A861="",$P861&lt;&gt;"Yes"),"",$D861+ROW()/1000000)</f>
      </c>
      <c r="T861" t="str">
        <f>IF(connections!$A861="","",IFERROR(INDEX(games!$B$2:$B$1200,MATCH(connections!$A861,games!$A$2:$A$1200,0)),""))</f>
      </c>
      <c r="U861">
        <f>IF(connections!$A861="","",IFERROR(INDEX(games!$B$2:$B$1200,MATCH(connections!$B861,games!$A$2:$A$1200,0)),""))</f>
      </c>
      <c r="V861">
        <f>IF(OR($T861="",$U861=""),"",$U861-$T861)</f>
      </c>
    </row>
    <row r="862">
      <c r="A862" t="str">
        <f>IF(games!$A862="","",games!$A862)</f>
      </c>
      <c r="B862">
        <f>IF($A862="","",games!$B862)</f>
      </c>
      <c r="C862" t="str">
        <f>IF($A862="","",games!$C862)</f>
      </c>
      <c r="D862">
        <f>IF($A862="","",COUNTIF(connections!$A$2:$A$2500,$A862)+COUNTIF(connections!$B$2:$B$2500,$A862))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IF(OR($A862="",games!$H862=""),"",games!$H862)</f>
      </c>
      <c r="Q862">
        <f>IF(OR($A862="",$P862&lt;&gt;"Yes"),"",$D862+ROW()/1000000)</f>
      </c>
      <c r="T862" t="str">
        <f>IF(connections!$A862="","",IFERROR(INDEX(games!$B$2:$B$1200,MATCH(connections!$A862,games!$A$2:$A$1200,0)),""))</f>
      </c>
      <c r="U862">
        <f>IF(connections!$A862="","",IFERROR(INDEX(games!$B$2:$B$1200,MATCH(connections!$B862,games!$A$2:$A$1200,0)),""))</f>
      </c>
      <c r="V862">
        <f>IF(OR($T862="",$U862=""),"",$U862-$T862)</f>
      </c>
    </row>
    <row r="863">
      <c r="A863" t="str">
        <f>IF(games!$A863="","",games!$A863)</f>
      </c>
      <c r="B863">
        <f>IF($A863="","",games!$B863)</f>
      </c>
      <c r="C863" t="str">
        <f>IF($A863="","",games!$C863)</f>
      </c>
      <c r="D863">
        <f>IF($A863="","",COUNTIF(connections!$A$2:$A$2500,$A863)+COUNTIF(connections!$B$2:$B$2500,$A863))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IF(OR($A863="",games!$H863=""),"",games!$H863)</f>
      </c>
      <c r="Q863">
        <f>IF(OR($A863="",$P863&lt;&gt;"Yes"),"",$D863+ROW()/1000000)</f>
      </c>
      <c r="T863" t="str">
        <f>IF(connections!$A863="","",IFERROR(INDEX(games!$B$2:$B$1200,MATCH(connections!$A863,games!$A$2:$A$1200,0)),""))</f>
      </c>
      <c r="U863">
        <f>IF(connections!$A863="","",IFERROR(INDEX(games!$B$2:$B$1200,MATCH(connections!$B863,games!$A$2:$A$1200,0)),""))</f>
      </c>
      <c r="V863">
        <f>IF(OR($T863="",$U863=""),"",$U863-$T863)</f>
      </c>
    </row>
    <row r="864">
      <c r="A864" t="str">
        <f>IF(games!$A864="","",games!$A864)</f>
      </c>
      <c r="B864">
        <f>IF($A864="","",games!$B864)</f>
      </c>
      <c r="C864" t="str">
        <f>IF($A864="","",games!$C864)</f>
      </c>
      <c r="D864">
        <f>IF($A864="","",COUNTIF(connections!$A$2:$A$2500,$A864)+COUNTIF(connections!$B$2:$B$2500,$A864))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IF(OR($A864="",games!$H864=""),"",games!$H864)</f>
      </c>
      <c r="Q864">
        <f>IF(OR($A864="",$P864&lt;&gt;"Yes"),"",$D864+ROW()/1000000)</f>
      </c>
      <c r="T864" t="str">
        <f>IF(connections!$A864="","",IFERROR(INDEX(games!$B$2:$B$1200,MATCH(connections!$A864,games!$A$2:$A$1200,0)),""))</f>
      </c>
      <c r="U864">
        <f>IF(connections!$A864="","",IFERROR(INDEX(games!$B$2:$B$1200,MATCH(connections!$B864,games!$A$2:$A$1200,0)),""))</f>
      </c>
      <c r="V864">
        <f>IF(OR($T864="",$U864=""),"",$U864-$T864)</f>
      </c>
    </row>
    <row r="865">
      <c r="A865" t="str">
        <f>IF(games!$A865="","",games!$A865)</f>
      </c>
      <c r="B865">
        <f>IF($A865="","",games!$B865)</f>
      </c>
      <c r="C865" t="str">
        <f>IF($A865="","",games!$C865)</f>
      </c>
      <c r="D865">
        <f>IF($A865="","",COUNTIF(connections!$A$2:$A$2500,$A865)+COUNTIF(connections!$B$2:$B$2500,$A865))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IF(OR($A865="",games!$H865=""),"",games!$H865)</f>
      </c>
      <c r="Q865">
        <f>IF(OR($A865="",$P865&lt;&gt;"Yes"),"",$D865+ROW()/1000000)</f>
      </c>
      <c r="T865" t="str">
        <f>IF(connections!$A865="","",IFERROR(INDEX(games!$B$2:$B$1200,MATCH(connections!$A865,games!$A$2:$A$1200,0)),""))</f>
      </c>
      <c r="U865">
        <f>IF(connections!$A865="","",IFERROR(INDEX(games!$B$2:$B$1200,MATCH(connections!$B865,games!$A$2:$A$1200,0)),""))</f>
      </c>
      <c r="V865">
        <f>IF(OR($T865="",$U865=""),"",$U865-$T865)</f>
      </c>
    </row>
    <row r="866">
      <c r="A866" t="str">
        <f>IF(games!$A866="","",games!$A866)</f>
      </c>
      <c r="B866">
        <f>IF($A866="","",games!$B866)</f>
      </c>
      <c r="C866" t="str">
        <f>IF($A866="","",games!$C866)</f>
      </c>
      <c r="D866">
        <f>IF($A866="","",COUNTIF(connections!$A$2:$A$2500,$A866)+COUNTIF(connections!$B$2:$B$2500,$A866))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IF(OR($A866="",games!$H866=""),"",games!$H866)</f>
      </c>
      <c r="Q866">
        <f>IF(OR($A866="",$P866&lt;&gt;"Yes"),"",$D866+ROW()/1000000)</f>
      </c>
      <c r="T866" t="str">
        <f>IF(connections!$A866="","",IFERROR(INDEX(games!$B$2:$B$1200,MATCH(connections!$A866,games!$A$2:$A$1200,0)),""))</f>
      </c>
      <c r="U866">
        <f>IF(connections!$A866="","",IFERROR(INDEX(games!$B$2:$B$1200,MATCH(connections!$B866,games!$A$2:$A$1200,0)),""))</f>
      </c>
      <c r="V866">
        <f>IF(OR($T866="",$U866=""),"",$U866-$T866)</f>
      </c>
    </row>
    <row r="867">
      <c r="A867" t="str">
        <f>IF(games!$A867="","",games!$A867)</f>
      </c>
      <c r="B867">
        <f>IF($A867="","",games!$B867)</f>
      </c>
      <c r="C867" t="str">
        <f>IF($A867="","",games!$C867)</f>
      </c>
      <c r="D867">
        <f>IF($A867="","",COUNTIF(connections!$A$2:$A$2500,$A867)+COUNTIF(connections!$B$2:$B$2500,$A867))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IF(OR($A867="",games!$H867=""),"",games!$H867)</f>
      </c>
      <c r="Q867">
        <f>IF(OR($A867="",$P867&lt;&gt;"Yes"),"",$D867+ROW()/1000000)</f>
      </c>
      <c r="T867" t="str">
        <f>IF(connections!$A867="","",IFERROR(INDEX(games!$B$2:$B$1200,MATCH(connections!$A867,games!$A$2:$A$1200,0)),""))</f>
      </c>
      <c r="U867">
        <f>IF(connections!$A867="","",IFERROR(INDEX(games!$B$2:$B$1200,MATCH(connections!$B867,games!$A$2:$A$1200,0)),""))</f>
      </c>
      <c r="V867">
        <f>IF(OR($T867="",$U867=""),"",$U867-$T867)</f>
      </c>
    </row>
    <row r="868">
      <c r="A868" t="str">
        <f>IF(games!$A868="","",games!$A868)</f>
      </c>
      <c r="B868">
        <f>IF($A868="","",games!$B868)</f>
      </c>
      <c r="C868" t="str">
        <f>IF($A868="","",games!$C868)</f>
      </c>
      <c r="D868">
        <f>IF($A868="","",COUNTIF(connections!$A$2:$A$2500,$A868)+COUNTIF(connections!$B$2:$B$2500,$A868))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IF(OR($A868="",games!$H868=""),"",games!$H868)</f>
      </c>
      <c r="Q868">
        <f>IF(OR($A868="",$P868&lt;&gt;"Yes"),"",$D868+ROW()/1000000)</f>
      </c>
      <c r="T868" t="str">
        <f>IF(connections!$A868="","",IFERROR(INDEX(games!$B$2:$B$1200,MATCH(connections!$A868,games!$A$2:$A$1200,0)),""))</f>
      </c>
      <c r="U868">
        <f>IF(connections!$A868="","",IFERROR(INDEX(games!$B$2:$B$1200,MATCH(connections!$B868,games!$A$2:$A$1200,0)),""))</f>
      </c>
      <c r="V868">
        <f>IF(OR($T868="",$U868=""),"",$U868-$T868)</f>
      </c>
    </row>
    <row r="869">
      <c r="A869" t="str">
        <f>IF(games!$A869="","",games!$A869)</f>
      </c>
      <c r="B869">
        <f>IF($A869="","",games!$B869)</f>
      </c>
      <c r="C869" t="str">
        <f>IF($A869="","",games!$C869)</f>
      </c>
      <c r="D869">
        <f>IF($A869="","",COUNTIF(connections!$A$2:$A$2500,$A869)+COUNTIF(connections!$B$2:$B$2500,$A869))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IF(OR($A869="",games!$H869=""),"",games!$H869)</f>
      </c>
      <c r="Q869">
        <f>IF(OR($A869="",$P869&lt;&gt;"Yes"),"",$D869+ROW()/1000000)</f>
      </c>
      <c r="T869" t="str">
        <f>IF(connections!$A869="","",IFERROR(INDEX(games!$B$2:$B$1200,MATCH(connections!$A869,games!$A$2:$A$1200,0)),""))</f>
      </c>
      <c r="U869">
        <f>IF(connections!$A869="","",IFERROR(INDEX(games!$B$2:$B$1200,MATCH(connections!$B869,games!$A$2:$A$1200,0)),""))</f>
      </c>
      <c r="V869">
        <f>IF(OR($T869="",$U869=""),"",$U869-$T869)</f>
      </c>
    </row>
    <row r="870">
      <c r="A870" t="str">
        <f>IF(games!$A870="","",games!$A870)</f>
      </c>
      <c r="B870">
        <f>IF($A870="","",games!$B870)</f>
      </c>
      <c r="C870" t="str">
        <f>IF($A870="","",games!$C870)</f>
      </c>
      <c r="D870">
        <f>IF($A870="","",COUNTIF(connections!$A$2:$A$2500,$A870)+COUNTIF(connections!$B$2:$B$2500,$A870))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IF(OR($A870="",games!$H870=""),"",games!$H870)</f>
      </c>
      <c r="Q870">
        <f>IF(OR($A870="",$P870&lt;&gt;"Yes"),"",$D870+ROW()/1000000)</f>
      </c>
      <c r="T870" t="str">
        <f>IF(connections!$A870="","",IFERROR(INDEX(games!$B$2:$B$1200,MATCH(connections!$A870,games!$A$2:$A$1200,0)),""))</f>
      </c>
      <c r="U870">
        <f>IF(connections!$A870="","",IFERROR(INDEX(games!$B$2:$B$1200,MATCH(connections!$B870,games!$A$2:$A$1200,0)),""))</f>
      </c>
      <c r="V870">
        <f>IF(OR($T870="",$U870=""),"",$U870-$T870)</f>
      </c>
    </row>
    <row r="871">
      <c r="A871" t="str">
        <f>IF(games!$A871="","",games!$A871)</f>
      </c>
      <c r="B871">
        <f>IF($A871="","",games!$B871)</f>
      </c>
      <c r="C871" t="str">
        <f>IF($A871="","",games!$C871)</f>
      </c>
      <c r="D871">
        <f>IF($A871="","",COUNTIF(connections!$A$2:$A$2500,$A871)+COUNTIF(connections!$B$2:$B$2500,$A871))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IF(OR($A871="",games!$H871=""),"",games!$H871)</f>
      </c>
      <c r="Q871">
        <f>IF(OR($A871="",$P871&lt;&gt;"Yes"),"",$D871+ROW()/1000000)</f>
      </c>
      <c r="T871" t="str">
        <f>IF(connections!$A871="","",IFERROR(INDEX(games!$B$2:$B$1200,MATCH(connections!$A871,games!$A$2:$A$1200,0)),""))</f>
      </c>
      <c r="U871">
        <f>IF(connections!$A871="","",IFERROR(INDEX(games!$B$2:$B$1200,MATCH(connections!$B871,games!$A$2:$A$1200,0)),""))</f>
      </c>
      <c r="V871">
        <f>IF(OR($T871="",$U871=""),"",$U871-$T871)</f>
      </c>
    </row>
    <row r="872">
      <c r="A872" t="str">
        <f>IF(games!$A872="","",games!$A872)</f>
      </c>
      <c r="B872">
        <f>IF($A872="","",games!$B872)</f>
      </c>
      <c r="C872" t="str">
        <f>IF($A872="","",games!$C872)</f>
      </c>
      <c r="D872">
        <f>IF($A872="","",COUNTIF(connections!$A$2:$A$2500,$A872)+COUNTIF(connections!$B$2:$B$2500,$A872))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IF(OR($A872="",games!$H872=""),"",games!$H872)</f>
      </c>
      <c r="Q872">
        <f>IF(OR($A872="",$P872&lt;&gt;"Yes"),"",$D872+ROW()/1000000)</f>
      </c>
      <c r="T872" t="str">
        <f>IF(connections!$A872="","",IFERROR(INDEX(games!$B$2:$B$1200,MATCH(connections!$A872,games!$A$2:$A$1200,0)),""))</f>
      </c>
      <c r="U872">
        <f>IF(connections!$A872="","",IFERROR(INDEX(games!$B$2:$B$1200,MATCH(connections!$B872,games!$A$2:$A$1200,0)),""))</f>
      </c>
      <c r="V872">
        <f>IF(OR($T872="",$U872=""),"",$U872-$T872)</f>
      </c>
    </row>
    <row r="873">
      <c r="A873" t="str">
        <f>IF(games!$A873="","",games!$A873)</f>
      </c>
      <c r="B873">
        <f>IF($A873="","",games!$B873)</f>
      </c>
      <c r="C873" t="str">
        <f>IF($A873="","",games!$C873)</f>
      </c>
      <c r="D873">
        <f>IF($A873="","",COUNTIF(connections!$A$2:$A$2500,$A873)+COUNTIF(connections!$B$2:$B$2500,$A873))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IF(OR($A873="",games!$H873=""),"",games!$H873)</f>
      </c>
      <c r="Q873">
        <f>IF(OR($A873="",$P873&lt;&gt;"Yes"),"",$D873+ROW()/1000000)</f>
      </c>
      <c r="T873" t="str">
        <f>IF(connections!$A873="","",IFERROR(INDEX(games!$B$2:$B$1200,MATCH(connections!$A873,games!$A$2:$A$1200,0)),""))</f>
      </c>
      <c r="U873">
        <f>IF(connections!$A873="","",IFERROR(INDEX(games!$B$2:$B$1200,MATCH(connections!$B873,games!$A$2:$A$1200,0)),""))</f>
      </c>
      <c r="V873">
        <f>IF(OR($T873="",$U873=""),"",$U873-$T873)</f>
      </c>
    </row>
    <row r="874">
      <c r="A874" t="str">
        <f>IF(games!$A874="","",games!$A874)</f>
      </c>
      <c r="B874">
        <f>IF($A874="","",games!$B874)</f>
      </c>
      <c r="C874" t="str">
        <f>IF($A874="","",games!$C874)</f>
      </c>
      <c r="D874">
        <f>IF($A874="","",COUNTIF(connections!$A$2:$A$2500,$A874)+COUNTIF(connections!$B$2:$B$2500,$A874))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IF(OR($A874="",games!$H874=""),"",games!$H874)</f>
      </c>
      <c r="Q874">
        <f>IF(OR($A874="",$P874&lt;&gt;"Yes"),"",$D874+ROW()/1000000)</f>
      </c>
      <c r="T874" t="str">
        <f>IF(connections!$A874="","",IFERROR(INDEX(games!$B$2:$B$1200,MATCH(connections!$A874,games!$A$2:$A$1200,0)),""))</f>
      </c>
      <c r="U874">
        <f>IF(connections!$A874="","",IFERROR(INDEX(games!$B$2:$B$1200,MATCH(connections!$B874,games!$A$2:$A$1200,0)),""))</f>
      </c>
      <c r="V874">
        <f>IF(OR($T874="",$U874=""),"",$U874-$T874)</f>
      </c>
    </row>
    <row r="875">
      <c r="A875" t="str">
        <f>IF(games!$A875="","",games!$A875)</f>
      </c>
      <c r="B875">
        <f>IF($A875="","",games!$B875)</f>
      </c>
      <c r="C875" t="str">
        <f>IF($A875="","",games!$C875)</f>
      </c>
      <c r="D875">
        <f>IF($A875="","",COUNTIF(connections!$A$2:$A$2500,$A875)+COUNTIF(connections!$B$2:$B$2500,$A875))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IF(OR($A875="",games!$H875=""),"",games!$H875)</f>
      </c>
      <c r="Q875">
        <f>IF(OR($A875="",$P875&lt;&gt;"Yes"),"",$D875+ROW()/1000000)</f>
      </c>
      <c r="T875" t="str">
        <f>IF(connections!$A875="","",IFERROR(INDEX(games!$B$2:$B$1200,MATCH(connections!$A875,games!$A$2:$A$1200,0)),""))</f>
      </c>
      <c r="U875">
        <f>IF(connections!$A875="","",IFERROR(INDEX(games!$B$2:$B$1200,MATCH(connections!$B875,games!$A$2:$A$1200,0)),""))</f>
      </c>
      <c r="V875">
        <f>IF(OR($T875="",$U875=""),"",$U875-$T875)</f>
      </c>
    </row>
    <row r="876">
      <c r="A876" t="str">
        <f>IF(games!$A876="","",games!$A876)</f>
      </c>
      <c r="B876">
        <f>IF($A876="","",games!$B876)</f>
      </c>
      <c r="C876" t="str">
        <f>IF($A876="","",games!$C876)</f>
      </c>
      <c r="D876">
        <f>IF($A876="","",COUNTIF(connections!$A$2:$A$2500,$A876)+COUNTIF(connections!$B$2:$B$2500,$A876))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IF(OR($A876="",games!$H876=""),"",games!$H876)</f>
      </c>
      <c r="Q876">
        <f>IF(OR($A876="",$P876&lt;&gt;"Yes"),"",$D876+ROW()/1000000)</f>
      </c>
      <c r="T876" t="str">
        <f>IF(connections!$A876="","",IFERROR(INDEX(games!$B$2:$B$1200,MATCH(connections!$A876,games!$A$2:$A$1200,0)),""))</f>
      </c>
      <c r="U876">
        <f>IF(connections!$A876="","",IFERROR(INDEX(games!$B$2:$B$1200,MATCH(connections!$B876,games!$A$2:$A$1200,0)),""))</f>
      </c>
      <c r="V876">
        <f>IF(OR($T876="",$U876=""),"",$U876-$T876)</f>
      </c>
    </row>
    <row r="877">
      <c r="A877" t="str">
        <f>IF(games!$A877="","",games!$A877)</f>
      </c>
      <c r="B877">
        <f>IF($A877="","",games!$B877)</f>
      </c>
      <c r="C877" t="str">
        <f>IF($A877="","",games!$C877)</f>
      </c>
      <c r="D877">
        <f>IF($A877="","",COUNTIF(connections!$A$2:$A$2500,$A877)+COUNTIF(connections!$B$2:$B$2500,$A877))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IF(OR($A877="",games!$H877=""),"",games!$H877)</f>
      </c>
      <c r="Q877">
        <f>IF(OR($A877="",$P877&lt;&gt;"Yes"),"",$D877+ROW()/1000000)</f>
      </c>
      <c r="T877" t="str">
        <f>IF(connections!$A877="","",IFERROR(INDEX(games!$B$2:$B$1200,MATCH(connections!$A877,games!$A$2:$A$1200,0)),""))</f>
      </c>
      <c r="U877">
        <f>IF(connections!$A877="","",IFERROR(INDEX(games!$B$2:$B$1200,MATCH(connections!$B877,games!$A$2:$A$1200,0)),""))</f>
      </c>
      <c r="V877">
        <f>IF(OR($T877="",$U877=""),"",$U877-$T877)</f>
      </c>
    </row>
    <row r="878">
      <c r="A878" t="str">
        <f>IF(games!$A878="","",games!$A878)</f>
      </c>
      <c r="B878">
        <f>IF($A878="","",games!$B878)</f>
      </c>
      <c r="C878" t="str">
        <f>IF($A878="","",games!$C878)</f>
      </c>
      <c r="D878">
        <f>IF($A878="","",COUNTIF(connections!$A$2:$A$2500,$A878)+COUNTIF(connections!$B$2:$B$2500,$A878))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IF(OR($A878="",games!$H878=""),"",games!$H878)</f>
      </c>
      <c r="Q878">
        <f>IF(OR($A878="",$P878&lt;&gt;"Yes"),"",$D878+ROW()/1000000)</f>
      </c>
      <c r="T878" t="str">
        <f>IF(connections!$A878="","",IFERROR(INDEX(games!$B$2:$B$1200,MATCH(connections!$A878,games!$A$2:$A$1200,0)),""))</f>
      </c>
      <c r="U878">
        <f>IF(connections!$A878="","",IFERROR(INDEX(games!$B$2:$B$1200,MATCH(connections!$B878,games!$A$2:$A$1200,0)),""))</f>
      </c>
      <c r="V878">
        <f>IF(OR($T878="",$U878=""),"",$U878-$T878)</f>
      </c>
    </row>
    <row r="879">
      <c r="A879" t="str">
        <f>IF(games!$A879="","",games!$A879)</f>
      </c>
      <c r="B879">
        <f>IF($A879="","",games!$B879)</f>
      </c>
      <c r="C879" t="str">
        <f>IF($A879="","",games!$C879)</f>
      </c>
      <c r="D879">
        <f>IF($A879="","",COUNTIF(connections!$A$2:$A$2500,$A879)+COUNTIF(connections!$B$2:$B$2500,$A879))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IF(OR($A879="",games!$H879=""),"",games!$H879)</f>
      </c>
      <c r="Q879">
        <f>IF(OR($A879="",$P879&lt;&gt;"Yes"),"",$D879+ROW()/1000000)</f>
      </c>
      <c r="T879" t="str">
        <f>IF(connections!$A879="","",IFERROR(INDEX(games!$B$2:$B$1200,MATCH(connections!$A879,games!$A$2:$A$1200,0)),""))</f>
      </c>
      <c r="U879">
        <f>IF(connections!$A879="","",IFERROR(INDEX(games!$B$2:$B$1200,MATCH(connections!$B879,games!$A$2:$A$1200,0)),""))</f>
      </c>
      <c r="V879">
        <f>IF(OR($T879="",$U879=""),"",$U879-$T879)</f>
      </c>
    </row>
    <row r="880">
      <c r="A880" t="str">
        <f>IF(games!$A880="","",games!$A880)</f>
      </c>
      <c r="B880">
        <f>IF($A880="","",games!$B880)</f>
      </c>
      <c r="C880" t="str">
        <f>IF($A880="","",games!$C880)</f>
      </c>
      <c r="D880">
        <f>IF($A880="","",COUNTIF(connections!$A$2:$A$2500,$A880)+COUNTIF(connections!$B$2:$B$2500,$A880))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IF(OR($A880="",games!$H880=""),"",games!$H880)</f>
      </c>
      <c r="Q880">
        <f>IF(OR($A880="",$P880&lt;&gt;"Yes"),"",$D880+ROW()/1000000)</f>
      </c>
      <c r="T880" t="str">
        <f>IF(connections!$A880="","",IFERROR(INDEX(games!$B$2:$B$1200,MATCH(connections!$A880,games!$A$2:$A$1200,0)),""))</f>
      </c>
      <c r="U880">
        <f>IF(connections!$A880="","",IFERROR(INDEX(games!$B$2:$B$1200,MATCH(connections!$B880,games!$A$2:$A$1200,0)),""))</f>
      </c>
      <c r="V880">
        <f>IF(OR($T880="",$U880=""),"",$U880-$T880)</f>
      </c>
    </row>
    <row r="881">
      <c r="A881" t="str">
        <f>IF(games!$A881="","",games!$A881)</f>
      </c>
      <c r="B881">
        <f>IF($A881="","",games!$B881)</f>
      </c>
      <c r="C881" t="str">
        <f>IF($A881="","",games!$C881)</f>
      </c>
      <c r="D881">
        <f>IF($A881="","",COUNTIF(connections!$A$2:$A$2500,$A881)+COUNTIF(connections!$B$2:$B$2500,$A881))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IF(OR($A881="",games!$H881=""),"",games!$H881)</f>
      </c>
      <c r="Q881">
        <f>IF(OR($A881="",$P881&lt;&gt;"Yes"),"",$D881+ROW()/1000000)</f>
      </c>
      <c r="T881" t="str">
        <f>IF(connections!$A881="","",IFERROR(INDEX(games!$B$2:$B$1200,MATCH(connections!$A881,games!$A$2:$A$1200,0)),""))</f>
      </c>
      <c r="U881">
        <f>IF(connections!$A881="","",IFERROR(INDEX(games!$B$2:$B$1200,MATCH(connections!$B881,games!$A$2:$A$1200,0)),""))</f>
      </c>
      <c r="V881">
        <f>IF(OR($T881="",$U881=""),"",$U881-$T881)</f>
      </c>
    </row>
    <row r="882">
      <c r="A882" t="str">
        <f>IF(games!$A882="","",games!$A882)</f>
      </c>
      <c r="B882">
        <f>IF($A882="","",games!$B882)</f>
      </c>
      <c r="C882" t="str">
        <f>IF($A882="","",games!$C882)</f>
      </c>
      <c r="D882">
        <f>IF($A882="","",COUNTIF(connections!$A$2:$A$2500,$A882)+COUNTIF(connections!$B$2:$B$2500,$A882))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IF(OR($A882="",games!$H882=""),"",games!$H882)</f>
      </c>
      <c r="Q882">
        <f>IF(OR($A882="",$P882&lt;&gt;"Yes"),"",$D882+ROW()/1000000)</f>
      </c>
      <c r="T882" t="str">
        <f>IF(connections!$A882="","",IFERROR(INDEX(games!$B$2:$B$1200,MATCH(connections!$A882,games!$A$2:$A$1200,0)),""))</f>
      </c>
      <c r="U882">
        <f>IF(connections!$A882="","",IFERROR(INDEX(games!$B$2:$B$1200,MATCH(connections!$B882,games!$A$2:$A$1200,0)),""))</f>
      </c>
      <c r="V882">
        <f>IF(OR($T882="",$U882=""),"",$U882-$T882)</f>
      </c>
    </row>
    <row r="883">
      <c r="A883" t="str">
        <f>IF(games!$A883="","",games!$A883)</f>
      </c>
      <c r="B883">
        <f>IF($A883="","",games!$B883)</f>
      </c>
      <c r="C883" t="str">
        <f>IF($A883="","",games!$C883)</f>
      </c>
      <c r="D883">
        <f>IF($A883="","",COUNTIF(connections!$A$2:$A$2500,$A883)+COUNTIF(connections!$B$2:$B$2500,$A883))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IF(OR($A883="",games!$H883=""),"",games!$H883)</f>
      </c>
      <c r="Q883">
        <f>IF(OR($A883="",$P883&lt;&gt;"Yes"),"",$D883+ROW()/1000000)</f>
      </c>
      <c r="T883" t="str">
        <f>IF(connections!$A883="","",IFERROR(INDEX(games!$B$2:$B$1200,MATCH(connections!$A883,games!$A$2:$A$1200,0)),""))</f>
      </c>
      <c r="U883">
        <f>IF(connections!$A883="","",IFERROR(INDEX(games!$B$2:$B$1200,MATCH(connections!$B883,games!$A$2:$A$1200,0)),""))</f>
      </c>
      <c r="V883">
        <f>IF(OR($T883="",$U883=""),"",$U883-$T883)</f>
      </c>
    </row>
    <row r="884">
      <c r="A884" t="str">
        <f>IF(games!$A884="","",games!$A884)</f>
      </c>
      <c r="B884">
        <f>IF($A884="","",games!$B884)</f>
      </c>
      <c r="C884" t="str">
        <f>IF($A884="","",games!$C884)</f>
      </c>
      <c r="D884">
        <f>IF($A884="","",COUNTIF(connections!$A$2:$A$2500,$A884)+COUNTIF(connections!$B$2:$B$2500,$A884))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IF(OR($A884="",games!$H884=""),"",games!$H884)</f>
      </c>
      <c r="Q884">
        <f>IF(OR($A884="",$P884&lt;&gt;"Yes"),"",$D884+ROW()/1000000)</f>
      </c>
      <c r="T884" t="str">
        <f>IF(connections!$A884="","",IFERROR(INDEX(games!$B$2:$B$1200,MATCH(connections!$A884,games!$A$2:$A$1200,0)),""))</f>
      </c>
      <c r="U884">
        <f>IF(connections!$A884="","",IFERROR(INDEX(games!$B$2:$B$1200,MATCH(connections!$B884,games!$A$2:$A$1200,0)),""))</f>
      </c>
      <c r="V884">
        <f>IF(OR($T884="",$U884=""),"",$U884-$T884)</f>
      </c>
    </row>
    <row r="885">
      <c r="A885" t="str">
        <f>IF(games!$A885="","",games!$A885)</f>
      </c>
      <c r="B885">
        <f>IF($A885="","",games!$B885)</f>
      </c>
      <c r="C885" t="str">
        <f>IF($A885="","",games!$C885)</f>
      </c>
      <c r="D885">
        <f>IF($A885="","",COUNTIF(connections!$A$2:$A$2500,$A885)+COUNTIF(connections!$B$2:$B$2500,$A885))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IF(OR($A885="",games!$H885=""),"",games!$H885)</f>
      </c>
      <c r="Q885">
        <f>IF(OR($A885="",$P885&lt;&gt;"Yes"),"",$D885+ROW()/1000000)</f>
      </c>
      <c r="T885" t="str">
        <f>IF(connections!$A885="","",IFERROR(INDEX(games!$B$2:$B$1200,MATCH(connections!$A885,games!$A$2:$A$1200,0)),""))</f>
      </c>
      <c r="U885">
        <f>IF(connections!$A885="","",IFERROR(INDEX(games!$B$2:$B$1200,MATCH(connections!$B885,games!$A$2:$A$1200,0)),""))</f>
      </c>
      <c r="V885">
        <f>IF(OR($T885="",$U885=""),"",$U885-$T885)</f>
      </c>
    </row>
    <row r="886">
      <c r="A886" t="str">
        <f>IF(games!$A886="","",games!$A886)</f>
      </c>
      <c r="B886">
        <f>IF($A886="","",games!$B886)</f>
      </c>
      <c r="C886" t="str">
        <f>IF($A886="","",games!$C886)</f>
      </c>
      <c r="D886">
        <f>IF($A886="","",COUNTIF(connections!$A$2:$A$2500,$A886)+COUNTIF(connections!$B$2:$B$2500,$A886))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IF(OR($A886="",games!$H886=""),"",games!$H886)</f>
      </c>
      <c r="Q886">
        <f>IF(OR($A886="",$P886&lt;&gt;"Yes"),"",$D886+ROW()/1000000)</f>
      </c>
      <c r="T886" t="str">
        <f>IF(connections!$A886="","",IFERROR(INDEX(games!$B$2:$B$1200,MATCH(connections!$A886,games!$A$2:$A$1200,0)),""))</f>
      </c>
      <c r="U886">
        <f>IF(connections!$A886="","",IFERROR(INDEX(games!$B$2:$B$1200,MATCH(connections!$B886,games!$A$2:$A$1200,0)),""))</f>
      </c>
      <c r="V886">
        <f>IF(OR($T886="",$U886=""),"",$U886-$T886)</f>
      </c>
    </row>
    <row r="887">
      <c r="A887" t="str">
        <f>IF(games!$A887="","",games!$A887)</f>
      </c>
      <c r="B887">
        <f>IF($A887="","",games!$B887)</f>
      </c>
      <c r="C887" t="str">
        <f>IF($A887="","",games!$C887)</f>
      </c>
      <c r="D887">
        <f>IF($A887="","",COUNTIF(connections!$A$2:$A$2500,$A887)+COUNTIF(connections!$B$2:$B$2500,$A887))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IF(OR($A887="",games!$H887=""),"",games!$H887)</f>
      </c>
      <c r="Q887">
        <f>IF(OR($A887="",$P887&lt;&gt;"Yes"),"",$D887+ROW()/1000000)</f>
      </c>
      <c r="T887" t="str">
        <f>IF(connections!$A887="","",IFERROR(INDEX(games!$B$2:$B$1200,MATCH(connections!$A887,games!$A$2:$A$1200,0)),""))</f>
      </c>
      <c r="U887">
        <f>IF(connections!$A887="","",IFERROR(INDEX(games!$B$2:$B$1200,MATCH(connections!$B887,games!$A$2:$A$1200,0)),""))</f>
      </c>
      <c r="V887">
        <f>IF(OR($T887="",$U887=""),"",$U887-$T887)</f>
      </c>
    </row>
    <row r="888">
      <c r="A888" t="str">
        <f>IF(games!$A888="","",games!$A888)</f>
      </c>
      <c r="B888">
        <f>IF($A888="","",games!$B888)</f>
      </c>
      <c r="C888" t="str">
        <f>IF($A888="","",games!$C888)</f>
      </c>
      <c r="D888">
        <f>IF($A888="","",COUNTIF(connections!$A$2:$A$2500,$A888)+COUNTIF(connections!$B$2:$B$2500,$A888))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IF(OR($A888="",games!$H888=""),"",games!$H888)</f>
      </c>
      <c r="Q888">
        <f>IF(OR($A888="",$P888&lt;&gt;"Yes"),"",$D888+ROW()/1000000)</f>
      </c>
      <c r="T888" t="str">
        <f>IF(connections!$A888="","",IFERROR(INDEX(games!$B$2:$B$1200,MATCH(connections!$A888,games!$A$2:$A$1200,0)),""))</f>
      </c>
      <c r="U888">
        <f>IF(connections!$A888="","",IFERROR(INDEX(games!$B$2:$B$1200,MATCH(connections!$B888,games!$A$2:$A$1200,0)),""))</f>
      </c>
      <c r="V888">
        <f>IF(OR($T888="",$U888=""),"",$U888-$T888)</f>
      </c>
    </row>
    <row r="889">
      <c r="A889" t="str">
        <f>IF(games!$A889="","",games!$A889)</f>
      </c>
      <c r="B889">
        <f>IF($A889="","",games!$B889)</f>
      </c>
      <c r="C889" t="str">
        <f>IF($A889="","",games!$C889)</f>
      </c>
      <c r="D889">
        <f>IF($A889="","",COUNTIF(connections!$A$2:$A$2500,$A889)+COUNTIF(connections!$B$2:$B$2500,$A889))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IF(OR($A889="",games!$H889=""),"",games!$H889)</f>
      </c>
      <c r="Q889">
        <f>IF(OR($A889="",$P889&lt;&gt;"Yes"),"",$D889+ROW()/1000000)</f>
      </c>
      <c r="T889" t="str">
        <f>IF(connections!$A889="","",IFERROR(INDEX(games!$B$2:$B$1200,MATCH(connections!$A889,games!$A$2:$A$1200,0)),""))</f>
      </c>
      <c r="U889">
        <f>IF(connections!$A889="","",IFERROR(INDEX(games!$B$2:$B$1200,MATCH(connections!$B889,games!$A$2:$A$1200,0)),""))</f>
      </c>
      <c r="V889">
        <f>IF(OR($T889="",$U889=""),"",$U889-$T889)</f>
      </c>
    </row>
    <row r="890">
      <c r="A890" t="str">
        <f>IF(games!$A890="","",games!$A890)</f>
      </c>
      <c r="B890">
        <f>IF($A890="","",games!$B890)</f>
      </c>
      <c r="C890" t="str">
        <f>IF($A890="","",games!$C890)</f>
      </c>
      <c r="D890">
        <f>IF($A890="","",COUNTIF(connections!$A$2:$A$2500,$A890)+COUNTIF(connections!$B$2:$B$2500,$A890))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IF(OR($A890="",games!$H890=""),"",games!$H890)</f>
      </c>
      <c r="Q890">
        <f>IF(OR($A890="",$P890&lt;&gt;"Yes"),"",$D890+ROW()/1000000)</f>
      </c>
      <c r="T890" t="str">
        <f>IF(connections!$A890="","",IFERROR(INDEX(games!$B$2:$B$1200,MATCH(connections!$A890,games!$A$2:$A$1200,0)),""))</f>
      </c>
      <c r="U890">
        <f>IF(connections!$A890="","",IFERROR(INDEX(games!$B$2:$B$1200,MATCH(connections!$B890,games!$A$2:$A$1200,0)),""))</f>
      </c>
      <c r="V890">
        <f>IF(OR($T890="",$U890=""),"",$U890-$T890)</f>
      </c>
    </row>
    <row r="891">
      <c r="A891" t="str">
        <f>IF(games!$A891="","",games!$A891)</f>
      </c>
      <c r="B891">
        <f>IF($A891="","",games!$B891)</f>
      </c>
      <c r="C891" t="str">
        <f>IF($A891="","",games!$C891)</f>
      </c>
      <c r="D891">
        <f>IF($A891="","",COUNTIF(connections!$A$2:$A$2500,$A891)+COUNTIF(connections!$B$2:$B$2500,$A891))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IF(OR($A891="",games!$H891=""),"",games!$H891)</f>
      </c>
      <c r="Q891">
        <f>IF(OR($A891="",$P891&lt;&gt;"Yes"),"",$D891+ROW()/1000000)</f>
      </c>
      <c r="T891" t="str">
        <f>IF(connections!$A891="","",IFERROR(INDEX(games!$B$2:$B$1200,MATCH(connections!$A891,games!$A$2:$A$1200,0)),""))</f>
      </c>
      <c r="U891">
        <f>IF(connections!$A891="","",IFERROR(INDEX(games!$B$2:$B$1200,MATCH(connections!$B891,games!$A$2:$A$1200,0)),""))</f>
      </c>
      <c r="V891">
        <f>IF(OR($T891="",$U891=""),"",$U891-$T891)</f>
      </c>
    </row>
    <row r="892">
      <c r="A892" t="str">
        <f>IF(games!$A892="","",games!$A892)</f>
      </c>
      <c r="B892">
        <f>IF($A892="","",games!$B892)</f>
      </c>
      <c r="C892" t="str">
        <f>IF($A892="","",games!$C892)</f>
      </c>
      <c r="D892">
        <f>IF($A892="","",COUNTIF(connections!$A$2:$A$2500,$A892)+COUNTIF(connections!$B$2:$B$2500,$A892))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IF(OR($A892="",games!$H892=""),"",games!$H892)</f>
      </c>
      <c r="Q892">
        <f>IF(OR($A892="",$P892&lt;&gt;"Yes"),"",$D892+ROW()/1000000)</f>
      </c>
      <c r="T892" t="str">
        <f>IF(connections!$A892="","",IFERROR(INDEX(games!$B$2:$B$1200,MATCH(connections!$A892,games!$A$2:$A$1200,0)),""))</f>
      </c>
      <c r="U892">
        <f>IF(connections!$A892="","",IFERROR(INDEX(games!$B$2:$B$1200,MATCH(connections!$B892,games!$A$2:$A$1200,0)),""))</f>
      </c>
      <c r="V892">
        <f>IF(OR($T892="",$U892=""),"",$U892-$T892)</f>
      </c>
    </row>
    <row r="893">
      <c r="A893" t="str">
        <f>IF(games!$A893="","",games!$A893)</f>
      </c>
      <c r="B893">
        <f>IF($A893="","",games!$B893)</f>
      </c>
      <c r="C893" t="str">
        <f>IF($A893="","",games!$C893)</f>
      </c>
      <c r="D893">
        <f>IF($A893="","",COUNTIF(connections!$A$2:$A$2500,$A893)+COUNTIF(connections!$B$2:$B$2500,$A893))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IF(OR($A893="",games!$H893=""),"",games!$H893)</f>
      </c>
      <c r="Q893">
        <f>IF(OR($A893="",$P893&lt;&gt;"Yes"),"",$D893+ROW()/1000000)</f>
      </c>
      <c r="T893" t="str">
        <f>IF(connections!$A893="","",IFERROR(INDEX(games!$B$2:$B$1200,MATCH(connections!$A893,games!$A$2:$A$1200,0)),""))</f>
      </c>
      <c r="U893">
        <f>IF(connections!$A893="","",IFERROR(INDEX(games!$B$2:$B$1200,MATCH(connections!$B893,games!$A$2:$A$1200,0)),""))</f>
      </c>
      <c r="V893">
        <f>IF(OR($T893="",$U893=""),"",$U893-$T893)</f>
      </c>
    </row>
    <row r="894">
      <c r="A894" t="str">
        <f>IF(games!$A894="","",games!$A894)</f>
      </c>
      <c r="B894">
        <f>IF($A894="","",games!$B894)</f>
      </c>
      <c r="C894" t="str">
        <f>IF($A894="","",games!$C894)</f>
      </c>
      <c r="D894">
        <f>IF($A894="","",COUNTIF(connections!$A$2:$A$2500,$A894)+COUNTIF(connections!$B$2:$B$2500,$A894))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IF(OR($A894="",games!$H894=""),"",games!$H894)</f>
      </c>
      <c r="Q894">
        <f>IF(OR($A894="",$P894&lt;&gt;"Yes"),"",$D894+ROW()/1000000)</f>
      </c>
      <c r="T894" t="str">
        <f>IF(connections!$A894="","",IFERROR(INDEX(games!$B$2:$B$1200,MATCH(connections!$A894,games!$A$2:$A$1200,0)),""))</f>
      </c>
      <c r="U894">
        <f>IF(connections!$A894="","",IFERROR(INDEX(games!$B$2:$B$1200,MATCH(connections!$B894,games!$A$2:$A$1200,0)),""))</f>
      </c>
      <c r="V894">
        <f>IF(OR($T894="",$U894=""),"",$U894-$T894)</f>
      </c>
    </row>
    <row r="895">
      <c r="A895" t="str">
        <f>IF(games!$A895="","",games!$A895)</f>
      </c>
      <c r="B895">
        <f>IF($A895="","",games!$B895)</f>
      </c>
      <c r="C895" t="str">
        <f>IF($A895="","",games!$C895)</f>
      </c>
      <c r="D895">
        <f>IF($A895="","",COUNTIF(connections!$A$2:$A$2500,$A895)+COUNTIF(connections!$B$2:$B$2500,$A895))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IF(OR($A895="",games!$H895=""),"",games!$H895)</f>
      </c>
      <c r="Q895">
        <f>IF(OR($A895="",$P895&lt;&gt;"Yes"),"",$D895+ROW()/1000000)</f>
      </c>
      <c r="T895" t="str">
        <f>IF(connections!$A895="","",IFERROR(INDEX(games!$B$2:$B$1200,MATCH(connections!$A895,games!$A$2:$A$1200,0)),""))</f>
      </c>
      <c r="U895">
        <f>IF(connections!$A895="","",IFERROR(INDEX(games!$B$2:$B$1200,MATCH(connections!$B895,games!$A$2:$A$1200,0)),""))</f>
      </c>
      <c r="V895">
        <f>IF(OR($T895="",$U895=""),"",$U895-$T895)</f>
      </c>
    </row>
    <row r="896">
      <c r="A896" t="str">
        <f>IF(games!$A896="","",games!$A896)</f>
      </c>
      <c r="B896">
        <f>IF($A896="","",games!$B896)</f>
      </c>
      <c r="C896" t="str">
        <f>IF($A896="","",games!$C896)</f>
      </c>
      <c r="D896">
        <f>IF($A896="","",COUNTIF(connections!$A$2:$A$2500,$A896)+COUNTIF(connections!$B$2:$B$2500,$A896))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IF(OR($A896="",games!$H896=""),"",games!$H896)</f>
      </c>
      <c r="Q896">
        <f>IF(OR($A896="",$P896&lt;&gt;"Yes"),"",$D896+ROW()/1000000)</f>
      </c>
      <c r="T896" t="str">
        <f>IF(connections!$A896="","",IFERROR(INDEX(games!$B$2:$B$1200,MATCH(connections!$A896,games!$A$2:$A$1200,0)),""))</f>
      </c>
      <c r="U896">
        <f>IF(connections!$A896="","",IFERROR(INDEX(games!$B$2:$B$1200,MATCH(connections!$B896,games!$A$2:$A$1200,0)),""))</f>
      </c>
      <c r="V896">
        <f>IF(OR($T896="",$U896=""),"",$U896-$T896)</f>
      </c>
    </row>
    <row r="897">
      <c r="A897" t="str">
        <f>IF(games!$A897="","",games!$A897)</f>
      </c>
      <c r="B897">
        <f>IF($A897="","",games!$B897)</f>
      </c>
      <c r="C897" t="str">
        <f>IF($A897="","",games!$C897)</f>
      </c>
      <c r="D897">
        <f>IF($A897="","",COUNTIF(connections!$A$2:$A$2500,$A897)+COUNTIF(connections!$B$2:$B$2500,$A897))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IF(OR($A897="",games!$H897=""),"",games!$H897)</f>
      </c>
      <c r="Q897">
        <f>IF(OR($A897="",$P897&lt;&gt;"Yes"),"",$D897+ROW()/1000000)</f>
      </c>
      <c r="T897" t="str">
        <f>IF(connections!$A897="","",IFERROR(INDEX(games!$B$2:$B$1200,MATCH(connections!$A897,games!$A$2:$A$1200,0)),""))</f>
      </c>
      <c r="U897">
        <f>IF(connections!$A897="","",IFERROR(INDEX(games!$B$2:$B$1200,MATCH(connections!$B897,games!$A$2:$A$1200,0)),""))</f>
      </c>
      <c r="V897">
        <f>IF(OR($T897="",$U897=""),"",$U897-$T897)</f>
      </c>
    </row>
    <row r="898">
      <c r="A898" t="str">
        <f>IF(games!$A898="","",games!$A898)</f>
      </c>
      <c r="B898">
        <f>IF($A898="","",games!$B898)</f>
      </c>
      <c r="C898" t="str">
        <f>IF($A898="","",games!$C898)</f>
      </c>
      <c r="D898">
        <f>IF($A898="","",COUNTIF(connections!$A$2:$A$2500,$A898)+COUNTIF(connections!$B$2:$B$2500,$A898))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IF(OR($A898="",games!$H898=""),"",games!$H898)</f>
      </c>
      <c r="Q898">
        <f>IF(OR($A898="",$P898&lt;&gt;"Yes"),"",$D898+ROW()/1000000)</f>
      </c>
      <c r="T898" t="str">
        <f>IF(connections!$A898="","",IFERROR(INDEX(games!$B$2:$B$1200,MATCH(connections!$A898,games!$A$2:$A$1200,0)),""))</f>
      </c>
      <c r="U898">
        <f>IF(connections!$A898="","",IFERROR(INDEX(games!$B$2:$B$1200,MATCH(connections!$B898,games!$A$2:$A$1200,0)),""))</f>
      </c>
      <c r="V898">
        <f>IF(OR($T898="",$U898=""),"",$U898-$T898)</f>
      </c>
    </row>
    <row r="899">
      <c r="A899" t="str">
        <f>IF(games!$A899="","",games!$A899)</f>
      </c>
      <c r="B899">
        <f>IF($A899="","",games!$B899)</f>
      </c>
      <c r="C899" t="str">
        <f>IF($A899="","",games!$C899)</f>
      </c>
      <c r="D899">
        <f>IF($A899="","",COUNTIF(connections!$A$2:$A$2500,$A899)+COUNTIF(connections!$B$2:$B$2500,$A899))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IF(OR($A899="",games!$H899=""),"",games!$H899)</f>
      </c>
      <c r="Q899">
        <f>IF(OR($A899="",$P899&lt;&gt;"Yes"),"",$D899+ROW()/1000000)</f>
      </c>
      <c r="T899" t="str">
        <f>IF(connections!$A899="","",IFERROR(INDEX(games!$B$2:$B$1200,MATCH(connections!$A899,games!$A$2:$A$1200,0)),""))</f>
      </c>
      <c r="U899">
        <f>IF(connections!$A899="","",IFERROR(INDEX(games!$B$2:$B$1200,MATCH(connections!$B899,games!$A$2:$A$1200,0)),""))</f>
      </c>
      <c r="V899">
        <f>IF(OR($T899="",$U899=""),"",$U899-$T899)</f>
      </c>
    </row>
    <row r="900">
      <c r="A900" t="str">
        <f>IF(games!$A900="","",games!$A900)</f>
      </c>
      <c r="B900">
        <f>IF($A900="","",games!$B900)</f>
      </c>
      <c r="C900" t="str">
        <f>IF($A900="","",games!$C900)</f>
      </c>
      <c r="D900">
        <f>IF($A900="","",COUNTIF(connections!$A$2:$A$2500,$A900)+COUNTIF(connections!$B$2:$B$2500,$A900))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IF(OR($A900="",games!$H900=""),"",games!$H900)</f>
      </c>
      <c r="Q900">
        <f>IF(OR($A900="",$P900&lt;&gt;"Yes"),"",$D900+ROW()/1000000)</f>
      </c>
      <c r="T900" t="str">
        <f>IF(connections!$A900="","",IFERROR(INDEX(games!$B$2:$B$1200,MATCH(connections!$A900,games!$A$2:$A$1200,0)),""))</f>
      </c>
      <c r="U900">
        <f>IF(connections!$A900="","",IFERROR(INDEX(games!$B$2:$B$1200,MATCH(connections!$B900,games!$A$2:$A$1200,0)),""))</f>
      </c>
      <c r="V900">
        <f>IF(OR($T900="",$U900=""),"",$U900-$T900)</f>
      </c>
    </row>
    <row r="901">
      <c r="A901" t="str">
        <f>IF(games!$A901="","",games!$A901)</f>
      </c>
      <c r="B901">
        <f>IF($A901="","",games!$B901)</f>
      </c>
      <c r="C901" t="str">
        <f>IF($A901="","",games!$C901)</f>
      </c>
      <c r="D901">
        <f>IF($A901="","",COUNTIF(connections!$A$2:$A$2500,$A901)+COUNTIF(connections!$B$2:$B$2500,$A901))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IF(OR($A901="",games!$H901=""),"",games!$H901)</f>
      </c>
      <c r="Q901">
        <f>IF(OR($A901="",$P901&lt;&gt;"Yes"),"",$D901+ROW()/1000000)</f>
      </c>
      <c r="T901" t="str">
        <f>IF(connections!$A901="","",IFERROR(INDEX(games!$B$2:$B$1200,MATCH(connections!$A901,games!$A$2:$A$1200,0)),""))</f>
      </c>
      <c r="U901">
        <f>IF(connections!$A901="","",IFERROR(INDEX(games!$B$2:$B$1200,MATCH(connections!$B901,games!$A$2:$A$1200,0)),""))</f>
      </c>
      <c r="V901">
        <f>IF(OR($T901="",$U901=""),"",$U901-$T901)</f>
      </c>
    </row>
    <row r="902">
      <c r="A902" t="str">
        <f>IF(games!$A902="","",games!$A902)</f>
      </c>
      <c r="B902">
        <f>IF($A902="","",games!$B902)</f>
      </c>
      <c r="C902" t="str">
        <f>IF($A902="","",games!$C902)</f>
      </c>
      <c r="D902">
        <f>IF($A902="","",COUNTIF(connections!$A$2:$A$2500,$A902)+COUNTIF(connections!$B$2:$B$2500,$A902))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IF(OR($A902="",games!$H902=""),"",games!$H902)</f>
      </c>
      <c r="Q902">
        <f>IF(OR($A902="",$P902&lt;&gt;"Yes"),"",$D902+ROW()/1000000)</f>
      </c>
      <c r="T902" t="str">
        <f>IF(connections!$A902="","",IFERROR(INDEX(games!$B$2:$B$1200,MATCH(connections!$A902,games!$A$2:$A$1200,0)),""))</f>
      </c>
      <c r="U902">
        <f>IF(connections!$A902="","",IFERROR(INDEX(games!$B$2:$B$1200,MATCH(connections!$B902,games!$A$2:$A$1200,0)),""))</f>
      </c>
      <c r="V902">
        <f>IF(OR($T902="",$U902=""),"",$U902-$T902)</f>
      </c>
    </row>
    <row r="903">
      <c r="A903" t="str">
        <f>IF(games!$A903="","",games!$A903)</f>
      </c>
      <c r="B903">
        <f>IF($A903="","",games!$B903)</f>
      </c>
      <c r="C903" t="str">
        <f>IF($A903="","",games!$C903)</f>
      </c>
      <c r="D903">
        <f>IF($A903="","",COUNTIF(connections!$A$2:$A$2500,$A903)+COUNTIF(connections!$B$2:$B$2500,$A903))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IF(OR($A903="",games!$H903=""),"",games!$H903)</f>
      </c>
      <c r="Q903">
        <f>IF(OR($A903="",$P903&lt;&gt;"Yes"),"",$D903+ROW()/1000000)</f>
      </c>
      <c r="T903" t="str">
        <f>IF(connections!$A903="","",IFERROR(INDEX(games!$B$2:$B$1200,MATCH(connections!$A903,games!$A$2:$A$1200,0)),""))</f>
      </c>
      <c r="U903">
        <f>IF(connections!$A903="","",IFERROR(INDEX(games!$B$2:$B$1200,MATCH(connections!$B903,games!$A$2:$A$1200,0)),""))</f>
      </c>
      <c r="V903">
        <f>IF(OR($T903="",$U903=""),"",$U903-$T903)</f>
      </c>
    </row>
    <row r="904">
      <c r="A904" t="str">
        <f>IF(games!$A904="","",games!$A904)</f>
      </c>
      <c r="B904">
        <f>IF($A904="","",games!$B904)</f>
      </c>
      <c r="C904" t="str">
        <f>IF($A904="","",games!$C904)</f>
      </c>
      <c r="D904">
        <f>IF($A904="","",COUNTIF(connections!$A$2:$A$2500,$A904)+COUNTIF(connections!$B$2:$B$2500,$A904))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IF(OR($A904="",games!$H904=""),"",games!$H904)</f>
      </c>
      <c r="Q904">
        <f>IF(OR($A904="",$P904&lt;&gt;"Yes"),"",$D904+ROW()/1000000)</f>
      </c>
      <c r="T904" t="str">
        <f>IF(connections!$A904="","",IFERROR(INDEX(games!$B$2:$B$1200,MATCH(connections!$A904,games!$A$2:$A$1200,0)),""))</f>
      </c>
      <c r="U904">
        <f>IF(connections!$A904="","",IFERROR(INDEX(games!$B$2:$B$1200,MATCH(connections!$B904,games!$A$2:$A$1200,0)),""))</f>
      </c>
      <c r="V904">
        <f>IF(OR($T904="",$U904=""),"",$U904-$T904)</f>
      </c>
    </row>
    <row r="905">
      <c r="A905" t="str">
        <f>IF(games!$A905="","",games!$A905)</f>
      </c>
      <c r="B905">
        <f>IF($A905="","",games!$B905)</f>
      </c>
      <c r="C905" t="str">
        <f>IF($A905="","",games!$C905)</f>
      </c>
      <c r="D905">
        <f>IF($A905="","",COUNTIF(connections!$A$2:$A$2500,$A905)+COUNTIF(connections!$B$2:$B$2500,$A905))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IF(OR($A905="",games!$H905=""),"",games!$H905)</f>
      </c>
      <c r="Q905">
        <f>IF(OR($A905="",$P905&lt;&gt;"Yes"),"",$D905+ROW()/1000000)</f>
      </c>
      <c r="T905" t="str">
        <f>IF(connections!$A905="","",IFERROR(INDEX(games!$B$2:$B$1200,MATCH(connections!$A905,games!$A$2:$A$1200,0)),""))</f>
      </c>
      <c r="U905">
        <f>IF(connections!$A905="","",IFERROR(INDEX(games!$B$2:$B$1200,MATCH(connections!$B905,games!$A$2:$A$1200,0)),""))</f>
      </c>
      <c r="V905">
        <f>IF(OR($T905="",$U905=""),"",$U905-$T905)</f>
      </c>
    </row>
    <row r="906">
      <c r="A906" t="str">
        <f>IF(games!$A906="","",games!$A906)</f>
      </c>
      <c r="B906">
        <f>IF($A906="","",games!$B906)</f>
      </c>
      <c r="C906" t="str">
        <f>IF($A906="","",games!$C906)</f>
      </c>
      <c r="D906">
        <f>IF($A906="","",COUNTIF(connections!$A$2:$A$2500,$A906)+COUNTIF(connections!$B$2:$B$2500,$A906))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IF(OR($A906="",games!$H906=""),"",games!$H906)</f>
      </c>
      <c r="Q906">
        <f>IF(OR($A906="",$P906&lt;&gt;"Yes"),"",$D906+ROW()/1000000)</f>
      </c>
      <c r="T906" t="str">
        <f>IF(connections!$A906="","",IFERROR(INDEX(games!$B$2:$B$1200,MATCH(connections!$A906,games!$A$2:$A$1200,0)),""))</f>
      </c>
      <c r="U906">
        <f>IF(connections!$A906="","",IFERROR(INDEX(games!$B$2:$B$1200,MATCH(connections!$B906,games!$A$2:$A$1200,0)),""))</f>
      </c>
      <c r="V906">
        <f>IF(OR($T906="",$U906=""),"",$U906-$T906)</f>
      </c>
    </row>
    <row r="907">
      <c r="A907" t="str">
        <f>IF(games!$A907="","",games!$A907)</f>
      </c>
      <c r="B907">
        <f>IF($A907="","",games!$B907)</f>
      </c>
      <c r="C907" t="str">
        <f>IF($A907="","",games!$C907)</f>
      </c>
      <c r="D907">
        <f>IF($A907="","",COUNTIF(connections!$A$2:$A$2500,$A907)+COUNTIF(connections!$B$2:$B$2500,$A907))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IF(OR($A907="",games!$H907=""),"",games!$H907)</f>
      </c>
      <c r="Q907">
        <f>IF(OR($A907="",$P907&lt;&gt;"Yes"),"",$D907+ROW()/1000000)</f>
      </c>
      <c r="T907" t="str">
        <f>IF(connections!$A907="","",IFERROR(INDEX(games!$B$2:$B$1200,MATCH(connections!$A907,games!$A$2:$A$1200,0)),""))</f>
      </c>
      <c r="U907">
        <f>IF(connections!$A907="","",IFERROR(INDEX(games!$B$2:$B$1200,MATCH(connections!$B907,games!$A$2:$A$1200,0)),""))</f>
      </c>
      <c r="V907">
        <f>IF(OR($T907="",$U907=""),"",$U907-$T907)</f>
      </c>
    </row>
    <row r="908">
      <c r="A908" t="str">
        <f>IF(games!$A908="","",games!$A908)</f>
      </c>
      <c r="B908">
        <f>IF($A908="","",games!$B908)</f>
      </c>
      <c r="C908" t="str">
        <f>IF($A908="","",games!$C908)</f>
      </c>
      <c r="D908">
        <f>IF($A908="","",COUNTIF(connections!$A$2:$A$2500,$A908)+COUNTIF(connections!$B$2:$B$2500,$A908))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IF(OR($A908="",games!$H908=""),"",games!$H908)</f>
      </c>
      <c r="Q908">
        <f>IF(OR($A908="",$P908&lt;&gt;"Yes"),"",$D908+ROW()/1000000)</f>
      </c>
      <c r="T908" t="str">
        <f>IF(connections!$A908="","",IFERROR(INDEX(games!$B$2:$B$1200,MATCH(connections!$A908,games!$A$2:$A$1200,0)),""))</f>
      </c>
      <c r="U908">
        <f>IF(connections!$A908="","",IFERROR(INDEX(games!$B$2:$B$1200,MATCH(connections!$B908,games!$A$2:$A$1200,0)),""))</f>
      </c>
      <c r="V908">
        <f>IF(OR($T908="",$U908=""),"",$U908-$T908)</f>
      </c>
    </row>
    <row r="909">
      <c r="A909" t="str">
        <f>IF(games!$A909="","",games!$A909)</f>
      </c>
      <c r="B909">
        <f>IF($A909="","",games!$B909)</f>
      </c>
      <c r="C909" t="str">
        <f>IF($A909="","",games!$C909)</f>
      </c>
      <c r="D909">
        <f>IF($A909="","",COUNTIF(connections!$A$2:$A$2500,$A909)+COUNTIF(connections!$B$2:$B$2500,$A909))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IF(OR($A909="",games!$H909=""),"",games!$H909)</f>
      </c>
      <c r="Q909">
        <f>IF(OR($A909="",$P909&lt;&gt;"Yes"),"",$D909+ROW()/1000000)</f>
      </c>
      <c r="T909" t="str">
        <f>IF(connections!$A909="","",IFERROR(INDEX(games!$B$2:$B$1200,MATCH(connections!$A909,games!$A$2:$A$1200,0)),""))</f>
      </c>
      <c r="U909">
        <f>IF(connections!$A909="","",IFERROR(INDEX(games!$B$2:$B$1200,MATCH(connections!$B909,games!$A$2:$A$1200,0)),""))</f>
      </c>
      <c r="V909">
        <f>IF(OR($T909="",$U909=""),"",$U909-$T909)</f>
      </c>
    </row>
    <row r="910">
      <c r="A910" t="str">
        <f>IF(games!$A910="","",games!$A910)</f>
      </c>
      <c r="B910">
        <f>IF($A910="","",games!$B910)</f>
      </c>
      <c r="C910" t="str">
        <f>IF($A910="","",games!$C910)</f>
      </c>
      <c r="D910">
        <f>IF($A910="","",COUNTIF(connections!$A$2:$A$2500,$A910)+COUNTIF(connections!$B$2:$B$2500,$A910))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IF(OR($A910="",games!$H910=""),"",games!$H910)</f>
      </c>
      <c r="Q910">
        <f>IF(OR($A910="",$P910&lt;&gt;"Yes"),"",$D910+ROW()/1000000)</f>
      </c>
      <c r="T910" t="str">
        <f>IF(connections!$A910="","",IFERROR(INDEX(games!$B$2:$B$1200,MATCH(connections!$A910,games!$A$2:$A$1200,0)),""))</f>
      </c>
      <c r="U910">
        <f>IF(connections!$A910="","",IFERROR(INDEX(games!$B$2:$B$1200,MATCH(connections!$B910,games!$A$2:$A$1200,0)),""))</f>
      </c>
      <c r="V910">
        <f>IF(OR($T910="",$U910=""),"",$U910-$T910)</f>
      </c>
    </row>
    <row r="911">
      <c r="A911" t="str">
        <f>IF(games!$A911="","",games!$A911)</f>
      </c>
      <c r="B911">
        <f>IF($A911="","",games!$B911)</f>
      </c>
      <c r="C911" t="str">
        <f>IF($A911="","",games!$C911)</f>
      </c>
      <c r="D911">
        <f>IF($A911="","",COUNTIF(connections!$A$2:$A$2500,$A911)+COUNTIF(connections!$B$2:$B$2500,$A911))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IF(OR($A911="",games!$H911=""),"",games!$H911)</f>
      </c>
      <c r="Q911">
        <f>IF(OR($A911="",$P911&lt;&gt;"Yes"),"",$D911+ROW()/1000000)</f>
      </c>
      <c r="T911" t="str">
        <f>IF(connections!$A911="","",IFERROR(INDEX(games!$B$2:$B$1200,MATCH(connections!$A911,games!$A$2:$A$1200,0)),""))</f>
      </c>
      <c r="U911">
        <f>IF(connections!$A911="","",IFERROR(INDEX(games!$B$2:$B$1200,MATCH(connections!$B911,games!$A$2:$A$1200,0)),""))</f>
      </c>
      <c r="V911">
        <f>IF(OR($T911="",$U911=""),"",$U911-$T911)</f>
      </c>
    </row>
    <row r="912">
      <c r="A912" t="str">
        <f>IF(games!$A912="","",games!$A912)</f>
      </c>
      <c r="B912">
        <f>IF($A912="","",games!$B912)</f>
      </c>
      <c r="C912" t="str">
        <f>IF($A912="","",games!$C912)</f>
      </c>
      <c r="D912">
        <f>IF($A912="","",COUNTIF(connections!$A$2:$A$2500,$A912)+COUNTIF(connections!$B$2:$B$2500,$A912))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IF(OR($A912="",games!$H912=""),"",games!$H912)</f>
      </c>
      <c r="Q912">
        <f>IF(OR($A912="",$P912&lt;&gt;"Yes"),"",$D912+ROW()/1000000)</f>
      </c>
      <c r="T912" t="str">
        <f>IF(connections!$A912="","",IFERROR(INDEX(games!$B$2:$B$1200,MATCH(connections!$A912,games!$A$2:$A$1200,0)),""))</f>
      </c>
      <c r="U912">
        <f>IF(connections!$A912="","",IFERROR(INDEX(games!$B$2:$B$1200,MATCH(connections!$B912,games!$A$2:$A$1200,0)),""))</f>
      </c>
      <c r="V912">
        <f>IF(OR($T912="",$U912=""),"",$U912-$T912)</f>
      </c>
    </row>
    <row r="913">
      <c r="A913" t="str">
        <f>IF(games!$A913="","",games!$A913)</f>
      </c>
      <c r="B913">
        <f>IF($A913="","",games!$B913)</f>
      </c>
      <c r="C913" t="str">
        <f>IF($A913="","",games!$C913)</f>
      </c>
      <c r="D913">
        <f>IF($A913="","",COUNTIF(connections!$A$2:$A$2500,$A913)+COUNTIF(connections!$B$2:$B$2500,$A913))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IF(OR($A913="",games!$H913=""),"",games!$H913)</f>
      </c>
      <c r="Q913">
        <f>IF(OR($A913="",$P913&lt;&gt;"Yes"),"",$D913+ROW()/1000000)</f>
      </c>
      <c r="T913" t="str">
        <f>IF(connections!$A913="","",IFERROR(INDEX(games!$B$2:$B$1200,MATCH(connections!$A913,games!$A$2:$A$1200,0)),""))</f>
      </c>
      <c r="U913">
        <f>IF(connections!$A913="","",IFERROR(INDEX(games!$B$2:$B$1200,MATCH(connections!$B913,games!$A$2:$A$1200,0)),""))</f>
      </c>
      <c r="V913">
        <f>IF(OR($T913="",$U913=""),"",$U913-$T913)</f>
      </c>
    </row>
    <row r="914">
      <c r="A914" t="str">
        <f>IF(games!$A914="","",games!$A914)</f>
      </c>
      <c r="B914">
        <f>IF($A914="","",games!$B914)</f>
      </c>
      <c r="C914" t="str">
        <f>IF($A914="","",games!$C914)</f>
      </c>
      <c r="D914">
        <f>IF($A914="","",COUNTIF(connections!$A$2:$A$2500,$A914)+COUNTIF(connections!$B$2:$B$2500,$A914))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IF(OR($A914="",games!$H914=""),"",games!$H914)</f>
      </c>
      <c r="Q914">
        <f>IF(OR($A914="",$P914&lt;&gt;"Yes"),"",$D914+ROW()/1000000)</f>
      </c>
      <c r="T914" t="str">
        <f>IF(connections!$A914="","",IFERROR(INDEX(games!$B$2:$B$1200,MATCH(connections!$A914,games!$A$2:$A$1200,0)),""))</f>
      </c>
      <c r="U914">
        <f>IF(connections!$A914="","",IFERROR(INDEX(games!$B$2:$B$1200,MATCH(connections!$B914,games!$A$2:$A$1200,0)),""))</f>
      </c>
      <c r="V914">
        <f>IF(OR($T914="",$U914=""),"",$U914-$T914)</f>
      </c>
    </row>
    <row r="915">
      <c r="A915" t="str">
        <f>IF(games!$A915="","",games!$A915)</f>
      </c>
      <c r="B915">
        <f>IF($A915="","",games!$B915)</f>
      </c>
      <c r="C915" t="str">
        <f>IF($A915="","",games!$C915)</f>
      </c>
      <c r="D915">
        <f>IF($A915="","",COUNTIF(connections!$A$2:$A$2500,$A915)+COUNTIF(connections!$B$2:$B$2500,$A915))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IF(OR($A915="",games!$H915=""),"",games!$H915)</f>
      </c>
      <c r="Q915">
        <f>IF(OR($A915="",$P915&lt;&gt;"Yes"),"",$D915+ROW()/1000000)</f>
      </c>
      <c r="T915" t="str">
        <f>IF(connections!$A915="","",IFERROR(INDEX(games!$B$2:$B$1200,MATCH(connections!$A915,games!$A$2:$A$1200,0)),""))</f>
      </c>
      <c r="U915">
        <f>IF(connections!$A915="","",IFERROR(INDEX(games!$B$2:$B$1200,MATCH(connections!$B915,games!$A$2:$A$1200,0)),""))</f>
      </c>
      <c r="V915">
        <f>IF(OR($T915="",$U915=""),"",$U915-$T915)</f>
      </c>
    </row>
    <row r="916">
      <c r="A916" t="str">
        <f>IF(games!$A916="","",games!$A916)</f>
      </c>
      <c r="B916">
        <f>IF($A916="","",games!$B916)</f>
      </c>
      <c r="C916" t="str">
        <f>IF($A916="","",games!$C916)</f>
      </c>
      <c r="D916">
        <f>IF($A916="","",COUNTIF(connections!$A$2:$A$2500,$A916)+COUNTIF(connections!$B$2:$B$2500,$A916))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IF(OR($A916="",games!$H916=""),"",games!$H916)</f>
      </c>
      <c r="Q916">
        <f>IF(OR($A916="",$P916&lt;&gt;"Yes"),"",$D916+ROW()/1000000)</f>
      </c>
      <c r="T916" t="str">
        <f>IF(connections!$A916="","",IFERROR(INDEX(games!$B$2:$B$1200,MATCH(connections!$A916,games!$A$2:$A$1200,0)),""))</f>
      </c>
      <c r="U916">
        <f>IF(connections!$A916="","",IFERROR(INDEX(games!$B$2:$B$1200,MATCH(connections!$B916,games!$A$2:$A$1200,0)),""))</f>
      </c>
      <c r="V916">
        <f>IF(OR($T916="",$U916=""),"",$U916-$T916)</f>
      </c>
    </row>
    <row r="917">
      <c r="A917" t="str">
        <f>IF(games!$A917="","",games!$A917)</f>
      </c>
      <c r="B917">
        <f>IF($A917="","",games!$B917)</f>
      </c>
      <c r="C917" t="str">
        <f>IF($A917="","",games!$C917)</f>
      </c>
      <c r="D917">
        <f>IF($A917="","",COUNTIF(connections!$A$2:$A$2500,$A917)+COUNTIF(connections!$B$2:$B$2500,$A917))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IF(OR($A917="",games!$H917=""),"",games!$H917)</f>
      </c>
      <c r="Q917">
        <f>IF(OR($A917="",$P917&lt;&gt;"Yes"),"",$D917+ROW()/1000000)</f>
      </c>
      <c r="T917" t="str">
        <f>IF(connections!$A917="","",IFERROR(INDEX(games!$B$2:$B$1200,MATCH(connections!$A917,games!$A$2:$A$1200,0)),""))</f>
      </c>
      <c r="U917">
        <f>IF(connections!$A917="","",IFERROR(INDEX(games!$B$2:$B$1200,MATCH(connections!$B917,games!$A$2:$A$1200,0)),""))</f>
      </c>
      <c r="V917">
        <f>IF(OR($T917="",$U917=""),"",$U917-$T917)</f>
      </c>
    </row>
    <row r="918">
      <c r="A918" t="str">
        <f>IF(games!$A918="","",games!$A918)</f>
      </c>
      <c r="B918">
        <f>IF($A918="","",games!$B918)</f>
      </c>
      <c r="C918" t="str">
        <f>IF($A918="","",games!$C918)</f>
      </c>
      <c r="D918">
        <f>IF($A918="","",COUNTIF(connections!$A$2:$A$2500,$A918)+COUNTIF(connections!$B$2:$B$2500,$A918))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IF(OR($A918="",games!$H918=""),"",games!$H918)</f>
      </c>
      <c r="Q918">
        <f>IF(OR($A918="",$P918&lt;&gt;"Yes"),"",$D918+ROW()/1000000)</f>
      </c>
      <c r="T918" t="str">
        <f>IF(connections!$A918="","",IFERROR(INDEX(games!$B$2:$B$1200,MATCH(connections!$A918,games!$A$2:$A$1200,0)),""))</f>
      </c>
      <c r="U918">
        <f>IF(connections!$A918="","",IFERROR(INDEX(games!$B$2:$B$1200,MATCH(connections!$B918,games!$A$2:$A$1200,0)),""))</f>
      </c>
      <c r="V918">
        <f>IF(OR($T918="",$U918=""),"",$U918-$T918)</f>
      </c>
    </row>
    <row r="919">
      <c r="A919" t="str">
        <f>IF(games!$A919="","",games!$A919)</f>
      </c>
      <c r="B919">
        <f>IF($A919="","",games!$B919)</f>
      </c>
      <c r="C919" t="str">
        <f>IF($A919="","",games!$C919)</f>
      </c>
      <c r="D919">
        <f>IF($A919="","",COUNTIF(connections!$A$2:$A$2500,$A919)+COUNTIF(connections!$B$2:$B$2500,$A919))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IF(OR($A919="",games!$H919=""),"",games!$H919)</f>
      </c>
      <c r="Q919">
        <f>IF(OR($A919="",$P919&lt;&gt;"Yes"),"",$D919+ROW()/1000000)</f>
      </c>
      <c r="T919" t="str">
        <f>IF(connections!$A919="","",IFERROR(INDEX(games!$B$2:$B$1200,MATCH(connections!$A919,games!$A$2:$A$1200,0)),""))</f>
      </c>
      <c r="U919">
        <f>IF(connections!$A919="","",IFERROR(INDEX(games!$B$2:$B$1200,MATCH(connections!$B919,games!$A$2:$A$1200,0)),""))</f>
      </c>
      <c r="V919">
        <f>IF(OR($T919="",$U919=""),"",$U919-$T919)</f>
      </c>
    </row>
    <row r="920">
      <c r="A920" t="str">
        <f>IF(games!$A920="","",games!$A920)</f>
      </c>
      <c r="B920">
        <f>IF($A920="","",games!$B920)</f>
      </c>
      <c r="C920" t="str">
        <f>IF($A920="","",games!$C920)</f>
      </c>
      <c r="D920">
        <f>IF($A920="","",COUNTIF(connections!$A$2:$A$2500,$A920)+COUNTIF(connections!$B$2:$B$2500,$A920))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IF(OR($A920="",games!$H920=""),"",games!$H920)</f>
      </c>
      <c r="Q920">
        <f>IF(OR($A920="",$P920&lt;&gt;"Yes"),"",$D920+ROW()/1000000)</f>
      </c>
      <c r="T920" t="str">
        <f>IF(connections!$A920="","",IFERROR(INDEX(games!$B$2:$B$1200,MATCH(connections!$A920,games!$A$2:$A$1200,0)),""))</f>
      </c>
      <c r="U920">
        <f>IF(connections!$A920="","",IFERROR(INDEX(games!$B$2:$B$1200,MATCH(connections!$B920,games!$A$2:$A$1200,0)),""))</f>
      </c>
      <c r="V920">
        <f>IF(OR($T920="",$U920=""),"",$U920-$T920)</f>
      </c>
    </row>
    <row r="921">
      <c r="A921" t="str">
        <f>IF(games!$A921="","",games!$A921)</f>
      </c>
      <c r="B921">
        <f>IF($A921="","",games!$B921)</f>
      </c>
      <c r="C921" t="str">
        <f>IF($A921="","",games!$C921)</f>
      </c>
      <c r="D921">
        <f>IF($A921="","",COUNTIF(connections!$A$2:$A$2500,$A921)+COUNTIF(connections!$B$2:$B$2500,$A921))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IF(OR($A921="",games!$H921=""),"",games!$H921)</f>
      </c>
      <c r="Q921">
        <f>IF(OR($A921="",$P921&lt;&gt;"Yes"),"",$D921+ROW()/1000000)</f>
      </c>
      <c r="T921" t="str">
        <f>IF(connections!$A921="","",IFERROR(INDEX(games!$B$2:$B$1200,MATCH(connections!$A921,games!$A$2:$A$1200,0)),""))</f>
      </c>
      <c r="U921">
        <f>IF(connections!$A921="","",IFERROR(INDEX(games!$B$2:$B$1200,MATCH(connections!$B921,games!$A$2:$A$1200,0)),""))</f>
      </c>
      <c r="V921">
        <f>IF(OR($T921="",$U921=""),"",$U921-$T921)</f>
      </c>
    </row>
    <row r="922">
      <c r="A922" t="str">
        <f>IF(games!$A922="","",games!$A922)</f>
      </c>
      <c r="B922">
        <f>IF($A922="","",games!$B922)</f>
      </c>
      <c r="C922" t="str">
        <f>IF($A922="","",games!$C922)</f>
      </c>
      <c r="D922">
        <f>IF($A922="","",COUNTIF(connections!$A$2:$A$2500,$A922)+COUNTIF(connections!$B$2:$B$2500,$A922))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IF(OR($A922="",games!$H922=""),"",games!$H922)</f>
      </c>
      <c r="Q922">
        <f>IF(OR($A922="",$P922&lt;&gt;"Yes"),"",$D922+ROW()/1000000)</f>
      </c>
      <c r="T922" t="str">
        <f>IF(connections!$A922="","",IFERROR(INDEX(games!$B$2:$B$1200,MATCH(connections!$A922,games!$A$2:$A$1200,0)),""))</f>
      </c>
      <c r="U922">
        <f>IF(connections!$A922="","",IFERROR(INDEX(games!$B$2:$B$1200,MATCH(connections!$B922,games!$A$2:$A$1200,0)),""))</f>
      </c>
      <c r="V922">
        <f>IF(OR($T922="",$U922=""),"",$U922-$T922)</f>
      </c>
    </row>
    <row r="923">
      <c r="A923" t="str">
        <f>IF(games!$A923="","",games!$A923)</f>
      </c>
      <c r="B923">
        <f>IF($A923="","",games!$B923)</f>
      </c>
      <c r="C923" t="str">
        <f>IF($A923="","",games!$C923)</f>
      </c>
      <c r="D923">
        <f>IF($A923="","",COUNTIF(connections!$A$2:$A$2500,$A923)+COUNTIF(connections!$B$2:$B$2500,$A923))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IF(OR($A923="",games!$H923=""),"",games!$H923)</f>
      </c>
      <c r="Q923">
        <f>IF(OR($A923="",$P923&lt;&gt;"Yes"),"",$D923+ROW()/1000000)</f>
      </c>
      <c r="T923" t="str">
        <f>IF(connections!$A923="","",IFERROR(INDEX(games!$B$2:$B$1200,MATCH(connections!$A923,games!$A$2:$A$1200,0)),""))</f>
      </c>
      <c r="U923">
        <f>IF(connections!$A923="","",IFERROR(INDEX(games!$B$2:$B$1200,MATCH(connections!$B923,games!$A$2:$A$1200,0)),""))</f>
      </c>
      <c r="V923">
        <f>IF(OR($T923="",$U923=""),"",$U923-$T923)</f>
      </c>
    </row>
    <row r="924">
      <c r="A924" t="str">
        <f>IF(games!$A924="","",games!$A924)</f>
      </c>
      <c r="B924">
        <f>IF($A924="","",games!$B924)</f>
      </c>
      <c r="C924" t="str">
        <f>IF($A924="","",games!$C924)</f>
      </c>
      <c r="D924">
        <f>IF($A924="","",COUNTIF(connections!$A$2:$A$2500,$A924)+COUNTIF(connections!$B$2:$B$2500,$A924))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IF(OR($A924="",games!$H924=""),"",games!$H924)</f>
      </c>
      <c r="Q924">
        <f>IF(OR($A924="",$P924&lt;&gt;"Yes"),"",$D924+ROW()/1000000)</f>
      </c>
      <c r="T924" t="str">
        <f>IF(connections!$A924="","",IFERROR(INDEX(games!$B$2:$B$1200,MATCH(connections!$A924,games!$A$2:$A$1200,0)),""))</f>
      </c>
      <c r="U924">
        <f>IF(connections!$A924="","",IFERROR(INDEX(games!$B$2:$B$1200,MATCH(connections!$B924,games!$A$2:$A$1200,0)),""))</f>
      </c>
      <c r="V924">
        <f>IF(OR($T924="",$U924=""),"",$U924-$T924)</f>
      </c>
    </row>
    <row r="925">
      <c r="A925" t="str">
        <f>IF(games!$A925="","",games!$A925)</f>
      </c>
      <c r="B925">
        <f>IF($A925="","",games!$B925)</f>
      </c>
      <c r="C925" t="str">
        <f>IF($A925="","",games!$C925)</f>
      </c>
      <c r="D925">
        <f>IF($A925="","",COUNTIF(connections!$A$2:$A$2500,$A925)+COUNTIF(connections!$B$2:$B$2500,$A925))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IF(OR($A925="",games!$H925=""),"",games!$H925)</f>
      </c>
      <c r="Q925">
        <f>IF(OR($A925="",$P925&lt;&gt;"Yes"),"",$D925+ROW()/1000000)</f>
      </c>
      <c r="T925" t="str">
        <f>IF(connections!$A925="","",IFERROR(INDEX(games!$B$2:$B$1200,MATCH(connections!$A925,games!$A$2:$A$1200,0)),""))</f>
      </c>
      <c r="U925">
        <f>IF(connections!$A925="","",IFERROR(INDEX(games!$B$2:$B$1200,MATCH(connections!$B925,games!$A$2:$A$1200,0)),""))</f>
      </c>
      <c r="V925">
        <f>IF(OR($T925="",$U925=""),"",$U925-$T925)</f>
      </c>
    </row>
    <row r="926">
      <c r="A926" t="str">
        <f>IF(games!$A926="","",games!$A926)</f>
      </c>
      <c r="B926">
        <f>IF($A926="","",games!$B926)</f>
      </c>
      <c r="C926" t="str">
        <f>IF($A926="","",games!$C926)</f>
      </c>
      <c r="D926">
        <f>IF($A926="","",COUNTIF(connections!$A$2:$A$2500,$A926)+COUNTIF(connections!$B$2:$B$2500,$A926))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IF(OR($A926="",games!$H926=""),"",games!$H926)</f>
      </c>
      <c r="Q926">
        <f>IF(OR($A926="",$P926&lt;&gt;"Yes"),"",$D926+ROW()/1000000)</f>
      </c>
      <c r="T926" t="str">
        <f>IF(connections!$A926="","",IFERROR(INDEX(games!$B$2:$B$1200,MATCH(connections!$A926,games!$A$2:$A$1200,0)),""))</f>
      </c>
      <c r="U926">
        <f>IF(connections!$A926="","",IFERROR(INDEX(games!$B$2:$B$1200,MATCH(connections!$B926,games!$A$2:$A$1200,0)),""))</f>
      </c>
      <c r="V926">
        <f>IF(OR($T926="",$U926=""),"",$U926-$T926)</f>
      </c>
    </row>
    <row r="927">
      <c r="A927" t="str">
        <f>IF(games!$A927="","",games!$A927)</f>
      </c>
      <c r="B927">
        <f>IF($A927="","",games!$B927)</f>
      </c>
      <c r="C927" t="str">
        <f>IF($A927="","",games!$C927)</f>
      </c>
      <c r="D927">
        <f>IF($A927="","",COUNTIF(connections!$A$2:$A$2500,$A927)+COUNTIF(connections!$B$2:$B$2500,$A927))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IF(OR($A927="",games!$H927=""),"",games!$H927)</f>
      </c>
      <c r="Q927">
        <f>IF(OR($A927="",$P927&lt;&gt;"Yes"),"",$D927+ROW()/1000000)</f>
      </c>
      <c r="T927" t="str">
        <f>IF(connections!$A927="","",IFERROR(INDEX(games!$B$2:$B$1200,MATCH(connections!$A927,games!$A$2:$A$1200,0)),""))</f>
      </c>
      <c r="U927">
        <f>IF(connections!$A927="","",IFERROR(INDEX(games!$B$2:$B$1200,MATCH(connections!$B927,games!$A$2:$A$1200,0)),""))</f>
      </c>
      <c r="V927">
        <f>IF(OR($T927="",$U927=""),"",$U927-$T927)</f>
      </c>
    </row>
    <row r="928">
      <c r="A928" t="str">
        <f>IF(games!$A928="","",games!$A928)</f>
      </c>
      <c r="B928">
        <f>IF($A928="","",games!$B928)</f>
      </c>
      <c r="C928" t="str">
        <f>IF($A928="","",games!$C928)</f>
      </c>
      <c r="D928">
        <f>IF($A928="","",COUNTIF(connections!$A$2:$A$2500,$A928)+COUNTIF(connections!$B$2:$B$2500,$A928))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IF(OR($A928="",games!$H928=""),"",games!$H928)</f>
      </c>
      <c r="Q928">
        <f>IF(OR($A928="",$P928&lt;&gt;"Yes"),"",$D928+ROW()/1000000)</f>
      </c>
      <c r="T928" t="str">
        <f>IF(connections!$A928="","",IFERROR(INDEX(games!$B$2:$B$1200,MATCH(connections!$A928,games!$A$2:$A$1200,0)),""))</f>
      </c>
      <c r="U928">
        <f>IF(connections!$A928="","",IFERROR(INDEX(games!$B$2:$B$1200,MATCH(connections!$B928,games!$A$2:$A$1200,0)),""))</f>
      </c>
      <c r="V928">
        <f>IF(OR($T928="",$U928=""),"",$U928-$T928)</f>
      </c>
    </row>
    <row r="929">
      <c r="A929" t="str">
        <f>IF(games!$A929="","",games!$A929)</f>
      </c>
      <c r="B929">
        <f>IF($A929="","",games!$B929)</f>
      </c>
      <c r="C929" t="str">
        <f>IF($A929="","",games!$C929)</f>
      </c>
      <c r="D929">
        <f>IF($A929="","",COUNTIF(connections!$A$2:$A$2500,$A929)+COUNTIF(connections!$B$2:$B$2500,$A929))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IF(OR($A929="",games!$H929=""),"",games!$H929)</f>
      </c>
      <c r="Q929">
        <f>IF(OR($A929="",$P929&lt;&gt;"Yes"),"",$D929+ROW()/1000000)</f>
      </c>
      <c r="T929" t="str">
        <f>IF(connections!$A929="","",IFERROR(INDEX(games!$B$2:$B$1200,MATCH(connections!$A929,games!$A$2:$A$1200,0)),""))</f>
      </c>
      <c r="U929">
        <f>IF(connections!$A929="","",IFERROR(INDEX(games!$B$2:$B$1200,MATCH(connections!$B929,games!$A$2:$A$1200,0)),""))</f>
      </c>
      <c r="V929">
        <f>IF(OR($T929="",$U929=""),"",$U929-$T929)</f>
      </c>
    </row>
    <row r="930">
      <c r="A930" t="str">
        <f>IF(games!$A930="","",games!$A930)</f>
      </c>
      <c r="B930">
        <f>IF($A930="","",games!$B930)</f>
      </c>
      <c r="C930" t="str">
        <f>IF($A930="","",games!$C930)</f>
      </c>
      <c r="D930">
        <f>IF($A930="","",COUNTIF(connections!$A$2:$A$2500,$A930)+COUNTIF(connections!$B$2:$B$2500,$A930))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IF(OR($A930="",games!$H930=""),"",games!$H930)</f>
      </c>
      <c r="Q930">
        <f>IF(OR($A930="",$P930&lt;&gt;"Yes"),"",$D930+ROW()/1000000)</f>
      </c>
      <c r="T930" t="str">
        <f>IF(connections!$A930="","",IFERROR(INDEX(games!$B$2:$B$1200,MATCH(connections!$A930,games!$A$2:$A$1200,0)),""))</f>
      </c>
      <c r="U930">
        <f>IF(connections!$A930="","",IFERROR(INDEX(games!$B$2:$B$1200,MATCH(connections!$B930,games!$A$2:$A$1200,0)),""))</f>
      </c>
      <c r="V930">
        <f>IF(OR($T930="",$U930=""),"",$U930-$T930)</f>
      </c>
    </row>
    <row r="931">
      <c r="A931" t="str">
        <f>IF(games!$A931="","",games!$A931)</f>
      </c>
      <c r="B931">
        <f>IF($A931="","",games!$B931)</f>
      </c>
      <c r="C931" t="str">
        <f>IF($A931="","",games!$C931)</f>
      </c>
      <c r="D931">
        <f>IF($A931="","",COUNTIF(connections!$A$2:$A$2500,$A931)+COUNTIF(connections!$B$2:$B$2500,$A931))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IF(OR($A931="",games!$H931=""),"",games!$H931)</f>
      </c>
      <c r="Q931">
        <f>IF(OR($A931="",$P931&lt;&gt;"Yes"),"",$D931+ROW()/1000000)</f>
      </c>
      <c r="T931" t="str">
        <f>IF(connections!$A931="","",IFERROR(INDEX(games!$B$2:$B$1200,MATCH(connections!$A931,games!$A$2:$A$1200,0)),""))</f>
      </c>
      <c r="U931">
        <f>IF(connections!$A931="","",IFERROR(INDEX(games!$B$2:$B$1200,MATCH(connections!$B931,games!$A$2:$A$1200,0)),""))</f>
      </c>
      <c r="V931">
        <f>IF(OR($T931="",$U931=""),"",$U931-$T931)</f>
      </c>
    </row>
    <row r="932">
      <c r="A932" t="str">
        <f>IF(games!$A932="","",games!$A932)</f>
      </c>
      <c r="B932">
        <f>IF($A932="","",games!$B932)</f>
      </c>
      <c r="C932" t="str">
        <f>IF($A932="","",games!$C932)</f>
      </c>
      <c r="D932">
        <f>IF($A932="","",COUNTIF(connections!$A$2:$A$2500,$A932)+COUNTIF(connections!$B$2:$B$2500,$A932))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IF(OR($A932="",games!$H932=""),"",games!$H932)</f>
      </c>
      <c r="Q932">
        <f>IF(OR($A932="",$P932&lt;&gt;"Yes"),"",$D932+ROW()/1000000)</f>
      </c>
      <c r="T932" t="str">
        <f>IF(connections!$A932="","",IFERROR(INDEX(games!$B$2:$B$1200,MATCH(connections!$A932,games!$A$2:$A$1200,0)),""))</f>
      </c>
      <c r="U932">
        <f>IF(connections!$A932="","",IFERROR(INDEX(games!$B$2:$B$1200,MATCH(connections!$B932,games!$A$2:$A$1200,0)),""))</f>
      </c>
      <c r="V932">
        <f>IF(OR($T932="",$U932=""),"",$U932-$T932)</f>
      </c>
    </row>
    <row r="933">
      <c r="A933" t="str">
        <f>IF(games!$A933="","",games!$A933)</f>
      </c>
      <c r="B933">
        <f>IF($A933="","",games!$B933)</f>
      </c>
      <c r="C933" t="str">
        <f>IF($A933="","",games!$C933)</f>
      </c>
      <c r="D933">
        <f>IF($A933="","",COUNTIF(connections!$A$2:$A$2500,$A933)+COUNTIF(connections!$B$2:$B$2500,$A933))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IF(OR($A933="",games!$H933=""),"",games!$H933)</f>
      </c>
      <c r="Q933">
        <f>IF(OR($A933="",$P933&lt;&gt;"Yes"),"",$D933+ROW()/1000000)</f>
      </c>
      <c r="T933" t="str">
        <f>IF(connections!$A933="","",IFERROR(INDEX(games!$B$2:$B$1200,MATCH(connections!$A933,games!$A$2:$A$1200,0)),""))</f>
      </c>
      <c r="U933">
        <f>IF(connections!$A933="","",IFERROR(INDEX(games!$B$2:$B$1200,MATCH(connections!$B933,games!$A$2:$A$1200,0)),""))</f>
      </c>
      <c r="V933">
        <f>IF(OR($T933="",$U933=""),"",$U933-$T933)</f>
      </c>
    </row>
    <row r="934">
      <c r="A934" t="str">
        <f>IF(games!$A934="","",games!$A934)</f>
      </c>
      <c r="B934">
        <f>IF($A934="","",games!$B934)</f>
      </c>
      <c r="C934" t="str">
        <f>IF($A934="","",games!$C934)</f>
      </c>
      <c r="D934">
        <f>IF($A934="","",COUNTIF(connections!$A$2:$A$2500,$A934)+COUNTIF(connections!$B$2:$B$2500,$A934))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IF(OR($A934="",games!$H934=""),"",games!$H934)</f>
      </c>
      <c r="Q934">
        <f>IF(OR($A934="",$P934&lt;&gt;"Yes"),"",$D934+ROW()/1000000)</f>
      </c>
      <c r="T934" t="str">
        <f>IF(connections!$A934="","",IFERROR(INDEX(games!$B$2:$B$1200,MATCH(connections!$A934,games!$A$2:$A$1200,0)),""))</f>
      </c>
      <c r="U934">
        <f>IF(connections!$A934="","",IFERROR(INDEX(games!$B$2:$B$1200,MATCH(connections!$B934,games!$A$2:$A$1200,0)),""))</f>
      </c>
      <c r="V934">
        <f>IF(OR($T934="",$U934=""),"",$U934-$T934)</f>
      </c>
    </row>
    <row r="935">
      <c r="A935" t="str">
        <f>IF(games!$A935="","",games!$A935)</f>
      </c>
      <c r="B935">
        <f>IF($A935="","",games!$B935)</f>
      </c>
      <c r="C935" t="str">
        <f>IF($A935="","",games!$C935)</f>
      </c>
      <c r="D935">
        <f>IF($A935="","",COUNTIF(connections!$A$2:$A$2500,$A935)+COUNTIF(connections!$B$2:$B$2500,$A935))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IF(OR($A935="",games!$H935=""),"",games!$H935)</f>
      </c>
      <c r="Q935">
        <f>IF(OR($A935="",$P935&lt;&gt;"Yes"),"",$D935+ROW()/1000000)</f>
      </c>
      <c r="T935" t="str">
        <f>IF(connections!$A935="","",IFERROR(INDEX(games!$B$2:$B$1200,MATCH(connections!$A935,games!$A$2:$A$1200,0)),""))</f>
      </c>
      <c r="U935">
        <f>IF(connections!$A935="","",IFERROR(INDEX(games!$B$2:$B$1200,MATCH(connections!$B935,games!$A$2:$A$1200,0)),""))</f>
      </c>
      <c r="V935">
        <f>IF(OR($T935="",$U935=""),"",$U935-$T935)</f>
      </c>
    </row>
    <row r="936">
      <c r="A936" t="str">
        <f>IF(games!$A936="","",games!$A936)</f>
      </c>
      <c r="B936">
        <f>IF($A936="","",games!$B936)</f>
      </c>
      <c r="C936" t="str">
        <f>IF($A936="","",games!$C936)</f>
      </c>
      <c r="D936">
        <f>IF($A936="","",COUNTIF(connections!$A$2:$A$2500,$A936)+COUNTIF(connections!$B$2:$B$2500,$A936))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IF(OR($A936="",games!$H936=""),"",games!$H936)</f>
      </c>
      <c r="Q936">
        <f>IF(OR($A936="",$P936&lt;&gt;"Yes"),"",$D936+ROW()/1000000)</f>
      </c>
      <c r="T936" t="str">
        <f>IF(connections!$A936="","",IFERROR(INDEX(games!$B$2:$B$1200,MATCH(connections!$A936,games!$A$2:$A$1200,0)),""))</f>
      </c>
      <c r="U936">
        <f>IF(connections!$A936="","",IFERROR(INDEX(games!$B$2:$B$1200,MATCH(connections!$B936,games!$A$2:$A$1200,0)),""))</f>
      </c>
      <c r="V936">
        <f>IF(OR($T936="",$U936=""),"",$U936-$T936)</f>
      </c>
    </row>
    <row r="937">
      <c r="A937" t="str">
        <f>IF(games!$A937="","",games!$A937)</f>
      </c>
      <c r="B937">
        <f>IF($A937="","",games!$B937)</f>
      </c>
      <c r="C937" t="str">
        <f>IF($A937="","",games!$C937)</f>
      </c>
      <c r="D937">
        <f>IF($A937="","",COUNTIF(connections!$A$2:$A$2500,$A937)+COUNTIF(connections!$B$2:$B$2500,$A937))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IF(OR($A937="",games!$H937=""),"",games!$H937)</f>
      </c>
      <c r="Q937">
        <f>IF(OR($A937="",$P937&lt;&gt;"Yes"),"",$D937+ROW()/1000000)</f>
      </c>
      <c r="T937" t="str">
        <f>IF(connections!$A937="","",IFERROR(INDEX(games!$B$2:$B$1200,MATCH(connections!$A937,games!$A$2:$A$1200,0)),""))</f>
      </c>
      <c r="U937">
        <f>IF(connections!$A937="","",IFERROR(INDEX(games!$B$2:$B$1200,MATCH(connections!$B937,games!$A$2:$A$1200,0)),""))</f>
      </c>
      <c r="V937">
        <f>IF(OR($T937="",$U937=""),"",$U937-$T937)</f>
      </c>
    </row>
    <row r="938">
      <c r="A938" t="str">
        <f>IF(games!$A938="","",games!$A938)</f>
      </c>
      <c r="B938">
        <f>IF($A938="","",games!$B938)</f>
      </c>
      <c r="C938" t="str">
        <f>IF($A938="","",games!$C938)</f>
      </c>
      <c r="D938">
        <f>IF($A938="","",COUNTIF(connections!$A$2:$A$2500,$A938)+COUNTIF(connections!$B$2:$B$2500,$A938))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IF(OR($A938="",games!$H938=""),"",games!$H938)</f>
      </c>
      <c r="Q938">
        <f>IF(OR($A938="",$P938&lt;&gt;"Yes"),"",$D938+ROW()/1000000)</f>
      </c>
      <c r="T938" t="str">
        <f>IF(connections!$A938="","",IFERROR(INDEX(games!$B$2:$B$1200,MATCH(connections!$A938,games!$A$2:$A$1200,0)),""))</f>
      </c>
      <c r="U938">
        <f>IF(connections!$A938="","",IFERROR(INDEX(games!$B$2:$B$1200,MATCH(connections!$B938,games!$A$2:$A$1200,0)),""))</f>
      </c>
      <c r="V938">
        <f>IF(OR($T938="",$U938=""),"",$U938-$T938)</f>
      </c>
    </row>
    <row r="939">
      <c r="A939" t="str">
        <f>IF(games!$A939="","",games!$A939)</f>
      </c>
      <c r="B939">
        <f>IF($A939="","",games!$B939)</f>
      </c>
      <c r="C939" t="str">
        <f>IF($A939="","",games!$C939)</f>
      </c>
      <c r="D939">
        <f>IF($A939="","",COUNTIF(connections!$A$2:$A$2500,$A939)+COUNTIF(connections!$B$2:$B$2500,$A939))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IF(OR($A939="",games!$H939=""),"",games!$H939)</f>
      </c>
      <c r="Q939">
        <f>IF(OR($A939="",$P939&lt;&gt;"Yes"),"",$D939+ROW()/1000000)</f>
      </c>
      <c r="T939" t="str">
        <f>IF(connections!$A939="","",IFERROR(INDEX(games!$B$2:$B$1200,MATCH(connections!$A939,games!$A$2:$A$1200,0)),""))</f>
      </c>
      <c r="U939">
        <f>IF(connections!$A939="","",IFERROR(INDEX(games!$B$2:$B$1200,MATCH(connections!$B939,games!$A$2:$A$1200,0)),""))</f>
      </c>
      <c r="V939">
        <f>IF(OR($T939="",$U939=""),"",$U939-$T939)</f>
      </c>
    </row>
    <row r="940">
      <c r="A940" t="str">
        <f>IF(games!$A940="","",games!$A940)</f>
      </c>
      <c r="B940">
        <f>IF($A940="","",games!$B940)</f>
      </c>
      <c r="C940" t="str">
        <f>IF($A940="","",games!$C940)</f>
      </c>
      <c r="D940">
        <f>IF($A940="","",COUNTIF(connections!$A$2:$A$2500,$A940)+COUNTIF(connections!$B$2:$B$2500,$A940))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IF(OR($A940="",games!$H940=""),"",games!$H940)</f>
      </c>
      <c r="Q940">
        <f>IF(OR($A940="",$P940&lt;&gt;"Yes"),"",$D940+ROW()/1000000)</f>
      </c>
      <c r="T940" t="str">
        <f>IF(connections!$A940="","",IFERROR(INDEX(games!$B$2:$B$1200,MATCH(connections!$A940,games!$A$2:$A$1200,0)),""))</f>
      </c>
      <c r="U940">
        <f>IF(connections!$A940="","",IFERROR(INDEX(games!$B$2:$B$1200,MATCH(connections!$B940,games!$A$2:$A$1200,0)),""))</f>
      </c>
      <c r="V940">
        <f>IF(OR($T940="",$U940=""),"",$U940-$T940)</f>
      </c>
    </row>
    <row r="941">
      <c r="A941" t="str">
        <f>IF(games!$A941="","",games!$A941)</f>
      </c>
      <c r="B941">
        <f>IF($A941="","",games!$B941)</f>
      </c>
      <c r="C941" t="str">
        <f>IF($A941="","",games!$C941)</f>
      </c>
      <c r="D941">
        <f>IF($A941="","",COUNTIF(connections!$A$2:$A$2500,$A941)+COUNTIF(connections!$B$2:$B$2500,$A941))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IF(OR($A941="",games!$H941=""),"",games!$H941)</f>
      </c>
      <c r="Q941">
        <f>IF(OR($A941="",$P941&lt;&gt;"Yes"),"",$D941+ROW()/1000000)</f>
      </c>
      <c r="T941" t="str">
        <f>IF(connections!$A941="","",IFERROR(INDEX(games!$B$2:$B$1200,MATCH(connections!$A941,games!$A$2:$A$1200,0)),""))</f>
      </c>
      <c r="U941">
        <f>IF(connections!$A941="","",IFERROR(INDEX(games!$B$2:$B$1200,MATCH(connections!$B941,games!$A$2:$A$1200,0)),""))</f>
      </c>
      <c r="V941">
        <f>IF(OR($T941="",$U941=""),"",$U941-$T941)</f>
      </c>
    </row>
    <row r="942">
      <c r="A942" t="str">
        <f>IF(games!$A942="","",games!$A942)</f>
      </c>
      <c r="B942">
        <f>IF($A942="","",games!$B942)</f>
      </c>
      <c r="C942" t="str">
        <f>IF($A942="","",games!$C942)</f>
      </c>
      <c r="D942">
        <f>IF($A942="","",COUNTIF(connections!$A$2:$A$2500,$A942)+COUNTIF(connections!$B$2:$B$2500,$A942))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IF(OR($A942="",games!$H942=""),"",games!$H942)</f>
      </c>
      <c r="Q942">
        <f>IF(OR($A942="",$P942&lt;&gt;"Yes"),"",$D942+ROW()/1000000)</f>
      </c>
      <c r="T942" t="str">
        <f>IF(connections!$A942="","",IFERROR(INDEX(games!$B$2:$B$1200,MATCH(connections!$A942,games!$A$2:$A$1200,0)),""))</f>
      </c>
      <c r="U942">
        <f>IF(connections!$A942="","",IFERROR(INDEX(games!$B$2:$B$1200,MATCH(connections!$B942,games!$A$2:$A$1200,0)),""))</f>
      </c>
      <c r="V942">
        <f>IF(OR($T942="",$U942=""),"",$U942-$T942)</f>
      </c>
    </row>
    <row r="943">
      <c r="A943" t="str">
        <f>IF(games!$A943="","",games!$A943)</f>
      </c>
      <c r="B943">
        <f>IF($A943="","",games!$B943)</f>
      </c>
      <c r="C943" t="str">
        <f>IF($A943="","",games!$C943)</f>
      </c>
      <c r="D943">
        <f>IF($A943="","",COUNTIF(connections!$A$2:$A$2500,$A943)+COUNTIF(connections!$B$2:$B$2500,$A943))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IF(OR($A943="",games!$H943=""),"",games!$H943)</f>
      </c>
      <c r="Q943">
        <f>IF(OR($A943="",$P943&lt;&gt;"Yes"),"",$D943+ROW()/1000000)</f>
      </c>
      <c r="T943" t="str">
        <f>IF(connections!$A943="","",IFERROR(INDEX(games!$B$2:$B$1200,MATCH(connections!$A943,games!$A$2:$A$1200,0)),""))</f>
      </c>
      <c r="U943">
        <f>IF(connections!$A943="","",IFERROR(INDEX(games!$B$2:$B$1200,MATCH(connections!$B943,games!$A$2:$A$1200,0)),""))</f>
      </c>
      <c r="V943">
        <f>IF(OR($T943="",$U943=""),"",$U943-$T943)</f>
      </c>
    </row>
    <row r="944">
      <c r="A944" t="str">
        <f>IF(games!$A944="","",games!$A944)</f>
      </c>
      <c r="B944">
        <f>IF($A944="","",games!$B944)</f>
      </c>
      <c r="C944" t="str">
        <f>IF($A944="","",games!$C944)</f>
      </c>
      <c r="D944">
        <f>IF($A944="","",COUNTIF(connections!$A$2:$A$2500,$A944)+COUNTIF(connections!$B$2:$B$2500,$A944))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IF(OR($A944="",games!$H944=""),"",games!$H944)</f>
      </c>
      <c r="Q944">
        <f>IF(OR($A944="",$P944&lt;&gt;"Yes"),"",$D944+ROW()/1000000)</f>
      </c>
      <c r="T944" t="str">
        <f>IF(connections!$A944="","",IFERROR(INDEX(games!$B$2:$B$1200,MATCH(connections!$A944,games!$A$2:$A$1200,0)),""))</f>
      </c>
      <c r="U944">
        <f>IF(connections!$A944="","",IFERROR(INDEX(games!$B$2:$B$1200,MATCH(connections!$B944,games!$A$2:$A$1200,0)),""))</f>
      </c>
      <c r="V944">
        <f>IF(OR($T944="",$U944=""),"",$U944-$T944)</f>
      </c>
    </row>
    <row r="945">
      <c r="A945" t="str">
        <f>IF(games!$A945="","",games!$A945)</f>
      </c>
      <c r="B945">
        <f>IF($A945="","",games!$B945)</f>
      </c>
      <c r="C945" t="str">
        <f>IF($A945="","",games!$C945)</f>
      </c>
      <c r="D945">
        <f>IF($A945="","",COUNTIF(connections!$A$2:$A$2500,$A945)+COUNTIF(connections!$B$2:$B$2500,$A945))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IF(OR($A945="",games!$H945=""),"",games!$H945)</f>
      </c>
      <c r="Q945">
        <f>IF(OR($A945="",$P945&lt;&gt;"Yes"),"",$D945+ROW()/1000000)</f>
      </c>
      <c r="T945" t="str">
        <f>IF(connections!$A945="","",IFERROR(INDEX(games!$B$2:$B$1200,MATCH(connections!$A945,games!$A$2:$A$1200,0)),""))</f>
      </c>
      <c r="U945">
        <f>IF(connections!$A945="","",IFERROR(INDEX(games!$B$2:$B$1200,MATCH(connections!$B945,games!$A$2:$A$1200,0)),""))</f>
      </c>
      <c r="V945">
        <f>IF(OR($T945="",$U945=""),"",$U945-$T945)</f>
      </c>
    </row>
    <row r="946">
      <c r="A946" t="str">
        <f>IF(games!$A946="","",games!$A946)</f>
      </c>
      <c r="B946">
        <f>IF($A946="","",games!$B946)</f>
      </c>
      <c r="C946" t="str">
        <f>IF($A946="","",games!$C946)</f>
      </c>
      <c r="D946">
        <f>IF($A946="","",COUNTIF(connections!$A$2:$A$2500,$A946)+COUNTIF(connections!$B$2:$B$2500,$A946))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IF(OR($A946="",games!$H946=""),"",games!$H946)</f>
      </c>
      <c r="Q946">
        <f>IF(OR($A946="",$P946&lt;&gt;"Yes"),"",$D946+ROW()/1000000)</f>
      </c>
      <c r="T946" t="str">
        <f>IF(connections!$A946="","",IFERROR(INDEX(games!$B$2:$B$1200,MATCH(connections!$A946,games!$A$2:$A$1200,0)),""))</f>
      </c>
      <c r="U946">
        <f>IF(connections!$A946="","",IFERROR(INDEX(games!$B$2:$B$1200,MATCH(connections!$B946,games!$A$2:$A$1200,0)),""))</f>
      </c>
      <c r="V946">
        <f>IF(OR($T946="",$U946=""),"",$U946-$T946)</f>
      </c>
    </row>
    <row r="947">
      <c r="A947" t="str">
        <f>IF(games!$A947="","",games!$A947)</f>
      </c>
      <c r="B947">
        <f>IF($A947="","",games!$B947)</f>
      </c>
      <c r="C947" t="str">
        <f>IF($A947="","",games!$C947)</f>
      </c>
      <c r="D947">
        <f>IF($A947="","",COUNTIF(connections!$A$2:$A$2500,$A947)+COUNTIF(connections!$B$2:$B$2500,$A947))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IF(OR($A947="",games!$H947=""),"",games!$H947)</f>
      </c>
      <c r="Q947">
        <f>IF(OR($A947="",$P947&lt;&gt;"Yes"),"",$D947+ROW()/1000000)</f>
      </c>
      <c r="T947" t="str">
        <f>IF(connections!$A947="","",IFERROR(INDEX(games!$B$2:$B$1200,MATCH(connections!$A947,games!$A$2:$A$1200,0)),""))</f>
      </c>
      <c r="U947">
        <f>IF(connections!$A947="","",IFERROR(INDEX(games!$B$2:$B$1200,MATCH(connections!$B947,games!$A$2:$A$1200,0)),""))</f>
      </c>
      <c r="V947">
        <f>IF(OR($T947="",$U947=""),"",$U947-$T947)</f>
      </c>
    </row>
    <row r="948">
      <c r="A948" t="str">
        <f>IF(games!$A948="","",games!$A948)</f>
      </c>
      <c r="B948">
        <f>IF($A948="","",games!$B948)</f>
      </c>
      <c r="C948" t="str">
        <f>IF($A948="","",games!$C948)</f>
      </c>
      <c r="D948">
        <f>IF($A948="","",COUNTIF(connections!$A$2:$A$2500,$A948)+COUNTIF(connections!$B$2:$B$2500,$A948))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IF(OR($A948="",games!$H948=""),"",games!$H948)</f>
      </c>
      <c r="Q948">
        <f>IF(OR($A948="",$P948&lt;&gt;"Yes"),"",$D948+ROW()/1000000)</f>
      </c>
      <c r="T948" t="str">
        <f>IF(connections!$A948="","",IFERROR(INDEX(games!$B$2:$B$1200,MATCH(connections!$A948,games!$A$2:$A$1200,0)),""))</f>
      </c>
      <c r="U948">
        <f>IF(connections!$A948="","",IFERROR(INDEX(games!$B$2:$B$1200,MATCH(connections!$B948,games!$A$2:$A$1200,0)),""))</f>
      </c>
      <c r="V948">
        <f>IF(OR($T948="",$U948=""),"",$U948-$T948)</f>
      </c>
    </row>
    <row r="949">
      <c r="A949" t="str">
        <f>IF(games!$A949="","",games!$A949)</f>
      </c>
      <c r="B949">
        <f>IF($A949="","",games!$B949)</f>
      </c>
      <c r="C949" t="str">
        <f>IF($A949="","",games!$C949)</f>
      </c>
      <c r="D949">
        <f>IF($A949="","",COUNTIF(connections!$A$2:$A$2500,$A949)+COUNTIF(connections!$B$2:$B$2500,$A949))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IF(OR($A949="",games!$H949=""),"",games!$H949)</f>
      </c>
      <c r="Q949">
        <f>IF(OR($A949="",$P949&lt;&gt;"Yes"),"",$D949+ROW()/1000000)</f>
      </c>
      <c r="T949" t="str">
        <f>IF(connections!$A949="","",IFERROR(INDEX(games!$B$2:$B$1200,MATCH(connections!$A949,games!$A$2:$A$1200,0)),""))</f>
      </c>
      <c r="U949">
        <f>IF(connections!$A949="","",IFERROR(INDEX(games!$B$2:$B$1200,MATCH(connections!$B949,games!$A$2:$A$1200,0)),""))</f>
      </c>
      <c r="V949">
        <f>IF(OR($T949="",$U949=""),"",$U949-$T949)</f>
      </c>
    </row>
    <row r="950">
      <c r="A950" t="str">
        <f>IF(games!$A950="","",games!$A950)</f>
      </c>
      <c r="B950">
        <f>IF($A950="","",games!$B950)</f>
      </c>
      <c r="C950" t="str">
        <f>IF($A950="","",games!$C950)</f>
      </c>
      <c r="D950">
        <f>IF($A950="","",COUNTIF(connections!$A$2:$A$2500,$A950)+COUNTIF(connections!$B$2:$B$2500,$A950))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IF(OR($A950="",games!$H950=""),"",games!$H950)</f>
      </c>
      <c r="Q950">
        <f>IF(OR($A950="",$P950&lt;&gt;"Yes"),"",$D950+ROW()/1000000)</f>
      </c>
      <c r="T950" t="str">
        <f>IF(connections!$A950="","",IFERROR(INDEX(games!$B$2:$B$1200,MATCH(connections!$A950,games!$A$2:$A$1200,0)),""))</f>
      </c>
      <c r="U950">
        <f>IF(connections!$A950="","",IFERROR(INDEX(games!$B$2:$B$1200,MATCH(connections!$B950,games!$A$2:$A$1200,0)),""))</f>
      </c>
      <c r="V950">
        <f>IF(OR($T950="",$U950=""),"",$U950-$T950)</f>
      </c>
    </row>
    <row r="951">
      <c r="A951" t="str">
        <f>IF(games!$A951="","",games!$A951)</f>
      </c>
      <c r="B951">
        <f>IF($A951="","",games!$B951)</f>
      </c>
      <c r="C951" t="str">
        <f>IF($A951="","",games!$C951)</f>
      </c>
      <c r="D951">
        <f>IF($A951="","",COUNTIF(connections!$A$2:$A$2500,$A951)+COUNTIF(connections!$B$2:$B$2500,$A951))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IF(OR($A951="",games!$H951=""),"",games!$H951)</f>
      </c>
      <c r="Q951">
        <f>IF(OR($A951="",$P951&lt;&gt;"Yes"),"",$D951+ROW()/1000000)</f>
      </c>
      <c r="T951" t="str">
        <f>IF(connections!$A951="","",IFERROR(INDEX(games!$B$2:$B$1200,MATCH(connections!$A951,games!$A$2:$A$1200,0)),""))</f>
      </c>
      <c r="U951">
        <f>IF(connections!$A951="","",IFERROR(INDEX(games!$B$2:$B$1200,MATCH(connections!$B951,games!$A$2:$A$1200,0)),""))</f>
      </c>
      <c r="V951">
        <f>IF(OR($T951="",$U951=""),"",$U951-$T951)</f>
      </c>
    </row>
    <row r="952">
      <c r="A952" t="str">
        <f>IF(games!$A952="","",games!$A952)</f>
      </c>
      <c r="B952">
        <f>IF($A952="","",games!$B952)</f>
      </c>
      <c r="C952" t="str">
        <f>IF($A952="","",games!$C952)</f>
      </c>
      <c r="D952">
        <f>IF($A952="","",COUNTIF(connections!$A$2:$A$2500,$A952)+COUNTIF(connections!$B$2:$B$2500,$A952))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IF(OR($A952="",games!$H952=""),"",games!$H952)</f>
      </c>
      <c r="Q952">
        <f>IF(OR($A952="",$P952&lt;&gt;"Yes"),"",$D952+ROW()/1000000)</f>
      </c>
      <c r="T952" t="str">
        <f>IF(connections!$A952="","",IFERROR(INDEX(games!$B$2:$B$1200,MATCH(connections!$A952,games!$A$2:$A$1200,0)),""))</f>
      </c>
      <c r="U952">
        <f>IF(connections!$A952="","",IFERROR(INDEX(games!$B$2:$B$1200,MATCH(connections!$B952,games!$A$2:$A$1200,0)),""))</f>
      </c>
      <c r="V952">
        <f>IF(OR($T952="",$U952=""),"",$U952-$T952)</f>
      </c>
    </row>
    <row r="953">
      <c r="A953" t="str">
        <f>IF(games!$A953="","",games!$A953)</f>
      </c>
      <c r="B953">
        <f>IF($A953="","",games!$B953)</f>
      </c>
      <c r="C953" t="str">
        <f>IF($A953="","",games!$C953)</f>
      </c>
      <c r="D953">
        <f>IF($A953="","",COUNTIF(connections!$A$2:$A$2500,$A953)+COUNTIF(connections!$B$2:$B$2500,$A953))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IF(OR($A953="",games!$H953=""),"",games!$H953)</f>
      </c>
      <c r="Q953">
        <f>IF(OR($A953="",$P953&lt;&gt;"Yes"),"",$D953+ROW()/1000000)</f>
      </c>
      <c r="T953" t="str">
        <f>IF(connections!$A953="","",IFERROR(INDEX(games!$B$2:$B$1200,MATCH(connections!$A953,games!$A$2:$A$1200,0)),""))</f>
      </c>
      <c r="U953">
        <f>IF(connections!$A953="","",IFERROR(INDEX(games!$B$2:$B$1200,MATCH(connections!$B953,games!$A$2:$A$1200,0)),""))</f>
      </c>
      <c r="V953">
        <f>IF(OR($T953="",$U953=""),"",$U953-$T953)</f>
      </c>
    </row>
    <row r="954">
      <c r="A954" t="str">
        <f>IF(games!$A954="","",games!$A954)</f>
      </c>
      <c r="B954">
        <f>IF($A954="","",games!$B954)</f>
      </c>
      <c r="C954" t="str">
        <f>IF($A954="","",games!$C954)</f>
      </c>
      <c r="D954">
        <f>IF($A954="","",COUNTIF(connections!$A$2:$A$2500,$A954)+COUNTIF(connections!$B$2:$B$2500,$A954))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IF(OR($A954="",games!$H954=""),"",games!$H954)</f>
      </c>
      <c r="Q954">
        <f>IF(OR($A954="",$P954&lt;&gt;"Yes"),"",$D954+ROW()/1000000)</f>
      </c>
      <c r="T954" t="str">
        <f>IF(connections!$A954="","",IFERROR(INDEX(games!$B$2:$B$1200,MATCH(connections!$A954,games!$A$2:$A$1200,0)),""))</f>
      </c>
      <c r="U954">
        <f>IF(connections!$A954="","",IFERROR(INDEX(games!$B$2:$B$1200,MATCH(connections!$B954,games!$A$2:$A$1200,0)),""))</f>
      </c>
      <c r="V954">
        <f>IF(OR($T954="",$U954=""),"",$U954-$T954)</f>
      </c>
    </row>
    <row r="955">
      <c r="A955" t="str">
        <f>IF(games!$A955="","",games!$A955)</f>
      </c>
      <c r="B955">
        <f>IF($A955="","",games!$B955)</f>
      </c>
      <c r="C955" t="str">
        <f>IF($A955="","",games!$C955)</f>
      </c>
      <c r="D955">
        <f>IF($A955="","",COUNTIF(connections!$A$2:$A$2500,$A955)+COUNTIF(connections!$B$2:$B$2500,$A955))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IF(OR($A955="",games!$H955=""),"",games!$H955)</f>
      </c>
      <c r="Q955">
        <f>IF(OR($A955="",$P955&lt;&gt;"Yes"),"",$D955+ROW()/1000000)</f>
      </c>
      <c r="T955" t="str">
        <f>IF(connections!$A955="","",IFERROR(INDEX(games!$B$2:$B$1200,MATCH(connections!$A955,games!$A$2:$A$1200,0)),""))</f>
      </c>
      <c r="U955">
        <f>IF(connections!$A955="","",IFERROR(INDEX(games!$B$2:$B$1200,MATCH(connections!$B955,games!$A$2:$A$1200,0)),""))</f>
      </c>
      <c r="V955">
        <f>IF(OR($T955="",$U955=""),"",$U955-$T955)</f>
      </c>
    </row>
    <row r="956">
      <c r="A956" t="str">
        <f>IF(games!$A956="","",games!$A956)</f>
      </c>
      <c r="B956">
        <f>IF($A956="","",games!$B956)</f>
      </c>
      <c r="C956" t="str">
        <f>IF($A956="","",games!$C956)</f>
      </c>
      <c r="D956">
        <f>IF($A956="","",COUNTIF(connections!$A$2:$A$2500,$A956)+COUNTIF(connections!$B$2:$B$2500,$A956))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IF(OR($A956="",games!$H956=""),"",games!$H956)</f>
      </c>
      <c r="Q956">
        <f>IF(OR($A956="",$P956&lt;&gt;"Yes"),"",$D956+ROW()/1000000)</f>
      </c>
      <c r="T956" t="str">
        <f>IF(connections!$A956="","",IFERROR(INDEX(games!$B$2:$B$1200,MATCH(connections!$A956,games!$A$2:$A$1200,0)),""))</f>
      </c>
      <c r="U956">
        <f>IF(connections!$A956="","",IFERROR(INDEX(games!$B$2:$B$1200,MATCH(connections!$B956,games!$A$2:$A$1200,0)),""))</f>
      </c>
      <c r="V956">
        <f>IF(OR($T956="",$U956=""),"",$U956-$T956)</f>
      </c>
    </row>
    <row r="957">
      <c r="A957" t="str">
        <f>IF(games!$A957="","",games!$A957)</f>
      </c>
      <c r="B957">
        <f>IF($A957="","",games!$B957)</f>
      </c>
      <c r="C957" t="str">
        <f>IF($A957="","",games!$C957)</f>
      </c>
      <c r="D957">
        <f>IF($A957="","",COUNTIF(connections!$A$2:$A$2500,$A957)+COUNTIF(connections!$B$2:$B$2500,$A957))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IF(OR($A957="",games!$H957=""),"",games!$H957)</f>
      </c>
      <c r="Q957">
        <f>IF(OR($A957="",$P957&lt;&gt;"Yes"),"",$D957+ROW()/1000000)</f>
      </c>
      <c r="T957" t="str">
        <f>IF(connections!$A957="","",IFERROR(INDEX(games!$B$2:$B$1200,MATCH(connections!$A957,games!$A$2:$A$1200,0)),""))</f>
      </c>
      <c r="U957">
        <f>IF(connections!$A957="","",IFERROR(INDEX(games!$B$2:$B$1200,MATCH(connections!$B957,games!$A$2:$A$1200,0)),""))</f>
      </c>
      <c r="V957">
        <f>IF(OR($T957="",$U957=""),"",$U957-$T957)</f>
      </c>
    </row>
    <row r="958">
      <c r="A958" t="str">
        <f>IF(games!$A958="","",games!$A958)</f>
      </c>
      <c r="B958">
        <f>IF($A958="","",games!$B958)</f>
      </c>
      <c r="C958" t="str">
        <f>IF($A958="","",games!$C958)</f>
      </c>
      <c r="D958">
        <f>IF($A958="","",COUNTIF(connections!$A$2:$A$2500,$A958)+COUNTIF(connections!$B$2:$B$2500,$A958))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IF(OR($A958="",games!$H958=""),"",games!$H958)</f>
      </c>
      <c r="Q958">
        <f>IF(OR($A958="",$P958&lt;&gt;"Yes"),"",$D958+ROW()/1000000)</f>
      </c>
      <c r="T958" t="str">
        <f>IF(connections!$A958="","",IFERROR(INDEX(games!$B$2:$B$1200,MATCH(connections!$A958,games!$A$2:$A$1200,0)),""))</f>
      </c>
      <c r="U958">
        <f>IF(connections!$A958="","",IFERROR(INDEX(games!$B$2:$B$1200,MATCH(connections!$B958,games!$A$2:$A$1200,0)),""))</f>
      </c>
      <c r="V958">
        <f>IF(OR($T958="",$U958=""),"",$U958-$T958)</f>
      </c>
    </row>
    <row r="959">
      <c r="A959" t="str">
        <f>IF(games!$A959="","",games!$A959)</f>
      </c>
      <c r="B959">
        <f>IF($A959="","",games!$B959)</f>
      </c>
      <c r="C959" t="str">
        <f>IF($A959="","",games!$C959)</f>
      </c>
      <c r="D959">
        <f>IF($A959="","",COUNTIF(connections!$A$2:$A$2500,$A959)+COUNTIF(connections!$B$2:$B$2500,$A959))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IF(OR($A959="",games!$H959=""),"",games!$H959)</f>
      </c>
      <c r="Q959">
        <f>IF(OR($A959="",$P959&lt;&gt;"Yes"),"",$D959+ROW()/1000000)</f>
      </c>
      <c r="T959" t="str">
        <f>IF(connections!$A959="","",IFERROR(INDEX(games!$B$2:$B$1200,MATCH(connections!$A959,games!$A$2:$A$1200,0)),""))</f>
      </c>
      <c r="U959">
        <f>IF(connections!$A959="","",IFERROR(INDEX(games!$B$2:$B$1200,MATCH(connections!$B959,games!$A$2:$A$1200,0)),""))</f>
      </c>
      <c r="V959">
        <f>IF(OR($T959="",$U959=""),"",$U959-$T959)</f>
      </c>
    </row>
    <row r="960">
      <c r="A960" t="str">
        <f>IF(games!$A960="","",games!$A960)</f>
      </c>
      <c r="B960">
        <f>IF($A960="","",games!$B960)</f>
      </c>
      <c r="C960" t="str">
        <f>IF($A960="","",games!$C960)</f>
      </c>
      <c r="D960">
        <f>IF($A960="","",COUNTIF(connections!$A$2:$A$2500,$A960)+COUNTIF(connections!$B$2:$B$2500,$A960))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IF(OR($A960="",games!$H960=""),"",games!$H960)</f>
      </c>
      <c r="Q960">
        <f>IF(OR($A960="",$P960&lt;&gt;"Yes"),"",$D960+ROW()/1000000)</f>
      </c>
      <c r="T960" t="str">
        <f>IF(connections!$A960="","",IFERROR(INDEX(games!$B$2:$B$1200,MATCH(connections!$A960,games!$A$2:$A$1200,0)),""))</f>
      </c>
      <c r="U960">
        <f>IF(connections!$A960="","",IFERROR(INDEX(games!$B$2:$B$1200,MATCH(connections!$B960,games!$A$2:$A$1200,0)),""))</f>
      </c>
      <c r="V960">
        <f>IF(OR($T960="",$U960=""),"",$U960-$T960)</f>
      </c>
    </row>
    <row r="961">
      <c r="A961" t="str">
        <f>IF(games!$A961="","",games!$A961)</f>
      </c>
      <c r="B961">
        <f>IF($A961="","",games!$B961)</f>
      </c>
      <c r="C961" t="str">
        <f>IF($A961="","",games!$C961)</f>
      </c>
      <c r="D961">
        <f>IF($A961="","",COUNTIF(connections!$A$2:$A$2500,$A961)+COUNTIF(connections!$B$2:$B$2500,$A961))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IF(OR($A961="",games!$H961=""),"",games!$H961)</f>
      </c>
      <c r="Q961">
        <f>IF(OR($A961="",$P961&lt;&gt;"Yes"),"",$D961+ROW()/1000000)</f>
      </c>
      <c r="T961" t="str">
        <f>IF(connections!$A961="","",IFERROR(INDEX(games!$B$2:$B$1200,MATCH(connections!$A961,games!$A$2:$A$1200,0)),""))</f>
      </c>
      <c r="U961">
        <f>IF(connections!$A961="","",IFERROR(INDEX(games!$B$2:$B$1200,MATCH(connections!$B961,games!$A$2:$A$1200,0)),""))</f>
      </c>
      <c r="V961">
        <f>IF(OR($T961="",$U961=""),"",$U961-$T961)</f>
      </c>
    </row>
    <row r="962">
      <c r="A962" t="str">
        <f>IF(games!$A962="","",games!$A962)</f>
      </c>
      <c r="B962">
        <f>IF($A962="","",games!$B962)</f>
      </c>
      <c r="C962" t="str">
        <f>IF($A962="","",games!$C962)</f>
      </c>
      <c r="D962">
        <f>IF($A962="","",COUNTIF(connections!$A$2:$A$2500,$A962)+COUNTIF(connections!$B$2:$B$2500,$A962))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IF(OR($A962="",games!$H962=""),"",games!$H962)</f>
      </c>
      <c r="Q962">
        <f>IF(OR($A962="",$P962&lt;&gt;"Yes"),"",$D962+ROW()/1000000)</f>
      </c>
      <c r="T962" t="str">
        <f>IF(connections!$A962="","",IFERROR(INDEX(games!$B$2:$B$1200,MATCH(connections!$A962,games!$A$2:$A$1200,0)),""))</f>
      </c>
      <c r="U962">
        <f>IF(connections!$A962="","",IFERROR(INDEX(games!$B$2:$B$1200,MATCH(connections!$B962,games!$A$2:$A$1200,0)),""))</f>
      </c>
      <c r="V962">
        <f>IF(OR($T962="",$U962=""),"",$U962-$T962)</f>
      </c>
    </row>
    <row r="963">
      <c r="A963" t="str">
        <f>IF(games!$A963="","",games!$A963)</f>
      </c>
      <c r="B963">
        <f>IF($A963="","",games!$B963)</f>
      </c>
      <c r="C963" t="str">
        <f>IF($A963="","",games!$C963)</f>
      </c>
      <c r="D963">
        <f>IF($A963="","",COUNTIF(connections!$A$2:$A$2500,$A963)+COUNTIF(connections!$B$2:$B$2500,$A963))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IF(OR($A963="",games!$H963=""),"",games!$H963)</f>
      </c>
      <c r="Q963">
        <f>IF(OR($A963="",$P963&lt;&gt;"Yes"),"",$D963+ROW()/1000000)</f>
      </c>
      <c r="T963" t="str">
        <f>IF(connections!$A963="","",IFERROR(INDEX(games!$B$2:$B$1200,MATCH(connections!$A963,games!$A$2:$A$1200,0)),""))</f>
      </c>
      <c r="U963">
        <f>IF(connections!$A963="","",IFERROR(INDEX(games!$B$2:$B$1200,MATCH(connections!$B963,games!$A$2:$A$1200,0)),""))</f>
      </c>
      <c r="V963">
        <f>IF(OR($T963="",$U963=""),"",$U963-$T963)</f>
      </c>
    </row>
    <row r="964">
      <c r="A964" t="str">
        <f>IF(games!$A964="","",games!$A964)</f>
      </c>
      <c r="B964">
        <f>IF($A964="","",games!$B964)</f>
      </c>
      <c r="C964" t="str">
        <f>IF($A964="","",games!$C964)</f>
      </c>
      <c r="D964">
        <f>IF($A964="","",COUNTIF(connections!$A$2:$A$2500,$A964)+COUNTIF(connections!$B$2:$B$2500,$A964))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IF(OR($A964="",games!$H964=""),"",games!$H964)</f>
      </c>
      <c r="Q964">
        <f>IF(OR($A964="",$P964&lt;&gt;"Yes"),"",$D964+ROW()/1000000)</f>
      </c>
      <c r="T964" t="str">
        <f>IF(connections!$A964="","",IFERROR(INDEX(games!$B$2:$B$1200,MATCH(connections!$A964,games!$A$2:$A$1200,0)),""))</f>
      </c>
      <c r="U964">
        <f>IF(connections!$A964="","",IFERROR(INDEX(games!$B$2:$B$1200,MATCH(connections!$B964,games!$A$2:$A$1200,0)),""))</f>
      </c>
      <c r="V964">
        <f>IF(OR($T964="",$U964=""),"",$U964-$T964)</f>
      </c>
    </row>
    <row r="965">
      <c r="A965" t="str">
        <f>IF(games!$A965="","",games!$A965)</f>
      </c>
      <c r="B965">
        <f>IF($A965="","",games!$B965)</f>
      </c>
      <c r="C965" t="str">
        <f>IF($A965="","",games!$C965)</f>
      </c>
      <c r="D965">
        <f>IF($A965="","",COUNTIF(connections!$A$2:$A$2500,$A965)+COUNTIF(connections!$B$2:$B$2500,$A965))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IF(OR($A965="",games!$H965=""),"",games!$H965)</f>
      </c>
      <c r="Q965">
        <f>IF(OR($A965="",$P965&lt;&gt;"Yes"),"",$D965+ROW()/1000000)</f>
      </c>
      <c r="T965" t="str">
        <f>IF(connections!$A965="","",IFERROR(INDEX(games!$B$2:$B$1200,MATCH(connections!$A965,games!$A$2:$A$1200,0)),""))</f>
      </c>
      <c r="U965">
        <f>IF(connections!$A965="","",IFERROR(INDEX(games!$B$2:$B$1200,MATCH(connections!$B965,games!$A$2:$A$1200,0)),""))</f>
      </c>
      <c r="V965">
        <f>IF(OR($T965="",$U965=""),"",$U965-$T965)</f>
      </c>
    </row>
    <row r="966">
      <c r="A966" t="str">
        <f>IF(games!$A966="","",games!$A966)</f>
      </c>
      <c r="B966">
        <f>IF($A966="","",games!$B966)</f>
      </c>
      <c r="C966" t="str">
        <f>IF($A966="","",games!$C966)</f>
      </c>
      <c r="D966">
        <f>IF($A966="","",COUNTIF(connections!$A$2:$A$2500,$A966)+COUNTIF(connections!$B$2:$B$2500,$A966))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IF(OR($A966="",games!$H966=""),"",games!$H966)</f>
      </c>
      <c r="Q966">
        <f>IF(OR($A966="",$P966&lt;&gt;"Yes"),"",$D966+ROW()/1000000)</f>
      </c>
      <c r="T966" t="str">
        <f>IF(connections!$A966="","",IFERROR(INDEX(games!$B$2:$B$1200,MATCH(connections!$A966,games!$A$2:$A$1200,0)),""))</f>
      </c>
      <c r="U966">
        <f>IF(connections!$A966="","",IFERROR(INDEX(games!$B$2:$B$1200,MATCH(connections!$B966,games!$A$2:$A$1200,0)),""))</f>
      </c>
      <c r="V966">
        <f>IF(OR($T966="",$U966=""),"",$U966-$T966)</f>
      </c>
    </row>
    <row r="967">
      <c r="A967" t="str">
        <f>IF(games!$A967="","",games!$A967)</f>
      </c>
      <c r="B967">
        <f>IF($A967="","",games!$B967)</f>
      </c>
      <c r="C967" t="str">
        <f>IF($A967="","",games!$C967)</f>
      </c>
      <c r="D967">
        <f>IF($A967="","",COUNTIF(connections!$A$2:$A$2500,$A967)+COUNTIF(connections!$B$2:$B$2500,$A967))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IF(OR($A967="",games!$H967=""),"",games!$H967)</f>
      </c>
      <c r="Q967">
        <f>IF(OR($A967="",$P967&lt;&gt;"Yes"),"",$D967+ROW()/1000000)</f>
      </c>
      <c r="T967" t="str">
        <f>IF(connections!$A967="","",IFERROR(INDEX(games!$B$2:$B$1200,MATCH(connections!$A967,games!$A$2:$A$1200,0)),""))</f>
      </c>
      <c r="U967">
        <f>IF(connections!$A967="","",IFERROR(INDEX(games!$B$2:$B$1200,MATCH(connections!$B967,games!$A$2:$A$1200,0)),""))</f>
      </c>
      <c r="V967">
        <f>IF(OR($T967="",$U967=""),"",$U967-$T967)</f>
      </c>
    </row>
    <row r="968">
      <c r="A968" t="str">
        <f>IF(games!$A968="","",games!$A968)</f>
      </c>
      <c r="B968">
        <f>IF($A968="","",games!$B968)</f>
      </c>
      <c r="C968" t="str">
        <f>IF($A968="","",games!$C968)</f>
      </c>
      <c r="D968">
        <f>IF($A968="","",COUNTIF(connections!$A$2:$A$2500,$A968)+COUNTIF(connections!$B$2:$B$2500,$A968))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IF(OR($A968="",games!$H968=""),"",games!$H968)</f>
      </c>
      <c r="Q968">
        <f>IF(OR($A968="",$P968&lt;&gt;"Yes"),"",$D968+ROW()/1000000)</f>
      </c>
      <c r="T968" t="str">
        <f>IF(connections!$A968="","",IFERROR(INDEX(games!$B$2:$B$1200,MATCH(connections!$A968,games!$A$2:$A$1200,0)),""))</f>
      </c>
      <c r="U968">
        <f>IF(connections!$A968="","",IFERROR(INDEX(games!$B$2:$B$1200,MATCH(connections!$B968,games!$A$2:$A$1200,0)),""))</f>
      </c>
      <c r="V968">
        <f>IF(OR($T968="",$U968=""),"",$U968-$T968)</f>
      </c>
    </row>
    <row r="969">
      <c r="A969" t="str">
        <f>IF(games!$A969="","",games!$A969)</f>
      </c>
      <c r="B969">
        <f>IF($A969="","",games!$B969)</f>
      </c>
      <c r="C969" t="str">
        <f>IF($A969="","",games!$C969)</f>
      </c>
      <c r="D969">
        <f>IF($A969="","",COUNTIF(connections!$A$2:$A$2500,$A969)+COUNTIF(connections!$B$2:$B$2500,$A969))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IF(OR($A969="",games!$H969=""),"",games!$H969)</f>
      </c>
      <c r="Q969">
        <f>IF(OR($A969="",$P969&lt;&gt;"Yes"),"",$D969+ROW()/1000000)</f>
      </c>
      <c r="T969" t="str">
        <f>IF(connections!$A969="","",IFERROR(INDEX(games!$B$2:$B$1200,MATCH(connections!$A969,games!$A$2:$A$1200,0)),""))</f>
      </c>
      <c r="U969">
        <f>IF(connections!$A969="","",IFERROR(INDEX(games!$B$2:$B$1200,MATCH(connections!$B969,games!$A$2:$A$1200,0)),""))</f>
      </c>
      <c r="V969">
        <f>IF(OR($T969="",$U969=""),"",$U969-$T969)</f>
      </c>
    </row>
    <row r="970">
      <c r="A970" t="str">
        <f>IF(games!$A970="","",games!$A970)</f>
      </c>
      <c r="B970">
        <f>IF($A970="","",games!$B970)</f>
      </c>
      <c r="C970" t="str">
        <f>IF($A970="","",games!$C970)</f>
      </c>
      <c r="D970">
        <f>IF($A970="","",COUNTIF(connections!$A$2:$A$2500,$A970)+COUNTIF(connections!$B$2:$B$2500,$A970))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IF(OR($A970="",games!$H970=""),"",games!$H970)</f>
      </c>
      <c r="Q970">
        <f>IF(OR($A970="",$P970&lt;&gt;"Yes"),"",$D970+ROW()/1000000)</f>
      </c>
      <c r="T970" t="str">
        <f>IF(connections!$A970="","",IFERROR(INDEX(games!$B$2:$B$1200,MATCH(connections!$A970,games!$A$2:$A$1200,0)),""))</f>
      </c>
      <c r="U970">
        <f>IF(connections!$A970="","",IFERROR(INDEX(games!$B$2:$B$1200,MATCH(connections!$B970,games!$A$2:$A$1200,0)),""))</f>
      </c>
      <c r="V970">
        <f>IF(OR($T970="",$U970=""),"",$U970-$T970)</f>
      </c>
    </row>
    <row r="971">
      <c r="A971" t="str">
        <f>IF(games!$A971="","",games!$A971)</f>
      </c>
      <c r="B971">
        <f>IF($A971="","",games!$B971)</f>
      </c>
      <c r="C971" t="str">
        <f>IF($A971="","",games!$C971)</f>
      </c>
      <c r="D971">
        <f>IF($A971="","",COUNTIF(connections!$A$2:$A$2500,$A971)+COUNTIF(connections!$B$2:$B$2500,$A971))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IF(OR($A971="",games!$H971=""),"",games!$H971)</f>
      </c>
      <c r="Q971">
        <f>IF(OR($A971="",$P971&lt;&gt;"Yes"),"",$D971+ROW()/1000000)</f>
      </c>
      <c r="T971" t="str">
        <f>IF(connections!$A971="","",IFERROR(INDEX(games!$B$2:$B$1200,MATCH(connections!$A971,games!$A$2:$A$1200,0)),""))</f>
      </c>
      <c r="U971">
        <f>IF(connections!$A971="","",IFERROR(INDEX(games!$B$2:$B$1200,MATCH(connections!$B971,games!$A$2:$A$1200,0)),""))</f>
      </c>
      <c r="V971">
        <f>IF(OR($T971="",$U971=""),"",$U971-$T971)</f>
      </c>
    </row>
    <row r="972">
      <c r="A972" t="str">
        <f>IF(games!$A972="","",games!$A972)</f>
      </c>
      <c r="B972">
        <f>IF($A972="","",games!$B972)</f>
      </c>
      <c r="C972" t="str">
        <f>IF($A972="","",games!$C972)</f>
      </c>
      <c r="D972">
        <f>IF($A972="","",COUNTIF(connections!$A$2:$A$2500,$A972)+COUNTIF(connections!$B$2:$B$2500,$A972))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IF(OR($A972="",games!$H972=""),"",games!$H972)</f>
      </c>
      <c r="Q972">
        <f>IF(OR($A972="",$P972&lt;&gt;"Yes"),"",$D972+ROW()/1000000)</f>
      </c>
      <c r="T972" t="str">
        <f>IF(connections!$A972="","",IFERROR(INDEX(games!$B$2:$B$1200,MATCH(connections!$A972,games!$A$2:$A$1200,0)),""))</f>
      </c>
      <c r="U972">
        <f>IF(connections!$A972="","",IFERROR(INDEX(games!$B$2:$B$1200,MATCH(connections!$B972,games!$A$2:$A$1200,0)),""))</f>
      </c>
      <c r="V972">
        <f>IF(OR($T972="",$U972=""),"",$U972-$T972)</f>
      </c>
    </row>
    <row r="973">
      <c r="A973" t="str">
        <f>IF(games!$A973="","",games!$A973)</f>
      </c>
      <c r="B973">
        <f>IF($A973="","",games!$B973)</f>
      </c>
      <c r="C973" t="str">
        <f>IF($A973="","",games!$C973)</f>
      </c>
      <c r="D973">
        <f>IF($A973="","",COUNTIF(connections!$A$2:$A$2500,$A973)+COUNTIF(connections!$B$2:$B$2500,$A973))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IF(OR($A973="",games!$H973=""),"",games!$H973)</f>
      </c>
      <c r="Q973">
        <f>IF(OR($A973="",$P973&lt;&gt;"Yes"),"",$D973+ROW()/1000000)</f>
      </c>
      <c r="T973" t="str">
        <f>IF(connections!$A973="","",IFERROR(INDEX(games!$B$2:$B$1200,MATCH(connections!$A973,games!$A$2:$A$1200,0)),""))</f>
      </c>
      <c r="U973">
        <f>IF(connections!$A973="","",IFERROR(INDEX(games!$B$2:$B$1200,MATCH(connections!$B973,games!$A$2:$A$1200,0)),""))</f>
      </c>
      <c r="V973">
        <f>IF(OR($T973="",$U973=""),"",$U973-$T973)</f>
      </c>
    </row>
    <row r="974">
      <c r="A974" t="str">
        <f>IF(games!$A974="","",games!$A974)</f>
      </c>
      <c r="B974">
        <f>IF($A974="","",games!$B974)</f>
      </c>
      <c r="C974" t="str">
        <f>IF($A974="","",games!$C974)</f>
      </c>
      <c r="D974">
        <f>IF($A974="","",COUNTIF(connections!$A$2:$A$2500,$A974)+COUNTIF(connections!$B$2:$B$2500,$A974))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IF(OR($A974="",games!$H974=""),"",games!$H974)</f>
      </c>
      <c r="Q974">
        <f>IF(OR($A974="",$P974&lt;&gt;"Yes"),"",$D974+ROW()/1000000)</f>
      </c>
      <c r="T974" t="str">
        <f>IF(connections!$A974="","",IFERROR(INDEX(games!$B$2:$B$1200,MATCH(connections!$A974,games!$A$2:$A$1200,0)),""))</f>
      </c>
      <c r="U974">
        <f>IF(connections!$A974="","",IFERROR(INDEX(games!$B$2:$B$1200,MATCH(connections!$B974,games!$A$2:$A$1200,0)),""))</f>
      </c>
      <c r="V974">
        <f>IF(OR($T974="",$U974=""),"",$U974-$T974)</f>
      </c>
    </row>
    <row r="975">
      <c r="A975" t="str">
        <f>IF(games!$A975="","",games!$A975)</f>
      </c>
      <c r="B975">
        <f>IF($A975="","",games!$B975)</f>
      </c>
      <c r="C975" t="str">
        <f>IF($A975="","",games!$C975)</f>
      </c>
      <c r="D975">
        <f>IF($A975="","",COUNTIF(connections!$A$2:$A$2500,$A975)+COUNTIF(connections!$B$2:$B$2500,$A975))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IF(OR($A975="",games!$H975=""),"",games!$H975)</f>
      </c>
      <c r="Q975">
        <f>IF(OR($A975="",$P975&lt;&gt;"Yes"),"",$D975+ROW()/1000000)</f>
      </c>
      <c r="T975" t="str">
        <f>IF(connections!$A975="","",IFERROR(INDEX(games!$B$2:$B$1200,MATCH(connections!$A975,games!$A$2:$A$1200,0)),""))</f>
      </c>
      <c r="U975">
        <f>IF(connections!$A975="","",IFERROR(INDEX(games!$B$2:$B$1200,MATCH(connections!$B975,games!$A$2:$A$1200,0)),""))</f>
      </c>
      <c r="V975">
        <f>IF(OR($T975="",$U975=""),"",$U975-$T975)</f>
      </c>
    </row>
    <row r="976">
      <c r="A976" t="str">
        <f>IF(games!$A976="","",games!$A976)</f>
      </c>
      <c r="B976">
        <f>IF($A976="","",games!$B976)</f>
      </c>
      <c r="C976" t="str">
        <f>IF($A976="","",games!$C976)</f>
      </c>
      <c r="D976">
        <f>IF($A976="","",COUNTIF(connections!$A$2:$A$2500,$A976)+COUNTIF(connections!$B$2:$B$2500,$A976))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IF(OR($A976="",games!$H976=""),"",games!$H976)</f>
      </c>
      <c r="Q976">
        <f>IF(OR($A976="",$P976&lt;&gt;"Yes"),"",$D976+ROW()/1000000)</f>
      </c>
      <c r="T976" t="str">
        <f>IF(connections!$A976="","",IFERROR(INDEX(games!$B$2:$B$1200,MATCH(connections!$A976,games!$A$2:$A$1200,0)),""))</f>
      </c>
      <c r="U976">
        <f>IF(connections!$A976="","",IFERROR(INDEX(games!$B$2:$B$1200,MATCH(connections!$B976,games!$A$2:$A$1200,0)),""))</f>
      </c>
      <c r="V976">
        <f>IF(OR($T976="",$U976=""),"",$U976-$T976)</f>
      </c>
    </row>
    <row r="977">
      <c r="A977" t="str">
        <f>IF(games!$A977="","",games!$A977)</f>
      </c>
      <c r="B977">
        <f>IF($A977="","",games!$B977)</f>
      </c>
      <c r="C977" t="str">
        <f>IF($A977="","",games!$C977)</f>
      </c>
      <c r="D977">
        <f>IF($A977="","",COUNTIF(connections!$A$2:$A$2500,$A977)+COUNTIF(connections!$B$2:$B$2500,$A977))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IF(OR($A977="",games!$H977=""),"",games!$H977)</f>
      </c>
      <c r="Q977">
        <f>IF(OR($A977="",$P977&lt;&gt;"Yes"),"",$D977+ROW()/1000000)</f>
      </c>
      <c r="T977" t="str">
        <f>IF(connections!$A977="","",IFERROR(INDEX(games!$B$2:$B$1200,MATCH(connections!$A977,games!$A$2:$A$1200,0)),""))</f>
      </c>
      <c r="U977">
        <f>IF(connections!$A977="","",IFERROR(INDEX(games!$B$2:$B$1200,MATCH(connections!$B977,games!$A$2:$A$1200,0)),""))</f>
      </c>
      <c r="V977">
        <f>IF(OR($T977="",$U977=""),"",$U977-$T977)</f>
      </c>
    </row>
    <row r="978">
      <c r="A978" t="str">
        <f>IF(games!$A978="","",games!$A978)</f>
      </c>
      <c r="B978">
        <f>IF($A978="","",games!$B978)</f>
      </c>
      <c r="C978" t="str">
        <f>IF($A978="","",games!$C978)</f>
      </c>
      <c r="D978">
        <f>IF($A978="","",COUNTIF(connections!$A$2:$A$2500,$A978)+COUNTIF(connections!$B$2:$B$2500,$A978))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IF(OR($A978="",games!$H978=""),"",games!$H978)</f>
      </c>
      <c r="Q978">
        <f>IF(OR($A978="",$P978&lt;&gt;"Yes"),"",$D978+ROW()/1000000)</f>
      </c>
      <c r="T978" t="str">
        <f>IF(connections!$A978="","",IFERROR(INDEX(games!$B$2:$B$1200,MATCH(connections!$A978,games!$A$2:$A$1200,0)),""))</f>
      </c>
      <c r="U978">
        <f>IF(connections!$A978="","",IFERROR(INDEX(games!$B$2:$B$1200,MATCH(connections!$B978,games!$A$2:$A$1200,0)),""))</f>
      </c>
      <c r="V978">
        <f>IF(OR($T978="",$U978=""),"",$U978-$T978)</f>
      </c>
    </row>
    <row r="979">
      <c r="A979" t="str">
        <f>IF(games!$A979="","",games!$A979)</f>
      </c>
      <c r="B979">
        <f>IF($A979="","",games!$B979)</f>
      </c>
      <c r="C979" t="str">
        <f>IF($A979="","",games!$C979)</f>
      </c>
      <c r="D979">
        <f>IF($A979="","",COUNTIF(connections!$A$2:$A$2500,$A979)+COUNTIF(connections!$B$2:$B$2500,$A979))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IF(OR($A979="",games!$H979=""),"",games!$H979)</f>
      </c>
      <c r="Q979">
        <f>IF(OR($A979="",$P979&lt;&gt;"Yes"),"",$D979+ROW()/1000000)</f>
      </c>
      <c r="T979" t="str">
        <f>IF(connections!$A979="","",IFERROR(INDEX(games!$B$2:$B$1200,MATCH(connections!$A979,games!$A$2:$A$1200,0)),""))</f>
      </c>
      <c r="U979">
        <f>IF(connections!$A979="","",IFERROR(INDEX(games!$B$2:$B$1200,MATCH(connections!$B979,games!$A$2:$A$1200,0)),""))</f>
      </c>
      <c r="V979">
        <f>IF(OR($T979="",$U979=""),"",$U979-$T979)</f>
      </c>
    </row>
    <row r="980">
      <c r="A980" t="str">
        <f>IF(games!$A980="","",games!$A980)</f>
      </c>
      <c r="B980">
        <f>IF($A980="","",games!$B980)</f>
      </c>
      <c r="C980" t="str">
        <f>IF($A980="","",games!$C980)</f>
      </c>
      <c r="D980">
        <f>IF($A980="","",COUNTIF(connections!$A$2:$A$2500,$A980)+COUNTIF(connections!$B$2:$B$2500,$A980))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IF(OR($A980="",games!$H980=""),"",games!$H980)</f>
      </c>
      <c r="Q980">
        <f>IF(OR($A980="",$P980&lt;&gt;"Yes"),"",$D980+ROW()/1000000)</f>
      </c>
      <c r="T980" t="str">
        <f>IF(connections!$A980="","",IFERROR(INDEX(games!$B$2:$B$1200,MATCH(connections!$A980,games!$A$2:$A$1200,0)),""))</f>
      </c>
      <c r="U980">
        <f>IF(connections!$A980="","",IFERROR(INDEX(games!$B$2:$B$1200,MATCH(connections!$B980,games!$A$2:$A$1200,0)),""))</f>
      </c>
      <c r="V980">
        <f>IF(OR($T980="",$U980=""),"",$U980-$T980)</f>
      </c>
    </row>
    <row r="981">
      <c r="A981" t="str">
        <f>IF(games!$A981="","",games!$A981)</f>
      </c>
      <c r="B981">
        <f>IF($A981="","",games!$B981)</f>
      </c>
      <c r="C981" t="str">
        <f>IF($A981="","",games!$C981)</f>
      </c>
      <c r="D981">
        <f>IF($A981="","",COUNTIF(connections!$A$2:$A$2500,$A981)+COUNTIF(connections!$B$2:$B$2500,$A981))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IF(OR($A981="",games!$H981=""),"",games!$H981)</f>
      </c>
      <c r="Q981">
        <f>IF(OR($A981="",$P981&lt;&gt;"Yes"),"",$D981+ROW()/1000000)</f>
      </c>
      <c r="T981" t="str">
        <f>IF(connections!$A981="","",IFERROR(INDEX(games!$B$2:$B$1200,MATCH(connections!$A981,games!$A$2:$A$1200,0)),""))</f>
      </c>
      <c r="U981">
        <f>IF(connections!$A981="","",IFERROR(INDEX(games!$B$2:$B$1200,MATCH(connections!$B981,games!$A$2:$A$1200,0)),""))</f>
      </c>
      <c r="V981">
        <f>IF(OR($T981="",$U981=""),"",$U981-$T981)</f>
      </c>
    </row>
    <row r="982">
      <c r="A982" t="str">
        <f>IF(games!$A982="","",games!$A982)</f>
      </c>
      <c r="B982">
        <f>IF($A982="","",games!$B982)</f>
      </c>
      <c r="C982" t="str">
        <f>IF($A982="","",games!$C982)</f>
      </c>
      <c r="D982">
        <f>IF($A982="","",COUNTIF(connections!$A$2:$A$2500,$A982)+COUNTIF(connections!$B$2:$B$2500,$A982))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IF(OR($A982="",games!$H982=""),"",games!$H982)</f>
      </c>
      <c r="Q982">
        <f>IF(OR($A982="",$P982&lt;&gt;"Yes"),"",$D982+ROW()/1000000)</f>
      </c>
      <c r="T982" t="str">
        <f>IF(connections!$A982="","",IFERROR(INDEX(games!$B$2:$B$1200,MATCH(connections!$A982,games!$A$2:$A$1200,0)),""))</f>
      </c>
      <c r="U982">
        <f>IF(connections!$A982="","",IFERROR(INDEX(games!$B$2:$B$1200,MATCH(connections!$B982,games!$A$2:$A$1200,0)),""))</f>
      </c>
      <c r="V982">
        <f>IF(OR($T982="",$U982=""),"",$U982-$T982)</f>
      </c>
    </row>
    <row r="983">
      <c r="A983" t="str">
        <f>IF(games!$A983="","",games!$A983)</f>
      </c>
      <c r="B983">
        <f>IF($A983="","",games!$B983)</f>
      </c>
      <c r="C983" t="str">
        <f>IF($A983="","",games!$C983)</f>
      </c>
      <c r="D983">
        <f>IF($A983="","",COUNTIF(connections!$A$2:$A$2500,$A983)+COUNTIF(connections!$B$2:$B$2500,$A983))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IF(OR($A983="",games!$H983=""),"",games!$H983)</f>
      </c>
      <c r="Q983">
        <f>IF(OR($A983="",$P983&lt;&gt;"Yes"),"",$D983+ROW()/1000000)</f>
      </c>
      <c r="T983" t="str">
        <f>IF(connections!$A983="","",IFERROR(INDEX(games!$B$2:$B$1200,MATCH(connections!$A983,games!$A$2:$A$1200,0)),""))</f>
      </c>
      <c r="U983">
        <f>IF(connections!$A983="","",IFERROR(INDEX(games!$B$2:$B$1200,MATCH(connections!$B983,games!$A$2:$A$1200,0)),""))</f>
      </c>
      <c r="V983">
        <f>IF(OR($T983="",$U983=""),"",$U983-$T983)</f>
      </c>
    </row>
    <row r="984">
      <c r="A984" t="str">
        <f>IF(games!$A984="","",games!$A984)</f>
      </c>
      <c r="B984">
        <f>IF($A984="","",games!$B984)</f>
      </c>
      <c r="C984" t="str">
        <f>IF($A984="","",games!$C984)</f>
      </c>
      <c r="D984">
        <f>IF($A984="","",COUNTIF(connections!$A$2:$A$2500,$A984)+COUNTIF(connections!$B$2:$B$2500,$A984))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IF(OR($A984="",games!$H984=""),"",games!$H984)</f>
      </c>
      <c r="Q984">
        <f>IF(OR($A984="",$P984&lt;&gt;"Yes"),"",$D984+ROW()/1000000)</f>
      </c>
      <c r="T984" t="str">
        <f>IF(connections!$A984="","",IFERROR(INDEX(games!$B$2:$B$1200,MATCH(connections!$A984,games!$A$2:$A$1200,0)),""))</f>
      </c>
      <c r="U984">
        <f>IF(connections!$A984="","",IFERROR(INDEX(games!$B$2:$B$1200,MATCH(connections!$B984,games!$A$2:$A$1200,0)),""))</f>
      </c>
      <c r="V984">
        <f>IF(OR($T984="",$U984=""),"",$U984-$T984)</f>
      </c>
    </row>
    <row r="985">
      <c r="A985" t="str">
        <f>IF(games!$A985="","",games!$A985)</f>
      </c>
      <c r="B985">
        <f>IF($A985="","",games!$B985)</f>
      </c>
      <c r="C985" t="str">
        <f>IF($A985="","",games!$C985)</f>
      </c>
      <c r="D985">
        <f>IF($A985="","",COUNTIF(connections!$A$2:$A$2500,$A985)+COUNTIF(connections!$B$2:$B$2500,$A985))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IF(OR($A985="",games!$H985=""),"",games!$H985)</f>
      </c>
      <c r="Q985">
        <f>IF(OR($A985="",$P985&lt;&gt;"Yes"),"",$D985+ROW()/1000000)</f>
      </c>
      <c r="T985" t="str">
        <f>IF(connections!$A985="","",IFERROR(INDEX(games!$B$2:$B$1200,MATCH(connections!$A985,games!$A$2:$A$1200,0)),""))</f>
      </c>
      <c r="U985">
        <f>IF(connections!$A985="","",IFERROR(INDEX(games!$B$2:$B$1200,MATCH(connections!$B985,games!$A$2:$A$1200,0)),""))</f>
      </c>
      <c r="V985">
        <f>IF(OR($T985="",$U985=""),"",$U985-$T985)</f>
      </c>
    </row>
    <row r="986">
      <c r="A986" t="str">
        <f>IF(games!$A986="","",games!$A986)</f>
      </c>
      <c r="B986">
        <f>IF($A986="","",games!$B986)</f>
      </c>
      <c r="C986" t="str">
        <f>IF($A986="","",games!$C986)</f>
      </c>
      <c r="D986">
        <f>IF($A986="","",COUNTIF(connections!$A$2:$A$2500,$A986)+COUNTIF(connections!$B$2:$B$2500,$A986))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IF(OR($A986="",games!$H986=""),"",games!$H986)</f>
      </c>
      <c r="Q986">
        <f>IF(OR($A986="",$P986&lt;&gt;"Yes"),"",$D986+ROW()/1000000)</f>
      </c>
      <c r="T986" t="str">
        <f>IF(connections!$A986="","",IFERROR(INDEX(games!$B$2:$B$1200,MATCH(connections!$A986,games!$A$2:$A$1200,0)),""))</f>
      </c>
      <c r="U986">
        <f>IF(connections!$A986="","",IFERROR(INDEX(games!$B$2:$B$1200,MATCH(connections!$B986,games!$A$2:$A$1200,0)),""))</f>
      </c>
      <c r="V986">
        <f>IF(OR($T986="",$U986=""),"",$U986-$T986)</f>
      </c>
    </row>
    <row r="987">
      <c r="A987" t="str">
        <f>IF(games!$A987="","",games!$A987)</f>
      </c>
      <c r="B987">
        <f>IF($A987="","",games!$B987)</f>
      </c>
      <c r="C987" t="str">
        <f>IF($A987="","",games!$C987)</f>
      </c>
      <c r="D987">
        <f>IF($A987="","",COUNTIF(connections!$A$2:$A$2500,$A987)+COUNTIF(connections!$B$2:$B$2500,$A987))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IF(OR($A987="",games!$H987=""),"",games!$H987)</f>
      </c>
      <c r="Q987">
        <f>IF(OR($A987="",$P987&lt;&gt;"Yes"),"",$D987+ROW()/1000000)</f>
      </c>
      <c r="T987" t="str">
        <f>IF(connections!$A987="","",IFERROR(INDEX(games!$B$2:$B$1200,MATCH(connections!$A987,games!$A$2:$A$1200,0)),""))</f>
      </c>
      <c r="U987">
        <f>IF(connections!$A987="","",IFERROR(INDEX(games!$B$2:$B$1200,MATCH(connections!$B987,games!$A$2:$A$1200,0)),""))</f>
      </c>
      <c r="V987">
        <f>IF(OR($T987="",$U987=""),"",$U987-$T987)</f>
      </c>
    </row>
    <row r="988">
      <c r="A988" t="str">
        <f>IF(games!$A988="","",games!$A988)</f>
      </c>
      <c r="B988">
        <f>IF($A988="","",games!$B988)</f>
      </c>
      <c r="C988" t="str">
        <f>IF($A988="","",games!$C988)</f>
      </c>
      <c r="D988">
        <f>IF($A988="","",COUNTIF(connections!$A$2:$A$2500,$A988)+COUNTIF(connections!$B$2:$B$2500,$A988))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IF(OR($A988="",games!$H988=""),"",games!$H988)</f>
      </c>
      <c r="Q988">
        <f>IF(OR($A988="",$P988&lt;&gt;"Yes"),"",$D988+ROW()/1000000)</f>
      </c>
      <c r="T988" t="str">
        <f>IF(connections!$A988="","",IFERROR(INDEX(games!$B$2:$B$1200,MATCH(connections!$A988,games!$A$2:$A$1200,0)),""))</f>
      </c>
      <c r="U988">
        <f>IF(connections!$A988="","",IFERROR(INDEX(games!$B$2:$B$1200,MATCH(connections!$B988,games!$A$2:$A$1200,0)),""))</f>
      </c>
      <c r="V988">
        <f>IF(OR($T988="",$U988=""),"",$U988-$T988)</f>
      </c>
    </row>
    <row r="989">
      <c r="A989" t="str">
        <f>IF(games!$A989="","",games!$A989)</f>
      </c>
      <c r="B989">
        <f>IF($A989="","",games!$B989)</f>
      </c>
      <c r="C989" t="str">
        <f>IF($A989="","",games!$C989)</f>
      </c>
      <c r="D989">
        <f>IF($A989="","",COUNTIF(connections!$A$2:$A$2500,$A989)+COUNTIF(connections!$B$2:$B$2500,$A989))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IF(OR($A989="",games!$H989=""),"",games!$H989)</f>
      </c>
      <c r="Q989">
        <f>IF(OR($A989="",$P989&lt;&gt;"Yes"),"",$D989+ROW()/1000000)</f>
      </c>
      <c r="T989" t="str">
        <f>IF(connections!$A989="","",IFERROR(INDEX(games!$B$2:$B$1200,MATCH(connections!$A989,games!$A$2:$A$1200,0)),""))</f>
      </c>
      <c r="U989">
        <f>IF(connections!$A989="","",IFERROR(INDEX(games!$B$2:$B$1200,MATCH(connections!$B989,games!$A$2:$A$1200,0)),""))</f>
      </c>
      <c r="V989">
        <f>IF(OR($T989="",$U989=""),"",$U989-$T989)</f>
      </c>
    </row>
    <row r="990">
      <c r="A990" t="str">
        <f>IF(games!$A990="","",games!$A990)</f>
      </c>
      <c r="B990">
        <f>IF($A990="","",games!$B990)</f>
      </c>
      <c r="C990" t="str">
        <f>IF($A990="","",games!$C990)</f>
      </c>
      <c r="D990">
        <f>IF($A990="","",COUNTIF(connections!$A$2:$A$2500,$A990)+COUNTIF(connections!$B$2:$B$2500,$A990))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IF(OR($A990="",games!$H990=""),"",games!$H990)</f>
      </c>
      <c r="Q990">
        <f>IF(OR($A990="",$P990&lt;&gt;"Yes"),"",$D990+ROW()/1000000)</f>
      </c>
      <c r="T990" t="str">
        <f>IF(connections!$A990="","",IFERROR(INDEX(games!$B$2:$B$1200,MATCH(connections!$A990,games!$A$2:$A$1200,0)),""))</f>
      </c>
      <c r="U990">
        <f>IF(connections!$A990="","",IFERROR(INDEX(games!$B$2:$B$1200,MATCH(connections!$B990,games!$A$2:$A$1200,0)),""))</f>
      </c>
      <c r="V990">
        <f>IF(OR($T990="",$U990=""),"",$U990-$T990)</f>
      </c>
    </row>
    <row r="991">
      <c r="A991" t="str">
        <f>IF(games!$A991="","",games!$A991)</f>
      </c>
      <c r="B991">
        <f>IF($A991="","",games!$B991)</f>
      </c>
      <c r="C991" t="str">
        <f>IF($A991="","",games!$C991)</f>
      </c>
      <c r="D991">
        <f>IF($A991="","",COUNTIF(connections!$A$2:$A$2500,$A991)+COUNTIF(connections!$B$2:$B$2500,$A991))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IF(OR($A991="",games!$H991=""),"",games!$H991)</f>
      </c>
      <c r="Q991">
        <f>IF(OR($A991="",$P991&lt;&gt;"Yes"),"",$D991+ROW()/1000000)</f>
      </c>
      <c r="T991" t="str">
        <f>IF(connections!$A991="","",IFERROR(INDEX(games!$B$2:$B$1200,MATCH(connections!$A991,games!$A$2:$A$1200,0)),""))</f>
      </c>
      <c r="U991">
        <f>IF(connections!$A991="","",IFERROR(INDEX(games!$B$2:$B$1200,MATCH(connections!$B991,games!$A$2:$A$1200,0)),""))</f>
      </c>
      <c r="V991">
        <f>IF(OR($T991="",$U991=""),"",$U991-$T991)</f>
      </c>
    </row>
    <row r="992">
      <c r="A992" t="str">
        <f>IF(games!$A992="","",games!$A992)</f>
      </c>
      <c r="B992">
        <f>IF($A992="","",games!$B992)</f>
      </c>
      <c r="C992" t="str">
        <f>IF($A992="","",games!$C992)</f>
      </c>
      <c r="D992">
        <f>IF($A992="","",COUNTIF(connections!$A$2:$A$2500,$A992)+COUNTIF(connections!$B$2:$B$2500,$A992))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IF(OR($A992="",games!$H992=""),"",games!$H992)</f>
      </c>
      <c r="Q992">
        <f>IF(OR($A992="",$P992&lt;&gt;"Yes"),"",$D992+ROW()/1000000)</f>
      </c>
      <c r="T992" t="str">
        <f>IF(connections!$A992="","",IFERROR(INDEX(games!$B$2:$B$1200,MATCH(connections!$A992,games!$A$2:$A$1200,0)),""))</f>
      </c>
      <c r="U992">
        <f>IF(connections!$A992="","",IFERROR(INDEX(games!$B$2:$B$1200,MATCH(connections!$B992,games!$A$2:$A$1200,0)),""))</f>
      </c>
      <c r="V992">
        <f>IF(OR($T992="",$U992=""),"",$U992-$T992)</f>
      </c>
    </row>
    <row r="993">
      <c r="A993" t="str">
        <f>IF(games!$A993="","",games!$A993)</f>
      </c>
      <c r="B993">
        <f>IF($A993="","",games!$B993)</f>
      </c>
      <c r="C993" t="str">
        <f>IF($A993="","",games!$C993)</f>
      </c>
      <c r="D993">
        <f>IF($A993="","",COUNTIF(connections!$A$2:$A$2500,$A993)+COUNTIF(connections!$B$2:$B$2500,$A993))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IF(OR($A993="",games!$H993=""),"",games!$H993)</f>
      </c>
      <c r="Q993">
        <f>IF(OR($A993="",$P993&lt;&gt;"Yes"),"",$D993+ROW()/1000000)</f>
      </c>
      <c r="T993" t="str">
        <f>IF(connections!$A993="","",IFERROR(INDEX(games!$B$2:$B$1200,MATCH(connections!$A993,games!$A$2:$A$1200,0)),""))</f>
      </c>
      <c r="U993">
        <f>IF(connections!$A993="","",IFERROR(INDEX(games!$B$2:$B$1200,MATCH(connections!$B993,games!$A$2:$A$1200,0)),""))</f>
      </c>
      <c r="V993">
        <f>IF(OR($T993="",$U993=""),"",$U993-$T993)</f>
      </c>
    </row>
    <row r="994">
      <c r="A994" t="str">
        <f>IF(games!$A994="","",games!$A994)</f>
      </c>
      <c r="B994">
        <f>IF($A994="","",games!$B994)</f>
      </c>
      <c r="C994" t="str">
        <f>IF($A994="","",games!$C994)</f>
      </c>
      <c r="D994">
        <f>IF($A994="","",COUNTIF(connections!$A$2:$A$2500,$A994)+COUNTIF(connections!$B$2:$B$2500,$A994))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IF(OR($A994="",games!$H994=""),"",games!$H994)</f>
      </c>
      <c r="Q994">
        <f>IF(OR($A994="",$P994&lt;&gt;"Yes"),"",$D994+ROW()/1000000)</f>
      </c>
      <c r="T994" t="str">
        <f>IF(connections!$A994="","",IFERROR(INDEX(games!$B$2:$B$1200,MATCH(connections!$A994,games!$A$2:$A$1200,0)),""))</f>
      </c>
      <c r="U994">
        <f>IF(connections!$A994="","",IFERROR(INDEX(games!$B$2:$B$1200,MATCH(connections!$B994,games!$A$2:$A$1200,0)),""))</f>
      </c>
      <c r="V994">
        <f>IF(OR($T994="",$U994=""),"",$U994-$T994)</f>
      </c>
    </row>
    <row r="995">
      <c r="A995" t="str">
        <f>IF(games!$A995="","",games!$A995)</f>
      </c>
      <c r="B995">
        <f>IF($A995="","",games!$B995)</f>
      </c>
      <c r="C995" t="str">
        <f>IF($A995="","",games!$C995)</f>
      </c>
      <c r="D995">
        <f>IF($A995="","",COUNTIF(connections!$A$2:$A$2500,$A995)+COUNTIF(connections!$B$2:$B$2500,$A995))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IF(OR($A995="",games!$H995=""),"",games!$H995)</f>
      </c>
      <c r="Q995">
        <f>IF(OR($A995="",$P995&lt;&gt;"Yes"),"",$D995+ROW()/1000000)</f>
      </c>
      <c r="T995" t="str">
        <f>IF(connections!$A995="","",IFERROR(INDEX(games!$B$2:$B$1200,MATCH(connections!$A995,games!$A$2:$A$1200,0)),""))</f>
      </c>
      <c r="U995">
        <f>IF(connections!$A995="","",IFERROR(INDEX(games!$B$2:$B$1200,MATCH(connections!$B995,games!$A$2:$A$1200,0)),""))</f>
      </c>
      <c r="V995">
        <f>IF(OR($T995="",$U995=""),"",$U995-$T995)</f>
      </c>
    </row>
    <row r="996">
      <c r="A996" t="str">
        <f>IF(games!$A996="","",games!$A996)</f>
      </c>
      <c r="B996">
        <f>IF($A996="","",games!$B996)</f>
      </c>
      <c r="C996" t="str">
        <f>IF($A996="","",games!$C996)</f>
      </c>
      <c r="D996">
        <f>IF($A996="","",COUNTIF(connections!$A$2:$A$2500,$A996)+COUNTIF(connections!$B$2:$B$2500,$A996))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IF(OR($A996="",games!$H996=""),"",games!$H996)</f>
      </c>
      <c r="Q996">
        <f>IF(OR($A996="",$P996&lt;&gt;"Yes"),"",$D996+ROW()/1000000)</f>
      </c>
      <c r="T996" t="str">
        <f>IF(connections!$A996="","",IFERROR(INDEX(games!$B$2:$B$1200,MATCH(connections!$A996,games!$A$2:$A$1200,0)),""))</f>
      </c>
      <c r="U996">
        <f>IF(connections!$A996="","",IFERROR(INDEX(games!$B$2:$B$1200,MATCH(connections!$B996,games!$A$2:$A$1200,0)),""))</f>
      </c>
      <c r="V996">
        <f>IF(OR($T996="",$U996=""),"",$U996-$T996)</f>
      </c>
    </row>
    <row r="997">
      <c r="A997" t="str">
        <f>IF(games!$A997="","",games!$A997)</f>
      </c>
      <c r="B997">
        <f>IF($A997="","",games!$B997)</f>
      </c>
      <c r="C997" t="str">
        <f>IF($A997="","",games!$C997)</f>
      </c>
      <c r="D997">
        <f>IF($A997="","",COUNTIF(connections!$A$2:$A$2500,$A997)+COUNTIF(connections!$B$2:$B$2500,$A997))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IF(OR($A997="",games!$H997=""),"",games!$H997)</f>
      </c>
      <c r="Q997">
        <f>IF(OR($A997="",$P997&lt;&gt;"Yes"),"",$D997+ROW()/1000000)</f>
      </c>
      <c r="T997" t="str">
        <f>IF(connections!$A997="","",IFERROR(INDEX(games!$B$2:$B$1200,MATCH(connections!$A997,games!$A$2:$A$1200,0)),""))</f>
      </c>
      <c r="U997">
        <f>IF(connections!$A997="","",IFERROR(INDEX(games!$B$2:$B$1200,MATCH(connections!$B997,games!$A$2:$A$1200,0)),""))</f>
      </c>
      <c r="V997">
        <f>IF(OR($T997="",$U997=""),"",$U997-$T997)</f>
      </c>
    </row>
    <row r="998">
      <c r="A998" t="str">
        <f>IF(games!$A998="","",games!$A998)</f>
      </c>
      <c r="B998">
        <f>IF($A998="","",games!$B998)</f>
      </c>
      <c r="C998" t="str">
        <f>IF($A998="","",games!$C998)</f>
      </c>
      <c r="D998">
        <f>IF($A998="","",COUNTIF(connections!$A$2:$A$2500,$A998)+COUNTIF(connections!$B$2:$B$2500,$A998))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IF(OR($A998="",games!$H998=""),"",games!$H998)</f>
      </c>
      <c r="Q998">
        <f>IF(OR($A998="",$P998&lt;&gt;"Yes"),"",$D998+ROW()/1000000)</f>
      </c>
      <c r="T998" t="str">
        <f>IF(connections!$A998="","",IFERROR(INDEX(games!$B$2:$B$1200,MATCH(connections!$A998,games!$A$2:$A$1200,0)),""))</f>
      </c>
      <c r="U998">
        <f>IF(connections!$A998="","",IFERROR(INDEX(games!$B$2:$B$1200,MATCH(connections!$B998,games!$A$2:$A$1200,0)),""))</f>
      </c>
      <c r="V998">
        <f>IF(OR($T998="",$U998=""),"",$U998-$T998)</f>
      </c>
    </row>
    <row r="999">
      <c r="A999" t="str">
        <f>IF(games!$A999="","",games!$A999)</f>
      </c>
      <c r="B999">
        <f>IF($A999="","",games!$B999)</f>
      </c>
      <c r="C999" t="str">
        <f>IF($A999="","",games!$C999)</f>
      </c>
      <c r="D999">
        <f>IF($A999="","",COUNTIF(connections!$A$2:$A$2500,$A999)+COUNTIF(connections!$B$2:$B$2500,$A999))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IF(OR($A999="",games!$H999=""),"",games!$H999)</f>
      </c>
      <c r="Q999">
        <f>IF(OR($A999="",$P999&lt;&gt;"Yes"),"",$D999+ROW()/1000000)</f>
      </c>
      <c r="T999" t="str">
        <f>IF(connections!$A999="","",IFERROR(INDEX(games!$B$2:$B$1200,MATCH(connections!$A999,games!$A$2:$A$1200,0)),""))</f>
      </c>
      <c r="U999">
        <f>IF(connections!$A999="","",IFERROR(INDEX(games!$B$2:$B$1200,MATCH(connections!$B999,games!$A$2:$A$1200,0)),""))</f>
      </c>
      <c r="V999">
        <f>IF(OR($T999="",$U999=""),"",$U999-$T999)</f>
      </c>
    </row>
    <row r="1000">
      <c r="A1000" t="str">
        <f>IF(games!$A1000="","",games!$A1000)</f>
      </c>
      <c r="B1000">
        <f>IF($A1000="","",games!$B1000)</f>
      </c>
      <c r="C1000" t="str">
        <f>IF($A1000="","",games!$C1000)</f>
      </c>
      <c r="D1000">
        <f>IF($A1000="","",COUNTIF(connections!$A$2:$A$2500,$A1000)+COUNTIF(connections!$B$2:$B$2500,$A1000))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IF(OR($A1000="",games!$H1000=""),"",games!$H1000)</f>
      </c>
      <c r="Q1000">
        <f>IF(OR($A1000="",$P1000&lt;&gt;"Yes"),"",$D1000+ROW()/1000000)</f>
      </c>
      <c r="T1000" t="str">
        <f>IF(connections!$A1000="","",IFERROR(INDEX(games!$B$2:$B$1200,MATCH(connections!$A1000,games!$A$2:$A$1200,0)),""))</f>
      </c>
      <c r="U1000">
        <f>IF(connections!$A1000="","",IFERROR(INDEX(games!$B$2:$B$1200,MATCH(connections!$B1000,games!$A$2:$A$1200,0)),""))</f>
      </c>
      <c r="V1000">
        <f>IF(OR($T1000="",$U1000=""),"",$U1000-$T1000)</f>
      </c>
    </row>
    <row r="1001">
      <c r="A1001" t="str">
        <f>IF(games!$A1001="","",games!$A1001)</f>
      </c>
      <c r="B1001">
        <f>IF($A1001="","",games!$B1001)</f>
      </c>
      <c r="C1001" t="str">
        <f>IF($A1001="","",games!$C1001)</f>
      </c>
      <c r="D1001">
        <f>IF($A1001="","",COUNTIF(connections!$A$2:$A$2500,$A1001)+COUNTIF(connections!$B$2:$B$2500,$A1001))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IF(OR($A1001="",games!$H1001=""),"",games!$H1001)</f>
      </c>
      <c r="Q1001">
        <f>IF(OR($A1001="",$P1001&lt;&gt;"Yes"),"",$D1001+ROW()/1000000)</f>
      </c>
      <c r="T1001" t="str">
        <f>IF(connections!$A1001="","",IFERROR(INDEX(games!$B$2:$B$1200,MATCH(connections!$A1001,games!$A$2:$A$1200,0)),""))</f>
      </c>
      <c r="U1001">
        <f>IF(connections!$A1001="","",IFERROR(INDEX(games!$B$2:$B$1200,MATCH(connections!$B1001,games!$A$2:$A$1200,0)),""))</f>
      </c>
      <c r="V1001">
        <f>IF(OR($T1001="",$U1001=""),"",$U1001-$T1001)</f>
      </c>
    </row>
    <row r="1002">
      <c r="A1002" t="str">
        <f>IF(games!$A1002="","",games!$A1002)</f>
      </c>
      <c r="B1002">
        <f>IF($A1002="","",games!$B1002)</f>
      </c>
      <c r="C1002" t="str">
        <f>IF($A1002="","",games!$C1002)</f>
      </c>
      <c r="D1002">
        <f>IF($A1002="","",COUNTIF(connections!$A$2:$A$2500,$A1002)+COUNTIF(connections!$B$2:$B$2500,$A1002))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IF(OR($A1002="",games!$H1002=""),"",games!$H1002)</f>
      </c>
      <c r="Q1002">
        <f>IF(OR($A1002="",$P1002&lt;&gt;"Yes"),"",$D1002+ROW()/1000000)</f>
      </c>
      <c r="T1002" t="str">
        <f>IF(connections!$A1002="","",IFERROR(INDEX(games!$B$2:$B$1200,MATCH(connections!$A1002,games!$A$2:$A$1200,0)),""))</f>
      </c>
      <c r="U1002">
        <f>IF(connections!$A1002="","",IFERROR(INDEX(games!$B$2:$B$1200,MATCH(connections!$B1002,games!$A$2:$A$1200,0)),""))</f>
      </c>
      <c r="V1002">
        <f>IF(OR($T1002="",$U1002=""),"",$U1002-$T1002)</f>
      </c>
    </row>
    <row r="1003">
      <c r="A1003" t="str">
        <f>IF(games!$A1003="","",games!$A1003)</f>
      </c>
      <c r="B1003">
        <f>IF($A1003="","",games!$B1003)</f>
      </c>
      <c r="C1003" t="str">
        <f>IF($A1003="","",games!$C1003)</f>
      </c>
      <c r="D1003">
        <f>IF($A1003="","",COUNTIF(connections!$A$2:$A$2500,$A1003)+COUNTIF(connections!$B$2:$B$2500,$A1003))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IF(OR($A1003="",games!$H1003=""),"",games!$H1003)</f>
      </c>
      <c r="Q1003">
        <f>IF(OR($A1003="",$P1003&lt;&gt;"Yes"),"",$D1003+ROW()/1000000)</f>
      </c>
      <c r="T1003" t="str">
        <f>IF(connections!$A1003="","",IFERROR(INDEX(games!$B$2:$B$1200,MATCH(connections!$A1003,games!$A$2:$A$1200,0)),""))</f>
      </c>
      <c r="U1003">
        <f>IF(connections!$A1003="","",IFERROR(INDEX(games!$B$2:$B$1200,MATCH(connections!$B1003,games!$A$2:$A$1200,0)),""))</f>
      </c>
      <c r="V1003">
        <f>IF(OR($T1003="",$U1003=""),"",$U1003-$T1003)</f>
      </c>
    </row>
    <row r="1004">
      <c r="A1004" t="str">
        <f>IF(games!$A1004="","",games!$A1004)</f>
      </c>
      <c r="B1004">
        <f>IF($A1004="","",games!$B1004)</f>
      </c>
      <c r="C1004" t="str">
        <f>IF($A1004="","",games!$C1004)</f>
      </c>
      <c r="D1004">
        <f>IF($A1004="","",COUNTIF(connections!$A$2:$A$2500,$A1004)+COUNTIF(connections!$B$2:$B$2500,$A1004))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IF(OR($A1004="",games!$H1004=""),"",games!$H1004)</f>
      </c>
      <c r="Q1004">
        <f>IF(OR($A1004="",$P1004&lt;&gt;"Yes"),"",$D1004+ROW()/1000000)</f>
      </c>
      <c r="T1004" t="str">
        <f>IF(connections!$A1004="","",IFERROR(INDEX(games!$B$2:$B$1200,MATCH(connections!$A1004,games!$A$2:$A$1200,0)),""))</f>
      </c>
      <c r="U1004">
        <f>IF(connections!$A1004="","",IFERROR(INDEX(games!$B$2:$B$1200,MATCH(connections!$B1004,games!$A$2:$A$1200,0)),""))</f>
      </c>
      <c r="V1004">
        <f>IF(OR($T1004="",$U1004=""),"",$U1004-$T1004)</f>
      </c>
    </row>
    <row r="1005">
      <c r="A1005" t="str">
        <f>IF(games!$A1005="","",games!$A1005)</f>
      </c>
      <c r="B1005">
        <f>IF($A1005="","",games!$B1005)</f>
      </c>
      <c r="C1005" t="str">
        <f>IF($A1005="","",games!$C1005)</f>
      </c>
      <c r="D1005">
        <f>IF($A1005="","",COUNTIF(connections!$A$2:$A$2500,$A1005)+COUNTIF(connections!$B$2:$B$2500,$A1005))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IF(OR($A1005="",games!$H1005=""),"",games!$H1005)</f>
      </c>
      <c r="Q1005">
        <f>IF(OR($A1005="",$P1005&lt;&gt;"Yes"),"",$D1005+ROW()/1000000)</f>
      </c>
      <c r="T1005" t="str">
        <f>IF(connections!$A1005="","",IFERROR(INDEX(games!$B$2:$B$1200,MATCH(connections!$A1005,games!$A$2:$A$1200,0)),""))</f>
      </c>
      <c r="U1005">
        <f>IF(connections!$A1005="","",IFERROR(INDEX(games!$B$2:$B$1200,MATCH(connections!$B1005,games!$A$2:$A$1200,0)),""))</f>
      </c>
      <c r="V1005">
        <f>IF(OR($T1005="",$U1005=""),"",$U1005-$T1005)</f>
      </c>
    </row>
    <row r="1006">
      <c r="A1006" t="str">
        <f>IF(games!$A1006="","",games!$A1006)</f>
      </c>
      <c r="B1006">
        <f>IF($A1006="","",games!$B1006)</f>
      </c>
      <c r="C1006" t="str">
        <f>IF($A1006="","",games!$C1006)</f>
      </c>
      <c r="D1006">
        <f>IF($A1006="","",COUNTIF(connections!$A$2:$A$2500,$A1006)+COUNTIF(connections!$B$2:$B$2500,$A1006))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IF(OR($A1006="",games!$H1006=""),"",games!$H1006)</f>
      </c>
      <c r="Q1006">
        <f>IF(OR($A1006="",$P1006&lt;&gt;"Yes"),"",$D1006+ROW()/1000000)</f>
      </c>
      <c r="T1006" t="str">
        <f>IF(connections!$A1006="","",IFERROR(INDEX(games!$B$2:$B$1200,MATCH(connections!$A1006,games!$A$2:$A$1200,0)),""))</f>
      </c>
      <c r="U1006">
        <f>IF(connections!$A1006="","",IFERROR(INDEX(games!$B$2:$B$1200,MATCH(connections!$B1006,games!$A$2:$A$1200,0)),""))</f>
      </c>
      <c r="V1006">
        <f>IF(OR($T1006="",$U1006=""),"",$U1006-$T1006)</f>
      </c>
    </row>
    <row r="1007">
      <c r="A1007" t="str">
        <f>IF(games!$A1007="","",games!$A1007)</f>
      </c>
      <c r="B1007">
        <f>IF($A1007="","",games!$B1007)</f>
      </c>
      <c r="C1007" t="str">
        <f>IF($A1007="","",games!$C1007)</f>
      </c>
      <c r="D1007">
        <f>IF($A1007="","",COUNTIF(connections!$A$2:$A$2500,$A1007)+COUNTIF(connections!$B$2:$B$2500,$A1007))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IF(OR($A1007="",games!$H1007=""),"",games!$H1007)</f>
      </c>
      <c r="Q1007">
        <f>IF(OR($A1007="",$P1007&lt;&gt;"Yes"),"",$D1007+ROW()/1000000)</f>
      </c>
      <c r="T1007" t="str">
        <f>IF(connections!$A1007="","",IFERROR(INDEX(games!$B$2:$B$1200,MATCH(connections!$A1007,games!$A$2:$A$1200,0)),""))</f>
      </c>
      <c r="U1007">
        <f>IF(connections!$A1007="","",IFERROR(INDEX(games!$B$2:$B$1200,MATCH(connections!$B1007,games!$A$2:$A$1200,0)),""))</f>
      </c>
      <c r="V1007">
        <f>IF(OR($T1007="",$U1007=""),"",$U1007-$T1007)</f>
      </c>
    </row>
    <row r="1008">
      <c r="A1008" t="str">
        <f>IF(games!$A1008="","",games!$A1008)</f>
      </c>
      <c r="B1008">
        <f>IF($A1008="","",games!$B1008)</f>
      </c>
      <c r="C1008" t="str">
        <f>IF($A1008="","",games!$C1008)</f>
      </c>
      <c r="D1008">
        <f>IF($A1008="","",COUNTIF(connections!$A$2:$A$2500,$A1008)+COUNTIF(connections!$B$2:$B$2500,$A1008))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IF(OR($A1008="",games!$H1008=""),"",games!$H1008)</f>
      </c>
      <c r="Q1008">
        <f>IF(OR($A1008="",$P1008&lt;&gt;"Yes"),"",$D1008+ROW()/1000000)</f>
      </c>
      <c r="T1008" t="str">
        <f>IF(connections!$A1008="","",IFERROR(INDEX(games!$B$2:$B$1200,MATCH(connections!$A1008,games!$A$2:$A$1200,0)),""))</f>
      </c>
      <c r="U1008">
        <f>IF(connections!$A1008="","",IFERROR(INDEX(games!$B$2:$B$1200,MATCH(connections!$B1008,games!$A$2:$A$1200,0)),""))</f>
      </c>
      <c r="V1008">
        <f>IF(OR($T1008="",$U1008=""),"",$U1008-$T1008)</f>
      </c>
    </row>
    <row r="1009">
      <c r="A1009" t="str">
        <f>IF(games!$A1009="","",games!$A1009)</f>
      </c>
      <c r="B1009">
        <f>IF($A1009="","",games!$B1009)</f>
      </c>
      <c r="C1009" t="str">
        <f>IF($A1009="","",games!$C1009)</f>
      </c>
      <c r="D1009">
        <f>IF($A1009="","",COUNTIF(connections!$A$2:$A$2500,$A1009)+COUNTIF(connections!$B$2:$B$2500,$A1009))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IF(OR($A1009="",games!$H1009=""),"",games!$H1009)</f>
      </c>
      <c r="Q1009">
        <f>IF(OR($A1009="",$P1009&lt;&gt;"Yes"),"",$D1009+ROW()/1000000)</f>
      </c>
      <c r="T1009" t="str">
        <f>IF(connections!$A1009="","",IFERROR(INDEX(games!$B$2:$B$1200,MATCH(connections!$A1009,games!$A$2:$A$1200,0)),""))</f>
      </c>
      <c r="U1009">
        <f>IF(connections!$A1009="","",IFERROR(INDEX(games!$B$2:$B$1200,MATCH(connections!$B1009,games!$A$2:$A$1200,0)),""))</f>
      </c>
      <c r="V1009">
        <f>IF(OR($T1009="",$U1009=""),"",$U1009-$T1009)</f>
      </c>
    </row>
    <row r="1010">
      <c r="A1010" t="str">
        <f>IF(games!$A1010="","",games!$A1010)</f>
      </c>
      <c r="B1010">
        <f>IF($A1010="","",games!$B1010)</f>
      </c>
      <c r="C1010" t="str">
        <f>IF($A1010="","",games!$C1010)</f>
      </c>
      <c r="D1010">
        <f>IF($A1010="","",COUNTIF(connections!$A$2:$A$2500,$A1010)+COUNTIF(connections!$B$2:$B$2500,$A1010))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IF(OR($A1010="",games!$H1010=""),"",games!$H1010)</f>
      </c>
      <c r="Q1010">
        <f>IF(OR($A1010="",$P1010&lt;&gt;"Yes"),"",$D1010+ROW()/1000000)</f>
      </c>
      <c r="T1010" t="str">
        <f>IF(connections!$A1010="","",IFERROR(INDEX(games!$B$2:$B$1200,MATCH(connections!$A1010,games!$A$2:$A$1200,0)),""))</f>
      </c>
      <c r="U1010">
        <f>IF(connections!$A1010="","",IFERROR(INDEX(games!$B$2:$B$1200,MATCH(connections!$B1010,games!$A$2:$A$1200,0)),""))</f>
      </c>
      <c r="V1010">
        <f>IF(OR($T1010="",$U1010=""),"",$U1010-$T1010)</f>
      </c>
    </row>
    <row r="1011">
      <c r="A1011" t="str">
        <f>IF(games!$A1011="","",games!$A1011)</f>
      </c>
      <c r="B1011">
        <f>IF($A1011="","",games!$B1011)</f>
      </c>
      <c r="C1011" t="str">
        <f>IF($A1011="","",games!$C1011)</f>
      </c>
      <c r="D1011">
        <f>IF($A1011="","",COUNTIF(connections!$A$2:$A$2500,$A1011)+COUNTIF(connections!$B$2:$B$2500,$A1011))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IF(OR($A1011="",games!$H1011=""),"",games!$H1011)</f>
      </c>
      <c r="Q1011">
        <f>IF(OR($A1011="",$P1011&lt;&gt;"Yes"),"",$D1011+ROW()/1000000)</f>
      </c>
      <c r="T1011" t="str">
        <f>IF(connections!$A1011="","",IFERROR(INDEX(games!$B$2:$B$1200,MATCH(connections!$A1011,games!$A$2:$A$1200,0)),""))</f>
      </c>
      <c r="U1011">
        <f>IF(connections!$A1011="","",IFERROR(INDEX(games!$B$2:$B$1200,MATCH(connections!$B1011,games!$A$2:$A$1200,0)),""))</f>
      </c>
      <c r="V1011">
        <f>IF(OR($T1011="",$U1011=""),"",$U1011-$T1011)</f>
      </c>
    </row>
    <row r="1012">
      <c r="A1012" t="str">
        <f>IF(games!$A1012="","",games!$A1012)</f>
      </c>
      <c r="B1012">
        <f>IF($A1012="","",games!$B1012)</f>
      </c>
      <c r="C1012" t="str">
        <f>IF($A1012="","",games!$C1012)</f>
      </c>
      <c r="D1012">
        <f>IF($A1012="","",COUNTIF(connections!$A$2:$A$2500,$A1012)+COUNTIF(connections!$B$2:$B$2500,$A1012))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IF(OR($A1012="",games!$H1012=""),"",games!$H1012)</f>
      </c>
      <c r="Q1012">
        <f>IF(OR($A1012="",$P1012&lt;&gt;"Yes"),"",$D1012+ROW()/1000000)</f>
      </c>
      <c r="T1012" t="str">
        <f>IF(connections!$A1012="","",IFERROR(INDEX(games!$B$2:$B$1200,MATCH(connections!$A1012,games!$A$2:$A$1200,0)),""))</f>
      </c>
      <c r="U1012">
        <f>IF(connections!$A1012="","",IFERROR(INDEX(games!$B$2:$B$1200,MATCH(connections!$B1012,games!$A$2:$A$1200,0)),""))</f>
      </c>
      <c r="V1012">
        <f>IF(OR($T1012="",$U1012=""),"",$U1012-$T1012)</f>
      </c>
    </row>
    <row r="1013">
      <c r="A1013" t="str">
        <f>IF(games!$A1013="","",games!$A1013)</f>
      </c>
      <c r="B1013">
        <f>IF($A1013="","",games!$B1013)</f>
      </c>
      <c r="C1013" t="str">
        <f>IF($A1013="","",games!$C1013)</f>
      </c>
      <c r="D1013">
        <f>IF($A1013="","",COUNTIF(connections!$A$2:$A$2500,$A1013)+COUNTIF(connections!$B$2:$B$2500,$A1013))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IF(OR($A1013="",games!$H1013=""),"",games!$H1013)</f>
      </c>
      <c r="Q1013">
        <f>IF(OR($A1013="",$P1013&lt;&gt;"Yes"),"",$D1013+ROW()/1000000)</f>
      </c>
      <c r="T1013" t="str">
        <f>IF(connections!$A1013="","",IFERROR(INDEX(games!$B$2:$B$1200,MATCH(connections!$A1013,games!$A$2:$A$1200,0)),""))</f>
      </c>
      <c r="U1013">
        <f>IF(connections!$A1013="","",IFERROR(INDEX(games!$B$2:$B$1200,MATCH(connections!$B1013,games!$A$2:$A$1200,0)),""))</f>
      </c>
      <c r="V1013">
        <f>IF(OR($T1013="",$U1013=""),"",$U1013-$T1013)</f>
      </c>
    </row>
    <row r="1014">
      <c r="A1014" t="str">
        <f>IF(games!$A1014="","",games!$A1014)</f>
      </c>
      <c r="B1014">
        <f>IF($A1014="","",games!$B1014)</f>
      </c>
      <c r="C1014" t="str">
        <f>IF($A1014="","",games!$C1014)</f>
      </c>
      <c r="D1014">
        <f>IF($A1014="","",COUNTIF(connections!$A$2:$A$2500,$A1014)+COUNTIF(connections!$B$2:$B$2500,$A1014))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IF(OR($A1014="",games!$H1014=""),"",games!$H1014)</f>
      </c>
      <c r="Q1014">
        <f>IF(OR($A1014="",$P1014&lt;&gt;"Yes"),"",$D1014+ROW()/1000000)</f>
      </c>
      <c r="T1014" t="str">
        <f>IF(connections!$A1014="","",IFERROR(INDEX(games!$B$2:$B$1200,MATCH(connections!$A1014,games!$A$2:$A$1200,0)),""))</f>
      </c>
      <c r="U1014">
        <f>IF(connections!$A1014="","",IFERROR(INDEX(games!$B$2:$B$1200,MATCH(connections!$B1014,games!$A$2:$A$1200,0)),""))</f>
      </c>
      <c r="V1014">
        <f>IF(OR($T1014="",$U1014=""),"",$U1014-$T1014)</f>
      </c>
    </row>
    <row r="1015">
      <c r="A1015" t="str">
        <f>IF(games!$A1015="","",games!$A1015)</f>
      </c>
      <c r="B1015">
        <f>IF($A1015="","",games!$B1015)</f>
      </c>
      <c r="C1015" t="str">
        <f>IF($A1015="","",games!$C1015)</f>
      </c>
      <c r="D1015">
        <f>IF($A1015="","",COUNTIF(connections!$A$2:$A$2500,$A1015)+COUNTIF(connections!$B$2:$B$2500,$A1015))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IF(OR($A1015="",games!$H1015=""),"",games!$H1015)</f>
      </c>
      <c r="Q1015">
        <f>IF(OR($A1015="",$P1015&lt;&gt;"Yes"),"",$D1015+ROW()/1000000)</f>
      </c>
      <c r="T1015" t="str">
        <f>IF(connections!$A1015="","",IFERROR(INDEX(games!$B$2:$B$1200,MATCH(connections!$A1015,games!$A$2:$A$1200,0)),""))</f>
      </c>
      <c r="U1015">
        <f>IF(connections!$A1015="","",IFERROR(INDEX(games!$B$2:$B$1200,MATCH(connections!$B1015,games!$A$2:$A$1200,0)),""))</f>
      </c>
      <c r="V1015">
        <f>IF(OR($T1015="",$U1015=""),"",$U1015-$T1015)</f>
      </c>
    </row>
    <row r="1016">
      <c r="A1016" t="str">
        <f>IF(games!$A1016="","",games!$A1016)</f>
      </c>
      <c r="B1016">
        <f>IF($A1016="","",games!$B1016)</f>
      </c>
      <c r="C1016" t="str">
        <f>IF($A1016="","",games!$C1016)</f>
      </c>
      <c r="D1016">
        <f>IF($A1016="","",COUNTIF(connections!$A$2:$A$2500,$A1016)+COUNTIF(connections!$B$2:$B$2500,$A1016))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IF(OR($A1016="",games!$H1016=""),"",games!$H1016)</f>
      </c>
      <c r="Q1016">
        <f>IF(OR($A1016="",$P1016&lt;&gt;"Yes"),"",$D1016+ROW()/1000000)</f>
      </c>
      <c r="T1016" t="str">
        <f>IF(connections!$A1016="","",IFERROR(INDEX(games!$B$2:$B$1200,MATCH(connections!$A1016,games!$A$2:$A$1200,0)),""))</f>
      </c>
      <c r="U1016">
        <f>IF(connections!$A1016="","",IFERROR(INDEX(games!$B$2:$B$1200,MATCH(connections!$B1016,games!$A$2:$A$1200,0)),""))</f>
      </c>
      <c r="V1016">
        <f>IF(OR($T1016="",$U1016=""),"",$U1016-$T1016)</f>
      </c>
    </row>
    <row r="1017">
      <c r="A1017" t="str">
        <f>IF(games!$A1017="","",games!$A1017)</f>
      </c>
      <c r="B1017">
        <f>IF($A1017="","",games!$B1017)</f>
      </c>
      <c r="C1017" t="str">
        <f>IF($A1017="","",games!$C1017)</f>
      </c>
      <c r="D1017">
        <f>IF($A1017="","",COUNTIF(connections!$A$2:$A$2500,$A1017)+COUNTIF(connections!$B$2:$B$2500,$A1017))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IF(OR($A1017="",games!$H1017=""),"",games!$H1017)</f>
      </c>
      <c r="Q1017">
        <f>IF(OR($A1017="",$P1017&lt;&gt;"Yes"),"",$D1017+ROW()/1000000)</f>
      </c>
      <c r="T1017" t="str">
        <f>IF(connections!$A1017="","",IFERROR(INDEX(games!$B$2:$B$1200,MATCH(connections!$A1017,games!$A$2:$A$1200,0)),""))</f>
      </c>
      <c r="U1017">
        <f>IF(connections!$A1017="","",IFERROR(INDEX(games!$B$2:$B$1200,MATCH(connections!$B1017,games!$A$2:$A$1200,0)),""))</f>
      </c>
      <c r="V1017">
        <f>IF(OR($T1017="",$U1017=""),"",$U1017-$T1017)</f>
      </c>
    </row>
    <row r="1018">
      <c r="A1018" t="str">
        <f>IF(games!$A1018="","",games!$A1018)</f>
      </c>
      <c r="B1018">
        <f>IF($A1018="","",games!$B1018)</f>
      </c>
      <c r="C1018" t="str">
        <f>IF($A1018="","",games!$C1018)</f>
      </c>
      <c r="D1018">
        <f>IF($A1018="","",COUNTIF(connections!$A$2:$A$2500,$A1018)+COUNTIF(connections!$B$2:$B$2500,$A1018))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IF(OR($A1018="",games!$H1018=""),"",games!$H1018)</f>
      </c>
      <c r="Q1018">
        <f>IF(OR($A1018="",$P1018&lt;&gt;"Yes"),"",$D1018+ROW()/1000000)</f>
      </c>
      <c r="T1018" t="str">
        <f>IF(connections!$A1018="","",IFERROR(INDEX(games!$B$2:$B$1200,MATCH(connections!$A1018,games!$A$2:$A$1200,0)),""))</f>
      </c>
      <c r="U1018">
        <f>IF(connections!$A1018="","",IFERROR(INDEX(games!$B$2:$B$1200,MATCH(connections!$B1018,games!$A$2:$A$1200,0)),""))</f>
      </c>
      <c r="V1018">
        <f>IF(OR($T1018="",$U1018=""),"",$U1018-$T1018)</f>
      </c>
    </row>
    <row r="1019">
      <c r="A1019" t="str">
        <f>IF(games!$A1019="","",games!$A1019)</f>
      </c>
      <c r="B1019">
        <f>IF($A1019="","",games!$B1019)</f>
      </c>
      <c r="C1019" t="str">
        <f>IF($A1019="","",games!$C1019)</f>
      </c>
      <c r="D1019">
        <f>IF($A1019="","",COUNTIF(connections!$A$2:$A$2500,$A1019)+COUNTIF(connections!$B$2:$B$2500,$A1019))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IF(OR($A1019="",games!$H1019=""),"",games!$H1019)</f>
      </c>
      <c r="Q1019">
        <f>IF(OR($A1019="",$P1019&lt;&gt;"Yes"),"",$D1019+ROW()/1000000)</f>
      </c>
      <c r="T1019" t="str">
        <f>IF(connections!$A1019="","",IFERROR(INDEX(games!$B$2:$B$1200,MATCH(connections!$A1019,games!$A$2:$A$1200,0)),""))</f>
      </c>
      <c r="U1019">
        <f>IF(connections!$A1019="","",IFERROR(INDEX(games!$B$2:$B$1200,MATCH(connections!$B1019,games!$A$2:$A$1200,0)),""))</f>
      </c>
      <c r="V1019">
        <f>IF(OR($T1019="",$U1019=""),"",$U1019-$T1019)</f>
      </c>
    </row>
    <row r="1020">
      <c r="A1020" t="str">
        <f>IF(games!$A1020="","",games!$A1020)</f>
      </c>
      <c r="B1020">
        <f>IF($A1020="","",games!$B1020)</f>
      </c>
      <c r="C1020" t="str">
        <f>IF($A1020="","",games!$C1020)</f>
      </c>
      <c r="D1020">
        <f>IF($A1020="","",COUNTIF(connections!$A$2:$A$2500,$A1020)+COUNTIF(connections!$B$2:$B$2500,$A1020))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IF(OR($A1020="",games!$H1020=""),"",games!$H1020)</f>
      </c>
      <c r="Q1020">
        <f>IF(OR($A1020="",$P1020&lt;&gt;"Yes"),"",$D1020+ROW()/1000000)</f>
      </c>
      <c r="T1020" t="str">
        <f>IF(connections!$A1020="","",IFERROR(INDEX(games!$B$2:$B$1200,MATCH(connections!$A1020,games!$A$2:$A$1200,0)),""))</f>
      </c>
      <c r="U1020">
        <f>IF(connections!$A1020="","",IFERROR(INDEX(games!$B$2:$B$1200,MATCH(connections!$B1020,games!$A$2:$A$1200,0)),""))</f>
      </c>
      <c r="V1020">
        <f>IF(OR($T1020="",$U1020=""),"",$U1020-$T1020)</f>
      </c>
    </row>
    <row r="1021">
      <c r="A1021" t="str">
        <f>IF(games!$A1021="","",games!$A1021)</f>
      </c>
      <c r="B1021">
        <f>IF($A1021="","",games!$B1021)</f>
      </c>
      <c r="C1021" t="str">
        <f>IF($A1021="","",games!$C1021)</f>
      </c>
      <c r="D1021">
        <f>IF($A1021="","",COUNTIF(connections!$A$2:$A$2500,$A1021)+COUNTIF(connections!$B$2:$B$2500,$A1021))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IF(OR($A1021="",games!$H1021=""),"",games!$H1021)</f>
      </c>
      <c r="Q1021">
        <f>IF(OR($A1021="",$P1021&lt;&gt;"Yes"),"",$D1021+ROW()/1000000)</f>
      </c>
      <c r="T1021" t="str">
        <f>IF(connections!$A1021="","",IFERROR(INDEX(games!$B$2:$B$1200,MATCH(connections!$A1021,games!$A$2:$A$1200,0)),""))</f>
      </c>
      <c r="U1021">
        <f>IF(connections!$A1021="","",IFERROR(INDEX(games!$B$2:$B$1200,MATCH(connections!$B1021,games!$A$2:$A$1200,0)),""))</f>
      </c>
      <c r="V1021">
        <f>IF(OR($T1021="",$U1021=""),"",$U1021-$T1021)</f>
      </c>
    </row>
    <row r="1022">
      <c r="A1022" t="str">
        <f>IF(games!$A1022="","",games!$A1022)</f>
      </c>
      <c r="B1022">
        <f>IF($A1022="","",games!$B1022)</f>
      </c>
      <c r="C1022" t="str">
        <f>IF($A1022="","",games!$C1022)</f>
      </c>
      <c r="D1022">
        <f>IF($A1022="","",COUNTIF(connections!$A$2:$A$2500,$A1022)+COUNTIF(connections!$B$2:$B$2500,$A1022))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IF(OR($A1022="",games!$H1022=""),"",games!$H1022)</f>
      </c>
      <c r="Q1022">
        <f>IF(OR($A1022="",$P1022&lt;&gt;"Yes"),"",$D1022+ROW()/1000000)</f>
      </c>
      <c r="T1022" t="str">
        <f>IF(connections!$A1022="","",IFERROR(INDEX(games!$B$2:$B$1200,MATCH(connections!$A1022,games!$A$2:$A$1200,0)),""))</f>
      </c>
      <c r="U1022">
        <f>IF(connections!$A1022="","",IFERROR(INDEX(games!$B$2:$B$1200,MATCH(connections!$B1022,games!$A$2:$A$1200,0)),""))</f>
      </c>
      <c r="V1022">
        <f>IF(OR($T1022="",$U1022=""),"",$U1022-$T1022)</f>
      </c>
    </row>
    <row r="1023">
      <c r="A1023" t="str">
        <f>IF(games!$A1023="","",games!$A1023)</f>
      </c>
      <c r="B1023">
        <f>IF($A1023="","",games!$B1023)</f>
      </c>
      <c r="C1023" t="str">
        <f>IF($A1023="","",games!$C1023)</f>
      </c>
      <c r="D1023">
        <f>IF($A1023="","",COUNTIF(connections!$A$2:$A$2500,$A1023)+COUNTIF(connections!$B$2:$B$2500,$A1023))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IF(OR($A1023="",games!$H1023=""),"",games!$H1023)</f>
      </c>
      <c r="Q1023">
        <f>IF(OR($A1023="",$P1023&lt;&gt;"Yes"),"",$D1023+ROW()/1000000)</f>
      </c>
      <c r="T1023" t="str">
        <f>IF(connections!$A1023="","",IFERROR(INDEX(games!$B$2:$B$1200,MATCH(connections!$A1023,games!$A$2:$A$1200,0)),""))</f>
      </c>
      <c r="U1023">
        <f>IF(connections!$A1023="","",IFERROR(INDEX(games!$B$2:$B$1200,MATCH(connections!$B1023,games!$A$2:$A$1200,0)),""))</f>
      </c>
      <c r="V1023">
        <f>IF(OR($T1023="",$U1023=""),"",$U1023-$T1023)</f>
      </c>
    </row>
    <row r="1024">
      <c r="A1024" t="str">
        <f>IF(games!$A1024="","",games!$A1024)</f>
      </c>
      <c r="B1024">
        <f>IF($A1024="","",games!$B1024)</f>
      </c>
      <c r="C1024" t="str">
        <f>IF($A1024="","",games!$C1024)</f>
      </c>
      <c r="D1024">
        <f>IF($A1024="","",COUNTIF(connections!$A$2:$A$2500,$A1024)+COUNTIF(connections!$B$2:$B$2500,$A1024))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IF(OR($A1024="",games!$H1024=""),"",games!$H1024)</f>
      </c>
      <c r="Q1024">
        <f>IF(OR($A1024="",$P1024&lt;&gt;"Yes"),"",$D1024+ROW()/1000000)</f>
      </c>
      <c r="T1024" t="str">
        <f>IF(connections!$A1024="","",IFERROR(INDEX(games!$B$2:$B$1200,MATCH(connections!$A1024,games!$A$2:$A$1200,0)),""))</f>
      </c>
      <c r="U1024">
        <f>IF(connections!$A1024="","",IFERROR(INDEX(games!$B$2:$B$1200,MATCH(connections!$B1024,games!$A$2:$A$1200,0)),""))</f>
      </c>
      <c r="V1024">
        <f>IF(OR($T1024="",$U1024=""),"",$U1024-$T1024)</f>
      </c>
    </row>
    <row r="1025">
      <c r="A1025" t="str">
        <f>IF(games!$A1025="","",games!$A1025)</f>
      </c>
      <c r="B1025">
        <f>IF($A1025="","",games!$B1025)</f>
      </c>
      <c r="C1025" t="str">
        <f>IF($A1025="","",games!$C1025)</f>
      </c>
      <c r="D1025">
        <f>IF($A1025="","",COUNTIF(connections!$A$2:$A$2500,$A1025)+COUNTIF(connections!$B$2:$B$2500,$A1025))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IF(OR($A1025="",games!$H1025=""),"",games!$H1025)</f>
      </c>
      <c r="Q1025">
        <f>IF(OR($A1025="",$P1025&lt;&gt;"Yes"),"",$D1025+ROW()/1000000)</f>
      </c>
      <c r="T1025" t="str">
        <f>IF(connections!$A1025="","",IFERROR(INDEX(games!$B$2:$B$1200,MATCH(connections!$A1025,games!$A$2:$A$1200,0)),""))</f>
      </c>
      <c r="U1025">
        <f>IF(connections!$A1025="","",IFERROR(INDEX(games!$B$2:$B$1200,MATCH(connections!$B1025,games!$A$2:$A$1200,0)),""))</f>
      </c>
      <c r="V1025">
        <f>IF(OR($T1025="",$U1025=""),"",$U1025-$T1025)</f>
      </c>
    </row>
    <row r="1026">
      <c r="A1026" t="str">
        <f>IF(games!$A1026="","",games!$A1026)</f>
      </c>
      <c r="B1026">
        <f>IF($A1026="","",games!$B1026)</f>
      </c>
      <c r="C1026" t="str">
        <f>IF($A1026="","",games!$C1026)</f>
      </c>
      <c r="D1026">
        <f>IF($A1026="","",COUNTIF(connections!$A$2:$A$2500,$A1026)+COUNTIF(connections!$B$2:$B$2500,$A1026))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IF(OR($A1026="",games!$H1026=""),"",games!$H1026)</f>
      </c>
      <c r="Q1026">
        <f>IF(OR($A1026="",$P1026&lt;&gt;"Yes"),"",$D1026+ROW()/1000000)</f>
      </c>
      <c r="T1026" t="str">
        <f>IF(connections!$A1026="","",IFERROR(INDEX(games!$B$2:$B$1200,MATCH(connections!$A1026,games!$A$2:$A$1200,0)),""))</f>
      </c>
      <c r="U1026">
        <f>IF(connections!$A1026="","",IFERROR(INDEX(games!$B$2:$B$1200,MATCH(connections!$B1026,games!$A$2:$A$1200,0)),""))</f>
      </c>
      <c r="V1026">
        <f>IF(OR($T1026="",$U1026=""),"",$U1026-$T1026)</f>
      </c>
    </row>
    <row r="1027">
      <c r="A1027" t="str">
        <f>IF(games!$A1027="","",games!$A1027)</f>
      </c>
      <c r="B1027">
        <f>IF($A1027="","",games!$B1027)</f>
      </c>
      <c r="C1027" t="str">
        <f>IF($A1027="","",games!$C1027)</f>
      </c>
      <c r="D1027">
        <f>IF($A1027="","",COUNTIF(connections!$A$2:$A$2500,$A1027)+COUNTIF(connections!$B$2:$B$2500,$A1027))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IF(OR($A1027="",games!$H1027=""),"",games!$H1027)</f>
      </c>
      <c r="Q1027">
        <f>IF(OR($A1027="",$P1027&lt;&gt;"Yes"),"",$D1027+ROW()/1000000)</f>
      </c>
      <c r="T1027" t="str">
        <f>IF(connections!$A1027="","",IFERROR(INDEX(games!$B$2:$B$1200,MATCH(connections!$A1027,games!$A$2:$A$1200,0)),""))</f>
      </c>
      <c r="U1027">
        <f>IF(connections!$A1027="","",IFERROR(INDEX(games!$B$2:$B$1200,MATCH(connections!$B1027,games!$A$2:$A$1200,0)),""))</f>
      </c>
      <c r="V1027">
        <f>IF(OR($T1027="",$U1027=""),"",$U1027-$T1027)</f>
      </c>
    </row>
    <row r="1028">
      <c r="A1028" t="str">
        <f>IF(games!$A1028="","",games!$A1028)</f>
      </c>
      <c r="B1028">
        <f>IF($A1028="","",games!$B1028)</f>
      </c>
      <c r="C1028" t="str">
        <f>IF($A1028="","",games!$C1028)</f>
      </c>
      <c r="D1028">
        <f>IF($A1028="","",COUNTIF(connections!$A$2:$A$2500,$A1028)+COUNTIF(connections!$B$2:$B$2500,$A1028))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IF(OR($A1028="",games!$H1028=""),"",games!$H1028)</f>
      </c>
      <c r="Q1028">
        <f>IF(OR($A1028="",$P1028&lt;&gt;"Yes"),"",$D1028+ROW()/1000000)</f>
      </c>
      <c r="T1028" t="str">
        <f>IF(connections!$A1028="","",IFERROR(INDEX(games!$B$2:$B$1200,MATCH(connections!$A1028,games!$A$2:$A$1200,0)),""))</f>
      </c>
      <c r="U1028">
        <f>IF(connections!$A1028="","",IFERROR(INDEX(games!$B$2:$B$1200,MATCH(connections!$B1028,games!$A$2:$A$1200,0)),""))</f>
      </c>
      <c r="V1028">
        <f>IF(OR($T1028="",$U1028=""),"",$U1028-$T1028)</f>
      </c>
    </row>
    <row r="1029">
      <c r="A1029" t="str">
        <f>IF(games!$A1029="","",games!$A1029)</f>
      </c>
      <c r="B1029">
        <f>IF($A1029="","",games!$B1029)</f>
      </c>
      <c r="C1029" t="str">
        <f>IF($A1029="","",games!$C1029)</f>
      </c>
      <c r="D1029">
        <f>IF($A1029="","",COUNTIF(connections!$A$2:$A$2500,$A1029)+COUNTIF(connections!$B$2:$B$2500,$A1029))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IF(OR($A1029="",games!$H1029=""),"",games!$H1029)</f>
      </c>
      <c r="Q1029">
        <f>IF(OR($A1029="",$P1029&lt;&gt;"Yes"),"",$D1029+ROW()/1000000)</f>
      </c>
      <c r="T1029" t="str">
        <f>IF(connections!$A1029="","",IFERROR(INDEX(games!$B$2:$B$1200,MATCH(connections!$A1029,games!$A$2:$A$1200,0)),""))</f>
      </c>
      <c r="U1029">
        <f>IF(connections!$A1029="","",IFERROR(INDEX(games!$B$2:$B$1200,MATCH(connections!$B1029,games!$A$2:$A$1200,0)),""))</f>
      </c>
      <c r="V1029">
        <f>IF(OR($T1029="",$U1029=""),"",$U1029-$T1029)</f>
      </c>
    </row>
    <row r="1030">
      <c r="A1030" t="str">
        <f>IF(games!$A1030="","",games!$A1030)</f>
      </c>
      <c r="B1030">
        <f>IF($A1030="","",games!$B1030)</f>
      </c>
      <c r="C1030" t="str">
        <f>IF($A1030="","",games!$C1030)</f>
      </c>
      <c r="D1030">
        <f>IF($A1030="","",COUNTIF(connections!$A$2:$A$2500,$A1030)+COUNTIF(connections!$B$2:$B$2500,$A1030))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IF(OR($A1030="",games!$H1030=""),"",games!$H1030)</f>
      </c>
      <c r="Q1030">
        <f>IF(OR($A1030="",$P1030&lt;&gt;"Yes"),"",$D1030+ROW()/1000000)</f>
      </c>
      <c r="T1030" t="str">
        <f>IF(connections!$A1030="","",IFERROR(INDEX(games!$B$2:$B$1200,MATCH(connections!$A1030,games!$A$2:$A$1200,0)),""))</f>
      </c>
      <c r="U1030">
        <f>IF(connections!$A1030="","",IFERROR(INDEX(games!$B$2:$B$1200,MATCH(connections!$B1030,games!$A$2:$A$1200,0)),""))</f>
      </c>
      <c r="V1030">
        <f>IF(OR($T1030="",$U1030=""),"",$U1030-$T1030)</f>
      </c>
    </row>
    <row r="1031">
      <c r="A1031" t="str">
        <f>IF(games!$A1031="","",games!$A1031)</f>
      </c>
      <c r="B1031">
        <f>IF($A1031="","",games!$B1031)</f>
      </c>
      <c r="C1031" t="str">
        <f>IF($A1031="","",games!$C1031)</f>
      </c>
      <c r="D1031">
        <f>IF($A1031="","",COUNTIF(connections!$A$2:$A$2500,$A1031)+COUNTIF(connections!$B$2:$B$2500,$A1031))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IF(OR($A1031="",games!$H1031=""),"",games!$H1031)</f>
      </c>
      <c r="Q1031">
        <f>IF(OR($A1031="",$P1031&lt;&gt;"Yes"),"",$D1031+ROW()/1000000)</f>
      </c>
      <c r="T1031" t="str">
        <f>IF(connections!$A1031="","",IFERROR(INDEX(games!$B$2:$B$1200,MATCH(connections!$A1031,games!$A$2:$A$1200,0)),""))</f>
      </c>
      <c r="U1031">
        <f>IF(connections!$A1031="","",IFERROR(INDEX(games!$B$2:$B$1200,MATCH(connections!$B1031,games!$A$2:$A$1200,0)),""))</f>
      </c>
      <c r="V1031">
        <f>IF(OR($T1031="",$U1031=""),"",$U1031-$T1031)</f>
      </c>
    </row>
    <row r="1032">
      <c r="A1032" t="str">
        <f>IF(games!$A1032="","",games!$A1032)</f>
      </c>
      <c r="B1032">
        <f>IF($A1032="","",games!$B1032)</f>
      </c>
      <c r="C1032" t="str">
        <f>IF($A1032="","",games!$C1032)</f>
      </c>
      <c r="D1032">
        <f>IF($A1032="","",COUNTIF(connections!$A$2:$A$2500,$A1032)+COUNTIF(connections!$B$2:$B$2500,$A1032))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IF(OR($A1032="",games!$H1032=""),"",games!$H1032)</f>
      </c>
      <c r="Q1032">
        <f>IF(OR($A1032="",$P1032&lt;&gt;"Yes"),"",$D1032+ROW()/1000000)</f>
      </c>
      <c r="T1032" t="str">
        <f>IF(connections!$A1032="","",IFERROR(INDEX(games!$B$2:$B$1200,MATCH(connections!$A1032,games!$A$2:$A$1200,0)),""))</f>
      </c>
      <c r="U1032">
        <f>IF(connections!$A1032="","",IFERROR(INDEX(games!$B$2:$B$1200,MATCH(connections!$B1032,games!$A$2:$A$1200,0)),""))</f>
      </c>
      <c r="V1032">
        <f>IF(OR($T1032="",$U1032=""),"",$U1032-$T1032)</f>
      </c>
    </row>
    <row r="1033">
      <c r="A1033" t="str">
        <f>IF(games!$A1033="","",games!$A1033)</f>
      </c>
      <c r="B1033">
        <f>IF($A1033="","",games!$B1033)</f>
      </c>
      <c r="C1033" t="str">
        <f>IF($A1033="","",games!$C1033)</f>
      </c>
      <c r="D1033">
        <f>IF($A1033="","",COUNTIF(connections!$A$2:$A$2500,$A1033)+COUNTIF(connections!$B$2:$B$2500,$A1033))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IF(OR($A1033="",games!$H1033=""),"",games!$H1033)</f>
      </c>
      <c r="Q1033">
        <f>IF(OR($A1033="",$P1033&lt;&gt;"Yes"),"",$D1033+ROW()/1000000)</f>
      </c>
      <c r="T1033" t="str">
        <f>IF(connections!$A1033="","",IFERROR(INDEX(games!$B$2:$B$1200,MATCH(connections!$A1033,games!$A$2:$A$1200,0)),""))</f>
      </c>
      <c r="U1033">
        <f>IF(connections!$A1033="","",IFERROR(INDEX(games!$B$2:$B$1200,MATCH(connections!$B1033,games!$A$2:$A$1200,0)),""))</f>
      </c>
      <c r="V1033">
        <f>IF(OR($T1033="",$U1033=""),"",$U1033-$T1033)</f>
      </c>
    </row>
    <row r="1034">
      <c r="A1034" t="str">
        <f>IF(games!$A1034="","",games!$A1034)</f>
      </c>
      <c r="B1034">
        <f>IF($A1034="","",games!$B1034)</f>
      </c>
      <c r="C1034" t="str">
        <f>IF($A1034="","",games!$C1034)</f>
      </c>
      <c r="D1034">
        <f>IF($A1034="","",COUNTIF(connections!$A$2:$A$2500,$A1034)+COUNTIF(connections!$B$2:$B$2500,$A1034))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IF(OR($A1034="",games!$H1034=""),"",games!$H1034)</f>
      </c>
      <c r="Q1034">
        <f>IF(OR($A1034="",$P1034&lt;&gt;"Yes"),"",$D1034+ROW()/1000000)</f>
      </c>
      <c r="T1034" t="str">
        <f>IF(connections!$A1034="","",IFERROR(INDEX(games!$B$2:$B$1200,MATCH(connections!$A1034,games!$A$2:$A$1200,0)),""))</f>
      </c>
      <c r="U1034">
        <f>IF(connections!$A1034="","",IFERROR(INDEX(games!$B$2:$B$1200,MATCH(connections!$B1034,games!$A$2:$A$1200,0)),""))</f>
      </c>
      <c r="V1034">
        <f>IF(OR($T1034="",$U1034=""),"",$U1034-$T1034)</f>
      </c>
    </row>
    <row r="1035">
      <c r="A1035" t="str">
        <f>IF(games!$A1035="","",games!$A1035)</f>
      </c>
      <c r="B1035">
        <f>IF($A1035="","",games!$B1035)</f>
      </c>
      <c r="C1035" t="str">
        <f>IF($A1035="","",games!$C1035)</f>
      </c>
      <c r="D1035">
        <f>IF($A1035="","",COUNTIF(connections!$A$2:$A$2500,$A1035)+COUNTIF(connections!$B$2:$B$2500,$A1035))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IF(OR($A1035="",games!$H1035=""),"",games!$H1035)</f>
      </c>
      <c r="Q1035">
        <f>IF(OR($A1035="",$P1035&lt;&gt;"Yes"),"",$D1035+ROW()/1000000)</f>
      </c>
      <c r="T1035" t="str">
        <f>IF(connections!$A1035="","",IFERROR(INDEX(games!$B$2:$B$1200,MATCH(connections!$A1035,games!$A$2:$A$1200,0)),""))</f>
      </c>
      <c r="U1035">
        <f>IF(connections!$A1035="","",IFERROR(INDEX(games!$B$2:$B$1200,MATCH(connections!$B1035,games!$A$2:$A$1200,0)),""))</f>
      </c>
      <c r="V1035">
        <f>IF(OR($T1035="",$U1035=""),"",$U1035-$T1035)</f>
      </c>
    </row>
    <row r="1036">
      <c r="A1036" t="str">
        <f>IF(games!$A1036="","",games!$A1036)</f>
      </c>
      <c r="B1036">
        <f>IF($A1036="","",games!$B1036)</f>
      </c>
      <c r="C1036" t="str">
        <f>IF($A1036="","",games!$C1036)</f>
      </c>
      <c r="D1036">
        <f>IF($A1036="","",COUNTIF(connections!$A$2:$A$2500,$A1036)+COUNTIF(connections!$B$2:$B$2500,$A1036))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IF(OR($A1036="",games!$H1036=""),"",games!$H1036)</f>
      </c>
      <c r="Q1036">
        <f>IF(OR($A1036="",$P1036&lt;&gt;"Yes"),"",$D1036+ROW()/1000000)</f>
      </c>
      <c r="T1036" t="str">
        <f>IF(connections!$A1036="","",IFERROR(INDEX(games!$B$2:$B$1200,MATCH(connections!$A1036,games!$A$2:$A$1200,0)),""))</f>
      </c>
      <c r="U1036">
        <f>IF(connections!$A1036="","",IFERROR(INDEX(games!$B$2:$B$1200,MATCH(connections!$B1036,games!$A$2:$A$1200,0)),""))</f>
      </c>
      <c r="V1036">
        <f>IF(OR($T1036="",$U1036=""),"",$U1036-$T1036)</f>
      </c>
    </row>
    <row r="1037">
      <c r="A1037" t="str">
        <f>IF(games!$A1037="","",games!$A1037)</f>
      </c>
      <c r="B1037">
        <f>IF($A1037="","",games!$B1037)</f>
      </c>
      <c r="C1037" t="str">
        <f>IF($A1037="","",games!$C1037)</f>
      </c>
      <c r="D1037">
        <f>IF($A1037="","",COUNTIF(connections!$A$2:$A$2500,$A1037)+COUNTIF(connections!$B$2:$B$2500,$A1037))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IF(OR($A1037="",games!$H1037=""),"",games!$H1037)</f>
      </c>
      <c r="Q1037">
        <f>IF(OR($A1037="",$P1037&lt;&gt;"Yes"),"",$D1037+ROW()/1000000)</f>
      </c>
      <c r="T1037" t="str">
        <f>IF(connections!$A1037="","",IFERROR(INDEX(games!$B$2:$B$1200,MATCH(connections!$A1037,games!$A$2:$A$1200,0)),""))</f>
      </c>
      <c r="U1037">
        <f>IF(connections!$A1037="","",IFERROR(INDEX(games!$B$2:$B$1200,MATCH(connections!$B1037,games!$A$2:$A$1200,0)),""))</f>
      </c>
      <c r="V1037">
        <f>IF(OR($T1037="",$U1037=""),"",$U1037-$T1037)</f>
      </c>
    </row>
    <row r="1038">
      <c r="A1038" t="str">
        <f>IF(games!$A1038="","",games!$A1038)</f>
      </c>
      <c r="B1038">
        <f>IF($A1038="","",games!$B1038)</f>
      </c>
      <c r="C1038" t="str">
        <f>IF($A1038="","",games!$C1038)</f>
      </c>
      <c r="D1038">
        <f>IF($A1038="","",COUNTIF(connections!$A$2:$A$2500,$A1038)+COUNTIF(connections!$B$2:$B$2500,$A1038))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IF(OR($A1038="",games!$H1038=""),"",games!$H1038)</f>
      </c>
      <c r="Q1038">
        <f>IF(OR($A1038="",$P1038&lt;&gt;"Yes"),"",$D1038+ROW()/1000000)</f>
      </c>
      <c r="T1038" t="str">
        <f>IF(connections!$A1038="","",IFERROR(INDEX(games!$B$2:$B$1200,MATCH(connections!$A1038,games!$A$2:$A$1200,0)),""))</f>
      </c>
      <c r="U1038">
        <f>IF(connections!$A1038="","",IFERROR(INDEX(games!$B$2:$B$1200,MATCH(connections!$B1038,games!$A$2:$A$1200,0)),""))</f>
      </c>
      <c r="V1038">
        <f>IF(OR($T1038="",$U1038=""),"",$U1038-$T1038)</f>
      </c>
    </row>
    <row r="1039">
      <c r="A1039" t="str">
        <f>IF(games!$A1039="","",games!$A1039)</f>
      </c>
      <c r="B1039">
        <f>IF($A1039="","",games!$B1039)</f>
      </c>
      <c r="C1039" t="str">
        <f>IF($A1039="","",games!$C1039)</f>
      </c>
      <c r="D1039">
        <f>IF($A1039="","",COUNTIF(connections!$A$2:$A$2500,$A1039)+COUNTIF(connections!$B$2:$B$2500,$A1039))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IF(OR($A1039="",games!$H1039=""),"",games!$H1039)</f>
      </c>
      <c r="Q1039">
        <f>IF(OR($A1039="",$P1039&lt;&gt;"Yes"),"",$D1039+ROW()/1000000)</f>
      </c>
      <c r="T1039" t="str">
        <f>IF(connections!$A1039="","",IFERROR(INDEX(games!$B$2:$B$1200,MATCH(connections!$A1039,games!$A$2:$A$1200,0)),""))</f>
      </c>
      <c r="U1039">
        <f>IF(connections!$A1039="","",IFERROR(INDEX(games!$B$2:$B$1200,MATCH(connections!$B1039,games!$A$2:$A$1200,0)),""))</f>
      </c>
      <c r="V1039">
        <f>IF(OR($T1039="",$U1039=""),"",$U1039-$T1039)</f>
      </c>
    </row>
    <row r="1040">
      <c r="A1040" t="str">
        <f>IF(games!$A1040="","",games!$A1040)</f>
      </c>
      <c r="B1040">
        <f>IF($A1040="","",games!$B1040)</f>
      </c>
      <c r="C1040" t="str">
        <f>IF($A1040="","",games!$C1040)</f>
      </c>
      <c r="D1040">
        <f>IF($A1040="","",COUNTIF(connections!$A$2:$A$2500,$A1040)+COUNTIF(connections!$B$2:$B$2500,$A1040))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IF(OR($A1040="",games!$H1040=""),"",games!$H1040)</f>
      </c>
      <c r="Q1040">
        <f>IF(OR($A1040="",$P1040&lt;&gt;"Yes"),"",$D1040+ROW()/1000000)</f>
      </c>
      <c r="T1040" t="str">
        <f>IF(connections!$A1040="","",IFERROR(INDEX(games!$B$2:$B$1200,MATCH(connections!$A1040,games!$A$2:$A$1200,0)),""))</f>
      </c>
      <c r="U1040">
        <f>IF(connections!$A1040="","",IFERROR(INDEX(games!$B$2:$B$1200,MATCH(connections!$B1040,games!$A$2:$A$1200,0)),""))</f>
      </c>
      <c r="V1040">
        <f>IF(OR($T1040="",$U1040=""),"",$U1040-$T1040)</f>
      </c>
    </row>
    <row r="1041">
      <c r="A1041" t="str">
        <f>IF(games!$A1041="","",games!$A1041)</f>
      </c>
      <c r="B1041">
        <f>IF($A1041="","",games!$B1041)</f>
      </c>
      <c r="C1041" t="str">
        <f>IF($A1041="","",games!$C1041)</f>
      </c>
      <c r="D1041">
        <f>IF($A1041="","",COUNTIF(connections!$A$2:$A$2500,$A1041)+COUNTIF(connections!$B$2:$B$2500,$A1041))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IF(OR($A1041="",games!$H1041=""),"",games!$H1041)</f>
      </c>
      <c r="Q1041">
        <f>IF(OR($A1041="",$P1041&lt;&gt;"Yes"),"",$D1041+ROW()/1000000)</f>
      </c>
      <c r="T1041" t="str">
        <f>IF(connections!$A1041="","",IFERROR(INDEX(games!$B$2:$B$1200,MATCH(connections!$A1041,games!$A$2:$A$1200,0)),""))</f>
      </c>
      <c r="U1041">
        <f>IF(connections!$A1041="","",IFERROR(INDEX(games!$B$2:$B$1200,MATCH(connections!$B1041,games!$A$2:$A$1200,0)),""))</f>
      </c>
      <c r="V1041">
        <f>IF(OR($T1041="",$U1041=""),"",$U1041-$T1041)</f>
      </c>
    </row>
    <row r="1042">
      <c r="A1042" t="str">
        <f>IF(games!$A1042="","",games!$A1042)</f>
      </c>
      <c r="B1042">
        <f>IF($A1042="","",games!$B1042)</f>
      </c>
      <c r="C1042" t="str">
        <f>IF($A1042="","",games!$C1042)</f>
      </c>
      <c r="D1042">
        <f>IF($A1042="","",COUNTIF(connections!$A$2:$A$2500,$A1042)+COUNTIF(connections!$B$2:$B$2500,$A1042))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IF(OR($A1042="",games!$H1042=""),"",games!$H1042)</f>
      </c>
      <c r="Q1042">
        <f>IF(OR($A1042="",$P1042&lt;&gt;"Yes"),"",$D1042+ROW()/1000000)</f>
      </c>
      <c r="T1042" t="str">
        <f>IF(connections!$A1042="","",IFERROR(INDEX(games!$B$2:$B$1200,MATCH(connections!$A1042,games!$A$2:$A$1200,0)),""))</f>
      </c>
      <c r="U1042">
        <f>IF(connections!$A1042="","",IFERROR(INDEX(games!$B$2:$B$1200,MATCH(connections!$B1042,games!$A$2:$A$1200,0)),""))</f>
      </c>
      <c r="V1042">
        <f>IF(OR($T1042="",$U1042=""),"",$U1042-$T1042)</f>
      </c>
    </row>
    <row r="1043">
      <c r="A1043" t="str">
        <f>IF(games!$A1043="","",games!$A1043)</f>
      </c>
      <c r="B1043">
        <f>IF($A1043="","",games!$B1043)</f>
      </c>
      <c r="C1043" t="str">
        <f>IF($A1043="","",games!$C1043)</f>
      </c>
      <c r="D1043">
        <f>IF($A1043="","",COUNTIF(connections!$A$2:$A$2500,$A1043)+COUNTIF(connections!$B$2:$B$2500,$A1043))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IF(OR($A1043="",games!$H1043=""),"",games!$H1043)</f>
      </c>
      <c r="Q1043">
        <f>IF(OR($A1043="",$P1043&lt;&gt;"Yes"),"",$D1043+ROW()/1000000)</f>
      </c>
      <c r="T1043" t="str">
        <f>IF(connections!$A1043="","",IFERROR(INDEX(games!$B$2:$B$1200,MATCH(connections!$A1043,games!$A$2:$A$1200,0)),""))</f>
      </c>
      <c r="U1043">
        <f>IF(connections!$A1043="","",IFERROR(INDEX(games!$B$2:$B$1200,MATCH(connections!$B1043,games!$A$2:$A$1200,0)),""))</f>
      </c>
      <c r="V1043">
        <f>IF(OR($T1043="",$U1043=""),"",$U1043-$T1043)</f>
      </c>
    </row>
    <row r="1044">
      <c r="A1044" t="str">
        <f>IF(games!$A1044="","",games!$A1044)</f>
      </c>
      <c r="B1044">
        <f>IF($A1044="","",games!$B1044)</f>
      </c>
      <c r="C1044" t="str">
        <f>IF($A1044="","",games!$C1044)</f>
      </c>
      <c r="D1044">
        <f>IF($A1044="","",COUNTIF(connections!$A$2:$A$2500,$A1044)+COUNTIF(connections!$B$2:$B$2500,$A1044))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IF(OR($A1044="",games!$H1044=""),"",games!$H1044)</f>
      </c>
      <c r="Q1044">
        <f>IF(OR($A1044="",$P1044&lt;&gt;"Yes"),"",$D1044+ROW()/1000000)</f>
      </c>
      <c r="T1044" t="str">
        <f>IF(connections!$A1044="","",IFERROR(INDEX(games!$B$2:$B$1200,MATCH(connections!$A1044,games!$A$2:$A$1200,0)),""))</f>
      </c>
      <c r="U1044">
        <f>IF(connections!$A1044="","",IFERROR(INDEX(games!$B$2:$B$1200,MATCH(connections!$B1044,games!$A$2:$A$1200,0)),""))</f>
      </c>
      <c r="V1044">
        <f>IF(OR($T1044="",$U1044=""),"",$U1044-$T1044)</f>
      </c>
    </row>
    <row r="1045">
      <c r="A1045" t="str">
        <f>IF(games!$A1045="","",games!$A1045)</f>
      </c>
      <c r="B1045">
        <f>IF($A1045="","",games!$B1045)</f>
      </c>
      <c r="C1045" t="str">
        <f>IF($A1045="","",games!$C1045)</f>
      </c>
      <c r="D1045">
        <f>IF($A1045="","",COUNTIF(connections!$A$2:$A$2500,$A1045)+COUNTIF(connections!$B$2:$B$2500,$A1045))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IF(OR($A1045="",games!$H1045=""),"",games!$H1045)</f>
      </c>
      <c r="Q1045">
        <f>IF(OR($A1045="",$P1045&lt;&gt;"Yes"),"",$D1045+ROW()/1000000)</f>
      </c>
      <c r="T1045" t="str">
        <f>IF(connections!$A1045="","",IFERROR(INDEX(games!$B$2:$B$1200,MATCH(connections!$A1045,games!$A$2:$A$1200,0)),""))</f>
      </c>
      <c r="U1045">
        <f>IF(connections!$A1045="","",IFERROR(INDEX(games!$B$2:$B$1200,MATCH(connections!$B1045,games!$A$2:$A$1200,0)),""))</f>
      </c>
      <c r="V1045">
        <f>IF(OR($T1045="",$U1045=""),"",$U1045-$T1045)</f>
      </c>
    </row>
    <row r="1046">
      <c r="A1046" t="str">
        <f>IF(games!$A1046="","",games!$A1046)</f>
      </c>
      <c r="B1046">
        <f>IF($A1046="","",games!$B1046)</f>
      </c>
      <c r="C1046" t="str">
        <f>IF($A1046="","",games!$C1046)</f>
      </c>
      <c r="D1046">
        <f>IF($A1046="","",COUNTIF(connections!$A$2:$A$2500,$A1046)+COUNTIF(connections!$B$2:$B$2500,$A1046))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IF(OR($A1046="",games!$H1046=""),"",games!$H1046)</f>
      </c>
      <c r="Q1046">
        <f>IF(OR($A1046="",$P1046&lt;&gt;"Yes"),"",$D1046+ROW()/1000000)</f>
      </c>
      <c r="T1046" t="str">
        <f>IF(connections!$A1046="","",IFERROR(INDEX(games!$B$2:$B$1200,MATCH(connections!$A1046,games!$A$2:$A$1200,0)),""))</f>
      </c>
      <c r="U1046">
        <f>IF(connections!$A1046="","",IFERROR(INDEX(games!$B$2:$B$1200,MATCH(connections!$B1046,games!$A$2:$A$1200,0)),""))</f>
      </c>
      <c r="V1046">
        <f>IF(OR($T1046="",$U1046=""),"",$U1046-$T1046)</f>
      </c>
    </row>
    <row r="1047">
      <c r="A1047" t="str">
        <f>IF(games!$A1047="","",games!$A1047)</f>
      </c>
      <c r="B1047">
        <f>IF($A1047="","",games!$B1047)</f>
      </c>
      <c r="C1047" t="str">
        <f>IF($A1047="","",games!$C1047)</f>
      </c>
      <c r="D1047">
        <f>IF($A1047="","",COUNTIF(connections!$A$2:$A$2500,$A1047)+COUNTIF(connections!$B$2:$B$2500,$A1047))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IF(OR($A1047="",games!$H1047=""),"",games!$H1047)</f>
      </c>
      <c r="Q1047">
        <f>IF(OR($A1047="",$P1047&lt;&gt;"Yes"),"",$D1047+ROW()/1000000)</f>
      </c>
      <c r="T1047" t="str">
        <f>IF(connections!$A1047="","",IFERROR(INDEX(games!$B$2:$B$1200,MATCH(connections!$A1047,games!$A$2:$A$1200,0)),""))</f>
      </c>
      <c r="U1047">
        <f>IF(connections!$A1047="","",IFERROR(INDEX(games!$B$2:$B$1200,MATCH(connections!$B1047,games!$A$2:$A$1200,0)),""))</f>
      </c>
      <c r="V1047">
        <f>IF(OR($T1047="",$U1047=""),"",$U1047-$T1047)</f>
      </c>
    </row>
    <row r="1048">
      <c r="A1048" t="str">
        <f>IF(games!$A1048="","",games!$A1048)</f>
      </c>
      <c r="B1048">
        <f>IF($A1048="","",games!$B1048)</f>
      </c>
      <c r="C1048" t="str">
        <f>IF($A1048="","",games!$C1048)</f>
      </c>
      <c r="D1048">
        <f>IF($A1048="","",COUNTIF(connections!$A$2:$A$2500,$A1048)+COUNTIF(connections!$B$2:$B$2500,$A1048))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IF(OR($A1048="",games!$H1048=""),"",games!$H1048)</f>
      </c>
      <c r="Q1048">
        <f>IF(OR($A1048="",$P1048&lt;&gt;"Yes"),"",$D1048+ROW()/1000000)</f>
      </c>
      <c r="T1048" t="str">
        <f>IF(connections!$A1048="","",IFERROR(INDEX(games!$B$2:$B$1200,MATCH(connections!$A1048,games!$A$2:$A$1200,0)),""))</f>
      </c>
      <c r="U1048">
        <f>IF(connections!$A1048="","",IFERROR(INDEX(games!$B$2:$B$1200,MATCH(connections!$B1048,games!$A$2:$A$1200,0)),""))</f>
      </c>
      <c r="V1048">
        <f>IF(OR($T1048="",$U1048=""),"",$U1048-$T1048)</f>
      </c>
    </row>
    <row r="1049">
      <c r="A1049" t="str">
        <f>IF(games!$A1049="","",games!$A1049)</f>
      </c>
      <c r="B1049">
        <f>IF($A1049="","",games!$B1049)</f>
      </c>
      <c r="C1049" t="str">
        <f>IF($A1049="","",games!$C1049)</f>
      </c>
      <c r="D1049">
        <f>IF($A1049="","",COUNTIF(connections!$A$2:$A$2500,$A1049)+COUNTIF(connections!$B$2:$B$2500,$A1049))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IF(OR($A1049="",games!$H1049=""),"",games!$H1049)</f>
      </c>
      <c r="Q1049">
        <f>IF(OR($A1049="",$P1049&lt;&gt;"Yes"),"",$D1049+ROW()/1000000)</f>
      </c>
      <c r="T1049" t="str">
        <f>IF(connections!$A1049="","",IFERROR(INDEX(games!$B$2:$B$1200,MATCH(connections!$A1049,games!$A$2:$A$1200,0)),""))</f>
      </c>
      <c r="U1049">
        <f>IF(connections!$A1049="","",IFERROR(INDEX(games!$B$2:$B$1200,MATCH(connections!$B1049,games!$A$2:$A$1200,0)),""))</f>
      </c>
      <c r="V1049">
        <f>IF(OR($T1049="",$U1049=""),"",$U1049-$T1049)</f>
      </c>
    </row>
    <row r="1050">
      <c r="A1050" t="str">
        <f>IF(games!$A1050="","",games!$A1050)</f>
      </c>
      <c r="B1050">
        <f>IF($A1050="","",games!$B1050)</f>
      </c>
      <c r="C1050" t="str">
        <f>IF($A1050="","",games!$C1050)</f>
      </c>
      <c r="D1050">
        <f>IF($A1050="","",COUNTIF(connections!$A$2:$A$2500,$A1050)+COUNTIF(connections!$B$2:$B$2500,$A1050))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IF(OR($A1050="",games!$H1050=""),"",games!$H1050)</f>
      </c>
      <c r="Q1050">
        <f>IF(OR($A1050="",$P1050&lt;&gt;"Yes"),"",$D1050+ROW()/1000000)</f>
      </c>
      <c r="T1050" t="str">
        <f>IF(connections!$A1050="","",IFERROR(INDEX(games!$B$2:$B$1200,MATCH(connections!$A1050,games!$A$2:$A$1200,0)),""))</f>
      </c>
      <c r="U1050">
        <f>IF(connections!$A1050="","",IFERROR(INDEX(games!$B$2:$B$1200,MATCH(connections!$B1050,games!$A$2:$A$1200,0)),""))</f>
      </c>
      <c r="V1050">
        <f>IF(OR($T1050="",$U1050=""),"",$U1050-$T1050)</f>
      </c>
    </row>
    <row r="1051">
      <c r="A1051" t="str">
        <f>IF(games!$A1051="","",games!$A1051)</f>
      </c>
      <c r="B1051">
        <f>IF($A1051="","",games!$B1051)</f>
      </c>
      <c r="C1051" t="str">
        <f>IF($A1051="","",games!$C1051)</f>
      </c>
      <c r="D1051">
        <f>IF($A1051="","",COUNTIF(connections!$A$2:$A$2500,$A1051)+COUNTIF(connections!$B$2:$B$2500,$A1051))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IF(OR($A1051="",games!$H1051=""),"",games!$H1051)</f>
      </c>
      <c r="Q1051">
        <f>IF(OR($A1051="",$P1051&lt;&gt;"Yes"),"",$D1051+ROW()/1000000)</f>
      </c>
      <c r="T1051" t="str">
        <f>IF(connections!$A1051="","",IFERROR(INDEX(games!$B$2:$B$1200,MATCH(connections!$A1051,games!$A$2:$A$1200,0)),""))</f>
      </c>
      <c r="U1051">
        <f>IF(connections!$A1051="","",IFERROR(INDEX(games!$B$2:$B$1200,MATCH(connections!$B1051,games!$A$2:$A$1200,0)),""))</f>
      </c>
      <c r="V1051">
        <f>IF(OR($T1051="",$U1051=""),"",$U1051-$T1051)</f>
      </c>
    </row>
    <row r="1052">
      <c r="A1052" t="str">
        <f>IF(games!$A1052="","",games!$A1052)</f>
      </c>
      <c r="B1052">
        <f>IF($A1052="","",games!$B1052)</f>
      </c>
      <c r="C1052" t="str">
        <f>IF($A1052="","",games!$C1052)</f>
      </c>
      <c r="D1052">
        <f>IF($A1052="","",COUNTIF(connections!$A$2:$A$2500,$A1052)+COUNTIF(connections!$B$2:$B$2500,$A1052))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IF(OR($A1052="",games!$H1052=""),"",games!$H1052)</f>
      </c>
      <c r="Q1052">
        <f>IF(OR($A1052="",$P1052&lt;&gt;"Yes"),"",$D1052+ROW()/1000000)</f>
      </c>
      <c r="T1052" t="str">
        <f>IF(connections!$A1052="","",IFERROR(INDEX(games!$B$2:$B$1200,MATCH(connections!$A1052,games!$A$2:$A$1200,0)),""))</f>
      </c>
      <c r="U1052">
        <f>IF(connections!$A1052="","",IFERROR(INDEX(games!$B$2:$B$1200,MATCH(connections!$B1052,games!$A$2:$A$1200,0)),""))</f>
      </c>
      <c r="V1052">
        <f>IF(OR($T1052="",$U1052=""),"",$U1052-$T1052)</f>
      </c>
    </row>
    <row r="1053">
      <c r="A1053" t="str">
        <f>IF(games!$A1053="","",games!$A1053)</f>
      </c>
      <c r="B1053">
        <f>IF($A1053="","",games!$B1053)</f>
      </c>
      <c r="C1053" t="str">
        <f>IF($A1053="","",games!$C1053)</f>
      </c>
      <c r="D1053">
        <f>IF($A1053="","",COUNTIF(connections!$A$2:$A$2500,$A1053)+COUNTIF(connections!$B$2:$B$2500,$A1053))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IF(OR($A1053="",games!$H1053=""),"",games!$H1053)</f>
      </c>
      <c r="Q1053">
        <f>IF(OR($A1053="",$P1053&lt;&gt;"Yes"),"",$D1053+ROW()/1000000)</f>
      </c>
      <c r="T1053" t="str">
        <f>IF(connections!$A1053="","",IFERROR(INDEX(games!$B$2:$B$1200,MATCH(connections!$A1053,games!$A$2:$A$1200,0)),""))</f>
      </c>
      <c r="U1053">
        <f>IF(connections!$A1053="","",IFERROR(INDEX(games!$B$2:$B$1200,MATCH(connections!$B1053,games!$A$2:$A$1200,0)),""))</f>
      </c>
      <c r="V1053">
        <f>IF(OR($T1053="",$U1053=""),"",$U1053-$T1053)</f>
      </c>
    </row>
    <row r="1054">
      <c r="A1054" t="str">
        <f>IF(games!$A1054="","",games!$A1054)</f>
      </c>
      <c r="B1054">
        <f>IF($A1054="","",games!$B1054)</f>
      </c>
      <c r="C1054" t="str">
        <f>IF($A1054="","",games!$C1054)</f>
      </c>
      <c r="D1054">
        <f>IF($A1054="","",COUNTIF(connections!$A$2:$A$2500,$A1054)+COUNTIF(connections!$B$2:$B$2500,$A1054))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IF(OR($A1054="",games!$H1054=""),"",games!$H1054)</f>
      </c>
      <c r="Q1054">
        <f>IF(OR($A1054="",$P1054&lt;&gt;"Yes"),"",$D1054+ROW()/1000000)</f>
      </c>
      <c r="T1054" t="str">
        <f>IF(connections!$A1054="","",IFERROR(INDEX(games!$B$2:$B$1200,MATCH(connections!$A1054,games!$A$2:$A$1200,0)),""))</f>
      </c>
      <c r="U1054">
        <f>IF(connections!$A1054="","",IFERROR(INDEX(games!$B$2:$B$1200,MATCH(connections!$B1054,games!$A$2:$A$1200,0)),""))</f>
      </c>
      <c r="V1054">
        <f>IF(OR($T1054="",$U1054=""),"",$U1054-$T1054)</f>
      </c>
    </row>
    <row r="1055">
      <c r="A1055" t="str">
        <f>IF(games!$A1055="","",games!$A1055)</f>
      </c>
      <c r="B1055">
        <f>IF($A1055="","",games!$B1055)</f>
      </c>
      <c r="C1055" t="str">
        <f>IF($A1055="","",games!$C1055)</f>
      </c>
      <c r="D1055">
        <f>IF($A1055="","",COUNTIF(connections!$A$2:$A$2500,$A1055)+COUNTIF(connections!$B$2:$B$2500,$A1055))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IF(OR($A1055="",games!$H1055=""),"",games!$H1055)</f>
      </c>
      <c r="Q1055">
        <f>IF(OR($A1055="",$P1055&lt;&gt;"Yes"),"",$D1055+ROW()/1000000)</f>
      </c>
      <c r="T1055" t="str">
        <f>IF(connections!$A1055="","",IFERROR(INDEX(games!$B$2:$B$1200,MATCH(connections!$A1055,games!$A$2:$A$1200,0)),""))</f>
      </c>
      <c r="U1055">
        <f>IF(connections!$A1055="","",IFERROR(INDEX(games!$B$2:$B$1200,MATCH(connections!$B1055,games!$A$2:$A$1200,0)),""))</f>
      </c>
      <c r="V1055">
        <f>IF(OR($T1055="",$U1055=""),"",$U1055-$T1055)</f>
      </c>
    </row>
    <row r="1056">
      <c r="A1056" t="str">
        <f>IF(games!$A1056="","",games!$A1056)</f>
      </c>
      <c r="B1056">
        <f>IF($A1056="","",games!$B1056)</f>
      </c>
      <c r="C1056" t="str">
        <f>IF($A1056="","",games!$C1056)</f>
      </c>
      <c r="D1056">
        <f>IF($A1056="","",COUNTIF(connections!$A$2:$A$2500,$A1056)+COUNTIF(connections!$B$2:$B$2500,$A1056))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IF(OR($A1056="",games!$H1056=""),"",games!$H1056)</f>
      </c>
      <c r="Q1056">
        <f>IF(OR($A1056="",$P1056&lt;&gt;"Yes"),"",$D1056+ROW()/1000000)</f>
      </c>
      <c r="T1056" t="str">
        <f>IF(connections!$A1056="","",IFERROR(INDEX(games!$B$2:$B$1200,MATCH(connections!$A1056,games!$A$2:$A$1200,0)),""))</f>
      </c>
      <c r="U1056">
        <f>IF(connections!$A1056="","",IFERROR(INDEX(games!$B$2:$B$1200,MATCH(connections!$B1056,games!$A$2:$A$1200,0)),""))</f>
      </c>
      <c r="V1056">
        <f>IF(OR($T1056="",$U1056=""),"",$U1056-$T1056)</f>
      </c>
    </row>
    <row r="1057">
      <c r="A1057" t="str">
        <f>IF(games!$A1057="","",games!$A1057)</f>
      </c>
      <c r="B1057">
        <f>IF($A1057="","",games!$B1057)</f>
      </c>
      <c r="C1057" t="str">
        <f>IF($A1057="","",games!$C1057)</f>
      </c>
      <c r="D1057">
        <f>IF($A1057="","",COUNTIF(connections!$A$2:$A$2500,$A1057)+COUNTIF(connections!$B$2:$B$2500,$A1057))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IF(OR($A1057="",games!$H1057=""),"",games!$H1057)</f>
      </c>
      <c r="Q1057">
        <f>IF(OR($A1057="",$P1057&lt;&gt;"Yes"),"",$D1057+ROW()/1000000)</f>
      </c>
      <c r="T1057" t="str">
        <f>IF(connections!$A1057="","",IFERROR(INDEX(games!$B$2:$B$1200,MATCH(connections!$A1057,games!$A$2:$A$1200,0)),""))</f>
      </c>
      <c r="U1057">
        <f>IF(connections!$A1057="","",IFERROR(INDEX(games!$B$2:$B$1200,MATCH(connections!$B1057,games!$A$2:$A$1200,0)),""))</f>
      </c>
      <c r="V1057">
        <f>IF(OR($T1057="",$U1057=""),"",$U1057-$T1057)</f>
      </c>
    </row>
    <row r="1058">
      <c r="A1058" t="str">
        <f>IF(games!$A1058="","",games!$A1058)</f>
      </c>
      <c r="B1058">
        <f>IF($A1058="","",games!$B1058)</f>
      </c>
      <c r="C1058" t="str">
        <f>IF($A1058="","",games!$C1058)</f>
      </c>
      <c r="D1058">
        <f>IF($A1058="","",COUNTIF(connections!$A$2:$A$2500,$A1058)+COUNTIF(connections!$B$2:$B$2500,$A1058))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IF(OR($A1058="",games!$H1058=""),"",games!$H1058)</f>
      </c>
      <c r="Q1058">
        <f>IF(OR($A1058="",$P1058&lt;&gt;"Yes"),"",$D1058+ROW()/1000000)</f>
      </c>
      <c r="T1058" t="str">
        <f>IF(connections!$A1058="","",IFERROR(INDEX(games!$B$2:$B$1200,MATCH(connections!$A1058,games!$A$2:$A$1200,0)),""))</f>
      </c>
      <c r="U1058">
        <f>IF(connections!$A1058="","",IFERROR(INDEX(games!$B$2:$B$1200,MATCH(connections!$B1058,games!$A$2:$A$1200,0)),""))</f>
      </c>
      <c r="V1058">
        <f>IF(OR($T1058="",$U1058=""),"",$U1058-$T1058)</f>
      </c>
    </row>
    <row r="1059">
      <c r="A1059" t="str">
        <f>IF(games!$A1059="","",games!$A1059)</f>
      </c>
      <c r="B1059">
        <f>IF($A1059="","",games!$B1059)</f>
      </c>
      <c r="C1059" t="str">
        <f>IF($A1059="","",games!$C1059)</f>
      </c>
      <c r="D1059">
        <f>IF($A1059="","",COUNTIF(connections!$A$2:$A$2500,$A1059)+COUNTIF(connections!$B$2:$B$2500,$A1059))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IF(OR($A1059="",games!$H1059=""),"",games!$H1059)</f>
      </c>
      <c r="Q1059">
        <f>IF(OR($A1059="",$P1059&lt;&gt;"Yes"),"",$D1059+ROW()/1000000)</f>
      </c>
      <c r="T1059" t="str">
        <f>IF(connections!$A1059="","",IFERROR(INDEX(games!$B$2:$B$1200,MATCH(connections!$A1059,games!$A$2:$A$1200,0)),""))</f>
      </c>
      <c r="U1059">
        <f>IF(connections!$A1059="","",IFERROR(INDEX(games!$B$2:$B$1200,MATCH(connections!$B1059,games!$A$2:$A$1200,0)),""))</f>
      </c>
      <c r="V1059">
        <f>IF(OR($T1059="",$U1059=""),"",$U1059-$T1059)</f>
      </c>
    </row>
    <row r="1060">
      <c r="A1060" t="str">
        <f>IF(games!$A1060="","",games!$A1060)</f>
      </c>
      <c r="B1060">
        <f>IF($A1060="","",games!$B1060)</f>
      </c>
      <c r="C1060" t="str">
        <f>IF($A1060="","",games!$C1060)</f>
      </c>
      <c r="D1060">
        <f>IF($A1060="","",COUNTIF(connections!$A$2:$A$2500,$A1060)+COUNTIF(connections!$B$2:$B$2500,$A1060))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IF(OR($A1060="",games!$H1060=""),"",games!$H1060)</f>
      </c>
      <c r="Q1060">
        <f>IF(OR($A1060="",$P1060&lt;&gt;"Yes"),"",$D1060+ROW()/1000000)</f>
      </c>
      <c r="T1060" t="str">
        <f>IF(connections!$A1060="","",IFERROR(INDEX(games!$B$2:$B$1200,MATCH(connections!$A1060,games!$A$2:$A$1200,0)),""))</f>
      </c>
      <c r="U1060">
        <f>IF(connections!$A1060="","",IFERROR(INDEX(games!$B$2:$B$1200,MATCH(connections!$B1060,games!$A$2:$A$1200,0)),""))</f>
      </c>
      <c r="V1060">
        <f>IF(OR($T1060="",$U1060=""),"",$U1060-$T1060)</f>
      </c>
    </row>
    <row r="1061">
      <c r="A1061" t="str">
        <f>IF(games!$A1061="","",games!$A1061)</f>
      </c>
      <c r="B1061">
        <f>IF($A1061="","",games!$B1061)</f>
      </c>
      <c r="C1061" t="str">
        <f>IF($A1061="","",games!$C1061)</f>
      </c>
      <c r="D1061">
        <f>IF($A1061="","",COUNTIF(connections!$A$2:$A$2500,$A1061)+COUNTIF(connections!$B$2:$B$2500,$A1061))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IF(OR($A1061="",games!$H1061=""),"",games!$H1061)</f>
      </c>
      <c r="Q1061">
        <f>IF(OR($A1061="",$P1061&lt;&gt;"Yes"),"",$D1061+ROW()/1000000)</f>
      </c>
      <c r="T1061" t="str">
        <f>IF(connections!$A1061="","",IFERROR(INDEX(games!$B$2:$B$1200,MATCH(connections!$A1061,games!$A$2:$A$1200,0)),""))</f>
      </c>
      <c r="U1061">
        <f>IF(connections!$A1061="","",IFERROR(INDEX(games!$B$2:$B$1200,MATCH(connections!$B1061,games!$A$2:$A$1200,0)),""))</f>
      </c>
      <c r="V1061">
        <f>IF(OR($T1061="",$U1061=""),"",$U1061-$T1061)</f>
      </c>
    </row>
    <row r="1062">
      <c r="A1062" t="str">
        <f>IF(games!$A1062="","",games!$A1062)</f>
      </c>
      <c r="B1062">
        <f>IF($A1062="","",games!$B1062)</f>
      </c>
      <c r="C1062" t="str">
        <f>IF($A1062="","",games!$C1062)</f>
      </c>
      <c r="D1062">
        <f>IF($A1062="","",COUNTIF(connections!$A$2:$A$2500,$A1062)+COUNTIF(connections!$B$2:$B$2500,$A1062))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IF(OR($A1062="",games!$H1062=""),"",games!$H1062)</f>
      </c>
      <c r="Q1062">
        <f>IF(OR($A1062="",$P1062&lt;&gt;"Yes"),"",$D1062+ROW()/1000000)</f>
      </c>
      <c r="T1062" t="str">
        <f>IF(connections!$A1062="","",IFERROR(INDEX(games!$B$2:$B$1200,MATCH(connections!$A1062,games!$A$2:$A$1200,0)),""))</f>
      </c>
      <c r="U1062">
        <f>IF(connections!$A1062="","",IFERROR(INDEX(games!$B$2:$B$1200,MATCH(connections!$B1062,games!$A$2:$A$1200,0)),""))</f>
      </c>
      <c r="V1062">
        <f>IF(OR($T1062="",$U1062=""),"",$U1062-$T1062)</f>
      </c>
    </row>
    <row r="1063">
      <c r="A1063" t="str">
        <f>IF(games!$A1063="","",games!$A1063)</f>
      </c>
      <c r="B1063">
        <f>IF($A1063="","",games!$B1063)</f>
      </c>
      <c r="C1063" t="str">
        <f>IF($A1063="","",games!$C1063)</f>
      </c>
      <c r="D1063">
        <f>IF($A1063="","",COUNTIF(connections!$A$2:$A$2500,$A1063)+COUNTIF(connections!$B$2:$B$2500,$A1063))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IF(OR($A1063="",games!$H1063=""),"",games!$H1063)</f>
      </c>
      <c r="Q1063">
        <f>IF(OR($A1063="",$P1063&lt;&gt;"Yes"),"",$D1063+ROW()/1000000)</f>
      </c>
      <c r="T1063" t="str">
        <f>IF(connections!$A1063="","",IFERROR(INDEX(games!$B$2:$B$1200,MATCH(connections!$A1063,games!$A$2:$A$1200,0)),""))</f>
      </c>
      <c r="U1063">
        <f>IF(connections!$A1063="","",IFERROR(INDEX(games!$B$2:$B$1200,MATCH(connections!$B1063,games!$A$2:$A$1200,0)),""))</f>
      </c>
      <c r="V1063">
        <f>IF(OR($T1063="",$U1063=""),"",$U1063-$T1063)</f>
      </c>
    </row>
    <row r="1064">
      <c r="A1064" t="str">
        <f>IF(games!$A1064="","",games!$A1064)</f>
      </c>
      <c r="B1064">
        <f>IF($A1064="","",games!$B1064)</f>
      </c>
      <c r="C1064" t="str">
        <f>IF($A1064="","",games!$C1064)</f>
      </c>
      <c r="D1064">
        <f>IF($A1064="","",COUNTIF(connections!$A$2:$A$2500,$A1064)+COUNTIF(connections!$B$2:$B$2500,$A1064))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IF(OR($A1064="",games!$H1064=""),"",games!$H1064)</f>
      </c>
      <c r="Q1064">
        <f>IF(OR($A1064="",$P1064&lt;&gt;"Yes"),"",$D1064+ROW()/1000000)</f>
      </c>
      <c r="T1064" t="str">
        <f>IF(connections!$A1064="","",IFERROR(INDEX(games!$B$2:$B$1200,MATCH(connections!$A1064,games!$A$2:$A$1200,0)),""))</f>
      </c>
      <c r="U1064">
        <f>IF(connections!$A1064="","",IFERROR(INDEX(games!$B$2:$B$1200,MATCH(connections!$B1064,games!$A$2:$A$1200,0)),""))</f>
      </c>
      <c r="V1064">
        <f>IF(OR($T1064="",$U1064=""),"",$U1064-$T1064)</f>
      </c>
    </row>
    <row r="1065">
      <c r="A1065" t="str">
        <f>IF(games!$A1065="","",games!$A1065)</f>
      </c>
      <c r="B1065">
        <f>IF($A1065="","",games!$B1065)</f>
      </c>
      <c r="C1065" t="str">
        <f>IF($A1065="","",games!$C1065)</f>
      </c>
      <c r="D1065">
        <f>IF($A1065="","",COUNTIF(connections!$A$2:$A$2500,$A1065)+COUNTIF(connections!$B$2:$B$2500,$A1065))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IF(OR($A1065="",games!$H1065=""),"",games!$H1065)</f>
      </c>
      <c r="Q1065">
        <f>IF(OR($A1065="",$P1065&lt;&gt;"Yes"),"",$D1065+ROW()/1000000)</f>
      </c>
      <c r="T1065" t="str">
        <f>IF(connections!$A1065="","",IFERROR(INDEX(games!$B$2:$B$1200,MATCH(connections!$A1065,games!$A$2:$A$1200,0)),""))</f>
      </c>
      <c r="U1065">
        <f>IF(connections!$A1065="","",IFERROR(INDEX(games!$B$2:$B$1200,MATCH(connections!$B1065,games!$A$2:$A$1200,0)),""))</f>
      </c>
      <c r="V1065">
        <f>IF(OR($T1065="",$U1065=""),"",$U1065-$T1065)</f>
      </c>
    </row>
    <row r="1066">
      <c r="A1066" t="str">
        <f>IF(games!$A1066="","",games!$A1066)</f>
      </c>
      <c r="B1066">
        <f>IF($A1066="","",games!$B1066)</f>
      </c>
      <c r="C1066" t="str">
        <f>IF($A1066="","",games!$C1066)</f>
      </c>
      <c r="D1066">
        <f>IF($A1066="","",COUNTIF(connections!$A$2:$A$2500,$A1066)+COUNTIF(connections!$B$2:$B$2500,$A1066))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IF(OR($A1066="",games!$H1066=""),"",games!$H1066)</f>
      </c>
      <c r="Q1066">
        <f>IF(OR($A1066="",$P1066&lt;&gt;"Yes"),"",$D1066+ROW()/1000000)</f>
      </c>
      <c r="T1066" t="str">
        <f>IF(connections!$A1066="","",IFERROR(INDEX(games!$B$2:$B$1200,MATCH(connections!$A1066,games!$A$2:$A$1200,0)),""))</f>
      </c>
      <c r="U1066">
        <f>IF(connections!$A1066="","",IFERROR(INDEX(games!$B$2:$B$1200,MATCH(connections!$B1066,games!$A$2:$A$1200,0)),""))</f>
      </c>
      <c r="V1066">
        <f>IF(OR($T1066="",$U1066=""),"",$U1066-$T1066)</f>
      </c>
    </row>
    <row r="1067">
      <c r="A1067" t="str">
        <f>IF(games!$A1067="","",games!$A1067)</f>
      </c>
      <c r="B1067">
        <f>IF($A1067="","",games!$B1067)</f>
      </c>
      <c r="C1067" t="str">
        <f>IF($A1067="","",games!$C1067)</f>
      </c>
      <c r="D1067">
        <f>IF($A1067="","",COUNTIF(connections!$A$2:$A$2500,$A1067)+COUNTIF(connections!$B$2:$B$2500,$A1067))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IF(OR($A1067="",games!$H1067=""),"",games!$H1067)</f>
      </c>
      <c r="Q1067">
        <f>IF(OR($A1067="",$P1067&lt;&gt;"Yes"),"",$D1067+ROW()/1000000)</f>
      </c>
      <c r="T1067" t="str">
        <f>IF(connections!$A1067="","",IFERROR(INDEX(games!$B$2:$B$1200,MATCH(connections!$A1067,games!$A$2:$A$1200,0)),""))</f>
      </c>
      <c r="U1067">
        <f>IF(connections!$A1067="","",IFERROR(INDEX(games!$B$2:$B$1200,MATCH(connections!$B1067,games!$A$2:$A$1200,0)),""))</f>
      </c>
      <c r="V1067">
        <f>IF(OR($T1067="",$U1067=""),"",$U1067-$T1067)</f>
      </c>
    </row>
    <row r="1068">
      <c r="A1068" t="str">
        <f>IF(games!$A1068="","",games!$A1068)</f>
      </c>
      <c r="B1068">
        <f>IF($A1068="","",games!$B1068)</f>
      </c>
      <c r="C1068" t="str">
        <f>IF($A1068="","",games!$C1068)</f>
      </c>
      <c r="D1068">
        <f>IF($A1068="","",COUNTIF(connections!$A$2:$A$2500,$A1068)+COUNTIF(connections!$B$2:$B$2500,$A1068))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IF(OR($A1068="",games!$H1068=""),"",games!$H1068)</f>
      </c>
      <c r="Q1068">
        <f>IF(OR($A1068="",$P1068&lt;&gt;"Yes"),"",$D1068+ROW()/1000000)</f>
      </c>
      <c r="T1068" t="str">
        <f>IF(connections!$A1068="","",IFERROR(INDEX(games!$B$2:$B$1200,MATCH(connections!$A1068,games!$A$2:$A$1200,0)),""))</f>
      </c>
      <c r="U1068">
        <f>IF(connections!$A1068="","",IFERROR(INDEX(games!$B$2:$B$1200,MATCH(connections!$B1068,games!$A$2:$A$1200,0)),""))</f>
      </c>
      <c r="V1068">
        <f>IF(OR($T1068="",$U1068=""),"",$U1068-$T1068)</f>
      </c>
    </row>
    <row r="1069">
      <c r="A1069" t="str">
        <f>IF(games!$A1069="","",games!$A1069)</f>
      </c>
      <c r="B1069">
        <f>IF($A1069="","",games!$B1069)</f>
      </c>
      <c r="C1069" t="str">
        <f>IF($A1069="","",games!$C1069)</f>
      </c>
      <c r="D1069">
        <f>IF($A1069="","",COUNTIF(connections!$A$2:$A$2500,$A1069)+COUNTIF(connections!$B$2:$B$2500,$A1069))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IF(OR($A1069="",games!$H1069=""),"",games!$H1069)</f>
      </c>
      <c r="Q1069">
        <f>IF(OR($A1069="",$P1069&lt;&gt;"Yes"),"",$D1069+ROW()/1000000)</f>
      </c>
      <c r="T1069" t="str">
        <f>IF(connections!$A1069="","",IFERROR(INDEX(games!$B$2:$B$1200,MATCH(connections!$A1069,games!$A$2:$A$1200,0)),""))</f>
      </c>
      <c r="U1069">
        <f>IF(connections!$A1069="","",IFERROR(INDEX(games!$B$2:$B$1200,MATCH(connections!$B1069,games!$A$2:$A$1200,0)),""))</f>
      </c>
      <c r="V1069">
        <f>IF(OR($T1069="",$U1069=""),"",$U1069-$T1069)</f>
      </c>
    </row>
    <row r="1070">
      <c r="A1070" t="str">
        <f>IF(games!$A1070="","",games!$A1070)</f>
      </c>
      <c r="B1070">
        <f>IF($A1070="","",games!$B1070)</f>
      </c>
      <c r="C1070" t="str">
        <f>IF($A1070="","",games!$C1070)</f>
      </c>
      <c r="D1070">
        <f>IF($A1070="","",COUNTIF(connections!$A$2:$A$2500,$A1070)+COUNTIF(connections!$B$2:$B$2500,$A1070))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IF(OR($A1070="",games!$H1070=""),"",games!$H1070)</f>
      </c>
      <c r="Q1070">
        <f>IF(OR($A1070="",$P1070&lt;&gt;"Yes"),"",$D1070+ROW()/1000000)</f>
      </c>
      <c r="T1070" t="str">
        <f>IF(connections!$A1070="","",IFERROR(INDEX(games!$B$2:$B$1200,MATCH(connections!$A1070,games!$A$2:$A$1200,0)),""))</f>
      </c>
      <c r="U1070">
        <f>IF(connections!$A1070="","",IFERROR(INDEX(games!$B$2:$B$1200,MATCH(connections!$B1070,games!$A$2:$A$1200,0)),""))</f>
      </c>
      <c r="V1070">
        <f>IF(OR($T1070="",$U1070=""),"",$U1070-$T1070)</f>
      </c>
    </row>
    <row r="1071">
      <c r="A1071" t="str">
        <f>IF(games!$A1071="","",games!$A1071)</f>
      </c>
      <c r="B1071">
        <f>IF($A1071="","",games!$B1071)</f>
      </c>
      <c r="C1071" t="str">
        <f>IF($A1071="","",games!$C1071)</f>
      </c>
      <c r="D1071">
        <f>IF($A1071="","",COUNTIF(connections!$A$2:$A$2500,$A1071)+COUNTIF(connections!$B$2:$B$2500,$A1071))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IF(OR($A1071="",games!$H1071=""),"",games!$H1071)</f>
      </c>
      <c r="Q1071">
        <f>IF(OR($A1071="",$P1071&lt;&gt;"Yes"),"",$D1071+ROW()/1000000)</f>
      </c>
      <c r="T1071" t="str">
        <f>IF(connections!$A1071="","",IFERROR(INDEX(games!$B$2:$B$1200,MATCH(connections!$A1071,games!$A$2:$A$1200,0)),""))</f>
      </c>
      <c r="U1071">
        <f>IF(connections!$A1071="","",IFERROR(INDEX(games!$B$2:$B$1200,MATCH(connections!$B1071,games!$A$2:$A$1200,0)),""))</f>
      </c>
      <c r="V1071">
        <f>IF(OR($T1071="",$U1071=""),"",$U1071-$T1071)</f>
      </c>
    </row>
    <row r="1072">
      <c r="A1072" t="str">
        <f>IF(games!$A1072="","",games!$A1072)</f>
      </c>
      <c r="B1072">
        <f>IF($A1072="","",games!$B1072)</f>
      </c>
      <c r="C1072" t="str">
        <f>IF($A1072="","",games!$C1072)</f>
      </c>
      <c r="D1072">
        <f>IF($A1072="","",COUNTIF(connections!$A$2:$A$2500,$A1072)+COUNTIF(connections!$B$2:$B$2500,$A1072))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IF(OR($A1072="",games!$H1072=""),"",games!$H1072)</f>
      </c>
      <c r="Q1072">
        <f>IF(OR($A1072="",$P1072&lt;&gt;"Yes"),"",$D1072+ROW()/1000000)</f>
      </c>
      <c r="T1072" t="str">
        <f>IF(connections!$A1072="","",IFERROR(INDEX(games!$B$2:$B$1200,MATCH(connections!$A1072,games!$A$2:$A$1200,0)),""))</f>
      </c>
      <c r="U1072">
        <f>IF(connections!$A1072="","",IFERROR(INDEX(games!$B$2:$B$1200,MATCH(connections!$B1072,games!$A$2:$A$1200,0)),""))</f>
      </c>
      <c r="V1072">
        <f>IF(OR($T1072="",$U1072=""),"",$U1072-$T1072)</f>
      </c>
    </row>
    <row r="1073">
      <c r="A1073" t="str">
        <f>IF(games!$A1073="","",games!$A1073)</f>
      </c>
      <c r="B1073">
        <f>IF($A1073="","",games!$B1073)</f>
      </c>
      <c r="C1073" t="str">
        <f>IF($A1073="","",games!$C1073)</f>
      </c>
      <c r="D1073">
        <f>IF($A1073="","",COUNTIF(connections!$A$2:$A$2500,$A1073)+COUNTIF(connections!$B$2:$B$2500,$A1073))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IF(OR($A1073="",games!$H1073=""),"",games!$H1073)</f>
      </c>
      <c r="Q1073">
        <f>IF(OR($A1073="",$P1073&lt;&gt;"Yes"),"",$D1073+ROW()/1000000)</f>
      </c>
      <c r="T1073" t="str">
        <f>IF(connections!$A1073="","",IFERROR(INDEX(games!$B$2:$B$1200,MATCH(connections!$A1073,games!$A$2:$A$1200,0)),""))</f>
      </c>
      <c r="U1073">
        <f>IF(connections!$A1073="","",IFERROR(INDEX(games!$B$2:$B$1200,MATCH(connections!$B1073,games!$A$2:$A$1200,0)),""))</f>
      </c>
      <c r="V1073">
        <f>IF(OR($T1073="",$U1073=""),"",$U1073-$T1073)</f>
      </c>
    </row>
    <row r="1074">
      <c r="A1074" t="str">
        <f>IF(games!$A1074="","",games!$A1074)</f>
      </c>
      <c r="B1074">
        <f>IF($A1074="","",games!$B1074)</f>
      </c>
      <c r="C1074" t="str">
        <f>IF($A1074="","",games!$C1074)</f>
      </c>
      <c r="D1074">
        <f>IF($A1074="","",COUNTIF(connections!$A$2:$A$2500,$A1074)+COUNTIF(connections!$B$2:$B$2500,$A1074))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IF(OR($A1074="",games!$H1074=""),"",games!$H1074)</f>
      </c>
      <c r="Q1074">
        <f>IF(OR($A1074="",$P1074&lt;&gt;"Yes"),"",$D1074+ROW()/1000000)</f>
      </c>
      <c r="T1074" t="str">
        <f>IF(connections!$A1074="","",IFERROR(INDEX(games!$B$2:$B$1200,MATCH(connections!$A1074,games!$A$2:$A$1200,0)),""))</f>
      </c>
      <c r="U1074">
        <f>IF(connections!$A1074="","",IFERROR(INDEX(games!$B$2:$B$1200,MATCH(connections!$B1074,games!$A$2:$A$1200,0)),""))</f>
      </c>
      <c r="V1074">
        <f>IF(OR($T1074="",$U1074=""),"",$U1074-$T1074)</f>
      </c>
    </row>
    <row r="1075">
      <c r="A1075" t="str">
        <f>IF(games!$A1075="","",games!$A1075)</f>
      </c>
      <c r="B1075">
        <f>IF($A1075="","",games!$B1075)</f>
      </c>
      <c r="C1075" t="str">
        <f>IF($A1075="","",games!$C1075)</f>
      </c>
      <c r="D1075">
        <f>IF($A1075="","",COUNTIF(connections!$A$2:$A$2500,$A1075)+COUNTIF(connections!$B$2:$B$2500,$A1075))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IF(OR($A1075="",games!$H1075=""),"",games!$H1075)</f>
      </c>
      <c r="Q1075">
        <f>IF(OR($A1075="",$P1075&lt;&gt;"Yes"),"",$D1075+ROW()/1000000)</f>
      </c>
      <c r="T1075" t="str">
        <f>IF(connections!$A1075="","",IFERROR(INDEX(games!$B$2:$B$1200,MATCH(connections!$A1075,games!$A$2:$A$1200,0)),""))</f>
      </c>
      <c r="U1075">
        <f>IF(connections!$A1075="","",IFERROR(INDEX(games!$B$2:$B$1200,MATCH(connections!$B1075,games!$A$2:$A$1200,0)),""))</f>
      </c>
      <c r="V1075">
        <f>IF(OR($T1075="",$U1075=""),"",$U1075-$T1075)</f>
      </c>
    </row>
    <row r="1076">
      <c r="A1076" t="str">
        <f>IF(games!$A1076="","",games!$A1076)</f>
      </c>
      <c r="B1076">
        <f>IF($A1076="","",games!$B1076)</f>
      </c>
      <c r="C1076" t="str">
        <f>IF($A1076="","",games!$C1076)</f>
      </c>
      <c r="D1076">
        <f>IF($A1076="","",COUNTIF(connections!$A$2:$A$2500,$A1076)+COUNTIF(connections!$B$2:$B$2500,$A1076))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IF(OR($A1076="",games!$H1076=""),"",games!$H1076)</f>
      </c>
      <c r="Q1076">
        <f>IF(OR($A1076="",$P1076&lt;&gt;"Yes"),"",$D1076+ROW()/1000000)</f>
      </c>
      <c r="T1076" t="str">
        <f>IF(connections!$A1076="","",IFERROR(INDEX(games!$B$2:$B$1200,MATCH(connections!$A1076,games!$A$2:$A$1200,0)),""))</f>
      </c>
      <c r="U1076">
        <f>IF(connections!$A1076="","",IFERROR(INDEX(games!$B$2:$B$1200,MATCH(connections!$B1076,games!$A$2:$A$1200,0)),""))</f>
      </c>
      <c r="V1076">
        <f>IF(OR($T1076="",$U1076=""),"",$U1076-$T1076)</f>
      </c>
    </row>
    <row r="1077">
      <c r="A1077" t="str">
        <f>IF(games!$A1077="","",games!$A1077)</f>
      </c>
      <c r="B1077">
        <f>IF($A1077="","",games!$B1077)</f>
      </c>
      <c r="C1077" t="str">
        <f>IF($A1077="","",games!$C1077)</f>
      </c>
      <c r="D1077">
        <f>IF($A1077="","",COUNTIF(connections!$A$2:$A$2500,$A1077)+COUNTIF(connections!$B$2:$B$2500,$A1077))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IF(OR($A1077="",games!$H1077=""),"",games!$H1077)</f>
      </c>
      <c r="Q1077">
        <f>IF(OR($A1077="",$P1077&lt;&gt;"Yes"),"",$D1077+ROW()/1000000)</f>
      </c>
      <c r="T1077" t="str">
        <f>IF(connections!$A1077="","",IFERROR(INDEX(games!$B$2:$B$1200,MATCH(connections!$A1077,games!$A$2:$A$1200,0)),""))</f>
      </c>
      <c r="U1077">
        <f>IF(connections!$A1077="","",IFERROR(INDEX(games!$B$2:$B$1200,MATCH(connections!$B1077,games!$A$2:$A$1200,0)),""))</f>
      </c>
      <c r="V1077">
        <f>IF(OR($T1077="",$U1077=""),"",$U1077-$T1077)</f>
      </c>
    </row>
    <row r="1078">
      <c r="A1078" t="str">
        <f>IF(games!$A1078="","",games!$A1078)</f>
      </c>
      <c r="B1078">
        <f>IF($A1078="","",games!$B1078)</f>
      </c>
      <c r="C1078" t="str">
        <f>IF($A1078="","",games!$C1078)</f>
      </c>
      <c r="D1078">
        <f>IF($A1078="","",COUNTIF(connections!$A$2:$A$2500,$A1078)+COUNTIF(connections!$B$2:$B$2500,$A1078))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IF(OR($A1078="",games!$H1078=""),"",games!$H1078)</f>
      </c>
      <c r="Q1078">
        <f>IF(OR($A1078="",$P1078&lt;&gt;"Yes"),"",$D1078+ROW()/1000000)</f>
      </c>
      <c r="T1078" t="str">
        <f>IF(connections!$A1078="","",IFERROR(INDEX(games!$B$2:$B$1200,MATCH(connections!$A1078,games!$A$2:$A$1200,0)),""))</f>
      </c>
      <c r="U1078">
        <f>IF(connections!$A1078="","",IFERROR(INDEX(games!$B$2:$B$1200,MATCH(connections!$B1078,games!$A$2:$A$1200,0)),""))</f>
      </c>
      <c r="V1078">
        <f>IF(OR($T1078="",$U1078=""),"",$U1078-$T1078)</f>
      </c>
    </row>
    <row r="1079">
      <c r="A1079" t="str">
        <f>IF(games!$A1079="","",games!$A1079)</f>
      </c>
      <c r="B1079">
        <f>IF($A1079="","",games!$B1079)</f>
      </c>
      <c r="C1079" t="str">
        <f>IF($A1079="","",games!$C1079)</f>
      </c>
      <c r="D1079">
        <f>IF($A1079="","",COUNTIF(connections!$A$2:$A$2500,$A1079)+COUNTIF(connections!$B$2:$B$2500,$A1079))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IF(OR($A1079="",games!$H1079=""),"",games!$H1079)</f>
      </c>
      <c r="Q1079">
        <f>IF(OR($A1079="",$P1079&lt;&gt;"Yes"),"",$D1079+ROW()/1000000)</f>
      </c>
      <c r="T1079" t="str">
        <f>IF(connections!$A1079="","",IFERROR(INDEX(games!$B$2:$B$1200,MATCH(connections!$A1079,games!$A$2:$A$1200,0)),""))</f>
      </c>
      <c r="U1079">
        <f>IF(connections!$A1079="","",IFERROR(INDEX(games!$B$2:$B$1200,MATCH(connections!$B1079,games!$A$2:$A$1200,0)),""))</f>
      </c>
      <c r="V1079">
        <f>IF(OR($T1079="",$U1079=""),"",$U1079-$T1079)</f>
      </c>
    </row>
    <row r="1080">
      <c r="A1080" t="str">
        <f>IF(games!$A1080="","",games!$A1080)</f>
      </c>
      <c r="B1080">
        <f>IF($A1080="","",games!$B1080)</f>
      </c>
      <c r="C1080" t="str">
        <f>IF($A1080="","",games!$C1080)</f>
      </c>
      <c r="D1080">
        <f>IF($A1080="","",COUNTIF(connections!$A$2:$A$2500,$A1080)+COUNTIF(connections!$B$2:$B$2500,$A1080))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IF(OR($A1080="",games!$H1080=""),"",games!$H1080)</f>
      </c>
      <c r="Q1080">
        <f>IF(OR($A1080="",$P1080&lt;&gt;"Yes"),"",$D1080+ROW()/1000000)</f>
      </c>
      <c r="T1080" t="str">
        <f>IF(connections!$A1080="","",IFERROR(INDEX(games!$B$2:$B$1200,MATCH(connections!$A1080,games!$A$2:$A$1200,0)),""))</f>
      </c>
      <c r="U1080">
        <f>IF(connections!$A1080="","",IFERROR(INDEX(games!$B$2:$B$1200,MATCH(connections!$B1080,games!$A$2:$A$1200,0)),""))</f>
      </c>
      <c r="V1080">
        <f>IF(OR($T1080="",$U1080=""),"",$U1080-$T1080)</f>
      </c>
    </row>
    <row r="1081">
      <c r="A1081" t="str">
        <f>IF(games!$A1081="","",games!$A1081)</f>
      </c>
      <c r="B1081">
        <f>IF($A1081="","",games!$B1081)</f>
      </c>
      <c r="C1081" t="str">
        <f>IF($A1081="","",games!$C1081)</f>
      </c>
      <c r="D1081">
        <f>IF($A1081="","",COUNTIF(connections!$A$2:$A$2500,$A1081)+COUNTIF(connections!$B$2:$B$2500,$A1081))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IF(OR($A1081="",games!$H1081=""),"",games!$H1081)</f>
      </c>
      <c r="Q1081">
        <f>IF(OR($A1081="",$P1081&lt;&gt;"Yes"),"",$D1081+ROW()/1000000)</f>
      </c>
      <c r="T1081" t="str">
        <f>IF(connections!$A1081="","",IFERROR(INDEX(games!$B$2:$B$1200,MATCH(connections!$A1081,games!$A$2:$A$1200,0)),""))</f>
      </c>
      <c r="U1081">
        <f>IF(connections!$A1081="","",IFERROR(INDEX(games!$B$2:$B$1200,MATCH(connections!$B1081,games!$A$2:$A$1200,0)),""))</f>
      </c>
      <c r="V1081">
        <f>IF(OR($T1081="",$U1081=""),"",$U1081-$T1081)</f>
      </c>
    </row>
    <row r="1082">
      <c r="A1082" t="str">
        <f>IF(games!$A1082="","",games!$A1082)</f>
      </c>
      <c r="B1082">
        <f>IF($A1082="","",games!$B1082)</f>
      </c>
      <c r="C1082" t="str">
        <f>IF($A1082="","",games!$C1082)</f>
      </c>
      <c r="D1082">
        <f>IF($A1082="","",COUNTIF(connections!$A$2:$A$2500,$A1082)+COUNTIF(connections!$B$2:$B$2500,$A1082))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IF(OR($A1082="",games!$H1082=""),"",games!$H1082)</f>
      </c>
      <c r="Q1082">
        <f>IF(OR($A1082="",$P1082&lt;&gt;"Yes"),"",$D1082+ROW()/1000000)</f>
      </c>
      <c r="T1082" t="str">
        <f>IF(connections!$A1082="","",IFERROR(INDEX(games!$B$2:$B$1200,MATCH(connections!$A1082,games!$A$2:$A$1200,0)),""))</f>
      </c>
      <c r="U1082">
        <f>IF(connections!$A1082="","",IFERROR(INDEX(games!$B$2:$B$1200,MATCH(connections!$B1082,games!$A$2:$A$1200,0)),""))</f>
      </c>
      <c r="V1082">
        <f>IF(OR($T1082="",$U1082=""),"",$U1082-$T1082)</f>
      </c>
    </row>
    <row r="1083">
      <c r="A1083" t="str">
        <f>IF(games!$A1083="","",games!$A1083)</f>
      </c>
      <c r="B1083">
        <f>IF($A1083="","",games!$B1083)</f>
      </c>
      <c r="C1083" t="str">
        <f>IF($A1083="","",games!$C1083)</f>
      </c>
      <c r="D1083">
        <f>IF($A1083="","",COUNTIF(connections!$A$2:$A$2500,$A1083)+COUNTIF(connections!$B$2:$B$2500,$A1083))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IF(OR($A1083="",games!$H1083=""),"",games!$H1083)</f>
      </c>
      <c r="Q1083">
        <f>IF(OR($A1083="",$P1083&lt;&gt;"Yes"),"",$D1083+ROW()/1000000)</f>
      </c>
      <c r="T1083" t="str">
        <f>IF(connections!$A1083="","",IFERROR(INDEX(games!$B$2:$B$1200,MATCH(connections!$A1083,games!$A$2:$A$1200,0)),""))</f>
      </c>
      <c r="U1083">
        <f>IF(connections!$A1083="","",IFERROR(INDEX(games!$B$2:$B$1200,MATCH(connections!$B1083,games!$A$2:$A$1200,0)),""))</f>
      </c>
      <c r="V1083">
        <f>IF(OR($T1083="",$U1083=""),"",$U1083-$T1083)</f>
      </c>
    </row>
    <row r="1084">
      <c r="A1084" t="str">
        <f>IF(games!$A1084="","",games!$A1084)</f>
      </c>
      <c r="B1084">
        <f>IF($A1084="","",games!$B1084)</f>
      </c>
      <c r="C1084" t="str">
        <f>IF($A1084="","",games!$C1084)</f>
      </c>
      <c r="D1084">
        <f>IF($A1084="","",COUNTIF(connections!$A$2:$A$2500,$A1084)+COUNTIF(connections!$B$2:$B$2500,$A1084))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IF(OR($A1084="",games!$H1084=""),"",games!$H1084)</f>
      </c>
      <c r="Q1084">
        <f>IF(OR($A1084="",$P1084&lt;&gt;"Yes"),"",$D1084+ROW()/1000000)</f>
      </c>
      <c r="T1084" t="str">
        <f>IF(connections!$A1084="","",IFERROR(INDEX(games!$B$2:$B$1200,MATCH(connections!$A1084,games!$A$2:$A$1200,0)),""))</f>
      </c>
      <c r="U1084">
        <f>IF(connections!$A1084="","",IFERROR(INDEX(games!$B$2:$B$1200,MATCH(connections!$B1084,games!$A$2:$A$1200,0)),""))</f>
      </c>
      <c r="V1084">
        <f>IF(OR($T1084="",$U1084=""),"",$U1084-$T1084)</f>
      </c>
    </row>
    <row r="1085">
      <c r="A1085" t="str">
        <f>IF(games!$A1085="","",games!$A1085)</f>
      </c>
      <c r="B1085">
        <f>IF($A1085="","",games!$B1085)</f>
      </c>
      <c r="C1085" t="str">
        <f>IF($A1085="","",games!$C1085)</f>
      </c>
      <c r="D1085">
        <f>IF($A1085="","",COUNTIF(connections!$A$2:$A$2500,$A1085)+COUNTIF(connections!$B$2:$B$2500,$A1085))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IF(OR($A1085="",games!$H1085=""),"",games!$H1085)</f>
      </c>
      <c r="Q1085">
        <f>IF(OR($A1085="",$P1085&lt;&gt;"Yes"),"",$D1085+ROW()/1000000)</f>
      </c>
      <c r="T1085" t="str">
        <f>IF(connections!$A1085="","",IFERROR(INDEX(games!$B$2:$B$1200,MATCH(connections!$A1085,games!$A$2:$A$1200,0)),""))</f>
      </c>
      <c r="U1085">
        <f>IF(connections!$A1085="","",IFERROR(INDEX(games!$B$2:$B$1200,MATCH(connections!$B1085,games!$A$2:$A$1200,0)),""))</f>
      </c>
      <c r="V1085">
        <f>IF(OR($T1085="",$U1085=""),"",$U1085-$T1085)</f>
      </c>
    </row>
    <row r="1086">
      <c r="A1086" t="str">
        <f>IF(games!$A1086="","",games!$A1086)</f>
      </c>
      <c r="B1086">
        <f>IF($A1086="","",games!$B1086)</f>
      </c>
      <c r="C1086" t="str">
        <f>IF($A1086="","",games!$C1086)</f>
      </c>
      <c r="D1086">
        <f>IF($A1086="","",COUNTIF(connections!$A$2:$A$2500,$A1086)+COUNTIF(connections!$B$2:$B$2500,$A1086))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IF(OR($A1086="",games!$H1086=""),"",games!$H1086)</f>
      </c>
      <c r="Q1086">
        <f>IF(OR($A1086="",$P1086&lt;&gt;"Yes"),"",$D1086+ROW()/1000000)</f>
      </c>
      <c r="T1086" t="str">
        <f>IF(connections!$A1086="","",IFERROR(INDEX(games!$B$2:$B$1200,MATCH(connections!$A1086,games!$A$2:$A$1200,0)),""))</f>
      </c>
      <c r="U1086">
        <f>IF(connections!$A1086="","",IFERROR(INDEX(games!$B$2:$B$1200,MATCH(connections!$B1086,games!$A$2:$A$1200,0)),""))</f>
      </c>
      <c r="V1086">
        <f>IF(OR($T1086="",$U1086=""),"",$U1086-$T1086)</f>
      </c>
    </row>
    <row r="1087">
      <c r="A1087" t="str">
        <f>IF(games!$A1087="","",games!$A1087)</f>
      </c>
      <c r="B1087">
        <f>IF($A1087="","",games!$B1087)</f>
      </c>
      <c r="C1087" t="str">
        <f>IF($A1087="","",games!$C1087)</f>
      </c>
      <c r="D1087">
        <f>IF($A1087="","",COUNTIF(connections!$A$2:$A$2500,$A1087)+COUNTIF(connections!$B$2:$B$2500,$A1087))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IF(OR($A1087="",games!$H1087=""),"",games!$H1087)</f>
      </c>
      <c r="Q1087">
        <f>IF(OR($A1087="",$P1087&lt;&gt;"Yes"),"",$D1087+ROW()/1000000)</f>
      </c>
      <c r="T1087" t="str">
        <f>IF(connections!$A1087="","",IFERROR(INDEX(games!$B$2:$B$1200,MATCH(connections!$A1087,games!$A$2:$A$1200,0)),""))</f>
      </c>
      <c r="U1087">
        <f>IF(connections!$A1087="","",IFERROR(INDEX(games!$B$2:$B$1200,MATCH(connections!$B1087,games!$A$2:$A$1200,0)),""))</f>
      </c>
      <c r="V1087">
        <f>IF(OR($T1087="",$U1087=""),"",$U1087-$T1087)</f>
      </c>
    </row>
    <row r="1088">
      <c r="A1088" t="str">
        <f>IF(games!$A1088="","",games!$A1088)</f>
      </c>
      <c r="B1088">
        <f>IF($A1088="","",games!$B1088)</f>
      </c>
      <c r="C1088" t="str">
        <f>IF($A1088="","",games!$C1088)</f>
      </c>
      <c r="D1088">
        <f>IF($A1088="","",COUNTIF(connections!$A$2:$A$2500,$A1088)+COUNTIF(connections!$B$2:$B$2500,$A1088))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IF(OR($A1088="",games!$H1088=""),"",games!$H1088)</f>
      </c>
      <c r="Q1088">
        <f>IF(OR($A1088="",$P1088&lt;&gt;"Yes"),"",$D1088+ROW()/1000000)</f>
      </c>
      <c r="T1088" t="str">
        <f>IF(connections!$A1088="","",IFERROR(INDEX(games!$B$2:$B$1200,MATCH(connections!$A1088,games!$A$2:$A$1200,0)),""))</f>
      </c>
      <c r="U1088">
        <f>IF(connections!$A1088="","",IFERROR(INDEX(games!$B$2:$B$1200,MATCH(connections!$B1088,games!$A$2:$A$1200,0)),""))</f>
      </c>
      <c r="V1088">
        <f>IF(OR($T1088="",$U1088=""),"",$U1088-$T1088)</f>
      </c>
    </row>
    <row r="1089">
      <c r="A1089" t="str">
        <f>IF(games!$A1089="","",games!$A1089)</f>
      </c>
      <c r="B1089">
        <f>IF($A1089="","",games!$B1089)</f>
      </c>
      <c r="C1089" t="str">
        <f>IF($A1089="","",games!$C1089)</f>
      </c>
      <c r="D1089">
        <f>IF($A1089="","",COUNTIF(connections!$A$2:$A$2500,$A1089)+COUNTIF(connections!$B$2:$B$2500,$A1089))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IF(OR($A1089="",games!$H1089=""),"",games!$H1089)</f>
      </c>
      <c r="Q1089">
        <f>IF(OR($A1089="",$P1089&lt;&gt;"Yes"),"",$D1089+ROW()/1000000)</f>
      </c>
      <c r="T1089" t="str">
        <f>IF(connections!$A1089="","",IFERROR(INDEX(games!$B$2:$B$1200,MATCH(connections!$A1089,games!$A$2:$A$1200,0)),""))</f>
      </c>
      <c r="U1089">
        <f>IF(connections!$A1089="","",IFERROR(INDEX(games!$B$2:$B$1200,MATCH(connections!$B1089,games!$A$2:$A$1200,0)),""))</f>
      </c>
      <c r="V1089">
        <f>IF(OR($T1089="",$U1089=""),"",$U1089-$T1089)</f>
      </c>
    </row>
    <row r="1090">
      <c r="A1090" t="str">
        <f>IF(games!$A1090="","",games!$A1090)</f>
      </c>
      <c r="B1090">
        <f>IF($A1090="","",games!$B1090)</f>
      </c>
      <c r="C1090" t="str">
        <f>IF($A1090="","",games!$C1090)</f>
      </c>
      <c r="D1090">
        <f>IF($A1090="","",COUNTIF(connections!$A$2:$A$2500,$A1090)+COUNTIF(connections!$B$2:$B$2500,$A1090))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IF(OR($A1090="",games!$H1090=""),"",games!$H1090)</f>
      </c>
      <c r="Q1090">
        <f>IF(OR($A1090="",$P1090&lt;&gt;"Yes"),"",$D1090+ROW()/1000000)</f>
      </c>
      <c r="T1090" t="str">
        <f>IF(connections!$A1090="","",IFERROR(INDEX(games!$B$2:$B$1200,MATCH(connections!$A1090,games!$A$2:$A$1200,0)),""))</f>
      </c>
      <c r="U1090">
        <f>IF(connections!$A1090="","",IFERROR(INDEX(games!$B$2:$B$1200,MATCH(connections!$B1090,games!$A$2:$A$1200,0)),""))</f>
      </c>
      <c r="V1090">
        <f>IF(OR($T1090="",$U1090=""),"",$U1090-$T1090)</f>
      </c>
    </row>
    <row r="1091">
      <c r="A1091" t="str">
        <f>IF(games!$A1091="","",games!$A1091)</f>
      </c>
      <c r="B1091">
        <f>IF($A1091="","",games!$B1091)</f>
      </c>
      <c r="C1091" t="str">
        <f>IF($A1091="","",games!$C1091)</f>
      </c>
      <c r="D1091">
        <f>IF($A1091="","",COUNTIF(connections!$A$2:$A$2500,$A1091)+COUNTIF(connections!$B$2:$B$2500,$A1091))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IF(OR($A1091="",games!$H1091=""),"",games!$H1091)</f>
      </c>
      <c r="Q1091">
        <f>IF(OR($A1091="",$P1091&lt;&gt;"Yes"),"",$D1091+ROW()/1000000)</f>
      </c>
      <c r="T1091" t="str">
        <f>IF(connections!$A1091="","",IFERROR(INDEX(games!$B$2:$B$1200,MATCH(connections!$A1091,games!$A$2:$A$1200,0)),""))</f>
      </c>
      <c r="U1091">
        <f>IF(connections!$A1091="","",IFERROR(INDEX(games!$B$2:$B$1200,MATCH(connections!$B1091,games!$A$2:$A$1200,0)),""))</f>
      </c>
      <c r="V1091">
        <f>IF(OR($T1091="",$U1091=""),"",$U1091-$T1091)</f>
      </c>
    </row>
    <row r="1092">
      <c r="A1092" t="str">
        <f>IF(games!$A1092="","",games!$A1092)</f>
      </c>
      <c r="B1092">
        <f>IF($A1092="","",games!$B1092)</f>
      </c>
      <c r="C1092" t="str">
        <f>IF($A1092="","",games!$C1092)</f>
      </c>
      <c r="D1092">
        <f>IF($A1092="","",COUNTIF(connections!$A$2:$A$2500,$A1092)+COUNTIF(connections!$B$2:$B$2500,$A1092))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IF(OR($A1092="",games!$H1092=""),"",games!$H1092)</f>
      </c>
      <c r="Q1092">
        <f>IF(OR($A1092="",$P1092&lt;&gt;"Yes"),"",$D1092+ROW()/1000000)</f>
      </c>
      <c r="T1092" t="str">
        <f>IF(connections!$A1092="","",IFERROR(INDEX(games!$B$2:$B$1200,MATCH(connections!$A1092,games!$A$2:$A$1200,0)),""))</f>
      </c>
      <c r="U1092">
        <f>IF(connections!$A1092="","",IFERROR(INDEX(games!$B$2:$B$1200,MATCH(connections!$B1092,games!$A$2:$A$1200,0)),""))</f>
      </c>
      <c r="V1092">
        <f>IF(OR($T1092="",$U1092=""),"",$U1092-$T1092)</f>
      </c>
    </row>
    <row r="1093">
      <c r="A1093" t="str">
        <f>IF(games!$A1093="","",games!$A1093)</f>
      </c>
      <c r="B1093">
        <f>IF($A1093="","",games!$B1093)</f>
      </c>
      <c r="C1093" t="str">
        <f>IF($A1093="","",games!$C1093)</f>
      </c>
      <c r="D1093">
        <f>IF($A1093="","",COUNTIF(connections!$A$2:$A$2500,$A1093)+COUNTIF(connections!$B$2:$B$2500,$A1093))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IF(OR($A1093="",games!$H1093=""),"",games!$H1093)</f>
      </c>
      <c r="Q1093">
        <f>IF(OR($A1093="",$P1093&lt;&gt;"Yes"),"",$D1093+ROW()/1000000)</f>
      </c>
      <c r="T1093" t="str">
        <f>IF(connections!$A1093="","",IFERROR(INDEX(games!$B$2:$B$1200,MATCH(connections!$A1093,games!$A$2:$A$1200,0)),""))</f>
      </c>
      <c r="U1093">
        <f>IF(connections!$A1093="","",IFERROR(INDEX(games!$B$2:$B$1200,MATCH(connections!$B1093,games!$A$2:$A$1200,0)),""))</f>
      </c>
      <c r="V1093">
        <f>IF(OR($T1093="",$U1093=""),"",$U1093-$T1093)</f>
      </c>
    </row>
    <row r="1094">
      <c r="A1094" t="str">
        <f>IF(games!$A1094="","",games!$A1094)</f>
      </c>
      <c r="B1094">
        <f>IF($A1094="","",games!$B1094)</f>
      </c>
      <c r="C1094" t="str">
        <f>IF($A1094="","",games!$C1094)</f>
      </c>
      <c r="D1094">
        <f>IF($A1094="","",COUNTIF(connections!$A$2:$A$2500,$A1094)+COUNTIF(connections!$B$2:$B$2500,$A1094))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IF(OR($A1094="",games!$H1094=""),"",games!$H1094)</f>
      </c>
      <c r="Q1094">
        <f>IF(OR($A1094="",$P1094&lt;&gt;"Yes"),"",$D1094+ROW()/1000000)</f>
      </c>
      <c r="T1094" t="str">
        <f>IF(connections!$A1094="","",IFERROR(INDEX(games!$B$2:$B$1200,MATCH(connections!$A1094,games!$A$2:$A$1200,0)),""))</f>
      </c>
      <c r="U1094">
        <f>IF(connections!$A1094="","",IFERROR(INDEX(games!$B$2:$B$1200,MATCH(connections!$B1094,games!$A$2:$A$1200,0)),""))</f>
      </c>
      <c r="V1094">
        <f>IF(OR($T1094="",$U1094=""),"",$U1094-$T1094)</f>
      </c>
    </row>
    <row r="1095">
      <c r="A1095" t="str">
        <f>IF(games!$A1095="","",games!$A1095)</f>
      </c>
      <c r="B1095">
        <f>IF($A1095="","",games!$B1095)</f>
      </c>
      <c r="C1095" t="str">
        <f>IF($A1095="","",games!$C1095)</f>
      </c>
      <c r="D1095">
        <f>IF($A1095="","",COUNTIF(connections!$A$2:$A$2500,$A1095)+COUNTIF(connections!$B$2:$B$2500,$A1095))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IF(OR($A1095="",games!$H1095=""),"",games!$H1095)</f>
      </c>
      <c r="Q1095">
        <f>IF(OR($A1095="",$P1095&lt;&gt;"Yes"),"",$D1095+ROW()/1000000)</f>
      </c>
      <c r="T1095" t="str">
        <f>IF(connections!$A1095="","",IFERROR(INDEX(games!$B$2:$B$1200,MATCH(connections!$A1095,games!$A$2:$A$1200,0)),""))</f>
      </c>
      <c r="U1095">
        <f>IF(connections!$A1095="","",IFERROR(INDEX(games!$B$2:$B$1200,MATCH(connections!$B1095,games!$A$2:$A$1200,0)),""))</f>
      </c>
      <c r="V1095">
        <f>IF(OR($T1095="",$U1095=""),"",$U1095-$T1095)</f>
      </c>
    </row>
    <row r="1096">
      <c r="A1096" t="str">
        <f>IF(games!$A1096="","",games!$A1096)</f>
      </c>
      <c r="B1096">
        <f>IF($A1096="","",games!$B1096)</f>
      </c>
      <c r="C1096" t="str">
        <f>IF($A1096="","",games!$C1096)</f>
      </c>
      <c r="D1096">
        <f>IF($A1096="","",COUNTIF(connections!$A$2:$A$2500,$A1096)+COUNTIF(connections!$B$2:$B$2500,$A1096))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IF(OR($A1096="",games!$H1096=""),"",games!$H1096)</f>
      </c>
      <c r="Q1096">
        <f>IF(OR($A1096="",$P1096&lt;&gt;"Yes"),"",$D1096+ROW()/1000000)</f>
      </c>
      <c r="T1096" t="str">
        <f>IF(connections!$A1096="","",IFERROR(INDEX(games!$B$2:$B$1200,MATCH(connections!$A1096,games!$A$2:$A$1200,0)),""))</f>
      </c>
      <c r="U1096">
        <f>IF(connections!$A1096="","",IFERROR(INDEX(games!$B$2:$B$1200,MATCH(connections!$B1096,games!$A$2:$A$1200,0)),""))</f>
      </c>
      <c r="V1096">
        <f>IF(OR($T1096="",$U1096=""),"",$U1096-$T1096)</f>
      </c>
    </row>
    <row r="1097">
      <c r="A1097" t="str">
        <f>IF(games!$A1097="","",games!$A1097)</f>
      </c>
      <c r="B1097">
        <f>IF($A1097="","",games!$B1097)</f>
      </c>
      <c r="C1097" t="str">
        <f>IF($A1097="","",games!$C1097)</f>
      </c>
      <c r="D1097">
        <f>IF($A1097="","",COUNTIF(connections!$A$2:$A$2500,$A1097)+COUNTIF(connections!$B$2:$B$2500,$A1097))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IF(OR($A1097="",games!$H1097=""),"",games!$H1097)</f>
      </c>
      <c r="Q1097">
        <f>IF(OR($A1097="",$P1097&lt;&gt;"Yes"),"",$D1097+ROW()/1000000)</f>
      </c>
      <c r="T1097" t="str">
        <f>IF(connections!$A1097="","",IFERROR(INDEX(games!$B$2:$B$1200,MATCH(connections!$A1097,games!$A$2:$A$1200,0)),""))</f>
      </c>
      <c r="U1097">
        <f>IF(connections!$A1097="","",IFERROR(INDEX(games!$B$2:$B$1200,MATCH(connections!$B1097,games!$A$2:$A$1200,0)),""))</f>
      </c>
      <c r="V1097">
        <f>IF(OR($T1097="",$U1097=""),"",$U1097-$T1097)</f>
      </c>
    </row>
    <row r="1098">
      <c r="A1098" t="str">
        <f>IF(games!$A1098="","",games!$A1098)</f>
      </c>
      <c r="B1098">
        <f>IF($A1098="","",games!$B1098)</f>
      </c>
      <c r="C1098" t="str">
        <f>IF($A1098="","",games!$C1098)</f>
      </c>
      <c r="D1098">
        <f>IF($A1098="","",COUNTIF(connections!$A$2:$A$2500,$A1098)+COUNTIF(connections!$B$2:$B$2500,$A1098))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IF(OR($A1098="",games!$H1098=""),"",games!$H1098)</f>
      </c>
      <c r="Q1098">
        <f>IF(OR($A1098="",$P1098&lt;&gt;"Yes"),"",$D1098+ROW()/1000000)</f>
      </c>
      <c r="T1098" t="str">
        <f>IF(connections!$A1098="","",IFERROR(INDEX(games!$B$2:$B$1200,MATCH(connections!$A1098,games!$A$2:$A$1200,0)),""))</f>
      </c>
      <c r="U1098">
        <f>IF(connections!$A1098="","",IFERROR(INDEX(games!$B$2:$B$1200,MATCH(connections!$B1098,games!$A$2:$A$1200,0)),""))</f>
      </c>
      <c r="V1098">
        <f>IF(OR($T1098="",$U1098=""),"",$U1098-$T1098)</f>
      </c>
    </row>
    <row r="1099">
      <c r="A1099" t="str">
        <f>IF(games!$A1099="","",games!$A1099)</f>
      </c>
      <c r="B1099">
        <f>IF($A1099="","",games!$B1099)</f>
      </c>
      <c r="C1099" t="str">
        <f>IF($A1099="","",games!$C1099)</f>
      </c>
      <c r="D1099">
        <f>IF($A1099="","",COUNTIF(connections!$A$2:$A$2500,$A1099)+COUNTIF(connections!$B$2:$B$2500,$A1099))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IF(OR($A1099="",games!$H1099=""),"",games!$H1099)</f>
      </c>
      <c r="Q1099">
        <f>IF(OR($A1099="",$P1099&lt;&gt;"Yes"),"",$D1099+ROW()/1000000)</f>
      </c>
      <c r="T1099" t="str">
        <f>IF(connections!$A1099="","",IFERROR(INDEX(games!$B$2:$B$1200,MATCH(connections!$A1099,games!$A$2:$A$1200,0)),""))</f>
      </c>
      <c r="U1099">
        <f>IF(connections!$A1099="","",IFERROR(INDEX(games!$B$2:$B$1200,MATCH(connections!$B1099,games!$A$2:$A$1200,0)),""))</f>
      </c>
      <c r="V1099">
        <f>IF(OR($T1099="",$U1099=""),"",$U1099-$T1099)</f>
      </c>
    </row>
    <row r="1100">
      <c r="A1100" t="str">
        <f>IF(games!$A1100="","",games!$A1100)</f>
      </c>
      <c r="B1100">
        <f>IF($A1100="","",games!$B1100)</f>
      </c>
      <c r="C1100" t="str">
        <f>IF($A1100="","",games!$C1100)</f>
      </c>
      <c r="D1100">
        <f>IF($A1100="","",COUNTIF(connections!$A$2:$A$2500,$A1100)+COUNTIF(connections!$B$2:$B$2500,$A1100))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IF(OR($A1100="",games!$H1100=""),"",games!$H1100)</f>
      </c>
      <c r="Q1100">
        <f>IF(OR($A1100="",$P1100&lt;&gt;"Yes"),"",$D1100+ROW()/1000000)</f>
      </c>
      <c r="T1100" t="str">
        <f>IF(connections!$A1100="","",IFERROR(INDEX(games!$B$2:$B$1200,MATCH(connections!$A1100,games!$A$2:$A$1200,0)),""))</f>
      </c>
      <c r="U1100">
        <f>IF(connections!$A1100="","",IFERROR(INDEX(games!$B$2:$B$1200,MATCH(connections!$B1100,games!$A$2:$A$1200,0)),""))</f>
      </c>
      <c r="V1100">
        <f>IF(OR($T1100="",$U1100=""),"",$U1100-$T1100)</f>
      </c>
    </row>
    <row r="1101">
      <c r="A1101" t="str">
        <f>IF(games!$A1101="","",games!$A1101)</f>
      </c>
      <c r="B1101">
        <f>IF($A1101="","",games!$B1101)</f>
      </c>
      <c r="C1101" t="str">
        <f>IF($A1101="","",games!$C1101)</f>
      </c>
      <c r="D1101">
        <f>IF($A1101="","",COUNTIF(connections!$A$2:$A$2500,$A1101)+COUNTIF(connections!$B$2:$B$2500,$A1101))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IF(OR($A1101="",games!$H1101=""),"",games!$H1101)</f>
      </c>
      <c r="Q1101">
        <f>IF(OR($A1101="",$P1101&lt;&gt;"Yes"),"",$D1101+ROW()/1000000)</f>
      </c>
      <c r="T1101" t="str">
        <f>IF(connections!$A1101="","",IFERROR(INDEX(games!$B$2:$B$1200,MATCH(connections!$A1101,games!$A$2:$A$1200,0)),""))</f>
      </c>
      <c r="U1101">
        <f>IF(connections!$A1101="","",IFERROR(INDEX(games!$B$2:$B$1200,MATCH(connections!$B1101,games!$A$2:$A$1200,0)),""))</f>
      </c>
      <c r="V1101">
        <f>IF(OR($T1101="",$U1101=""),"",$U1101-$T1101)</f>
      </c>
    </row>
    <row r="1102">
      <c r="A1102" t="str">
        <f>IF(games!$A1102="","",games!$A1102)</f>
      </c>
      <c r="B1102">
        <f>IF($A1102="","",games!$B1102)</f>
      </c>
      <c r="C1102" t="str">
        <f>IF($A1102="","",games!$C1102)</f>
      </c>
      <c r="D1102">
        <f>IF($A1102="","",COUNTIF(connections!$A$2:$A$2500,$A1102)+COUNTIF(connections!$B$2:$B$2500,$A1102))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IF(OR($A1102="",games!$H1102=""),"",games!$H1102)</f>
      </c>
      <c r="Q1102">
        <f>IF(OR($A1102="",$P1102&lt;&gt;"Yes"),"",$D1102+ROW()/1000000)</f>
      </c>
      <c r="T1102" t="str">
        <f>IF(connections!$A1102="","",IFERROR(INDEX(games!$B$2:$B$1200,MATCH(connections!$A1102,games!$A$2:$A$1200,0)),""))</f>
      </c>
      <c r="U1102">
        <f>IF(connections!$A1102="","",IFERROR(INDEX(games!$B$2:$B$1200,MATCH(connections!$B1102,games!$A$2:$A$1200,0)),""))</f>
      </c>
      <c r="V1102">
        <f>IF(OR($T1102="",$U1102=""),"",$U1102-$T1102)</f>
      </c>
    </row>
    <row r="1103">
      <c r="A1103" t="str">
        <f>IF(games!$A1103="","",games!$A1103)</f>
      </c>
      <c r="B1103">
        <f>IF($A1103="","",games!$B1103)</f>
      </c>
      <c r="C1103" t="str">
        <f>IF($A1103="","",games!$C1103)</f>
      </c>
      <c r="D1103">
        <f>IF($A1103="","",COUNTIF(connections!$A$2:$A$2500,$A1103)+COUNTIF(connections!$B$2:$B$2500,$A1103))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IF(OR($A1103="",games!$H1103=""),"",games!$H1103)</f>
      </c>
      <c r="Q1103">
        <f>IF(OR($A1103="",$P1103&lt;&gt;"Yes"),"",$D1103+ROW()/1000000)</f>
      </c>
      <c r="T1103" t="str">
        <f>IF(connections!$A1103="","",IFERROR(INDEX(games!$B$2:$B$1200,MATCH(connections!$A1103,games!$A$2:$A$1200,0)),""))</f>
      </c>
      <c r="U1103">
        <f>IF(connections!$A1103="","",IFERROR(INDEX(games!$B$2:$B$1200,MATCH(connections!$B1103,games!$A$2:$A$1200,0)),""))</f>
      </c>
      <c r="V1103">
        <f>IF(OR($T1103="",$U1103=""),"",$U1103-$T1103)</f>
      </c>
    </row>
    <row r="1104">
      <c r="A1104" t="str">
        <f>IF(games!$A1104="","",games!$A1104)</f>
      </c>
      <c r="B1104">
        <f>IF($A1104="","",games!$B1104)</f>
      </c>
      <c r="C1104" t="str">
        <f>IF($A1104="","",games!$C1104)</f>
      </c>
      <c r="D1104">
        <f>IF($A1104="","",COUNTIF(connections!$A$2:$A$2500,$A1104)+COUNTIF(connections!$B$2:$B$2500,$A1104))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IF(OR($A1104="",games!$H1104=""),"",games!$H1104)</f>
      </c>
      <c r="Q1104">
        <f>IF(OR($A1104="",$P1104&lt;&gt;"Yes"),"",$D1104+ROW()/1000000)</f>
      </c>
      <c r="T1104" t="str">
        <f>IF(connections!$A1104="","",IFERROR(INDEX(games!$B$2:$B$1200,MATCH(connections!$A1104,games!$A$2:$A$1200,0)),""))</f>
      </c>
      <c r="U1104">
        <f>IF(connections!$A1104="","",IFERROR(INDEX(games!$B$2:$B$1200,MATCH(connections!$B1104,games!$A$2:$A$1200,0)),""))</f>
      </c>
      <c r="V1104">
        <f>IF(OR($T1104="",$U1104=""),"",$U1104-$T1104)</f>
      </c>
    </row>
    <row r="1105">
      <c r="A1105" t="str">
        <f>IF(games!$A1105="","",games!$A1105)</f>
      </c>
      <c r="B1105">
        <f>IF($A1105="","",games!$B1105)</f>
      </c>
      <c r="C1105" t="str">
        <f>IF($A1105="","",games!$C1105)</f>
      </c>
      <c r="D1105">
        <f>IF($A1105="","",COUNTIF(connections!$A$2:$A$2500,$A1105)+COUNTIF(connections!$B$2:$B$2500,$A1105))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IF(OR($A1105="",games!$H1105=""),"",games!$H1105)</f>
      </c>
      <c r="Q1105">
        <f>IF(OR($A1105="",$P1105&lt;&gt;"Yes"),"",$D1105+ROW()/1000000)</f>
      </c>
      <c r="T1105" t="str">
        <f>IF(connections!$A1105="","",IFERROR(INDEX(games!$B$2:$B$1200,MATCH(connections!$A1105,games!$A$2:$A$1200,0)),""))</f>
      </c>
      <c r="U1105">
        <f>IF(connections!$A1105="","",IFERROR(INDEX(games!$B$2:$B$1200,MATCH(connections!$B1105,games!$A$2:$A$1200,0)),""))</f>
      </c>
      <c r="V1105">
        <f>IF(OR($T1105="",$U1105=""),"",$U1105-$T1105)</f>
      </c>
    </row>
    <row r="1106">
      <c r="A1106" t="str">
        <f>IF(games!$A1106="","",games!$A1106)</f>
      </c>
      <c r="B1106">
        <f>IF($A1106="","",games!$B1106)</f>
      </c>
      <c r="C1106" t="str">
        <f>IF($A1106="","",games!$C1106)</f>
      </c>
      <c r="D1106">
        <f>IF($A1106="","",COUNTIF(connections!$A$2:$A$2500,$A1106)+COUNTIF(connections!$B$2:$B$2500,$A1106))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IF(OR($A1106="",games!$H1106=""),"",games!$H1106)</f>
      </c>
      <c r="Q1106">
        <f>IF(OR($A1106="",$P1106&lt;&gt;"Yes"),"",$D1106+ROW()/1000000)</f>
      </c>
      <c r="T1106" t="str">
        <f>IF(connections!$A1106="","",IFERROR(INDEX(games!$B$2:$B$1200,MATCH(connections!$A1106,games!$A$2:$A$1200,0)),""))</f>
      </c>
      <c r="U1106">
        <f>IF(connections!$A1106="","",IFERROR(INDEX(games!$B$2:$B$1200,MATCH(connections!$B1106,games!$A$2:$A$1200,0)),""))</f>
      </c>
      <c r="V1106">
        <f>IF(OR($T1106="",$U1106=""),"",$U1106-$T1106)</f>
      </c>
    </row>
    <row r="1107">
      <c r="A1107" t="str">
        <f>IF(games!$A1107="","",games!$A1107)</f>
      </c>
      <c r="B1107">
        <f>IF($A1107="","",games!$B1107)</f>
      </c>
      <c r="C1107" t="str">
        <f>IF($A1107="","",games!$C1107)</f>
      </c>
      <c r="D1107">
        <f>IF($A1107="","",COUNTIF(connections!$A$2:$A$2500,$A1107)+COUNTIF(connections!$B$2:$B$2500,$A1107))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IF(OR($A1107="",games!$H1107=""),"",games!$H1107)</f>
      </c>
      <c r="Q1107">
        <f>IF(OR($A1107="",$P1107&lt;&gt;"Yes"),"",$D1107+ROW()/1000000)</f>
      </c>
      <c r="T1107" t="str">
        <f>IF(connections!$A1107="","",IFERROR(INDEX(games!$B$2:$B$1200,MATCH(connections!$A1107,games!$A$2:$A$1200,0)),""))</f>
      </c>
      <c r="U1107">
        <f>IF(connections!$A1107="","",IFERROR(INDEX(games!$B$2:$B$1200,MATCH(connections!$B1107,games!$A$2:$A$1200,0)),""))</f>
      </c>
      <c r="V1107">
        <f>IF(OR($T1107="",$U1107=""),"",$U1107-$T1107)</f>
      </c>
    </row>
    <row r="1108">
      <c r="A1108" t="str">
        <f>IF(games!$A1108="","",games!$A1108)</f>
      </c>
      <c r="B1108">
        <f>IF($A1108="","",games!$B1108)</f>
      </c>
      <c r="C1108" t="str">
        <f>IF($A1108="","",games!$C1108)</f>
      </c>
      <c r="D1108">
        <f>IF($A1108="","",COUNTIF(connections!$A$2:$A$2500,$A1108)+COUNTIF(connections!$B$2:$B$2500,$A1108))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IF(OR($A1108="",games!$H1108=""),"",games!$H1108)</f>
      </c>
      <c r="Q1108">
        <f>IF(OR($A1108="",$P1108&lt;&gt;"Yes"),"",$D1108+ROW()/1000000)</f>
      </c>
      <c r="T1108" t="str">
        <f>IF(connections!$A1108="","",IFERROR(INDEX(games!$B$2:$B$1200,MATCH(connections!$A1108,games!$A$2:$A$1200,0)),""))</f>
      </c>
      <c r="U1108">
        <f>IF(connections!$A1108="","",IFERROR(INDEX(games!$B$2:$B$1200,MATCH(connections!$B1108,games!$A$2:$A$1200,0)),""))</f>
      </c>
      <c r="V1108">
        <f>IF(OR($T1108="",$U1108=""),"",$U1108-$T1108)</f>
      </c>
    </row>
    <row r="1109">
      <c r="A1109" t="str">
        <f>IF(games!$A1109="","",games!$A1109)</f>
      </c>
      <c r="B1109">
        <f>IF($A1109="","",games!$B1109)</f>
      </c>
      <c r="C1109" t="str">
        <f>IF($A1109="","",games!$C1109)</f>
      </c>
      <c r="D1109">
        <f>IF($A1109="","",COUNTIF(connections!$A$2:$A$2500,$A1109)+COUNTIF(connections!$B$2:$B$2500,$A1109))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IF(OR($A1109="",games!$H1109=""),"",games!$H1109)</f>
      </c>
      <c r="Q1109">
        <f>IF(OR($A1109="",$P1109&lt;&gt;"Yes"),"",$D1109+ROW()/1000000)</f>
      </c>
      <c r="T1109" t="str">
        <f>IF(connections!$A1109="","",IFERROR(INDEX(games!$B$2:$B$1200,MATCH(connections!$A1109,games!$A$2:$A$1200,0)),""))</f>
      </c>
      <c r="U1109">
        <f>IF(connections!$A1109="","",IFERROR(INDEX(games!$B$2:$B$1200,MATCH(connections!$B1109,games!$A$2:$A$1200,0)),""))</f>
      </c>
      <c r="V1109">
        <f>IF(OR($T1109="",$U1109=""),"",$U1109-$T1109)</f>
      </c>
    </row>
    <row r="1110">
      <c r="A1110" t="str">
        <f>IF(games!$A1110="","",games!$A1110)</f>
      </c>
      <c r="B1110">
        <f>IF($A1110="","",games!$B1110)</f>
      </c>
      <c r="C1110" t="str">
        <f>IF($A1110="","",games!$C1110)</f>
      </c>
      <c r="D1110">
        <f>IF($A1110="","",COUNTIF(connections!$A$2:$A$2500,$A1110)+COUNTIF(connections!$B$2:$B$2500,$A1110))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IF(OR($A1110="",games!$H1110=""),"",games!$H1110)</f>
      </c>
      <c r="Q1110">
        <f>IF(OR($A1110="",$P1110&lt;&gt;"Yes"),"",$D1110+ROW()/1000000)</f>
      </c>
      <c r="T1110" t="str">
        <f>IF(connections!$A1110="","",IFERROR(INDEX(games!$B$2:$B$1200,MATCH(connections!$A1110,games!$A$2:$A$1200,0)),""))</f>
      </c>
      <c r="U1110">
        <f>IF(connections!$A1110="","",IFERROR(INDEX(games!$B$2:$B$1200,MATCH(connections!$B1110,games!$A$2:$A$1200,0)),""))</f>
      </c>
      <c r="V1110">
        <f>IF(OR($T1110="",$U1110=""),"",$U1110-$T1110)</f>
      </c>
    </row>
    <row r="1111">
      <c r="A1111" t="str">
        <f>IF(games!$A1111="","",games!$A1111)</f>
      </c>
      <c r="B1111">
        <f>IF($A1111="","",games!$B1111)</f>
      </c>
      <c r="C1111" t="str">
        <f>IF($A1111="","",games!$C1111)</f>
      </c>
      <c r="D1111">
        <f>IF($A1111="","",COUNTIF(connections!$A$2:$A$2500,$A1111)+COUNTIF(connections!$B$2:$B$2500,$A1111))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IF(OR($A1111="",games!$H1111=""),"",games!$H1111)</f>
      </c>
      <c r="Q1111">
        <f>IF(OR($A1111="",$P1111&lt;&gt;"Yes"),"",$D1111+ROW()/1000000)</f>
      </c>
      <c r="T1111" t="str">
        <f>IF(connections!$A1111="","",IFERROR(INDEX(games!$B$2:$B$1200,MATCH(connections!$A1111,games!$A$2:$A$1200,0)),""))</f>
      </c>
      <c r="U1111">
        <f>IF(connections!$A1111="","",IFERROR(INDEX(games!$B$2:$B$1200,MATCH(connections!$B1111,games!$A$2:$A$1200,0)),""))</f>
      </c>
      <c r="V1111">
        <f>IF(OR($T1111="",$U1111=""),"",$U1111-$T1111)</f>
      </c>
    </row>
    <row r="1112">
      <c r="A1112" t="str">
        <f>IF(games!$A1112="","",games!$A1112)</f>
      </c>
      <c r="B1112">
        <f>IF($A1112="","",games!$B1112)</f>
      </c>
      <c r="C1112" t="str">
        <f>IF($A1112="","",games!$C1112)</f>
      </c>
      <c r="D1112">
        <f>IF($A1112="","",COUNTIF(connections!$A$2:$A$2500,$A1112)+COUNTIF(connections!$B$2:$B$2500,$A1112))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IF(OR($A1112="",games!$H1112=""),"",games!$H1112)</f>
      </c>
      <c r="Q1112">
        <f>IF(OR($A1112="",$P1112&lt;&gt;"Yes"),"",$D1112+ROW()/1000000)</f>
      </c>
      <c r="T1112" t="str">
        <f>IF(connections!$A1112="","",IFERROR(INDEX(games!$B$2:$B$1200,MATCH(connections!$A1112,games!$A$2:$A$1200,0)),""))</f>
      </c>
      <c r="U1112">
        <f>IF(connections!$A1112="","",IFERROR(INDEX(games!$B$2:$B$1200,MATCH(connections!$B1112,games!$A$2:$A$1200,0)),""))</f>
      </c>
      <c r="V1112">
        <f>IF(OR($T1112="",$U1112=""),"",$U1112-$T1112)</f>
      </c>
    </row>
    <row r="1113">
      <c r="A1113" t="str">
        <f>IF(games!$A1113="","",games!$A1113)</f>
      </c>
      <c r="B1113">
        <f>IF($A1113="","",games!$B1113)</f>
      </c>
      <c r="C1113" t="str">
        <f>IF($A1113="","",games!$C1113)</f>
      </c>
      <c r="D1113">
        <f>IF($A1113="","",COUNTIF(connections!$A$2:$A$2500,$A1113)+COUNTIF(connections!$B$2:$B$2500,$A1113))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IF(OR($A1113="",games!$H1113=""),"",games!$H1113)</f>
      </c>
      <c r="Q1113">
        <f>IF(OR($A1113="",$P1113&lt;&gt;"Yes"),"",$D1113+ROW()/1000000)</f>
      </c>
      <c r="T1113" t="str">
        <f>IF(connections!$A1113="","",IFERROR(INDEX(games!$B$2:$B$1200,MATCH(connections!$A1113,games!$A$2:$A$1200,0)),""))</f>
      </c>
      <c r="U1113">
        <f>IF(connections!$A1113="","",IFERROR(INDEX(games!$B$2:$B$1200,MATCH(connections!$B1113,games!$A$2:$A$1200,0)),""))</f>
      </c>
      <c r="V1113">
        <f>IF(OR($T1113="",$U1113=""),"",$U1113-$T1113)</f>
      </c>
    </row>
    <row r="1114">
      <c r="A1114" t="str">
        <f>IF(games!$A1114="","",games!$A1114)</f>
      </c>
      <c r="B1114">
        <f>IF($A1114="","",games!$B1114)</f>
      </c>
      <c r="C1114" t="str">
        <f>IF($A1114="","",games!$C1114)</f>
      </c>
      <c r="D1114">
        <f>IF($A1114="","",COUNTIF(connections!$A$2:$A$2500,$A1114)+COUNTIF(connections!$B$2:$B$2500,$A1114))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IF(OR($A1114="",games!$H1114=""),"",games!$H1114)</f>
      </c>
      <c r="Q1114">
        <f>IF(OR($A1114="",$P1114&lt;&gt;"Yes"),"",$D1114+ROW()/1000000)</f>
      </c>
      <c r="T1114" t="str">
        <f>IF(connections!$A1114="","",IFERROR(INDEX(games!$B$2:$B$1200,MATCH(connections!$A1114,games!$A$2:$A$1200,0)),""))</f>
      </c>
      <c r="U1114">
        <f>IF(connections!$A1114="","",IFERROR(INDEX(games!$B$2:$B$1200,MATCH(connections!$B1114,games!$A$2:$A$1200,0)),""))</f>
      </c>
      <c r="V1114">
        <f>IF(OR($T1114="",$U1114=""),"",$U1114-$T1114)</f>
      </c>
    </row>
    <row r="1115">
      <c r="A1115" t="str">
        <f>IF(games!$A1115="","",games!$A1115)</f>
      </c>
      <c r="B1115">
        <f>IF($A1115="","",games!$B1115)</f>
      </c>
      <c r="C1115" t="str">
        <f>IF($A1115="","",games!$C1115)</f>
      </c>
      <c r="D1115">
        <f>IF($A1115="","",COUNTIF(connections!$A$2:$A$2500,$A1115)+COUNTIF(connections!$B$2:$B$2500,$A1115))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IF(OR($A1115="",games!$H1115=""),"",games!$H1115)</f>
      </c>
      <c r="Q1115">
        <f>IF(OR($A1115="",$P1115&lt;&gt;"Yes"),"",$D1115+ROW()/1000000)</f>
      </c>
      <c r="T1115" t="str">
        <f>IF(connections!$A1115="","",IFERROR(INDEX(games!$B$2:$B$1200,MATCH(connections!$A1115,games!$A$2:$A$1200,0)),""))</f>
      </c>
      <c r="U1115">
        <f>IF(connections!$A1115="","",IFERROR(INDEX(games!$B$2:$B$1200,MATCH(connections!$B1115,games!$A$2:$A$1200,0)),""))</f>
      </c>
      <c r="V1115">
        <f>IF(OR($T1115="",$U1115=""),"",$U1115-$T1115)</f>
      </c>
    </row>
    <row r="1116">
      <c r="A1116" t="str">
        <f>IF(games!$A1116="","",games!$A1116)</f>
      </c>
      <c r="B1116">
        <f>IF($A1116="","",games!$B1116)</f>
      </c>
      <c r="C1116" t="str">
        <f>IF($A1116="","",games!$C1116)</f>
      </c>
      <c r="D1116">
        <f>IF($A1116="","",COUNTIF(connections!$A$2:$A$2500,$A1116)+COUNTIF(connections!$B$2:$B$2500,$A1116))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IF(OR($A1116="",games!$H1116=""),"",games!$H1116)</f>
      </c>
      <c r="Q1116">
        <f>IF(OR($A1116="",$P1116&lt;&gt;"Yes"),"",$D1116+ROW()/1000000)</f>
      </c>
      <c r="T1116" t="str">
        <f>IF(connections!$A1116="","",IFERROR(INDEX(games!$B$2:$B$1200,MATCH(connections!$A1116,games!$A$2:$A$1200,0)),""))</f>
      </c>
      <c r="U1116">
        <f>IF(connections!$A1116="","",IFERROR(INDEX(games!$B$2:$B$1200,MATCH(connections!$B1116,games!$A$2:$A$1200,0)),""))</f>
      </c>
      <c r="V1116">
        <f>IF(OR($T1116="",$U1116=""),"",$U1116-$T1116)</f>
      </c>
    </row>
    <row r="1117">
      <c r="A1117" t="str">
        <f>IF(games!$A1117="","",games!$A1117)</f>
      </c>
      <c r="B1117">
        <f>IF($A1117="","",games!$B1117)</f>
      </c>
      <c r="C1117" t="str">
        <f>IF($A1117="","",games!$C1117)</f>
      </c>
      <c r="D1117">
        <f>IF($A1117="","",COUNTIF(connections!$A$2:$A$2500,$A1117)+COUNTIF(connections!$B$2:$B$2500,$A1117))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IF(OR($A1117="",games!$H1117=""),"",games!$H1117)</f>
      </c>
      <c r="Q1117">
        <f>IF(OR($A1117="",$P1117&lt;&gt;"Yes"),"",$D1117+ROW()/1000000)</f>
      </c>
      <c r="T1117" t="str">
        <f>IF(connections!$A1117="","",IFERROR(INDEX(games!$B$2:$B$1200,MATCH(connections!$A1117,games!$A$2:$A$1200,0)),""))</f>
      </c>
      <c r="U1117">
        <f>IF(connections!$A1117="","",IFERROR(INDEX(games!$B$2:$B$1200,MATCH(connections!$B1117,games!$A$2:$A$1200,0)),""))</f>
      </c>
      <c r="V1117">
        <f>IF(OR($T1117="",$U1117=""),"",$U1117-$T1117)</f>
      </c>
    </row>
    <row r="1118">
      <c r="A1118" t="str">
        <f>IF(games!$A1118="","",games!$A1118)</f>
      </c>
      <c r="B1118">
        <f>IF($A1118="","",games!$B1118)</f>
      </c>
      <c r="C1118" t="str">
        <f>IF($A1118="","",games!$C1118)</f>
      </c>
      <c r="D1118">
        <f>IF($A1118="","",COUNTIF(connections!$A$2:$A$2500,$A1118)+COUNTIF(connections!$B$2:$B$2500,$A1118))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IF(OR($A1118="",games!$H1118=""),"",games!$H1118)</f>
      </c>
      <c r="Q1118">
        <f>IF(OR($A1118="",$P1118&lt;&gt;"Yes"),"",$D1118+ROW()/1000000)</f>
      </c>
      <c r="T1118" t="str">
        <f>IF(connections!$A1118="","",IFERROR(INDEX(games!$B$2:$B$1200,MATCH(connections!$A1118,games!$A$2:$A$1200,0)),""))</f>
      </c>
      <c r="U1118">
        <f>IF(connections!$A1118="","",IFERROR(INDEX(games!$B$2:$B$1200,MATCH(connections!$B1118,games!$A$2:$A$1200,0)),""))</f>
      </c>
      <c r="V1118">
        <f>IF(OR($T1118="",$U1118=""),"",$U1118-$T1118)</f>
      </c>
    </row>
    <row r="1119">
      <c r="A1119" t="str">
        <f>IF(games!$A1119="","",games!$A1119)</f>
      </c>
      <c r="B1119">
        <f>IF($A1119="","",games!$B1119)</f>
      </c>
      <c r="C1119" t="str">
        <f>IF($A1119="","",games!$C1119)</f>
      </c>
      <c r="D1119">
        <f>IF($A1119="","",COUNTIF(connections!$A$2:$A$2500,$A1119)+COUNTIF(connections!$B$2:$B$2500,$A1119))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IF(OR($A1119="",games!$H1119=""),"",games!$H1119)</f>
      </c>
      <c r="Q1119">
        <f>IF(OR($A1119="",$P1119&lt;&gt;"Yes"),"",$D1119+ROW()/1000000)</f>
      </c>
      <c r="T1119" t="str">
        <f>IF(connections!$A1119="","",IFERROR(INDEX(games!$B$2:$B$1200,MATCH(connections!$A1119,games!$A$2:$A$1200,0)),""))</f>
      </c>
      <c r="U1119">
        <f>IF(connections!$A1119="","",IFERROR(INDEX(games!$B$2:$B$1200,MATCH(connections!$B1119,games!$A$2:$A$1200,0)),""))</f>
      </c>
      <c r="V1119">
        <f>IF(OR($T1119="",$U1119=""),"",$U1119-$T1119)</f>
      </c>
    </row>
    <row r="1120">
      <c r="A1120" t="str">
        <f>IF(games!$A1120="","",games!$A1120)</f>
      </c>
      <c r="B1120">
        <f>IF($A1120="","",games!$B1120)</f>
      </c>
      <c r="C1120" t="str">
        <f>IF($A1120="","",games!$C1120)</f>
      </c>
      <c r="D1120">
        <f>IF($A1120="","",COUNTIF(connections!$A$2:$A$2500,$A1120)+COUNTIF(connections!$B$2:$B$2500,$A1120))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IF(OR($A1120="",games!$H1120=""),"",games!$H1120)</f>
      </c>
      <c r="Q1120">
        <f>IF(OR($A1120="",$P1120&lt;&gt;"Yes"),"",$D1120+ROW()/1000000)</f>
      </c>
      <c r="T1120" t="str">
        <f>IF(connections!$A1120="","",IFERROR(INDEX(games!$B$2:$B$1200,MATCH(connections!$A1120,games!$A$2:$A$1200,0)),""))</f>
      </c>
      <c r="U1120">
        <f>IF(connections!$A1120="","",IFERROR(INDEX(games!$B$2:$B$1200,MATCH(connections!$B1120,games!$A$2:$A$1200,0)),""))</f>
      </c>
      <c r="V1120">
        <f>IF(OR($T1120="",$U1120=""),"",$U1120-$T1120)</f>
      </c>
    </row>
    <row r="1121">
      <c r="A1121" t="str">
        <f>IF(games!$A1121="","",games!$A1121)</f>
      </c>
      <c r="B1121">
        <f>IF($A1121="","",games!$B1121)</f>
      </c>
      <c r="C1121" t="str">
        <f>IF($A1121="","",games!$C1121)</f>
      </c>
      <c r="D1121">
        <f>IF($A1121="","",COUNTIF(connections!$A$2:$A$2500,$A1121)+COUNTIF(connections!$B$2:$B$2500,$A1121))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IF(OR($A1121="",games!$H1121=""),"",games!$H1121)</f>
      </c>
      <c r="Q1121">
        <f>IF(OR($A1121="",$P1121&lt;&gt;"Yes"),"",$D1121+ROW()/1000000)</f>
      </c>
      <c r="T1121" t="str">
        <f>IF(connections!$A1121="","",IFERROR(INDEX(games!$B$2:$B$1200,MATCH(connections!$A1121,games!$A$2:$A$1200,0)),""))</f>
      </c>
      <c r="U1121">
        <f>IF(connections!$A1121="","",IFERROR(INDEX(games!$B$2:$B$1200,MATCH(connections!$B1121,games!$A$2:$A$1200,0)),""))</f>
      </c>
      <c r="V1121">
        <f>IF(OR($T1121="",$U1121=""),"",$U1121-$T1121)</f>
      </c>
    </row>
    <row r="1122">
      <c r="A1122" t="str">
        <f>IF(games!$A1122="","",games!$A1122)</f>
      </c>
      <c r="B1122">
        <f>IF($A1122="","",games!$B1122)</f>
      </c>
      <c r="C1122" t="str">
        <f>IF($A1122="","",games!$C1122)</f>
      </c>
      <c r="D1122">
        <f>IF($A1122="","",COUNTIF(connections!$A$2:$A$2500,$A1122)+COUNTIF(connections!$B$2:$B$2500,$A1122))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IF(OR($A1122="",games!$H1122=""),"",games!$H1122)</f>
      </c>
      <c r="Q1122">
        <f>IF(OR($A1122="",$P1122&lt;&gt;"Yes"),"",$D1122+ROW()/1000000)</f>
      </c>
      <c r="T1122" t="str">
        <f>IF(connections!$A1122="","",IFERROR(INDEX(games!$B$2:$B$1200,MATCH(connections!$A1122,games!$A$2:$A$1200,0)),""))</f>
      </c>
      <c r="U1122">
        <f>IF(connections!$A1122="","",IFERROR(INDEX(games!$B$2:$B$1200,MATCH(connections!$B1122,games!$A$2:$A$1200,0)),""))</f>
      </c>
      <c r="V1122">
        <f>IF(OR($T1122="",$U1122=""),"",$U1122-$T1122)</f>
      </c>
    </row>
    <row r="1123">
      <c r="A1123" t="str">
        <f>IF(games!$A1123="","",games!$A1123)</f>
      </c>
      <c r="B1123">
        <f>IF($A1123="","",games!$B1123)</f>
      </c>
      <c r="C1123" t="str">
        <f>IF($A1123="","",games!$C1123)</f>
      </c>
      <c r="D1123">
        <f>IF($A1123="","",COUNTIF(connections!$A$2:$A$2500,$A1123)+COUNTIF(connections!$B$2:$B$2500,$A1123))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IF(OR($A1123="",games!$H1123=""),"",games!$H1123)</f>
      </c>
      <c r="Q1123">
        <f>IF(OR($A1123="",$P1123&lt;&gt;"Yes"),"",$D1123+ROW()/1000000)</f>
      </c>
      <c r="T1123" t="str">
        <f>IF(connections!$A1123="","",IFERROR(INDEX(games!$B$2:$B$1200,MATCH(connections!$A1123,games!$A$2:$A$1200,0)),""))</f>
      </c>
      <c r="U1123">
        <f>IF(connections!$A1123="","",IFERROR(INDEX(games!$B$2:$B$1200,MATCH(connections!$B1123,games!$A$2:$A$1200,0)),""))</f>
      </c>
      <c r="V1123">
        <f>IF(OR($T1123="",$U1123=""),"",$U1123-$T1123)</f>
      </c>
    </row>
    <row r="1124">
      <c r="A1124" t="str">
        <f>IF(games!$A1124="","",games!$A1124)</f>
      </c>
      <c r="B1124">
        <f>IF($A1124="","",games!$B1124)</f>
      </c>
      <c r="C1124" t="str">
        <f>IF($A1124="","",games!$C1124)</f>
      </c>
      <c r="D1124">
        <f>IF($A1124="","",COUNTIF(connections!$A$2:$A$2500,$A1124)+COUNTIF(connections!$B$2:$B$2500,$A1124))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IF(OR($A1124="",games!$H1124=""),"",games!$H1124)</f>
      </c>
      <c r="Q1124">
        <f>IF(OR($A1124="",$P1124&lt;&gt;"Yes"),"",$D1124+ROW()/1000000)</f>
      </c>
      <c r="T1124" t="str">
        <f>IF(connections!$A1124="","",IFERROR(INDEX(games!$B$2:$B$1200,MATCH(connections!$A1124,games!$A$2:$A$1200,0)),""))</f>
      </c>
      <c r="U1124">
        <f>IF(connections!$A1124="","",IFERROR(INDEX(games!$B$2:$B$1200,MATCH(connections!$B1124,games!$A$2:$A$1200,0)),""))</f>
      </c>
      <c r="V1124">
        <f>IF(OR($T1124="",$U1124=""),"",$U1124-$T1124)</f>
      </c>
    </row>
    <row r="1125">
      <c r="A1125" t="str">
        <f>IF(games!$A1125="","",games!$A1125)</f>
      </c>
      <c r="B1125">
        <f>IF($A1125="","",games!$B1125)</f>
      </c>
      <c r="C1125" t="str">
        <f>IF($A1125="","",games!$C1125)</f>
      </c>
      <c r="D1125">
        <f>IF($A1125="","",COUNTIF(connections!$A$2:$A$2500,$A1125)+COUNTIF(connections!$B$2:$B$2500,$A1125))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IF(OR($A1125="",games!$H1125=""),"",games!$H1125)</f>
      </c>
      <c r="Q1125">
        <f>IF(OR($A1125="",$P1125&lt;&gt;"Yes"),"",$D1125+ROW()/1000000)</f>
      </c>
      <c r="T1125" t="str">
        <f>IF(connections!$A1125="","",IFERROR(INDEX(games!$B$2:$B$1200,MATCH(connections!$A1125,games!$A$2:$A$1200,0)),""))</f>
      </c>
      <c r="U1125">
        <f>IF(connections!$A1125="","",IFERROR(INDEX(games!$B$2:$B$1200,MATCH(connections!$B1125,games!$A$2:$A$1200,0)),""))</f>
      </c>
      <c r="V1125">
        <f>IF(OR($T1125="",$U1125=""),"",$U1125-$T1125)</f>
      </c>
    </row>
    <row r="1126">
      <c r="A1126" t="str">
        <f>IF(games!$A1126="","",games!$A1126)</f>
      </c>
      <c r="B1126">
        <f>IF($A1126="","",games!$B1126)</f>
      </c>
      <c r="C1126" t="str">
        <f>IF($A1126="","",games!$C1126)</f>
      </c>
      <c r="D1126">
        <f>IF($A1126="","",COUNTIF(connections!$A$2:$A$2500,$A1126)+COUNTIF(connections!$B$2:$B$2500,$A1126))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IF(OR($A1126="",games!$H1126=""),"",games!$H1126)</f>
      </c>
      <c r="Q1126">
        <f>IF(OR($A1126="",$P1126&lt;&gt;"Yes"),"",$D1126+ROW()/1000000)</f>
      </c>
      <c r="T1126" t="str">
        <f>IF(connections!$A1126="","",IFERROR(INDEX(games!$B$2:$B$1200,MATCH(connections!$A1126,games!$A$2:$A$1200,0)),""))</f>
      </c>
      <c r="U1126">
        <f>IF(connections!$A1126="","",IFERROR(INDEX(games!$B$2:$B$1200,MATCH(connections!$B1126,games!$A$2:$A$1200,0)),""))</f>
      </c>
      <c r="V1126">
        <f>IF(OR($T1126="",$U1126=""),"",$U1126-$T1126)</f>
      </c>
    </row>
    <row r="1127">
      <c r="A1127" t="str">
        <f>IF(games!$A1127="","",games!$A1127)</f>
      </c>
      <c r="B1127">
        <f>IF($A1127="","",games!$B1127)</f>
      </c>
      <c r="C1127" t="str">
        <f>IF($A1127="","",games!$C1127)</f>
      </c>
      <c r="D1127">
        <f>IF($A1127="","",COUNTIF(connections!$A$2:$A$2500,$A1127)+COUNTIF(connections!$B$2:$B$2500,$A1127))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IF(OR($A1127="",games!$H1127=""),"",games!$H1127)</f>
      </c>
      <c r="Q1127">
        <f>IF(OR($A1127="",$P1127&lt;&gt;"Yes"),"",$D1127+ROW()/1000000)</f>
      </c>
      <c r="T1127" t="str">
        <f>IF(connections!$A1127="","",IFERROR(INDEX(games!$B$2:$B$1200,MATCH(connections!$A1127,games!$A$2:$A$1200,0)),""))</f>
      </c>
      <c r="U1127">
        <f>IF(connections!$A1127="","",IFERROR(INDEX(games!$B$2:$B$1200,MATCH(connections!$B1127,games!$A$2:$A$1200,0)),""))</f>
      </c>
      <c r="V1127">
        <f>IF(OR($T1127="",$U1127=""),"",$U1127-$T1127)</f>
      </c>
    </row>
    <row r="1128">
      <c r="A1128" t="str">
        <f>IF(games!$A1128="","",games!$A1128)</f>
      </c>
      <c r="B1128">
        <f>IF($A1128="","",games!$B1128)</f>
      </c>
      <c r="C1128" t="str">
        <f>IF($A1128="","",games!$C1128)</f>
      </c>
      <c r="D1128">
        <f>IF($A1128="","",COUNTIF(connections!$A$2:$A$2500,$A1128)+COUNTIF(connections!$B$2:$B$2500,$A1128))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IF(OR($A1128="",games!$H1128=""),"",games!$H1128)</f>
      </c>
      <c r="Q1128">
        <f>IF(OR($A1128="",$P1128&lt;&gt;"Yes"),"",$D1128+ROW()/1000000)</f>
      </c>
      <c r="T1128" t="str">
        <f>IF(connections!$A1128="","",IFERROR(INDEX(games!$B$2:$B$1200,MATCH(connections!$A1128,games!$A$2:$A$1200,0)),""))</f>
      </c>
      <c r="U1128">
        <f>IF(connections!$A1128="","",IFERROR(INDEX(games!$B$2:$B$1200,MATCH(connections!$B1128,games!$A$2:$A$1200,0)),""))</f>
      </c>
      <c r="V1128">
        <f>IF(OR($T1128="",$U1128=""),"",$U1128-$T1128)</f>
      </c>
    </row>
    <row r="1129">
      <c r="A1129" t="str">
        <f>IF(games!$A1129="","",games!$A1129)</f>
      </c>
      <c r="B1129">
        <f>IF($A1129="","",games!$B1129)</f>
      </c>
      <c r="C1129" t="str">
        <f>IF($A1129="","",games!$C1129)</f>
      </c>
      <c r="D1129">
        <f>IF($A1129="","",COUNTIF(connections!$A$2:$A$2500,$A1129)+COUNTIF(connections!$B$2:$B$2500,$A1129))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IF(OR($A1129="",games!$H1129=""),"",games!$H1129)</f>
      </c>
      <c r="Q1129">
        <f>IF(OR($A1129="",$P1129&lt;&gt;"Yes"),"",$D1129+ROW()/1000000)</f>
      </c>
      <c r="T1129" t="str">
        <f>IF(connections!$A1129="","",IFERROR(INDEX(games!$B$2:$B$1200,MATCH(connections!$A1129,games!$A$2:$A$1200,0)),""))</f>
      </c>
      <c r="U1129">
        <f>IF(connections!$A1129="","",IFERROR(INDEX(games!$B$2:$B$1200,MATCH(connections!$B1129,games!$A$2:$A$1200,0)),""))</f>
      </c>
      <c r="V1129">
        <f>IF(OR($T1129="",$U1129=""),"",$U1129-$T1129)</f>
      </c>
    </row>
    <row r="1130">
      <c r="A1130" t="str">
        <f>IF(games!$A1130="","",games!$A1130)</f>
      </c>
      <c r="B1130">
        <f>IF($A1130="","",games!$B1130)</f>
      </c>
      <c r="C1130" t="str">
        <f>IF($A1130="","",games!$C1130)</f>
      </c>
      <c r="D1130">
        <f>IF($A1130="","",COUNTIF(connections!$A$2:$A$2500,$A1130)+COUNTIF(connections!$B$2:$B$2500,$A1130))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IF(OR($A1130="",games!$H1130=""),"",games!$H1130)</f>
      </c>
      <c r="Q1130">
        <f>IF(OR($A1130="",$P1130&lt;&gt;"Yes"),"",$D1130+ROW()/1000000)</f>
      </c>
      <c r="T1130" t="str">
        <f>IF(connections!$A1130="","",IFERROR(INDEX(games!$B$2:$B$1200,MATCH(connections!$A1130,games!$A$2:$A$1200,0)),""))</f>
      </c>
      <c r="U1130">
        <f>IF(connections!$A1130="","",IFERROR(INDEX(games!$B$2:$B$1200,MATCH(connections!$B1130,games!$A$2:$A$1200,0)),""))</f>
      </c>
      <c r="V1130">
        <f>IF(OR($T1130="",$U1130=""),"",$U1130-$T1130)</f>
      </c>
    </row>
    <row r="1131">
      <c r="A1131" t="str">
        <f>IF(games!$A1131="","",games!$A1131)</f>
      </c>
      <c r="B1131">
        <f>IF($A1131="","",games!$B1131)</f>
      </c>
      <c r="C1131" t="str">
        <f>IF($A1131="","",games!$C1131)</f>
      </c>
      <c r="D1131">
        <f>IF($A1131="","",COUNTIF(connections!$A$2:$A$2500,$A1131)+COUNTIF(connections!$B$2:$B$2500,$A1131))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IF(OR($A1131="",games!$H1131=""),"",games!$H1131)</f>
      </c>
      <c r="Q1131">
        <f>IF(OR($A1131="",$P1131&lt;&gt;"Yes"),"",$D1131+ROW()/1000000)</f>
      </c>
      <c r="T1131" t="str">
        <f>IF(connections!$A1131="","",IFERROR(INDEX(games!$B$2:$B$1200,MATCH(connections!$A1131,games!$A$2:$A$1200,0)),""))</f>
      </c>
      <c r="U1131">
        <f>IF(connections!$A1131="","",IFERROR(INDEX(games!$B$2:$B$1200,MATCH(connections!$B1131,games!$A$2:$A$1200,0)),""))</f>
      </c>
      <c r="V1131">
        <f>IF(OR($T1131="",$U1131=""),"",$U1131-$T1131)</f>
      </c>
    </row>
    <row r="1132">
      <c r="A1132" t="str">
        <f>IF(games!$A1132="","",games!$A1132)</f>
      </c>
      <c r="B1132">
        <f>IF($A1132="","",games!$B1132)</f>
      </c>
      <c r="C1132" t="str">
        <f>IF($A1132="","",games!$C1132)</f>
      </c>
      <c r="D1132">
        <f>IF($A1132="","",COUNTIF(connections!$A$2:$A$2500,$A1132)+COUNTIF(connections!$B$2:$B$2500,$A1132))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IF(OR($A1132="",games!$H1132=""),"",games!$H1132)</f>
      </c>
      <c r="Q1132">
        <f>IF(OR($A1132="",$P1132&lt;&gt;"Yes"),"",$D1132+ROW()/1000000)</f>
      </c>
      <c r="T1132" t="str">
        <f>IF(connections!$A1132="","",IFERROR(INDEX(games!$B$2:$B$1200,MATCH(connections!$A1132,games!$A$2:$A$1200,0)),""))</f>
      </c>
      <c r="U1132">
        <f>IF(connections!$A1132="","",IFERROR(INDEX(games!$B$2:$B$1200,MATCH(connections!$B1132,games!$A$2:$A$1200,0)),""))</f>
      </c>
      <c r="V1132">
        <f>IF(OR($T1132="",$U1132=""),"",$U1132-$T1132)</f>
      </c>
    </row>
    <row r="1133">
      <c r="A1133" t="str">
        <f>IF(games!$A1133="","",games!$A1133)</f>
      </c>
      <c r="B1133">
        <f>IF($A1133="","",games!$B1133)</f>
      </c>
      <c r="C1133" t="str">
        <f>IF($A1133="","",games!$C1133)</f>
      </c>
      <c r="D1133">
        <f>IF($A1133="","",COUNTIF(connections!$A$2:$A$2500,$A1133)+COUNTIF(connections!$B$2:$B$2500,$A1133))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IF(OR($A1133="",games!$H1133=""),"",games!$H1133)</f>
      </c>
      <c r="Q1133">
        <f>IF(OR($A1133="",$P1133&lt;&gt;"Yes"),"",$D1133+ROW()/1000000)</f>
      </c>
      <c r="T1133" t="str">
        <f>IF(connections!$A1133="","",IFERROR(INDEX(games!$B$2:$B$1200,MATCH(connections!$A1133,games!$A$2:$A$1200,0)),""))</f>
      </c>
      <c r="U1133">
        <f>IF(connections!$A1133="","",IFERROR(INDEX(games!$B$2:$B$1200,MATCH(connections!$B1133,games!$A$2:$A$1200,0)),""))</f>
      </c>
      <c r="V1133">
        <f>IF(OR($T1133="",$U1133=""),"",$U1133-$T1133)</f>
      </c>
    </row>
    <row r="1134">
      <c r="A1134" t="str">
        <f>IF(games!$A1134="","",games!$A1134)</f>
      </c>
      <c r="B1134">
        <f>IF($A1134="","",games!$B1134)</f>
      </c>
      <c r="C1134" t="str">
        <f>IF($A1134="","",games!$C1134)</f>
      </c>
      <c r="D1134">
        <f>IF($A1134="","",COUNTIF(connections!$A$2:$A$2500,$A1134)+COUNTIF(connections!$B$2:$B$2500,$A1134))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IF(OR($A1134="",games!$H1134=""),"",games!$H1134)</f>
      </c>
      <c r="Q1134">
        <f>IF(OR($A1134="",$P1134&lt;&gt;"Yes"),"",$D1134+ROW()/1000000)</f>
      </c>
      <c r="T1134" t="str">
        <f>IF(connections!$A1134="","",IFERROR(INDEX(games!$B$2:$B$1200,MATCH(connections!$A1134,games!$A$2:$A$1200,0)),""))</f>
      </c>
      <c r="U1134">
        <f>IF(connections!$A1134="","",IFERROR(INDEX(games!$B$2:$B$1200,MATCH(connections!$B1134,games!$A$2:$A$1200,0)),""))</f>
      </c>
      <c r="V1134">
        <f>IF(OR($T1134="",$U1134=""),"",$U1134-$T1134)</f>
      </c>
    </row>
    <row r="1135">
      <c r="A1135" t="str">
        <f>IF(games!$A1135="","",games!$A1135)</f>
      </c>
      <c r="B1135">
        <f>IF($A1135="","",games!$B1135)</f>
      </c>
      <c r="C1135" t="str">
        <f>IF($A1135="","",games!$C1135)</f>
      </c>
      <c r="D1135">
        <f>IF($A1135="","",COUNTIF(connections!$A$2:$A$2500,$A1135)+COUNTIF(connections!$B$2:$B$2500,$A1135))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IF(OR($A1135="",games!$H1135=""),"",games!$H1135)</f>
      </c>
      <c r="Q1135">
        <f>IF(OR($A1135="",$P1135&lt;&gt;"Yes"),"",$D1135+ROW()/1000000)</f>
      </c>
      <c r="T1135" t="str">
        <f>IF(connections!$A1135="","",IFERROR(INDEX(games!$B$2:$B$1200,MATCH(connections!$A1135,games!$A$2:$A$1200,0)),""))</f>
      </c>
      <c r="U1135">
        <f>IF(connections!$A1135="","",IFERROR(INDEX(games!$B$2:$B$1200,MATCH(connections!$B1135,games!$A$2:$A$1200,0)),""))</f>
      </c>
      <c r="V1135">
        <f>IF(OR($T1135="",$U1135=""),"",$U1135-$T1135)</f>
      </c>
    </row>
    <row r="1136">
      <c r="A1136" t="str">
        <f>IF(games!$A1136="","",games!$A1136)</f>
      </c>
      <c r="B1136">
        <f>IF($A1136="","",games!$B1136)</f>
      </c>
      <c r="C1136" t="str">
        <f>IF($A1136="","",games!$C1136)</f>
      </c>
      <c r="D1136">
        <f>IF($A1136="","",COUNTIF(connections!$A$2:$A$2500,$A1136)+COUNTIF(connections!$B$2:$B$2500,$A1136))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IF(OR($A1136="",games!$H1136=""),"",games!$H1136)</f>
      </c>
      <c r="Q1136">
        <f>IF(OR($A1136="",$P1136&lt;&gt;"Yes"),"",$D1136+ROW()/1000000)</f>
      </c>
      <c r="T1136" t="str">
        <f>IF(connections!$A1136="","",IFERROR(INDEX(games!$B$2:$B$1200,MATCH(connections!$A1136,games!$A$2:$A$1200,0)),""))</f>
      </c>
      <c r="U1136">
        <f>IF(connections!$A1136="","",IFERROR(INDEX(games!$B$2:$B$1200,MATCH(connections!$B1136,games!$A$2:$A$1200,0)),""))</f>
      </c>
      <c r="V1136">
        <f>IF(OR($T1136="",$U1136=""),"",$U1136-$T1136)</f>
      </c>
    </row>
    <row r="1137">
      <c r="A1137" t="str">
        <f>IF(games!$A1137="","",games!$A1137)</f>
      </c>
      <c r="B1137">
        <f>IF($A1137="","",games!$B1137)</f>
      </c>
      <c r="C1137" t="str">
        <f>IF($A1137="","",games!$C1137)</f>
      </c>
      <c r="D1137">
        <f>IF($A1137="","",COUNTIF(connections!$A$2:$A$2500,$A1137)+COUNTIF(connections!$B$2:$B$2500,$A1137))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IF(OR($A1137="",games!$H1137=""),"",games!$H1137)</f>
      </c>
      <c r="Q1137">
        <f>IF(OR($A1137="",$P1137&lt;&gt;"Yes"),"",$D1137+ROW()/1000000)</f>
      </c>
      <c r="T1137" t="str">
        <f>IF(connections!$A1137="","",IFERROR(INDEX(games!$B$2:$B$1200,MATCH(connections!$A1137,games!$A$2:$A$1200,0)),""))</f>
      </c>
      <c r="U1137">
        <f>IF(connections!$A1137="","",IFERROR(INDEX(games!$B$2:$B$1200,MATCH(connections!$B1137,games!$A$2:$A$1200,0)),""))</f>
      </c>
      <c r="V1137">
        <f>IF(OR($T1137="",$U1137=""),"",$U1137-$T1137)</f>
      </c>
    </row>
    <row r="1138">
      <c r="A1138" t="str">
        <f>IF(games!$A1138="","",games!$A1138)</f>
      </c>
      <c r="B1138">
        <f>IF($A1138="","",games!$B1138)</f>
      </c>
      <c r="C1138" t="str">
        <f>IF($A1138="","",games!$C1138)</f>
      </c>
      <c r="D1138">
        <f>IF($A1138="","",COUNTIF(connections!$A$2:$A$2500,$A1138)+COUNTIF(connections!$B$2:$B$2500,$A1138))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IF(OR($A1138="",games!$H1138=""),"",games!$H1138)</f>
      </c>
      <c r="Q1138">
        <f>IF(OR($A1138="",$P1138&lt;&gt;"Yes"),"",$D1138+ROW()/1000000)</f>
      </c>
      <c r="T1138" t="str">
        <f>IF(connections!$A1138="","",IFERROR(INDEX(games!$B$2:$B$1200,MATCH(connections!$A1138,games!$A$2:$A$1200,0)),""))</f>
      </c>
      <c r="U1138">
        <f>IF(connections!$A1138="","",IFERROR(INDEX(games!$B$2:$B$1200,MATCH(connections!$B1138,games!$A$2:$A$1200,0)),""))</f>
      </c>
      <c r="V1138">
        <f>IF(OR($T1138="",$U1138=""),"",$U1138-$T1138)</f>
      </c>
    </row>
    <row r="1139">
      <c r="A1139" t="str">
        <f>IF(games!$A1139="","",games!$A1139)</f>
      </c>
      <c r="B1139">
        <f>IF($A1139="","",games!$B1139)</f>
      </c>
      <c r="C1139" t="str">
        <f>IF($A1139="","",games!$C1139)</f>
      </c>
      <c r="D1139">
        <f>IF($A1139="","",COUNTIF(connections!$A$2:$A$2500,$A1139)+COUNTIF(connections!$B$2:$B$2500,$A1139))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IF(OR($A1139="",games!$H1139=""),"",games!$H1139)</f>
      </c>
      <c r="Q1139">
        <f>IF(OR($A1139="",$P1139&lt;&gt;"Yes"),"",$D1139+ROW()/1000000)</f>
      </c>
      <c r="T1139" t="str">
        <f>IF(connections!$A1139="","",IFERROR(INDEX(games!$B$2:$B$1200,MATCH(connections!$A1139,games!$A$2:$A$1200,0)),""))</f>
      </c>
      <c r="U1139">
        <f>IF(connections!$A1139="","",IFERROR(INDEX(games!$B$2:$B$1200,MATCH(connections!$B1139,games!$A$2:$A$1200,0)),""))</f>
      </c>
      <c r="V1139">
        <f>IF(OR($T1139="",$U1139=""),"",$U1139-$T1139)</f>
      </c>
    </row>
    <row r="1140">
      <c r="A1140" t="str">
        <f>IF(games!$A1140="","",games!$A1140)</f>
      </c>
      <c r="B1140">
        <f>IF($A1140="","",games!$B1140)</f>
      </c>
      <c r="C1140" t="str">
        <f>IF($A1140="","",games!$C1140)</f>
      </c>
      <c r="D1140">
        <f>IF($A1140="","",COUNTIF(connections!$A$2:$A$2500,$A1140)+COUNTIF(connections!$B$2:$B$2500,$A1140))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IF(OR($A1140="",games!$H1140=""),"",games!$H1140)</f>
      </c>
      <c r="Q1140">
        <f>IF(OR($A1140="",$P1140&lt;&gt;"Yes"),"",$D1140+ROW()/1000000)</f>
      </c>
      <c r="T1140" t="str">
        <f>IF(connections!$A1140="","",IFERROR(INDEX(games!$B$2:$B$1200,MATCH(connections!$A1140,games!$A$2:$A$1200,0)),""))</f>
      </c>
      <c r="U1140">
        <f>IF(connections!$A1140="","",IFERROR(INDEX(games!$B$2:$B$1200,MATCH(connections!$B1140,games!$A$2:$A$1200,0)),""))</f>
      </c>
      <c r="V1140">
        <f>IF(OR($T1140="",$U1140=""),"",$U1140-$T1140)</f>
      </c>
    </row>
    <row r="1141">
      <c r="A1141" t="str">
        <f>IF(games!$A1141="","",games!$A1141)</f>
      </c>
      <c r="B1141">
        <f>IF($A1141="","",games!$B1141)</f>
      </c>
      <c r="C1141" t="str">
        <f>IF($A1141="","",games!$C1141)</f>
      </c>
      <c r="D1141">
        <f>IF($A1141="","",COUNTIF(connections!$A$2:$A$2500,$A1141)+COUNTIF(connections!$B$2:$B$2500,$A1141))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IF(OR($A1141="",games!$H1141=""),"",games!$H1141)</f>
      </c>
      <c r="Q1141">
        <f>IF(OR($A1141="",$P1141&lt;&gt;"Yes"),"",$D1141+ROW()/1000000)</f>
      </c>
      <c r="T1141" t="str">
        <f>IF(connections!$A1141="","",IFERROR(INDEX(games!$B$2:$B$1200,MATCH(connections!$A1141,games!$A$2:$A$1200,0)),""))</f>
      </c>
      <c r="U1141">
        <f>IF(connections!$A1141="","",IFERROR(INDEX(games!$B$2:$B$1200,MATCH(connections!$B1141,games!$A$2:$A$1200,0)),""))</f>
      </c>
      <c r="V1141">
        <f>IF(OR($T1141="",$U1141=""),"",$U1141-$T1141)</f>
      </c>
    </row>
    <row r="1142">
      <c r="A1142" t="str">
        <f>IF(games!$A1142="","",games!$A1142)</f>
      </c>
      <c r="B1142">
        <f>IF($A1142="","",games!$B1142)</f>
      </c>
      <c r="C1142" t="str">
        <f>IF($A1142="","",games!$C1142)</f>
      </c>
      <c r="D1142">
        <f>IF($A1142="","",COUNTIF(connections!$A$2:$A$2500,$A1142)+COUNTIF(connections!$B$2:$B$2500,$A1142))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IF(OR($A1142="",games!$H1142=""),"",games!$H1142)</f>
      </c>
      <c r="Q1142">
        <f>IF(OR($A1142="",$P1142&lt;&gt;"Yes"),"",$D1142+ROW()/1000000)</f>
      </c>
      <c r="T1142" t="str">
        <f>IF(connections!$A1142="","",IFERROR(INDEX(games!$B$2:$B$1200,MATCH(connections!$A1142,games!$A$2:$A$1200,0)),""))</f>
      </c>
      <c r="U1142">
        <f>IF(connections!$A1142="","",IFERROR(INDEX(games!$B$2:$B$1200,MATCH(connections!$B1142,games!$A$2:$A$1200,0)),""))</f>
      </c>
      <c r="V1142">
        <f>IF(OR($T1142="",$U1142=""),"",$U1142-$T1142)</f>
      </c>
    </row>
    <row r="1143">
      <c r="A1143" t="str">
        <f>IF(games!$A1143="","",games!$A1143)</f>
      </c>
      <c r="B1143">
        <f>IF($A1143="","",games!$B1143)</f>
      </c>
      <c r="C1143" t="str">
        <f>IF($A1143="","",games!$C1143)</f>
      </c>
      <c r="D1143">
        <f>IF($A1143="","",COUNTIF(connections!$A$2:$A$2500,$A1143)+COUNTIF(connections!$B$2:$B$2500,$A1143))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IF(OR($A1143="",games!$H1143=""),"",games!$H1143)</f>
      </c>
      <c r="Q1143">
        <f>IF(OR($A1143="",$P1143&lt;&gt;"Yes"),"",$D1143+ROW()/1000000)</f>
      </c>
      <c r="T1143" t="str">
        <f>IF(connections!$A1143="","",IFERROR(INDEX(games!$B$2:$B$1200,MATCH(connections!$A1143,games!$A$2:$A$1200,0)),""))</f>
      </c>
      <c r="U1143">
        <f>IF(connections!$A1143="","",IFERROR(INDEX(games!$B$2:$B$1200,MATCH(connections!$B1143,games!$A$2:$A$1200,0)),""))</f>
      </c>
      <c r="V1143">
        <f>IF(OR($T1143="",$U1143=""),"",$U1143-$T1143)</f>
      </c>
    </row>
    <row r="1144">
      <c r="A1144" t="str">
        <f>IF(games!$A1144="","",games!$A1144)</f>
      </c>
      <c r="B1144">
        <f>IF($A1144="","",games!$B1144)</f>
      </c>
      <c r="C1144" t="str">
        <f>IF($A1144="","",games!$C1144)</f>
      </c>
      <c r="D1144">
        <f>IF($A1144="","",COUNTIF(connections!$A$2:$A$2500,$A1144)+COUNTIF(connections!$B$2:$B$2500,$A1144))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IF(OR($A1144="",games!$H1144=""),"",games!$H1144)</f>
      </c>
      <c r="Q1144">
        <f>IF(OR($A1144="",$P1144&lt;&gt;"Yes"),"",$D1144+ROW()/1000000)</f>
      </c>
      <c r="T1144" t="str">
        <f>IF(connections!$A1144="","",IFERROR(INDEX(games!$B$2:$B$1200,MATCH(connections!$A1144,games!$A$2:$A$1200,0)),""))</f>
      </c>
      <c r="U1144">
        <f>IF(connections!$A1144="","",IFERROR(INDEX(games!$B$2:$B$1200,MATCH(connections!$B1144,games!$A$2:$A$1200,0)),""))</f>
      </c>
      <c r="V1144">
        <f>IF(OR($T1144="",$U1144=""),"",$U1144-$T1144)</f>
      </c>
    </row>
    <row r="1145">
      <c r="A1145" t="str">
        <f>IF(games!$A1145="","",games!$A1145)</f>
      </c>
      <c r="B1145">
        <f>IF($A1145="","",games!$B1145)</f>
      </c>
      <c r="C1145" t="str">
        <f>IF($A1145="","",games!$C1145)</f>
      </c>
      <c r="D1145">
        <f>IF($A1145="","",COUNTIF(connections!$A$2:$A$2500,$A1145)+COUNTIF(connections!$B$2:$B$2500,$A1145))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IF(OR($A1145="",games!$H1145=""),"",games!$H1145)</f>
      </c>
      <c r="Q1145">
        <f>IF(OR($A1145="",$P1145&lt;&gt;"Yes"),"",$D1145+ROW()/1000000)</f>
      </c>
      <c r="T1145" t="str">
        <f>IF(connections!$A1145="","",IFERROR(INDEX(games!$B$2:$B$1200,MATCH(connections!$A1145,games!$A$2:$A$1200,0)),""))</f>
      </c>
      <c r="U1145">
        <f>IF(connections!$A1145="","",IFERROR(INDEX(games!$B$2:$B$1200,MATCH(connections!$B1145,games!$A$2:$A$1200,0)),""))</f>
      </c>
      <c r="V1145">
        <f>IF(OR($T1145="",$U1145=""),"",$U1145-$T1145)</f>
      </c>
    </row>
    <row r="1146">
      <c r="A1146" t="str">
        <f>IF(games!$A1146="","",games!$A1146)</f>
      </c>
      <c r="B1146">
        <f>IF($A1146="","",games!$B1146)</f>
      </c>
      <c r="C1146" t="str">
        <f>IF($A1146="","",games!$C1146)</f>
      </c>
      <c r="D1146">
        <f>IF($A1146="","",COUNTIF(connections!$A$2:$A$2500,$A1146)+COUNTIF(connections!$B$2:$B$2500,$A1146))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IF(OR($A1146="",games!$H1146=""),"",games!$H1146)</f>
      </c>
      <c r="Q1146">
        <f>IF(OR($A1146="",$P1146&lt;&gt;"Yes"),"",$D1146+ROW()/1000000)</f>
      </c>
      <c r="T1146" t="str">
        <f>IF(connections!$A1146="","",IFERROR(INDEX(games!$B$2:$B$1200,MATCH(connections!$A1146,games!$A$2:$A$1200,0)),""))</f>
      </c>
      <c r="U1146">
        <f>IF(connections!$A1146="","",IFERROR(INDEX(games!$B$2:$B$1200,MATCH(connections!$B1146,games!$A$2:$A$1200,0)),""))</f>
      </c>
      <c r="V1146">
        <f>IF(OR($T1146="",$U1146=""),"",$U1146-$T1146)</f>
      </c>
    </row>
    <row r="1147">
      <c r="A1147" t="str">
        <f>IF(games!$A1147="","",games!$A1147)</f>
      </c>
      <c r="B1147">
        <f>IF($A1147="","",games!$B1147)</f>
      </c>
      <c r="C1147" t="str">
        <f>IF($A1147="","",games!$C1147)</f>
      </c>
      <c r="D1147">
        <f>IF($A1147="","",COUNTIF(connections!$A$2:$A$2500,$A1147)+COUNTIF(connections!$B$2:$B$2500,$A1147))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IF(OR($A1147="",games!$H1147=""),"",games!$H1147)</f>
      </c>
      <c r="Q1147">
        <f>IF(OR($A1147="",$P1147&lt;&gt;"Yes"),"",$D1147+ROW()/1000000)</f>
      </c>
      <c r="T1147" t="str">
        <f>IF(connections!$A1147="","",IFERROR(INDEX(games!$B$2:$B$1200,MATCH(connections!$A1147,games!$A$2:$A$1200,0)),""))</f>
      </c>
      <c r="U1147">
        <f>IF(connections!$A1147="","",IFERROR(INDEX(games!$B$2:$B$1200,MATCH(connections!$B1147,games!$A$2:$A$1200,0)),""))</f>
      </c>
      <c r="V1147">
        <f>IF(OR($T1147="",$U1147=""),"",$U1147-$T1147)</f>
      </c>
    </row>
    <row r="1148">
      <c r="A1148" t="str">
        <f>IF(games!$A1148="","",games!$A1148)</f>
      </c>
      <c r="B1148">
        <f>IF($A1148="","",games!$B1148)</f>
      </c>
      <c r="C1148" t="str">
        <f>IF($A1148="","",games!$C1148)</f>
      </c>
      <c r="D1148">
        <f>IF($A1148="","",COUNTIF(connections!$A$2:$A$2500,$A1148)+COUNTIF(connections!$B$2:$B$2500,$A1148))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IF(OR($A1148="",games!$H1148=""),"",games!$H1148)</f>
      </c>
      <c r="Q1148">
        <f>IF(OR($A1148="",$P1148&lt;&gt;"Yes"),"",$D1148+ROW()/1000000)</f>
      </c>
      <c r="T1148" t="str">
        <f>IF(connections!$A1148="","",IFERROR(INDEX(games!$B$2:$B$1200,MATCH(connections!$A1148,games!$A$2:$A$1200,0)),""))</f>
      </c>
      <c r="U1148">
        <f>IF(connections!$A1148="","",IFERROR(INDEX(games!$B$2:$B$1200,MATCH(connections!$B1148,games!$A$2:$A$1200,0)),""))</f>
      </c>
      <c r="V1148">
        <f>IF(OR($T1148="",$U1148=""),"",$U1148-$T1148)</f>
      </c>
    </row>
    <row r="1149">
      <c r="A1149" t="str">
        <f>IF(games!$A1149="","",games!$A1149)</f>
      </c>
      <c r="B1149">
        <f>IF($A1149="","",games!$B1149)</f>
      </c>
      <c r="C1149" t="str">
        <f>IF($A1149="","",games!$C1149)</f>
      </c>
      <c r="D1149">
        <f>IF($A1149="","",COUNTIF(connections!$A$2:$A$2500,$A1149)+COUNTIF(connections!$B$2:$B$2500,$A1149))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IF(OR($A1149="",games!$H1149=""),"",games!$H1149)</f>
      </c>
      <c r="Q1149">
        <f>IF(OR($A1149="",$P1149&lt;&gt;"Yes"),"",$D1149+ROW()/1000000)</f>
      </c>
      <c r="T1149" t="str">
        <f>IF(connections!$A1149="","",IFERROR(INDEX(games!$B$2:$B$1200,MATCH(connections!$A1149,games!$A$2:$A$1200,0)),""))</f>
      </c>
      <c r="U1149">
        <f>IF(connections!$A1149="","",IFERROR(INDEX(games!$B$2:$B$1200,MATCH(connections!$B1149,games!$A$2:$A$1200,0)),""))</f>
      </c>
      <c r="V1149">
        <f>IF(OR($T1149="",$U1149=""),"",$U1149-$T1149)</f>
      </c>
    </row>
    <row r="1150">
      <c r="A1150" t="str">
        <f>IF(games!$A1150="","",games!$A1150)</f>
      </c>
      <c r="B1150">
        <f>IF($A1150="","",games!$B1150)</f>
      </c>
      <c r="C1150" t="str">
        <f>IF($A1150="","",games!$C1150)</f>
      </c>
      <c r="D1150">
        <f>IF($A1150="","",COUNTIF(connections!$A$2:$A$2500,$A1150)+COUNTIF(connections!$B$2:$B$2500,$A1150))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IF(OR($A1150="",games!$H1150=""),"",games!$H1150)</f>
      </c>
      <c r="Q1150">
        <f>IF(OR($A1150="",$P1150&lt;&gt;"Yes"),"",$D1150+ROW()/1000000)</f>
      </c>
      <c r="T1150" t="str">
        <f>IF(connections!$A1150="","",IFERROR(INDEX(games!$B$2:$B$1200,MATCH(connections!$A1150,games!$A$2:$A$1200,0)),""))</f>
      </c>
      <c r="U1150">
        <f>IF(connections!$A1150="","",IFERROR(INDEX(games!$B$2:$B$1200,MATCH(connections!$B1150,games!$A$2:$A$1200,0)),""))</f>
      </c>
      <c r="V1150">
        <f>IF(OR($T1150="",$U1150=""),"",$U1150-$T1150)</f>
      </c>
    </row>
    <row r="1151">
      <c r="A1151" t="str">
        <f>IF(games!$A1151="","",games!$A1151)</f>
      </c>
      <c r="B1151">
        <f>IF($A1151="","",games!$B1151)</f>
      </c>
      <c r="C1151" t="str">
        <f>IF($A1151="","",games!$C1151)</f>
      </c>
      <c r="D1151">
        <f>IF($A1151="","",COUNTIF(connections!$A$2:$A$2500,$A1151)+COUNTIF(connections!$B$2:$B$2500,$A1151))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IF(OR($A1151="",games!$H1151=""),"",games!$H1151)</f>
      </c>
      <c r="Q1151">
        <f>IF(OR($A1151="",$P1151&lt;&gt;"Yes"),"",$D1151+ROW()/1000000)</f>
      </c>
      <c r="T1151" t="str">
        <f>IF(connections!$A1151="","",IFERROR(INDEX(games!$B$2:$B$1200,MATCH(connections!$A1151,games!$A$2:$A$1200,0)),""))</f>
      </c>
      <c r="U1151">
        <f>IF(connections!$A1151="","",IFERROR(INDEX(games!$B$2:$B$1200,MATCH(connections!$B1151,games!$A$2:$A$1200,0)),""))</f>
      </c>
      <c r="V1151">
        <f>IF(OR($T1151="",$U1151=""),"",$U1151-$T1151)</f>
      </c>
    </row>
    <row r="1152">
      <c r="A1152" t="str">
        <f>IF(games!$A1152="","",games!$A1152)</f>
      </c>
      <c r="B1152">
        <f>IF($A1152="","",games!$B1152)</f>
      </c>
      <c r="C1152" t="str">
        <f>IF($A1152="","",games!$C1152)</f>
      </c>
      <c r="D1152">
        <f>IF($A1152="","",COUNTIF(connections!$A$2:$A$2500,$A1152)+COUNTIF(connections!$B$2:$B$2500,$A1152))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IF(OR($A1152="",games!$H1152=""),"",games!$H1152)</f>
      </c>
      <c r="Q1152">
        <f>IF(OR($A1152="",$P1152&lt;&gt;"Yes"),"",$D1152+ROW()/1000000)</f>
      </c>
      <c r="T1152" t="str">
        <f>IF(connections!$A1152="","",IFERROR(INDEX(games!$B$2:$B$1200,MATCH(connections!$A1152,games!$A$2:$A$1200,0)),""))</f>
      </c>
      <c r="U1152">
        <f>IF(connections!$A1152="","",IFERROR(INDEX(games!$B$2:$B$1200,MATCH(connections!$B1152,games!$A$2:$A$1200,0)),""))</f>
      </c>
      <c r="V1152">
        <f>IF(OR($T1152="",$U1152=""),"",$U1152-$T1152)</f>
      </c>
    </row>
    <row r="1153">
      <c r="A1153" t="str">
        <f>IF(games!$A1153="","",games!$A1153)</f>
      </c>
      <c r="B1153">
        <f>IF($A1153="","",games!$B1153)</f>
      </c>
      <c r="C1153" t="str">
        <f>IF($A1153="","",games!$C1153)</f>
      </c>
      <c r="D1153">
        <f>IF($A1153="","",COUNTIF(connections!$A$2:$A$2500,$A1153)+COUNTIF(connections!$B$2:$B$2500,$A1153))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IF(OR($A1153="",games!$H1153=""),"",games!$H1153)</f>
      </c>
      <c r="Q1153">
        <f>IF(OR($A1153="",$P1153&lt;&gt;"Yes"),"",$D1153+ROW()/1000000)</f>
      </c>
      <c r="T1153" t="str">
        <f>IF(connections!$A1153="","",IFERROR(INDEX(games!$B$2:$B$1200,MATCH(connections!$A1153,games!$A$2:$A$1200,0)),""))</f>
      </c>
      <c r="U1153">
        <f>IF(connections!$A1153="","",IFERROR(INDEX(games!$B$2:$B$1200,MATCH(connections!$B1153,games!$A$2:$A$1200,0)),""))</f>
      </c>
      <c r="V1153">
        <f>IF(OR($T1153="",$U1153=""),"",$U1153-$T1153)</f>
      </c>
    </row>
    <row r="1154">
      <c r="A1154" t="str">
        <f>IF(games!$A1154="","",games!$A1154)</f>
      </c>
      <c r="B1154">
        <f>IF($A1154="","",games!$B1154)</f>
      </c>
      <c r="C1154" t="str">
        <f>IF($A1154="","",games!$C1154)</f>
      </c>
      <c r="D1154">
        <f>IF($A1154="","",COUNTIF(connections!$A$2:$A$2500,$A1154)+COUNTIF(connections!$B$2:$B$2500,$A1154))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IF(OR($A1154="",games!$H1154=""),"",games!$H1154)</f>
      </c>
      <c r="Q1154">
        <f>IF(OR($A1154="",$P1154&lt;&gt;"Yes"),"",$D1154+ROW()/1000000)</f>
      </c>
      <c r="T1154" t="str">
        <f>IF(connections!$A1154="","",IFERROR(INDEX(games!$B$2:$B$1200,MATCH(connections!$A1154,games!$A$2:$A$1200,0)),""))</f>
      </c>
      <c r="U1154">
        <f>IF(connections!$A1154="","",IFERROR(INDEX(games!$B$2:$B$1200,MATCH(connections!$B1154,games!$A$2:$A$1200,0)),""))</f>
      </c>
      <c r="V1154">
        <f>IF(OR($T1154="",$U1154=""),"",$U1154-$T1154)</f>
      </c>
    </row>
    <row r="1155">
      <c r="A1155" t="str">
        <f>IF(games!$A1155="","",games!$A1155)</f>
      </c>
      <c r="B1155">
        <f>IF($A1155="","",games!$B1155)</f>
      </c>
      <c r="C1155" t="str">
        <f>IF($A1155="","",games!$C1155)</f>
      </c>
      <c r="D1155">
        <f>IF($A1155="","",COUNTIF(connections!$A$2:$A$2500,$A1155)+COUNTIF(connections!$B$2:$B$2500,$A1155))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IF(OR($A1155="",games!$H1155=""),"",games!$H1155)</f>
      </c>
      <c r="Q1155">
        <f>IF(OR($A1155="",$P1155&lt;&gt;"Yes"),"",$D1155+ROW()/1000000)</f>
      </c>
      <c r="T1155" t="str">
        <f>IF(connections!$A1155="","",IFERROR(INDEX(games!$B$2:$B$1200,MATCH(connections!$A1155,games!$A$2:$A$1200,0)),""))</f>
      </c>
      <c r="U1155">
        <f>IF(connections!$A1155="","",IFERROR(INDEX(games!$B$2:$B$1200,MATCH(connections!$B1155,games!$A$2:$A$1200,0)),""))</f>
      </c>
      <c r="V1155">
        <f>IF(OR($T1155="",$U1155=""),"",$U1155-$T1155)</f>
      </c>
    </row>
    <row r="1156">
      <c r="A1156" t="str">
        <f>IF(games!$A1156="","",games!$A1156)</f>
      </c>
      <c r="B1156">
        <f>IF($A1156="","",games!$B1156)</f>
      </c>
      <c r="C1156" t="str">
        <f>IF($A1156="","",games!$C1156)</f>
      </c>
      <c r="D1156">
        <f>IF($A1156="","",COUNTIF(connections!$A$2:$A$2500,$A1156)+COUNTIF(connections!$B$2:$B$2500,$A1156))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IF(OR($A1156="",games!$H1156=""),"",games!$H1156)</f>
      </c>
      <c r="Q1156">
        <f>IF(OR($A1156="",$P1156&lt;&gt;"Yes"),"",$D1156+ROW()/1000000)</f>
      </c>
      <c r="T1156" t="str">
        <f>IF(connections!$A1156="","",IFERROR(INDEX(games!$B$2:$B$1200,MATCH(connections!$A1156,games!$A$2:$A$1200,0)),""))</f>
      </c>
      <c r="U1156">
        <f>IF(connections!$A1156="","",IFERROR(INDEX(games!$B$2:$B$1200,MATCH(connections!$B1156,games!$A$2:$A$1200,0)),""))</f>
      </c>
      <c r="V1156">
        <f>IF(OR($T1156="",$U1156=""),"",$U1156-$T1156)</f>
      </c>
    </row>
    <row r="1157">
      <c r="A1157" t="str">
        <f>IF(games!$A1157="","",games!$A1157)</f>
      </c>
      <c r="B1157">
        <f>IF($A1157="","",games!$B1157)</f>
      </c>
      <c r="C1157" t="str">
        <f>IF($A1157="","",games!$C1157)</f>
      </c>
      <c r="D1157">
        <f>IF($A1157="","",COUNTIF(connections!$A$2:$A$2500,$A1157)+COUNTIF(connections!$B$2:$B$2500,$A1157))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IF(OR($A1157="",games!$H1157=""),"",games!$H1157)</f>
      </c>
      <c r="Q1157">
        <f>IF(OR($A1157="",$P1157&lt;&gt;"Yes"),"",$D1157+ROW()/1000000)</f>
      </c>
      <c r="T1157" t="str">
        <f>IF(connections!$A1157="","",IFERROR(INDEX(games!$B$2:$B$1200,MATCH(connections!$A1157,games!$A$2:$A$1200,0)),""))</f>
      </c>
      <c r="U1157">
        <f>IF(connections!$A1157="","",IFERROR(INDEX(games!$B$2:$B$1200,MATCH(connections!$B1157,games!$A$2:$A$1200,0)),""))</f>
      </c>
      <c r="V1157">
        <f>IF(OR($T1157="",$U1157=""),"",$U1157-$T1157)</f>
      </c>
    </row>
    <row r="1158">
      <c r="A1158" t="str">
        <f>IF(games!$A1158="","",games!$A1158)</f>
      </c>
      <c r="B1158">
        <f>IF($A1158="","",games!$B1158)</f>
      </c>
      <c r="C1158" t="str">
        <f>IF($A1158="","",games!$C1158)</f>
      </c>
      <c r="D1158">
        <f>IF($A1158="","",COUNTIF(connections!$A$2:$A$2500,$A1158)+COUNTIF(connections!$B$2:$B$2500,$A1158))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IF(OR($A1158="",games!$H1158=""),"",games!$H1158)</f>
      </c>
      <c r="Q1158">
        <f>IF(OR($A1158="",$P1158&lt;&gt;"Yes"),"",$D1158+ROW()/1000000)</f>
      </c>
      <c r="T1158" t="str">
        <f>IF(connections!$A1158="","",IFERROR(INDEX(games!$B$2:$B$1200,MATCH(connections!$A1158,games!$A$2:$A$1200,0)),""))</f>
      </c>
      <c r="U1158">
        <f>IF(connections!$A1158="","",IFERROR(INDEX(games!$B$2:$B$1200,MATCH(connections!$B1158,games!$A$2:$A$1200,0)),""))</f>
      </c>
      <c r="V1158">
        <f>IF(OR($T1158="",$U1158=""),"",$U1158-$T1158)</f>
      </c>
    </row>
    <row r="1159">
      <c r="A1159" t="str">
        <f>IF(games!$A1159="","",games!$A1159)</f>
      </c>
      <c r="B1159">
        <f>IF($A1159="","",games!$B1159)</f>
      </c>
      <c r="C1159" t="str">
        <f>IF($A1159="","",games!$C1159)</f>
      </c>
      <c r="D1159">
        <f>IF($A1159="","",COUNTIF(connections!$A$2:$A$2500,$A1159)+COUNTIF(connections!$B$2:$B$2500,$A1159))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IF(OR($A1159="",games!$H1159=""),"",games!$H1159)</f>
      </c>
      <c r="Q1159">
        <f>IF(OR($A1159="",$P1159&lt;&gt;"Yes"),"",$D1159+ROW()/1000000)</f>
      </c>
      <c r="T1159" t="str">
        <f>IF(connections!$A1159="","",IFERROR(INDEX(games!$B$2:$B$1200,MATCH(connections!$A1159,games!$A$2:$A$1200,0)),""))</f>
      </c>
      <c r="U1159">
        <f>IF(connections!$A1159="","",IFERROR(INDEX(games!$B$2:$B$1200,MATCH(connections!$B1159,games!$A$2:$A$1200,0)),""))</f>
      </c>
      <c r="V1159">
        <f>IF(OR($T1159="",$U1159=""),"",$U1159-$T1159)</f>
      </c>
    </row>
    <row r="1160">
      <c r="A1160" t="str">
        <f>IF(games!$A1160="","",games!$A1160)</f>
      </c>
      <c r="B1160">
        <f>IF($A1160="","",games!$B1160)</f>
      </c>
      <c r="C1160" t="str">
        <f>IF($A1160="","",games!$C1160)</f>
      </c>
      <c r="D1160">
        <f>IF($A1160="","",COUNTIF(connections!$A$2:$A$2500,$A1160)+COUNTIF(connections!$B$2:$B$2500,$A1160))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IF(OR($A1160="",games!$H1160=""),"",games!$H1160)</f>
      </c>
      <c r="Q1160">
        <f>IF(OR($A1160="",$P1160&lt;&gt;"Yes"),"",$D1160+ROW()/1000000)</f>
      </c>
      <c r="T1160" t="str">
        <f>IF(connections!$A1160="","",IFERROR(INDEX(games!$B$2:$B$1200,MATCH(connections!$A1160,games!$A$2:$A$1200,0)),""))</f>
      </c>
      <c r="U1160">
        <f>IF(connections!$A1160="","",IFERROR(INDEX(games!$B$2:$B$1200,MATCH(connections!$B1160,games!$A$2:$A$1200,0)),""))</f>
      </c>
      <c r="V1160">
        <f>IF(OR($T1160="",$U1160=""),"",$U1160-$T1160)</f>
      </c>
    </row>
    <row r="1161">
      <c r="A1161" t="str">
        <f>IF(games!$A1161="","",games!$A1161)</f>
      </c>
      <c r="B1161">
        <f>IF($A1161="","",games!$B1161)</f>
      </c>
      <c r="C1161" t="str">
        <f>IF($A1161="","",games!$C1161)</f>
      </c>
      <c r="D1161">
        <f>IF($A1161="","",COUNTIF(connections!$A$2:$A$2500,$A1161)+COUNTIF(connections!$B$2:$B$2500,$A1161))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IF(OR($A1161="",games!$H1161=""),"",games!$H1161)</f>
      </c>
      <c r="Q1161">
        <f>IF(OR($A1161="",$P1161&lt;&gt;"Yes"),"",$D1161+ROW()/1000000)</f>
      </c>
      <c r="T1161" t="str">
        <f>IF(connections!$A1161="","",IFERROR(INDEX(games!$B$2:$B$1200,MATCH(connections!$A1161,games!$A$2:$A$1200,0)),""))</f>
      </c>
      <c r="U1161">
        <f>IF(connections!$A1161="","",IFERROR(INDEX(games!$B$2:$B$1200,MATCH(connections!$B1161,games!$A$2:$A$1200,0)),""))</f>
      </c>
      <c r="V1161">
        <f>IF(OR($T1161="",$U1161=""),"",$U1161-$T1161)</f>
      </c>
    </row>
    <row r="1162">
      <c r="A1162" t="str">
        <f>IF(games!$A1162="","",games!$A1162)</f>
      </c>
      <c r="B1162">
        <f>IF($A1162="","",games!$B1162)</f>
      </c>
      <c r="C1162" t="str">
        <f>IF($A1162="","",games!$C1162)</f>
      </c>
      <c r="D1162">
        <f>IF($A1162="","",COUNTIF(connections!$A$2:$A$2500,$A1162)+COUNTIF(connections!$B$2:$B$2500,$A1162))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IF(OR($A1162="",games!$H1162=""),"",games!$H1162)</f>
      </c>
      <c r="Q1162">
        <f>IF(OR($A1162="",$P1162&lt;&gt;"Yes"),"",$D1162+ROW()/1000000)</f>
      </c>
      <c r="T1162" t="str">
        <f>IF(connections!$A1162="","",IFERROR(INDEX(games!$B$2:$B$1200,MATCH(connections!$A1162,games!$A$2:$A$1200,0)),""))</f>
      </c>
      <c r="U1162">
        <f>IF(connections!$A1162="","",IFERROR(INDEX(games!$B$2:$B$1200,MATCH(connections!$B1162,games!$A$2:$A$1200,0)),""))</f>
      </c>
      <c r="V1162">
        <f>IF(OR($T1162="",$U1162=""),"",$U1162-$T1162)</f>
      </c>
    </row>
    <row r="1163">
      <c r="A1163" t="str">
        <f>IF(games!$A1163="","",games!$A1163)</f>
      </c>
      <c r="B1163">
        <f>IF($A1163="","",games!$B1163)</f>
      </c>
      <c r="C1163" t="str">
        <f>IF($A1163="","",games!$C1163)</f>
      </c>
      <c r="D1163">
        <f>IF($A1163="","",COUNTIF(connections!$A$2:$A$2500,$A1163)+COUNTIF(connections!$B$2:$B$2500,$A1163))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IF(OR($A1163="",games!$H1163=""),"",games!$H1163)</f>
      </c>
      <c r="Q1163">
        <f>IF(OR($A1163="",$P1163&lt;&gt;"Yes"),"",$D1163+ROW()/1000000)</f>
      </c>
      <c r="T1163" t="str">
        <f>IF(connections!$A1163="","",IFERROR(INDEX(games!$B$2:$B$1200,MATCH(connections!$A1163,games!$A$2:$A$1200,0)),""))</f>
      </c>
      <c r="U1163">
        <f>IF(connections!$A1163="","",IFERROR(INDEX(games!$B$2:$B$1200,MATCH(connections!$B1163,games!$A$2:$A$1200,0)),""))</f>
      </c>
      <c r="V1163">
        <f>IF(OR($T1163="",$U1163=""),"",$U1163-$T1163)</f>
      </c>
    </row>
    <row r="1164">
      <c r="A1164" t="str">
        <f>IF(games!$A1164="","",games!$A1164)</f>
      </c>
      <c r="B1164">
        <f>IF($A1164="","",games!$B1164)</f>
      </c>
      <c r="C1164" t="str">
        <f>IF($A1164="","",games!$C1164)</f>
      </c>
      <c r="D1164">
        <f>IF($A1164="","",COUNTIF(connections!$A$2:$A$2500,$A1164)+COUNTIF(connections!$B$2:$B$2500,$A1164))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IF(OR($A1164="",games!$H1164=""),"",games!$H1164)</f>
      </c>
      <c r="Q1164">
        <f>IF(OR($A1164="",$P1164&lt;&gt;"Yes"),"",$D1164+ROW()/1000000)</f>
      </c>
      <c r="T1164" t="str">
        <f>IF(connections!$A1164="","",IFERROR(INDEX(games!$B$2:$B$1200,MATCH(connections!$A1164,games!$A$2:$A$1200,0)),""))</f>
      </c>
      <c r="U1164">
        <f>IF(connections!$A1164="","",IFERROR(INDEX(games!$B$2:$B$1200,MATCH(connections!$B1164,games!$A$2:$A$1200,0)),""))</f>
      </c>
      <c r="V1164">
        <f>IF(OR($T1164="",$U1164=""),"",$U1164-$T1164)</f>
      </c>
    </row>
    <row r="1165">
      <c r="A1165" t="str">
        <f>IF(games!$A1165="","",games!$A1165)</f>
      </c>
      <c r="B1165">
        <f>IF($A1165="","",games!$B1165)</f>
      </c>
      <c r="C1165" t="str">
        <f>IF($A1165="","",games!$C1165)</f>
      </c>
      <c r="D1165">
        <f>IF($A1165="","",COUNTIF(connections!$A$2:$A$2500,$A1165)+COUNTIF(connections!$B$2:$B$2500,$A1165))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IF(OR($A1165="",games!$H1165=""),"",games!$H1165)</f>
      </c>
      <c r="Q1165">
        <f>IF(OR($A1165="",$P1165&lt;&gt;"Yes"),"",$D1165+ROW()/1000000)</f>
      </c>
      <c r="T1165" t="str">
        <f>IF(connections!$A1165="","",IFERROR(INDEX(games!$B$2:$B$1200,MATCH(connections!$A1165,games!$A$2:$A$1200,0)),""))</f>
      </c>
      <c r="U1165">
        <f>IF(connections!$A1165="","",IFERROR(INDEX(games!$B$2:$B$1200,MATCH(connections!$B1165,games!$A$2:$A$1200,0)),""))</f>
      </c>
      <c r="V1165">
        <f>IF(OR($T1165="",$U1165=""),"",$U1165-$T1165)</f>
      </c>
    </row>
    <row r="1166">
      <c r="A1166" t="str">
        <f>IF(games!$A1166="","",games!$A1166)</f>
      </c>
      <c r="B1166">
        <f>IF($A1166="","",games!$B1166)</f>
      </c>
      <c r="C1166" t="str">
        <f>IF($A1166="","",games!$C1166)</f>
      </c>
      <c r="D1166">
        <f>IF($A1166="","",COUNTIF(connections!$A$2:$A$2500,$A1166)+COUNTIF(connections!$B$2:$B$2500,$A1166))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IF(OR($A1166="",games!$H1166=""),"",games!$H1166)</f>
      </c>
      <c r="Q1166">
        <f>IF(OR($A1166="",$P1166&lt;&gt;"Yes"),"",$D1166+ROW()/1000000)</f>
      </c>
      <c r="T1166" t="str">
        <f>IF(connections!$A1166="","",IFERROR(INDEX(games!$B$2:$B$1200,MATCH(connections!$A1166,games!$A$2:$A$1200,0)),""))</f>
      </c>
      <c r="U1166">
        <f>IF(connections!$A1166="","",IFERROR(INDEX(games!$B$2:$B$1200,MATCH(connections!$B1166,games!$A$2:$A$1200,0)),""))</f>
      </c>
      <c r="V1166">
        <f>IF(OR($T1166="",$U1166=""),"",$U1166-$T1166)</f>
      </c>
    </row>
    <row r="1167">
      <c r="A1167" t="str">
        <f>IF(games!$A1167="","",games!$A1167)</f>
      </c>
      <c r="B1167">
        <f>IF($A1167="","",games!$B1167)</f>
      </c>
      <c r="C1167" t="str">
        <f>IF($A1167="","",games!$C1167)</f>
      </c>
      <c r="D1167">
        <f>IF($A1167="","",COUNTIF(connections!$A$2:$A$2500,$A1167)+COUNTIF(connections!$B$2:$B$2500,$A1167))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IF(OR($A1167="",games!$H1167=""),"",games!$H1167)</f>
      </c>
      <c r="Q1167">
        <f>IF(OR($A1167="",$P1167&lt;&gt;"Yes"),"",$D1167+ROW()/1000000)</f>
      </c>
      <c r="T1167" t="str">
        <f>IF(connections!$A1167="","",IFERROR(INDEX(games!$B$2:$B$1200,MATCH(connections!$A1167,games!$A$2:$A$1200,0)),""))</f>
      </c>
      <c r="U1167">
        <f>IF(connections!$A1167="","",IFERROR(INDEX(games!$B$2:$B$1200,MATCH(connections!$B1167,games!$A$2:$A$1200,0)),""))</f>
      </c>
      <c r="V1167">
        <f>IF(OR($T1167="",$U1167=""),"",$U1167-$T1167)</f>
      </c>
    </row>
    <row r="1168">
      <c r="A1168" t="str">
        <f>IF(games!$A1168="","",games!$A1168)</f>
      </c>
      <c r="B1168">
        <f>IF($A1168="","",games!$B1168)</f>
      </c>
      <c r="C1168" t="str">
        <f>IF($A1168="","",games!$C1168)</f>
      </c>
      <c r="D1168">
        <f>IF($A1168="","",COUNTIF(connections!$A$2:$A$2500,$A1168)+COUNTIF(connections!$B$2:$B$2500,$A1168))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IF(OR($A1168="",games!$H1168=""),"",games!$H1168)</f>
      </c>
      <c r="Q1168">
        <f>IF(OR($A1168="",$P1168&lt;&gt;"Yes"),"",$D1168+ROW()/1000000)</f>
      </c>
      <c r="T1168" t="str">
        <f>IF(connections!$A1168="","",IFERROR(INDEX(games!$B$2:$B$1200,MATCH(connections!$A1168,games!$A$2:$A$1200,0)),""))</f>
      </c>
      <c r="U1168">
        <f>IF(connections!$A1168="","",IFERROR(INDEX(games!$B$2:$B$1200,MATCH(connections!$B1168,games!$A$2:$A$1200,0)),""))</f>
      </c>
      <c r="V1168">
        <f>IF(OR($T1168="",$U1168=""),"",$U1168-$T1168)</f>
      </c>
    </row>
    <row r="1169">
      <c r="A1169" t="str">
        <f>IF(games!$A1169="","",games!$A1169)</f>
      </c>
      <c r="B1169">
        <f>IF($A1169="","",games!$B1169)</f>
      </c>
      <c r="C1169" t="str">
        <f>IF($A1169="","",games!$C1169)</f>
      </c>
      <c r="D1169">
        <f>IF($A1169="","",COUNTIF(connections!$A$2:$A$2500,$A1169)+COUNTIF(connections!$B$2:$B$2500,$A1169))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IF(OR($A1169="",games!$H1169=""),"",games!$H1169)</f>
      </c>
      <c r="Q1169">
        <f>IF(OR($A1169="",$P1169&lt;&gt;"Yes"),"",$D1169+ROW()/1000000)</f>
      </c>
      <c r="T1169" t="str">
        <f>IF(connections!$A1169="","",IFERROR(INDEX(games!$B$2:$B$1200,MATCH(connections!$A1169,games!$A$2:$A$1200,0)),""))</f>
      </c>
      <c r="U1169">
        <f>IF(connections!$A1169="","",IFERROR(INDEX(games!$B$2:$B$1200,MATCH(connections!$B1169,games!$A$2:$A$1200,0)),""))</f>
      </c>
      <c r="V1169">
        <f>IF(OR($T1169="",$U1169=""),"",$U1169-$T1169)</f>
      </c>
    </row>
    <row r="1170">
      <c r="A1170" t="str">
        <f>IF(games!$A1170="","",games!$A1170)</f>
      </c>
      <c r="B1170">
        <f>IF($A1170="","",games!$B1170)</f>
      </c>
      <c r="C1170" t="str">
        <f>IF($A1170="","",games!$C1170)</f>
      </c>
      <c r="D1170">
        <f>IF($A1170="","",COUNTIF(connections!$A$2:$A$2500,$A1170)+COUNTIF(connections!$B$2:$B$2500,$A1170))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IF(OR($A1170="",games!$H1170=""),"",games!$H1170)</f>
      </c>
      <c r="Q1170">
        <f>IF(OR($A1170="",$P1170&lt;&gt;"Yes"),"",$D1170+ROW()/1000000)</f>
      </c>
      <c r="T1170" t="str">
        <f>IF(connections!$A1170="","",IFERROR(INDEX(games!$B$2:$B$1200,MATCH(connections!$A1170,games!$A$2:$A$1200,0)),""))</f>
      </c>
      <c r="U1170">
        <f>IF(connections!$A1170="","",IFERROR(INDEX(games!$B$2:$B$1200,MATCH(connections!$B1170,games!$A$2:$A$1200,0)),""))</f>
      </c>
      <c r="V1170">
        <f>IF(OR($T1170="",$U1170=""),"",$U1170-$T1170)</f>
      </c>
    </row>
    <row r="1171">
      <c r="A1171" t="str">
        <f>IF(games!$A1171="","",games!$A1171)</f>
      </c>
      <c r="B1171">
        <f>IF($A1171="","",games!$B1171)</f>
      </c>
      <c r="C1171" t="str">
        <f>IF($A1171="","",games!$C1171)</f>
      </c>
      <c r="D1171">
        <f>IF($A1171="","",COUNTIF(connections!$A$2:$A$2500,$A1171)+COUNTIF(connections!$B$2:$B$2500,$A1171))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IF(OR($A1171="",games!$H1171=""),"",games!$H1171)</f>
      </c>
      <c r="Q1171">
        <f>IF(OR($A1171="",$P1171&lt;&gt;"Yes"),"",$D1171+ROW()/1000000)</f>
      </c>
      <c r="T1171" t="str">
        <f>IF(connections!$A1171="","",IFERROR(INDEX(games!$B$2:$B$1200,MATCH(connections!$A1171,games!$A$2:$A$1200,0)),""))</f>
      </c>
      <c r="U1171">
        <f>IF(connections!$A1171="","",IFERROR(INDEX(games!$B$2:$B$1200,MATCH(connections!$B1171,games!$A$2:$A$1200,0)),""))</f>
      </c>
      <c r="V1171">
        <f>IF(OR($T1171="",$U1171=""),"",$U1171-$T1171)</f>
      </c>
    </row>
    <row r="1172">
      <c r="A1172" t="str">
        <f>IF(games!$A1172="","",games!$A1172)</f>
      </c>
      <c r="B1172">
        <f>IF($A1172="","",games!$B1172)</f>
      </c>
      <c r="C1172" t="str">
        <f>IF($A1172="","",games!$C1172)</f>
      </c>
      <c r="D1172">
        <f>IF($A1172="","",COUNTIF(connections!$A$2:$A$2500,$A1172)+COUNTIF(connections!$B$2:$B$2500,$A1172))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IF(OR($A1172="",games!$H1172=""),"",games!$H1172)</f>
      </c>
      <c r="Q1172">
        <f>IF(OR($A1172="",$P1172&lt;&gt;"Yes"),"",$D1172+ROW()/1000000)</f>
      </c>
      <c r="T1172" t="str">
        <f>IF(connections!$A1172="","",IFERROR(INDEX(games!$B$2:$B$1200,MATCH(connections!$A1172,games!$A$2:$A$1200,0)),""))</f>
      </c>
      <c r="U1172">
        <f>IF(connections!$A1172="","",IFERROR(INDEX(games!$B$2:$B$1200,MATCH(connections!$B1172,games!$A$2:$A$1200,0)),""))</f>
      </c>
      <c r="V1172">
        <f>IF(OR($T1172="",$U1172=""),"",$U1172-$T1172)</f>
      </c>
    </row>
    <row r="1173">
      <c r="A1173" t="str">
        <f>IF(games!$A1173="","",games!$A1173)</f>
      </c>
      <c r="B1173">
        <f>IF($A1173="","",games!$B1173)</f>
      </c>
      <c r="C1173" t="str">
        <f>IF($A1173="","",games!$C1173)</f>
      </c>
      <c r="D1173">
        <f>IF($A1173="","",COUNTIF(connections!$A$2:$A$2500,$A1173)+COUNTIF(connections!$B$2:$B$2500,$A1173))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IF(OR($A1173="",games!$H1173=""),"",games!$H1173)</f>
      </c>
      <c r="Q1173">
        <f>IF(OR($A1173="",$P1173&lt;&gt;"Yes"),"",$D1173+ROW()/1000000)</f>
      </c>
      <c r="T1173" t="str">
        <f>IF(connections!$A1173="","",IFERROR(INDEX(games!$B$2:$B$1200,MATCH(connections!$A1173,games!$A$2:$A$1200,0)),""))</f>
      </c>
      <c r="U1173">
        <f>IF(connections!$A1173="","",IFERROR(INDEX(games!$B$2:$B$1200,MATCH(connections!$B1173,games!$A$2:$A$1200,0)),""))</f>
      </c>
      <c r="V1173">
        <f>IF(OR($T1173="",$U1173=""),"",$U1173-$T1173)</f>
      </c>
    </row>
    <row r="1174">
      <c r="A1174" t="str">
        <f>IF(games!$A1174="","",games!$A1174)</f>
      </c>
      <c r="B1174">
        <f>IF($A1174="","",games!$B1174)</f>
      </c>
      <c r="C1174" t="str">
        <f>IF($A1174="","",games!$C1174)</f>
      </c>
      <c r="D1174">
        <f>IF($A1174="","",COUNTIF(connections!$A$2:$A$2500,$A1174)+COUNTIF(connections!$B$2:$B$2500,$A1174))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IF(OR($A1174="",games!$H1174=""),"",games!$H1174)</f>
      </c>
      <c r="Q1174">
        <f>IF(OR($A1174="",$P1174&lt;&gt;"Yes"),"",$D1174+ROW()/1000000)</f>
      </c>
      <c r="T1174" t="str">
        <f>IF(connections!$A1174="","",IFERROR(INDEX(games!$B$2:$B$1200,MATCH(connections!$A1174,games!$A$2:$A$1200,0)),""))</f>
      </c>
      <c r="U1174">
        <f>IF(connections!$A1174="","",IFERROR(INDEX(games!$B$2:$B$1200,MATCH(connections!$B1174,games!$A$2:$A$1200,0)),""))</f>
      </c>
      <c r="V1174">
        <f>IF(OR($T1174="",$U1174=""),"",$U1174-$T1174)</f>
      </c>
    </row>
    <row r="1175">
      <c r="A1175" t="str">
        <f>IF(games!$A1175="","",games!$A1175)</f>
      </c>
      <c r="B1175">
        <f>IF($A1175="","",games!$B1175)</f>
      </c>
      <c r="C1175" t="str">
        <f>IF($A1175="","",games!$C1175)</f>
      </c>
      <c r="D1175">
        <f>IF($A1175="","",COUNTIF(connections!$A$2:$A$2500,$A1175)+COUNTIF(connections!$B$2:$B$2500,$A1175))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IF(OR($A1175="",games!$H1175=""),"",games!$H1175)</f>
      </c>
      <c r="Q1175">
        <f>IF(OR($A1175="",$P1175&lt;&gt;"Yes"),"",$D1175+ROW()/1000000)</f>
      </c>
      <c r="T1175" t="str">
        <f>IF(connections!$A1175="","",IFERROR(INDEX(games!$B$2:$B$1200,MATCH(connections!$A1175,games!$A$2:$A$1200,0)),""))</f>
      </c>
      <c r="U1175">
        <f>IF(connections!$A1175="","",IFERROR(INDEX(games!$B$2:$B$1200,MATCH(connections!$B1175,games!$A$2:$A$1200,0)),""))</f>
      </c>
      <c r="V1175">
        <f>IF(OR($T1175="",$U1175=""),"",$U1175-$T1175)</f>
      </c>
    </row>
    <row r="1176">
      <c r="A1176" t="str">
        <f>IF(games!$A1176="","",games!$A1176)</f>
      </c>
      <c r="B1176">
        <f>IF($A1176="","",games!$B1176)</f>
      </c>
      <c r="C1176" t="str">
        <f>IF($A1176="","",games!$C1176)</f>
      </c>
      <c r="D1176">
        <f>IF($A1176="","",COUNTIF(connections!$A$2:$A$2500,$A1176)+COUNTIF(connections!$B$2:$B$2500,$A1176))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IF(OR($A1176="",games!$H1176=""),"",games!$H1176)</f>
      </c>
      <c r="Q1176">
        <f>IF(OR($A1176="",$P1176&lt;&gt;"Yes"),"",$D1176+ROW()/1000000)</f>
      </c>
      <c r="T1176" t="str">
        <f>IF(connections!$A1176="","",IFERROR(INDEX(games!$B$2:$B$1200,MATCH(connections!$A1176,games!$A$2:$A$1200,0)),""))</f>
      </c>
      <c r="U1176">
        <f>IF(connections!$A1176="","",IFERROR(INDEX(games!$B$2:$B$1200,MATCH(connections!$B1176,games!$A$2:$A$1200,0)),""))</f>
      </c>
      <c r="V1176">
        <f>IF(OR($T1176="",$U1176=""),"",$U1176-$T1176)</f>
      </c>
    </row>
    <row r="1177">
      <c r="A1177" t="str">
        <f>IF(games!$A1177="","",games!$A1177)</f>
      </c>
      <c r="B1177">
        <f>IF($A1177="","",games!$B1177)</f>
      </c>
      <c r="C1177" t="str">
        <f>IF($A1177="","",games!$C1177)</f>
      </c>
      <c r="D1177">
        <f>IF($A1177="","",COUNTIF(connections!$A$2:$A$2500,$A1177)+COUNTIF(connections!$B$2:$B$2500,$A1177))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IF(OR($A1177="",games!$H1177=""),"",games!$H1177)</f>
      </c>
      <c r="Q1177">
        <f>IF(OR($A1177="",$P1177&lt;&gt;"Yes"),"",$D1177+ROW()/1000000)</f>
      </c>
      <c r="T1177" t="str">
        <f>IF(connections!$A1177="","",IFERROR(INDEX(games!$B$2:$B$1200,MATCH(connections!$A1177,games!$A$2:$A$1200,0)),""))</f>
      </c>
      <c r="U1177">
        <f>IF(connections!$A1177="","",IFERROR(INDEX(games!$B$2:$B$1200,MATCH(connections!$B1177,games!$A$2:$A$1200,0)),""))</f>
      </c>
      <c r="V1177">
        <f>IF(OR($T1177="",$U1177=""),"",$U1177-$T1177)</f>
      </c>
    </row>
    <row r="1178">
      <c r="A1178" t="str">
        <f>IF(games!$A1178="","",games!$A1178)</f>
      </c>
      <c r="B1178">
        <f>IF($A1178="","",games!$B1178)</f>
      </c>
      <c r="C1178" t="str">
        <f>IF($A1178="","",games!$C1178)</f>
      </c>
      <c r="D1178">
        <f>IF($A1178="","",COUNTIF(connections!$A$2:$A$2500,$A1178)+COUNTIF(connections!$B$2:$B$2500,$A1178))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IF(OR($A1178="",games!$H1178=""),"",games!$H1178)</f>
      </c>
      <c r="Q1178">
        <f>IF(OR($A1178="",$P1178&lt;&gt;"Yes"),"",$D1178+ROW()/1000000)</f>
      </c>
      <c r="T1178" t="str">
        <f>IF(connections!$A1178="","",IFERROR(INDEX(games!$B$2:$B$1200,MATCH(connections!$A1178,games!$A$2:$A$1200,0)),""))</f>
      </c>
      <c r="U1178">
        <f>IF(connections!$A1178="","",IFERROR(INDEX(games!$B$2:$B$1200,MATCH(connections!$B1178,games!$A$2:$A$1200,0)),""))</f>
      </c>
      <c r="V1178">
        <f>IF(OR($T1178="",$U1178=""),"",$U1178-$T1178)</f>
      </c>
    </row>
    <row r="1179">
      <c r="A1179" t="str">
        <f>IF(games!$A1179="","",games!$A1179)</f>
      </c>
      <c r="B1179">
        <f>IF($A1179="","",games!$B1179)</f>
      </c>
      <c r="C1179" t="str">
        <f>IF($A1179="","",games!$C1179)</f>
      </c>
      <c r="D1179">
        <f>IF($A1179="","",COUNTIF(connections!$A$2:$A$2500,$A1179)+COUNTIF(connections!$B$2:$B$2500,$A1179))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IF(OR($A1179="",games!$H1179=""),"",games!$H1179)</f>
      </c>
      <c r="Q1179">
        <f>IF(OR($A1179="",$P1179&lt;&gt;"Yes"),"",$D1179+ROW()/1000000)</f>
      </c>
      <c r="T1179" t="str">
        <f>IF(connections!$A1179="","",IFERROR(INDEX(games!$B$2:$B$1200,MATCH(connections!$A1179,games!$A$2:$A$1200,0)),""))</f>
      </c>
      <c r="U1179">
        <f>IF(connections!$A1179="","",IFERROR(INDEX(games!$B$2:$B$1200,MATCH(connections!$B1179,games!$A$2:$A$1200,0)),""))</f>
      </c>
      <c r="V1179">
        <f>IF(OR($T1179="",$U1179=""),"",$U1179-$T1179)</f>
      </c>
    </row>
    <row r="1180">
      <c r="A1180" t="str">
        <f>IF(games!$A1180="","",games!$A1180)</f>
      </c>
      <c r="B1180">
        <f>IF($A1180="","",games!$B1180)</f>
      </c>
      <c r="C1180" t="str">
        <f>IF($A1180="","",games!$C1180)</f>
      </c>
      <c r="D1180">
        <f>IF($A1180="","",COUNTIF(connections!$A$2:$A$2500,$A1180)+COUNTIF(connections!$B$2:$B$2500,$A1180))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IF(OR($A1180="",games!$H1180=""),"",games!$H1180)</f>
      </c>
      <c r="Q1180">
        <f>IF(OR($A1180="",$P1180&lt;&gt;"Yes"),"",$D1180+ROW()/1000000)</f>
      </c>
      <c r="T1180" t="str">
        <f>IF(connections!$A1180="","",IFERROR(INDEX(games!$B$2:$B$1200,MATCH(connections!$A1180,games!$A$2:$A$1200,0)),""))</f>
      </c>
      <c r="U1180">
        <f>IF(connections!$A1180="","",IFERROR(INDEX(games!$B$2:$B$1200,MATCH(connections!$B1180,games!$A$2:$A$1200,0)),""))</f>
      </c>
      <c r="V1180">
        <f>IF(OR($T1180="",$U1180=""),"",$U1180-$T1180)</f>
      </c>
    </row>
    <row r="1181">
      <c r="A1181" t="str">
        <f>IF(games!$A1181="","",games!$A1181)</f>
      </c>
      <c r="B1181">
        <f>IF($A1181="","",games!$B1181)</f>
      </c>
      <c r="C1181" t="str">
        <f>IF($A1181="","",games!$C1181)</f>
      </c>
      <c r="D1181">
        <f>IF($A1181="","",COUNTIF(connections!$A$2:$A$2500,$A1181)+COUNTIF(connections!$B$2:$B$2500,$A1181))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IF(OR($A1181="",games!$H1181=""),"",games!$H1181)</f>
      </c>
      <c r="Q1181">
        <f>IF(OR($A1181="",$P1181&lt;&gt;"Yes"),"",$D1181+ROW()/1000000)</f>
      </c>
      <c r="T1181" t="str">
        <f>IF(connections!$A1181="","",IFERROR(INDEX(games!$B$2:$B$1200,MATCH(connections!$A1181,games!$A$2:$A$1200,0)),""))</f>
      </c>
      <c r="U1181">
        <f>IF(connections!$A1181="","",IFERROR(INDEX(games!$B$2:$B$1200,MATCH(connections!$B1181,games!$A$2:$A$1200,0)),""))</f>
      </c>
      <c r="V1181">
        <f>IF(OR($T1181="",$U1181=""),"",$U1181-$T1181)</f>
      </c>
    </row>
    <row r="1182">
      <c r="A1182" t="str">
        <f>IF(games!$A1182="","",games!$A1182)</f>
      </c>
      <c r="B1182">
        <f>IF($A1182="","",games!$B1182)</f>
      </c>
      <c r="C1182" t="str">
        <f>IF($A1182="","",games!$C1182)</f>
      </c>
      <c r="D1182">
        <f>IF($A1182="","",COUNTIF(connections!$A$2:$A$2500,$A1182)+COUNTIF(connections!$B$2:$B$2500,$A1182))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IF(OR($A1182="",games!$H1182=""),"",games!$H1182)</f>
      </c>
      <c r="Q1182">
        <f>IF(OR($A1182="",$P1182&lt;&gt;"Yes"),"",$D1182+ROW()/1000000)</f>
      </c>
      <c r="T1182" t="str">
        <f>IF(connections!$A1182="","",IFERROR(INDEX(games!$B$2:$B$1200,MATCH(connections!$A1182,games!$A$2:$A$1200,0)),""))</f>
      </c>
      <c r="U1182">
        <f>IF(connections!$A1182="","",IFERROR(INDEX(games!$B$2:$B$1200,MATCH(connections!$B1182,games!$A$2:$A$1200,0)),""))</f>
      </c>
      <c r="V1182">
        <f>IF(OR($T1182="",$U1182=""),"",$U1182-$T1182)</f>
      </c>
    </row>
    <row r="1183">
      <c r="A1183" t="str">
        <f>IF(games!$A1183="","",games!$A1183)</f>
      </c>
      <c r="B1183">
        <f>IF($A1183="","",games!$B1183)</f>
      </c>
      <c r="C1183" t="str">
        <f>IF($A1183="","",games!$C1183)</f>
      </c>
      <c r="D1183">
        <f>IF($A1183="","",COUNTIF(connections!$A$2:$A$2500,$A1183)+COUNTIF(connections!$B$2:$B$2500,$A1183))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IF(OR($A1183="",games!$H1183=""),"",games!$H1183)</f>
      </c>
      <c r="Q1183">
        <f>IF(OR($A1183="",$P1183&lt;&gt;"Yes"),"",$D1183+ROW()/1000000)</f>
      </c>
      <c r="T1183" t="str">
        <f>IF(connections!$A1183="","",IFERROR(INDEX(games!$B$2:$B$1200,MATCH(connections!$A1183,games!$A$2:$A$1200,0)),""))</f>
      </c>
      <c r="U1183">
        <f>IF(connections!$A1183="","",IFERROR(INDEX(games!$B$2:$B$1200,MATCH(connections!$B1183,games!$A$2:$A$1200,0)),""))</f>
      </c>
      <c r="V1183">
        <f>IF(OR($T1183="",$U1183=""),"",$U1183-$T1183)</f>
      </c>
    </row>
    <row r="1184">
      <c r="A1184" t="str">
        <f>IF(games!$A1184="","",games!$A1184)</f>
      </c>
      <c r="B1184">
        <f>IF($A1184="","",games!$B1184)</f>
      </c>
      <c r="C1184" t="str">
        <f>IF($A1184="","",games!$C1184)</f>
      </c>
      <c r="D1184">
        <f>IF($A1184="","",COUNTIF(connections!$A$2:$A$2500,$A1184)+COUNTIF(connections!$B$2:$B$2500,$A1184))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IF(OR($A1184="",games!$H1184=""),"",games!$H1184)</f>
      </c>
      <c r="Q1184">
        <f>IF(OR($A1184="",$P1184&lt;&gt;"Yes"),"",$D1184+ROW()/1000000)</f>
      </c>
      <c r="T1184" t="str">
        <f>IF(connections!$A1184="","",IFERROR(INDEX(games!$B$2:$B$1200,MATCH(connections!$A1184,games!$A$2:$A$1200,0)),""))</f>
      </c>
      <c r="U1184">
        <f>IF(connections!$A1184="","",IFERROR(INDEX(games!$B$2:$B$1200,MATCH(connections!$B1184,games!$A$2:$A$1200,0)),""))</f>
      </c>
      <c r="V1184">
        <f>IF(OR($T1184="",$U1184=""),"",$U1184-$T1184)</f>
      </c>
    </row>
    <row r="1185">
      <c r="A1185" t="str">
        <f>IF(games!$A1185="","",games!$A1185)</f>
      </c>
      <c r="B1185">
        <f>IF($A1185="","",games!$B1185)</f>
      </c>
      <c r="C1185" t="str">
        <f>IF($A1185="","",games!$C1185)</f>
      </c>
      <c r="D1185">
        <f>IF($A1185="","",COUNTIF(connections!$A$2:$A$2500,$A1185)+COUNTIF(connections!$B$2:$B$2500,$A1185))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IF(OR($A1185="",games!$H1185=""),"",games!$H1185)</f>
      </c>
      <c r="Q1185">
        <f>IF(OR($A1185="",$P1185&lt;&gt;"Yes"),"",$D1185+ROW()/1000000)</f>
      </c>
      <c r="T1185" t="str">
        <f>IF(connections!$A1185="","",IFERROR(INDEX(games!$B$2:$B$1200,MATCH(connections!$A1185,games!$A$2:$A$1200,0)),""))</f>
      </c>
      <c r="U1185">
        <f>IF(connections!$A1185="","",IFERROR(INDEX(games!$B$2:$B$1200,MATCH(connections!$B1185,games!$A$2:$A$1200,0)),""))</f>
      </c>
      <c r="V1185">
        <f>IF(OR($T1185="",$U1185=""),"",$U1185-$T1185)</f>
      </c>
    </row>
    <row r="1186">
      <c r="A1186" t="str">
        <f>IF(games!$A1186="","",games!$A1186)</f>
      </c>
      <c r="B1186">
        <f>IF($A1186="","",games!$B1186)</f>
      </c>
      <c r="C1186" t="str">
        <f>IF($A1186="","",games!$C1186)</f>
      </c>
      <c r="D1186">
        <f>IF($A1186="","",COUNTIF(connections!$A$2:$A$2500,$A1186)+COUNTIF(connections!$B$2:$B$2500,$A1186))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IF(OR($A1186="",games!$H1186=""),"",games!$H1186)</f>
      </c>
      <c r="Q1186">
        <f>IF(OR($A1186="",$P1186&lt;&gt;"Yes"),"",$D1186+ROW()/1000000)</f>
      </c>
      <c r="T1186" t="str">
        <f>IF(connections!$A1186="","",IFERROR(INDEX(games!$B$2:$B$1200,MATCH(connections!$A1186,games!$A$2:$A$1200,0)),""))</f>
      </c>
      <c r="U1186">
        <f>IF(connections!$A1186="","",IFERROR(INDEX(games!$B$2:$B$1200,MATCH(connections!$B1186,games!$A$2:$A$1200,0)),""))</f>
      </c>
      <c r="V1186">
        <f>IF(OR($T1186="",$U1186=""),"",$U1186-$T1186)</f>
      </c>
    </row>
    <row r="1187">
      <c r="A1187" t="str">
        <f>IF(games!$A1187="","",games!$A1187)</f>
      </c>
      <c r="B1187">
        <f>IF($A1187="","",games!$B1187)</f>
      </c>
      <c r="C1187" t="str">
        <f>IF($A1187="","",games!$C1187)</f>
      </c>
      <c r="D1187">
        <f>IF($A1187="","",COUNTIF(connections!$A$2:$A$2500,$A1187)+COUNTIF(connections!$B$2:$B$2500,$A1187))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IF(OR($A1187="",games!$H1187=""),"",games!$H1187)</f>
      </c>
      <c r="Q1187">
        <f>IF(OR($A1187="",$P1187&lt;&gt;"Yes"),"",$D1187+ROW()/1000000)</f>
      </c>
      <c r="T1187" t="str">
        <f>IF(connections!$A1187="","",IFERROR(INDEX(games!$B$2:$B$1200,MATCH(connections!$A1187,games!$A$2:$A$1200,0)),""))</f>
      </c>
      <c r="U1187">
        <f>IF(connections!$A1187="","",IFERROR(INDEX(games!$B$2:$B$1200,MATCH(connections!$B1187,games!$A$2:$A$1200,0)),""))</f>
      </c>
      <c r="V1187">
        <f>IF(OR($T1187="",$U1187=""),"",$U1187-$T1187)</f>
      </c>
    </row>
    <row r="1188">
      <c r="A1188" t="str">
        <f>IF(games!$A1188="","",games!$A1188)</f>
      </c>
      <c r="B1188">
        <f>IF($A1188="","",games!$B1188)</f>
      </c>
      <c r="C1188" t="str">
        <f>IF($A1188="","",games!$C1188)</f>
      </c>
      <c r="D1188">
        <f>IF($A1188="","",COUNTIF(connections!$A$2:$A$2500,$A1188)+COUNTIF(connections!$B$2:$B$2500,$A1188))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IF(OR($A1188="",games!$H1188=""),"",games!$H1188)</f>
      </c>
      <c r="Q1188">
        <f>IF(OR($A1188="",$P1188&lt;&gt;"Yes"),"",$D1188+ROW()/1000000)</f>
      </c>
      <c r="T1188" t="str">
        <f>IF(connections!$A1188="","",IFERROR(INDEX(games!$B$2:$B$1200,MATCH(connections!$A1188,games!$A$2:$A$1200,0)),""))</f>
      </c>
      <c r="U1188">
        <f>IF(connections!$A1188="","",IFERROR(INDEX(games!$B$2:$B$1200,MATCH(connections!$B1188,games!$A$2:$A$1200,0)),""))</f>
      </c>
      <c r="V1188">
        <f>IF(OR($T1188="",$U1188=""),"",$U1188-$T1188)</f>
      </c>
    </row>
    <row r="1189">
      <c r="A1189" t="str">
        <f>IF(games!$A1189="","",games!$A1189)</f>
      </c>
      <c r="B1189">
        <f>IF($A1189="","",games!$B1189)</f>
      </c>
      <c r="C1189" t="str">
        <f>IF($A1189="","",games!$C1189)</f>
      </c>
      <c r="D1189">
        <f>IF($A1189="","",COUNTIF(connections!$A$2:$A$2500,$A1189)+COUNTIF(connections!$B$2:$B$2500,$A1189))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IF(OR($A1189="",games!$H1189=""),"",games!$H1189)</f>
      </c>
      <c r="Q1189">
        <f>IF(OR($A1189="",$P1189&lt;&gt;"Yes"),"",$D1189+ROW()/1000000)</f>
      </c>
      <c r="T1189" t="str">
        <f>IF(connections!$A1189="","",IFERROR(INDEX(games!$B$2:$B$1200,MATCH(connections!$A1189,games!$A$2:$A$1200,0)),""))</f>
      </c>
      <c r="U1189">
        <f>IF(connections!$A1189="","",IFERROR(INDEX(games!$B$2:$B$1200,MATCH(connections!$B1189,games!$A$2:$A$1200,0)),""))</f>
      </c>
      <c r="V1189">
        <f>IF(OR($T1189="",$U1189=""),"",$U1189-$T1189)</f>
      </c>
    </row>
    <row r="1190">
      <c r="A1190" t="str">
        <f>IF(games!$A1190="","",games!$A1190)</f>
      </c>
      <c r="B1190">
        <f>IF($A1190="","",games!$B1190)</f>
      </c>
      <c r="C1190" t="str">
        <f>IF($A1190="","",games!$C1190)</f>
      </c>
      <c r="D1190">
        <f>IF($A1190="","",COUNTIF(connections!$A$2:$A$2500,$A1190)+COUNTIF(connections!$B$2:$B$2500,$A1190))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IF(OR($A1190="",games!$H1190=""),"",games!$H1190)</f>
      </c>
      <c r="Q1190">
        <f>IF(OR($A1190="",$P1190&lt;&gt;"Yes"),"",$D1190+ROW()/1000000)</f>
      </c>
      <c r="T1190" t="str">
        <f>IF(connections!$A1190="","",IFERROR(INDEX(games!$B$2:$B$1200,MATCH(connections!$A1190,games!$A$2:$A$1200,0)),""))</f>
      </c>
      <c r="U1190">
        <f>IF(connections!$A1190="","",IFERROR(INDEX(games!$B$2:$B$1200,MATCH(connections!$B1190,games!$A$2:$A$1200,0)),""))</f>
      </c>
      <c r="V1190">
        <f>IF(OR($T1190="",$U1190=""),"",$U1190-$T1190)</f>
      </c>
    </row>
    <row r="1191">
      <c r="A1191" t="str">
        <f>IF(games!$A1191="","",games!$A1191)</f>
      </c>
      <c r="B1191">
        <f>IF($A1191="","",games!$B1191)</f>
      </c>
      <c r="C1191" t="str">
        <f>IF($A1191="","",games!$C1191)</f>
      </c>
      <c r="D1191">
        <f>IF($A1191="","",COUNTIF(connections!$A$2:$A$2500,$A1191)+COUNTIF(connections!$B$2:$B$2500,$A1191))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IF(OR($A1191="",games!$H1191=""),"",games!$H1191)</f>
      </c>
      <c r="Q1191">
        <f>IF(OR($A1191="",$P1191&lt;&gt;"Yes"),"",$D1191+ROW()/1000000)</f>
      </c>
      <c r="T1191" t="str">
        <f>IF(connections!$A1191="","",IFERROR(INDEX(games!$B$2:$B$1200,MATCH(connections!$A1191,games!$A$2:$A$1200,0)),""))</f>
      </c>
      <c r="U1191">
        <f>IF(connections!$A1191="","",IFERROR(INDEX(games!$B$2:$B$1200,MATCH(connections!$B1191,games!$A$2:$A$1200,0)),""))</f>
      </c>
      <c r="V1191">
        <f>IF(OR($T1191="",$U1191=""),"",$U1191-$T1191)</f>
      </c>
    </row>
    <row r="1192">
      <c r="A1192" t="str">
        <f>IF(games!$A1192="","",games!$A1192)</f>
      </c>
      <c r="B1192">
        <f>IF($A1192="","",games!$B1192)</f>
      </c>
      <c r="C1192" t="str">
        <f>IF($A1192="","",games!$C1192)</f>
      </c>
      <c r="D1192">
        <f>IF($A1192="","",COUNTIF(connections!$A$2:$A$2500,$A1192)+COUNTIF(connections!$B$2:$B$2500,$A1192))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IF(OR($A1192="",games!$H1192=""),"",games!$H1192)</f>
      </c>
      <c r="Q1192">
        <f>IF(OR($A1192="",$P1192&lt;&gt;"Yes"),"",$D1192+ROW()/1000000)</f>
      </c>
      <c r="T1192" t="str">
        <f>IF(connections!$A1192="","",IFERROR(INDEX(games!$B$2:$B$1200,MATCH(connections!$A1192,games!$A$2:$A$1200,0)),""))</f>
      </c>
      <c r="U1192">
        <f>IF(connections!$A1192="","",IFERROR(INDEX(games!$B$2:$B$1200,MATCH(connections!$B1192,games!$A$2:$A$1200,0)),""))</f>
      </c>
      <c r="V1192">
        <f>IF(OR($T1192="",$U1192=""),"",$U1192-$T1192)</f>
      </c>
    </row>
    <row r="1193">
      <c r="A1193" t="str">
        <f>IF(games!$A1193="","",games!$A1193)</f>
      </c>
      <c r="B1193">
        <f>IF($A1193="","",games!$B1193)</f>
      </c>
      <c r="C1193" t="str">
        <f>IF($A1193="","",games!$C1193)</f>
      </c>
      <c r="D1193">
        <f>IF($A1193="","",COUNTIF(connections!$A$2:$A$2500,$A1193)+COUNTIF(connections!$B$2:$B$2500,$A1193))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IF(OR($A1193="",games!$H1193=""),"",games!$H1193)</f>
      </c>
      <c r="Q1193">
        <f>IF(OR($A1193="",$P1193&lt;&gt;"Yes"),"",$D1193+ROW()/1000000)</f>
      </c>
      <c r="T1193" t="str">
        <f>IF(connections!$A1193="","",IFERROR(INDEX(games!$B$2:$B$1200,MATCH(connections!$A1193,games!$A$2:$A$1200,0)),""))</f>
      </c>
      <c r="U1193">
        <f>IF(connections!$A1193="","",IFERROR(INDEX(games!$B$2:$B$1200,MATCH(connections!$B1193,games!$A$2:$A$1200,0)),""))</f>
      </c>
      <c r="V1193">
        <f>IF(OR($T1193="",$U1193=""),"",$U1193-$T1193)</f>
      </c>
    </row>
    <row r="1194">
      <c r="A1194" t="str">
        <f>IF(games!$A1194="","",games!$A1194)</f>
      </c>
      <c r="B1194">
        <f>IF($A1194="","",games!$B1194)</f>
      </c>
      <c r="C1194" t="str">
        <f>IF($A1194="","",games!$C1194)</f>
      </c>
      <c r="D1194">
        <f>IF($A1194="","",COUNTIF(connections!$A$2:$A$2500,$A1194)+COUNTIF(connections!$B$2:$B$2500,$A1194))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IF(OR($A1194="",games!$H1194=""),"",games!$H1194)</f>
      </c>
      <c r="Q1194">
        <f>IF(OR($A1194="",$P1194&lt;&gt;"Yes"),"",$D1194+ROW()/1000000)</f>
      </c>
      <c r="T1194" t="str">
        <f>IF(connections!$A1194="","",IFERROR(INDEX(games!$B$2:$B$1200,MATCH(connections!$A1194,games!$A$2:$A$1200,0)),""))</f>
      </c>
      <c r="U1194">
        <f>IF(connections!$A1194="","",IFERROR(INDEX(games!$B$2:$B$1200,MATCH(connections!$B1194,games!$A$2:$A$1200,0)),""))</f>
      </c>
      <c r="V1194">
        <f>IF(OR($T1194="",$U1194=""),"",$U1194-$T1194)</f>
      </c>
    </row>
    <row r="1195">
      <c r="A1195" t="str">
        <f>IF(games!$A1195="","",games!$A1195)</f>
      </c>
      <c r="B1195">
        <f>IF($A1195="","",games!$B1195)</f>
      </c>
      <c r="C1195" t="str">
        <f>IF($A1195="","",games!$C1195)</f>
      </c>
      <c r="D1195">
        <f>IF($A1195="","",COUNTIF(connections!$A$2:$A$2500,$A1195)+COUNTIF(connections!$B$2:$B$2500,$A1195))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IF(OR($A1195="",games!$H1195=""),"",games!$H1195)</f>
      </c>
      <c r="Q1195">
        <f>IF(OR($A1195="",$P1195&lt;&gt;"Yes"),"",$D1195+ROW()/1000000)</f>
      </c>
      <c r="T1195" t="str">
        <f>IF(connections!$A1195="","",IFERROR(INDEX(games!$B$2:$B$1200,MATCH(connections!$A1195,games!$A$2:$A$1200,0)),""))</f>
      </c>
      <c r="U1195">
        <f>IF(connections!$A1195="","",IFERROR(INDEX(games!$B$2:$B$1200,MATCH(connections!$B1195,games!$A$2:$A$1200,0)),""))</f>
      </c>
      <c r="V1195">
        <f>IF(OR($T1195="",$U1195=""),"",$U1195-$T1195)</f>
      </c>
    </row>
    <row r="1196">
      <c r="A1196" t="str">
        <f>IF(games!$A1196="","",games!$A1196)</f>
      </c>
      <c r="B1196">
        <f>IF($A1196="","",games!$B1196)</f>
      </c>
      <c r="C1196" t="str">
        <f>IF($A1196="","",games!$C1196)</f>
      </c>
      <c r="D1196">
        <f>IF($A1196="","",COUNTIF(connections!$A$2:$A$2500,$A1196)+COUNTIF(connections!$B$2:$B$2500,$A1196))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IF(OR($A1196="",games!$H1196=""),"",games!$H1196)</f>
      </c>
      <c r="Q1196">
        <f>IF(OR($A1196="",$P1196&lt;&gt;"Yes"),"",$D1196+ROW()/1000000)</f>
      </c>
      <c r="T1196" t="str">
        <f>IF(connections!$A1196="","",IFERROR(INDEX(games!$B$2:$B$1200,MATCH(connections!$A1196,games!$A$2:$A$1200,0)),""))</f>
      </c>
      <c r="U1196">
        <f>IF(connections!$A1196="","",IFERROR(INDEX(games!$B$2:$B$1200,MATCH(connections!$B1196,games!$A$2:$A$1200,0)),""))</f>
      </c>
      <c r="V1196">
        <f>IF(OR($T1196="",$U1196=""),"",$U1196-$T1196)</f>
      </c>
    </row>
    <row r="1197">
      <c r="A1197" t="str">
        <f>IF(games!$A1197="","",games!$A1197)</f>
      </c>
      <c r="B1197">
        <f>IF($A1197="","",games!$B1197)</f>
      </c>
      <c r="C1197" t="str">
        <f>IF($A1197="","",games!$C1197)</f>
      </c>
      <c r="D1197">
        <f>IF($A1197="","",COUNTIF(connections!$A$2:$A$2500,$A1197)+COUNTIF(connections!$B$2:$B$2500,$A1197))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IF(OR($A1197="",games!$H1197=""),"",games!$H1197)</f>
      </c>
      <c r="Q1197">
        <f>IF(OR($A1197="",$P1197&lt;&gt;"Yes"),"",$D1197+ROW()/1000000)</f>
      </c>
      <c r="T1197" t="str">
        <f>IF(connections!$A1197="","",IFERROR(INDEX(games!$B$2:$B$1200,MATCH(connections!$A1197,games!$A$2:$A$1200,0)),""))</f>
      </c>
      <c r="U1197">
        <f>IF(connections!$A1197="","",IFERROR(INDEX(games!$B$2:$B$1200,MATCH(connections!$B1197,games!$A$2:$A$1200,0)),""))</f>
      </c>
      <c r="V1197">
        <f>IF(OR($T1197="",$U1197=""),"",$U1197-$T1197)</f>
      </c>
    </row>
    <row r="1198">
      <c r="A1198" t="str">
        <f>IF(games!$A1198="","",games!$A1198)</f>
      </c>
      <c r="B1198">
        <f>IF($A1198="","",games!$B1198)</f>
      </c>
      <c r="C1198" t="str">
        <f>IF($A1198="","",games!$C1198)</f>
      </c>
      <c r="D1198">
        <f>IF($A1198="","",COUNTIF(connections!$A$2:$A$2500,$A1198)+COUNTIF(connections!$B$2:$B$2500,$A1198))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IF(OR($A1198="",games!$H1198=""),"",games!$H1198)</f>
      </c>
      <c r="Q1198">
        <f>IF(OR($A1198="",$P1198&lt;&gt;"Yes"),"",$D1198+ROW()/1000000)</f>
      </c>
      <c r="T1198" t="str">
        <f>IF(connections!$A1198="","",IFERROR(INDEX(games!$B$2:$B$1200,MATCH(connections!$A1198,games!$A$2:$A$1200,0)),""))</f>
      </c>
      <c r="U1198">
        <f>IF(connections!$A1198="","",IFERROR(INDEX(games!$B$2:$B$1200,MATCH(connections!$B1198,games!$A$2:$A$1200,0)),""))</f>
      </c>
      <c r="V1198">
        <f>IF(OR($T1198="",$U1198=""),"",$U1198-$T1198)</f>
      </c>
    </row>
    <row r="1199">
      <c r="A1199" t="str">
        <f>IF(games!$A1199="","",games!$A1199)</f>
      </c>
      <c r="B1199">
        <f>IF($A1199="","",games!$B1199)</f>
      </c>
      <c r="C1199" t="str">
        <f>IF($A1199="","",games!$C1199)</f>
      </c>
      <c r="D1199">
        <f>IF($A1199="","",COUNTIF(connections!$A$2:$A$2500,$A1199)+COUNTIF(connections!$B$2:$B$2500,$A1199))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IF(OR($A1199="",games!$H1199=""),"",games!$H1199)</f>
      </c>
      <c r="Q1199">
        <f>IF(OR($A1199="",$P1199&lt;&gt;"Yes"),"",$D1199+ROW()/1000000)</f>
      </c>
      <c r="T1199" t="str">
        <f>IF(connections!$A1199="","",IFERROR(INDEX(games!$B$2:$B$1200,MATCH(connections!$A1199,games!$A$2:$A$1200,0)),""))</f>
      </c>
      <c r="U1199">
        <f>IF(connections!$A1199="","",IFERROR(INDEX(games!$B$2:$B$1200,MATCH(connections!$B1199,games!$A$2:$A$1200,0)),""))</f>
      </c>
      <c r="V1199">
        <f>IF(OR($T1199="",$U1199=""),"",$U1199-$T1199)</f>
      </c>
    </row>
    <row r="1200">
      <c r="A1200" t="str">
        <f>IF(games!$A1200="","",games!$A1200)</f>
      </c>
      <c r="B1200">
        <f>IF($A1200="","",games!$B1200)</f>
      </c>
      <c r="C1200" t="str">
        <f>IF($A1200="","",games!$C1200)</f>
      </c>
      <c r="D1200">
        <f>IF($A1200="","",COUNTIF(connections!$A$2:$A$2500,$A1200)+COUNTIF(connections!$B$2:$B$2500,$A1200))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IF(OR($A1200="",games!$H1200=""),"",games!$H1200)</f>
      </c>
      <c r="Q1200">
        <f>IF(OR($A1200="",$P1200&lt;&gt;"Yes"),"",$D1200+ROW()/1000000)</f>
      </c>
      <c r="T1200" t="str">
        <f>IF(connections!$A1200="","",IFERROR(INDEX(games!$B$2:$B$1200,MATCH(connections!$A1200,games!$A$2:$A$1200,0)),""))</f>
      </c>
      <c r="U1200">
        <f>IF(connections!$A1200="","",IFERROR(INDEX(games!$B$2:$B$1200,MATCH(connections!$B1200,games!$A$2:$A$1200,0)),""))</f>
      </c>
      <c r="V1200">
        <f>IF(OR($T1200="",$U1200=""),"",$U1200-$T1200)</f>
      </c>
    </row>
    <row r="1201">
      <c r="T1201" t="str">
        <f>IF(connections!$A1201="","",IFERROR(INDEX(games!$B$2:$B$1200,MATCH(connections!$A1201,games!$A$2:$A$1200,0)),""))</f>
      </c>
      <c r="U1201">
        <f>IF(connections!$A1201="","",IFERROR(INDEX(games!$B$2:$B$1200,MATCH(connections!$B1201,games!$A$2:$A$1200,0)),""))</f>
      </c>
      <c r="V1201">
        <f>IF(OR($T1201="",$U1201=""),"",$U1201-$T1201)</f>
      </c>
    </row>
    <row r="1202">
      <c r="T1202" t="str">
        <f>IF(connections!$A1202="","",IFERROR(INDEX(games!$B$2:$B$1200,MATCH(connections!$A1202,games!$A$2:$A$1200,0)),""))</f>
      </c>
      <c r="U1202">
        <f>IF(connections!$A1202="","",IFERROR(INDEX(games!$B$2:$B$1200,MATCH(connections!$B1202,games!$A$2:$A$1200,0)),""))</f>
      </c>
      <c r="V1202">
        <f>IF(OR($T1202="",$U1202=""),"",$U1202-$T1202)</f>
      </c>
    </row>
    <row r="1203">
      <c r="T1203" t="str">
        <f>IF(connections!$A1203="","",IFERROR(INDEX(games!$B$2:$B$1200,MATCH(connections!$A1203,games!$A$2:$A$1200,0)),""))</f>
      </c>
      <c r="U1203">
        <f>IF(connections!$A1203="","",IFERROR(INDEX(games!$B$2:$B$1200,MATCH(connections!$B1203,games!$A$2:$A$1200,0)),""))</f>
      </c>
      <c r="V1203">
        <f>IF(OR($T1203="",$U1203=""),"",$U1203-$T1203)</f>
      </c>
    </row>
    <row r="1204">
      <c r="T1204" t="str">
        <f>IF(connections!$A1204="","",IFERROR(INDEX(games!$B$2:$B$1200,MATCH(connections!$A1204,games!$A$2:$A$1200,0)),""))</f>
      </c>
      <c r="U1204">
        <f>IF(connections!$A1204="","",IFERROR(INDEX(games!$B$2:$B$1200,MATCH(connections!$B1204,games!$A$2:$A$1200,0)),""))</f>
      </c>
      <c r="V1204">
        <f>IF(OR($T1204="",$U1204=""),"",$U1204-$T1204)</f>
      </c>
    </row>
    <row r="1205">
      <c r="T1205" t="str">
        <f>IF(connections!$A1205="","",IFERROR(INDEX(games!$B$2:$B$1200,MATCH(connections!$A1205,games!$A$2:$A$1200,0)),""))</f>
      </c>
      <c r="U1205">
        <f>IF(connections!$A1205="","",IFERROR(INDEX(games!$B$2:$B$1200,MATCH(connections!$B1205,games!$A$2:$A$1200,0)),""))</f>
      </c>
      <c r="V1205">
        <f>IF(OR($T1205="",$U1205=""),"",$U1205-$T1205)</f>
      </c>
    </row>
    <row r="1206">
      <c r="T1206" t="str">
        <f>IF(connections!$A1206="","",IFERROR(INDEX(games!$B$2:$B$1200,MATCH(connections!$A1206,games!$A$2:$A$1200,0)),""))</f>
      </c>
      <c r="U1206">
        <f>IF(connections!$A1206="","",IFERROR(INDEX(games!$B$2:$B$1200,MATCH(connections!$B1206,games!$A$2:$A$1200,0)),""))</f>
      </c>
      <c r="V1206">
        <f>IF(OR($T1206="",$U1206=""),"",$U1206-$T1206)</f>
      </c>
    </row>
    <row r="1207">
      <c r="T1207" t="str">
        <f>IF(connections!$A1207="","",IFERROR(INDEX(games!$B$2:$B$1200,MATCH(connections!$A1207,games!$A$2:$A$1200,0)),""))</f>
      </c>
      <c r="U1207">
        <f>IF(connections!$A1207="","",IFERROR(INDEX(games!$B$2:$B$1200,MATCH(connections!$B1207,games!$A$2:$A$1200,0)),""))</f>
      </c>
      <c r="V1207">
        <f>IF(OR($T1207="",$U1207=""),"",$U1207-$T1207)</f>
      </c>
    </row>
    <row r="1208">
      <c r="T1208" t="str">
        <f>IF(connections!$A1208="","",IFERROR(INDEX(games!$B$2:$B$1200,MATCH(connections!$A1208,games!$A$2:$A$1200,0)),""))</f>
      </c>
      <c r="U1208">
        <f>IF(connections!$A1208="","",IFERROR(INDEX(games!$B$2:$B$1200,MATCH(connections!$B1208,games!$A$2:$A$1200,0)),""))</f>
      </c>
      <c r="V1208">
        <f>IF(OR($T1208="",$U1208=""),"",$U1208-$T1208)</f>
      </c>
    </row>
    <row r="1209">
      <c r="T1209" t="str">
        <f>IF(connections!$A1209="","",IFERROR(INDEX(games!$B$2:$B$1200,MATCH(connections!$A1209,games!$A$2:$A$1200,0)),""))</f>
      </c>
      <c r="U1209">
        <f>IF(connections!$A1209="","",IFERROR(INDEX(games!$B$2:$B$1200,MATCH(connections!$B1209,games!$A$2:$A$1200,0)),""))</f>
      </c>
      <c r="V1209">
        <f>IF(OR($T1209="",$U1209=""),"",$U1209-$T1209)</f>
      </c>
    </row>
    <row r="1210">
      <c r="T1210" t="str">
        <f>IF(connections!$A1210="","",IFERROR(INDEX(games!$B$2:$B$1200,MATCH(connections!$A1210,games!$A$2:$A$1200,0)),""))</f>
      </c>
      <c r="U1210">
        <f>IF(connections!$A1210="","",IFERROR(INDEX(games!$B$2:$B$1200,MATCH(connections!$B1210,games!$A$2:$A$1200,0)),""))</f>
      </c>
      <c r="V1210">
        <f>IF(OR($T1210="",$U1210=""),"",$U1210-$T1210)</f>
      </c>
    </row>
    <row r="1211">
      <c r="T1211" t="str">
        <f>IF(connections!$A1211="","",IFERROR(INDEX(games!$B$2:$B$1200,MATCH(connections!$A1211,games!$A$2:$A$1200,0)),""))</f>
      </c>
      <c r="U1211">
        <f>IF(connections!$A1211="","",IFERROR(INDEX(games!$B$2:$B$1200,MATCH(connections!$B1211,games!$A$2:$A$1200,0)),""))</f>
      </c>
      <c r="V1211">
        <f>IF(OR($T1211="",$U1211=""),"",$U1211-$T1211)</f>
      </c>
    </row>
    <row r="1212">
      <c r="T1212" t="str">
        <f>IF(connections!$A1212="","",IFERROR(INDEX(games!$B$2:$B$1200,MATCH(connections!$A1212,games!$A$2:$A$1200,0)),""))</f>
      </c>
      <c r="U1212">
        <f>IF(connections!$A1212="","",IFERROR(INDEX(games!$B$2:$B$1200,MATCH(connections!$B1212,games!$A$2:$A$1200,0)),""))</f>
      </c>
      <c r="V1212">
        <f>IF(OR($T1212="",$U1212=""),"",$U1212-$T1212)</f>
      </c>
    </row>
    <row r="1213">
      <c r="T1213" t="str">
        <f>IF(connections!$A1213="","",IFERROR(INDEX(games!$B$2:$B$1200,MATCH(connections!$A1213,games!$A$2:$A$1200,0)),""))</f>
      </c>
      <c r="U1213">
        <f>IF(connections!$A1213="","",IFERROR(INDEX(games!$B$2:$B$1200,MATCH(connections!$B1213,games!$A$2:$A$1200,0)),""))</f>
      </c>
      <c r="V1213">
        <f>IF(OR($T1213="",$U1213=""),"",$U1213-$T1213)</f>
      </c>
    </row>
    <row r="1214">
      <c r="T1214" t="str">
        <f>IF(connections!$A1214="","",IFERROR(INDEX(games!$B$2:$B$1200,MATCH(connections!$A1214,games!$A$2:$A$1200,0)),""))</f>
      </c>
      <c r="U1214">
        <f>IF(connections!$A1214="","",IFERROR(INDEX(games!$B$2:$B$1200,MATCH(connections!$B1214,games!$A$2:$A$1200,0)),""))</f>
      </c>
      <c r="V1214">
        <f>IF(OR($T1214="",$U1214=""),"",$U1214-$T1214)</f>
      </c>
    </row>
    <row r="1215">
      <c r="T1215" t="str">
        <f>IF(connections!$A1215="","",IFERROR(INDEX(games!$B$2:$B$1200,MATCH(connections!$A1215,games!$A$2:$A$1200,0)),""))</f>
      </c>
      <c r="U1215">
        <f>IF(connections!$A1215="","",IFERROR(INDEX(games!$B$2:$B$1200,MATCH(connections!$B1215,games!$A$2:$A$1200,0)),""))</f>
      </c>
      <c r="V1215">
        <f>IF(OR($T1215="",$U1215=""),"",$U1215-$T1215)</f>
      </c>
    </row>
    <row r="1216">
      <c r="T1216" t="str">
        <f>IF(connections!$A1216="","",IFERROR(INDEX(games!$B$2:$B$1200,MATCH(connections!$A1216,games!$A$2:$A$1200,0)),""))</f>
      </c>
      <c r="U1216">
        <f>IF(connections!$A1216="","",IFERROR(INDEX(games!$B$2:$B$1200,MATCH(connections!$B1216,games!$A$2:$A$1200,0)),""))</f>
      </c>
      <c r="V1216">
        <f>IF(OR($T1216="",$U1216=""),"",$U1216-$T1216)</f>
      </c>
    </row>
    <row r="1217">
      <c r="T1217" t="str">
        <f>IF(connections!$A1217="","",IFERROR(INDEX(games!$B$2:$B$1200,MATCH(connections!$A1217,games!$A$2:$A$1200,0)),""))</f>
      </c>
      <c r="U1217">
        <f>IF(connections!$A1217="","",IFERROR(INDEX(games!$B$2:$B$1200,MATCH(connections!$B1217,games!$A$2:$A$1200,0)),""))</f>
      </c>
      <c r="V1217">
        <f>IF(OR($T1217="",$U1217=""),"",$U1217-$T1217)</f>
      </c>
    </row>
    <row r="1218">
      <c r="T1218" t="str">
        <f>IF(connections!$A1218="","",IFERROR(INDEX(games!$B$2:$B$1200,MATCH(connections!$A1218,games!$A$2:$A$1200,0)),""))</f>
      </c>
      <c r="U1218">
        <f>IF(connections!$A1218="","",IFERROR(INDEX(games!$B$2:$B$1200,MATCH(connections!$B1218,games!$A$2:$A$1200,0)),""))</f>
      </c>
      <c r="V1218">
        <f>IF(OR($T1218="",$U1218=""),"",$U1218-$T1218)</f>
      </c>
    </row>
    <row r="1219">
      <c r="T1219" t="str">
        <f>IF(connections!$A1219="","",IFERROR(INDEX(games!$B$2:$B$1200,MATCH(connections!$A1219,games!$A$2:$A$1200,0)),""))</f>
      </c>
      <c r="U1219">
        <f>IF(connections!$A1219="","",IFERROR(INDEX(games!$B$2:$B$1200,MATCH(connections!$B1219,games!$A$2:$A$1200,0)),""))</f>
      </c>
      <c r="V1219">
        <f>IF(OR($T1219="",$U1219=""),"",$U1219-$T1219)</f>
      </c>
    </row>
    <row r="1220">
      <c r="T1220" t="str">
        <f>IF(connections!$A1220="","",IFERROR(INDEX(games!$B$2:$B$1200,MATCH(connections!$A1220,games!$A$2:$A$1200,0)),""))</f>
      </c>
      <c r="U1220">
        <f>IF(connections!$A1220="","",IFERROR(INDEX(games!$B$2:$B$1200,MATCH(connections!$B1220,games!$A$2:$A$1200,0)),""))</f>
      </c>
      <c r="V1220">
        <f>IF(OR($T1220="",$U1220=""),"",$U1220-$T1220)</f>
      </c>
    </row>
    <row r="1221">
      <c r="T1221" t="str">
        <f>IF(connections!$A1221="","",IFERROR(INDEX(games!$B$2:$B$1200,MATCH(connections!$A1221,games!$A$2:$A$1200,0)),""))</f>
      </c>
      <c r="U1221">
        <f>IF(connections!$A1221="","",IFERROR(INDEX(games!$B$2:$B$1200,MATCH(connections!$B1221,games!$A$2:$A$1200,0)),""))</f>
      </c>
      <c r="V1221">
        <f>IF(OR($T1221="",$U1221=""),"",$U1221-$T1221)</f>
      </c>
    </row>
    <row r="1222">
      <c r="T1222" t="str">
        <f>IF(connections!$A1222="","",IFERROR(INDEX(games!$B$2:$B$1200,MATCH(connections!$A1222,games!$A$2:$A$1200,0)),""))</f>
      </c>
      <c r="U1222">
        <f>IF(connections!$A1222="","",IFERROR(INDEX(games!$B$2:$B$1200,MATCH(connections!$B1222,games!$A$2:$A$1200,0)),""))</f>
      </c>
      <c r="V1222">
        <f>IF(OR($T1222="",$U1222=""),"",$U1222-$T1222)</f>
      </c>
    </row>
    <row r="1223">
      <c r="T1223" t="str">
        <f>IF(connections!$A1223="","",IFERROR(INDEX(games!$B$2:$B$1200,MATCH(connections!$A1223,games!$A$2:$A$1200,0)),""))</f>
      </c>
      <c r="U1223">
        <f>IF(connections!$A1223="","",IFERROR(INDEX(games!$B$2:$B$1200,MATCH(connections!$B1223,games!$A$2:$A$1200,0)),""))</f>
      </c>
      <c r="V1223">
        <f>IF(OR($T1223="",$U1223=""),"",$U1223-$T1223)</f>
      </c>
    </row>
    <row r="1224">
      <c r="T1224" t="str">
        <f>IF(connections!$A1224="","",IFERROR(INDEX(games!$B$2:$B$1200,MATCH(connections!$A1224,games!$A$2:$A$1200,0)),""))</f>
      </c>
      <c r="U1224">
        <f>IF(connections!$A1224="","",IFERROR(INDEX(games!$B$2:$B$1200,MATCH(connections!$B1224,games!$A$2:$A$1200,0)),""))</f>
      </c>
      <c r="V1224">
        <f>IF(OR($T1224="",$U1224=""),"",$U1224-$T1224)</f>
      </c>
    </row>
    <row r="1225">
      <c r="T1225" t="str">
        <f>IF(connections!$A1225="","",IFERROR(INDEX(games!$B$2:$B$1200,MATCH(connections!$A1225,games!$A$2:$A$1200,0)),""))</f>
      </c>
      <c r="U1225">
        <f>IF(connections!$A1225="","",IFERROR(INDEX(games!$B$2:$B$1200,MATCH(connections!$B1225,games!$A$2:$A$1200,0)),""))</f>
      </c>
      <c r="V1225">
        <f>IF(OR($T1225="",$U1225=""),"",$U1225-$T1225)</f>
      </c>
    </row>
    <row r="1226">
      <c r="T1226" t="str">
        <f>IF(connections!$A1226="","",IFERROR(INDEX(games!$B$2:$B$1200,MATCH(connections!$A1226,games!$A$2:$A$1200,0)),""))</f>
      </c>
      <c r="U1226">
        <f>IF(connections!$A1226="","",IFERROR(INDEX(games!$B$2:$B$1200,MATCH(connections!$B1226,games!$A$2:$A$1200,0)),""))</f>
      </c>
      <c r="V1226">
        <f>IF(OR($T1226="",$U1226=""),"",$U1226-$T1226)</f>
      </c>
    </row>
    <row r="1227">
      <c r="T1227" t="str">
        <f>IF(connections!$A1227="","",IFERROR(INDEX(games!$B$2:$B$1200,MATCH(connections!$A1227,games!$A$2:$A$1200,0)),""))</f>
      </c>
      <c r="U1227">
        <f>IF(connections!$A1227="","",IFERROR(INDEX(games!$B$2:$B$1200,MATCH(connections!$B1227,games!$A$2:$A$1200,0)),""))</f>
      </c>
      <c r="V1227">
        <f>IF(OR($T1227="",$U1227=""),"",$U1227-$T1227)</f>
      </c>
    </row>
    <row r="1228">
      <c r="T1228" t="str">
        <f>IF(connections!$A1228="","",IFERROR(INDEX(games!$B$2:$B$1200,MATCH(connections!$A1228,games!$A$2:$A$1200,0)),""))</f>
      </c>
      <c r="U1228">
        <f>IF(connections!$A1228="","",IFERROR(INDEX(games!$B$2:$B$1200,MATCH(connections!$B1228,games!$A$2:$A$1200,0)),""))</f>
      </c>
      <c r="V1228">
        <f>IF(OR($T1228="",$U1228=""),"",$U1228-$T1228)</f>
      </c>
    </row>
    <row r="1229">
      <c r="T1229" t="str">
        <f>IF(connections!$A1229="","",IFERROR(INDEX(games!$B$2:$B$1200,MATCH(connections!$A1229,games!$A$2:$A$1200,0)),""))</f>
      </c>
      <c r="U1229">
        <f>IF(connections!$A1229="","",IFERROR(INDEX(games!$B$2:$B$1200,MATCH(connections!$B1229,games!$A$2:$A$1200,0)),""))</f>
      </c>
      <c r="V1229">
        <f>IF(OR($T1229="",$U1229=""),"",$U1229-$T1229)</f>
      </c>
    </row>
    <row r="1230">
      <c r="T1230" t="str">
        <f>IF(connections!$A1230="","",IFERROR(INDEX(games!$B$2:$B$1200,MATCH(connections!$A1230,games!$A$2:$A$1200,0)),""))</f>
      </c>
      <c r="U1230">
        <f>IF(connections!$A1230="","",IFERROR(INDEX(games!$B$2:$B$1200,MATCH(connections!$B1230,games!$A$2:$A$1200,0)),""))</f>
      </c>
      <c r="V1230">
        <f>IF(OR($T1230="",$U1230=""),"",$U1230-$T1230)</f>
      </c>
    </row>
    <row r="1231">
      <c r="T1231" t="str">
        <f>IF(connections!$A1231="","",IFERROR(INDEX(games!$B$2:$B$1200,MATCH(connections!$A1231,games!$A$2:$A$1200,0)),""))</f>
      </c>
      <c r="U1231">
        <f>IF(connections!$A1231="","",IFERROR(INDEX(games!$B$2:$B$1200,MATCH(connections!$B1231,games!$A$2:$A$1200,0)),""))</f>
      </c>
      <c r="V1231">
        <f>IF(OR($T1231="",$U1231=""),"",$U1231-$T1231)</f>
      </c>
    </row>
    <row r="1232">
      <c r="T1232" t="str">
        <f>IF(connections!$A1232="","",IFERROR(INDEX(games!$B$2:$B$1200,MATCH(connections!$A1232,games!$A$2:$A$1200,0)),""))</f>
      </c>
      <c r="U1232">
        <f>IF(connections!$A1232="","",IFERROR(INDEX(games!$B$2:$B$1200,MATCH(connections!$B1232,games!$A$2:$A$1200,0)),""))</f>
      </c>
      <c r="V1232">
        <f>IF(OR($T1232="",$U1232=""),"",$U1232-$T1232)</f>
      </c>
    </row>
    <row r="1233">
      <c r="T1233" t="str">
        <f>IF(connections!$A1233="","",IFERROR(INDEX(games!$B$2:$B$1200,MATCH(connections!$A1233,games!$A$2:$A$1200,0)),""))</f>
      </c>
      <c r="U1233">
        <f>IF(connections!$A1233="","",IFERROR(INDEX(games!$B$2:$B$1200,MATCH(connections!$B1233,games!$A$2:$A$1200,0)),""))</f>
      </c>
      <c r="V1233">
        <f>IF(OR($T1233="",$U1233=""),"",$U1233-$T1233)</f>
      </c>
    </row>
    <row r="1234">
      <c r="T1234" t="str">
        <f>IF(connections!$A1234="","",IFERROR(INDEX(games!$B$2:$B$1200,MATCH(connections!$A1234,games!$A$2:$A$1200,0)),""))</f>
      </c>
      <c r="U1234">
        <f>IF(connections!$A1234="","",IFERROR(INDEX(games!$B$2:$B$1200,MATCH(connections!$B1234,games!$A$2:$A$1200,0)),""))</f>
      </c>
      <c r="V1234">
        <f>IF(OR($T1234="",$U1234=""),"",$U1234-$T1234)</f>
      </c>
    </row>
    <row r="1235">
      <c r="T1235" t="str">
        <f>IF(connections!$A1235="","",IFERROR(INDEX(games!$B$2:$B$1200,MATCH(connections!$A1235,games!$A$2:$A$1200,0)),""))</f>
      </c>
      <c r="U1235">
        <f>IF(connections!$A1235="","",IFERROR(INDEX(games!$B$2:$B$1200,MATCH(connections!$B1235,games!$A$2:$A$1200,0)),""))</f>
      </c>
      <c r="V1235">
        <f>IF(OR($T1235="",$U1235=""),"",$U1235-$T1235)</f>
      </c>
    </row>
    <row r="1236">
      <c r="T1236" t="str">
        <f>IF(connections!$A1236="","",IFERROR(INDEX(games!$B$2:$B$1200,MATCH(connections!$A1236,games!$A$2:$A$1200,0)),""))</f>
      </c>
      <c r="U1236">
        <f>IF(connections!$A1236="","",IFERROR(INDEX(games!$B$2:$B$1200,MATCH(connections!$B1236,games!$A$2:$A$1200,0)),""))</f>
      </c>
      <c r="V1236">
        <f>IF(OR($T1236="",$U1236=""),"",$U1236-$T1236)</f>
      </c>
    </row>
    <row r="1237">
      <c r="T1237" t="str">
        <f>IF(connections!$A1237="","",IFERROR(INDEX(games!$B$2:$B$1200,MATCH(connections!$A1237,games!$A$2:$A$1200,0)),""))</f>
      </c>
      <c r="U1237">
        <f>IF(connections!$A1237="","",IFERROR(INDEX(games!$B$2:$B$1200,MATCH(connections!$B1237,games!$A$2:$A$1200,0)),""))</f>
      </c>
      <c r="V1237">
        <f>IF(OR($T1237="",$U1237=""),"",$U1237-$T1237)</f>
      </c>
    </row>
    <row r="1238">
      <c r="T1238" t="str">
        <f>IF(connections!$A1238="","",IFERROR(INDEX(games!$B$2:$B$1200,MATCH(connections!$A1238,games!$A$2:$A$1200,0)),""))</f>
      </c>
      <c r="U1238">
        <f>IF(connections!$A1238="","",IFERROR(INDEX(games!$B$2:$B$1200,MATCH(connections!$B1238,games!$A$2:$A$1200,0)),""))</f>
      </c>
      <c r="V1238">
        <f>IF(OR($T1238="",$U1238=""),"",$U1238-$T1238)</f>
      </c>
    </row>
    <row r="1239">
      <c r="T1239" t="str">
        <f>IF(connections!$A1239="","",IFERROR(INDEX(games!$B$2:$B$1200,MATCH(connections!$A1239,games!$A$2:$A$1200,0)),""))</f>
      </c>
      <c r="U1239">
        <f>IF(connections!$A1239="","",IFERROR(INDEX(games!$B$2:$B$1200,MATCH(connections!$B1239,games!$A$2:$A$1200,0)),""))</f>
      </c>
      <c r="V1239">
        <f>IF(OR($T1239="",$U1239=""),"",$U1239-$T1239)</f>
      </c>
    </row>
    <row r="1240">
      <c r="T1240" t="str">
        <f>IF(connections!$A1240="","",IFERROR(INDEX(games!$B$2:$B$1200,MATCH(connections!$A1240,games!$A$2:$A$1200,0)),""))</f>
      </c>
      <c r="U1240">
        <f>IF(connections!$A1240="","",IFERROR(INDEX(games!$B$2:$B$1200,MATCH(connections!$B1240,games!$A$2:$A$1200,0)),""))</f>
      </c>
      <c r="V1240">
        <f>IF(OR($T1240="",$U1240=""),"",$U1240-$T1240)</f>
      </c>
    </row>
    <row r="1241">
      <c r="T1241" t="str">
        <f>IF(connections!$A1241="","",IFERROR(INDEX(games!$B$2:$B$1200,MATCH(connections!$A1241,games!$A$2:$A$1200,0)),""))</f>
      </c>
      <c r="U1241">
        <f>IF(connections!$A1241="","",IFERROR(INDEX(games!$B$2:$B$1200,MATCH(connections!$B1241,games!$A$2:$A$1200,0)),""))</f>
      </c>
      <c r="V1241">
        <f>IF(OR($T1241="",$U1241=""),"",$U1241-$T1241)</f>
      </c>
    </row>
    <row r="1242">
      <c r="T1242" t="str">
        <f>IF(connections!$A1242="","",IFERROR(INDEX(games!$B$2:$B$1200,MATCH(connections!$A1242,games!$A$2:$A$1200,0)),""))</f>
      </c>
      <c r="U1242">
        <f>IF(connections!$A1242="","",IFERROR(INDEX(games!$B$2:$B$1200,MATCH(connections!$B1242,games!$A$2:$A$1200,0)),""))</f>
      </c>
      <c r="V1242">
        <f>IF(OR($T1242="",$U1242=""),"",$U1242-$T1242)</f>
      </c>
    </row>
    <row r="1243">
      <c r="T1243" t="str">
        <f>IF(connections!$A1243="","",IFERROR(INDEX(games!$B$2:$B$1200,MATCH(connections!$A1243,games!$A$2:$A$1200,0)),""))</f>
      </c>
      <c r="U1243">
        <f>IF(connections!$A1243="","",IFERROR(INDEX(games!$B$2:$B$1200,MATCH(connections!$B1243,games!$A$2:$A$1200,0)),""))</f>
      </c>
      <c r="V1243">
        <f>IF(OR($T1243="",$U1243=""),"",$U1243-$T1243)</f>
      </c>
    </row>
    <row r="1244">
      <c r="T1244" t="str">
        <f>IF(connections!$A1244="","",IFERROR(INDEX(games!$B$2:$B$1200,MATCH(connections!$A1244,games!$A$2:$A$1200,0)),""))</f>
      </c>
      <c r="U1244">
        <f>IF(connections!$A1244="","",IFERROR(INDEX(games!$B$2:$B$1200,MATCH(connections!$B1244,games!$A$2:$A$1200,0)),""))</f>
      </c>
      <c r="V1244">
        <f>IF(OR($T1244="",$U1244=""),"",$U1244-$T1244)</f>
      </c>
    </row>
    <row r="1245">
      <c r="T1245" t="str">
        <f>IF(connections!$A1245="","",IFERROR(INDEX(games!$B$2:$B$1200,MATCH(connections!$A1245,games!$A$2:$A$1200,0)),""))</f>
      </c>
      <c r="U1245">
        <f>IF(connections!$A1245="","",IFERROR(INDEX(games!$B$2:$B$1200,MATCH(connections!$B1245,games!$A$2:$A$1200,0)),""))</f>
      </c>
      <c r="V1245">
        <f>IF(OR($T1245="",$U1245=""),"",$U1245-$T1245)</f>
      </c>
    </row>
    <row r="1246">
      <c r="T1246" t="str">
        <f>IF(connections!$A1246="","",IFERROR(INDEX(games!$B$2:$B$1200,MATCH(connections!$A1246,games!$A$2:$A$1200,0)),""))</f>
      </c>
      <c r="U1246">
        <f>IF(connections!$A1246="","",IFERROR(INDEX(games!$B$2:$B$1200,MATCH(connections!$B1246,games!$A$2:$A$1200,0)),""))</f>
      </c>
      <c r="V1246">
        <f>IF(OR($T1246="",$U1246=""),"",$U1246-$T1246)</f>
      </c>
    </row>
    <row r="1247">
      <c r="T1247" t="str">
        <f>IF(connections!$A1247="","",IFERROR(INDEX(games!$B$2:$B$1200,MATCH(connections!$A1247,games!$A$2:$A$1200,0)),""))</f>
      </c>
      <c r="U1247">
        <f>IF(connections!$A1247="","",IFERROR(INDEX(games!$B$2:$B$1200,MATCH(connections!$B1247,games!$A$2:$A$1200,0)),""))</f>
      </c>
      <c r="V1247">
        <f>IF(OR($T1247="",$U1247=""),"",$U1247-$T1247)</f>
      </c>
    </row>
    <row r="1248">
      <c r="T1248" t="str">
        <f>IF(connections!$A1248="","",IFERROR(INDEX(games!$B$2:$B$1200,MATCH(connections!$A1248,games!$A$2:$A$1200,0)),""))</f>
      </c>
      <c r="U1248">
        <f>IF(connections!$A1248="","",IFERROR(INDEX(games!$B$2:$B$1200,MATCH(connections!$B1248,games!$A$2:$A$1200,0)),""))</f>
      </c>
      <c r="V1248">
        <f>IF(OR($T1248="",$U1248=""),"",$U1248-$T1248)</f>
      </c>
    </row>
    <row r="1249">
      <c r="T1249" t="str">
        <f>IF(connections!$A1249="","",IFERROR(INDEX(games!$B$2:$B$1200,MATCH(connections!$A1249,games!$A$2:$A$1200,0)),""))</f>
      </c>
      <c r="U1249">
        <f>IF(connections!$A1249="","",IFERROR(INDEX(games!$B$2:$B$1200,MATCH(connections!$B1249,games!$A$2:$A$1200,0)),""))</f>
      </c>
      <c r="V1249">
        <f>IF(OR($T1249="",$U1249=""),"",$U1249-$T1249)</f>
      </c>
    </row>
    <row r="1250">
      <c r="T1250" t="str">
        <f>IF(connections!$A1250="","",IFERROR(INDEX(games!$B$2:$B$1200,MATCH(connections!$A1250,games!$A$2:$A$1200,0)),""))</f>
      </c>
      <c r="U1250">
        <f>IF(connections!$A1250="","",IFERROR(INDEX(games!$B$2:$B$1200,MATCH(connections!$B1250,games!$A$2:$A$1200,0)),""))</f>
      </c>
      <c r="V1250">
        <f>IF(OR($T1250="",$U1250=""),"",$U1250-$T1250)</f>
      </c>
    </row>
    <row r="1251">
      <c r="T1251" t="str">
        <f>IF(connections!$A1251="","",IFERROR(INDEX(games!$B$2:$B$1200,MATCH(connections!$A1251,games!$A$2:$A$1200,0)),""))</f>
      </c>
      <c r="U1251">
        <f>IF(connections!$A1251="","",IFERROR(INDEX(games!$B$2:$B$1200,MATCH(connections!$B1251,games!$A$2:$A$1200,0)),""))</f>
      </c>
      <c r="V1251">
        <f>IF(OR($T1251="",$U1251=""),"",$U1251-$T1251)</f>
      </c>
    </row>
    <row r="1252">
      <c r="T1252" t="str">
        <f>IF(connections!$A1252="","",IFERROR(INDEX(games!$B$2:$B$1200,MATCH(connections!$A1252,games!$A$2:$A$1200,0)),""))</f>
      </c>
      <c r="U1252">
        <f>IF(connections!$A1252="","",IFERROR(INDEX(games!$B$2:$B$1200,MATCH(connections!$B1252,games!$A$2:$A$1200,0)),""))</f>
      </c>
      <c r="V1252">
        <f>IF(OR($T1252="",$U1252=""),"",$U1252-$T1252)</f>
      </c>
    </row>
    <row r="1253">
      <c r="T1253" t="str">
        <f>IF(connections!$A1253="","",IFERROR(INDEX(games!$B$2:$B$1200,MATCH(connections!$A1253,games!$A$2:$A$1200,0)),""))</f>
      </c>
      <c r="U1253">
        <f>IF(connections!$A1253="","",IFERROR(INDEX(games!$B$2:$B$1200,MATCH(connections!$B1253,games!$A$2:$A$1200,0)),""))</f>
      </c>
      <c r="V1253">
        <f>IF(OR($T1253="",$U1253=""),"",$U1253-$T1253)</f>
      </c>
    </row>
    <row r="1254">
      <c r="T1254" t="str">
        <f>IF(connections!$A1254="","",IFERROR(INDEX(games!$B$2:$B$1200,MATCH(connections!$A1254,games!$A$2:$A$1200,0)),""))</f>
      </c>
      <c r="U1254">
        <f>IF(connections!$A1254="","",IFERROR(INDEX(games!$B$2:$B$1200,MATCH(connections!$B1254,games!$A$2:$A$1200,0)),""))</f>
      </c>
      <c r="V1254">
        <f>IF(OR($T1254="",$U1254=""),"",$U1254-$T1254)</f>
      </c>
    </row>
    <row r="1255">
      <c r="T1255" t="str">
        <f>IF(connections!$A1255="","",IFERROR(INDEX(games!$B$2:$B$1200,MATCH(connections!$A1255,games!$A$2:$A$1200,0)),""))</f>
      </c>
      <c r="U1255">
        <f>IF(connections!$A1255="","",IFERROR(INDEX(games!$B$2:$B$1200,MATCH(connections!$B1255,games!$A$2:$A$1200,0)),""))</f>
      </c>
      <c r="V1255">
        <f>IF(OR($T1255="",$U1255=""),"",$U1255-$T1255)</f>
      </c>
    </row>
    <row r="1256">
      <c r="T1256" t="str">
        <f>IF(connections!$A1256="","",IFERROR(INDEX(games!$B$2:$B$1200,MATCH(connections!$A1256,games!$A$2:$A$1200,0)),""))</f>
      </c>
      <c r="U1256">
        <f>IF(connections!$A1256="","",IFERROR(INDEX(games!$B$2:$B$1200,MATCH(connections!$B1256,games!$A$2:$A$1200,0)),""))</f>
      </c>
      <c r="V1256">
        <f>IF(OR($T1256="",$U1256=""),"",$U1256-$T1256)</f>
      </c>
    </row>
    <row r="1257">
      <c r="T1257" t="str">
        <f>IF(connections!$A1257="","",IFERROR(INDEX(games!$B$2:$B$1200,MATCH(connections!$A1257,games!$A$2:$A$1200,0)),""))</f>
      </c>
      <c r="U1257">
        <f>IF(connections!$A1257="","",IFERROR(INDEX(games!$B$2:$B$1200,MATCH(connections!$B1257,games!$A$2:$A$1200,0)),""))</f>
      </c>
      <c r="V1257">
        <f>IF(OR($T1257="",$U1257=""),"",$U1257-$T1257)</f>
      </c>
    </row>
    <row r="1258">
      <c r="T1258" t="str">
        <f>IF(connections!$A1258="","",IFERROR(INDEX(games!$B$2:$B$1200,MATCH(connections!$A1258,games!$A$2:$A$1200,0)),""))</f>
      </c>
      <c r="U1258">
        <f>IF(connections!$A1258="","",IFERROR(INDEX(games!$B$2:$B$1200,MATCH(connections!$B1258,games!$A$2:$A$1200,0)),""))</f>
      </c>
      <c r="V1258">
        <f>IF(OR($T1258="",$U1258=""),"",$U1258-$T1258)</f>
      </c>
    </row>
    <row r="1259">
      <c r="T1259" t="str">
        <f>IF(connections!$A1259="","",IFERROR(INDEX(games!$B$2:$B$1200,MATCH(connections!$A1259,games!$A$2:$A$1200,0)),""))</f>
      </c>
      <c r="U1259">
        <f>IF(connections!$A1259="","",IFERROR(INDEX(games!$B$2:$B$1200,MATCH(connections!$B1259,games!$A$2:$A$1200,0)),""))</f>
      </c>
      <c r="V1259">
        <f>IF(OR($T1259="",$U1259=""),"",$U1259-$T1259)</f>
      </c>
    </row>
    <row r="1260">
      <c r="T1260" t="str">
        <f>IF(connections!$A1260="","",IFERROR(INDEX(games!$B$2:$B$1200,MATCH(connections!$A1260,games!$A$2:$A$1200,0)),""))</f>
      </c>
      <c r="U1260">
        <f>IF(connections!$A1260="","",IFERROR(INDEX(games!$B$2:$B$1200,MATCH(connections!$B1260,games!$A$2:$A$1200,0)),""))</f>
      </c>
      <c r="V1260">
        <f>IF(OR($T1260="",$U1260=""),"",$U1260-$T1260)</f>
      </c>
    </row>
    <row r="1261">
      <c r="T1261" t="str">
        <f>IF(connections!$A1261="","",IFERROR(INDEX(games!$B$2:$B$1200,MATCH(connections!$A1261,games!$A$2:$A$1200,0)),""))</f>
      </c>
      <c r="U1261">
        <f>IF(connections!$A1261="","",IFERROR(INDEX(games!$B$2:$B$1200,MATCH(connections!$B1261,games!$A$2:$A$1200,0)),""))</f>
      </c>
      <c r="V1261">
        <f>IF(OR($T1261="",$U1261=""),"",$U1261-$T1261)</f>
      </c>
    </row>
    <row r="1262">
      <c r="T1262" t="str">
        <f>IF(connections!$A1262="","",IFERROR(INDEX(games!$B$2:$B$1200,MATCH(connections!$A1262,games!$A$2:$A$1200,0)),""))</f>
      </c>
      <c r="U1262">
        <f>IF(connections!$A1262="","",IFERROR(INDEX(games!$B$2:$B$1200,MATCH(connections!$B1262,games!$A$2:$A$1200,0)),""))</f>
      </c>
      <c r="V1262">
        <f>IF(OR($T1262="",$U1262=""),"",$U1262-$T1262)</f>
      </c>
    </row>
    <row r="1263">
      <c r="T1263" t="str">
        <f>IF(connections!$A1263="","",IFERROR(INDEX(games!$B$2:$B$1200,MATCH(connections!$A1263,games!$A$2:$A$1200,0)),""))</f>
      </c>
      <c r="U1263">
        <f>IF(connections!$A1263="","",IFERROR(INDEX(games!$B$2:$B$1200,MATCH(connections!$B1263,games!$A$2:$A$1200,0)),""))</f>
      </c>
      <c r="V1263">
        <f>IF(OR($T1263="",$U1263=""),"",$U1263-$T1263)</f>
      </c>
    </row>
    <row r="1264">
      <c r="T1264" t="str">
        <f>IF(connections!$A1264="","",IFERROR(INDEX(games!$B$2:$B$1200,MATCH(connections!$A1264,games!$A$2:$A$1200,0)),""))</f>
      </c>
      <c r="U1264">
        <f>IF(connections!$A1264="","",IFERROR(INDEX(games!$B$2:$B$1200,MATCH(connections!$B1264,games!$A$2:$A$1200,0)),""))</f>
      </c>
      <c r="V1264">
        <f>IF(OR($T1264="",$U1264=""),"",$U1264-$T1264)</f>
      </c>
    </row>
    <row r="1265">
      <c r="T1265" t="str">
        <f>IF(connections!$A1265="","",IFERROR(INDEX(games!$B$2:$B$1200,MATCH(connections!$A1265,games!$A$2:$A$1200,0)),""))</f>
      </c>
      <c r="U1265">
        <f>IF(connections!$A1265="","",IFERROR(INDEX(games!$B$2:$B$1200,MATCH(connections!$B1265,games!$A$2:$A$1200,0)),""))</f>
      </c>
      <c r="V1265">
        <f>IF(OR($T1265="",$U1265=""),"",$U1265-$T1265)</f>
      </c>
    </row>
    <row r="1266">
      <c r="T1266" t="str">
        <f>IF(connections!$A1266="","",IFERROR(INDEX(games!$B$2:$B$1200,MATCH(connections!$A1266,games!$A$2:$A$1200,0)),""))</f>
      </c>
      <c r="U1266">
        <f>IF(connections!$A1266="","",IFERROR(INDEX(games!$B$2:$B$1200,MATCH(connections!$B1266,games!$A$2:$A$1200,0)),""))</f>
      </c>
      <c r="V1266">
        <f>IF(OR($T1266="",$U1266=""),"",$U1266-$T1266)</f>
      </c>
    </row>
    <row r="1267">
      <c r="T1267" t="str">
        <f>IF(connections!$A1267="","",IFERROR(INDEX(games!$B$2:$B$1200,MATCH(connections!$A1267,games!$A$2:$A$1200,0)),""))</f>
      </c>
      <c r="U1267">
        <f>IF(connections!$A1267="","",IFERROR(INDEX(games!$B$2:$B$1200,MATCH(connections!$B1267,games!$A$2:$A$1200,0)),""))</f>
      </c>
      <c r="V1267">
        <f>IF(OR($T1267="",$U1267=""),"",$U1267-$T1267)</f>
      </c>
    </row>
    <row r="1268">
      <c r="T1268" t="str">
        <f>IF(connections!$A1268="","",IFERROR(INDEX(games!$B$2:$B$1200,MATCH(connections!$A1268,games!$A$2:$A$1200,0)),""))</f>
      </c>
      <c r="U1268">
        <f>IF(connections!$A1268="","",IFERROR(INDEX(games!$B$2:$B$1200,MATCH(connections!$B1268,games!$A$2:$A$1200,0)),""))</f>
      </c>
      <c r="V1268">
        <f>IF(OR($T1268="",$U1268=""),"",$U1268-$T1268)</f>
      </c>
    </row>
    <row r="1269">
      <c r="T1269" t="str">
        <f>IF(connections!$A1269="","",IFERROR(INDEX(games!$B$2:$B$1200,MATCH(connections!$A1269,games!$A$2:$A$1200,0)),""))</f>
      </c>
      <c r="U1269">
        <f>IF(connections!$A1269="","",IFERROR(INDEX(games!$B$2:$B$1200,MATCH(connections!$B1269,games!$A$2:$A$1200,0)),""))</f>
      </c>
      <c r="V1269">
        <f>IF(OR($T1269="",$U1269=""),"",$U1269-$T1269)</f>
      </c>
    </row>
    <row r="1270">
      <c r="T1270" t="str">
        <f>IF(connections!$A1270="","",IFERROR(INDEX(games!$B$2:$B$1200,MATCH(connections!$A1270,games!$A$2:$A$1200,0)),""))</f>
      </c>
      <c r="U1270">
        <f>IF(connections!$A1270="","",IFERROR(INDEX(games!$B$2:$B$1200,MATCH(connections!$B1270,games!$A$2:$A$1200,0)),""))</f>
      </c>
      <c r="V1270">
        <f>IF(OR($T1270="",$U1270=""),"",$U1270-$T1270)</f>
      </c>
    </row>
    <row r="1271">
      <c r="T1271" t="str">
        <f>IF(connections!$A1271="","",IFERROR(INDEX(games!$B$2:$B$1200,MATCH(connections!$A1271,games!$A$2:$A$1200,0)),""))</f>
      </c>
      <c r="U1271">
        <f>IF(connections!$A1271="","",IFERROR(INDEX(games!$B$2:$B$1200,MATCH(connections!$B1271,games!$A$2:$A$1200,0)),""))</f>
      </c>
      <c r="V1271">
        <f>IF(OR($T1271="",$U1271=""),"",$U1271-$T1271)</f>
      </c>
    </row>
    <row r="1272">
      <c r="T1272" t="str">
        <f>IF(connections!$A1272="","",IFERROR(INDEX(games!$B$2:$B$1200,MATCH(connections!$A1272,games!$A$2:$A$1200,0)),""))</f>
      </c>
      <c r="U1272">
        <f>IF(connections!$A1272="","",IFERROR(INDEX(games!$B$2:$B$1200,MATCH(connections!$B1272,games!$A$2:$A$1200,0)),""))</f>
      </c>
      <c r="V1272">
        <f>IF(OR($T1272="",$U1272=""),"",$U1272-$T1272)</f>
      </c>
    </row>
    <row r="1273">
      <c r="T1273" t="str">
        <f>IF(connections!$A1273="","",IFERROR(INDEX(games!$B$2:$B$1200,MATCH(connections!$A1273,games!$A$2:$A$1200,0)),""))</f>
      </c>
      <c r="U1273">
        <f>IF(connections!$A1273="","",IFERROR(INDEX(games!$B$2:$B$1200,MATCH(connections!$B1273,games!$A$2:$A$1200,0)),""))</f>
      </c>
      <c r="V1273">
        <f>IF(OR($T1273="",$U1273=""),"",$U1273-$T1273)</f>
      </c>
    </row>
    <row r="1274">
      <c r="T1274" t="str">
        <f>IF(connections!$A1274="","",IFERROR(INDEX(games!$B$2:$B$1200,MATCH(connections!$A1274,games!$A$2:$A$1200,0)),""))</f>
      </c>
      <c r="U1274">
        <f>IF(connections!$A1274="","",IFERROR(INDEX(games!$B$2:$B$1200,MATCH(connections!$B1274,games!$A$2:$A$1200,0)),""))</f>
      </c>
      <c r="V1274">
        <f>IF(OR($T1274="",$U1274=""),"",$U1274-$T1274)</f>
      </c>
    </row>
    <row r="1275">
      <c r="T1275" t="str">
        <f>IF(connections!$A1275="","",IFERROR(INDEX(games!$B$2:$B$1200,MATCH(connections!$A1275,games!$A$2:$A$1200,0)),""))</f>
      </c>
      <c r="U1275">
        <f>IF(connections!$A1275="","",IFERROR(INDEX(games!$B$2:$B$1200,MATCH(connections!$B1275,games!$A$2:$A$1200,0)),""))</f>
      </c>
      <c r="V1275">
        <f>IF(OR($T1275="",$U1275=""),"",$U1275-$T1275)</f>
      </c>
    </row>
    <row r="1276">
      <c r="T1276" t="str">
        <f>IF(connections!$A1276="","",IFERROR(INDEX(games!$B$2:$B$1200,MATCH(connections!$A1276,games!$A$2:$A$1200,0)),""))</f>
      </c>
      <c r="U1276">
        <f>IF(connections!$A1276="","",IFERROR(INDEX(games!$B$2:$B$1200,MATCH(connections!$B1276,games!$A$2:$A$1200,0)),""))</f>
      </c>
      <c r="V1276">
        <f>IF(OR($T1276="",$U1276=""),"",$U1276-$T1276)</f>
      </c>
    </row>
    <row r="1277">
      <c r="T1277" t="str">
        <f>IF(connections!$A1277="","",IFERROR(INDEX(games!$B$2:$B$1200,MATCH(connections!$A1277,games!$A$2:$A$1200,0)),""))</f>
      </c>
      <c r="U1277">
        <f>IF(connections!$A1277="","",IFERROR(INDEX(games!$B$2:$B$1200,MATCH(connections!$B1277,games!$A$2:$A$1200,0)),""))</f>
      </c>
      <c r="V1277">
        <f>IF(OR($T1277="",$U1277=""),"",$U1277-$T1277)</f>
      </c>
    </row>
    <row r="1278">
      <c r="T1278" t="str">
        <f>IF(connections!$A1278="","",IFERROR(INDEX(games!$B$2:$B$1200,MATCH(connections!$A1278,games!$A$2:$A$1200,0)),""))</f>
      </c>
      <c r="U1278">
        <f>IF(connections!$A1278="","",IFERROR(INDEX(games!$B$2:$B$1200,MATCH(connections!$B1278,games!$A$2:$A$1200,0)),""))</f>
      </c>
      <c r="V1278">
        <f>IF(OR($T1278="",$U1278=""),"",$U1278-$T1278)</f>
      </c>
    </row>
    <row r="1279">
      <c r="T1279" t="str">
        <f>IF(connections!$A1279="","",IFERROR(INDEX(games!$B$2:$B$1200,MATCH(connections!$A1279,games!$A$2:$A$1200,0)),""))</f>
      </c>
      <c r="U1279">
        <f>IF(connections!$A1279="","",IFERROR(INDEX(games!$B$2:$B$1200,MATCH(connections!$B1279,games!$A$2:$A$1200,0)),""))</f>
      </c>
      <c r="V1279">
        <f>IF(OR($T1279="",$U1279=""),"",$U1279-$T1279)</f>
      </c>
    </row>
    <row r="1280">
      <c r="T1280" t="str">
        <f>IF(connections!$A1280="","",IFERROR(INDEX(games!$B$2:$B$1200,MATCH(connections!$A1280,games!$A$2:$A$1200,0)),""))</f>
      </c>
      <c r="U1280">
        <f>IF(connections!$A1280="","",IFERROR(INDEX(games!$B$2:$B$1200,MATCH(connections!$B1280,games!$A$2:$A$1200,0)),""))</f>
      </c>
      <c r="V1280">
        <f>IF(OR($T1280="",$U1280=""),"",$U1280-$T1280)</f>
      </c>
    </row>
    <row r="1281">
      <c r="T1281" t="str">
        <f>IF(connections!$A1281="","",IFERROR(INDEX(games!$B$2:$B$1200,MATCH(connections!$A1281,games!$A$2:$A$1200,0)),""))</f>
      </c>
      <c r="U1281">
        <f>IF(connections!$A1281="","",IFERROR(INDEX(games!$B$2:$B$1200,MATCH(connections!$B1281,games!$A$2:$A$1200,0)),""))</f>
      </c>
      <c r="V1281">
        <f>IF(OR($T1281="",$U1281=""),"",$U1281-$T1281)</f>
      </c>
    </row>
    <row r="1282">
      <c r="T1282" t="str">
        <f>IF(connections!$A1282="","",IFERROR(INDEX(games!$B$2:$B$1200,MATCH(connections!$A1282,games!$A$2:$A$1200,0)),""))</f>
      </c>
      <c r="U1282">
        <f>IF(connections!$A1282="","",IFERROR(INDEX(games!$B$2:$B$1200,MATCH(connections!$B1282,games!$A$2:$A$1200,0)),""))</f>
      </c>
      <c r="V1282">
        <f>IF(OR($T1282="",$U1282=""),"",$U1282-$T1282)</f>
      </c>
    </row>
    <row r="1283">
      <c r="T1283" t="str">
        <f>IF(connections!$A1283="","",IFERROR(INDEX(games!$B$2:$B$1200,MATCH(connections!$A1283,games!$A$2:$A$1200,0)),""))</f>
      </c>
      <c r="U1283">
        <f>IF(connections!$A1283="","",IFERROR(INDEX(games!$B$2:$B$1200,MATCH(connections!$B1283,games!$A$2:$A$1200,0)),""))</f>
      </c>
      <c r="V1283">
        <f>IF(OR($T1283="",$U1283=""),"",$U1283-$T1283)</f>
      </c>
    </row>
    <row r="1284">
      <c r="T1284" t="str">
        <f>IF(connections!$A1284="","",IFERROR(INDEX(games!$B$2:$B$1200,MATCH(connections!$A1284,games!$A$2:$A$1200,0)),""))</f>
      </c>
      <c r="U1284">
        <f>IF(connections!$A1284="","",IFERROR(INDEX(games!$B$2:$B$1200,MATCH(connections!$B1284,games!$A$2:$A$1200,0)),""))</f>
      </c>
      <c r="V1284">
        <f>IF(OR($T1284="",$U1284=""),"",$U1284-$T1284)</f>
      </c>
    </row>
    <row r="1285">
      <c r="T1285" t="str">
        <f>IF(connections!$A1285="","",IFERROR(INDEX(games!$B$2:$B$1200,MATCH(connections!$A1285,games!$A$2:$A$1200,0)),""))</f>
      </c>
      <c r="U1285">
        <f>IF(connections!$A1285="","",IFERROR(INDEX(games!$B$2:$B$1200,MATCH(connections!$B1285,games!$A$2:$A$1200,0)),""))</f>
      </c>
      <c r="V1285">
        <f>IF(OR($T1285="",$U1285=""),"",$U1285-$T1285)</f>
      </c>
    </row>
    <row r="1286">
      <c r="T1286" t="str">
        <f>IF(connections!$A1286="","",IFERROR(INDEX(games!$B$2:$B$1200,MATCH(connections!$A1286,games!$A$2:$A$1200,0)),""))</f>
      </c>
      <c r="U1286">
        <f>IF(connections!$A1286="","",IFERROR(INDEX(games!$B$2:$B$1200,MATCH(connections!$B1286,games!$A$2:$A$1200,0)),""))</f>
      </c>
      <c r="V1286">
        <f>IF(OR($T1286="",$U1286=""),"",$U1286-$T1286)</f>
      </c>
    </row>
    <row r="1287">
      <c r="T1287" t="str">
        <f>IF(connections!$A1287="","",IFERROR(INDEX(games!$B$2:$B$1200,MATCH(connections!$A1287,games!$A$2:$A$1200,0)),""))</f>
      </c>
      <c r="U1287">
        <f>IF(connections!$A1287="","",IFERROR(INDEX(games!$B$2:$B$1200,MATCH(connections!$B1287,games!$A$2:$A$1200,0)),""))</f>
      </c>
      <c r="V1287">
        <f>IF(OR($T1287="",$U1287=""),"",$U1287-$T1287)</f>
      </c>
    </row>
    <row r="1288">
      <c r="T1288" t="str">
        <f>IF(connections!$A1288="","",IFERROR(INDEX(games!$B$2:$B$1200,MATCH(connections!$A1288,games!$A$2:$A$1200,0)),""))</f>
      </c>
      <c r="U1288">
        <f>IF(connections!$A1288="","",IFERROR(INDEX(games!$B$2:$B$1200,MATCH(connections!$B1288,games!$A$2:$A$1200,0)),""))</f>
      </c>
      <c r="V1288">
        <f>IF(OR($T1288="",$U1288=""),"",$U1288-$T1288)</f>
      </c>
    </row>
    <row r="1289">
      <c r="T1289" t="str">
        <f>IF(connections!$A1289="","",IFERROR(INDEX(games!$B$2:$B$1200,MATCH(connections!$A1289,games!$A$2:$A$1200,0)),""))</f>
      </c>
      <c r="U1289">
        <f>IF(connections!$A1289="","",IFERROR(INDEX(games!$B$2:$B$1200,MATCH(connections!$B1289,games!$A$2:$A$1200,0)),""))</f>
      </c>
      <c r="V1289">
        <f>IF(OR($T1289="",$U1289=""),"",$U1289-$T1289)</f>
      </c>
    </row>
    <row r="1290">
      <c r="T1290" t="str">
        <f>IF(connections!$A1290="","",IFERROR(INDEX(games!$B$2:$B$1200,MATCH(connections!$A1290,games!$A$2:$A$1200,0)),""))</f>
      </c>
      <c r="U1290">
        <f>IF(connections!$A1290="","",IFERROR(INDEX(games!$B$2:$B$1200,MATCH(connections!$B1290,games!$A$2:$A$1200,0)),""))</f>
      </c>
      <c r="V1290">
        <f>IF(OR($T1290="",$U1290=""),"",$U1290-$T1290)</f>
      </c>
    </row>
    <row r="1291">
      <c r="T1291" t="str">
        <f>IF(connections!$A1291="","",IFERROR(INDEX(games!$B$2:$B$1200,MATCH(connections!$A1291,games!$A$2:$A$1200,0)),""))</f>
      </c>
      <c r="U1291">
        <f>IF(connections!$A1291="","",IFERROR(INDEX(games!$B$2:$B$1200,MATCH(connections!$B1291,games!$A$2:$A$1200,0)),""))</f>
      </c>
      <c r="V1291">
        <f>IF(OR($T1291="",$U1291=""),"",$U1291-$T1291)</f>
      </c>
    </row>
    <row r="1292">
      <c r="T1292" t="str">
        <f>IF(connections!$A1292="","",IFERROR(INDEX(games!$B$2:$B$1200,MATCH(connections!$A1292,games!$A$2:$A$1200,0)),""))</f>
      </c>
      <c r="U1292">
        <f>IF(connections!$A1292="","",IFERROR(INDEX(games!$B$2:$B$1200,MATCH(connections!$B1292,games!$A$2:$A$1200,0)),""))</f>
      </c>
      <c r="V1292">
        <f>IF(OR($T1292="",$U1292=""),"",$U1292-$T1292)</f>
      </c>
    </row>
    <row r="1293">
      <c r="T1293" t="str">
        <f>IF(connections!$A1293="","",IFERROR(INDEX(games!$B$2:$B$1200,MATCH(connections!$A1293,games!$A$2:$A$1200,0)),""))</f>
      </c>
      <c r="U1293">
        <f>IF(connections!$A1293="","",IFERROR(INDEX(games!$B$2:$B$1200,MATCH(connections!$B1293,games!$A$2:$A$1200,0)),""))</f>
      </c>
      <c r="V1293">
        <f>IF(OR($T1293="",$U1293=""),"",$U1293-$T1293)</f>
      </c>
    </row>
    <row r="1294">
      <c r="T1294" t="str">
        <f>IF(connections!$A1294="","",IFERROR(INDEX(games!$B$2:$B$1200,MATCH(connections!$A1294,games!$A$2:$A$1200,0)),""))</f>
      </c>
      <c r="U1294">
        <f>IF(connections!$A1294="","",IFERROR(INDEX(games!$B$2:$B$1200,MATCH(connections!$B1294,games!$A$2:$A$1200,0)),""))</f>
      </c>
      <c r="V1294">
        <f>IF(OR($T1294="",$U1294=""),"",$U1294-$T1294)</f>
      </c>
    </row>
    <row r="1295">
      <c r="T1295" t="str">
        <f>IF(connections!$A1295="","",IFERROR(INDEX(games!$B$2:$B$1200,MATCH(connections!$A1295,games!$A$2:$A$1200,0)),""))</f>
      </c>
      <c r="U1295">
        <f>IF(connections!$A1295="","",IFERROR(INDEX(games!$B$2:$B$1200,MATCH(connections!$B1295,games!$A$2:$A$1200,0)),""))</f>
      </c>
      <c r="V1295">
        <f>IF(OR($T1295="",$U1295=""),"",$U1295-$T1295)</f>
      </c>
    </row>
    <row r="1296">
      <c r="T1296" t="str">
        <f>IF(connections!$A1296="","",IFERROR(INDEX(games!$B$2:$B$1200,MATCH(connections!$A1296,games!$A$2:$A$1200,0)),""))</f>
      </c>
      <c r="U1296">
        <f>IF(connections!$A1296="","",IFERROR(INDEX(games!$B$2:$B$1200,MATCH(connections!$B1296,games!$A$2:$A$1200,0)),""))</f>
      </c>
      <c r="V1296">
        <f>IF(OR($T1296="",$U1296=""),"",$U1296-$T1296)</f>
      </c>
    </row>
    <row r="1297">
      <c r="T1297" t="str">
        <f>IF(connections!$A1297="","",IFERROR(INDEX(games!$B$2:$B$1200,MATCH(connections!$A1297,games!$A$2:$A$1200,0)),""))</f>
      </c>
      <c r="U1297">
        <f>IF(connections!$A1297="","",IFERROR(INDEX(games!$B$2:$B$1200,MATCH(connections!$B1297,games!$A$2:$A$1200,0)),""))</f>
      </c>
      <c r="V1297">
        <f>IF(OR($T1297="",$U1297=""),"",$U1297-$T1297)</f>
      </c>
    </row>
    <row r="1298">
      <c r="T1298" t="str">
        <f>IF(connections!$A1298="","",IFERROR(INDEX(games!$B$2:$B$1200,MATCH(connections!$A1298,games!$A$2:$A$1200,0)),""))</f>
      </c>
      <c r="U1298">
        <f>IF(connections!$A1298="","",IFERROR(INDEX(games!$B$2:$B$1200,MATCH(connections!$B1298,games!$A$2:$A$1200,0)),""))</f>
      </c>
      <c r="V1298">
        <f>IF(OR($T1298="",$U1298=""),"",$U1298-$T1298)</f>
      </c>
    </row>
    <row r="1299">
      <c r="T1299" t="str">
        <f>IF(connections!$A1299="","",IFERROR(INDEX(games!$B$2:$B$1200,MATCH(connections!$A1299,games!$A$2:$A$1200,0)),""))</f>
      </c>
      <c r="U1299">
        <f>IF(connections!$A1299="","",IFERROR(INDEX(games!$B$2:$B$1200,MATCH(connections!$B1299,games!$A$2:$A$1200,0)),""))</f>
      </c>
      <c r="V1299">
        <f>IF(OR($T1299="",$U1299=""),"",$U1299-$T1299)</f>
      </c>
    </row>
    <row r="1300">
      <c r="T1300" t="str">
        <f>IF(connections!$A1300="","",IFERROR(INDEX(games!$B$2:$B$1200,MATCH(connections!$A1300,games!$A$2:$A$1200,0)),""))</f>
      </c>
      <c r="U1300">
        <f>IF(connections!$A1300="","",IFERROR(INDEX(games!$B$2:$B$1200,MATCH(connections!$B1300,games!$A$2:$A$1200,0)),""))</f>
      </c>
      <c r="V1300">
        <f>IF(OR($T1300="",$U1300=""),"",$U1300-$T1300)</f>
      </c>
    </row>
    <row r="1301">
      <c r="T1301" t="str">
        <f>IF(connections!$A1301="","",IFERROR(INDEX(games!$B$2:$B$1200,MATCH(connections!$A1301,games!$A$2:$A$1200,0)),""))</f>
      </c>
      <c r="U1301">
        <f>IF(connections!$A1301="","",IFERROR(INDEX(games!$B$2:$B$1200,MATCH(connections!$B1301,games!$A$2:$A$1200,0)),""))</f>
      </c>
      <c r="V1301">
        <f>IF(OR($T1301="",$U1301=""),"",$U1301-$T1301)</f>
      </c>
    </row>
    <row r="1302">
      <c r="T1302" t="str">
        <f>IF(connections!$A1302="","",IFERROR(INDEX(games!$B$2:$B$1200,MATCH(connections!$A1302,games!$A$2:$A$1200,0)),""))</f>
      </c>
      <c r="U1302">
        <f>IF(connections!$A1302="","",IFERROR(INDEX(games!$B$2:$B$1200,MATCH(connections!$B1302,games!$A$2:$A$1200,0)),""))</f>
      </c>
      <c r="V1302">
        <f>IF(OR($T1302="",$U1302=""),"",$U1302-$T1302)</f>
      </c>
    </row>
    <row r="1303">
      <c r="T1303" t="str">
        <f>IF(connections!$A1303="","",IFERROR(INDEX(games!$B$2:$B$1200,MATCH(connections!$A1303,games!$A$2:$A$1200,0)),""))</f>
      </c>
      <c r="U1303">
        <f>IF(connections!$A1303="","",IFERROR(INDEX(games!$B$2:$B$1200,MATCH(connections!$B1303,games!$A$2:$A$1200,0)),""))</f>
      </c>
      <c r="V1303">
        <f>IF(OR($T1303="",$U1303=""),"",$U1303-$T1303)</f>
      </c>
    </row>
    <row r="1304">
      <c r="T1304" t="str">
        <f>IF(connections!$A1304="","",IFERROR(INDEX(games!$B$2:$B$1200,MATCH(connections!$A1304,games!$A$2:$A$1200,0)),""))</f>
      </c>
      <c r="U1304">
        <f>IF(connections!$A1304="","",IFERROR(INDEX(games!$B$2:$B$1200,MATCH(connections!$B1304,games!$A$2:$A$1200,0)),""))</f>
      </c>
      <c r="V1304">
        <f>IF(OR($T1304="",$U1304=""),"",$U1304-$T1304)</f>
      </c>
    </row>
    <row r="1305">
      <c r="T1305" t="str">
        <f>IF(connections!$A1305="","",IFERROR(INDEX(games!$B$2:$B$1200,MATCH(connections!$A1305,games!$A$2:$A$1200,0)),""))</f>
      </c>
      <c r="U1305">
        <f>IF(connections!$A1305="","",IFERROR(INDEX(games!$B$2:$B$1200,MATCH(connections!$B1305,games!$A$2:$A$1200,0)),""))</f>
      </c>
      <c r="V1305">
        <f>IF(OR($T1305="",$U1305=""),"",$U1305-$T1305)</f>
      </c>
    </row>
    <row r="1306">
      <c r="T1306" t="str">
        <f>IF(connections!$A1306="","",IFERROR(INDEX(games!$B$2:$B$1200,MATCH(connections!$A1306,games!$A$2:$A$1200,0)),""))</f>
      </c>
      <c r="U1306">
        <f>IF(connections!$A1306="","",IFERROR(INDEX(games!$B$2:$B$1200,MATCH(connections!$B1306,games!$A$2:$A$1200,0)),""))</f>
      </c>
      <c r="V1306">
        <f>IF(OR($T1306="",$U1306=""),"",$U1306-$T1306)</f>
      </c>
    </row>
    <row r="1307">
      <c r="T1307" t="str">
        <f>IF(connections!$A1307="","",IFERROR(INDEX(games!$B$2:$B$1200,MATCH(connections!$A1307,games!$A$2:$A$1200,0)),""))</f>
      </c>
      <c r="U1307">
        <f>IF(connections!$A1307="","",IFERROR(INDEX(games!$B$2:$B$1200,MATCH(connections!$B1307,games!$A$2:$A$1200,0)),""))</f>
      </c>
      <c r="V1307">
        <f>IF(OR($T1307="",$U1307=""),"",$U1307-$T1307)</f>
      </c>
    </row>
    <row r="1308">
      <c r="T1308" t="str">
        <f>IF(connections!$A1308="","",IFERROR(INDEX(games!$B$2:$B$1200,MATCH(connections!$A1308,games!$A$2:$A$1200,0)),""))</f>
      </c>
      <c r="U1308">
        <f>IF(connections!$A1308="","",IFERROR(INDEX(games!$B$2:$B$1200,MATCH(connections!$B1308,games!$A$2:$A$1200,0)),""))</f>
      </c>
      <c r="V1308">
        <f>IF(OR($T1308="",$U1308=""),"",$U1308-$T1308)</f>
      </c>
    </row>
    <row r="1309">
      <c r="T1309" t="str">
        <f>IF(connections!$A1309="","",IFERROR(INDEX(games!$B$2:$B$1200,MATCH(connections!$A1309,games!$A$2:$A$1200,0)),""))</f>
      </c>
      <c r="U1309">
        <f>IF(connections!$A1309="","",IFERROR(INDEX(games!$B$2:$B$1200,MATCH(connections!$B1309,games!$A$2:$A$1200,0)),""))</f>
      </c>
      <c r="V1309">
        <f>IF(OR($T1309="",$U1309=""),"",$U1309-$T1309)</f>
      </c>
    </row>
    <row r="1310">
      <c r="T1310" t="str">
        <f>IF(connections!$A1310="","",IFERROR(INDEX(games!$B$2:$B$1200,MATCH(connections!$A1310,games!$A$2:$A$1200,0)),""))</f>
      </c>
      <c r="U1310">
        <f>IF(connections!$A1310="","",IFERROR(INDEX(games!$B$2:$B$1200,MATCH(connections!$B1310,games!$A$2:$A$1200,0)),""))</f>
      </c>
      <c r="V1310">
        <f>IF(OR($T1310="",$U1310=""),"",$U1310-$T1310)</f>
      </c>
    </row>
    <row r="1311">
      <c r="T1311" t="str">
        <f>IF(connections!$A1311="","",IFERROR(INDEX(games!$B$2:$B$1200,MATCH(connections!$A1311,games!$A$2:$A$1200,0)),""))</f>
      </c>
      <c r="U1311">
        <f>IF(connections!$A1311="","",IFERROR(INDEX(games!$B$2:$B$1200,MATCH(connections!$B1311,games!$A$2:$A$1200,0)),""))</f>
      </c>
      <c r="V1311">
        <f>IF(OR($T1311="",$U1311=""),"",$U1311-$T1311)</f>
      </c>
    </row>
    <row r="1312">
      <c r="T1312" t="str">
        <f>IF(connections!$A1312="","",IFERROR(INDEX(games!$B$2:$B$1200,MATCH(connections!$A1312,games!$A$2:$A$1200,0)),""))</f>
      </c>
      <c r="U1312">
        <f>IF(connections!$A1312="","",IFERROR(INDEX(games!$B$2:$B$1200,MATCH(connections!$B1312,games!$A$2:$A$1200,0)),""))</f>
      </c>
      <c r="V1312">
        <f>IF(OR($T1312="",$U1312=""),"",$U1312-$T1312)</f>
      </c>
    </row>
    <row r="1313">
      <c r="T1313" t="str">
        <f>IF(connections!$A1313="","",IFERROR(INDEX(games!$B$2:$B$1200,MATCH(connections!$A1313,games!$A$2:$A$1200,0)),""))</f>
      </c>
      <c r="U1313">
        <f>IF(connections!$A1313="","",IFERROR(INDEX(games!$B$2:$B$1200,MATCH(connections!$B1313,games!$A$2:$A$1200,0)),""))</f>
      </c>
      <c r="V1313">
        <f>IF(OR($T1313="",$U1313=""),"",$U1313-$T1313)</f>
      </c>
    </row>
    <row r="1314">
      <c r="T1314" t="str">
        <f>IF(connections!$A1314="","",IFERROR(INDEX(games!$B$2:$B$1200,MATCH(connections!$A1314,games!$A$2:$A$1200,0)),""))</f>
      </c>
      <c r="U1314">
        <f>IF(connections!$A1314="","",IFERROR(INDEX(games!$B$2:$B$1200,MATCH(connections!$B1314,games!$A$2:$A$1200,0)),""))</f>
      </c>
      <c r="V1314">
        <f>IF(OR($T1314="",$U1314=""),"",$U1314-$T1314)</f>
      </c>
    </row>
    <row r="1315">
      <c r="T1315" t="str">
        <f>IF(connections!$A1315="","",IFERROR(INDEX(games!$B$2:$B$1200,MATCH(connections!$A1315,games!$A$2:$A$1200,0)),""))</f>
      </c>
      <c r="U1315">
        <f>IF(connections!$A1315="","",IFERROR(INDEX(games!$B$2:$B$1200,MATCH(connections!$B1315,games!$A$2:$A$1200,0)),""))</f>
      </c>
      <c r="V1315">
        <f>IF(OR($T1315="",$U1315=""),"",$U1315-$T1315)</f>
      </c>
    </row>
    <row r="1316">
      <c r="T1316" t="str">
        <f>IF(connections!$A1316="","",IFERROR(INDEX(games!$B$2:$B$1200,MATCH(connections!$A1316,games!$A$2:$A$1200,0)),""))</f>
      </c>
      <c r="U1316">
        <f>IF(connections!$A1316="","",IFERROR(INDEX(games!$B$2:$B$1200,MATCH(connections!$B1316,games!$A$2:$A$1200,0)),""))</f>
      </c>
      <c r="V1316">
        <f>IF(OR($T1316="",$U1316=""),"",$U1316-$T1316)</f>
      </c>
    </row>
    <row r="1317">
      <c r="T1317" t="str">
        <f>IF(connections!$A1317="","",IFERROR(INDEX(games!$B$2:$B$1200,MATCH(connections!$A1317,games!$A$2:$A$1200,0)),""))</f>
      </c>
      <c r="U1317">
        <f>IF(connections!$A1317="","",IFERROR(INDEX(games!$B$2:$B$1200,MATCH(connections!$B1317,games!$A$2:$A$1200,0)),""))</f>
      </c>
      <c r="V1317">
        <f>IF(OR($T1317="",$U1317=""),"",$U1317-$T1317)</f>
      </c>
    </row>
    <row r="1318">
      <c r="T1318" t="str">
        <f>IF(connections!$A1318="","",IFERROR(INDEX(games!$B$2:$B$1200,MATCH(connections!$A1318,games!$A$2:$A$1200,0)),""))</f>
      </c>
      <c r="U1318">
        <f>IF(connections!$A1318="","",IFERROR(INDEX(games!$B$2:$B$1200,MATCH(connections!$B1318,games!$A$2:$A$1200,0)),""))</f>
      </c>
      <c r="V1318">
        <f>IF(OR($T1318="",$U1318=""),"",$U1318-$T1318)</f>
      </c>
    </row>
    <row r="1319">
      <c r="T1319" t="str">
        <f>IF(connections!$A1319="","",IFERROR(INDEX(games!$B$2:$B$1200,MATCH(connections!$A1319,games!$A$2:$A$1200,0)),""))</f>
      </c>
      <c r="U1319">
        <f>IF(connections!$A1319="","",IFERROR(INDEX(games!$B$2:$B$1200,MATCH(connections!$B1319,games!$A$2:$A$1200,0)),""))</f>
      </c>
      <c r="V1319">
        <f>IF(OR($T1319="",$U1319=""),"",$U1319-$T1319)</f>
      </c>
    </row>
    <row r="1320">
      <c r="T1320" t="str">
        <f>IF(connections!$A1320="","",IFERROR(INDEX(games!$B$2:$B$1200,MATCH(connections!$A1320,games!$A$2:$A$1200,0)),""))</f>
      </c>
      <c r="U1320">
        <f>IF(connections!$A1320="","",IFERROR(INDEX(games!$B$2:$B$1200,MATCH(connections!$B1320,games!$A$2:$A$1200,0)),""))</f>
      </c>
      <c r="V1320">
        <f>IF(OR($T1320="",$U1320=""),"",$U1320-$T1320)</f>
      </c>
    </row>
    <row r="1321">
      <c r="T1321" t="str">
        <f>IF(connections!$A1321="","",IFERROR(INDEX(games!$B$2:$B$1200,MATCH(connections!$A1321,games!$A$2:$A$1200,0)),""))</f>
      </c>
      <c r="U1321">
        <f>IF(connections!$A1321="","",IFERROR(INDEX(games!$B$2:$B$1200,MATCH(connections!$B1321,games!$A$2:$A$1200,0)),""))</f>
      </c>
      <c r="V1321">
        <f>IF(OR($T1321="",$U1321=""),"",$U1321-$T1321)</f>
      </c>
    </row>
    <row r="1322">
      <c r="T1322" t="str">
        <f>IF(connections!$A1322="","",IFERROR(INDEX(games!$B$2:$B$1200,MATCH(connections!$A1322,games!$A$2:$A$1200,0)),""))</f>
      </c>
      <c r="U1322">
        <f>IF(connections!$A1322="","",IFERROR(INDEX(games!$B$2:$B$1200,MATCH(connections!$B1322,games!$A$2:$A$1200,0)),""))</f>
      </c>
      <c r="V1322">
        <f>IF(OR($T1322="",$U1322=""),"",$U1322-$T1322)</f>
      </c>
    </row>
    <row r="1323">
      <c r="T1323" t="str">
        <f>IF(connections!$A1323="","",IFERROR(INDEX(games!$B$2:$B$1200,MATCH(connections!$A1323,games!$A$2:$A$1200,0)),""))</f>
      </c>
      <c r="U1323">
        <f>IF(connections!$A1323="","",IFERROR(INDEX(games!$B$2:$B$1200,MATCH(connections!$B1323,games!$A$2:$A$1200,0)),""))</f>
      </c>
      <c r="V1323">
        <f>IF(OR($T1323="",$U1323=""),"",$U1323-$T1323)</f>
      </c>
    </row>
    <row r="1324">
      <c r="T1324" t="str">
        <f>IF(connections!$A1324="","",IFERROR(INDEX(games!$B$2:$B$1200,MATCH(connections!$A1324,games!$A$2:$A$1200,0)),""))</f>
      </c>
      <c r="U1324">
        <f>IF(connections!$A1324="","",IFERROR(INDEX(games!$B$2:$B$1200,MATCH(connections!$B1324,games!$A$2:$A$1200,0)),""))</f>
      </c>
      <c r="V1324">
        <f>IF(OR($T1324="",$U1324=""),"",$U1324-$T1324)</f>
      </c>
    </row>
    <row r="1325">
      <c r="T1325" t="str">
        <f>IF(connections!$A1325="","",IFERROR(INDEX(games!$B$2:$B$1200,MATCH(connections!$A1325,games!$A$2:$A$1200,0)),""))</f>
      </c>
      <c r="U1325">
        <f>IF(connections!$A1325="","",IFERROR(INDEX(games!$B$2:$B$1200,MATCH(connections!$B1325,games!$A$2:$A$1200,0)),""))</f>
      </c>
      <c r="V1325">
        <f>IF(OR($T1325="",$U1325=""),"",$U1325-$T1325)</f>
      </c>
    </row>
    <row r="1326">
      <c r="T1326" t="str">
        <f>IF(connections!$A1326="","",IFERROR(INDEX(games!$B$2:$B$1200,MATCH(connections!$A1326,games!$A$2:$A$1200,0)),""))</f>
      </c>
      <c r="U1326">
        <f>IF(connections!$A1326="","",IFERROR(INDEX(games!$B$2:$B$1200,MATCH(connections!$B1326,games!$A$2:$A$1200,0)),""))</f>
      </c>
      <c r="V1326">
        <f>IF(OR($T1326="",$U1326=""),"",$U1326-$T1326)</f>
      </c>
    </row>
    <row r="1327">
      <c r="T1327" t="str">
        <f>IF(connections!$A1327="","",IFERROR(INDEX(games!$B$2:$B$1200,MATCH(connections!$A1327,games!$A$2:$A$1200,0)),""))</f>
      </c>
      <c r="U1327">
        <f>IF(connections!$A1327="","",IFERROR(INDEX(games!$B$2:$B$1200,MATCH(connections!$B1327,games!$A$2:$A$1200,0)),""))</f>
      </c>
      <c r="V1327">
        <f>IF(OR($T1327="",$U1327=""),"",$U1327-$T1327)</f>
      </c>
    </row>
    <row r="1328">
      <c r="T1328" t="str">
        <f>IF(connections!$A1328="","",IFERROR(INDEX(games!$B$2:$B$1200,MATCH(connections!$A1328,games!$A$2:$A$1200,0)),""))</f>
      </c>
      <c r="U1328">
        <f>IF(connections!$A1328="","",IFERROR(INDEX(games!$B$2:$B$1200,MATCH(connections!$B1328,games!$A$2:$A$1200,0)),""))</f>
      </c>
      <c r="V1328">
        <f>IF(OR($T1328="",$U1328=""),"",$U1328-$T1328)</f>
      </c>
    </row>
    <row r="1329">
      <c r="T1329" t="str">
        <f>IF(connections!$A1329="","",IFERROR(INDEX(games!$B$2:$B$1200,MATCH(connections!$A1329,games!$A$2:$A$1200,0)),""))</f>
      </c>
      <c r="U1329">
        <f>IF(connections!$A1329="","",IFERROR(INDEX(games!$B$2:$B$1200,MATCH(connections!$B1329,games!$A$2:$A$1200,0)),""))</f>
      </c>
      <c r="V1329">
        <f>IF(OR($T1329="",$U1329=""),"",$U1329-$T1329)</f>
      </c>
    </row>
    <row r="1330">
      <c r="T1330" t="str">
        <f>IF(connections!$A1330="","",IFERROR(INDEX(games!$B$2:$B$1200,MATCH(connections!$A1330,games!$A$2:$A$1200,0)),""))</f>
      </c>
      <c r="U1330">
        <f>IF(connections!$A1330="","",IFERROR(INDEX(games!$B$2:$B$1200,MATCH(connections!$B1330,games!$A$2:$A$1200,0)),""))</f>
      </c>
      <c r="V1330">
        <f>IF(OR($T1330="",$U1330=""),"",$U1330-$T1330)</f>
      </c>
    </row>
    <row r="1331">
      <c r="T1331" t="str">
        <f>IF(connections!$A1331="","",IFERROR(INDEX(games!$B$2:$B$1200,MATCH(connections!$A1331,games!$A$2:$A$1200,0)),""))</f>
      </c>
      <c r="U1331">
        <f>IF(connections!$A1331="","",IFERROR(INDEX(games!$B$2:$B$1200,MATCH(connections!$B1331,games!$A$2:$A$1200,0)),""))</f>
      </c>
      <c r="V1331">
        <f>IF(OR($T1331="",$U1331=""),"",$U1331-$T1331)</f>
      </c>
    </row>
    <row r="1332">
      <c r="T1332" t="str">
        <f>IF(connections!$A1332="","",IFERROR(INDEX(games!$B$2:$B$1200,MATCH(connections!$A1332,games!$A$2:$A$1200,0)),""))</f>
      </c>
      <c r="U1332">
        <f>IF(connections!$A1332="","",IFERROR(INDEX(games!$B$2:$B$1200,MATCH(connections!$B1332,games!$A$2:$A$1200,0)),""))</f>
      </c>
      <c r="V1332">
        <f>IF(OR($T1332="",$U1332=""),"",$U1332-$T1332)</f>
      </c>
    </row>
    <row r="1333">
      <c r="T1333" t="str">
        <f>IF(connections!$A1333="","",IFERROR(INDEX(games!$B$2:$B$1200,MATCH(connections!$A1333,games!$A$2:$A$1200,0)),""))</f>
      </c>
      <c r="U1333">
        <f>IF(connections!$A1333="","",IFERROR(INDEX(games!$B$2:$B$1200,MATCH(connections!$B1333,games!$A$2:$A$1200,0)),""))</f>
      </c>
      <c r="V1333">
        <f>IF(OR($T1333="",$U1333=""),"",$U1333-$T1333)</f>
      </c>
    </row>
    <row r="1334">
      <c r="T1334" t="str">
        <f>IF(connections!$A1334="","",IFERROR(INDEX(games!$B$2:$B$1200,MATCH(connections!$A1334,games!$A$2:$A$1200,0)),""))</f>
      </c>
      <c r="U1334">
        <f>IF(connections!$A1334="","",IFERROR(INDEX(games!$B$2:$B$1200,MATCH(connections!$B1334,games!$A$2:$A$1200,0)),""))</f>
      </c>
      <c r="V1334">
        <f>IF(OR($T1334="",$U1334=""),"",$U1334-$T1334)</f>
      </c>
    </row>
    <row r="1335">
      <c r="T1335" t="str">
        <f>IF(connections!$A1335="","",IFERROR(INDEX(games!$B$2:$B$1200,MATCH(connections!$A1335,games!$A$2:$A$1200,0)),""))</f>
      </c>
      <c r="U1335">
        <f>IF(connections!$A1335="","",IFERROR(INDEX(games!$B$2:$B$1200,MATCH(connections!$B1335,games!$A$2:$A$1200,0)),""))</f>
      </c>
      <c r="V1335">
        <f>IF(OR($T1335="",$U1335=""),"",$U1335-$T1335)</f>
      </c>
    </row>
    <row r="1336">
      <c r="T1336" t="str">
        <f>IF(connections!$A1336="","",IFERROR(INDEX(games!$B$2:$B$1200,MATCH(connections!$A1336,games!$A$2:$A$1200,0)),""))</f>
      </c>
      <c r="U1336">
        <f>IF(connections!$A1336="","",IFERROR(INDEX(games!$B$2:$B$1200,MATCH(connections!$B1336,games!$A$2:$A$1200,0)),""))</f>
      </c>
      <c r="V1336">
        <f>IF(OR($T1336="",$U1336=""),"",$U1336-$T1336)</f>
      </c>
    </row>
    <row r="1337">
      <c r="T1337" t="str">
        <f>IF(connections!$A1337="","",IFERROR(INDEX(games!$B$2:$B$1200,MATCH(connections!$A1337,games!$A$2:$A$1200,0)),""))</f>
      </c>
      <c r="U1337">
        <f>IF(connections!$A1337="","",IFERROR(INDEX(games!$B$2:$B$1200,MATCH(connections!$B1337,games!$A$2:$A$1200,0)),""))</f>
      </c>
      <c r="V1337">
        <f>IF(OR($T1337="",$U1337=""),"",$U1337-$T1337)</f>
      </c>
    </row>
    <row r="1338">
      <c r="T1338" t="str">
        <f>IF(connections!$A1338="","",IFERROR(INDEX(games!$B$2:$B$1200,MATCH(connections!$A1338,games!$A$2:$A$1200,0)),""))</f>
      </c>
      <c r="U1338">
        <f>IF(connections!$A1338="","",IFERROR(INDEX(games!$B$2:$B$1200,MATCH(connections!$B1338,games!$A$2:$A$1200,0)),""))</f>
      </c>
      <c r="V1338">
        <f>IF(OR($T1338="",$U1338=""),"",$U1338-$T1338)</f>
      </c>
    </row>
    <row r="1339">
      <c r="T1339" t="str">
        <f>IF(connections!$A1339="","",IFERROR(INDEX(games!$B$2:$B$1200,MATCH(connections!$A1339,games!$A$2:$A$1200,0)),""))</f>
      </c>
      <c r="U1339">
        <f>IF(connections!$A1339="","",IFERROR(INDEX(games!$B$2:$B$1200,MATCH(connections!$B1339,games!$A$2:$A$1200,0)),""))</f>
      </c>
      <c r="V1339">
        <f>IF(OR($T1339="",$U1339=""),"",$U1339-$T1339)</f>
      </c>
    </row>
    <row r="1340">
      <c r="T1340" t="str">
        <f>IF(connections!$A1340="","",IFERROR(INDEX(games!$B$2:$B$1200,MATCH(connections!$A1340,games!$A$2:$A$1200,0)),""))</f>
      </c>
      <c r="U1340">
        <f>IF(connections!$A1340="","",IFERROR(INDEX(games!$B$2:$B$1200,MATCH(connections!$B1340,games!$A$2:$A$1200,0)),""))</f>
      </c>
      <c r="V1340">
        <f>IF(OR($T1340="",$U1340=""),"",$U1340-$T1340)</f>
      </c>
    </row>
    <row r="1341">
      <c r="T1341" t="str">
        <f>IF(connections!$A1341="","",IFERROR(INDEX(games!$B$2:$B$1200,MATCH(connections!$A1341,games!$A$2:$A$1200,0)),""))</f>
      </c>
      <c r="U1341">
        <f>IF(connections!$A1341="","",IFERROR(INDEX(games!$B$2:$B$1200,MATCH(connections!$B1341,games!$A$2:$A$1200,0)),""))</f>
      </c>
      <c r="V1341">
        <f>IF(OR($T1341="",$U1341=""),"",$U1341-$T1341)</f>
      </c>
    </row>
    <row r="1342">
      <c r="T1342" t="str">
        <f>IF(connections!$A1342="","",IFERROR(INDEX(games!$B$2:$B$1200,MATCH(connections!$A1342,games!$A$2:$A$1200,0)),""))</f>
      </c>
      <c r="U1342">
        <f>IF(connections!$A1342="","",IFERROR(INDEX(games!$B$2:$B$1200,MATCH(connections!$B1342,games!$A$2:$A$1200,0)),""))</f>
      </c>
      <c r="V1342">
        <f>IF(OR($T1342="",$U1342=""),"",$U1342-$T1342)</f>
      </c>
    </row>
    <row r="1343">
      <c r="T1343" t="str">
        <f>IF(connections!$A1343="","",IFERROR(INDEX(games!$B$2:$B$1200,MATCH(connections!$A1343,games!$A$2:$A$1200,0)),""))</f>
      </c>
      <c r="U1343">
        <f>IF(connections!$A1343="","",IFERROR(INDEX(games!$B$2:$B$1200,MATCH(connections!$B1343,games!$A$2:$A$1200,0)),""))</f>
      </c>
      <c r="V1343">
        <f>IF(OR($T1343="",$U1343=""),"",$U1343-$T1343)</f>
      </c>
    </row>
    <row r="1344">
      <c r="T1344" t="str">
        <f>IF(connections!$A1344="","",IFERROR(INDEX(games!$B$2:$B$1200,MATCH(connections!$A1344,games!$A$2:$A$1200,0)),""))</f>
      </c>
      <c r="U1344">
        <f>IF(connections!$A1344="","",IFERROR(INDEX(games!$B$2:$B$1200,MATCH(connections!$B1344,games!$A$2:$A$1200,0)),""))</f>
      </c>
      <c r="V1344">
        <f>IF(OR($T1344="",$U1344=""),"",$U1344-$T1344)</f>
      </c>
    </row>
    <row r="1345">
      <c r="T1345" t="str">
        <f>IF(connections!$A1345="","",IFERROR(INDEX(games!$B$2:$B$1200,MATCH(connections!$A1345,games!$A$2:$A$1200,0)),""))</f>
      </c>
      <c r="U1345">
        <f>IF(connections!$A1345="","",IFERROR(INDEX(games!$B$2:$B$1200,MATCH(connections!$B1345,games!$A$2:$A$1200,0)),""))</f>
      </c>
      <c r="V1345">
        <f>IF(OR($T1345="",$U1345=""),"",$U1345-$T1345)</f>
      </c>
    </row>
    <row r="1346">
      <c r="T1346" t="str">
        <f>IF(connections!$A1346="","",IFERROR(INDEX(games!$B$2:$B$1200,MATCH(connections!$A1346,games!$A$2:$A$1200,0)),""))</f>
      </c>
      <c r="U1346">
        <f>IF(connections!$A1346="","",IFERROR(INDEX(games!$B$2:$B$1200,MATCH(connections!$B1346,games!$A$2:$A$1200,0)),""))</f>
      </c>
      <c r="V1346">
        <f>IF(OR($T1346="",$U1346=""),"",$U1346-$T1346)</f>
      </c>
    </row>
    <row r="1347">
      <c r="T1347" t="str">
        <f>IF(connections!$A1347="","",IFERROR(INDEX(games!$B$2:$B$1200,MATCH(connections!$A1347,games!$A$2:$A$1200,0)),""))</f>
      </c>
      <c r="U1347">
        <f>IF(connections!$A1347="","",IFERROR(INDEX(games!$B$2:$B$1200,MATCH(connections!$B1347,games!$A$2:$A$1200,0)),""))</f>
      </c>
      <c r="V1347">
        <f>IF(OR($T1347="",$U1347=""),"",$U1347-$T1347)</f>
      </c>
    </row>
    <row r="1348">
      <c r="T1348" t="str">
        <f>IF(connections!$A1348="","",IFERROR(INDEX(games!$B$2:$B$1200,MATCH(connections!$A1348,games!$A$2:$A$1200,0)),""))</f>
      </c>
      <c r="U1348">
        <f>IF(connections!$A1348="","",IFERROR(INDEX(games!$B$2:$B$1200,MATCH(connections!$B1348,games!$A$2:$A$1200,0)),""))</f>
      </c>
      <c r="V1348">
        <f>IF(OR($T1348="",$U1348=""),"",$U1348-$T1348)</f>
      </c>
    </row>
    <row r="1349">
      <c r="T1349" t="str">
        <f>IF(connections!$A1349="","",IFERROR(INDEX(games!$B$2:$B$1200,MATCH(connections!$A1349,games!$A$2:$A$1200,0)),""))</f>
      </c>
      <c r="U1349">
        <f>IF(connections!$A1349="","",IFERROR(INDEX(games!$B$2:$B$1200,MATCH(connections!$B1349,games!$A$2:$A$1200,0)),""))</f>
      </c>
      <c r="V1349">
        <f>IF(OR($T1349="",$U1349=""),"",$U1349-$T1349)</f>
      </c>
    </row>
    <row r="1350">
      <c r="T1350" t="str">
        <f>IF(connections!$A1350="","",IFERROR(INDEX(games!$B$2:$B$1200,MATCH(connections!$A1350,games!$A$2:$A$1200,0)),""))</f>
      </c>
      <c r="U1350">
        <f>IF(connections!$A1350="","",IFERROR(INDEX(games!$B$2:$B$1200,MATCH(connections!$B1350,games!$A$2:$A$1200,0)),""))</f>
      </c>
      <c r="V1350">
        <f>IF(OR($T1350="",$U1350=""),"",$U1350-$T1350)</f>
      </c>
    </row>
    <row r="1351">
      <c r="T1351" t="str">
        <f>IF(connections!$A1351="","",IFERROR(INDEX(games!$B$2:$B$1200,MATCH(connections!$A1351,games!$A$2:$A$1200,0)),""))</f>
      </c>
      <c r="U1351">
        <f>IF(connections!$A1351="","",IFERROR(INDEX(games!$B$2:$B$1200,MATCH(connections!$B1351,games!$A$2:$A$1200,0)),""))</f>
      </c>
      <c r="V1351">
        <f>IF(OR($T1351="",$U1351=""),"",$U1351-$T1351)</f>
      </c>
    </row>
    <row r="1352">
      <c r="T1352" t="str">
        <f>IF(connections!$A1352="","",IFERROR(INDEX(games!$B$2:$B$1200,MATCH(connections!$A1352,games!$A$2:$A$1200,0)),""))</f>
      </c>
      <c r="U1352">
        <f>IF(connections!$A1352="","",IFERROR(INDEX(games!$B$2:$B$1200,MATCH(connections!$B1352,games!$A$2:$A$1200,0)),""))</f>
      </c>
      <c r="V1352">
        <f>IF(OR($T1352="",$U1352=""),"",$U1352-$T1352)</f>
      </c>
    </row>
    <row r="1353">
      <c r="T1353" t="str">
        <f>IF(connections!$A1353="","",IFERROR(INDEX(games!$B$2:$B$1200,MATCH(connections!$A1353,games!$A$2:$A$1200,0)),""))</f>
      </c>
      <c r="U1353">
        <f>IF(connections!$A1353="","",IFERROR(INDEX(games!$B$2:$B$1200,MATCH(connections!$B1353,games!$A$2:$A$1200,0)),""))</f>
      </c>
      <c r="V1353">
        <f>IF(OR($T1353="",$U1353=""),"",$U1353-$T1353)</f>
      </c>
    </row>
    <row r="1354">
      <c r="T1354" t="str">
        <f>IF(connections!$A1354="","",IFERROR(INDEX(games!$B$2:$B$1200,MATCH(connections!$A1354,games!$A$2:$A$1200,0)),""))</f>
      </c>
      <c r="U1354">
        <f>IF(connections!$A1354="","",IFERROR(INDEX(games!$B$2:$B$1200,MATCH(connections!$B1354,games!$A$2:$A$1200,0)),""))</f>
      </c>
      <c r="V1354">
        <f>IF(OR($T1354="",$U1354=""),"",$U1354-$T1354)</f>
      </c>
    </row>
    <row r="1355">
      <c r="T1355" t="str">
        <f>IF(connections!$A1355="","",IFERROR(INDEX(games!$B$2:$B$1200,MATCH(connections!$A1355,games!$A$2:$A$1200,0)),""))</f>
      </c>
      <c r="U1355">
        <f>IF(connections!$A1355="","",IFERROR(INDEX(games!$B$2:$B$1200,MATCH(connections!$B1355,games!$A$2:$A$1200,0)),""))</f>
      </c>
      <c r="V1355">
        <f>IF(OR($T1355="",$U1355=""),"",$U1355-$T1355)</f>
      </c>
    </row>
    <row r="1356">
      <c r="T1356" t="str">
        <f>IF(connections!$A1356="","",IFERROR(INDEX(games!$B$2:$B$1200,MATCH(connections!$A1356,games!$A$2:$A$1200,0)),""))</f>
      </c>
      <c r="U1356">
        <f>IF(connections!$A1356="","",IFERROR(INDEX(games!$B$2:$B$1200,MATCH(connections!$B1356,games!$A$2:$A$1200,0)),""))</f>
      </c>
      <c r="V1356">
        <f>IF(OR($T1356="",$U1356=""),"",$U1356-$T1356)</f>
      </c>
    </row>
    <row r="1357">
      <c r="T1357" t="str">
        <f>IF(connections!$A1357="","",IFERROR(INDEX(games!$B$2:$B$1200,MATCH(connections!$A1357,games!$A$2:$A$1200,0)),""))</f>
      </c>
      <c r="U1357">
        <f>IF(connections!$A1357="","",IFERROR(INDEX(games!$B$2:$B$1200,MATCH(connections!$B1357,games!$A$2:$A$1200,0)),""))</f>
      </c>
      <c r="V1357">
        <f>IF(OR($T1357="",$U1357=""),"",$U1357-$T1357)</f>
      </c>
    </row>
    <row r="1358">
      <c r="T1358" t="str">
        <f>IF(connections!$A1358="","",IFERROR(INDEX(games!$B$2:$B$1200,MATCH(connections!$A1358,games!$A$2:$A$1200,0)),""))</f>
      </c>
      <c r="U1358">
        <f>IF(connections!$A1358="","",IFERROR(INDEX(games!$B$2:$B$1200,MATCH(connections!$B1358,games!$A$2:$A$1200,0)),""))</f>
      </c>
      <c r="V1358">
        <f>IF(OR($T1358="",$U1358=""),"",$U1358-$T1358)</f>
      </c>
    </row>
    <row r="1359">
      <c r="T1359" t="str">
        <f>IF(connections!$A1359="","",IFERROR(INDEX(games!$B$2:$B$1200,MATCH(connections!$A1359,games!$A$2:$A$1200,0)),""))</f>
      </c>
      <c r="U1359">
        <f>IF(connections!$A1359="","",IFERROR(INDEX(games!$B$2:$B$1200,MATCH(connections!$B1359,games!$A$2:$A$1200,0)),""))</f>
      </c>
      <c r="V1359">
        <f>IF(OR($T1359="",$U1359=""),"",$U1359-$T1359)</f>
      </c>
    </row>
    <row r="1360">
      <c r="T1360" t="str">
        <f>IF(connections!$A1360="","",IFERROR(INDEX(games!$B$2:$B$1200,MATCH(connections!$A1360,games!$A$2:$A$1200,0)),""))</f>
      </c>
      <c r="U1360">
        <f>IF(connections!$A1360="","",IFERROR(INDEX(games!$B$2:$B$1200,MATCH(connections!$B1360,games!$A$2:$A$1200,0)),""))</f>
      </c>
      <c r="V1360">
        <f>IF(OR($T1360="",$U1360=""),"",$U1360-$T1360)</f>
      </c>
    </row>
    <row r="1361">
      <c r="T1361" t="str">
        <f>IF(connections!$A1361="","",IFERROR(INDEX(games!$B$2:$B$1200,MATCH(connections!$A1361,games!$A$2:$A$1200,0)),""))</f>
      </c>
      <c r="U1361">
        <f>IF(connections!$A1361="","",IFERROR(INDEX(games!$B$2:$B$1200,MATCH(connections!$B1361,games!$A$2:$A$1200,0)),""))</f>
      </c>
      <c r="V1361">
        <f>IF(OR($T1361="",$U1361=""),"",$U1361-$T1361)</f>
      </c>
    </row>
    <row r="1362">
      <c r="T1362" t="str">
        <f>IF(connections!$A1362="","",IFERROR(INDEX(games!$B$2:$B$1200,MATCH(connections!$A1362,games!$A$2:$A$1200,0)),""))</f>
      </c>
      <c r="U1362">
        <f>IF(connections!$A1362="","",IFERROR(INDEX(games!$B$2:$B$1200,MATCH(connections!$B1362,games!$A$2:$A$1200,0)),""))</f>
      </c>
      <c r="V1362">
        <f>IF(OR($T1362="",$U1362=""),"",$U1362-$T1362)</f>
      </c>
    </row>
    <row r="1363">
      <c r="T1363" t="str">
        <f>IF(connections!$A1363="","",IFERROR(INDEX(games!$B$2:$B$1200,MATCH(connections!$A1363,games!$A$2:$A$1200,0)),""))</f>
      </c>
      <c r="U1363">
        <f>IF(connections!$A1363="","",IFERROR(INDEX(games!$B$2:$B$1200,MATCH(connections!$B1363,games!$A$2:$A$1200,0)),""))</f>
      </c>
      <c r="V1363">
        <f>IF(OR($T1363="",$U1363=""),"",$U1363-$T1363)</f>
      </c>
    </row>
    <row r="1364">
      <c r="T1364" t="str">
        <f>IF(connections!$A1364="","",IFERROR(INDEX(games!$B$2:$B$1200,MATCH(connections!$A1364,games!$A$2:$A$1200,0)),""))</f>
      </c>
      <c r="U1364">
        <f>IF(connections!$A1364="","",IFERROR(INDEX(games!$B$2:$B$1200,MATCH(connections!$B1364,games!$A$2:$A$1200,0)),""))</f>
      </c>
      <c r="V1364">
        <f>IF(OR($T1364="",$U1364=""),"",$U1364-$T1364)</f>
      </c>
    </row>
    <row r="1365">
      <c r="T1365" t="str">
        <f>IF(connections!$A1365="","",IFERROR(INDEX(games!$B$2:$B$1200,MATCH(connections!$A1365,games!$A$2:$A$1200,0)),""))</f>
      </c>
      <c r="U1365">
        <f>IF(connections!$A1365="","",IFERROR(INDEX(games!$B$2:$B$1200,MATCH(connections!$B1365,games!$A$2:$A$1200,0)),""))</f>
      </c>
      <c r="V1365">
        <f>IF(OR($T1365="",$U1365=""),"",$U1365-$T1365)</f>
      </c>
    </row>
    <row r="1366">
      <c r="T1366" t="str">
        <f>IF(connections!$A1366="","",IFERROR(INDEX(games!$B$2:$B$1200,MATCH(connections!$A1366,games!$A$2:$A$1200,0)),""))</f>
      </c>
      <c r="U1366">
        <f>IF(connections!$A1366="","",IFERROR(INDEX(games!$B$2:$B$1200,MATCH(connections!$B1366,games!$A$2:$A$1200,0)),""))</f>
      </c>
      <c r="V1366">
        <f>IF(OR($T1366="",$U1366=""),"",$U1366-$T1366)</f>
      </c>
    </row>
    <row r="1367">
      <c r="T1367" t="str">
        <f>IF(connections!$A1367="","",IFERROR(INDEX(games!$B$2:$B$1200,MATCH(connections!$A1367,games!$A$2:$A$1200,0)),""))</f>
      </c>
      <c r="U1367">
        <f>IF(connections!$A1367="","",IFERROR(INDEX(games!$B$2:$B$1200,MATCH(connections!$B1367,games!$A$2:$A$1200,0)),""))</f>
      </c>
      <c r="V1367">
        <f>IF(OR($T1367="",$U1367=""),"",$U1367-$T1367)</f>
      </c>
    </row>
    <row r="1368">
      <c r="T1368" t="str">
        <f>IF(connections!$A1368="","",IFERROR(INDEX(games!$B$2:$B$1200,MATCH(connections!$A1368,games!$A$2:$A$1200,0)),""))</f>
      </c>
      <c r="U1368">
        <f>IF(connections!$A1368="","",IFERROR(INDEX(games!$B$2:$B$1200,MATCH(connections!$B1368,games!$A$2:$A$1200,0)),""))</f>
      </c>
      <c r="V1368">
        <f>IF(OR($T1368="",$U1368=""),"",$U1368-$T1368)</f>
      </c>
    </row>
    <row r="1369">
      <c r="T1369" t="str">
        <f>IF(connections!$A1369="","",IFERROR(INDEX(games!$B$2:$B$1200,MATCH(connections!$A1369,games!$A$2:$A$1200,0)),""))</f>
      </c>
      <c r="U1369">
        <f>IF(connections!$A1369="","",IFERROR(INDEX(games!$B$2:$B$1200,MATCH(connections!$B1369,games!$A$2:$A$1200,0)),""))</f>
      </c>
      <c r="V1369">
        <f>IF(OR($T1369="",$U1369=""),"",$U1369-$T1369)</f>
      </c>
    </row>
    <row r="1370">
      <c r="T1370" t="str">
        <f>IF(connections!$A1370="","",IFERROR(INDEX(games!$B$2:$B$1200,MATCH(connections!$A1370,games!$A$2:$A$1200,0)),""))</f>
      </c>
      <c r="U1370">
        <f>IF(connections!$A1370="","",IFERROR(INDEX(games!$B$2:$B$1200,MATCH(connections!$B1370,games!$A$2:$A$1200,0)),""))</f>
      </c>
      <c r="V1370">
        <f>IF(OR($T1370="",$U1370=""),"",$U1370-$T1370)</f>
      </c>
    </row>
    <row r="1371">
      <c r="T1371" t="str">
        <f>IF(connections!$A1371="","",IFERROR(INDEX(games!$B$2:$B$1200,MATCH(connections!$A1371,games!$A$2:$A$1200,0)),""))</f>
      </c>
      <c r="U1371">
        <f>IF(connections!$A1371="","",IFERROR(INDEX(games!$B$2:$B$1200,MATCH(connections!$B1371,games!$A$2:$A$1200,0)),""))</f>
      </c>
      <c r="V1371">
        <f>IF(OR($T1371="",$U1371=""),"",$U1371-$T1371)</f>
      </c>
    </row>
    <row r="1372">
      <c r="T1372" t="str">
        <f>IF(connections!$A1372="","",IFERROR(INDEX(games!$B$2:$B$1200,MATCH(connections!$A1372,games!$A$2:$A$1200,0)),""))</f>
      </c>
      <c r="U1372">
        <f>IF(connections!$A1372="","",IFERROR(INDEX(games!$B$2:$B$1200,MATCH(connections!$B1372,games!$A$2:$A$1200,0)),""))</f>
      </c>
      <c r="V1372">
        <f>IF(OR($T1372="",$U1372=""),"",$U1372-$T1372)</f>
      </c>
    </row>
    <row r="1373">
      <c r="T1373" t="str">
        <f>IF(connections!$A1373="","",IFERROR(INDEX(games!$B$2:$B$1200,MATCH(connections!$A1373,games!$A$2:$A$1200,0)),""))</f>
      </c>
      <c r="U1373">
        <f>IF(connections!$A1373="","",IFERROR(INDEX(games!$B$2:$B$1200,MATCH(connections!$B1373,games!$A$2:$A$1200,0)),""))</f>
      </c>
      <c r="V1373">
        <f>IF(OR($T1373="",$U1373=""),"",$U1373-$T1373)</f>
      </c>
    </row>
    <row r="1374">
      <c r="T1374" t="str">
        <f>IF(connections!$A1374="","",IFERROR(INDEX(games!$B$2:$B$1200,MATCH(connections!$A1374,games!$A$2:$A$1200,0)),""))</f>
      </c>
      <c r="U1374">
        <f>IF(connections!$A1374="","",IFERROR(INDEX(games!$B$2:$B$1200,MATCH(connections!$B1374,games!$A$2:$A$1200,0)),""))</f>
      </c>
      <c r="V1374">
        <f>IF(OR($T1374="",$U1374=""),"",$U1374-$T1374)</f>
      </c>
    </row>
    <row r="1375">
      <c r="T1375" t="str">
        <f>IF(connections!$A1375="","",IFERROR(INDEX(games!$B$2:$B$1200,MATCH(connections!$A1375,games!$A$2:$A$1200,0)),""))</f>
      </c>
      <c r="U1375">
        <f>IF(connections!$A1375="","",IFERROR(INDEX(games!$B$2:$B$1200,MATCH(connections!$B1375,games!$A$2:$A$1200,0)),""))</f>
      </c>
      <c r="V1375">
        <f>IF(OR($T1375="",$U1375=""),"",$U1375-$T1375)</f>
      </c>
    </row>
    <row r="1376">
      <c r="T1376" t="str">
        <f>IF(connections!$A1376="","",IFERROR(INDEX(games!$B$2:$B$1200,MATCH(connections!$A1376,games!$A$2:$A$1200,0)),""))</f>
      </c>
      <c r="U1376">
        <f>IF(connections!$A1376="","",IFERROR(INDEX(games!$B$2:$B$1200,MATCH(connections!$B1376,games!$A$2:$A$1200,0)),""))</f>
      </c>
      <c r="V1376">
        <f>IF(OR($T1376="",$U1376=""),"",$U1376-$T1376)</f>
      </c>
    </row>
    <row r="1377">
      <c r="T1377" t="str">
        <f>IF(connections!$A1377="","",IFERROR(INDEX(games!$B$2:$B$1200,MATCH(connections!$A1377,games!$A$2:$A$1200,0)),""))</f>
      </c>
      <c r="U1377">
        <f>IF(connections!$A1377="","",IFERROR(INDEX(games!$B$2:$B$1200,MATCH(connections!$B1377,games!$A$2:$A$1200,0)),""))</f>
      </c>
      <c r="V1377">
        <f>IF(OR($T1377="",$U1377=""),"",$U1377-$T1377)</f>
      </c>
    </row>
    <row r="1378">
      <c r="T1378" t="str">
        <f>IF(connections!$A1378="","",IFERROR(INDEX(games!$B$2:$B$1200,MATCH(connections!$A1378,games!$A$2:$A$1200,0)),""))</f>
      </c>
      <c r="U1378">
        <f>IF(connections!$A1378="","",IFERROR(INDEX(games!$B$2:$B$1200,MATCH(connections!$B1378,games!$A$2:$A$1200,0)),""))</f>
      </c>
      <c r="V1378">
        <f>IF(OR($T1378="",$U1378=""),"",$U1378-$T1378)</f>
      </c>
    </row>
    <row r="1379">
      <c r="T1379" t="str">
        <f>IF(connections!$A1379="","",IFERROR(INDEX(games!$B$2:$B$1200,MATCH(connections!$A1379,games!$A$2:$A$1200,0)),""))</f>
      </c>
      <c r="U1379">
        <f>IF(connections!$A1379="","",IFERROR(INDEX(games!$B$2:$B$1200,MATCH(connections!$B1379,games!$A$2:$A$1200,0)),""))</f>
      </c>
      <c r="V1379">
        <f>IF(OR($T1379="",$U1379=""),"",$U1379-$T1379)</f>
      </c>
    </row>
    <row r="1380">
      <c r="T1380" t="str">
        <f>IF(connections!$A1380="","",IFERROR(INDEX(games!$B$2:$B$1200,MATCH(connections!$A1380,games!$A$2:$A$1200,0)),""))</f>
      </c>
      <c r="U1380">
        <f>IF(connections!$A1380="","",IFERROR(INDEX(games!$B$2:$B$1200,MATCH(connections!$B1380,games!$A$2:$A$1200,0)),""))</f>
      </c>
      <c r="V1380">
        <f>IF(OR($T1380="",$U1380=""),"",$U1380-$T1380)</f>
      </c>
    </row>
    <row r="1381">
      <c r="T1381" t="str">
        <f>IF(connections!$A1381="","",IFERROR(INDEX(games!$B$2:$B$1200,MATCH(connections!$A1381,games!$A$2:$A$1200,0)),""))</f>
      </c>
      <c r="U1381">
        <f>IF(connections!$A1381="","",IFERROR(INDEX(games!$B$2:$B$1200,MATCH(connections!$B1381,games!$A$2:$A$1200,0)),""))</f>
      </c>
      <c r="V1381">
        <f>IF(OR($T1381="",$U1381=""),"",$U1381-$T1381)</f>
      </c>
    </row>
    <row r="1382">
      <c r="T1382" t="str">
        <f>IF(connections!$A1382="","",IFERROR(INDEX(games!$B$2:$B$1200,MATCH(connections!$A1382,games!$A$2:$A$1200,0)),""))</f>
      </c>
      <c r="U1382">
        <f>IF(connections!$A1382="","",IFERROR(INDEX(games!$B$2:$B$1200,MATCH(connections!$B1382,games!$A$2:$A$1200,0)),""))</f>
      </c>
      <c r="V1382">
        <f>IF(OR($T1382="",$U1382=""),"",$U1382-$T1382)</f>
      </c>
    </row>
    <row r="1383">
      <c r="T1383" t="str">
        <f>IF(connections!$A1383="","",IFERROR(INDEX(games!$B$2:$B$1200,MATCH(connections!$A1383,games!$A$2:$A$1200,0)),""))</f>
      </c>
      <c r="U1383">
        <f>IF(connections!$A1383="","",IFERROR(INDEX(games!$B$2:$B$1200,MATCH(connections!$B1383,games!$A$2:$A$1200,0)),""))</f>
      </c>
      <c r="V1383">
        <f>IF(OR($T1383="",$U1383=""),"",$U1383-$T1383)</f>
      </c>
    </row>
    <row r="1384">
      <c r="T1384" t="str">
        <f>IF(connections!$A1384="","",IFERROR(INDEX(games!$B$2:$B$1200,MATCH(connections!$A1384,games!$A$2:$A$1200,0)),""))</f>
      </c>
      <c r="U1384">
        <f>IF(connections!$A1384="","",IFERROR(INDEX(games!$B$2:$B$1200,MATCH(connections!$B1384,games!$A$2:$A$1200,0)),""))</f>
      </c>
      <c r="V1384">
        <f>IF(OR($T1384="",$U1384=""),"",$U1384-$T1384)</f>
      </c>
    </row>
    <row r="1385">
      <c r="T1385" t="str">
        <f>IF(connections!$A1385="","",IFERROR(INDEX(games!$B$2:$B$1200,MATCH(connections!$A1385,games!$A$2:$A$1200,0)),""))</f>
      </c>
      <c r="U1385">
        <f>IF(connections!$A1385="","",IFERROR(INDEX(games!$B$2:$B$1200,MATCH(connections!$B1385,games!$A$2:$A$1200,0)),""))</f>
      </c>
      <c r="V1385">
        <f>IF(OR($T1385="",$U1385=""),"",$U1385-$T1385)</f>
      </c>
    </row>
    <row r="1386">
      <c r="T1386" t="str">
        <f>IF(connections!$A1386="","",IFERROR(INDEX(games!$B$2:$B$1200,MATCH(connections!$A1386,games!$A$2:$A$1200,0)),""))</f>
      </c>
      <c r="U1386">
        <f>IF(connections!$A1386="","",IFERROR(INDEX(games!$B$2:$B$1200,MATCH(connections!$B1386,games!$A$2:$A$1200,0)),""))</f>
      </c>
      <c r="V1386">
        <f>IF(OR($T1386="",$U1386=""),"",$U1386-$T1386)</f>
      </c>
    </row>
    <row r="1387">
      <c r="T1387" t="str">
        <f>IF(connections!$A1387="","",IFERROR(INDEX(games!$B$2:$B$1200,MATCH(connections!$A1387,games!$A$2:$A$1200,0)),""))</f>
      </c>
      <c r="U1387">
        <f>IF(connections!$A1387="","",IFERROR(INDEX(games!$B$2:$B$1200,MATCH(connections!$B1387,games!$A$2:$A$1200,0)),""))</f>
      </c>
      <c r="V1387">
        <f>IF(OR($T1387="",$U1387=""),"",$U1387-$T1387)</f>
      </c>
    </row>
    <row r="1388">
      <c r="T1388" t="str">
        <f>IF(connections!$A1388="","",IFERROR(INDEX(games!$B$2:$B$1200,MATCH(connections!$A1388,games!$A$2:$A$1200,0)),""))</f>
      </c>
      <c r="U1388">
        <f>IF(connections!$A1388="","",IFERROR(INDEX(games!$B$2:$B$1200,MATCH(connections!$B1388,games!$A$2:$A$1200,0)),""))</f>
      </c>
      <c r="V1388">
        <f>IF(OR($T1388="",$U1388=""),"",$U1388-$T1388)</f>
      </c>
    </row>
    <row r="1389">
      <c r="T1389" t="str">
        <f>IF(connections!$A1389="","",IFERROR(INDEX(games!$B$2:$B$1200,MATCH(connections!$A1389,games!$A$2:$A$1200,0)),""))</f>
      </c>
      <c r="U1389">
        <f>IF(connections!$A1389="","",IFERROR(INDEX(games!$B$2:$B$1200,MATCH(connections!$B1389,games!$A$2:$A$1200,0)),""))</f>
      </c>
      <c r="V1389">
        <f>IF(OR($T1389="",$U1389=""),"",$U1389-$T1389)</f>
      </c>
    </row>
    <row r="1390">
      <c r="T1390" t="str">
        <f>IF(connections!$A1390="","",IFERROR(INDEX(games!$B$2:$B$1200,MATCH(connections!$A1390,games!$A$2:$A$1200,0)),""))</f>
      </c>
      <c r="U1390">
        <f>IF(connections!$A1390="","",IFERROR(INDEX(games!$B$2:$B$1200,MATCH(connections!$B1390,games!$A$2:$A$1200,0)),""))</f>
      </c>
      <c r="V1390">
        <f>IF(OR($T1390="",$U1390=""),"",$U1390-$T1390)</f>
      </c>
    </row>
    <row r="1391">
      <c r="T1391" t="str">
        <f>IF(connections!$A1391="","",IFERROR(INDEX(games!$B$2:$B$1200,MATCH(connections!$A1391,games!$A$2:$A$1200,0)),""))</f>
      </c>
      <c r="U1391">
        <f>IF(connections!$A1391="","",IFERROR(INDEX(games!$B$2:$B$1200,MATCH(connections!$B1391,games!$A$2:$A$1200,0)),""))</f>
      </c>
      <c r="V1391">
        <f>IF(OR($T1391="",$U1391=""),"",$U1391-$T1391)</f>
      </c>
    </row>
    <row r="1392">
      <c r="T1392" t="str">
        <f>IF(connections!$A1392="","",IFERROR(INDEX(games!$B$2:$B$1200,MATCH(connections!$A1392,games!$A$2:$A$1200,0)),""))</f>
      </c>
      <c r="U1392">
        <f>IF(connections!$A1392="","",IFERROR(INDEX(games!$B$2:$B$1200,MATCH(connections!$B1392,games!$A$2:$A$1200,0)),""))</f>
      </c>
      <c r="V1392">
        <f>IF(OR($T1392="",$U1392=""),"",$U1392-$T1392)</f>
      </c>
    </row>
    <row r="1393">
      <c r="T1393" t="str">
        <f>IF(connections!$A1393="","",IFERROR(INDEX(games!$B$2:$B$1200,MATCH(connections!$A1393,games!$A$2:$A$1200,0)),""))</f>
      </c>
      <c r="U1393">
        <f>IF(connections!$A1393="","",IFERROR(INDEX(games!$B$2:$B$1200,MATCH(connections!$B1393,games!$A$2:$A$1200,0)),""))</f>
      </c>
      <c r="V1393">
        <f>IF(OR($T1393="",$U1393=""),"",$U1393-$T1393)</f>
      </c>
    </row>
    <row r="1394">
      <c r="T1394" t="str">
        <f>IF(connections!$A1394="","",IFERROR(INDEX(games!$B$2:$B$1200,MATCH(connections!$A1394,games!$A$2:$A$1200,0)),""))</f>
      </c>
      <c r="U1394">
        <f>IF(connections!$A1394="","",IFERROR(INDEX(games!$B$2:$B$1200,MATCH(connections!$B1394,games!$A$2:$A$1200,0)),""))</f>
      </c>
      <c r="V1394">
        <f>IF(OR($T1394="",$U1394=""),"",$U1394-$T1394)</f>
      </c>
    </row>
    <row r="1395">
      <c r="T1395" t="str">
        <f>IF(connections!$A1395="","",IFERROR(INDEX(games!$B$2:$B$1200,MATCH(connections!$A1395,games!$A$2:$A$1200,0)),""))</f>
      </c>
      <c r="U1395">
        <f>IF(connections!$A1395="","",IFERROR(INDEX(games!$B$2:$B$1200,MATCH(connections!$B1395,games!$A$2:$A$1200,0)),""))</f>
      </c>
      <c r="V1395">
        <f>IF(OR($T1395="",$U1395=""),"",$U1395-$T1395)</f>
      </c>
    </row>
    <row r="1396">
      <c r="T1396" t="str">
        <f>IF(connections!$A1396="","",IFERROR(INDEX(games!$B$2:$B$1200,MATCH(connections!$A1396,games!$A$2:$A$1200,0)),""))</f>
      </c>
      <c r="U1396">
        <f>IF(connections!$A1396="","",IFERROR(INDEX(games!$B$2:$B$1200,MATCH(connections!$B1396,games!$A$2:$A$1200,0)),""))</f>
      </c>
      <c r="V1396">
        <f>IF(OR($T1396="",$U1396=""),"",$U1396-$T1396)</f>
      </c>
    </row>
    <row r="1397">
      <c r="T1397" t="str">
        <f>IF(connections!$A1397="","",IFERROR(INDEX(games!$B$2:$B$1200,MATCH(connections!$A1397,games!$A$2:$A$1200,0)),""))</f>
      </c>
      <c r="U1397">
        <f>IF(connections!$A1397="","",IFERROR(INDEX(games!$B$2:$B$1200,MATCH(connections!$B1397,games!$A$2:$A$1200,0)),""))</f>
      </c>
      <c r="V1397">
        <f>IF(OR($T1397="",$U1397=""),"",$U1397-$T1397)</f>
      </c>
    </row>
    <row r="1398">
      <c r="T1398" t="str">
        <f>IF(connections!$A1398="","",IFERROR(INDEX(games!$B$2:$B$1200,MATCH(connections!$A1398,games!$A$2:$A$1200,0)),""))</f>
      </c>
      <c r="U1398">
        <f>IF(connections!$A1398="","",IFERROR(INDEX(games!$B$2:$B$1200,MATCH(connections!$B1398,games!$A$2:$A$1200,0)),""))</f>
      </c>
      <c r="V1398">
        <f>IF(OR($T1398="",$U1398=""),"",$U1398-$T1398)</f>
      </c>
    </row>
    <row r="1399">
      <c r="T1399" t="str">
        <f>IF(connections!$A1399="","",IFERROR(INDEX(games!$B$2:$B$1200,MATCH(connections!$A1399,games!$A$2:$A$1200,0)),""))</f>
      </c>
      <c r="U1399">
        <f>IF(connections!$A1399="","",IFERROR(INDEX(games!$B$2:$B$1200,MATCH(connections!$B1399,games!$A$2:$A$1200,0)),""))</f>
      </c>
      <c r="V1399">
        <f>IF(OR($T1399="",$U1399=""),"",$U1399-$T1399)</f>
      </c>
    </row>
    <row r="1400">
      <c r="T1400" t="str">
        <f>IF(connections!$A1400="","",IFERROR(INDEX(games!$B$2:$B$1200,MATCH(connections!$A1400,games!$A$2:$A$1200,0)),""))</f>
      </c>
      <c r="U1400">
        <f>IF(connections!$A1400="","",IFERROR(INDEX(games!$B$2:$B$1200,MATCH(connections!$B1400,games!$A$2:$A$1200,0)),""))</f>
      </c>
      <c r="V1400">
        <f>IF(OR($T1400="",$U1400=""),"",$U1400-$T1400)</f>
      </c>
    </row>
    <row r="1401">
      <c r="T1401" t="str">
        <f>IF(connections!$A1401="","",IFERROR(INDEX(games!$B$2:$B$1200,MATCH(connections!$A1401,games!$A$2:$A$1200,0)),""))</f>
      </c>
      <c r="U1401">
        <f>IF(connections!$A1401="","",IFERROR(INDEX(games!$B$2:$B$1200,MATCH(connections!$B1401,games!$A$2:$A$1200,0)),""))</f>
      </c>
      <c r="V1401">
        <f>IF(OR($T1401="",$U1401=""),"",$U1401-$T1401)</f>
      </c>
    </row>
    <row r="1402">
      <c r="T1402" t="str">
        <f>IF(connections!$A1402="","",IFERROR(INDEX(games!$B$2:$B$1200,MATCH(connections!$A1402,games!$A$2:$A$1200,0)),""))</f>
      </c>
      <c r="U1402">
        <f>IF(connections!$A1402="","",IFERROR(INDEX(games!$B$2:$B$1200,MATCH(connections!$B1402,games!$A$2:$A$1200,0)),""))</f>
      </c>
      <c r="V1402">
        <f>IF(OR($T1402="",$U1402=""),"",$U1402-$T1402)</f>
      </c>
    </row>
    <row r="1403">
      <c r="T1403" t="str">
        <f>IF(connections!$A1403="","",IFERROR(INDEX(games!$B$2:$B$1200,MATCH(connections!$A1403,games!$A$2:$A$1200,0)),""))</f>
      </c>
      <c r="U1403">
        <f>IF(connections!$A1403="","",IFERROR(INDEX(games!$B$2:$B$1200,MATCH(connections!$B1403,games!$A$2:$A$1200,0)),""))</f>
      </c>
      <c r="V1403">
        <f>IF(OR($T1403="",$U1403=""),"",$U1403-$T1403)</f>
      </c>
    </row>
    <row r="1404">
      <c r="T1404" t="str">
        <f>IF(connections!$A1404="","",IFERROR(INDEX(games!$B$2:$B$1200,MATCH(connections!$A1404,games!$A$2:$A$1200,0)),""))</f>
      </c>
      <c r="U1404">
        <f>IF(connections!$A1404="","",IFERROR(INDEX(games!$B$2:$B$1200,MATCH(connections!$B1404,games!$A$2:$A$1200,0)),""))</f>
      </c>
      <c r="V1404">
        <f>IF(OR($T1404="",$U1404=""),"",$U1404-$T1404)</f>
      </c>
    </row>
    <row r="1405">
      <c r="T1405" t="str">
        <f>IF(connections!$A1405="","",IFERROR(INDEX(games!$B$2:$B$1200,MATCH(connections!$A1405,games!$A$2:$A$1200,0)),""))</f>
      </c>
      <c r="U1405">
        <f>IF(connections!$A1405="","",IFERROR(INDEX(games!$B$2:$B$1200,MATCH(connections!$B1405,games!$A$2:$A$1200,0)),""))</f>
      </c>
      <c r="V1405">
        <f>IF(OR($T1405="",$U1405=""),"",$U1405-$T1405)</f>
      </c>
    </row>
    <row r="1406">
      <c r="T1406" t="str">
        <f>IF(connections!$A1406="","",IFERROR(INDEX(games!$B$2:$B$1200,MATCH(connections!$A1406,games!$A$2:$A$1200,0)),""))</f>
      </c>
      <c r="U1406">
        <f>IF(connections!$A1406="","",IFERROR(INDEX(games!$B$2:$B$1200,MATCH(connections!$B1406,games!$A$2:$A$1200,0)),""))</f>
      </c>
      <c r="V1406">
        <f>IF(OR($T1406="",$U1406=""),"",$U1406-$T1406)</f>
      </c>
    </row>
    <row r="1407">
      <c r="T1407" t="str">
        <f>IF(connections!$A1407="","",IFERROR(INDEX(games!$B$2:$B$1200,MATCH(connections!$A1407,games!$A$2:$A$1200,0)),""))</f>
      </c>
      <c r="U1407">
        <f>IF(connections!$A1407="","",IFERROR(INDEX(games!$B$2:$B$1200,MATCH(connections!$B1407,games!$A$2:$A$1200,0)),""))</f>
      </c>
      <c r="V1407">
        <f>IF(OR($T1407="",$U1407=""),"",$U1407-$T1407)</f>
      </c>
    </row>
    <row r="1408">
      <c r="T1408" t="str">
        <f>IF(connections!$A1408="","",IFERROR(INDEX(games!$B$2:$B$1200,MATCH(connections!$A1408,games!$A$2:$A$1200,0)),""))</f>
      </c>
      <c r="U1408">
        <f>IF(connections!$A1408="","",IFERROR(INDEX(games!$B$2:$B$1200,MATCH(connections!$B1408,games!$A$2:$A$1200,0)),""))</f>
      </c>
      <c r="V1408">
        <f>IF(OR($T1408="",$U1408=""),"",$U1408-$T1408)</f>
      </c>
    </row>
    <row r="1409">
      <c r="T1409" t="str">
        <f>IF(connections!$A1409="","",IFERROR(INDEX(games!$B$2:$B$1200,MATCH(connections!$A1409,games!$A$2:$A$1200,0)),""))</f>
      </c>
      <c r="U1409">
        <f>IF(connections!$A1409="","",IFERROR(INDEX(games!$B$2:$B$1200,MATCH(connections!$B1409,games!$A$2:$A$1200,0)),""))</f>
      </c>
      <c r="V1409">
        <f>IF(OR($T1409="",$U1409=""),"",$U1409-$T1409)</f>
      </c>
    </row>
    <row r="1410">
      <c r="T1410" t="str">
        <f>IF(connections!$A1410="","",IFERROR(INDEX(games!$B$2:$B$1200,MATCH(connections!$A1410,games!$A$2:$A$1200,0)),""))</f>
      </c>
      <c r="U1410">
        <f>IF(connections!$A1410="","",IFERROR(INDEX(games!$B$2:$B$1200,MATCH(connections!$B1410,games!$A$2:$A$1200,0)),""))</f>
      </c>
      <c r="V1410">
        <f>IF(OR($T1410="",$U1410=""),"",$U1410-$T1410)</f>
      </c>
    </row>
    <row r="1411">
      <c r="T1411" t="str">
        <f>IF(connections!$A1411="","",IFERROR(INDEX(games!$B$2:$B$1200,MATCH(connections!$A1411,games!$A$2:$A$1200,0)),""))</f>
      </c>
      <c r="U1411">
        <f>IF(connections!$A1411="","",IFERROR(INDEX(games!$B$2:$B$1200,MATCH(connections!$B1411,games!$A$2:$A$1200,0)),""))</f>
      </c>
      <c r="V1411">
        <f>IF(OR($T1411="",$U1411=""),"",$U1411-$T1411)</f>
      </c>
    </row>
    <row r="1412">
      <c r="T1412" t="str">
        <f>IF(connections!$A1412="","",IFERROR(INDEX(games!$B$2:$B$1200,MATCH(connections!$A1412,games!$A$2:$A$1200,0)),""))</f>
      </c>
      <c r="U1412">
        <f>IF(connections!$A1412="","",IFERROR(INDEX(games!$B$2:$B$1200,MATCH(connections!$B1412,games!$A$2:$A$1200,0)),""))</f>
      </c>
      <c r="V1412">
        <f>IF(OR($T1412="",$U1412=""),"",$U1412-$T1412)</f>
      </c>
    </row>
    <row r="1413">
      <c r="T1413" t="str">
        <f>IF(connections!$A1413="","",IFERROR(INDEX(games!$B$2:$B$1200,MATCH(connections!$A1413,games!$A$2:$A$1200,0)),""))</f>
      </c>
      <c r="U1413">
        <f>IF(connections!$A1413="","",IFERROR(INDEX(games!$B$2:$B$1200,MATCH(connections!$B1413,games!$A$2:$A$1200,0)),""))</f>
      </c>
      <c r="V1413">
        <f>IF(OR($T1413="",$U1413=""),"",$U1413-$T1413)</f>
      </c>
    </row>
    <row r="1414">
      <c r="T1414" t="str">
        <f>IF(connections!$A1414="","",IFERROR(INDEX(games!$B$2:$B$1200,MATCH(connections!$A1414,games!$A$2:$A$1200,0)),""))</f>
      </c>
      <c r="U1414">
        <f>IF(connections!$A1414="","",IFERROR(INDEX(games!$B$2:$B$1200,MATCH(connections!$B1414,games!$A$2:$A$1200,0)),""))</f>
      </c>
      <c r="V1414">
        <f>IF(OR($T1414="",$U1414=""),"",$U1414-$T1414)</f>
      </c>
    </row>
    <row r="1415">
      <c r="T1415" t="str">
        <f>IF(connections!$A1415="","",IFERROR(INDEX(games!$B$2:$B$1200,MATCH(connections!$A1415,games!$A$2:$A$1200,0)),""))</f>
      </c>
      <c r="U1415">
        <f>IF(connections!$A1415="","",IFERROR(INDEX(games!$B$2:$B$1200,MATCH(connections!$B1415,games!$A$2:$A$1200,0)),""))</f>
      </c>
      <c r="V1415">
        <f>IF(OR($T1415="",$U1415=""),"",$U1415-$T1415)</f>
      </c>
    </row>
    <row r="1416">
      <c r="T1416" t="str">
        <f>IF(connections!$A1416="","",IFERROR(INDEX(games!$B$2:$B$1200,MATCH(connections!$A1416,games!$A$2:$A$1200,0)),""))</f>
      </c>
      <c r="U1416">
        <f>IF(connections!$A1416="","",IFERROR(INDEX(games!$B$2:$B$1200,MATCH(connections!$B1416,games!$A$2:$A$1200,0)),""))</f>
      </c>
      <c r="V1416">
        <f>IF(OR($T1416="",$U1416=""),"",$U1416-$T1416)</f>
      </c>
    </row>
    <row r="1417">
      <c r="T1417" t="str">
        <f>IF(connections!$A1417="","",IFERROR(INDEX(games!$B$2:$B$1200,MATCH(connections!$A1417,games!$A$2:$A$1200,0)),""))</f>
      </c>
      <c r="U1417">
        <f>IF(connections!$A1417="","",IFERROR(INDEX(games!$B$2:$B$1200,MATCH(connections!$B1417,games!$A$2:$A$1200,0)),""))</f>
      </c>
      <c r="V1417">
        <f>IF(OR($T1417="",$U1417=""),"",$U1417-$T1417)</f>
      </c>
    </row>
    <row r="1418">
      <c r="T1418" t="str">
        <f>IF(connections!$A1418="","",IFERROR(INDEX(games!$B$2:$B$1200,MATCH(connections!$A1418,games!$A$2:$A$1200,0)),""))</f>
      </c>
      <c r="U1418">
        <f>IF(connections!$A1418="","",IFERROR(INDEX(games!$B$2:$B$1200,MATCH(connections!$B1418,games!$A$2:$A$1200,0)),""))</f>
      </c>
      <c r="V1418">
        <f>IF(OR($T1418="",$U1418=""),"",$U1418-$T1418)</f>
      </c>
    </row>
    <row r="1419">
      <c r="T1419" t="str">
        <f>IF(connections!$A1419="","",IFERROR(INDEX(games!$B$2:$B$1200,MATCH(connections!$A1419,games!$A$2:$A$1200,0)),""))</f>
      </c>
      <c r="U1419">
        <f>IF(connections!$A1419="","",IFERROR(INDEX(games!$B$2:$B$1200,MATCH(connections!$B1419,games!$A$2:$A$1200,0)),""))</f>
      </c>
      <c r="V1419">
        <f>IF(OR($T1419="",$U1419=""),"",$U1419-$T1419)</f>
      </c>
    </row>
    <row r="1420">
      <c r="T1420" t="str">
        <f>IF(connections!$A1420="","",IFERROR(INDEX(games!$B$2:$B$1200,MATCH(connections!$A1420,games!$A$2:$A$1200,0)),""))</f>
      </c>
      <c r="U1420">
        <f>IF(connections!$A1420="","",IFERROR(INDEX(games!$B$2:$B$1200,MATCH(connections!$B1420,games!$A$2:$A$1200,0)),""))</f>
      </c>
      <c r="V1420">
        <f>IF(OR($T1420="",$U1420=""),"",$U1420-$T1420)</f>
      </c>
    </row>
    <row r="1421">
      <c r="T1421" t="str">
        <f>IF(connections!$A1421="","",IFERROR(INDEX(games!$B$2:$B$1200,MATCH(connections!$A1421,games!$A$2:$A$1200,0)),""))</f>
      </c>
      <c r="U1421">
        <f>IF(connections!$A1421="","",IFERROR(INDEX(games!$B$2:$B$1200,MATCH(connections!$B1421,games!$A$2:$A$1200,0)),""))</f>
      </c>
      <c r="V1421">
        <f>IF(OR($T1421="",$U1421=""),"",$U1421-$T1421)</f>
      </c>
    </row>
    <row r="1422">
      <c r="T1422" t="str">
        <f>IF(connections!$A1422="","",IFERROR(INDEX(games!$B$2:$B$1200,MATCH(connections!$A1422,games!$A$2:$A$1200,0)),""))</f>
      </c>
      <c r="U1422">
        <f>IF(connections!$A1422="","",IFERROR(INDEX(games!$B$2:$B$1200,MATCH(connections!$B1422,games!$A$2:$A$1200,0)),""))</f>
      </c>
      <c r="V1422">
        <f>IF(OR($T1422="",$U1422=""),"",$U1422-$T1422)</f>
      </c>
    </row>
    <row r="1423">
      <c r="T1423" t="str">
        <f>IF(connections!$A1423="","",IFERROR(INDEX(games!$B$2:$B$1200,MATCH(connections!$A1423,games!$A$2:$A$1200,0)),""))</f>
      </c>
      <c r="U1423">
        <f>IF(connections!$A1423="","",IFERROR(INDEX(games!$B$2:$B$1200,MATCH(connections!$B1423,games!$A$2:$A$1200,0)),""))</f>
      </c>
      <c r="V1423">
        <f>IF(OR($T1423="",$U1423=""),"",$U1423-$T1423)</f>
      </c>
    </row>
    <row r="1424">
      <c r="T1424" t="str">
        <f>IF(connections!$A1424="","",IFERROR(INDEX(games!$B$2:$B$1200,MATCH(connections!$A1424,games!$A$2:$A$1200,0)),""))</f>
      </c>
      <c r="U1424">
        <f>IF(connections!$A1424="","",IFERROR(INDEX(games!$B$2:$B$1200,MATCH(connections!$B1424,games!$A$2:$A$1200,0)),""))</f>
      </c>
      <c r="V1424">
        <f>IF(OR($T1424="",$U1424=""),"",$U1424-$T1424)</f>
      </c>
    </row>
    <row r="1425">
      <c r="T1425" t="str">
        <f>IF(connections!$A1425="","",IFERROR(INDEX(games!$B$2:$B$1200,MATCH(connections!$A1425,games!$A$2:$A$1200,0)),""))</f>
      </c>
      <c r="U1425">
        <f>IF(connections!$A1425="","",IFERROR(INDEX(games!$B$2:$B$1200,MATCH(connections!$B1425,games!$A$2:$A$1200,0)),""))</f>
      </c>
      <c r="V1425">
        <f>IF(OR($T1425="",$U1425=""),"",$U1425-$T1425)</f>
      </c>
    </row>
    <row r="1426">
      <c r="T1426" t="str">
        <f>IF(connections!$A1426="","",IFERROR(INDEX(games!$B$2:$B$1200,MATCH(connections!$A1426,games!$A$2:$A$1200,0)),""))</f>
      </c>
      <c r="U1426">
        <f>IF(connections!$A1426="","",IFERROR(INDEX(games!$B$2:$B$1200,MATCH(connections!$B1426,games!$A$2:$A$1200,0)),""))</f>
      </c>
      <c r="V1426">
        <f>IF(OR($T1426="",$U1426=""),"",$U1426-$T1426)</f>
      </c>
    </row>
    <row r="1427">
      <c r="T1427" t="str">
        <f>IF(connections!$A1427="","",IFERROR(INDEX(games!$B$2:$B$1200,MATCH(connections!$A1427,games!$A$2:$A$1200,0)),""))</f>
      </c>
      <c r="U1427">
        <f>IF(connections!$A1427="","",IFERROR(INDEX(games!$B$2:$B$1200,MATCH(connections!$B1427,games!$A$2:$A$1200,0)),""))</f>
      </c>
      <c r="V1427">
        <f>IF(OR($T1427="",$U1427=""),"",$U1427-$T1427)</f>
      </c>
    </row>
    <row r="1428">
      <c r="T1428" t="str">
        <f>IF(connections!$A1428="","",IFERROR(INDEX(games!$B$2:$B$1200,MATCH(connections!$A1428,games!$A$2:$A$1200,0)),""))</f>
      </c>
      <c r="U1428">
        <f>IF(connections!$A1428="","",IFERROR(INDEX(games!$B$2:$B$1200,MATCH(connections!$B1428,games!$A$2:$A$1200,0)),""))</f>
      </c>
      <c r="V1428">
        <f>IF(OR($T1428="",$U1428=""),"",$U1428-$T1428)</f>
      </c>
    </row>
    <row r="1429">
      <c r="T1429" t="str">
        <f>IF(connections!$A1429="","",IFERROR(INDEX(games!$B$2:$B$1200,MATCH(connections!$A1429,games!$A$2:$A$1200,0)),""))</f>
      </c>
      <c r="U1429">
        <f>IF(connections!$A1429="","",IFERROR(INDEX(games!$B$2:$B$1200,MATCH(connections!$B1429,games!$A$2:$A$1200,0)),""))</f>
      </c>
      <c r="V1429">
        <f>IF(OR($T1429="",$U1429=""),"",$U1429-$T1429)</f>
      </c>
    </row>
    <row r="1430">
      <c r="T1430" t="str">
        <f>IF(connections!$A1430="","",IFERROR(INDEX(games!$B$2:$B$1200,MATCH(connections!$A1430,games!$A$2:$A$1200,0)),""))</f>
      </c>
      <c r="U1430">
        <f>IF(connections!$A1430="","",IFERROR(INDEX(games!$B$2:$B$1200,MATCH(connections!$B1430,games!$A$2:$A$1200,0)),""))</f>
      </c>
      <c r="V1430">
        <f>IF(OR($T1430="",$U1430=""),"",$U1430-$T1430)</f>
      </c>
    </row>
    <row r="1431">
      <c r="T1431" t="str">
        <f>IF(connections!$A1431="","",IFERROR(INDEX(games!$B$2:$B$1200,MATCH(connections!$A1431,games!$A$2:$A$1200,0)),""))</f>
      </c>
      <c r="U1431">
        <f>IF(connections!$A1431="","",IFERROR(INDEX(games!$B$2:$B$1200,MATCH(connections!$B1431,games!$A$2:$A$1200,0)),""))</f>
      </c>
      <c r="V1431">
        <f>IF(OR($T1431="",$U1431=""),"",$U1431-$T1431)</f>
      </c>
    </row>
    <row r="1432">
      <c r="T1432" t="str">
        <f>IF(connections!$A1432="","",IFERROR(INDEX(games!$B$2:$B$1200,MATCH(connections!$A1432,games!$A$2:$A$1200,0)),""))</f>
      </c>
      <c r="U1432">
        <f>IF(connections!$A1432="","",IFERROR(INDEX(games!$B$2:$B$1200,MATCH(connections!$B1432,games!$A$2:$A$1200,0)),""))</f>
      </c>
      <c r="V1432">
        <f>IF(OR($T1432="",$U1432=""),"",$U1432-$T1432)</f>
      </c>
    </row>
    <row r="1433">
      <c r="T1433" t="str">
        <f>IF(connections!$A1433="","",IFERROR(INDEX(games!$B$2:$B$1200,MATCH(connections!$A1433,games!$A$2:$A$1200,0)),""))</f>
      </c>
      <c r="U1433">
        <f>IF(connections!$A1433="","",IFERROR(INDEX(games!$B$2:$B$1200,MATCH(connections!$B1433,games!$A$2:$A$1200,0)),""))</f>
      </c>
      <c r="V1433">
        <f>IF(OR($T1433="",$U1433=""),"",$U1433-$T1433)</f>
      </c>
    </row>
    <row r="1434">
      <c r="T1434" t="str">
        <f>IF(connections!$A1434="","",IFERROR(INDEX(games!$B$2:$B$1200,MATCH(connections!$A1434,games!$A$2:$A$1200,0)),""))</f>
      </c>
      <c r="U1434">
        <f>IF(connections!$A1434="","",IFERROR(INDEX(games!$B$2:$B$1200,MATCH(connections!$B1434,games!$A$2:$A$1200,0)),""))</f>
      </c>
      <c r="V1434">
        <f>IF(OR($T1434="",$U1434=""),"",$U1434-$T1434)</f>
      </c>
    </row>
    <row r="1435">
      <c r="T1435" t="str">
        <f>IF(connections!$A1435="","",IFERROR(INDEX(games!$B$2:$B$1200,MATCH(connections!$A1435,games!$A$2:$A$1200,0)),""))</f>
      </c>
      <c r="U1435">
        <f>IF(connections!$A1435="","",IFERROR(INDEX(games!$B$2:$B$1200,MATCH(connections!$B1435,games!$A$2:$A$1200,0)),""))</f>
      </c>
      <c r="V1435">
        <f>IF(OR($T1435="",$U1435=""),"",$U1435-$T1435)</f>
      </c>
    </row>
    <row r="1436">
      <c r="T1436" t="str">
        <f>IF(connections!$A1436="","",IFERROR(INDEX(games!$B$2:$B$1200,MATCH(connections!$A1436,games!$A$2:$A$1200,0)),""))</f>
      </c>
      <c r="U1436">
        <f>IF(connections!$A1436="","",IFERROR(INDEX(games!$B$2:$B$1200,MATCH(connections!$B1436,games!$A$2:$A$1200,0)),""))</f>
      </c>
      <c r="V1436">
        <f>IF(OR($T1436="",$U1436=""),"",$U1436-$T1436)</f>
      </c>
    </row>
    <row r="1437">
      <c r="T1437" t="str">
        <f>IF(connections!$A1437="","",IFERROR(INDEX(games!$B$2:$B$1200,MATCH(connections!$A1437,games!$A$2:$A$1200,0)),""))</f>
      </c>
      <c r="U1437">
        <f>IF(connections!$A1437="","",IFERROR(INDEX(games!$B$2:$B$1200,MATCH(connections!$B1437,games!$A$2:$A$1200,0)),""))</f>
      </c>
      <c r="V1437">
        <f>IF(OR($T1437="",$U1437=""),"",$U1437-$T1437)</f>
      </c>
    </row>
    <row r="1438">
      <c r="T1438" t="str">
        <f>IF(connections!$A1438="","",IFERROR(INDEX(games!$B$2:$B$1200,MATCH(connections!$A1438,games!$A$2:$A$1200,0)),""))</f>
      </c>
      <c r="U1438">
        <f>IF(connections!$A1438="","",IFERROR(INDEX(games!$B$2:$B$1200,MATCH(connections!$B1438,games!$A$2:$A$1200,0)),""))</f>
      </c>
      <c r="V1438">
        <f>IF(OR($T1438="",$U1438=""),"",$U1438-$T1438)</f>
      </c>
    </row>
    <row r="1439">
      <c r="T1439" t="str">
        <f>IF(connections!$A1439="","",IFERROR(INDEX(games!$B$2:$B$1200,MATCH(connections!$A1439,games!$A$2:$A$1200,0)),""))</f>
      </c>
      <c r="U1439">
        <f>IF(connections!$A1439="","",IFERROR(INDEX(games!$B$2:$B$1200,MATCH(connections!$B1439,games!$A$2:$A$1200,0)),""))</f>
      </c>
      <c r="V1439">
        <f>IF(OR($T1439="",$U1439=""),"",$U1439-$T1439)</f>
      </c>
    </row>
    <row r="1440">
      <c r="T1440" t="str">
        <f>IF(connections!$A1440="","",IFERROR(INDEX(games!$B$2:$B$1200,MATCH(connections!$A1440,games!$A$2:$A$1200,0)),""))</f>
      </c>
      <c r="U1440">
        <f>IF(connections!$A1440="","",IFERROR(INDEX(games!$B$2:$B$1200,MATCH(connections!$B1440,games!$A$2:$A$1200,0)),""))</f>
      </c>
      <c r="V1440">
        <f>IF(OR($T1440="",$U1440=""),"",$U1440-$T1440)</f>
      </c>
    </row>
    <row r="1441">
      <c r="T1441" t="str">
        <f>IF(connections!$A1441="","",IFERROR(INDEX(games!$B$2:$B$1200,MATCH(connections!$A1441,games!$A$2:$A$1200,0)),""))</f>
      </c>
      <c r="U1441">
        <f>IF(connections!$A1441="","",IFERROR(INDEX(games!$B$2:$B$1200,MATCH(connections!$B1441,games!$A$2:$A$1200,0)),""))</f>
      </c>
      <c r="V1441">
        <f>IF(OR($T1441="",$U1441=""),"",$U1441-$T1441)</f>
      </c>
    </row>
    <row r="1442">
      <c r="T1442" t="str">
        <f>IF(connections!$A1442="","",IFERROR(INDEX(games!$B$2:$B$1200,MATCH(connections!$A1442,games!$A$2:$A$1200,0)),""))</f>
      </c>
      <c r="U1442">
        <f>IF(connections!$A1442="","",IFERROR(INDEX(games!$B$2:$B$1200,MATCH(connections!$B1442,games!$A$2:$A$1200,0)),""))</f>
      </c>
      <c r="V1442">
        <f>IF(OR($T1442="",$U1442=""),"",$U1442-$T1442)</f>
      </c>
    </row>
    <row r="1443">
      <c r="T1443" t="str">
        <f>IF(connections!$A1443="","",IFERROR(INDEX(games!$B$2:$B$1200,MATCH(connections!$A1443,games!$A$2:$A$1200,0)),""))</f>
      </c>
      <c r="U1443">
        <f>IF(connections!$A1443="","",IFERROR(INDEX(games!$B$2:$B$1200,MATCH(connections!$B1443,games!$A$2:$A$1200,0)),""))</f>
      </c>
      <c r="V1443">
        <f>IF(OR($T1443="",$U1443=""),"",$U1443-$T1443)</f>
      </c>
    </row>
    <row r="1444">
      <c r="T1444" t="str">
        <f>IF(connections!$A1444="","",IFERROR(INDEX(games!$B$2:$B$1200,MATCH(connections!$A1444,games!$A$2:$A$1200,0)),""))</f>
      </c>
      <c r="U1444">
        <f>IF(connections!$A1444="","",IFERROR(INDEX(games!$B$2:$B$1200,MATCH(connections!$B1444,games!$A$2:$A$1200,0)),""))</f>
      </c>
      <c r="V1444">
        <f>IF(OR($T1444="",$U1444=""),"",$U1444-$T1444)</f>
      </c>
    </row>
    <row r="1445">
      <c r="T1445" t="str">
        <f>IF(connections!$A1445="","",IFERROR(INDEX(games!$B$2:$B$1200,MATCH(connections!$A1445,games!$A$2:$A$1200,0)),""))</f>
      </c>
      <c r="U1445">
        <f>IF(connections!$A1445="","",IFERROR(INDEX(games!$B$2:$B$1200,MATCH(connections!$B1445,games!$A$2:$A$1200,0)),""))</f>
      </c>
      <c r="V1445">
        <f>IF(OR($T1445="",$U1445=""),"",$U1445-$T1445)</f>
      </c>
    </row>
    <row r="1446">
      <c r="T1446" t="str">
        <f>IF(connections!$A1446="","",IFERROR(INDEX(games!$B$2:$B$1200,MATCH(connections!$A1446,games!$A$2:$A$1200,0)),""))</f>
      </c>
      <c r="U1446">
        <f>IF(connections!$A1446="","",IFERROR(INDEX(games!$B$2:$B$1200,MATCH(connections!$B1446,games!$A$2:$A$1200,0)),""))</f>
      </c>
      <c r="V1446">
        <f>IF(OR($T1446="",$U1446=""),"",$U1446-$T1446)</f>
      </c>
    </row>
    <row r="1447">
      <c r="T1447" t="str">
        <f>IF(connections!$A1447="","",IFERROR(INDEX(games!$B$2:$B$1200,MATCH(connections!$A1447,games!$A$2:$A$1200,0)),""))</f>
      </c>
      <c r="U1447">
        <f>IF(connections!$A1447="","",IFERROR(INDEX(games!$B$2:$B$1200,MATCH(connections!$B1447,games!$A$2:$A$1200,0)),""))</f>
      </c>
      <c r="V1447">
        <f>IF(OR($T1447="",$U1447=""),"",$U1447-$T1447)</f>
      </c>
    </row>
    <row r="1448">
      <c r="T1448" t="str">
        <f>IF(connections!$A1448="","",IFERROR(INDEX(games!$B$2:$B$1200,MATCH(connections!$A1448,games!$A$2:$A$1200,0)),""))</f>
      </c>
      <c r="U1448">
        <f>IF(connections!$A1448="","",IFERROR(INDEX(games!$B$2:$B$1200,MATCH(connections!$B1448,games!$A$2:$A$1200,0)),""))</f>
      </c>
      <c r="V1448">
        <f>IF(OR($T1448="",$U1448=""),"",$U1448-$T1448)</f>
      </c>
    </row>
    <row r="1449">
      <c r="T1449" t="str">
        <f>IF(connections!$A1449="","",IFERROR(INDEX(games!$B$2:$B$1200,MATCH(connections!$A1449,games!$A$2:$A$1200,0)),""))</f>
      </c>
      <c r="U1449">
        <f>IF(connections!$A1449="","",IFERROR(INDEX(games!$B$2:$B$1200,MATCH(connections!$B1449,games!$A$2:$A$1200,0)),""))</f>
      </c>
      <c r="V1449">
        <f>IF(OR($T1449="",$U1449=""),"",$U1449-$T1449)</f>
      </c>
    </row>
    <row r="1450">
      <c r="T1450" t="str">
        <f>IF(connections!$A1450="","",IFERROR(INDEX(games!$B$2:$B$1200,MATCH(connections!$A1450,games!$A$2:$A$1200,0)),""))</f>
      </c>
      <c r="U1450">
        <f>IF(connections!$A1450="","",IFERROR(INDEX(games!$B$2:$B$1200,MATCH(connections!$B1450,games!$A$2:$A$1200,0)),""))</f>
      </c>
      <c r="V1450">
        <f>IF(OR($T1450="",$U1450=""),"",$U1450-$T1450)</f>
      </c>
    </row>
    <row r="1451">
      <c r="T1451" t="str">
        <f>IF(connections!$A1451="","",IFERROR(INDEX(games!$B$2:$B$1200,MATCH(connections!$A1451,games!$A$2:$A$1200,0)),""))</f>
      </c>
      <c r="U1451">
        <f>IF(connections!$A1451="","",IFERROR(INDEX(games!$B$2:$B$1200,MATCH(connections!$B1451,games!$A$2:$A$1200,0)),""))</f>
      </c>
      <c r="V1451">
        <f>IF(OR($T1451="",$U1451=""),"",$U1451-$T1451)</f>
      </c>
    </row>
    <row r="1452">
      <c r="T1452" t="str">
        <f>IF(connections!$A1452="","",IFERROR(INDEX(games!$B$2:$B$1200,MATCH(connections!$A1452,games!$A$2:$A$1200,0)),""))</f>
      </c>
      <c r="U1452">
        <f>IF(connections!$A1452="","",IFERROR(INDEX(games!$B$2:$B$1200,MATCH(connections!$B1452,games!$A$2:$A$1200,0)),""))</f>
      </c>
      <c r="V1452">
        <f>IF(OR($T1452="",$U1452=""),"",$U1452-$T1452)</f>
      </c>
    </row>
    <row r="1453">
      <c r="T1453" t="str">
        <f>IF(connections!$A1453="","",IFERROR(INDEX(games!$B$2:$B$1200,MATCH(connections!$A1453,games!$A$2:$A$1200,0)),""))</f>
      </c>
      <c r="U1453">
        <f>IF(connections!$A1453="","",IFERROR(INDEX(games!$B$2:$B$1200,MATCH(connections!$B1453,games!$A$2:$A$1200,0)),""))</f>
      </c>
      <c r="V1453">
        <f>IF(OR($T1453="",$U1453=""),"",$U1453-$T1453)</f>
      </c>
    </row>
    <row r="1454">
      <c r="T1454" t="str">
        <f>IF(connections!$A1454="","",IFERROR(INDEX(games!$B$2:$B$1200,MATCH(connections!$A1454,games!$A$2:$A$1200,0)),""))</f>
      </c>
      <c r="U1454">
        <f>IF(connections!$A1454="","",IFERROR(INDEX(games!$B$2:$B$1200,MATCH(connections!$B1454,games!$A$2:$A$1200,0)),""))</f>
      </c>
      <c r="V1454">
        <f>IF(OR($T1454="",$U1454=""),"",$U1454-$T1454)</f>
      </c>
    </row>
    <row r="1455">
      <c r="T1455" t="str">
        <f>IF(connections!$A1455="","",IFERROR(INDEX(games!$B$2:$B$1200,MATCH(connections!$A1455,games!$A$2:$A$1200,0)),""))</f>
      </c>
      <c r="U1455">
        <f>IF(connections!$A1455="","",IFERROR(INDEX(games!$B$2:$B$1200,MATCH(connections!$B1455,games!$A$2:$A$1200,0)),""))</f>
      </c>
      <c r="V1455">
        <f>IF(OR($T1455="",$U1455=""),"",$U1455-$T1455)</f>
      </c>
    </row>
    <row r="1456">
      <c r="T1456" t="str">
        <f>IF(connections!$A1456="","",IFERROR(INDEX(games!$B$2:$B$1200,MATCH(connections!$A1456,games!$A$2:$A$1200,0)),""))</f>
      </c>
      <c r="U1456">
        <f>IF(connections!$A1456="","",IFERROR(INDEX(games!$B$2:$B$1200,MATCH(connections!$B1456,games!$A$2:$A$1200,0)),""))</f>
      </c>
      <c r="V1456">
        <f>IF(OR($T1456="",$U1456=""),"",$U1456-$T1456)</f>
      </c>
    </row>
    <row r="1457">
      <c r="T1457" t="str">
        <f>IF(connections!$A1457="","",IFERROR(INDEX(games!$B$2:$B$1200,MATCH(connections!$A1457,games!$A$2:$A$1200,0)),""))</f>
      </c>
      <c r="U1457">
        <f>IF(connections!$A1457="","",IFERROR(INDEX(games!$B$2:$B$1200,MATCH(connections!$B1457,games!$A$2:$A$1200,0)),""))</f>
      </c>
      <c r="V1457">
        <f>IF(OR($T1457="",$U1457=""),"",$U1457-$T1457)</f>
      </c>
    </row>
    <row r="1458">
      <c r="T1458" t="str">
        <f>IF(connections!$A1458="","",IFERROR(INDEX(games!$B$2:$B$1200,MATCH(connections!$A1458,games!$A$2:$A$1200,0)),""))</f>
      </c>
      <c r="U1458">
        <f>IF(connections!$A1458="","",IFERROR(INDEX(games!$B$2:$B$1200,MATCH(connections!$B1458,games!$A$2:$A$1200,0)),""))</f>
      </c>
      <c r="V1458">
        <f>IF(OR($T1458="",$U1458=""),"",$U1458-$T1458)</f>
      </c>
    </row>
    <row r="1459">
      <c r="T1459" t="str">
        <f>IF(connections!$A1459="","",IFERROR(INDEX(games!$B$2:$B$1200,MATCH(connections!$A1459,games!$A$2:$A$1200,0)),""))</f>
      </c>
      <c r="U1459">
        <f>IF(connections!$A1459="","",IFERROR(INDEX(games!$B$2:$B$1200,MATCH(connections!$B1459,games!$A$2:$A$1200,0)),""))</f>
      </c>
      <c r="V1459">
        <f>IF(OR($T1459="",$U1459=""),"",$U1459-$T1459)</f>
      </c>
    </row>
    <row r="1460">
      <c r="T1460" t="str">
        <f>IF(connections!$A1460="","",IFERROR(INDEX(games!$B$2:$B$1200,MATCH(connections!$A1460,games!$A$2:$A$1200,0)),""))</f>
      </c>
      <c r="U1460">
        <f>IF(connections!$A1460="","",IFERROR(INDEX(games!$B$2:$B$1200,MATCH(connections!$B1460,games!$A$2:$A$1200,0)),""))</f>
      </c>
      <c r="V1460">
        <f>IF(OR($T1460="",$U1460=""),"",$U1460-$T1460)</f>
      </c>
    </row>
    <row r="1461">
      <c r="T1461" t="str">
        <f>IF(connections!$A1461="","",IFERROR(INDEX(games!$B$2:$B$1200,MATCH(connections!$A1461,games!$A$2:$A$1200,0)),""))</f>
      </c>
      <c r="U1461">
        <f>IF(connections!$A1461="","",IFERROR(INDEX(games!$B$2:$B$1200,MATCH(connections!$B1461,games!$A$2:$A$1200,0)),""))</f>
      </c>
      <c r="V1461">
        <f>IF(OR($T1461="",$U1461=""),"",$U1461-$T1461)</f>
      </c>
    </row>
    <row r="1462">
      <c r="T1462" t="str">
        <f>IF(connections!$A1462="","",IFERROR(INDEX(games!$B$2:$B$1200,MATCH(connections!$A1462,games!$A$2:$A$1200,0)),""))</f>
      </c>
      <c r="U1462">
        <f>IF(connections!$A1462="","",IFERROR(INDEX(games!$B$2:$B$1200,MATCH(connections!$B1462,games!$A$2:$A$1200,0)),""))</f>
      </c>
      <c r="V1462">
        <f>IF(OR($T1462="",$U1462=""),"",$U1462-$T1462)</f>
      </c>
    </row>
    <row r="1463">
      <c r="T1463" t="str">
        <f>IF(connections!$A1463="","",IFERROR(INDEX(games!$B$2:$B$1200,MATCH(connections!$A1463,games!$A$2:$A$1200,0)),""))</f>
      </c>
      <c r="U1463">
        <f>IF(connections!$A1463="","",IFERROR(INDEX(games!$B$2:$B$1200,MATCH(connections!$B1463,games!$A$2:$A$1200,0)),""))</f>
      </c>
      <c r="V1463">
        <f>IF(OR($T1463="",$U1463=""),"",$U1463-$T1463)</f>
      </c>
    </row>
    <row r="1464">
      <c r="T1464" t="str">
        <f>IF(connections!$A1464="","",IFERROR(INDEX(games!$B$2:$B$1200,MATCH(connections!$A1464,games!$A$2:$A$1200,0)),""))</f>
      </c>
      <c r="U1464">
        <f>IF(connections!$A1464="","",IFERROR(INDEX(games!$B$2:$B$1200,MATCH(connections!$B1464,games!$A$2:$A$1200,0)),""))</f>
      </c>
      <c r="V1464">
        <f>IF(OR($T1464="",$U1464=""),"",$U1464-$T1464)</f>
      </c>
    </row>
    <row r="1465">
      <c r="T1465" t="str">
        <f>IF(connections!$A1465="","",IFERROR(INDEX(games!$B$2:$B$1200,MATCH(connections!$A1465,games!$A$2:$A$1200,0)),""))</f>
      </c>
      <c r="U1465">
        <f>IF(connections!$A1465="","",IFERROR(INDEX(games!$B$2:$B$1200,MATCH(connections!$B1465,games!$A$2:$A$1200,0)),""))</f>
      </c>
      <c r="V1465">
        <f>IF(OR($T1465="",$U1465=""),"",$U1465-$T1465)</f>
      </c>
    </row>
    <row r="1466">
      <c r="T1466" t="str">
        <f>IF(connections!$A1466="","",IFERROR(INDEX(games!$B$2:$B$1200,MATCH(connections!$A1466,games!$A$2:$A$1200,0)),""))</f>
      </c>
      <c r="U1466">
        <f>IF(connections!$A1466="","",IFERROR(INDEX(games!$B$2:$B$1200,MATCH(connections!$B1466,games!$A$2:$A$1200,0)),""))</f>
      </c>
      <c r="V1466">
        <f>IF(OR($T1466="",$U1466=""),"",$U1466-$T1466)</f>
      </c>
    </row>
    <row r="1467">
      <c r="T1467" t="str">
        <f>IF(connections!$A1467="","",IFERROR(INDEX(games!$B$2:$B$1200,MATCH(connections!$A1467,games!$A$2:$A$1200,0)),""))</f>
      </c>
      <c r="U1467">
        <f>IF(connections!$A1467="","",IFERROR(INDEX(games!$B$2:$B$1200,MATCH(connections!$B1467,games!$A$2:$A$1200,0)),""))</f>
      </c>
      <c r="V1467">
        <f>IF(OR($T1467="",$U1467=""),"",$U1467-$T1467)</f>
      </c>
    </row>
    <row r="1468">
      <c r="T1468" t="str">
        <f>IF(connections!$A1468="","",IFERROR(INDEX(games!$B$2:$B$1200,MATCH(connections!$A1468,games!$A$2:$A$1200,0)),""))</f>
      </c>
      <c r="U1468">
        <f>IF(connections!$A1468="","",IFERROR(INDEX(games!$B$2:$B$1200,MATCH(connections!$B1468,games!$A$2:$A$1200,0)),""))</f>
      </c>
      <c r="V1468">
        <f>IF(OR($T1468="",$U1468=""),"",$U1468-$T1468)</f>
      </c>
    </row>
    <row r="1469">
      <c r="T1469" t="str">
        <f>IF(connections!$A1469="","",IFERROR(INDEX(games!$B$2:$B$1200,MATCH(connections!$A1469,games!$A$2:$A$1200,0)),""))</f>
      </c>
      <c r="U1469">
        <f>IF(connections!$A1469="","",IFERROR(INDEX(games!$B$2:$B$1200,MATCH(connections!$B1469,games!$A$2:$A$1200,0)),""))</f>
      </c>
      <c r="V1469">
        <f>IF(OR($T1469="",$U1469=""),"",$U1469-$T1469)</f>
      </c>
    </row>
    <row r="1470">
      <c r="T1470" t="str">
        <f>IF(connections!$A1470="","",IFERROR(INDEX(games!$B$2:$B$1200,MATCH(connections!$A1470,games!$A$2:$A$1200,0)),""))</f>
      </c>
      <c r="U1470">
        <f>IF(connections!$A1470="","",IFERROR(INDEX(games!$B$2:$B$1200,MATCH(connections!$B1470,games!$A$2:$A$1200,0)),""))</f>
      </c>
      <c r="V1470">
        <f>IF(OR($T1470="",$U1470=""),"",$U1470-$T1470)</f>
      </c>
    </row>
    <row r="1471">
      <c r="T1471" t="str">
        <f>IF(connections!$A1471="","",IFERROR(INDEX(games!$B$2:$B$1200,MATCH(connections!$A1471,games!$A$2:$A$1200,0)),""))</f>
      </c>
      <c r="U1471">
        <f>IF(connections!$A1471="","",IFERROR(INDEX(games!$B$2:$B$1200,MATCH(connections!$B1471,games!$A$2:$A$1200,0)),""))</f>
      </c>
      <c r="V1471">
        <f>IF(OR($T1471="",$U1471=""),"",$U1471-$T1471)</f>
      </c>
    </row>
    <row r="1472">
      <c r="T1472" t="str">
        <f>IF(connections!$A1472="","",IFERROR(INDEX(games!$B$2:$B$1200,MATCH(connections!$A1472,games!$A$2:$A$1200,0)),""))</f>
      </c>
      <c r="U1472">
        <f>IF(connections!$A1472="","",IFERROR(INDEX(games!$B$2:$B$1200,MATCH(connections!$B1472,games!$A$2:$A$1200,0)),""))</f>
      </c>
      <c r="V1472">
        <f>IF(OR($T1472="",$U1472=""),"",$U1472-$T1472)</f>
      </c>
    </row>
    <row r="1473">
      <c r="T1473" t="str">
        <f>IF(connections!$A1473="","",IFERROR(INDEX(games!$B$2:$B$1200,MATCH(connections!$A1473,games!$A$2:$A$1200,0)),""))</f>
      </c>
      <c r="U1473">
        <f>IF(connections!$A1473="","",IFERROR(INDEX(games!$B$2:$B$1200,MATCH(connections!$B1473,games!$A$2:$A$1200,0)),""))</f>
      </c>
      <c r="V1473">
        <f>IF(OR($T1473="",$U1473=""),"",$U1473-$T1473)</f>
      </c>
    </row>
    <row r="1474">
      <c r="T1474" t="str">
        <f>IF(connections!$A1474="","",IFERROR(INDEX(games!$B$2:$B$1200,MATCH(connections!$A1474,games!$A$2:$A$1200,0)),""))</f>
      </c>
      <c r="U1474">
        <f>IF(connections!$A1474="","",IFERROR(INDEX(games!$B$2:$B$1200,MATCH(connections!$B1474,games!$A$2:$A$1200,0)),""))</f>
      </c>
      <c r="V1474">
        <f>IF(OR($T1474="",$U1474=""),"",$U1474-$T1474)</f>
      </c>
    </row>
    <row r="1475">
      <c r="T1475" t="str">
        <f>IF(connections!$A1475="","",IFERROR(INDEX(games!$B$2:$B$1200,MATCH(connections!$A1475,games!$A$2:$A$1200,0)),""))</f>
      </c>
      <c r="U1475">
        <f>IF(connections!$A1475="","",IFERROR(INDEX(games!$B$2:$B$1200,MATCH(connections!$B1475,games!$A$2:$A$1200,0)),""))</f>
      </c>
      <c r="V1475">
        <f>IF(OR($T1475="",$U1475=""),"",$U1475-$T1475)</f>
      </c>
    </row>
    <row r="1476">
      <c r="T1476" t="str">
        <f>IF(connections!$A1476="","",IFERROR(INDEX(games!$B$2:$B$1200,MATCH(connections!$A1476,games!$A$2:$A$1200,0)),""))</f>
      </c>
      <c r="U1476">
        <f>IF(connections!$A1476="","",IFERROR(INDEX(games!$B$2:$B$1200,MATCH(connections!$B1476,games!$A$2:$A$1200,0)),""))</f>
      </c>
      <c r="V1476">
        <f>IF(OR($T1476="",$U1476=""),"",$U1476-$T1476)</f>
      </c>
    </row>
    <row r="1477">
      <c r="T1477" t="str">
        <f>IF(connections!$A1477="","",IFERROR(INDEX(games!$B$2:$B$1200,MATCH(connections!$A1477,games!$A$2:$A$1200,0)),""))</f>
      </c>
      <c r="U1477">
        <f>IF(connections!$A1477="","",IFERROR(INDEX(games!$B$2:$B$1200,MATCH(connections!$B1477,games!$A$2:$A$1200,0)),""))</f>
      </c>
      <c r="V1477">
        <f>IF(OR($T1477="",$U1477=""),"",$U1477-$T1477)</f>
      </c>
    </row>
    <row r="1478">
      <c r="T1478" t="str">
        <f>IF(connections!$A1478="","",IFERROR(INDEX(games!$B$2:$B$1200,MATCH(connections!$A1478,games!$A$2:$A$1200,0)),""))</f>
      </c>
      <c r="U1478">
        <f>IF(connections!$A1478="","",IFERROR(INDEX(games!$B$2:$B$1200,MATCH(connections!$B1478,games!$A$2:$A$1200,0)),""))</f>
      </c>
      <c r="V1478">
        <f>IF(OR($T1478="",$U1478=""),"",$U1478-$T1478)</f>
      </c>
    </row>
    <row r="1479">
      <c r="T1479" t="str">
        <f>IF(connections!$A1479="","",IFERROR(INDEX(games!$B$2:$B$1200,MATCH(connections!$A1479,games!$A$2:$A$1200,0)),""))</f>
      </c>
      <c r="U1479">
        <f>IF(connections!$A1479="","",IFERROR(INDEX(games!$B$2:$B$1200,MATCH(connections!$B1479,games!$A$2:$A$1200,0)),""))</f>
      </c>
      <c r="V1479">
        <f>IF(OR($T1479="",$U1479=""),"",$U1479-$T1479)</f>
      </c>
    </row>
    <row r="1480">
      <c r="T1480" t="str">
        <f>IF(connections!$A1480="","",IFERROR(INDEX(games!$B$2:$B$1200,MATCH(connections!$A1480,games!$A$2:$A$1200,0)),""))</f>
      </c>
      <c r="U1480">
        <f>IF(connections!$A1480="","",IFERROR(INDEX(games!$B$2:$B$1200,MATCH(connections!$B1480,games!$A$2:$A$1200,0)),""))</f>
      </c>
      <c r="V1480">
        <f>IF(OR($T1480="",$U1480=""),"",$U1480-$T1480)</f>
      </c>
    </row>
    <row r="1481">
      <c r="T1481" t="str">
        <f>IF(connections!$A1481="","",IFERROR(INDEX(games!$B$2:$B$1200,MATCH(connections!$A1481,games!$A$2:$A$1200,0)),""))</f>
      </c>
      <c r="U1481">
        <f>IF(connections!$A1481="","",IFERROR(INDEX(games!$B$2:$B$1200,MATCH(connections!$B1481,games!$A$2:$A$1200,0)),""))</f>
      </c>
      <c r="V1481">
        <f>IF(OR($T1481="",$U1481=""),"",$U1481-$T1481)</f>
      </c>
    </row>
    <row r="1482">
      <c r="T1482" t="str">
        <f>IF(connections!$A1482="","",IFERROR(INDEX(games!$B$2:$B$1200,MATCH(connections!$A1482,games!$A$2:$A$1200,0)),""))</f>
      </c>
      <c r="U1482">
        <f>IF(connections!$A1482="","",IFERROR(INDEX(games!$B$2:$B$1200,MATCH(connections!$B1482,games!$A$2:$A$1200,0)),""))</f>
      </c>
      <c r="V1482">
        <f>IF(OR($T1482="",$U1482=""),"",$U1482-$T1482)</f>
      </c>
    </row>
    <row r="1483">
      <c r="T1483" t="str">
        <f>IF(connections!$A1483="","",IFERROR(INDEX(games!$B$2:$B$1200,MATCH(connections!$A1483,games!$A$2:$A$1200,0)),""))</f>
      </c>
      <c r="U1483">
        <f>IF(connections!$A1483="","",IFERROR(INDEX(games!$B$2:$B$1200,MATCH(connections!$B1483,games!$A$2:$A$1200,0)),""))</f>
      </c>
      <c r="V1483">
        <f>IF(OR($T1483="",$U1483=""),"",$U1483-$T1483)</f>
      </c>
    </row>
    <row r="1484">
      <c r="T1484" t="str">
        <f>IF(connections!$A1484="","",IFERROR(INDEX(games!$B$2:$B$1200,MATCH(connections!$A1484,games!$A$2:$A$1200,0)),""))</f>
      </c>
      <c r="U1484">
        <f>IF(connections!$A1484="","",IFERROR(INDEX(games!$B$2:$B$1200,MATCH(connections!$B1484,games!$A$2:$A$1200,0)),""))</f>
      </c>
      <c r="V1484">
        <f>IF(OR($T1484="",$U1484=""),"",$U1484-$T1484)</f>
      </c>
    </row>
    <row r="1485">
      <c r="T1485" t="str">
        <f>IF(connections!$A1485="","",IFERROR(INDEX(games!$B$2:$B$1200,MATCH(connections!$A1485,games!$A$2:$A$1200,0)),""))</f>
      </c>
      <c r="U1485">
        <f>IF(connections!$A1485="","",IFERROR(INDEX(games!$B$2:$B$1200,MATCH(connections!$B1485,games!$A$2:$A$1200,0)),""))</f>
      </c>
      <c r="V1485">
        <f>IF(OR($T1485="",$U1485=""),"",$U1485-$T1485)</f>
      </c>
    </row>
    <row r="1486">
      <c r="T1486" t="str">
        <f>IF(connections!$A1486="","",IFERROR(INDEX(games!$B$2:$B$1200,MATCH(connections!$A1486,games!$A$2:$A$1200,0)),""))</f>
      </c>
      <c r="U1486">
        <f>IF(connections!$A1486="","",IFERROR(INDEX(games!$B$2:$B$1200,MATCH(connections!$B1486,games!$A$2:$A$1200,0)),""))</f>
      </c>
      <c r="V1486">
        <f>IF(OR($T1486="",$U1486=""),"",$U1486-$T1486)</f>
      </c>
    </row>
    <row r="1487">
      <c r="T1487" t="str">
        <f>IF(connections!$A1487="","",IFERROR(INDEX(games!$B$2:$B$1200,MATCH(connections!$A1487,games!$A$2:$A$1200,0)),""))</f>
      </c>
      <c r="U1487">
        <f>IF(connections!$A1487="","",IFERROR(INDEX(games!$B$2:$B$1200,MATCH(connections!$B1487,games!$A$2:$A$1200,0)),""))</f>
      </c>
      <c r="V1487">
        <f>IF(OR($T1487="",$U1487=""),"",$U1487-$T1487)</f>
      </c>
    </row>
    <row r="1488">
      <c r="T1488" t="str">
        <f>IF(connections!$A1488="","",IFERROR(INDEX(games!$B$2:$B$1200,MATCH(connections!$A1488,games!$A$2:$A$1200,0)),""))</f>
      </c>
      <c r="U1488">
        <f>IF(connections!$A1488="","",IFERROR(INDEX(games!$B$2:$B$1200,MATCH(connections!$B1488,games!$A$2:$A$1200,0)),""))</f>
      </c>
      <c r="V1488">
        <f>IF(OR($T1488="",$U1488=""),"",$U1488-$T1488)</f>
      </c>
    </row>
    <row r="1489">
      <c r="T1489" t="str">
        <f>IF(connections!$A1489="","",IFERROR(INDEX(games!$B$2:$B$1200,MATCH(connections!$A1489,games!$A$2:$A$1200,0)),""))</f>
      </c>
      <c r="U1489">
        <f>IF(connections!$A1489="","",IFERROR(INDEX(games!$B$2:$B$1200,MATCH(connections!$B1489,games!$A$2:$A$1200,0)),""))</f>
      </c>
      <c r="V1489">
        <f>IF(OR($T1489="",$U1489=""),"",$U1489-$T1489)</f>
      </c>
    </row>
    <row r="1490">
      <c r="T1490" t="str">
        <f>IF(connections!$A1490="","",IFERROR(INDEX(games!$B$2:$B$1200,MATCH(connections!$A1490,games!$A$2:$A$1200,0)),""))</f>
      </c>
      <c r="U1490">
        <f>IF(connections!$A1490="","",IFERROR(INDEX(games!$B$2:$B$1200,MATCH(connections!$B1490,games!$A$2:$A$1200,0)),""))</f>
      </c>
      <c r="V1490">
        <f>IF(OR($T1490="",$U1490=""),"",$U1490-$T1490)</f>
      </c>
    </row>
    <row r="1491">
      <c r="T1491" t="str">
        <f>IF(connections!$A1491="","",IFERROR(INDEX(games!$B$2:$B$1200,MATCH(connections!$A1491,games!$A$2:$A$1200,0)),""))</f>
      </c>
      <c r="U1491">
        <f>IF(connections!$A1491="","",IFERROR(INDEX(games!$B$2:$B$1200,MATCH(connections!$B1491,games!$A$2:$A$1200,0)),""))</f>
      </c>
      <c r="V1491">
        <f>IF(OR($T1491="",$U1491=""),"",$U1491-$T1491)</f>
      </c>
    </row>
    <row r="1492">
      <c r="T1492" t="str">
        <f>IF(connections!$A1492="","",IFERROR(INDEX(games!$B$2:$B$1200,MATCH(connections!$A1492,games!$A$2:$A$1200,0)),""))</f>
      </c>
      <c r="U1492">
        <f>IF(connections!$A1492="","",IFERROR(INDEX(games!$B$2:$B$1200,MATCH(connections!$B1492,games!$A$2:$A$1200,0)),""))</f>
      </c>
      <c r="V1492">
        <f>IF(OR($T1492="",$U1492=""),"",$U1492-$T1492)</f>
      </c>
    </row>
    <row r="1493">
      <c r="T1493" t="str">
        <f>IF(connections!$A1493="","",IFERROR(INDEX(games!$B$2:$B$1200,MATCH(connections!$A1493,games!$A$2:$A$1200,0)),""))</f>
      </c>
      <c r="U1493">
        <f>IF(connections!$A1493="","",IFERROR(INDEX(games!$B$2:$B$1200,MATCH(connections!$B1493,games!$A$2:$A$1200,0)),""))</f>
      </c>
      <c r="V1493">
        <f>IF(OR($T1493="",$U1493=""),"",$U1493-$T1493)</f>
      </c>
    </row>
    <row r="1494">
      <c r="T1494" t="str">
        <f>IF(connections!$A1494="","",IFERROR(INDEX(games!$B$2:$B$1200,MATCH(connections!$A1494,games!$A$2:$A$1200,0)),""))</f>
      </c>
      <c r="U1494">
        <f>IF(connections!$A1494="","",IFERROR(INDEX(games!$B$2:$B$1200,MATCH(connections!$B1494,games!$A$2:$A$1200,0)),""))</f>
      </c>
      <c r="V1494">
        <f>IF(OR($T1494="",$U1494=""),"",$U1494-$T1494)</f>
      </c>
    </row>
    <row r="1495">
      <c r="T1495" t="str">
        <f>IF(connections!$A1495="","",IFERROR(INDEX(games!$B$2:$B$1200,MATCH(connections!$A1495,games!$A$2:$A$1200,0)),""))</f>
      </c>
      <c r="U1495">
        <f>IF(connections!$A1495="","",IFERROR(INDEX(games!$B$2:$B$1200,MATCH(connections!$B1495,games!$A$2:$A$1200,0)),""))</f>
      </c>
      <c r="V1495">
        <f>IF(OR($T1495="",$U1495=""),"",$U1495-$T1495)</f>
      </c>
    </row>
    <row r="1496">
      <c r="T1496" t="str">
        <f>IF(connections!$A1496="","",IFERROR(INDEX(games!$B$2:$B$1200,MATCH(connections!$A1496,games!$A$2:$A$1200,0)),""))</f>
      </c>
      <c r="U1496">
        <f>IF(connections!$A1496="","",IFERROR(INDEX(games!$B$2:$B$1200,MATCH(connections!$B1496,games!$A$2:$A$1200,0)),""))</f>
      </c>
      <c r="V1496">
        <f>IF(OR($T1496="",$U1496=""),"",$U1496-$T1496)</f>
      </c>
    </row>
    <row r="1497">
      <c r="T1497" t="str">
        <f>IF(connections!$A1497="","",IFERROR(INDEX(games!$B$2:$B$1200,MATCH(connections!$A1497,games!$A$2:$A$1200,0)),""))</f>
      </c>
      <c r="U1497">
        <f>IF(connections!$A1497="","",IFERROR(INDEX(games!$B$2:$B$1200,MATCH(connections!$B1497,games!$A$2:$A$1200,0)),""))</f>
      </c>
      <c r="V1497">
        <f>IF(OR($T1497="",$U1497=""),"",$U1497-$T1497)</f>
      </c>
    </row>
    <row r="1498">
      <c r="T1498" t="str">
        <f>IF(connections!$A1498="","",IFERROR(INDEX(games!$B$2:$B$1200,MATCH(connections!$A1498,games!$A$2:$A$1200,0)),""))</f>
      </c>
      <c r="U1498">
        <f>IF(connections!$A1498="","",IFERROR(INDEX(games!$B$2:$B$1200,MATCH(connections!$B1498,games!$A$2:$A$1200,0)),""))</f>
      </c>
      <c r="V1498">
        <f>IF(OR($T1498="",$U1498=""),"",$U1498-$T1498)</f>
      </c>
    </row>
    <row r="1499">
      <c r="T1499" t="str">
        <f>IF(connections!$A1499="","",IFERROR(INDEX(games!$B$2:$B$1200,MATCH(connections!$A1499,games!$A$2:$A$1200,0)),""))</f>
      </c>
      <c r="U1499">
        <f>IF(connections!$A1499="","",IFERROR(INDEX(games!$B$2:$B$1200,MATCH(connections!$B1499,games!$A$2:$A$1200,0)),""))</f>
      </c>
      <c r="V1499">
        <f>IF(OR($T1499="",$U1499=""),"",$U1499-$T1499)</f>
      </c>
    </row>
    <row r="1500">
      <c r="T1500" t="str">
        <f>IF(connections!$A1500="","",IFERROR(INDEX(games!$B$2:$B$1200,MATCH(connections!$A1500,games!$A$2:$A$1200,0)),""))</f>
      </c>
      <c r="U1500">
        <f>IF(connections!$A1500="","",IFERROR(INDEX(games!$B$2:$B$1200,MATCH(connections!$B1500,games!$A$2:$A$1200,0)),""))</f>
      </c>
      <c r="V1500">
        <f>IF(OR($T1500="",$U1500=""),"",$U1500-$T1500)</f>
      </c>
    </row>
    <row r="1501">
      <c r="T1501" t="str">
        <f>IF(connections!$A1501="","",IFERROR(INDEX(games!$B$2:$B$1200,MATCH(connections!$A1501,games!$A$2:$A$1200,0)),""))</f>
      </c>
      <c r="U1501">
        <f>IF(connections!$A1501="","",IFERROR(INDEX(games!$B$2:$B$1200,MATCH(connections!$B1501,games!$A$2:$A$1200,0)),""))</f>
      </c>
      <c r="V1501">
        <f>IF(OR($T1501="",$U1501=""),"",$U1501-$T1501)</f>
      </c>
    </row>
    <row r="1502">
      <c r="T1502" t="str">
        <f>IF(connections!$A1502="","",IFERROR(INDEX(games!$B$2:$B$1200,MATCH(connections!$A1502,games!$A$2:$A$1200,0)),""))</f>
      </c>
      <c r="U1502">
        <f>IF(connections!$A1502="","",IFERROR(INDEX(games!$B$2:$B$1200,MATCH(connections!$B1502,games!$A$2:$A$1200,0)),""))</f>
      </c>
      <c r="V1502">
        <f>IF(OR($T1502="",$U1502=""),"",$U1502-$T1502)</f>
      </c>
    </row>
    <row r="1503">
      <c r="T1503" t="str">
        <f>IF(connections!$A1503="","",IFERROR(INDEX(games!$B$2:$B$1200,MATCH(connections!$A1503,games!$A$2:$A$1200,0)),""))</f>
      </c>
      <c r="U1503">
        <f>IF(connections!$A1503="","",IFERROR(INDEX(games!$B$2:$B$1200,MATCH(connections!$B1503,games!$A$2:$A$1200,0)),""))</f>
      </c>
      <c r="V1503">
        <f>IF(OR($T1503="",$U1503=""),"",$U1503-$T1503)</f>
      </c>
    </row>
    <row r="1504">
      <c r="T1504" t="str">
        <f>IF(connections!$A1504="","",IFERROR(INDEX(games!$B$2:$B$1200,MATCH(connections!$A1504,games!$A$2:$A$1200,0)),""))</f>
      </c>
      <c r="U1504">
        <f>IF(connections!$A1504="","",IFERROR(INDEX(games!$B$2:$B$1200,MATCH(connections!$B1504,games!$A$2:$A$1200,0)),""))</f>
      </c>
      <c r="V1504">
        <f>IF(OR($T1504="",$U1504=""),"",$U1504-$T1504)</f>
      </c>
    </row>
    <row r="1505">
      <c r="T1505" t="str">
        <f>IF(connections!$A1505="","",IFERROR(INDEX(games!$B$2:$B$1200,MATCH(connections!$A1505,games!$A$2:$A$1200,0)),""))</f>
      </c>
      <c r="U1505">
        <f>IF(connections!$A1505="","",IFERROR(INDEX(games!$B$2:$B$1200,MATCH(connections!$B1505,games!$A$2:$A$1200,0)),""))</f>
      </c>
      <c r="V1505">
        <f>IF(OR($T1505="",$U1505=""),"",$U1505-$T1505)</f>
      </c>
    </row>
    <row r="1506">
      <c r="T1506" t="str">
        <f>IF(connections!$A1506="","",IFERROR(INDEX(games!$B$2:$B$1200,MATCH(connections!$A1506,games!$A$2:$A$1200,0)),""))</f>
      </c>
      <c r="U1506">
        <f>IF(connections!$A1506="","",IFERROR(INDEX(games!$B$2:$B$1200,MATCH(connections!$B1506,games!$A$2:$A$1200,0)),""))</f>
      </c>
      <c r="V1506">
        <f>IF(OR($T1506="",$U1506=""),"",$U1506-$T1506)</f>
      </c>
    </row>
    <row r="1507">
      <c r="T1507" t="str">
        <f>IF(connections!$A1507="","",IFERROR(INDEX(games!$B$2:$B$1200,MATCH(connections!$A1507,games!$A$2:$A$1200,0)),""))</f>
      </c>
      <c r="U1507">
        <f>IF(connections!$A1507="","",IFERROR(INDEX(games!$B$2:$B$1200,MATCH(connections!$B1507,games!$A$2:$A$1200,0)),""))</f>
      </c>
      <c r="V1507">
        <f>IF(OR($T1507="",$U1507=""),"",$U1507-$T1507)</f>
      </c>
    </row>
    <row r="1508">
      <c r="T1508" t="str">
        <f>IF(connections!$A1508="","",IFERROR(INDEX(games!$B$2:$B$1200,MATCH(connections!$A1508,games!$A$2:$A$1200,0)),""))</f>
      </c>
      <c r="U1508">
        <f>IF(connections!$A1508="","",IFERROR(INDEX(games!$B$2:$B$1200,MATCH(connections!$B1508,games!$A$2:$A$1200,0)),""))</f>
      </c>
      <c r="V1508">
        <f>IF(OR($T1508="",$U1508=""),"",$U1508-$T1508)</f>
      </c>
    </row>
    <row r="1509">
      <c r="T1509" t="str">
        <f>IF(connections!$A1509="","",IFERROR(INDEX(games!$B$2:$B$1200,MATCH(connections!$A1509,games!$A$2:$A$1200,0)),""))</f>
      </c>
      <c r="U1509">
        <f>IF(connections!$A1509="","",IFERROR(INDEX(games!$B$2:$B$1200,MATCH(connections!$B1509,games!$A$2:$A$1200,0)),""))</f>
      </c>
      <c r="V1509">
        <f>IF(OR($T1509="",$U1509=""),"",$U1509-$T1509)</f>
      </c>
    </row>
    <row r="1510">
      <c r="T1510" t="str">
        <f>IF(connections!$A1510="","",IFERROR(INDEX(games!$B$2:$B$1200,MATCH(connections!$A1510,games!$A$2:$A$1200,0)),""))</f>
      </c>
      <c r="U1510">
        <f>IF(connections!$A1510="","",IFERROR(INDEX(games!$B$2:$B$1200,MATCH(connections!$B1510,games!$A$2:$A$1200,0)),""))</f>
      </c>
      <c r="V1510">
        <f>IF(OR($T1510="",$U1510=""),"",$U1510-$T1510)</f>
      </c>
    </row>
    <row r="1511">
      <c r="T1511" t="str">
        <f>IF(connections!$A1511="","",IFERROR(INDEX(games!$B$2:$B$1200,MATCH(connections!$A1511,games!$A$2:$A$1200,0)),""))</f>
      </c>
      <c r="U1511">
        <f>IF(connections!$A1511="","",IFERROR(INDEX(games!$B$2:$B$1200,MATCH(connections!$B1511,games!$A$2:$A$1200,0)),""))</f>
      </c>
      <c r="V1511">
        <f>IF(OR($T1511="",$U1511=""),"",$U1511-$T1511)</f>
      </c>
    </row>
    <row r="1512">
      <c r="T1512" t="str">
        <f>IF(connections!$A1512="","",IFERROR(INDEX(games!$B$2:$B$1200,MATCH(connections!$A1512,games!$A$2:$A$1200,0)),""))</f>
      </c>
      <c r="U1512">
        <f>IF(connections!$A1512="","",IFERROR(INDEX(games!$B$2:$B$1200,MATCH(connections!$B1512,games!$A$2:$A$1200,0)),""))</f>
      </c>
      <c r="V1512">
        <f>IF(OR($T1512="",$U1512=""),"",$U1512-$T1512)</f>
      </c>
    </row>
    <row r="1513">
      <c r="T1513" t="str">
        <f>IF(connections!$A1513="","",IFERROR(INDEX(games!$B$2:$B$1200,MATCH(connections!$A1513,games!$A$2:$A$1200,0)),""))</f>
      </c>
      <c r="U1513">
        <f>IF(connections!$A1513="","",IFERROR(INDEX(games!$B$2:$B$1200,MATCH(connections!$B1513,games!$A$2:$A$1200,0)),""))</f>
      </c>
      <c r="V1513">
        <f>IF(OR($T1513="",$U1513=""),"",$U1513-$T1513)</f>
      </c>
    </row>
    <row r="1514">
      <c r="T1514" t="str">
        <f>IF(connections!$A1514="","",IFERROR(INDEX(games!$B$2:$B$1200,MATCH(connections!$A1514,games!$A$2:$A$1200,0)),""))</f>
      </c>
      <c r="U1514">
        <f>IF(connections!$A1514="","",IFERROR(INDEX(games!$B$2:$B$1200,MATCH(connections!$B1514,games!$A$2:$A$1200,0)),""))</f>
      </c>
      <c r="V1514">
        <f>IF(OR($T1514="",$U1514=""),"",$U1514-$T1514)</f>
      </c>
    </row>
    <row r="1515">
      <c r="T1515" t="str">
        <f>IF(connections!$A1515="","",IFERROR(INDEX(games!$B$2:$B$1200,MATCH(connections!$A1515,games!$A$2:$A$1200,0)),""))</f>
      </c>
      <c r="U1515">
        <f>IF(connections!$A1515="","",IFERROR(INDEX(games!$B$2:$B$1200,MATCH(connections!$B1515,games!$A$2:$A$1200,0)),""))</f>
      </c>
      <c r="V1515">
        <f>IF(OR($T1515="",$U1515=""),"",$U1515-$T1515)</f>
      </c>
    </row>
    <row r="1516">
      <c r="T1516" t="str">
        <f>IF(connections!$A1516="","",IFERROR(INDEX(games!$B$2:$B$1200,MATCH(connections!$A1516,games!$A$2:$A$1200,0)),""))</f>
      </c>
      <c r="U1516">
        <f>IF(connections!$A1516="","",IFERROR(INDEX(games!$B$2:$B$1200,MATCH(connections!$B1516,games!$A$2:$A$1200,0)),""))</f>
      </c>
      <c r="V1516">
        <f>IF(OR($T1516="",$U1516=""),"",$U1516-$T1516)</f>
      </c>
    </row>
    <row r="1517">
      <c r="T1517" t="str">
        <f>IF(connections!$A1517="","",IFERROR(INDEX(games!$B$2:$B$1200,MATCH(connections!$A1517,games!$A$2:$A$1200,0)),""))</f>
      </c>
      <c r="U1517">
        <f>IF(connections!$A1517="","",IFERROR(INDEX(games!$B$2:$B$1200,MATCH(connections!$B1517,games!$A$2:$A$1200,0)),""))</f>
      </c>
      <c r="V1517">
        <f>IF(OR($T1517="",$U1517=""),"",$U1517-$T1517)</f>
      </c>
    </row>
    <row r="1518">
      <c r="T1518" t="str">
        <f>IF(connections!$A1518="","",IFERROR(INDEX(games!$B$2:$B$1200,MATCH(connections!$A1518,games!$A$2:$A$1200,0)),""))</f>
      </c>
      <c r="U1518">
        <f>IF(connections!$A1518="","",IFERROR(INDEX(games!$B$2:$B$1200,MATCH(connections!$B1518,games!$A$2:$A$1200,0)),""))</f>
      </c>
      <c r="V1518">
        <f>IF(OR($T1518="",$U1518=""),"",$U1518-$T1518)</f>
      </c>
    </row>
    <row r="1519">
      <c r="T1519" t="str">
        <f>IF(connections!$A1519="","",IFERROR(INDEX(games!$B$2:$B$1200,MATCH(connections!$A1519,games!$A$2:$A$1200,0)),""))</f>
      </c>
      <c r="U1519">
        <f>IF(connections!$A1519="","",IFERROR(INDEX(games!$B$2:$B$1200,MATCH(connections!$B1519,games!$A$2:$A$1200,0)),""))</f>
      </c>
      <c r="V1519">
        <f>IF(OR($T1519="",$U1519=""),"",$U1519-$T1519)</f>
      </c>
    </row>
    <row r="1520">
      <c r="T1520" t="str">
        <f>IF(connections!$A1520="","",IFERROR(INDEX(games!$B$2:$B$1200,MATCH(connections!$A1520,games!$A$2:$A$1200,0)),""))</f>
      </c>
      <c r="U1520">
        <f>IF(connections!$A1520="","",IFERROR(INDEX(games!$B$2:$B$1200,MATCH(connections!$B1520,games!$A$2:$A$1200,0)),""))</f>
      </c>
      <c r="V1520">
        <f>IF(OR($T1520="",$U1520=""),"",$U1520-$T1520)</f>
      </c>
    </row>
    <row r="1521">
      <c r="T1521" t="str">
        <f>IF(connections!$A1521="","",IFERROR(INDEX(games!$B$2:$B$1200,MATCH(connections!$A1521,games!$A$2:$A$1200,0)),""))</f>
      </c>
      <c r="U1521">
        <f>IF(connections!$A1521="","",IFERROR(INDEX(games!$B$2:$B$1200,MATCH(connections!$B1521,games!$A$2:$A$1200,0)),""))</f>
      </c>
      <c r="V1521">
        <f>IF(OR($T1521="",$U1521=""),"",$U1521-$T1521)</f>
      </c>
    </row>
    <row r="1522">
      <c r="T1522" t="str">
        <f>IF(connections!$A1522="","",IFERROR(INDEX(games!$B$2:$B$1200,MATCH(connections!$A1522,games!$A$2:$A$1200,0)),""))</f>
      </c>
      <c r="U1522">
        <f>IF(connections!$A1522="","",IFERROR(INDEX(games!$B$2:$B$1200,MATCH(connections!$B1522,games!$A$2:$A$1200,0)),""))</f>
      </c>
      <c r="V1522">
        <f>IF(OR($T1522="",$U1522=""),"",$U1522-$T1522)</f>
      </c>
    </row>
    <row r="1523">
      <c r="T1523" t="str">
        <f>IF(connections!$A1523="","",IFERROR(INDEX(games!$B$2:$B$1200,MATCH(connections!$A1523,games!$A$2:$A$1200,0)),""))</f>
      </c>
      <c r="U1523">
        <f>IF(connections!$A1523="","",IFERROR(INDEX(games!$B$2:$B$1200,MATCH(connections!$B1523,games!$A$2:$A$1200,0)),""))</f>
      </c>
      <c r="V1523">
        <f>IF(OR($T1523="",$U1523=""),"",$U1523-$T1523)</f>
      </c>
    </row>
    <row r="1524">
      <c r="T1524" t="str">
        <f>IF(connections!$A1524="","",IFERROR(INDEX(games!$B$2:$B$1200,MATCH(connections!$A1524,games!$A$2:$A$1200,0)),""))</f>
      </c>
      <c r="U1524">
        <f>IF(connections!$A1524="","",IFERROR(INDEX(games!$B$2:$B$1200,MATCH(connections!$B1524,games!$A$2:$A$1200,0)),""))</f>
      </c>
      <c r="V1524">
        <f>IF(OR($T1524="",$U1524=""),"",$U1524-$T1524)</f>
      </c>
    </row>
    <row r="1525">
      <c r="T1525" t="str">
        <f>IF(connections!$A1525="","",IFERROR(INDEX(games!$B$2:$B$1200,MATCH(connections!$A1525,games!$A$2:$A$1200,0)),""))</f>
      </c>
      <c r="U1525">
        <f>IF(connections!$A1525="","",IFERROR(INDEX(games!$B$2:$B$1200,MATCH(connections!$B1525,games!$A$2:$A$1200,0)),""))</f>
      </c>
      <c r="V1525">
        <f>IF(OR($T1525="",$U1525=""),"",$U1525-$T1525)</f>
      </c>
    </row>
    <row r="1526">
      <c r="T1526" t="str">
        <f>IF(connections!$A1526="","",IFERROR(INDEX(games!$B$2:$B$1200,MATCH(connections!$A1526,games!$A$2:$A$1200,0)),""))</f>
      </c>
      <c r="U1526">
        <f>IF(connections!$A1526="","",IFERROR(INDEX(games!$B$2:$B$1200,MATCH(connections!$B1526,games!$A$2:$A$1200,0)),""))</f>
      </c>
      <c r="V1526">
        <f>IF(OR($T1526="",$U1526=""),"",$U1526-$T1526)</f>
      </c>
    </row>
    <row r="1527">
      <c r="T1527" t="str">
        <f>IF(connections!$A1527="","",IFERROR(INDEX(games!$B$2:$B$1200,MATCH(connections!$A1527,games!$A$2:$A$1200,0)),""))</f>
      </c>
      <c r="U1527">
        <f>IF(connections!$A1527="","",IFERROR(INDEX(games!$B$2:$B$1200,MATCH(connections!$B1527,games!$A$2:$A$1200,0)),""))</f>
      </c>
      <c r="V1527">
        <f>IF(OR($T1527="",$U1527=""),"",$U1527-$T1527)</f>
      </c>
    </row>
    <row r="1528">
      <c r="T1528" t="str">
        <f>IF(connections!$A1528="","",IFERROR(INDEX(games!$B$2:$B$1200,MATCH(connections!$A1528,games!$A$2:$A$1200,0)),""))</f>
      </c>
      <c r="U1528">
        <f>IF(connections!$A1528="","",IFERROR(INDEX(games!$B$2:$B$1200,MATCH(connections!$B1528,games!$A$2:$A$1200,0)),""))</f>
      </c>
      <c r="V1528">
        <f>IF(OR($T1528="",$U1528=""),"",$U1528-$T1528)</f>
      </c>
    </row>
    <row r="1529">
      <c r="T1529" t="str">
        <f>IF(connections!$A1529="","",IFERROR(INDEX(games!$B$2:$B$1200,MATCH(connections!$A1529,games!$A$2:$A$1200,0)),""))</f>
      </c>
      <c r="U1529">
        <f>IF(connections!$A1529="","",IFERROR(INDEX(games!$B$2:$B$1200,MATCH(connections!$B1529,games!$A$2:$A$1200,0)),""))</f>
      </c>
      <c r="V1529">
        <f>IF(OR($T1529="",$U1529=""),"",$U1529-$T1529)</f>
      </c>
    </row>
    <row r="1530">
      <c r="T1530" t="str">
        <f>IF(connections!$A1530="","",IFERROR(INDEX(games!$B$2:$B$1200,MATCH(connections!$A1530,games!$A$2:$A$1200,0)),""))</f>
      </c>
      <c r="U1530">
        <f>IF(connections!$A1530="","",IFERROR(INDEX(games!$B$2:$B$1200,MATCH(connections!$B1530,games!$A$2:$A$1200,0)),""))</f>
      </c>
      <c r="V1530">
        <f>IF(OR($T1530="",$U1530=""),"",$U1530-$T1530)</f>
      </c>
    </row>
    <row r="1531">
      <c r="T1531" t="str">
        <f>IF(connections!$A1531="","",IFERROR(INDEX(games!$B$2:$B$1200,MATCH(connections!$A1531,games!$A$2:$A$1200,0)),""))</f>
      </c>
      <c r="U1531">
        <f>IF(connections!$A1531="","",IFERROR(INDEX(games!$B$2:$B$1200,MATCH(connections!$B1531,games!$A$2:$A$1200,0)),""))</f>
      </c>
      <c r="V1531">
        <f>IF(OR($T1531="",$U1531=""),"",$U1531-$T1531)</f>
      </c>
    </row>
    <row r="1532">
      <c r="T1532" t="str">
        <f>IF(connections!$A1532="","",IFERROR(INDEX(games!$B$2:$B$1200,MATCH(connections!$A1532,games!$A$2:$A$1200,0)),""))</f>
      </c>
      <c r="U1532">
        <f>IF(connections!$A1532="","",IFERROR(INDEX(games!$B$2:$B$1200,MATCH(connections!$B1532,games!$A$2:$A$1200,0)),""))</f>
      </c>
      <c r="V1532">
        <f>IF(OR($T1532="",$U1532=""),"",$U1532-$T1532)</f>
      </c>
    </row>
    <row r="1533">
      <c r="T1533" t="str">
        <f>IF(connections!$A1533="","",IFERROR(INDEX(games!$B$2:$B$1200,MATCH(connections!$A1533,games!$A$2:$A$1200,0)),""))</f>
      </c>
      <c r="U1533">
        <f>IF(connections!$A1533="","",IFERROR(INDEX(games!$B$2:$B$1200,MATCH(connections!$B1533,games!$A$2:$A$1200,0)),""))</f>
      </c>
      <c r="V1533">
        <f>IF(OR($T1533="",$U1533=""),"",$U1533-$T1533)</f>
      </c>
    </row>
    <row r="1534">
      <c r="T1534" t="str">
        <f>IF(connections!$A1534="","",IFERROR(INDEX(games!$B$2:$B$1200,MATCH(connections!$A1534,games!$A$2:$A$1200,0)),""))</f>
      </c>
      <c r="U1534">
        <f>IF(connections!$A1534="","",IFERROR(INDEX(games!$B$2:$B$1200,MATCH(connections!$B1534,games!$A$2:$A$1200,0)),""))</f>
      </c>
      <c r="V1534">
        <f>IF(OR($T1534="",$U1534=""),"",$U1534-$T1534)</f>
      </c>
    </row>
    <row r="1535">
      <c r="T1535" t="str">
        <f>IF(connections!$A1535="","",IFERROR(INDEX(games!$B$2:$B$1200,MATCH(connections!$A1535,games!$A$2:$A$1200,0)),""))</f>
      </c>
      <c r="U1535">
        <f>IF(connections!$A1535="","",IFERROR(INDEX(games!$B$2:$B$1200,MATCH(connections!$B1535,games!$A$2:$A$1200,0)),""))</f>
      </c>
      <c r="V1535">
        <f>IF(OR($T1535="",$U1535=""),"",$U1535-$T1535)</f>
      </c>
    </row>
    <row r="1536">
      <c r="T1536" t="str">
        <f>IF(connections!$A1536="","",IFERROR(INDEX(games!$B$2:$B$1200,MATCH(connections!$A1536,games!$A$2:$A$1200,0)),""))</f>
      </c>
      <c r="U1536">
        <f>IF(connections!$A1536="","",IFERROR(INDEX(games!$B$2:$B$1200,MATCH(connections!$B1536,games!$A$2:$A$1200,0)),""))</f>
      </c>
      <c r="V1536">
        <f>IF(OR($T1536="",$U1536=""),"",$U1536-$T1536)</f>
      </c>
    </row>
    <row r="1537">
      <c r="T1537" t="str">
        <f>IF(connections!$A1537="","",IFERROR(INDEX(games!$B$2:$B$1200,MATCH(connections!$A1537,games!$A$2:$A$1200,0)),""))</f>
      </c>
      <c r="U1537">
        <f>IF(connections!$A1537="","",IFERROR(INDEX(games!$B$2:$B$1200,MATCH(connections!$B1537,games!$A$2:$A$1200,0)),""))</f>
      </c>
      <c r="V1537">
        <f>IF(OR($T1537="",$U1537=""),"",$U1537-$T1537)</f>
      </c>
    </row>
    <row r="1538">
      <c r="T1538" t="str">
        <f>IF(connections!$A1538="","",IFERROR(INDEX(games!$B$2:$B$1200,MATCH(connections!$A1538,games!$A$2:$A$1200,0)),""))</f>
      </c>
      <c r="U1538">
        <f>IF(connections!$A1538="","",IFERROR(INDEX(games!$B$2:$B$1200,MATCH(connections!$B1538,games!$A$2:$A$1200,0)),""))</f>
      </c>
      <c r="V1538">
        <f>IF(OR($T1538="",$U1538=""),"",$U1538-$T1538)</f>
      </c>
    </row>
    <row r="1539">
      <c r="T1539" t="str">
        <f>IF(connections!$A1539="","",IFERROR(INDEX(games!$B$2:$B$1200,MATCH(connections!$A1539,games!$A$2:$A$1200,0)),""))</f>
      </c>
      <c r="U1539">
        <f>IF(connections!$A1539="","",IFERROR(INDEX(games!$B$2:$B$1200,MATCH(connections!$B1539,games!$A$2:$A$1200,0)),""))</f>
      </c>
      <c r="V1539">
        <f>IF(OR($T1539="",$U1539=""),"",$U1539-$T1539)</f>
      </c>
    </row>
    <row r="1540">
      <c r="T1540" t="str">
        <f>IF(connections!$A1540="","",IFERROR(INDEX(games!$B$2:$B$1200,MATCH(connections!$A1540,games!$A$2:$A$1200,0)),""))</f>
      </c>
      <c r="U1540">
        <f>IF(connections!$A1540="","",IFERROR(INDEX(games!$B$2:$B$1200,MATCH(connections!$B1540,games!$A$2:$A$1200,0)),""))</f>
      </c>
      <c r="V1540">
        <f>IF(OR($T1540="",$U1540=""),"",$U1540-$T1540)</f>
      </c>
    </row>
    <row r="1541">
      <c r="T1541" t="str">
        <f>IF(connections!$A1541="","",IFERROR(INDEX(games!$B$2:$B$1200,MATCH(connections!$A1541,games!$A$2:$A$1200,0)),""))</f>
      </c>
      <c r="U1541">
        <f>IF(connections!$A1541="","",IFERROR(INDEX(games!$B$2:$B$1200,MATCH(connections!$B1541,games!$A$2:$A$1200,0)),""))</f>
      </c>
      <c r="V1541">
        <f>IF(OR($T1541="",$U1541=""),"",$U1541-$T1541)</f>
      </c>
    </row>
    <row r="1542">
      <c r="T1542" t="str">
        <f>IF(connections!$A1542="","",IFERROR(INDEX(games!$B$2:$B$1200,MATCH(connections!$A1542,games!$A$2:$A$1200,0)),""))</f>
      </c>
      <c r="U1542">
        <f>IF(connections!$A1542="","",IFERROR(INDEX(games!$B$2:$B$1200,MATCH(connections!$B1542,games!$A$2:$A$1200,0)),""))</f>
      </c>
      <c r="V1542">
        <f>IF(OR($T1542="",$U1542=""),"",$U1542-$T1542)</f>
      </c>
    </row>
    <row r="1543">
      <c r="T1543" t="str">
        <f>IF(connections!$A1543="","",IFERROR(INDEX(games!$B$2:$B$1200,MATCH(connections!$A1543,games!$A$2:$A$1200,0)),""))</f>
      </c>
      <c r="U1543">
        <f>IF(connections!$A1543="","",IFERROR(INDEX(games!$B$2:$B$1200,MATCH(connections!$B1543,games!$A$2:$A$1200,0)),""))</f>
      </c>
      <c r="V1543">
        <f>IF(OR($T1543="",$U1543=""),"",$U1543-$T1543)</f>
      </c>
    </row>
    <row r="1544">
      <c r="T1544" t="str">
        <f>IF(connections!$A1544="","",IFERROR(INDEX(games!$B$2:$B$1200,MATCH(connections!$A1544,games!$A$2:$A$1200,0)),""))</f>
      </c>
      <c r="U1544">
        <f>IF(connections!$A1544="","",IFERROR(INDEX(games!$B$2:$B$1200,MATCH(connections!$B1544,games!$A$2:$A$1200,0)),""))</f>
      </c>
      <c r="V1544">
        <f>IF(OR($T1544="",$U1544=""),"",$U1544-$T1544)</f>
      </c>
    </row>
    <row r="1545">
      <c r="T1545" t="str">
        <f>IF(connections!$A1545="","",IFERROR(INDEX(games!$B$2:$B$1200,MATCH(connections!$A1545,games!$A$2:$A$1200,0)),""))</f>
      </c>
      <c r="U1545">
        <f>IF(connections!$A1545="","",IFERROR(INDEX(games!$B$2:$B$1200,MATCH(connections!$B1545,games!$A$2:$A$1200,0)),""))</f>
      </c>
      <c r="V1545">
        <f>IF(OR($T1545="",$U1545=""),"",$U1545-$T1545)</f>
      </c>
    </row>
    <row r="1546">
      <c r="T1546" t="str">
        <f>IF(connections!$A1546="","",IFERROR(INDEX(games!$B$2:$B$1200,MATCH(connections!$A1546,games!$A$2:$A$1200,0)),""))</f>
      </c>
      <c r="U1546">
        <f>IF(connections!$A1546="","",IFERROR(INDEX(games!$B$2:$B$1200,MATCH(connections!$B1546,games!$A$2:$A$1200,0)),""))</f>
      </c>
      <c r="V1546">
        <f>IF(OR($T1546="",$U1546=""),"",$U1546-$T1546)</f>
      </c>
    </row>
    <row r="1547">
      <c r="T1547" t="str">
        <f>IF(connections!$A1547="","",IFERROR(INDEX(games!$B$2:$B$1200,MATCH(connections!$A1547,games!$A$2:$A$1200,0)),""))</f>
      </c>
      <c r="U1547">
        <f>IF(connections!$A1547="","",IFERROR(INDEX(games!$B$2:$B$1200,MATCH(connections!$B1547,games!$A$2:$A$1200,0)),""))</f>
      </c>
      <c r="V1547">
        <f>IF(OR($T1547="",$U1547=""),"",$U1547-$T1547)</f>
      </c>
    </row>
    <row r="1548">
      <c r="T1548" t="str">
        <f>IF(connections!$A1548="","",IFERROR(INDEX(games!$B$2:$B$1200,MATCH(connections!$A1548,games!$A$2:$A$1200,0)),""))</f>
      </c>
      <c r="U1548">
        <f>IF(connections!$A1548="","",IFERROR(INDEX(games!$B$2:$B$1200,MATCH(connections!$B1548,games!$A$2:$A$1200,0)),""))</f>
      </c>
      <c r="V1548">
        <f>IF(OR($T1548="",$U1548=""),"",$U1548-$T1548)</f>
      </c>
    </row>
    <row r="1549">
      <c r="T1549" t="str">
        <f>IF(connections!$A1549="","",IFERROR(INDEX(games!$B$2:$B$1200,MATCH(connections!$A1549,games!$A$2:$A$1200,0)),""))</f>
      </c>
      <c r="U1549">
        <f>IF(connections!$A1549="","",IFERROR(INDEX(games!$B$2:$B$1200,MATCH(connections!$B1549,games!$A$2:$A$1200,0)),""))</f>
      </c>
      <c r="V1549">
        <f>IF(OR($T1549="",$U1549=""),"",$U1549-$T1549)</f>
      </c>
    </row>
    <row r="1550">
      <c r="T1550" t="str">
        <f>IF(connections!$A1550="","",IFERROR(INDEX(games!$B$2:$B$1200,MATCH(connections!$A1550,games!$A$2:$A$1200,0)),""))</f>
      </c>
      <c r="U1550">
        <f>IF(connections!$A1550="","",IFERROR(INDEX(games!$B$2:$B$1200,MATCH(connections!$B1550,games!$A$2:$A$1200,0)),""))</f>
      </c>
      <c r="V1550">
        <f>IF(OR($T1550="",$U1550=""),"",$U1550-$T1550)</f>
      </c>
    </row>
    <row r="1551">
      <c r="T1551" t="str">
        <f>IF(connections!$A1551="","",IFERROR(INDEX(games!$B$2:$B$1200,MATCH(connections!$A1551,games!$A$2:$A$1200,0)),""))</f>
      </c>
      <c r="U1551">
        <f>IF(connections!$A1551="","",IFERROR(INDEX(games!$B$2:$B$1200,MATCH(connections!$B1551,games!$A$2:$A$1200,0)),""))</f>
      </c>
      <c r="V1551">
        <f>IF(OR($T1551="",$U1551=""),"",$U1551-$T1551)</f>
      </c>
    </row>
    <row r="1552">
      <c r="T1552" t="str">
        <f>IF(connections!$A1552="","",IFERROR(INDEX(games!$B$2:$B$1200,MATCH(connections!$A1552,games!$A$2:$A$1200,0)),""))</f>
      </c>
      <c r="U1552">
        <f>IF(connections!$A1552="","",IFERROR(INDEX(games!$B$2:$B$1200,MATCH(connections!$B1552,games!$A$2:$A$1200,0)),""))</f>
      </c>
      <c r="V1552">
        <f>IF(OR($T1552="",$U1552=""),"",$U1552-$T1552)</f>
      </c>
    </row>
    <row r="1553">
      <c r="T1553" t="str">
        <f>IF(connections!$A1553="","",IFERROR(INDEX(games!$B$2:$B$1200,MATCH(connections!$A1553,games!$A$2:$A$1200,0)),""))</f>
      </c>
      <c r="U1553">
        <f>IF(connections!$A1553="","",IFERROR(INDEX(games!$B$2:$B$1200,MATCH(connections!$B1553,games!$A$2:$A$1200,0)),""))</f>
      </c>
      <c r="V1553">
        <f>IF(OR($T1553="",$U1553=""),"",$U1553-$T1553)</f>
      </c>
    </row>
    <row r="1554">
      <c r="T1554" t="str">
        <f>IF(connections!$A1554="","",IFERROR(INDEX(games!$B$2:$B$1200,MATCH(connections!$A1554,games!$A$2:$A$1200,0)),""))</f>
      </c>
      <c r="U1554">
        <f>IF(connections!$A1554="","",IFERROR(INDEX(games!$B$2:$B$1200,MATCH(connections!$B1554,games!$A$2:$A$1200,0)),""))</f>
      </c>
      <c r="V1554">
        <f>IF(OR($T1554="",$U1554=""),"",$U1554-$T1554)</f>
      </c>
    </row>
    <row r="1555">
      <c r="T1555" t="str">
        <f>IF(connections!$A1555="","",IFERROR(INDEX(games!$B$2:$B$1200,MATCH(connections!$A1555,games!$A$2:$A$1200,0)),""))</f>
      </c>
      <c r="U1555">
        <f>IF(connections!$A1555="","",IFERROR(INDEX(games!$B$2:$B$1200,MATCH(connections!$B1555,games!$A$2:$A$1200,0)),""))</f>
      </c>
      <c r="V1555">
        <f>IF(OR($T1555="",$U1555=""),"",$U1555-$T1555)</f>
      </c>
    </row>
    <row r="1556">
      <c r="T1556" t="str">
        <f>IF(connections!$A1556="","",IFERROR(INDEX(games!$B$2:$B$1200,MATCH(connections!$A1556,games!$A$2:$A$1200,0)),""))</f>
      </c>
      <c r="U1556">
        <f>IF(connections!$A1556="","",IFERROR(INDEX(games!$B$2:$B$1200,MATCH(connections!$B1556,games!$A$2:$A$1200,0)),""))</f>
      </c>
      <c r="V1556">
        <f>IF(OR($T1556="",$U1556=""),"",$U1556-$T1556)</f>
      </c>
    </row>
    <row r="1557">
      <c r="T1557" t="str">
        <f>IF(connections!$A1557="","",IFERROR(INDEX(games!$B$2:$B$1200,MATCH(connections!$A1557,games!$A$2:$A$1200,0)),""))</f>
      </c>
      <c r="U1557">
        <f>IF(connections!$A1557="","",IFERROR(INDEX(games!$B$2:$B$1200,MATCH(connections!$B1557,games!$A$2:$A$1200,0)),""))</f>
      </c>
      <c r="V1557">
        <f>IF(OR($T1557="",$U1557=""),"",$U1557-$T1557)</f>
      </c>
    </row>
    <row r="1558">
      <c r="T1558" t="str">
        <f>IF(connections!$A1558="","",IFERROR(INDEX(games!$B$2:$B$1200,MATCH(connections!$A1558,games!$A$2:$A$1200,0)),""))</f>
      </c>
      <c r="U1558">
        <f>IF(connections!$A1558="","",IFERROR(INDEX(games!$B$2:$B$1200,MATCH(connections!$B1558,games!$A$2:$A$1200,0)),""))</f>
      </c>
      <c r="V1558">
        <f>IF(OR($T1558="",$U1558=""),"",$U1558-$T1558)</f>
      </c>
    </row>
    <row r="1559">
      <c r="T1559" t="str">
        <f>IF(connections!$A1559="","",IFERROR(INDEX(games!$B$2:$B$1200,MATCH(connections!$A1559,games!$A$2:$A$1200,0)),""))</f>
      </c>
      <c r="U1559">
        <f>IF(connections!$A1559="","",IFERROR(INDEX(games!$B$2:$B$1200,MATCH(connections!$B1559,games!$A$2:$A$1200,0)),""))</f>
      </c>
      <c r="V1559">
        <f>IF(OR($T1559="",$U1559=""),"",$U1559-$T1559)</f>
      </c>
    </row>
    <row r="1560">
      <c r="T1560" t="str">
        <f>IF(connections!$A1560="","",IFERROR(INDEX(games!$B$2:$B$1200,MATCH(connections!$A1560,games!$A$2:$A$1200,0)),""))</f>
      </c>
      <c r="U1560">
        <f>IF(connections!$A1560="","",IFERROR(INDEX(games!$B$2:$B$1200,MATCH(connections!$B1560,games!$A$2:$A$1200,0)),""))</f>
      </c>
      <c r="V1560">
        <f>IF(OR($T1560="",$U1560=""),"",$U1560-$T1560)</f>
      </c>
    </row>
    <row r="1561">
      <c r="T1561" t="str">
        <f>IF(connections!$A1561="","",IFERROR(INDEX(games!$B$2:$B$1200,MATCH(connections!$A1561,games!$A$2:$A$1200,0)),""))</f>
      </c>
      <c r="U1561">
        <f>IF(connections!$A1561="","",IFERROR(INDEX(games!$B$2:$B$1200,MATCH(connections!$B1561,games!$A$2:$A$1200,0)),""))</f>
      </c>
      <c r="V1561">
        <f>IF(OR($T1561="",$U1561=""),"",$U1561-$T1561)</f>
      </c>
    </row>
    <row r="1562">
      <c r="T1562" t="str">
        <f>IF(connections!$A1562="","",IFERROR(INDEX(games!$B$2:$B$1200,MATCH(connections!$A1562,games!$A$2:$A$1200,0)),""))</f>
      </c>
      <c r="U1562">
        <f>IF(connections!$A1562="","",IFERROR(INDEX(games!$B$2:$B$1200,MATCH(connections!$B1562,games!$A$2:$A$1200,0)),""))</f>
      </c>
      <c r="V1562">
        <f>IF(OR($T1562="",$U1562=""),"",$U1562-$T1562)</f>
      </c>
    </row>
    <row r="1563">
      <c r="T1563" t="str">
        <f>IF(connections!$A1563="","",IFERROR(INDEX(games!$B$2:$B$1200,MATCH(connections!$A1563,games!$A$2:$A$1200,0)),""))</f>
      </c>
      <c r="U1563">
        <f>IF(connections!$A1563="","",IFERROR(INDEX(games!$B$2:$B$1200,MATCH(connections!$B1563,games!$A$2:$A$1200,0)),""))</f>
      </c>
      <c r="V1563">
        <f>IF(OR($T1563="",$U1563=""),"",$U1563-$T1563)</f>
      </c>
    </row>
    <row r="1564">
      <c r="T1564" t="str">
        <f>IF(connections!$A1564="","",IFERROR(INDEX(games!$B$2:$B$1200,MATCH(connections!$A1564,games!$A$2:$A$1200,0)),""))</f>
      </c>
      <c r="U1564">
        <f>IF(connections!$A1564="","",IFERROR(INDEX(games!$B$2:$B$1200,MATCH(connections!$B1564,games!$A$2:$A$1200,0)),""))</f>
      </c>
      <c r="V1564">
        <f>IF(OR($T1564="",$U1564=""),"",$U1564-$T1564)</f>
      </c>
    </row>
    <row r="1565">
      <c r="T1565" t="str">
        <f>IF(connections!$A1565="","",IFERROR(INDEX(games!$B$2:$B$1200,MATCH(connections!$A1565,games!$A$2:$A$1200,0)),""))</f>
      </c>
      <c r="U1565">
        <f>IF(connections!$A1565="","",IFERROR(INDEX(games!$B$2:$B$1200,MATCH(connections!$B1565,games!$A$2:$A$1200,0)),""))</f>
      </c>
      <c r="V1565">
        <f>IF(OR($T1565="",$U1565=""),"",$U1565-$T1565)</f>
      </c>
    </row>
    <row r="1566">
      <c r="T1566" t="str">
        <f>IF(connections!$A1566="","",IFERROR(INDEX(games!$B$2:$B$1200,MATCH(connections!$A1566,games!$A$2:$A$1200,0)),""))</f>
      </c>
      <c r="U1566">
        <f>IF(connections!$A1566="","",IFERROR(INDEX(games!$B$2:$B$1200,MATCH(connections!$B1566,games!$A$2:$A$1200,0)),""))</f>
      </c>
      <c r="V1566">
        <f>IF(OR($T1566="",$U1566=""),"",$U1566-$T1566)</f>
      </c>
    </row>
    <row r="1567">
      <c r="T1567" t="str">
        <f>IF(connections!$A1567="","",IFERROR(INDEX(games!$B$2:$B$1200,MATCH(connections!$A1567,games!$A$2:$A$1200,0)),""))</f>
      </c>
      <c r="U1567">
        <f>IF(connections!$A1567="","",IFERROR(INDEX(games!$B$2:$B$1200,MATCH(connections!$B1567,games!$A$2:$A$1200,0)),""))</f>
      </c>
      <c r="V1567">
        <f>IF(OR($T1567="",$U1567=""),"",$U1567-$T1567)</f>
      </c>
    </row>
    <row r="1568">
      <c r="T1568" t="str">
        <f>IF(connections!$A1568="","",IFERROR(INDEX(games!$B$2:$B$1200,MATCH(connections!$A1568,games!$A$2:$A$1200,0)),""))</f>
      </c>
      <c r="U1568">
        <f>IF(connections!$A1568="","",IFERROR(INDEX(games!$B$2:$B$1200,MATCH(connections!$B1568,games!$A$2:$A$1200,0)),""))</f>
      </c>
      <c r="V1568">
        <f>IF(OR($T1568="",$U1568=""),"",$U1568-$T1568)</f>
      </c>
    </row>
    <row r="1569">
      <c r="T1569" t="str">
        <f>IF(connections!$A1569="","",IFERROR(INDEX(games!$B$2:$B$1200,MATCH(connections!$A1569,games!$A$2:$A$1200,0)),""))</f>
      </c>
      <c r="U1569">
        <f>IF(connections!$A1569="","",IFERROR(INDEX(games!$B$2:$B$1200,MATCH(connections!$B1569,games!$A$2:$A$1200,0)),""))</f>
      </c>
      <c r="V1569">
        <f>IF(OR($T1569="",$U1569=""),"",$U1569-$T1569)</f>
      </c>
    </row>
    <row r="1570">
      <c r="T1570" t="str">
        <f>IF(connections!$A1570="","",IFERROR(INDEX(games!$B$2:$B$1200,MATCH(connections!$A1570,games!$A$2:$A$1200,0)),""))</f>
      </c>
      <c r="U1570">
        <f>IF(connections!$A1570="","",IFERROR(INDEX(games!$B$2:$B$1200,MATCH(connections!$B1570,games!$A$2:$A$1200,0)),""))</f>
      </c>
      <c r="V1570">
        <f>IF(OR($T1570="",$U1570=""),"",$U1570-$T1570)</f>
      </c>
    </row>
    <row r="1571">
      <c r="T1571" t="str">
        <f>IF(connections!$A1571="","",IFERROR(INDEX(games!$B$2:$B$1200,MATCH(connections!$A1571,games!$A$2:$A$1200,0)),""))</f>
      </c>
      <c r="U1571">
        <f>IF(connections!$A1571="","",IFERROR(INDEX(games!$B$2:$B$1200,MATCH(connections!$B1571,games!$A$2:$A$1200,0)),""))</f>
      </c>
      <c r="V1571">
        <f>IF(OR($T1571="",$U1571=""),"",$U1571-$T1571)</f>
      </c>
    </row>
    <row r="1572">
      <c r="T1572" t="str">
        <f>IF(connections!$A1572="","",IFERROR(INDEX(games!$B$2:$B$1200,MATCH(connections!$A1572,games!$A$2:$A$1200,0)),""))</f>
      </c>
      <c r="U1572">
        <f>IF(connections!$A1572="","",IFERROR(INDEX(games!$B$2:$B$1200,MATCH(connections!$B1572,games!$A$2:$A$1200,0)),""))</f>
      </c>
      <c r="V1572">
        <f>IF(OR($T1572="",$U1572=""),"",$U1572-$T1572)</f>
      </c>
    </row>
    <row r="1573">
      <c r="T1573" t="str">
        <f>IF(connections!$A1573="","",IFERROR(INDEX(games!$B$2:$B$1200,MATCH(connections!$A1573,games!$A$2:$A$1200,0)),""))</f>
      </c>
      <c r="U1573">
        <f>IF(connections!$A1573="","",IFERROR(INDEX(games!$B$2:$B$1200,MATCH(connections!$B1573,games!$A$2:$A$1200,0)),""))</f>
      </c>
      <c r="V1573">
        <f>IF(OR($T1573="",$U1573=""),"",$U1573-$T1573)</f>
      </c>
    </row>
    <row r="1574">
      <c r="T1574" t="str">
        <f>IF(connections!$A1574="","",IFERROR(INDEX(games!$B$2:$B$1200,MATCH(connections!$A1574,games!$A$2:$A$1200,0)),""))</f>
      </c>
      <c r="U1574">
        <f>IF(connections!$A1574="","",IFERROR(INDEX(games!$B$2:$B$1200,MATCH(connections!$B1574,games!$A$2:$A$1200,0)),""))</f>
      </c>
      <c r="V1574">
        <f>IF(OR($T1574="",$U1574=""),"",$U1574-$T1574)</f>
      </c>
    </row>
    <row r="1575">
      <c r="T1575" t="str">
        <f>IF(connections!$A1575="","",IFERROR(INDEX(games!$B$2:$B$1200,MATCH(connections!$A1575,games!$A$2:$A$1200,0)),""))</f>
      </c>
      <c r="U1575">
        <f>IF(connections!$A1575="","",IFERROR(INDEX(games!$B$2:$B$1200,MATCH(connections!$B1575,games!$A$2:$A$1200,0)),""))</f>
      </c>
      <c r="V1575">
        <f>IF(OR($T1575="",$U1575=""),"",$U1575-$T1575)</f>
      </c>
    </row>
    <row r="1576">
      <c r="T1576" t="str">
        <f>IF(connections!$A1576="","",IFERROR(INDEX(games!$B$2:$B$1200,MATCH(connections!$A1576,games!$A$2:$A$1200,0)),""))</f>
      </c>
      <c r="U1576">
        <f>IF(connections!$A1576="","",IFERROR(INDEX(games!$B$2:$B$1200,MATCH(connections!$B1576,games!$A$2:$A$1200,0)),""))</f>
      </c>
      <c r="V1576">
        <f>IF(OR($T1576="",$U1576=""),"",$U1576-$T1576)</f>
      </c>
    </row>
    <row r="1577">
      <c r="T1577" t="str">
        <f>IF(connections!$A1577="","",IFERROR(INDEX(games!$B$2:$B$1200,MATCH(connections!$A1577,games!$A$2:$A$1200,0)),""))</f>
      </c>
      <c r="U1577">
        <f>IF(connections!$A1577="","",IFERROR(INDEX(games!$B$2:$B$1200,MATCH(connections!$B1577,games!$A$2:$A$1200,0)),""))</f>
      </c>
      <c r="V1577">
        <f>IF(OR($T1577="",$U1577=""),"",$U1577-$T1577)</f>
      </c>
    </row>
    <row r="1578">
      <c r="T1578" t="str">
        <f>IF(connections!$A1578="","",IFERROR(INDEX(games!$B$2:$B$1200,MATCH(connections!$A1578,games!$A$2:$A$1200,0)),""))</f>
      </c>
      <c r="U1578">
        <f>IF(connections!$A1578="","",IFERROR(INDEX(games!$B$2:$B$1200,MATCH(connections!$B1578,games!$A$2:$A$1200,0)),""))</f>
      </c>
      <c r="V1578">
        <f>IF(OR($T1578="",$U1578=""),"",$U1578-$T1578)</f>
      </c>
    </row>
    <row r="1579">
      <c r="T1579" t="str">
        <f>IF(connections!$A1579="","",IFERROR(INDEX(games!$B$2:$B$1200,MATCH(connections!$A1579,games!$A$2:$A$1200,0)),""))</f>
      </c>
      <c r="U1579">
        <f>IF(connections!$A1579="","",IFERROR(INDEX(games!$B$2:$B$1200,MATCH(connections!$B1579,games!$A$2:$A$1200,0)),""))</f>
      </c>
      <c r="V1579">
        <f>IF(OR($T1579="",$U1579=""),"",$U1579-$T1579)</f>
      </c>
    </row>
    <row r="1580">
      <c r="T1580" t="str">
        <f>IF(connections!$A1580="","",IFERROR(INDEX(games!$B$2:$B$1200,MATCH(connections!$A1580,games!$A$2:$A$1200,0)),""))</f>
      </c>
      <c r="U1580">
        <f>IF(connections!$A1580="","",IFERROR(INDEX(games!$B$2:$B$1200,MATCH(connections!$B1580,games!$A$2:$A$1200,0)),""))</f>
      </c>
      <c r="V1580">
        <f>IF(OR($T1580="",$U1580=""),"",$U1580-$T1580)</f>
      </c>
    </row>
    <row r="1581">
      <c r="T1581" t="str">
        <f>IF(connections!$A1581="","",IFERROR(INDEX(games!$B$2:$B$1200,MATCH(connections!$A1581,games!$A$2:$A$1200,0)),""))</f>
      </c>
      <c r="U1581">
        <f>IF(connections!$A1581="","",IFERROR(INDEX(games!$B$2:$B$1200,MATCH(connections!$B1581,games!$A$2:$A$1200,0)),""))</f>
      </c>
      <c r="V1581">
        <f>IF(OR($T1581="",$U1581=""),"",$U1581-$T1581)</f>
      </c>
    </row>
    <row r="1582">
      <c r="T1582" t="str">
        <f>IF(connections!$A1582="","",IFERROR(INDEX(games!$B$2:$B$1200,MATCH(connections!$A1582,games!$A$2:$A$1200,0)),""))</f>
      </c>
      <c r="U1582">
        <f>IF(connections!$A1582="","",IFERROR(INDEX(games!$B$2:$B$1200,MATCH(connections!$B1582,games!$A$2:$A$1200,0)),""))</f>
      </c>
      <c r="V1582">
        <f>IF(OR($T1582="",$U1582=""),"",$U1582-$T1582)</f>
      </c>
    </row>
    <row r="1583">
      <c r="T1583" t="str">
        <f>IF(connections!$A1583="","",IFERROR(INDEX(games!$B$2:$B$1200,MATCH(connections!$A1583,games!$A$2:$A$1200,0)),""))</f>
      </c>
      <c r="U1583">
        <f>IF(connections!$A1583="","",IFERROR(INDEX(games!$B$2:$B$1200,MATCH(connections!$B1583,games!$A$2:$A$1200,0)),""))</f>
      </c>
      <c r="V1583">
        <f>IF(OR($T1583="",$U1583=""),"",$U1583-$T1583)</f>
      </c>
    </row>
    <row r="1584">
      <c r="T1584" t="str">
        <f>IF(connections!$A1584="","",IFERROR(INDEX(games!$B$2:$B$1200,MATCH(connections!$A1584,games!$A$2:$A$1200,0)),""))</f>
      </c>
      <c r="U1584">
        <f>IF(connections!$A1584="","",IFERROR(INDEX(games!$B$2:$B$1200,MATCH(connections!$B1584,games!$A$2:$A$1200,0)),""))</f>
      </c>
      <c r="V1584">
        <f>IF(OR($T1584="",$U1584=""),"",$U1584-$T1584)</f>
      </c>
    </row>
    <row r="1585">
      <c r="T1585" t="str">
        <f>IF(connections!$A1585="","",IFERROR(INDEX(games!$B$2:$B$1200,MATCH(connections!$A1585,games!$A$2:$A$1200,0)),""))</f>
      </c>
      <c r="U1585">
        <f>IF(connections!$A1585="","",IFERROR(INDEX(games!$B$2:$B$1200,MATCH(connections!$B1585,games!$A$2:$A$1200,0)),""))</f>
      </c>
      <c r="V1585">
        <f>IF(OR($T1585="",$U1585=""),"",$U1585-$T1585)</f>
      </c>
    </row>
    <row r="1586">
      <c r="T1586" t="str">
        <f>IF(connections!$A1586="","",IFERROR(INDEX(games!$B$2:$B$1200,MATCH(connections!$A1586,games!$A$2:$A$1200,0)),""))</f>
      </c>
      <c r="U1586">
        <f>IF(connections!$A1586="","",IFERROR(INDEX(games!$B$2:$B$1200,MATCH(connections!$B1586,games!$A$2:$A$1200,0)),""))</f>
      </c>
      <c r="V1586">
        <f>IF(OR($T1586="",$U1586=""),"",$U1586-$T1586)</f>
      </c>
    </row>
    <row r="1587">
      <c r="T1587" t="str">
        <f>IF(connections!$A1587="","",IFERROR(INDEX(games!$B$2:$B$1200,MATCH(connections!$A1587,games!$A$2:$A$1200,0)),""))</f>
      </c>
      <c r="U1587">
        <f>IF(connections!$A1587="","",IFERROR(INDEX(games!$B$2:$B$1200,MATCH(connections!$B1587,games!$A$2:$A$1200,0)),""))</f>
      </c>
      <c r="V1587">
        <f>IF(OR($T1587="",$U1587=""),"",$U1587-$T1587)</f>
      </c>
    </row>
    <row r="1588">
      <c r="T1588" t="str">
        <f>IF(connections!$A1588="","",IFERROR(INDEX(games!$B$2:$B$1200,MATCH(connections!$A1588,games!$A$2:$A$1200,0)),""))</f>
      </c>
      <c r="U1588">
        <f>IF(connections!$A1588="","",IFERROR(INDEX(games!$B$2:$B$1200,MATCH(connections!$B1588,games!$A$2:$A$1200,0)),""))</f>
      </c>
      <c r="V1588">
        <f>IF(OR($T1588="",$U1588=""),"",$U1588-$T1588)</f>
      </c>
    </row>
    <row r="1589">
      <c r="T1589" t="str">
        <f>IF(connections!$A1589="","",IFERROR(INDEX(games!$B$2:$B$1200,MATCH(connections!$A1589,games!$A$2:$A$1200,0)),""))</f>
      </c>
      <c r="U1589">
        <f>IF(connections!$A1589="","",IFERROR(INDEX(games!$B$2:$B$1200,MATCH(connections!$B1589,games!$A$2:$A$1200,0)),""))</f>
      </c>
      <c r="V1589">
        <f>IF(OR($T1589="",$U1589=""),"",$U1589-$T1589)</f>
      </c>
    </row>
    <row r="1590">
      <c r="T1590" t="str">
        <f>IF(connections!$A1590="","",IFERROR(INDEX(games!$B$2:$B$1200,MATCH(connections!$A1590,games!$A$2:$A$1200,0)),""))</f>
      </c>
      <c r="U1590">
        <f>IF(connections!$A1590="","",IFERROR(INDEX(games!$B$2:$B$1200,MATCH(connections!$B1590,games!$A$2:$A$1200,0)),""))</f>
      </c>
      <c r="V1590">
        <f>IF(OR($T1590="",$U1590=""),"",$U1590-$T1590)</f>
      </c>
    </row>
    <row r="1591">
      <c r="T1591" t="str">
        <f>IF(connections!$A1591="","",IFERROR(INDEX(games!$B$2:$B$1200,MATCH(connections!$A1591,games!$A$2:$A$1200,0)),""))</f>
      </c>
      <c r="U1591">
        <f>IF(connections!$A1591="","",IFERROR(INDEX(games!$B$2:$B$1200,MATCH(connections!$B1591,games!$A$2:$A$1200,0)),""))</f>
      </c>
      <c r="V1591">
        <f>IF(OR($T1591="",$U1591=""),"",$U1591-$T1591)</f>
      </c>
    </row>
    <row r="1592">
      <c r="T1592" t="str">
        <f>IF(connections!$A1592="","",IFERROR(INDEX(games!$B$2:$B$1200,MATCH(connections!$A1592,games!$A$2:$A$1200,0)),""))</f>
      </c>
      <c r="U1592">
        <f>IF(connections!$A1592="","",IFERROR(INDEX(games!$B$2:$B$1200,MATCH(connections!$B1592,games!$A$2:$A$1200,0)),""))</f>
      </c>
      <c r="V1592">
        <f>IF(OR($T1592="",$U1592=""),"",$U1592-$T1592)</f>
      </c>
    </row>
    <row r="1593">
      <c r="T1593" t="str">
        <f>IF(connections!$A1593="","",IFERROR(INDEX(games!$B$2:$B$1200,MATCH(connections!$A1593,games!$A$2:$A$1200,0)),""))</f>
      </c>
      <c r="U1593">
        <f>IF(connections!$A1593="","",IFERROR(INDEX(games!$B$2:$B$1200,MATCH(connections!$B1593,games!$A$2:$A$1200,0)),""))</f>
      </c>
      <c r="V1593">
        <f>IF(OR($T1593="",$U1593=""),"",$U1593-$T1593)</f>
      </c>
    </row>
    <row r="1594">
      <c r="T1594" t="str">
        <f>IF(connections!$A1594="","",IFERROR(INDEX(games!$B$2:$B$1200,MATCH(connections!$A1594,games!$A$2:$A$1200,0)),""))</f>
      </c>
      <c r="U1594">
        <f>IF(connections!$A1594="","",IFERROR(INDEX(games!$B$2:$B$1200,MATCH(connections!$B1594,games!$A$2:$A$1200,0)),""))</f>
      </c>
      <c r="V1594">
        <f>IF(OR($T1594="",$U1594=""),"",$U1594-$T1594)</f>
      </c>
    </row>
    <row r="1595">
      <c r="T1595" t="str">
        <f>IF(connections!$A1595="","",IFERROR(INDEX(games!$B$2:$B$1200,MATCH(connections!$A1595,games!$A$2:$A$1200,0)),""))</f>
      </c>
      <c r="U1595">
        <f>IF(connections!$A1595="","",IFERROR(INDEX(games!$B$2:$B$1200,MATCH(connections!$B1595,games!$A$2:$A$1200,0)),""))</f>
      </c>
      <c r="V1595">
        <f>IF(OR($T1595="",$U1595=""),"",$U1595-$T1595)</f>
      </c>
    </row>
    <row r="1596">
      <c r="T1596" t="str">
        <f>IF(connections!$A1596="","",IFERROR(INDEX(games!$B$2:$B$1200,MATCH(connections!$A1596,games!$A$2:$A$1200,0)),""))</f>
      </c>
      <c r="U1596">
        <f>IF(connections!$A1596="","",IFERROR(INDEX(games!$B$2:$B$1200,MATCH(connections!$B1596,games!$A$2:$A$1200,0)),""))</f>
      </c>
      <c r="V1596">
        <f>IF(OR($T1596="",$U1596=""),"",$U1596-$T1596)</f>
      </c>
    </row>
    <row r="1597">
      <c r="T1597" t="str">
        <f>IF(connections!$A1597="","",IFERROR(INDEX(games!$B$2:$B$1200,MATCH(connections!$A1597,games!$A$2:$A$1200,0)),""))</f>
      </c>
      <c r="U1597">
        <f>IF(connections!$A1597="","",IFERROR(INDEX(games!$B$2:$B$1200,MATCH(connections!$B1597,games!$A$2:$A$1200,0)),""))</f>
      </c>
      <c r="V1597">
        <f>IF(OR($T1597="",$U1597=""),"",$U1597-$T1597)</f>
      </c>
    </row>
    <row r="1598">
      <c r="T1598" t="str">
        <f>IF(connections!$A1598="","",IFERROR(INDEX(games!$B$2:$B$1200,MATCH(connections!$A1598,games!$A$2:$A$1200,0)),""))</f>
      </c>
      <c r="U1598">
        <f>IF(connections!$A1598="","",IFERROR(INDEX(games!$B$2:$B$1200,MATCH(connections!$B1598,games!$A$2:$A$1200,0)),""))</f>
      </c>
      <c r="V1598">
        <f>IF(OR($T1598="",$U1598=""),"",$U1598-$T1598)</f>
      </c>
    </row>
    <row r="1599">
      <c r="T1599" t="str">
        <f>IF(connections!$A1599="","",IFERROR(INDEX(games!$B$2:$B$1200,MATCH(connections!$A1599,games!$A$2:$A$1200,0)),""))</f>
      </c>
      <c r="U1599">
        <f>IF(connections!$A1599="","",IFERROR(INDEX(games!$B$2:$B$1200,MATCH(connections!$B1599,games!$A$2:$A$1200,0)),""))</f>
      </c>
      <c r="V1599">
        <f>IF(OR($T1599="",$U1599=""),"",$U1599-$T1599)</f>
      </c>
    </row>
    <row r="1600">
      <c r="T1600" t="str">
        <f>IF(connections!$A1600="","",IFERROR(INDEX(games!$B$2:$B$1200,MATCH(connections!$A1600,games!$A$2:$A$1200,0)),""))</f>
      </c>
      <c r="U1600">
        <f>IF(connections!$A1600="","",IFERROR(INDEX(games!$B$2:$B$1200,MATCH(connections!$B1600,games!$A$2:$A$1200,0)),""))</f>
      </c>
      <c r="V1600">
        <f>IF(OR($T1600="",$U1600=""),"",$U1600-$T1600)</f>
      </c>
    </row>
    <row r="1601">
      <c r="T1601" t="str">
        <f>IF(connections!$A1601="","",IFERROR(INDEX(games!$B$2:$B$1200,MATCH(connections!$A1601,games!$A$2:$A$1200,0)),""))</f>
      </c>
      <c r="U1601">
        <f>IF(connections!$A1601="","",IFERROR(INDEX(games!$B$2:$B$1200,MATCH(connections!$B1601,games!$A$2:$A$1200,0)),""))</f>
      </c>
      <c r="V1601">
        <f>IF(OR($T1601="",$U1601=""),"",$U1601-$T1601)</f>
      </c>
    </row>
    <row r="1602">
      <c r="T1602" t="str">
        <f>IF(connections!$A1602="","",IFERROR(INDEX(games!$B$2:$B$1200,MATCH(connections!$A1602,games!$A$2:$A$1200,0)),""))</f>
      </c>
      <c r="U1602">
        <f>IF(connections!$A1602="","",IFERROR(INDEX(games!$B$2:$B$1200,MATCH(connections!$B1602,games!$A$2:$A$1200,0)),""))</f>
      </c>
      <c r="V1602">
        <f>IF(OR($T1602="",$U1602=""),"",$U1602-$T1602)</f>
      </c>
    </row>
    <row r="1603">
      <c r="T1603" t="str">
        <f>IF(connections!$A1603="","",IFERROR(INDEX(games!$B$2:$B$1200,MATCH(connections!$A1603,games!$A$2:$A$1200,0)),""))</f>
      </c>
      <c r="U1603">
        <f>IF(connections!$A1603="","",IFERROR(INDEX(games!$B$2:$B$1200,MATCH(connections!$B1603,games!$A$2:$A$1200,0)),""))</f>
      </c>
      <c r="V1603">
        <f>IF(OR($T1603="",$U1603=""),"",$U1603-$T1603)</f>
      </c>
    </row>
    <row r="1604">
      <c r="T1604" t="str">
        <f>IF(connections!$A1604="","",IFERROR(INDEX(games!$B$2:$B$1200,MATCH(connections!$A1604,games!$A$2:$A$1200,0)),""))</f>
      </c>
      <c r="U1604">
        <f>IF(connections!$A1604="","",IFERROR(INDEX(games!$B$2:$B$1200,MATCH(connections!$B1604,games!$A$2:$A$1200,0)),""))</f>
      </c>
      <c r="V1604">
        <f>IF(OR($T1604="",$U1604=""),"",$U1604-$T1604)</f>
      </c>
    </row>
    <row r="1605">
      <c r="T1605" t="str">
        <f>IF(connections!$A1605="","",IFERROR(INDEX(games!$B$2:$B$1200,MATCH(connections!$A1605,games!$A$2:$A$1200,0)),""))</f>
      </c>
      <c r="U1605">
        <f>IF(connections!$A1605="","",IFERROR(INDEX(games!$B$2:$B$1200,MATCH(connections!$B1605,games!$A$2:$A$1200,0)),""))</f>
      </c>
      <c r="V1605">
        <f>IF(OR($T1605="",$U1605=""),"",$U1605-$T1605)</f>
      </c>
    </row>
    <row r="1606">
      <c r="T1606" t="str">
        <f>IF(connections!$A1606="","",IFERROR(INDEX(games!$B$2:$B$1200,MATCH(connections!$A1606,games!$A$2:$A$1200,0)),""))</f>
      </c>
      <c r="U1606">
        <f>IF(connections!$A1606="","",IFERROR(INDEX(games!$B$2:$B$1200,MATCH(connections!$B1606,games!$A$2:$A$1200,0)),""))</f>
      </c>
      <c r="V1606">
        <f>IF(OR($T1606="",$U1606=""),"",$U1606-$T1606)</f>
      </c>
    </row>
    <row r="1607">
      <c r="T1607" t="str">
        <f>IF(connections!$A1607="","",IFERROR(INDEX(games!$B$2:$B$1200,MATCH(connections!$A1607,games!$A$2:$A$1200,0)),""))</f>
      </c>
      <c r="U1607">
        <f>IF(connections!$A1607="","",IFERROR(INDEX(games!$B$2:$B$1200,MATCH(connections!$B1607,games!$A$2:$A$1200,0)),""))</f>
      </c>
      <c r="V1607">
        <f>IF(OR($T1607="",$U1607=""),"",$U1607-$T1607)</f>
      </c>
    </row>
    <row r="1608">
      <c r="T1608" t="str">
        <f>IF(connections!$A1608="","",IFERROR(INDEX(games!$B$2:$B$1200,MATCH(connections!$A1608,games!$A$2:$A$1200,0)),""))</f>
      </c>
      <c r="U1608">
        <f>IF(connections!$A1608="","",IFERROR(INDEX(games!$B$2:$B$1200,MATCH(connections!$B1608,games!$A$2:$A$1200,0)),""))</f>
      </c>
      <c r="V1608">
        <f>IF(OR($T1608="",$U1608=""),"",$U1608-$T1608)</f>
      </c>
    </row>
    <row r="1609">
      <c r="T1609" t="str">
        <f>IF(connections!$A1609="","",IFERROR(INDEX(games!$B$2:$B$1200,MATCH(connections!$A1609,games!$A$2:$A$1200,0)),""))</f>
      </c>
      <c r="U1609">
        <f>IF(connections!$A1609="","",IFERROR(INDEX(games!$B$2:$B$1200,MATCH(connections!$B1609,games!$A$2:$A$1200,0)),""))</f>
      </c>
      <c r="V1609">
        <f>IF(OR($T1609="",$U1609=""),"",$U1609-$T1609)</f>
      </c>
    </row>
    <row r="1610">
      <c r="T1610" t="str">
        <f>IF(connections!$A1610="","",IFERROR(INDEX(games!$B$2:$B$1200,MATCH(connections!$A1610,games!$A$2:$A$1200,0)),""))</f>
      </c>
      <c r="U1610">
        <f>IF(connections!$A1610="","",IFERROR(INDEX(games!$B$2:$B$1200,MATCH(connections!$B1610,games!$A$2:$A$1200,0)),""))</f>
      </c>
      <c r="V1610">
        <f>IF(OR($T1610="",$U1610=""),"",$U1610-$T1610)</f>
      </c>
    </row>
    <row r="1611">
      <c r="T1611" t="str">
        <f>IF(connections!$A1611="","",IFERROR(INDEX(games!$B$2:$B$1200,MATCH(connections!$A1611,games!$A$2:$A$1200,0)),""))</f>
      </c>
      <c r="U1611">
        <f>IF(connections!$A1611="","",IFERROR(INDEX(games!$B$2:$B$1200,MATCH(connections!$B1611,games!$A$2:$A$1200,0)),""))</f>
      </c>
      <c r="V1611">
        <f>IF(OR($T1611="",$U1611=""),"",$U1611-$T1611)</f>
      </c>
    </row>
    <row r="1612">
      <c r="T1612" t="str">
        <f>IF(connections!$A1612="","",IFERROR(INDEX(games!$B$2:$B$1200,MATCH(connections!$A1612,games!$A$2:$A$1200,0)),""))</f>
      </c>
      <c r="U1612">
        <f>IF(connections!$A1612="","",IFERROR(INDEX(games!$B$2:$B$1200,MATCH(connections!$B1612,games!$A$2:$A$1200,0)),""))</f>
      </c>
      <c r="V1612">
        <f>IF(OR($T1612="",$U1612=""),"",$U1612-$T1612)</f>
      </c>
    </row>
    <row r="1613">
      <c r="T1613" t="str">
        <f>IF(connections!$A1613="","",IFERROR(INDEX(games!$B$2:$B$1200,MATCH(connections!$A1613,games!$A$2:$A$1200,0)),""))</f>
      </c>
      <c r="U1613">
        <f>IF(connections!$A1613="","",IFERROR(INDEX(games!$B$2:$B$1200,MATCH(connections!$B1613,games!$A$2:$A$1200,0)),""))</f>
      </c>
      <c r="V1613">
        <f>IF(OR($T1613="",$U1613=""),"",$U1613-$T1613)</f>
      </c>
    </row>
    <row r="1614">
      <c r="T1614" t="str">
        <f>IF(connections!$A1614="","",IFERROR(INDEX(games!$B$2:$B$1200,MATCH(connections!$A1614,games!$A$2:$A$1200,0)),""))</f>
      </c>
      <c r="U1614">
        <f>IF(connections!$A1614="","",IFERROR(INDEX(games!$B$2:$B$1200,MATCH(connections!$B1614,games!$A$2:$A$1200,0)),""))</f>
      </c>
      <c r="V1614">
        <f>IF(OR($T1614="",$U1614=""),"",$U1614-$T1614)</f>
      </c>
    </row>
    <row r="1615">
      <c r="T1615" t="str">
        <f>IF(connections!$A1615="","",IFERROR(INDEX(games!$B$2:$B$1200,MATCH(connections!$A1615,games!$A$2:$A$1200,0)),""))</f>
      </c>
      <c r="U1615">
        <f>IF(connections!$A1615="","",IFERROR(INDEX(games!$B$2:$B$1200,MATCH(connections!$B1615,games!$A$2:$A$1200,0)),""))</f>
      </c>
      <c r="V1615">
        <f>IF(OR($T1615="",$U1615=""),"",$U1615-$T1615)</f>
      </c>
    </row>
    <row r="1616">
      <c r="T1616" t="str">
        <f>IF(connections!$A1616="","",IFERROR(INDEX(games!$B$2:$B$1200,MATCH(connections!$A1616,games!$A$2:$A$1200,0)),""))</f>
      </c>
      <c r="U1616">
        <f>IF(connections!$A1616="","",IFERROR(INDEX(games!$B$2:$B$1200,MATCH(connections!$B1616,games!$A$2:$A$1200,0)),""))</f>
      </c>
      <c r="V1616">
        <f>IF(OR($T1616="",$U1616=""),"",$U1616-$T1616)</f>
      </c>
    </row>
    <row r="1617">
      <c r="T1617" t="str">
        <f>IF(connections!$A1617="","",IFERROR(INDEX(games!$B$2:$B$1200,MATCH(connections!$A1617,games!$A$2:$A$1200,0)),""))</f>
      </c>
      <c r="U1617">
        <f>IF(connections!$A1617="","",IFERROR(INDEX(games!$B$2:$B$1200,MATCH(connections!$B1617,games!$A$2:$A$1200,0)),""))</f>
      </c>
      <c r="V1617">
        <f>IF(OR($T1617="",$U1617=""),"",$U1617-$T1617)</f>
      </c>
    </row>
    <row r="1618">
      <c r="T1618" t="str">
        <f>IF(connections!$A1618="","",IFERROR(INDEX(games!$B$2:$B$1200,MATCH(connections!$A1618,games!$A$2:$A$1200,0)),""))</f>
      </c>
      <c r="U1618">
        <f>IF(connections!$A1618="","",IFERROR(INDEX(games!$B$2:$B$1200,MATCH(connections!$B1618,games!$A$2:$A$1200,0)),""))</f>
      </c>
      <c r="V1618">
        <f>IF(OR($T1618="",$U1618=""),"",$U1618-$T1618)</f>
      </c>
    </row>
    <row r="1619">
      <c r="T1619" t="str">
        <f>IF(connections!$A1619="","",IFERROR(INDEX(games!$B$2:$B$1200,MATCH(connections!$A1619,games!$A$2:$A$1200,0)),""))</f>
      </c>
      <c r="U1619">
        <f>IF(connections!$A1619="","",IFERROR(INDEX(games!$B$2:$B$1200,MATCH(connections!$B1619,games!$A$2:$A$1200,0)),""))</f>
      </c>
      <c r="V1619">
        <f>IF(OR($T1619="",$U1619=""),"",$U1619-$T1619)</f>
      </c>
    </row>
    <row r="1620">
      <c r="T1620" t="str">
        <f>IF(connections!$A1620="","",IFERROR(INDEX(games!$B$2:$B$1200,MATCH(connections!$A1620,games!$A$2:$A$1200,0)),""))</f>
      </c>
      <c r="U1620">
        <f>IF(connections!$A1620="","",IFERROR(INDEX(games!$B$2:$B$1200,MATCH(connections!$B1620,games!$A$2:$A$1200,0)),""))</f>
      </c>
      <c r="V1620">
        <f>IF(OR($T1620="",$U1620=""),"",$U1620-$T1620)</f>
      </c>
    </row>
    <row r="1621">
      <c r="T1621" t="str">
        <f>IF(connections!$A1621="","",IFERROR(INDEX(games!$B$2:$B$1200,MATCH(connections!$A1621,games!$A$2:$A$1200,0)),""))</f>
      </c>
      <c r="U1621">
        <f>IF(connections!$A1621="","",IFERROR(INDEX(games!$B$2:$B$1200,MATCH(connections!$B1621,games!$A$2:$A$1200,0)),""))</f>
      </c>
      <c r="V1621">
        <f>IF(OR($T1621="",$U1621=""),"",$U1621-$T1621)</f>
      </c>
    </row>
    <row r="1622">
      <c r="T1622" t="str">
        <f>IF(connections!$A1622="","",IFERROR(INDEX(games!$B$2:$B$1200,MATCH(connections!$A1622,games!$A$2:$A$1200,0)),""))</f>
      </c>
      <c r="U1622">
        <f>IF(connections!$A1622="","",IFERROR(INDEX(games!$B$2:$B$1200,MATCH(connections!$B1622,games!$A$2:$A$1200,0)),""))</f>
      </c>
      <c r="V1622">
        <f>IF(OR($T1622="",$U1622=""),"",$U1622-$T1622)</f>
      </c>
    </row>
    <row r="1623">
      <c r="T1623" t="str">
        <f>IF(connections!$A1623="","",IFERROR(INDEX(games!$B$2:$B$1200,MATCH(connections!$A1623,games!$A$2:$A$1200,0)),""))</f>
      </c>
      <c r="U1623">
        <f>IF(connections!$A1623="","",IFERROR(INDEX(games!$B$2:$B$1200,MATCH(connections!$B1623,games!$A$2:$A$1200,0)),""))</f>
      </c>
      <c r="V1623">
        <f>IF(OR($T1623="",$U1623=""),"",$U1623-$T1623)</f>
      </c>
    </row>
    <row r="1624">
      <c r="T1624" t="str">
        <f>IF(connections!$A1624="","",IFERROR(INDEX(games!$B$2:$B$1200,MATCH(connections!$A1624,games!$A$2:$A$1200,0)),""))</f>
      </c>
      <c r="U1624">
        <f>IF(connections!$A1624="","",IFERROR(INDEX(games!$B$2:$B$1200,MATCH(connections!$B1624,games!$A$2:$A$1200,0)),""))</f>
      </c>
      <c r="V1624">
        <f>IF(OR($T1624="",$U1624=""),"",$U1624-$T1624)</f>
      </c>
    </row>
    <row r="1625">
      <c r="T1625" t="str">
        <f>IF(connections!$A1625="","",IFERROR(INDEX(games!$B$2:$B$1200,MATCH(connections!$A1625,games!$A$2:$A$1200,0)),""))</f>
      </c>
      <c r="U1625">
        <f>IF(connections!$A1625="","",IFERROR(INDEX(games!$B$2:$B$1200,MATCH(connections!$B1625,games!$A$2:$A$1200,0)),""))</f>
      </c>
      <c r="V1625">
        <f>IF(OR($T1625="",$U1625=""),"",$U1625-$T1625)</f>
      </c>
    </row>
    <row r="1626">
      <c r="T1626" t="str">
        <f>IF(connections!$A1626="","",IFERROR(INDEX(games!$B$2:$B$1200,MATCH(connections!$A1626,games!$A$2:$A$1200,0)),""))</f>
      </c>
      <c r="U1626">
        <f>IF(connections!$A1626="","",IFERROR(INDEX(games!$B$2:$B$1200,MATCH(connections!$B1626,games!$A$2:$A$1200,0)),""))</f>
      </c>
      <c r="V1626">
        <f>IF(OR($T1626="",$U1626=""),"",$U1626-$T1626)</f>
      </c>
    </row>
    <row r="1627">
      <c r="T1627" t="str">
        <f>IF(connections!$A1627="","",IFERROR(INDEX(games!$B$2:$B$1200,MATCH(connections!$A1627,games!$A$2:$A$1200,0)),""))</f>
      </c>
      <c r="U1627">
        <f>IF(connections!$A1627="","",IFERROR(INDEX(games!$B$2:$B$1200,MATCH(connections!$B1627,games!$A$2:$A$1200,0)),""))</f>
      </c>
      <c r="V1627">
        <f>IF(OR($T1627="",$U1627=""),"",$U1627-$T1627)</f>
      </c>
    </row>
    <row r="1628">
      <c r="T1628" t="str">
        <f>IF(connections!$A1628="","",IFERROR(INDEX(games!$B$2:$B$1200,MATCH(connections!$A1628,games!$A$2:$A$1200,0)),""))</f>
      </c>
      <c r="U1628">
        <f>IF(connections!$A1628="","",IFERROR(INDEX(games!$B$2:$B$1200,MATCH(connections!$B1628,games!$A$2:$A$1200,0)),""))</f>
      </c>
      <c r="V1628">
        <f>IF(OR($T1628="",$U1628=""),"",$U1628-$T1628)</f>
      </c>
    </row>
    <row r="1629">
      <c r="T1629" t="str">
        <f>IF(connections!$A1629="","",IFERROR(INDEX(games!$B$2:$B$1200,MATCH(connections!$A1629,games!$A$2:$A$1200,0)),""))</f>
      </c>
      <c r="U1629">
        <f>IF(connections!$A1629="","",IFERROR(INDEX(games!$B$2:$B$1200,MATCH(connections!$B1629,games!$A$2:$A$1200,0)),""))</f>
      </c>
      <c r="V1629">
        <f>IF(OR($T1629="",$U1629=""),"",$U1629-$T1629)</f>
      </c>
    </row>
    <row r="1630">
      <c r="T1630" t="str">
        <f>IF(connections!$A1630="","",IFERROR(INDEX(games!$B$2:$B$1200,MATCH(connections!$A1630,games!$A$2:$A$1200,0)),""))</f>
      </c>
      <c r="U1630">
        <f>IF(connections!$A1630="","",IFERROR(INDEX(games!$B$2:$B$1200,MATCH(connections!$B1630,games!$A$2:$A$1200,0)),""))</f>
      </c>
      <c r="V1630">
        <f>IF(OR($T1630="",$U1630=""),"",$U1630-$T1630)</f>
      </c>
    </row>
    <row r="1631">
      <c r="T1631" t="str">
        <f>IF(connections!$A1631="","",IFERROR(INDEX(games!$B$2:$B$1200,MATCH(connections!$A1631,games!$A$2:$A$1200,0)),""))</f>
      </c>
      <c r="U1631">
        <f>IF(connections!$A1631="","",IFERROR(INDEX(games!$B$2:$B$1200,MATCH(connections!$B1631,games!$A$2:$A$1200,0)),""))</f>
      </c>
      <c r="V1631">
        <f>IF(OR($T1631="",$U1631=""),"",$U1631-$T1631)</f>
      </c>
    </row>
    <row r="1632">
      <c r="T1632" t="str">
        <f>IF(connections!$A1632="","",IFERROR(INDEX(games!$B$2:$B$1200,MATCH(connections!$A1632,games!$A$2:$A$1200,0)),""))</f>
      </c>
      <c r="U1632">
        <f>IF(connections!$A1632="","",IFERROR(INDEX(games!$B$2:$B$1200,MATCH(connections!$B1632,games!$A$2:$A$1200,0)),""))</f>
      </c>
      <c r="V1632">
        <f>IF(OR($T1632="",$U1632=""),"",$U1632-$T1632)</f>
      </c>
    </row>
    <row r="1633">
      <c r="T1633" t="str">
        <f>IF(connections!$A1633="","",IFERROR(INDEX(games!$B$2:$B$1200,MATCH(connections!$A1633,games!$A$2:$A$1200,0)),""))</f>
      </c>
      <c r="U1633">
        <f>IF(connections!$A1633="","",IFERROR(INDEX(games!$B$2:$B$1200,MATCH(connections!$B1633,games!$A$2:$A$1200,0)),""))</f>
      </c>
      <c r="V1633">
        <f>IF(OR($T1633="",$U1633=""),"",$U1633-$T1633)</f>
      </c>
    </row>
    <row r="1634">
      <c r="T1634" t="str">
        <f>IF(connections!$A1634="","",IFERROR(INDEX(games!$B$2:$B$1200,MATCH(connections!$A1634,games!$A$2:$A$1200,0)),""))</f>
      </c>
      <c r="U1634">
        <f>IF(connections!$A1634="","",IFERROR(INDEX(games!$B$2:$B$1200,MATCH(connections!$B1634,games!$A$2:$A$1200,0)),""))</f>
      </c>
      <c r="V1634">
        <f>IF(OR($T1634="",$U1634=""),"",$U1634-$T1634)</f>
      </c>
    </row>
    <row r="1635">
      <c r="T1635" t="str">
        <f>IF(connections!$A1635="","",IFERROR(INDEX(games!$B$2:$B$1200,MATCH(connections!$A1635,games!$A$2:$A$1200,0)),""))</f>
      </c>
      <c r="U1635">
        <f>IF(connections!$A1635="","",IFERROR(INDEX(games!$B$2:$B$1200,MATCH(connections!$B1635,games!$A$2:$A$1200,0)),""))</f>
      </c>
      <c r="V1635">
        <f>IF(OR($T1635="",$U1635=""),"",$U1635-$T1635)</f>
      </c>
    </row>
    <row r="1636">
      <c r="T1636" t="str">
        <f>IF(connections!$A1636="","",IFERROR(INDEX(games!$B$2:$B$1200,MATCH(connections!$A1636,games!$A$2:$A$1200,0)),""))</f>
      </c>
      <c r="U1636">
        <f>IF(connections!$A1636="","",IFERROR(INDEX(games!$B$2:$B$1200,MATCH(connections!$B1636,games!$A$2:$A$1200,0)),""))</f>
      </c>
      <c r="V1636">
        <f>IF(OR($T1636="",$U1636=""),"",$U1636-$T1636)</f>
      </c>
    </row>
    <row r="1637">
      <c r="T1637" t="str">
        <f>IF(connections!$A1637="","",IFERROR(INDEX(games!$B$2:$B$1200,MATCH(connections!$A1637,games!$A$2:$A$1200,0)),""))</f>
      </c>
      <c r="U1637">
        <f>IF(connections!$A1637="","",IFERROR(INDEX(games!$B$2:$B$1200,MATCH(connections!$B1637,games!$A$2:$A$1200,0)),""))</f>
      </c>
      <c r="V1637">
        <f>IF(OR($T1637="",$U1637=""),"",$U1637-$T1637)</f>
      </c>
    </row>
    <row r="1638">
      <c r="T1638" t="str">
        <f>IF(connections!$A1638="","",IFERROR(INDEX(games!$B$2:$B$1200,MATCH(connections!$A1638,games!$A$2:$A$1200,0)),""))</f>
      </c>
      <c r="U1638">
        <f>IF(connections!$A1638="","",IFERROR(INDEX(games!$B$2:$B$1200,MATCH(connections!$B1638,games!$A$2:$A$1200,0)),""))</f>
      </c>
      <c r="V1638">
        <f>IF(OR($T1638="",$U1638=""),"",$U1638-$T1638)</f>
      </c>
    </row>
    <row r="1639">
      <c r="T1639" t="str">
        <f>IF(connections!$A1639="","",IFERROR(INDEX(games!$B$2:$B$1200,MATCH(connections!$A1639,games!$A$2:$A$1200,0)),""))</f>
      </c>
      <c r="U1639">
        <f>IF(connections!$A1639="","",IFERROR(INDEX(games!$B$2:$B$1200,MATCH(connections!$B1639,games!$A$2:$A$1200,0)),""))</f>
      </c>
      <c r="V1639">
        <f>IF(OR($T1639="",$U1639=""),"",$U1639-$T1639)</f>
      </c>
    </row>
    <row r="1640">
      <c r="T1640" t="str">
        <f>IF(connections!$A1640="","",IFERROR(INDEX(games!$B$2:$B$1200,MATCH(connections!$A1640,games!$A$2:$A$1200,0)),""))</f>
      </c>
      <c r="U1640">
        <f>IF(connections!$A1640="","",IFERROR(INDEX(games!$B$2:$B$1200,MATCH(connections!$B1640,games!$A$2:$A$1200,0)),""))</f>
      </c>
      <c r="V1640">
        <f>IF(OR($T1640="",$U1640=""),"",$U1640-$T1640)</f>
      </c>
    </row>
    <row r="1641">
      <c r="T1641" t="str">
        <f>IF(connections!$A1641="","",IFERROR(INDEX(games!$B$2:$B$1200,MATCH(connections!$A1641,games!$A$2:$A$1200,0)),""))</f>
      </c>
      <c r="U1641">
        <f>IF(connections!$A1641="","",IFERROR(INDEX(games!$B$2:$B$1200,MATCH(connections!$B1641,games!$A$2:$A$1200,0)),""))</f>
      </c>
      <c r="V1641">
        <f>IF(OR($T1641="",$U1641=""),"",$U1641-$T1641)</f>
      </c>
    </row>
    <row r="1642">
      <c r="T1642" t="str">
        <f>IF(connections!$A1642="","",IFERROR(INDEX(games!$B$2:$B$1200,MATCH(connections!$A1642,games!$A$2:$A$1200,0)),""))</f>
      </c>
      <c r="U1642">
        <f>IF(connections!$A1642="","",IFERROR(INDEX(games!$B$2:$B$1200,MATCH(connections!$B1642,games!$A$2:$A$1200,0)),""))</f>
      </c>
      <c r="V1642">
        <f>IF(OR($T1642="",$U1642=""),"",$U1642-$T1642)</f>
      </c>
    </row>
    <row r="1643">
      <c r="T1643" t="str">
        <f>IF(connections!$A1643="","",IFERROR(INDEX(games!$B$2:$B$1200,MATCH(connections!$A1643,games!$A$2:$A$1200,0)),""))</f>
      </c>
      <c r="U1643">
        <f>IF(connections!$A1643="","",IFERROR(INDEX(games!$B$2:$B$1200,MATCH(connections!$B1643,games!$A$2:$A$1200,0)),""))</f>
      </c>
      <c r="V1643">
        <f>IF(OR($T1643="",$U1643=""),"",$U1643-$T1643)</f>
      </c>
    </row>
    <row r="1644">
      <c r="T1644" t="str">
        <f>IF(connections!$A1644="","",IFERROR(INDEX(games!$B$2:$B$1200,MATCH(connections!$A1644,games!$A$2:$A$1200,0)),""))</f>
      </c>
      <c r="U1644">
        <f>IF(connections!$A1644="","",IFERROR(INDEX(games!$B$2:$B$1200,MATCH(connections!$B1644,games!$A$2:$A$1200,0)),""))</f>
      </c>
      <c r="V1644">
        <f>IF(OR($T1644="",$U1644=""),"",$U1644-$T1644)</f>
      </c>
    </row>
    <row r="1645">
      <c r="T1645" t="str">
        <f>IF(connections!$A1645="","",IFERROR(INDEX(games!$B$2:$B$1200,MATCH(connections!$A1645,games!$A$2:$A$1200,0)),""))</f>
      </c>
      <c r="U1645">
        <f>IF(connections!$A1645="","",IFERROR(INDEX(games!$B$2:$B$1200,MATCH(connections!$B1645,games!$A$2:$A$1200,0)),""))</f>
      </c>
      <c r="V1645">
        <f>IF(OR($T1645="",$U1645=""),"",$U1645-$T1645)</f>
      </c>
    </row>
    <row r="1646">
      <c r="T1646" t="str">
        <f>IF(connections!$A1646="","",IFERROR(INDEX(games!$B$2:$B$1200,MATCH(connections!$A1646,games!$A$2:$A$1200,0)),""))</f>
      </c>
      <c r="U1646">
        <f>IF(connections!$A1646="","",IFERROR(INDEX(games!$B$2:$B$1200,MATCH(connections!$B1646,games!$A$2:$A$1200,0)),""))</f>
      </c>
      <c r="V1646">
        <f>IF(OR($T1646="",$U1646=""),"",$U1646-$T1646)</f>
      </c>
    </row>
    <row r="1647">
      <c r="T1647" t="str">
        <f>IF(connections!$A1647="","",IFERROR(INDEX(games!$B$2:$B$1200,MATCH(connections!$A1647,games!$A$2:$A$1200,0)),""))</f>
      </c>
      <c r="U1647">
        <f>IF(connections!$A1647="","",IFERROR(INDEX(games!$B$2:$B$1200,MATCH(connections!$B1647,games!$A$2:$A$1200,0)),""))</f>
      </c>
      <c r="V1647">
        <f>IF(OR($T1647="",$U1647=""),"",$U1647-$T1647)</f>
      </c>
    </row>
    <row r="1648">
      <c r="T1648" t="str">
        <f>IF(connections!$A1648="","",IFERROR(INDEX(games!$B$2:$B$1200,MATCH(connections!$A1648,games!$A$2:$A$1200,0)),""))</f>
      </c>
      <c r="U1648">
        <f>IF(connections!$A1648="","",IFERROR(INDEX(games!$B$2:$B$1200,MATCH(connections!$B1648,games!$A$2:$A$1200,0)),""))</f>
      </c>
      <c r="V1648">
        <f>IF(OR($T1648="",$U1648=""),"",$U1648-$T1648)</f>
      </c>
    </row>
    <row r="1649">
      <c r="T1649" t="str">
        <f>IF(connections!$A1649="","",IFERROR(INDEX(games!$B$2:$B$1200,MATCH(connections!$A1649,games!$A$2:$A$1200,0)),""))</f>
      </c>
      <c r="U1649">
        <f>IF(connections!$A1649="","",IFERROR(INDEX(games!$B$2:$B$1200,MATCH(connections!$B1649,games!$A$2:$A$1200,0)),""))</f>
      </c>
      <c r="V1649">
        <f>IF(OR($T1649="",$U1649=""),"",$U1649-$T1649)</f>
      </c>
    </row>
    <row r="1650">
      <c r="T1650" t="str">
        <f>IF(connections!$A1650="","",IFERROR(INDEX(games!$B$2:$B$1200,MATCH(connections!$A1650,games!$A$2:$A$1200,0)),""))</f>
      </c>
      <c r="U1650">
        <f>IF(connections!$A1650="","",IFERROR(INDEX(games!$B$2:$B$1200,MATCH(connections!$B1650,games!$A$2:$A$1200,0)),""))</f>
      </c>
      <c r="V1650">
        <f>IF(OR($T1650="",$U1650=""),"",$U1650-$T1650)</f>
      </c>
    </row>
    <row r="1651">
      <c r="T1651" t="str">
        <f>IF(connections!$A1651="","",IFERROR(INDEX(games!$B$2:$B$1200,MATCH(connections!$A1651,games!$A$2:$A$1200,0)),""))</f>
      </c>
      <c r="U1651">
        <f>IF(connections!$A1651="","",IFERROR(INDEX(games!$B$2:$B$1200,MATCH(connections!$B1651,games!$A$2:$A$1200,0)),""))</f>
      </c>
      <c r="V1651">
        <f>IF(OR($T1651="",$U1651=""),"",$U1651-$T1651)</f>
      </c>
    </row>
    <row r="1652">
      <c r="T1652" t="str">
        <f>IF(connections!$A1652="","",IFERROR(INDEX(games!$B$2:$B$1200,MATCH(connections!$A1652,games!$A$2:$A$1200,0)),""))</f>
      </c>
      <c r="U1652">
        <f>IF(connections!$A1652="","",IFERROR(INDEX(games!$B$2:$B$1200,MATCH(connections!$B1652,games!$A$2:$A$1200,0)),""))</f>
      </c>
      <c r="V1652">
        <f>IF(OR($T1652="",$U1652=""),"",$U1652-$T1652)</f>
      </c>
    </row>
    <row r="1653">
      <c r="T1653" t="str">
        <f>IF(connections!$A1653="","",IFERROR(INDEX(games!$B$2:$B$1200,MATCH(connections!$A1653,games!$A$2:$A$1200,0)),""))</f>
      </c>
      <c r="U1653">
        <f>IF(connections!$A1653="","",IFERROR(INDEX(games!$B$2:$B$1200,MATCH(connections!$B1653,games!$A$2:$A$1200,0)),""))</f>
      </c>
      <c r="V1653">
        <f>IF(OR($T1653="",$U1653=""),"",$U1653-$T1653)</f>
      </c>
    </row>
    <row r="1654">
      <c r="T1654" t="str">
        <f>IF(connections!$A1654="","",IFERROR(INDEX(games!$B$2:$B$1200,MATCH(connections!$A1654,games!$A$2:$A$1200,0)),""))</f>
      </c>
      <c r="U1654">
        <f>IF(connections!$A1654="","",IFERROR(INDEX(games!$B$2:$B$1200,MATCH(connections!$B1654,games!$A$2:$A$1200,0)),""))</f>
      </c>
      <c r="V1654">
        <f>IF(OR($T1654="",$U1654=""),"",$U1654-$T1654)</f>
      </c>
    </row>
    <row r="1655">
      <c r="T1655" t="str">
        <f>IF(connections!$A1655="","",IFERROR(INDEX(games!$B$2:$B$1200,MATCH(connections!$A1655,games!$A$2:$A$1200,0)),""))</f>
      </c>
      <c r="U1655">
        <f>IF(connections!$A1655="","",IFERROR(INDEX(games!$B$2:$B$1200,MATCH(connections!$B1655,games!$A$2:$A$1200,0)),""))</f>
      </c>
      <c r="V1655">
        <f>IF(OR($T1655="",$U1655=""),"",$U1655-$T1655)</f>
      </c>
    </row>
    <row r="1656">
      <c r="T1656" t="str">
        <f>IF(connections!$A1656="","",IFERROR(INDEX(games!$B$2:$B$1200,MATCH(connections!$A1656,games!$A$2:$A$1200,0)),""))</f>
      </c>
      <c r="U1656">
        <f>IF(connections!$A1656="","",IFERROR(INDEX(games!$B$2:$B$1200,MATCH(connections!$B1656,games!$A$2:$A$1200,0)),""))</f>
      </c>
      <c r="V1656">
        <f>IF(OR($T1656="",$U1656=""),"",$U1656-$T1656)</f>
      </c>
    </row>
    <row r="1657">
      <c r="T1657" t="str">
        <f>IF(connections!$A1657="","",IFERROR(INDEX(games!$B$2:$B$1200,MATCH(connections!$A1657,games!$A$2:$A$1200,0)),""))</f>
      </c>
      <c r="U1657">
        <f>IF(connections!$A1657="","",IFERROR(INDEX(games!$B$2:$B$1200,MATCH(connections!$B1657,games!$A$2:$A$1200,0)),""))</f>
      </c>
      <c r="V1657">
        <f>IF(OR($T1657="",$U1657=""),"",$U1657-$T1657)</f>
      </c>
    </row>
    <row r="1658">
      <c r="T1658" t="str">
        <f>IF(connections!$A1658="","",IFERROR(INDEX(games!$B$2:$B$1200,MATCH(connections!$A1658,games!$A$2:$A$1200,0)),""))</f>
      </c>
      <c r="U1658">
        <f>IF(connections!$A1658="","",IFERROR(INDEX(games!$B$2:$B$1200,MATCH(connections!$B1658,games!$A$2:$A$1200,0)),""))</f>
      </c>
      <c r="V1658">
        <f>IF(OR($T1658="",$U1658=""),"",$U1658-$T1658)</f>
      </c>
    </row>
    <row r="1659">
      <c r="T1659" t="str">
        <f>IF(connections!$A1659="","",IFERROR(INDEX(games!$B$2:$B$1200,MATCH(connections!$A1659,games!$A$2:$A$1200,0)),""))</f>
      </c>
      <c r="U1659">
        <f>IF(connections!$A1659="","",IFERROR(INDEX(games!$B$2:$B$1200,MATCH(connections!$B1659,games!$A$2:$A$1200,0)),""))</f>
      </c>
      <c r="V1659">
        <f>IF(OR($T1659="",$U1659=""),"",$U1659-$T1659)</f>
      </c>
    </row>
    <row r="1660">
      <c r="T1660" t="str">
        <f>IF(connections!$A1660="","",IFERROR(INDEX(games!$B$2:$B$1200,MATCH(connections!$A1660,games!$A$2:$A$1200,0)),""))</f>
      </c>
      <c r="U1660">
        <f>IF(connections!$A1660="","",IFERROR(INDEX(games!$B$2:$B$1200,MATCH(connections!$B1660,games!$A$2:$A$1200,0)),""))</f>
      </c>
      <c r="V1660">
        <f>IF(OR($T1660="",$U1660=""),"",$U1660-$T1660)</f>
      </c>
    </row>
    <row r="1661">
      <c r="T1661" t="str">
        <f>IF(connections!$A1661="","",IFERROR(INDEX(games!$B$2:$B$1200,MATCH(connections!$A1661,games!$A$2:$A$1200,0)),""))</f>
      </c>
      <c r="U1661">
        <f>IF(connections!$A1661="","",IFERROR(INDEX(games!$B$2:$B$1200,MATCH(connections!$B1661,games!$A$2:$A$1200,0)),""))</f>
      </c>
      <c r="V1661">
        <f>IF(OR($T1661="",$U1661=""),"",$U1661-$T1661)</f>
      </c>
    </row>
    <row r="1662">
      <c r="T1662" t="str">
        <f>IF(connections!$A1662="","",IFERROR(INDEX(games!$B$2:$B$1200,MATCH(connections!$A1662,games!$A$2:$A$1200,0)),""))</f>
      </c>
      <c r="U1662">
        <f>IF(connections!$A1662="","",IFERROR(INDEX(games!$B$2:$B$1200,MATCH(connections!$B1662,games!$A$2:$A$1200,0)),""))</f>
      </c>
      <c r="V1662">
        <f>IF(OR($T1662="",$U1662=""),"",$U1662-$T1662)</f>
      </c>
    </row>
    <row r="1663">
      <c r="T1663" t="str">
        <f>IF(connections!$A1663="","",IFERROR(INDEX(games!$B$2:$B$1200,MATCH(connections!$A1663,games!$A$2:$A$1200,0)),""))</f>
      </c>
      <c r="U1663">
        <f>IF(connections!$A1663="","",IFERROR(INDEX(games!$B$2:$B$1200,MATCH(connections!$B1663,games!$A$2:$A$1200,0)),""))</f>
      </c>
      <c r="V1663">
        <f>IF(OR($T1663="",$U1663=""),"",$U1663-$T1663)</f>
      </c>
    </row>
    <row r="1664">
      <c r="T1664" t="str">
        <f>IF(connections!$A1664="","",IFERROR(INDEX(games!$B$2:$B$1200,MATCH(connections!$A1664,games!$A$2:$A$1200,0)),""))</f>
      </c>
      <c r="U1664">
        <f>IF(connections!$A1664="","",IFERROR(INDEX(games!$B$2:$B$1200,MATCH(connections!$B1664,games!$A$2:$A$1200,0)),""))</f>
      </c>
      <c r="V1664">
        <f>IF(OR($T1664="",$U1664=""),"",$U1664-$T1664)</f>
      </c>
    </row>
    <row r="1665">
      <c r="T1665" t="str">
        <f>IF(connections!$A1665="","",IFERROR(INDEX(games!$B$2:$B$1200,MATCH(connections!$A1665,games!$A$2:$A$1200,0)),""))</f>
      </c>
      <c r="U1665">
        <f>IF(connections!$A1665="","",IFERROR(INDEX(games!$B$2:$B$1200,MATCH(connections!$B1665,games!$A$2:$A$1200,0)),""))</f>
      </c>
      <c r="V1665">
        <f>IF(OR($T1665="",$U1665=""),"",$U1665-$T1665)</f>
      </c>
    </row>
    <row r="1666">
      <c r="T1666" t="str">
        <f>IF(connections!$A1666="","",IFERROR(INDEX(games!$B$2:$B$1200,MATCH(connections!$A1666,games!$A$2:$A$1200,0)),""))</f>
      </c>
      <c r="U1666">
        <f>IF(connections!$A1666="","",IFERROR(INDEX(games!$B$2:$B$1200,MATCH(connections!$B1666,games!$A$2:$A$1200,0)),""))</f>
      </c>
      <c r="V1666">
        <f>IF(OR($T1666="",$U1666=""),"",$U1666-$T1666)</f>
      </c>
    </row>
    <row r="1667">
      <c r="T1667" t="str">
        <f>IF(connections!$A1667="","",IFERROR(INDEX(games!$B$2:$B$1200,MATCH(connections!$A1667,games!$A$2:$A$1200,0)),""))</f>
      </c>
      <c r="U1667">
        <f>IF(connections!$A1667="","",IFERROR(INDEX(games!$B$2:$B$1200,MATCH(connections!$B1667,games!$A$2:$A$1200,0)),""))</f>
      </c>
      <c r="V1667">
        <f>IF(OR($T1667="",$U1667=""),"",$U1667-$T1667)</f>
      </c>
    </row>
    <row r="1668">
      <c r="T1668" t="str">
        <f>IF(connections!$A1668="","",IFERROR(INDEX(games!$B$2:$B$1200,MATCH(connections!$A1668,games!$A$2:$A$1200,0)),""))</f>
      </c>
      <c r="U1668">
        <f>IF(connections!$A1668="","",IFERROR(INDEX(games!$B$2:$B$1200,MATCH(connections!$B1668,games!$A$2:$A$1200,0)),""))</f>
      </c>
      <c r="V1668">
        <f>IF(OR($T1668="",$U1668=""),"",$U1668-$T1668)</f>
      </c>
    </row>
    <row r="1669">
      <c r="T1669" t="str">
        <f>IF(connections!$A1669="","",IFERROR(INDEX(games!$B$2:$B$1200,MATCH(connections!$A1669,games!$A$2:$A$1200,0)),""))</f>
      </c>
      <c r="U1669">
        <f>IF(connections!$A1669="","",IFERROR(INDEX(games!$B$2:$B$1200,MATCH(connections!$B1669,games!$A$2:$A$1200,0)),""))</f>
      </c>
      <c r="V1669">
        <f>IF(OR($T1669="",$U1669=""),"",$U1669-$T1669)</f>
      </c>
    </row>
    <row r="1670">
      <c r="T1670" t="str">
        <f>IF(connections!$A1670="","",IFERROR(INDEX(games!$B$2:$B$1200,MATCH(connections!$A1670,games!$A$2:$A$1200,0)),""))</f>
      </c>
      <c r="U1670">
        <f>IF(connections!$A1670="","",IFERROR(INDEX(games!$B$2:$B$1200,MATCH(connections!$B1670,games!$A$2:$A$1200,0)),""))</f>
      </c>
      <c r="V1670">
        <f>IF(OR($T1670="",$U1670=""),"",$U1670-$T1670)</f>
      </c>
    </row>
    <row r="1671">
      <c r="T1671" t="str">
        <f>IF(connections!$A1671="","",IFERROR(INDEX(games!$B$2:$B$1200,MATCH(connections!$A1671,games!$A$2:$A$1200,0)),""))</f>
      </c>
      <c r="U1671">
        <f>IF(connections!$A1671="","",IFERROR(INDEX(games!$B$2:$B$1200,MATCH(connections!$B1671,games!$A$2:$A$1200,0)),""))</f>
      </c>
      <c r="V1671">
        <f>IF(OR($T1671="",$U1671=""),"",$U1671-$T1671)</f>
      </c>
    </row>
    <row r="1672">
      <c r="T1672" t="str">
        <f>IF(connections!$A1672="","",IFERROR(INDEX(games!$B$2:$B$1200,MATCH(connections!$A1672,games!$A$2:$A$1200,0)),""))</f>
      </c>
      <c r="U1672">
        <f>IF(connections!$A1672="","",IFERROR(INDEX(games!$B$2:$B$1200,MATCH(connections!$B1672,games!$A$2:$A$1200,0)),""))</f>
      </c>
      <c r="V1672">
        <f>IF(OR($T1672="",$U1672=""),"",$U1672-$T1672)</f>
      </c>
    </row>
    <row r="1673">
      <c r="T1673" t="str">
        <f>IF(connections!$A1673="","",IFERROR(INDEX(games!$B$2:$B$1200,MATCH(connections!$A1673,games!$A$2:$A$1200,0)),""))</f>
      </c>
      <c r="U1673">
        <f>IF(connections!$A1673="","",IFERROR(INDEX(games!$B$2:$B$1200,MATCH(connections!$B1673,games!$A$2:$A$1200,0)),""))</f>
      </c>
      <c r="V1673">
        <f>IF(OR($T1673="",$U1673=""),"",$U1673-$T1673)</f>
      </c>
    </row>
    <row r="1674">
      <c r="T1674" t="str">
        <f>IF(connections!$A1674="","",IFERROR(INDEX(games!$B$2:$B$1200,MATCH(connections!$A1674,games!$A$2:$A$1200,0)),""))</f>
      </c>
      <c r="U1674">
        <f>IF(connections!$A1674="","",IFERROR(INDEX(games!$B$2:$B$1200,MATCH(connections!$B1674,games!$A$2:$A$1200,0)),""))</f>
      </c>
      <c r="V1674">
        <f>IF(OR($T1674="",$U1674=""),"",$U1674-$T1674)</f>
      </c>
    </row>
    <row r="1675">
      <c r="T1675" t="str">
        <f>IF(connections!$A1675="","",IFERROR(INDEX(games!$B$2:$B$1200,MATCH(connections!$A1675,games!$A$2:$A$1200,0)),""))</f>
      </c>
      <c r="U1675">
        <f>IF(connections!$A1675="","",IFERROR(INDEX(games!$B$2:$B$1200,MATCH(connections!$B1675,games!$A$2:$A$1200,0)),""))</f>
      </c>
      <c r="V1675">
        <f>IF(OR($T1675="",$U1675=""),"",$U1675-$T1675)</f>
      </c>
    </row>
    <row r="1676">
      <c r="T1676" t="str">
        <f>IF(connections!$A1676="","",IFERROR(INDEX(games!$B$2:$B$1200,MATCH(connections!$A1676,games!$A$2:$A$1200,0)),""))</f>
      </c>
      <c r="U1676">
        <f>IF(connections!$A1676="","",IFERROR(INDEX(games!$B$2:$B$1200,MATCH(connections!$B1676,games!$A$2:$A$1200,0)),""))</f>
      </c>
      <c r="V1676">
        <f>IF(OR($T1676="",$U1676=""),"",$U1676-$T1676)</f>
      </c>
    </row>
    <row r="1677">
      <c r="T1677" t="str">
        <f>IF(connections!$A1677="","",IFERROR(INDEX(games!$B$2:$B$1200,MATCH(connections!$A1677,games!$A$2:$A$1200,0)),""))</f>
      </c>
      <c r="U1677">
        <f>IF(connections!$A1677="","",IFERROR(INDEX(games!$B$2:$B$1200,MATCH(connections!$B1677,games!$A$2:$A$1200,0)),""))</f>
      </c>
      <c r="V1677">
        <f>IF(OR($T1677="",$U1677=""),"",$U1677-$T1677)</f>
      </c>
    </row>
    <row r="1678">
      <c r="T1678" t="str">
        <f>IF(connections!$A1678="","",IFERROR(INDEX(games!$B$2:$B$1200,MATCH(connections!$A1678,games!$A$2:$A$1200,0)),""))</f>
      </c>
      <c r="U1678">
        <f>IF(connections!$A1678="","",IFERROR(INDEX(games!$B$2:$B$1200,MATCH(connections!$B1678,games!$A$2:$A$1200,0)),""))</f>
      </c>
      <c r="V1678">
        <f>IF(OR($T1678="",$U1678=""),"",$U1678-$T1678)</f>
      </c>
    </row>
    <row r="1679">
      <c r="T1679" t="str">
        <f>IF(connections!$A1679="","",IFERROR(INDEX(games!$B$2:$B$1200,MATCH(connections!$A1679,games!$A$2:$A$1200,0)),""))</f>
      </c>
      <c r="U1679">
        <f>IF(connections!$A1679="","",IFERROR(INDEX(games!$B$2:$B$1200,MATCH(connections!$B1679,games!$A$2:$A$1200,0)),""))</f>
      </c>
      <c r="V1679">
        <f>IF(OR($T1679="",$U1679=""),"",$U1679-$T1679)</f>
      </c>
    </row>
    <row r="1680">
      <c r="T1680" t="str">
        <f>IF(connections!$A1680="","",IFERROR(INDEX(games!$B$2:$B$1200,MATCH(connections!$A1680,games!$A$2:$A$1200,0)),""))</f>
      </c>
      <c r="U1680">
        <f>IF(connections!$A1680="","",IFERROR(INDEX(games!$B$2:$B$1200,MATCH(connections!$B1680,games!$A$2:$A$1200,0)),""))</f>
      </c>
      <c r="V1680">
        <f>IF(OR($T1680="",$U1680=""),"",$U1680-$T1680)</f>
      </c>
    </row>
    <row r="1681">
      <c r="T1681" t="str">
        <f>IF(connections!$A1681="","",IFERROR(INDEX(games!$B$2:$B$1200,MATCH(connections!$A1681,games!$A$2:$A$1200,0)),""))</f>
      </c>
      <c r="U1681">
        <f>IF(connections!$A1681="","",IFERROR(INDEX(games!$B$2:$B$1200,MATCH(connections!$B1681,games!$A$2:$A$1200,0)),""))</f>
      </c>
      <c r="V1681">
        <f>IF(OR($T1681="",$U1681=""),"",$U1681-$T1681)</f>
      </c>
    </row>
    <row r="1682">
      <c r="T1682" t="str">
        <f>IF(connections!$A1682="","",IFERROR(INDEX(games!$B$2:$B$1200,MATCH(connections!$A1682,games!$A$2:$A$1200,0)),""))</f>
      </c>
      <c r="U1682">
        <f>IF(connections!$A1682="","",IFERROR(INDEX(games!$B$2:$B$1200,MATCH(connections!$B1682,games!$A$2:$A$1200,0)),""))</f>
      </c>
      <c r="V1682">
        <f>IF(OR($T1682="",$U1682=""),"",$U1682-$T1682)</f>
      </c>
    </row>
    <row r="1683">
      <c r="T1683" t="str">
        <f>IF(connections!$A1683="","",IFERROR(INDEX(games!$B$2:$B$1200,MATCH(connections!$A1683,games!$A$2:$A$1200,0)),""))</f>
      </c>
      <c r="U1683">
        <f>IF(connections!$A1683="","",IFERROR(INDEX(games!$B$2:$B$1200,MATCH(connections!$B1683,games!$A$2:$A$1200,0)),""))</f>
      </c>
      <c r="V1683">
        <f>IF(OR($T1683="",$U1683=""),"",$U1683-$T1683)</f>
      </c>
    </row>
    <row r="1684">
      <c r="T1684" t="str">
        <f>IF(connections!$A1684="","",IFERROR(INDEX(games!$B$2:$B$1200,MATCH(connections!$A1684,games!$A$2:$A$1200,0)),""))</f>
      </c>
      <c r="U1684">
        <f>IF(connections!$A1684="","",IFERROR(INDEX(games!$B$2:$B$1200,MATCH(connections!$B1684,games!$A$2:$A$1200,0)),""))</f>
      </c>
      <c r="V1684">
        <f>IF(OR($T1684="",$U1684=""),"",$U1684-$T1684)</f>
      </c>
    </row>
    <row r="1685">
      <c r="T1685" t="str">
        <f>IF(connections!$A1685="","",IFERROR(INDEX(games!$B$2:$B$1200,MATCH(connections!$A1685,games!$A$2:$A$1200,0)),""))</f>
      </c>
      <c r="U1685">
        <f>IF(connections!$A1685="","",IFERROR(INDEX(games!$B$2:$B$1200,MATCH(connections!$B1685,games!$A$2:$A$1200,0)),""))</f>
      </c>
      <c r="V1685">
        <f>IF(OR($T1685="",$U1685=""),"",$U1685-$T1685)</f>
      </c>
    </row>
    <row r="1686">
      <c r="T1686" t="str">
        <f>IF(connections!$A1686="","",IFERROR(INDEX(games!$B$2:$B$1200,MATCH(connections!$A1686,games!$A$2:$A$1200,0)),""))</f>
      </c>
      <c r="U1686">
        <f>IF(connections!$A1686="","",IFERROR(INDEX(games!$B$2:$B$1200,MATCH(connections!$B1686,games!$A$2:$A$1200,0)),""))</f>
      </c>
      <c r="V1686">
        <f>IF(OR($T1686="",$U1686=""),"",$U1686-$T1686)</f>
      </c>
    </row>
    <row r="1687">
      <c r="T1687" t="str">
        <f>IF(connections!$A1687="","",IFERROR(INDEX(games!$B$2:$B$1200,MATCH(connections!$A1687,games!$A$2:$A$1200,0)),""))</f>
      </c>
      <c r="U1687">
        <f>IF(connections!$A1687="","",IFERROR(INDEX(games!$B$2:$B$1200,MATCH(connections!$B1687,games!$A$2:$A$1200,0)),""))</f>
      </c>
      <c r="V1687">
        <f>IF(OR($T1687="",$U1687=""),"",$U1687-$T1687)</f>
      </c>
    </row>
    <row r="1688">
      <c r="T1688" t="str">
        <f>IF(connections!$A1688="","",IFERROR(INDEX(games!$B$2:$B$1200,MATCH(connections!$A1688,games!$A$2:$A$1200,0)),""))</f>
      </c>
      <c r="U1688">
        <f>IF(connections!$A1688="","",IFERROR(INDEX(games!$B$2:$B$1200,MATCH(connections!$B1688,games!$A$2:$A$1200,0)),""))</f>
      </c>
      <c r="V1688">
        <f>IF(OR($T1688="",$U1688=""),"",$U1688-$T1688)</f>
      </c>
    </row>
    <row r="1689">
      <c r="T1689" t="str">
        <f>IF(connections!$A1689="","",IFERROR(INDEX(games!$B$2:$B$1200,MATCH(connections!$A1689,games!$A$2:$A$1200,0)),""))</f>
      </c>
      <c r="U1689">
        <f>IF(connections!$A1689="","",IFERROR(INDEX(games!$B$2:$B$1200,MATCH(connections!$B1689,games!$A$2:$A$1200,0)),""))</f>
      </c>
      <c r="V1689">
        <f>IF(OR($T1689="",$U1689=""),"",$U1689-$T1689)</f>
      </c>
    </row>
    <row r="1690">
      <c r="T1690" t="str">
        <f>IF(connections!$A1690="","",IFERROR(INDEX(games!$B$2:$B$1200,MATCH(connections!$A1690,games!$A$2:$A$1200,0)),""))</f>
      </c>
      <c r="U1690">
        <f>IF(connections!$A1690="","",IFERROR(INDEX(games!$B$2:$B$1200,MATCH(connections!$B1690,games!$A$2:$A$1200,0)),""))</f>
      </c>
      <c r="V1690">
        <f>IF(OR($T1690="",$U1690=""),"",$U1690-$T1690)</f>
      </c>
    </row>
    <row r="1691">
      <c r="T1691" t="str">
        <f>IF(connections!$A1691="","",IFERROR(INDEX(games!$B$2:$B$1200,MATCH(connections!$A1691,games!$A$2:$A$1200,0)),""))</f>
      </c>
      <c r="U1691">
        <f>IF(connections!$A1691="","",IFERROR(INDEX(games!$B$2:$B$1200,MATCH(connections!$B1691,games!$A$2:$A$1200,0)),""))</f>
      </c>
      <c r="V1691">
        <f>IF(OR($T1691="",$U1691=""),"",$U1691-$T1691)</f>
      </c>
    </row>
    <row r="1692">
      <c r="T1692" t="str">
        <f>IF(connections!$A1692="","",IFERROR(INDEX(games!$B$2:$B$1200,MATCH(connections!$A1692,games!$A$2:$A$1200,0)),""))</f>
      </c>
      <c r="U1692">
        <f>IF(connections!$A1692="","",IFERROR(INDEX(games!$B$2:$B$1200,MATCH(connections!$B1692,games!$A$2:$A$1200,0)),""))</f>
      </c>
      <c r="V1692">
        <f>IF(OR($T1692="",$U1692=""),"",$U1692-$T1692)</f>
      </c>
    </row>
    <row r="1693">
      <c r="T1693" t="str">
        <f>IF(connections!$A1693="","",IFERROR(INDEX(games!$B$2:$B$1200,MATCH(connections!$A1693,games!$A$2:$A$1200,0)),""))</f>
      </c>
      <c r="U1693">
        <f>IF(connections!$A1693="","",IFERROR(INDEX(games!$B$2:$B$1200,MATCH(connections!$B1693,games!$A$2:$A$1200,0)),""))</f>
      </c>
      <c r="V1693">
        <f>IF(OR($T1693="",$U1693=""),"",$U1693-$T1693)</f>
      </c>
    </row>
    <row r="1694">
      <c r="T1694" t="str">
        <f>IF(connections!$A1694="","",IFERROR(INDEX(games!$B$2:$B$1200,MATCH(connections!$A1694,games!$A$2:$A$1200,0)),""))</f>
      </c>
      <c r="U1694">
        <f>IF(connections!$A1694="","",IFERROR(INDEX(games!$B$2:$B$1200,MATCH(connections!$B1694,games!$A$2:$A$1200,0)),""))</f>
      </c>
      <c r="V1694">
        <f>IF(OR($T1694="",$U1694=""),"",$U1694-$T1694)</f>
      </c>
    </row>
    <row r="1695">
      <c r="T1695" t="str">
        <f>IF(connections!$A1695="","",IFERROR(INDEX(games!$B$2:$B$1200,MATCH(connections!$A1695,games!$A$2:$A$1200,0)),""))</f>
      </c>
      <c r="U1695">
        <f>IF(connections!$A1695="","",IFERROR(INDEX(games!$B$2:$B$1200,MATCH(connections!$B1695,games!$A$2:$A$1200,0)),""))</f>
      </c>
      <c r="V1695">
        <f>IF(OR($T1695="",$U1695=""),"",$U1695-$T1695)</f>
      </c>
    </row>
    <row r="1696">
      <c r="T1696" t="str">
        <f>IF(connections!$A1696="","",IFERROR(INDEX(games!$B$2:$B$1200,MATCH(connections!$A1696,games!$A$2:$A$1200,0)),""))</f>
      </c>
      <c r="U1696">
        <f>IF(connections!$A1696="","",IFERROR(INDEX(games!$B$2:$B$1200,MATCH(connections!$B1696,games!$A$2:$A$1200,0)),""))</f>
      </c>
      <c r="V1696">
        <f>IF(OR($T1696="",$U1696=""),"",$U1696-$T1696)</f>
      </c>
    </row>
    <row r="1697">
      <c r="T1697" t="str">
        <f>IF(connections!$A1697="","",IFERROR(INDEX(games!$B$2:$B$1200,MATCH(connections!$A1697,games!$A$2:$A$1200,0)),""))</f>
      </c>
      <c r="U1697">
        <f>IF(connections!$A1697="","",IFERROR(INDEX(games!$B$2:$B$1200,MATCH(connections!$B1697,games!$A$2:$A$1200,0)),""))</f>
      </c>
      <c r="V1697">
        <f>IF(OR($T1697="",$U1697=""),"",$U1697-$T1697)</f>
      </c>
    </row>
    <row r="1698">
      <c r="T1698" t="str">
        <f>IF(connections!$A1698="","",IFERROR(INDEX(games!$B$2:$B$1200,MATCH(connections!$A1698,games!$A$2:$A$1200,0)),""))</f>
      </c>
      <c r="U1698">
        <f>IF(connections!$A1698="","",IFERROR(INDEX(games!$B$2:$B$1200,MATCH(connections!$B1698,games!$A$2:$A$1200,0)),""))</f>
      </c>
      <c r="V1698">
        <f>IF(OR($T1698="",$U1698=""),"",$U1698-$T1698)</f>
      </c>
    </row>
    <row r="1699">
      <c r="T1699" t="str">
        <f>IF(connections!$A1699="","",IFERROR(INDEX(games!$B$2:$B$1200,MATCH(connections!$A1699,games!$A$2:$A$1200,0)),""))</f>
      </c>
      <c r="U1699">
        <f>IF(connections!$A1699="","",IFERROR(INDEX(games!$B$2:$B$1200,MATCH(connections!$B1699,games!$A$2:$A$1200,0)),""))</f>
      </c>
      <c r="V1699">
        <f>IF(OR($T1699="",$U1699=""),"",$U1699-$T1699)</f>
      </c>
    </row>
    <row r="1700">
      <c r="T1700" t="str">
        <f>IF(connections!$A1700="","",IFERROR(INDEX(games!$B$2:$B$1200,MATCH(connections!$A1700,games!$A$2:$A$1200,0)),""))</f>
      </c>
      <c r="U1700">
        <f>IF(connections!$A1700="","",IFERROR(INDEX(games!$B$2:$B$1200,MATCH(connections!$B1700,games!$A$2:$A$1200,0)),""))</f>
      </c>
      <c r="V1700">
        <f>IF(OR($T1700="",$U1700=""),"",$U1700-$T1700)</f>
      </c>
    </row>
    <row r="1701">
      <c r="T1701" t="str">
        <f>IF(connections!$A1701="","",IFERROR(INDEX(games!$B$2:$B$1200,MATCH(connections!$A1701,games!$A$2:$A$1200,0)),""))</f>
      </c>
      <c r="U1701">
        <f>IF(connections!$A1701="","",IFERROR(INDEX(games!$B$2:$B$1200,MATCH(connections!$B1701,games!$A$2:$A$1200,0)),""))</f>
      </c>
      <c r="V1701">
        <f>IF(OR($T1701="",$U1701=""),"",$U1701-$T1701)</f>
      </c>
    </row>
    <row r="1702">
      <c r="T1702" t="str">
        <f>IF(connections!$A1702="","",IFERROR(INDEX(games!$B$2:$B$1200,MATCH(connections!$A1702,games!$A$2:$A$1200,0)),""))</f>
      </c>
      <c r="U1702">
        <f>IF(connections!$A1702="","",IFERROR(INDEX(games!$B$2:$B$1200,MATCH(connections!$B1702,games!$A$2:$A$1200,0)),""))</f>
      </c>
      <c r="V1702">
        <f>IF(OR($T1702="",$U1702=""),"",$U1702-$T1702)</f>
      </c>
    </row>
    <row r="1703">
      <c r="T1703" t="str">
        <f>IF(connections!$A1703="","",IFERROR(INDEX(games!$B$2:$B$1200,MATCH(connections!$A1703,games!$A$2:$A$1200,0)),""))</f>
      </c>
      <c r="U1703">
        <f>IF(connections!$A1703="","",IFERROR(INDEX(games!$B$2:$B$1200,MATCH(connections!$B1703,games!$A$2:$A$1200,0)),""))</f>
      </c>
      <c r="V1703">
        <f>IF(OR($T1703="",$U1703=""),"",$U1703-$T1703)</f>
      </c>
    </row>
    <row r="1704">
      <c r="T1704" t="str">
        <f>IF(connections!$A1704="","",IFERROR(INDEX(games!$B$2:$B$1200,MATCH(connections!$A1704,games!$A$2:$A$1200,0)),""))</f>
      </c>
      <c r="U1704">
        <f>IF(connections!$A1704="","",IFERROR(INDEX(games!$B$2:$B$1200,MATCH(connections!$B1704,games!$A$2:$A$1200,0)),""))</f>
      </c>
      <c r="V1704">
        <f>IF(OR($T1704="",$U1704=""),"",$U1704-$T1704)</f>
      </c>
    </row>
    <row r="1705">
      <c r="T1705" t="str">
        <f>IF(connections!$A1705="","",IFERROR(INDEX(games!$B$2:$B$1200,MATCH(connections!$A1705,games!$A$2:$A$1200,0)),""))</f>
      </c>
      <c r="U1705">
        <f>IF(connections!$A1705="","",IFERROR(INDEX(games!$B$2:$B$1200,MATCH(connections!$B1705,games!$A$2:$A$1200,0)),""))</f>
      </c>
      <c r="V1705">
        <f>IF(OR($T1705="",$U1705=""),"",$U1705-$T1705)</f>
      </c>
    </row>
    <row r="1706">
      <c r="T1706" t="str">
        <f>IF(connections!$A1706="","",IFERROR(INDEX(games!$B$2:$B$1200,MATCH(connections!$A1706,games!$A$2:$A$1200,0)),""))</f>
      </c>
      <c r="U1706">
        <f>IF(connections!$A1706="","",IFERROR(INDEX(games!$B$2:$B$1200,MATCH(connections!$B1706,games!$A$2:$A$1200,0)),""))</f>
      </c>
      <c r="V1706">
        <f>IF(OR($T1706="",$U1706=""),"",$U1706-$T1706)</f>
      </c>
    </row>
    <row r="1707">
      <c r="T1707" t="str">
        <f>IF(connections!$A1707="","",IFERROR(INDEX(games!$B$2:$B$1200,MATCH(connections!$A1707,games!$A$2:$A$1200,0)),""))</f>
      </c>
      <c r="U1707">
        <f>IF(connections!$A1707="","",IFERROR(INDEX(games!$B$2:$B$1200,MATCH(connections!$B1707,games!$A$2:$A$1200,0)),""))</f>
      </c>
      <c r="V1707">
        <f>IF(OR($T1707="",$U1707=""),"",$U1707-$T1707)</f>
      </c>
    </row>
    <row r="1708">
      <c r="T1708" t="str">
        <f>IF(connections!$A1708="","",IFERROR(INDEX(games!$B$2:$B$1200,MATCH(connections!$A1708,games!$A$2:$A$1200,0)),""))</f>
      </c>
      <c r="U1708">
        <f>IF(connections!$A1708="","",IFERROR(INDEX(games!$B$2:$B$1200,MATCH(connections!$B1708,games!$A$2:$A$1200,0)),""))</f>
      </c>
      <c r="V1708">
        <f>IF(OR($T1708="",$U1708=""),"",$U1708-$T1708)</f>
      </c>
    </row>
    <row r="1709">
      <c r="T1709" t="str">
        <f>IF(connections!$A1709="","",IFERROR(INDEX(games!$B$2:$B$1200,MATCH(connections!$A1709,games!$A$2:$A$1200,0)),""))</f>
      </c>
      <c r="U1709">
        <f>IF(connections!$A1709="","",IFERROR(INDEX(games!$B$2:$B$1200,MATCH(connections!$B1709,games!$A$2:$A$1200,0)),""))</f>
      </c>
      <c r="V1709">
        <f>IF(OR($T1709="",$U1709=""),"",$U1709-$T1709)</f>
      </c>
    </row>
    <row r="1710">
      <c r="T1710" t="str">
        <f>IF(connections!$A1710="","",IFERROR(INDEX(games!$B$2:$B$1200,MATCH(connections!$A1710,games!$A$2:$A$1200,0)),""))</f>
      </c>
      <c r="U1710">
        <f>IF(connections!$A1710="","",IFERROR(INDEX(games!$B$2:$B$1200,MATCH(connections!$B1710,games!$A$2:$A$1200,0)),""))</f>
      </c>
      <c r="V1710">
        <f>IF(OR($T1710="",$U1710=""),"",$U1710-$T1710)</f>
      </c>
    </row>
    <row r="1711">
      <c r="T1711" t="str">
        <f>IF(connections!$A1711="","",IFERROR(INDEX(games!$B$2:$B$1200,MATCH(connections!$A1711,games!$A$2:$A$1200,0)),""))</f>
      </c>
      <c r="U1711">
        <f>IF(connections!$A1711="","",IFERROR(INDEX(games!$B$2:$B$1200,MATCH(connections!$B1711,games!$A$2:$A$1200,0)),""))</f>
      </c>
      <c r="V1711">
        <f>IF(OR($T1711="",$U1711=""),"",$U1711-$T1711)</f>
      </c>
    </row>
    <row r="1712">
      <c r="T1712" t="str">
        <f>IF(connections!$A1712="","",IFERROR(INDEX(games!$B$2:$B$1200,MATCH(connections!$A1712,games!$A$2:$A$1200,0)),""))</f>
      </c>
      <c r="U1712">
        <f>IF(connections!$A1712="","",IFERROR(INDEX(games!$B$2:$B$1200,MATCH(connections!$B1712,games!$A$2:$A$1200,0)),""))</f>
      </c>
      <c r="V1712">
        <f>IF(OR($T1712="",$U1712=""),"",$U1712-$T1712)</f>
      </c>
    </row>
    <row r="1713">
      <c r="T1713" t="str">
        <f>IF(connections!$A1713="","",IFERROR(INDEX(games!$B$2:$B$1200,MATCH(connections!$A1713,games!$A$2:$A$1200,0)),""))</f>
      </c>
      <c r="U1713">
        <f>IF(connections!$A1713="","",IFERROR(INDEX(games!$B$2:$B$1200,MATCH(connections!$B1713,games!$A$2:$A$1200,0)),""))</f>
      </c>
      <c r="V1713">
        <f>IF(OR($T1713="",$U1713=""),"",$U1713-$T1713)</f>
      </c>
    </row>
    <row r="1714">
      <c r="T1714" t="str">
        <f>IF(connections!$A1714="","",IFERROR(INDEX(games!$B$2:$B$1200,MATCH(connections!$A1714,games!$A$2:$A$1200,0)),""))</f>
      </c>
      <c r="U1714">
        <f>IF(connections!$A1714="","",IFERROR(INDEX(games!$B$2:$B$1200,MATCH(connections!$B1714,games!$A$2:$A$1200,0)),""))</f>
      </c>
      <c r="V1714">
        <f>IF(OR($T1714="",$U1714=""),"",$U1714-$T1714)</f>
      </c>
    </row>
    <row r="1715">
      <c r="T1715" t="str">
        <f>IF(connections!$A1715="","",IFERROR(INDEX(games!$B$2:$B$1200,MATCH(connections!$A1715,games!$A$2:$A$1200,0)),""))</f>
      </c>
      <c r="U1715">
        <f>IF(connections!$A1715="","",IFERROR(INDEX(games!$B$2:$B$1200,MATCH(connections!$B1715,games!$A$2:$A$1200,0)),""))</f>
      </c>
      <c r="V1715">
        <f>IF(OR($T1715="",$U1715=""),"",$U1715-$T1715)</f>
      </c>
    </row>
    <row r="1716">
      <c r="T1716" t="str">
        <f>IF(connections!$A1716="","",IFERROR(INDEX(games!$B$2:$B$1200,MATCH(connections!$A1716,games!$A$2:$A$1200,0)),""))</f>
      </c>
      <c r="U1716">
        <f>IF(connections!$A1716="","",IFERROR(INDEX(games!$B$2:$B$1200,MATCH(connections!$B1716,games!$A$2:$A$1200,0)),""))</f>
      </c>
      <c r="V1716">
        <f>IF(OR($T1716="",$U1716=""),"",$U1716-$T1716)</f>
      </c>
    </row>
    <row r="1717">
      <c r="T1717" t="str">
        <f>IF(connections!$A1717="","",IFERROR(INDEX(games!$B$2:$B$1200,MATCH(connections!$A1717,games!$A$2:$A$1200,0)),""))</f>
      </c>
      <c r="U1717">
        <f>IF(connections!$A1717="","",IFERROR(INDEX(games!$B$2:$B$1200,MATCH(connections!$B1717,games!$A$2:$A$1200,0)),""))</f>
      </c>
      <c r="V1717">
        <f>IF(OR($T1717="",$U1717=""),"",$U1717-$T1717)</f>
      </c>
    </row>
    <row r="1718">
      <c r="T1718" t="str">
        <f>IF(connections!$A1718="","",IFERROR(INDEX(games!$B$2:$B$1200,MATCH(connections!$A1718,games!$A$2:$A$1200,0)),""))</f>
      </c>
      <c r="U1718">
        <f>IF(connections!$A1718="","",IFERROR(INDEX(games!$B$2:$B$1200,MATCH(connections!$B1718,games!$A$2:$A$1200,0)),""))</f>
      </c>
      <c r="V1718">
        <f>IF(OR($T1718="",$U1718=""),"",$U1718-$T1718)</f>
      </c>
    </row>
    <row r="1719">
      <c r="T1719" t="str">
        <f>IF(connections!$A1719="","",IFERROR(INDEX(games!$B$2:$B$1200,MATCH(connections!$A1719,games!$A$2:$A$1200,0)),""))</f>
      </c>
      <c r="U1719">
        <f>IF(connections!$A1719="","",IFERROR(INDEX(games!$B$2:$B$1200,MATCH(connections!$B1719,games!$A$2:$A$1200,0)),""))</f>
      </c>
      <c r="V1719">
        <f>IF(OR($T1719="",$U1719=""),"",$U1719-$T1719)</f>
      </c>
    </row>
    <row r="1720">
      <c r="T1720" t="str">
        <f>IF(connections!$A1720="","",IFERROR(INDEX(games!$B$2:$B$1200,MATCH(connections!$A1720,games!$A$2:$A$1200,0)),""))</f>
      </c>
      <c r="U1720">
        <f>IF(connections!$A1720="","",IFERROR(INDEX(games!$B$2:$B$1200,MATCH(connections!$B1720,games!$A$2:$A$1200,0)),""))</f>
      </c>
      <c r="V1720">
        <f>IF(OR($T1720="",$U1720=""),"",$U1720-$T1720)</f>
      </c>
    </row>
    <row r="1721">
      <c r="T1721" t="str">
        <f>IF(connections!$A1721="","",IFERROR(INDEX(games!$B$2:$B$1200,MATCH(connections!$A1721,games!$A$2:$A$1200,0)),""))</f>
      </c>
      <c r="U1721">
        <f>IF(connections!$A1721="","",IFERROR(INDEX(games!$B$2:$B$1200,MATCH(connections!$B1721,games!$A$2:$A$1200,0)),""))</f>
      </c>
      <c r="V1721">
        <f>IF(OR($T1721="",$U1721=""),"",$U1721-$T1721)</f>
      </c>
    </row>
    <row r="1722">
      <c r="T1722" t="str">
        <f>IF(connections!$A1722="","",IFERROR(INDEX(games!$B$2:$B$1200,MATCH(connections!$A1722,games!$A$2:$A$1200,0)),""))</f>
      </c>
      <c r="U1722">
        <f>IF(connections!$A1722="","",IFERROR(INDEX(games!$B$2:$B$1200,MATCH(connections!$B1722,games!$A$2:$A$1200,0)),""))</f>
      </c>
      <c r="V1722">
        <f>IF(OR($T1722="",$U1722=""),"",$U1722-$T1722)</f>
      </c>
    </row>
    <row r="1723">
      <c r="T1723" t="str">
        <f>IF(connections!$A1723="","",IFERROR(INDEX(games!$B$2:$B$1200,MATCH(connections!$A1723,games!$A$2:$A$1200,0)),""))</f>
      </c>
      <c r="U1723">
        <f>IF(connections!$A1723="","",IFERROR(INDEX(games!$B$2:$B$1200,MATCH(connections!$B1723,games!$A$2:$A$1200,0)),""))</f>
      </c>
      <c r="V1723">
        <f>IF(OR($T1723="",$U1723=""),"",$U1723-$T1723)</f>
      </c>
    </row>
    <row r="1724">
      <c r="T1724" t="str">
        <f>IF(connections!$A1724="","",IFERROR(INDEX(games!$B$2:$B$1200,MATCH(connections!$A1724,games!$A$2:$A$1200,0)),""))</f>
      </c>
      <c r="U1724">
        <f>IF(connections!$A1724="","",IFERROR(INDEX(games!$B$2:$B$1200,MATCH(connections!$B1724,games!$A$2:$A$1200,0)),""))</f>
      </c>
      <c r="V1724">
        <f>IF(OR($T1724="",$U1724=""),"",$U1724-$T1724)</f>
      </c>
    </row>
    <row r="1725">
      <c r="T1725" t="str">
        <f>IF(connections!$A1725="","",IFERROR(INDEX(games!$B$2:$B$1200,MATCH(connections!$A1725,games!$A$2:$A$1200,0)),""))</f>
      </c>
      <c r="U1725">
        <f>IF(connections!$A1725="","",IFERROR(INDEX(games!$B$2:$B$1200,MATCH(connections!$B1725,games!$A$2:$A$1200,0)),""))</f>
      </c>
      <c r="V1725">
        <f>IF(OR($T1725="",$U1725=""),"",$U1725-$T1725)</f>
      </c>
    </row>
    <row r="1726">
      <c r="T1726" t="str">
        <f>IF(connections!$A1726="","",IFERROR(INDEX(games!$B$2:$B$1200,MATCH(connections!$A1726,games!$A$2:$A$1200,0)),""))</f>
      </c>
      <c r="U1726">
        <f>IF(connections!$A1726="","",IFERROR(INDEX(games!$B$2:$B$1200,MATCH(connections!$B1726,games!$A$2:$A$1200,0)),""))</f>
      </c>
      <c r="V1726">
        <f>IF(OR($T1726="",$U1726=""),"",$U1726-$T1726)</f>
      </c>
    </row>
    <row r="1727">
      <c r="T1727" t="str">
        <f>IF(connections!$A1727="","",IFERROR(INDEX(games!$B$2:$B$1200,MATCH(connections!$A1727,games!$A$2:$A$1200,0)),""))</f>
      </c>
      <c r="U1727">
        <f>IF(connections!$A1727="","",IFERROR(INDEX(games!$B$2:$B$1200,MATCH(connections!$B1727,games!$A$2:$A$1200,0)),""))</f>
      </c>
      <c r="V1727">
        <f>IF(OR($T1727="",$U1727=""),"",$U1727-$T1727)</f>
      </c>
    </row>
    <row r="1728">
      <c r="T1728" t="str">
        <f>IF(connections!$A1728="","",IFERROR(INDEX(games!$B$2:$B$1200,MATCH(connections!$A1728,games!$A$2:$A$1200,0)),""))</f>
      </c>
      <c r="U1728">
        <f>IF(connections!$A1728="","",IFERROR(INDEX(games!$B$2:$B$1200,MATCH(connections!$B1728,games!$A$2:$A$1200,0)),""))</f>
      </c>
      <c r="V1728">
        <f>IF(OR($T1728="",$U1728=""),"",$U1728-$T1728)</f>
      </c>
    </row>
    <row r="1729">
      <c r="T1729" t="str">
        <f>IF(connections!$A1729="","",IFERROR(INDEX(games!$B$2:$B$1200,MATCH(connections!$A1729,games!$A$2:$A$1200,0)),""))</f>
      </c>
      <c r="U1729">
        <f>IF(connections!$A1729="","",IFERROR(INDEX(games!$B$2:$B$1200,MATCH(connections!$B1729,games!$A$2:$A$1200,0)),""))</f>
      </c>
      <c r="V1729">
        <f>IF(OR($T1729="",$U1729=""),"",$U1729-$T1729)</f>
      </c>
    </row>
    <row r="1730">
      <c r="T1730" t="str">
        <f>IF(connections!$A1730="","",IFERROR(INDEX(games!$B$2:$B$1200,MATCH(connections!$A1730,games!$A$2:$A$1200,0)),""))</f>
      </c>
      <c r="U1730">
        <f>IF(connections!$A1730="","",IFERROR(INDEX(games!$B$2:$B$1200,MATCH(connections!$B1730,games!$A$2:$A$1200,0)),""))</f>
      </c>
      <c r="V1730">
        <f>IF(OR($T1730="",$U1730=""),"",$U1730-$T1730)</f>
      </c>
    </row>
    <row r="1731">
      <c r="T1731" t="str">
        <f>IF(connections!$A1731="","",IFERROR(INDEX(games!$B$2:$B$1200,MATCH(connections!$A1731,games!$A$2:$A$1200,0)),""))</f>
      </c>
      <c r="U1731">
        <f>IF(connections!$A1731="","",IFERROR(INDEX(games!$B$2:$B$1200,MATCH(connections!$B1731,games!$A$2:$A$1200,0)),""))</f>
      </c>
      <c r="V1731">
        <f>IF(OR($T1731="",$U1731=""),"",$U1731-$T1731)</f>
      </c>
    </row>
    <row r="1732">
      <c r="T1732" t="str">
        <f>IF(connections!$A1732="","",IFERROR(INDEX(games!$B$2:$B$1200,MATCH(connections!$A1732,games!$A$2:$A$1200,0)),""))</f>
      </c>
      <c r="U1732">
        <f>IF(connections!$A1732="","",IFERROR(INDEX(games!$B$2:$B$1200,MATCH(connections!$B1732,games!$A$2:$A$1200,0)),""))</f>
      </c>
      <c r="V1732">
        <f>IF(OR($T1732="",$U1732=""),"",$U1732-$T1732)</f>
      </c>
    </row>
    <row r="1733">
      <c r="T1733" t="str">
        <f>IF(connections!$A1733="","",IFERROR(INDEX(games!$B$2:$B$1200,MATCH(connections!$A1733,games!$A$2:$A$1200,0)),""))</f>
      </c>
      <c r="U1733">
        <f>IF(connections!$A1733="","",IFERROR(INDEX(games!$B$2:$B$1200,MATCH(connections!$B1733,games!$A$2:$A$1200,0)),""))</f>
      </c>
      <c r="V1733">
        <f>IF(OR($T1733="",$U1733=""),"",$U1733-$T1733)</f>
      </c>
    </row>
    <row r="1734">
      <c r="T1734" t="str">
        <f>IF(connections!$A1734="","",IFERROR(INDEX(games!$B$2:$B$1200,MATCH(connections!$A1734,games!$A$2:$A$1200,0)),""))</f>
      </c>
      <c r="U1734">
        <f>IF(connections!$A1734="","",IFERROR(INDEX(games!$B$2:$B$1200,MATCH(connections!$B1734,games!$A$2:$A$1200,0)),""))</f>
      </c>
      <c r="V1734">
        <f>IF(OR($T1734="",$U1734=""),"",$U1734-$T1734)</f>
      </c>
    </row>
    <row r="1735">
      <c r="T1735" t="str">
        <f>IF(connections!$A1735="","",IFERROR(INDEX(games!$B$2:$B$1200,MATCH(connections!$A1735,games!$A$2:$A$1200,0)),""))</f>
      </c>
      <c r="U1735">
        <f>IF(connections!$A1735="","",IFERROR(INDEX(games!$B$2:$B$1200,MATCH(connections!$B1735,games!$A$2:$A$1200,0)),""))</f>
      </c>
      <c r="V1735">
        <f>IF(OR($T1735="",$U1735=""),"",$U1735-$T1735)</f>
      </c>
    </row>
    <row r="1736">
      <c r="T1736" t="str">
        <f>IF(connections!$A1736="","",IFERROR(INDEX(games!$B$2:$B$1200,MATCH(connections!$A1736,games!$A$2:$A$1200,0)),""))</f>
      </c>
      <c r="U1736">
        <f>IF(connections!$A1736="","",IFERROR(INDEX(games!$B$2:$B$1200,MATCH(connections!$B1736,games!$A$2:$A$1200,0)),""))</f>
      </c>
      <c r="V1736">
        <f>IF(OR($T1736="",$U1736=""),"",$U1736-$T1736)</f>
      </c>
    </row>
    <row r="1737">
      <c r="T1737" t="str">
        <f>IF(connections!$A1737="","",IFERROR(INDEX(games!$B$2:$B$1200,MATCH(connections!$A1737,games!$A$2:$A$1200,0)),""))</f>
      </c>
      <c r="U1737">
        <f>IF(connections!$A1737="","",IFERROR(INDEX(games!$B$2:$B$1200,MATCH(connections!$B1737,games!$A$2:$A$1200,0)),""))</f>
      </c>
      <c r="V1737">
        <f>IF(OR($T1737="",$U1737=""),"",$U1737-$T1737)</f>
      </c>
    </row>
    <row r="1738">
      <c r="T1738" t="str">
        <f>IF(connections!$A1738="","",IFERROR(INDEX(games!$B$2:$B$1200,MATCH(connections!$A1738,games!$A$2:$A$1200,0)),""))</f>
      </c>
      <c r="U1738">
        <f>IF(connections!$A1738="","",IFERROR(INDEX(games!$B$2:$B$1200,MATCH(connections!$B1738,games!$A$2:$A$1200,0)),""))</f>
      </c>
      <c r="V1738">
        <f>IF(OR($T1738="",$U1738=""),"",$U1738-$T1738)</f>
      </c>
    </row>
    <row r="1739">
      <c r="T1739" t="str">
        <f>IF(connections!$A1739="","",IFERROR(INDEX(games!$B$2:$B$1200,MATCH(connections!$A1739,games!$A$2:$A$1200,0)),""))</f>
      </c>
      <c r="U1739">
        <f>IF(connections!$A1739="","",IFERROR(INDEX(games!$B$2:$B$1200,MATCH(connections!$B1739,games!$A$2:$A$1200,0)),""))</f>
      </c>
      <c r="V1739">
        <f>IF(OR($T1739="",$U1739=""),"",$U1739-$T1739)</f>
      </c>
    </row>
    <row r="1740">
      <c r="T1740" t="str">
        <f>IF(connections!$A1740="","",IFERROR(INDEX(games!$B$2:$B$1200,MATCH(connections!$A1740,games!$A$2:$A$1200,0)),""))</f>
      </c>
      <c r="U1740">
        <f>IF(connections!$A1740="","",IFERROR(INDEX(games!$B$2:$B$1200,MATCH(connections!$B1740,games!$A$2:$A$1200,0)),""))</f>
      </c>
      <c r="V1740">
        <f>IF(OR($T1740="",$U1740=""),"",$U1740-$T1740)</f>
      </c>
    </row>
    <row r="1741">
      <c r="T1741" t="str">
        <f>IF(connections!$A1741="","",IFERROR(INDEX(games!$B$2:$B$1200,MATCH(connections!$A1741,games!$A$2:$A$1200,0)),""))</f>
      </c>
      <c r="U1741">
        <f>IF(connections!$A1741="","",IFERROR(INDEX(games!$B$2:$B$1200,MATCH(connections!$B1741,games!$A$2:$A$1200,0)),""))</f>
      </c>
      <c r="V1741">
        <f>IF(OR($T1741="",$U1741=""),"",$U1741-$T1741)</f>
      </c>
    </row>
    <row r="1742">
      <c r="T1742" t="str">
        <f>IF(connections!$A1742="","",IFERROR(INDEX(games!$B$2:$B$1200,MATCH(connections!$A1742,games!$A$2:$A$1200,0)),""))</f>
      </c>
      <c r="U1742">
        <f>IF(connections!$A1742="","",IFERROR(INDEX(games!$B$2:$B$1200,MATCH(connections!$B1742,games!$A$2:$A$1200,0)),""))</f>
      </c>
      <c r="V1742">
        <f>IF(OR($T1742="",$U1742=""),"",$U1742-$T1742)</f>
      </c>
    </row>
    <row r="1743">
      <c r="T1743" t="str">
        <f>IF(connections!$A1743="","",IFERROR(INDEX(games!$B$2:$B$1200,MATCH(connections!$A1743,games!$A$2:$A$1200,0)),""))</f>
      </c>
      <c r="U1743">
        <f>IF(connections!$A1743="","",IFERROR(INDEX(games!$B$2:$B$1200,MATCH(connections!$B1743,games!$A$2:$A$1200,0)),""))</f>
      </c>
      <c r="V1743">
        <f>IF(OR($T1743="",$U1743=""),"",$U1743-$T1743)</f>
      </c>
    </row>
    <row r="1744">
      <c r="T1744" t="str">
        <f>IF(connections!$A1744="","",IFERROR(INDEX(games!$B$2:$B$1200,MATCH(connections!$A1744,games!$A$2:$A$1200,0)),""))</f>
      </c>
      <c r="U1744">
        <f>IF(connections!$A1744="","",IFERROR(INDEX(games!$B$2:$B$1200,MATCH(connections!$B1744,games!$A$2:$A$1200,0)),""))</f>
      </c>
      <c r="V1744">
        <f>IF(OR($T1744="",$U1744=""),"",$U1744-$T1744)</f>
      </c>
    </row>
    <row r="1745">
      <c r="T1745" t="str">
        <f>IF(connections!$A1745="","",IFERROR(INDEX(games!$B$2:$B$1200,MATCH(connections!$A1745,games!$A$2:$A$1200,0)),""))</f>
      </c>
      <c r="U1745">
        <f>IF(connections!$A1745="","",IFERROR(INDEX(games!$B$2:$B$1200,MATCH(connections!$B1745,games!$A$2:$A$1200,0)),""))</f>
      </c>
      <c r="V1745">
        <f>IF(OR($T1745="",$U1745=""),"",$U1745-$T1745)</f>
      </c>
    </row>
    <row r="1746">
      <c r="T1746" t="str">
        <f>IF(connections!$A1746="","",IFERROR(INDEX(games!$B$2:$B$1200,MATCH(connections!$A1746,games!$A$2:$A$1200,0)),""))</f>
      </c>
      <c r="U1746">
        <f>IF(connections!$A1746="","",IFERROR(INDEX(games!$B$2:$B$1200,MATCH(connections!$B1746,games!$A$2:$A$1200,0)),""))</f>
      </c>
      <c r="V1746">
        <f>IF(OR($T1746="",$U1746=""),"",$U1746-$T1746)</f>
      </c>
    </row>
    <row r="1747">
      <c r="T1747" t="str">
        <f>IF(connections!$A1747="","",IFERROR(INDEX(games!$B$2:$B$1200,MATCH(connections!$A1747,games!$A$2:$A$1200,0)),""))</f>
      </c>
      <c r="U1747">
        <f>IF(connections!$A1747="","",IFERROR(INDEX(games!$B$2:$B$1200,MATCH(connections!$B1747,games!$A$2:$A$1200,0)),""))</f>
      </c>
      <c r="V1747">
        <f>IF(OR($T1747="",$U1747=""),"",$U1747-$T1747)</f>
      </c>
    </row>
    <row r="1748">
      <c r="T1748" t="str">
        <f>IF(connections!$A1748="","",IFERROR(INDEX(games!$B$2:$B$1200,MATCH(connections!$A1748,games!$A$2:$A$1200,0)),""))</f>
      </c>
      <c r="U1748">
        <f>IF(connections!$A1748="","",IFERROR(INDEX(games!$B$2:$B$1200,MATCH(connections!$B1748,games!$A$2:$A$1200,0)),""))</f>
      </c>
      <c r="V1748">
        <f>IF(OR($T1748="",$U1748=""),"",$U1748-$T1748)</f>
      </c>
    </row>
    <row r="1749">
      <c r="T1749" t="str">
        <f>IF(connections!$A1749="","",IFERROR(INDEX(games!$B$2:$B$1200,MATCH(connections!$A1749,games!$A$2:$A$1200,0)),""))</f>
      </c>
      <c r="U1749">
        <f>IF(connections!$A1749="","",IFERROR(INDEX(games!$B$2:$B$1200,MATCH(connections!$B1749,games!$A$2:$A$1200,0)),""))</f>
      </c>
      <c r="V1749">
        <f>IF(OR($T1749="",$U1749=""),"",$U1749-$T1749)</f>
      </c>
    </row>
    <row r="1750">
      <c r="T1750" t="str">
        <f>IF(connections!$A1750="","",IFERROR(INDEX(games!$B$2:$B$1200,MATCH(connections!$A1750,games!$A$2:$A$1200,0)),""))</f>
      </c>
      <c r="U1750">
        <f>IF(connections!$A1750="","",IFERROR(INDEX(games!$B$2:$B$1200,MATCH(connections!$B1750,games!$A$2:$A$1200,0)),""))</f>
      </c>
      <c r="V1750">
        <f>IF(OR($T1750="",$U1750=""),"",$U1750-$T1750)</f>
      </c>
    </row>
    <row r="1751">
      <c r="T1751" t="str">
        <f>IF(connections!$A1751="","",IFERROR(INDEX(games!$B$2:$B$1200,MATCH(connections!$A1751,games!$A$2:$A$1200,0)),""))</f>
      </c>
      <c r="U1751">
        <f>IF(connections!$A1751="","",IFERROR(INDEX(games!$B$2:$B$1200,MATCH(connections!$B1751,games!$A$2:$A$1200,0)),""))</f>
      </c>
      <c r="V1751">
        <f>IF(OR($T1751="",$U1751=""),"",$U1751-$T1751)</f>
      </c>
    </row>
    <row r="1752">
      <c r="T1752" t="str">
        <f>IF(connections!$A1752="","",IFERROR(INDEX(games!$B$2:$B$1200,MATCH(connections!$A1752,games!$A$2:$A$1200,0)),""))</f>
      </c>
      <c r="U1752">
        <f>IF(connections!$A1752="","",IFERROR(INDEX(games!$B$2:$B$1200,MATCH(connections!$B1752,games!$A$2:$A$1200,0)),""))</f>
      </c>
      <c r="V1752">
        <f>IF(OR($T1752="",$U1752=""),"",$U1752-$T1752)</f>
      </c>
    </row>
    <row r="1753">
      <c r="T1753" t="str">
        <f>IF(connections!$A1753="","",IFERROR(INDEX(games!$B$2:$B$1200,MATCH(connections!$A1753,games!$A$2:$A$1200,0)),""))</f>
      </c>
      <c r="U1753">
        <f>IF(connections!$A1753="","",IFERROR(INDEX(games!$B$2:$B$1200,MATCH(connections!$B1753,games!$A$2:$A$1200,0)),""))</f>
      </c>
      <c r="V1753">
        <f>IF(OR($T1753="",$U1753=""),"",$U1753-$T1753)</f>
      </c>
    </row>
    <row r="1754">
      <c r="T1754" t="str">
        <f>IF(connections!$A1754="","",IFERROR(INDEX(games!$B$2:$B$1200,MATCH(connections!$A1754,games!$A$2:$A$1200,0)),""))</f>
      </c>
      <c r="U1754">
        <f>IF(connections!$A1754="","",IFERROR(INDEX(games!$B$2:$B$1200,MATCH(connections!$B1754,games!$A$2:$A$1200,0)),""))</f>
      </c>
      <c r="V1754">
        <f>IF(OR($T1754="",$U1754=""),"",$U1754-$T1754)</f>
      </c>
    </row>
    <row r="1755">
      <c r="T1755" t="str">
        <f>IF(connections!$A1755="","",IFERROR(INDEX(games!$B$2:$B$1200,MATCH(connections!$A1755,games!$A$2:$A$1200,0)),""))</f>
      </c>
      <c r="U1755">
        <f>IF(connections!$A1755="","",IFERROR(INDEX(games!$B$2:$B$1200,MATCH(connections!$B1755,games!$A$2:$A$1200,0)),""))</f>
      </c>
      <c r="V1755">
        <f>IF(OR($T1755="",$U1755=""),"",$U1755-$T1755)</f>
      </c>
    </row>
    <row r="1756">
      <c r="T1756" t="str">
        <f>IF(connections!$A1756="","",IFERROR(INDEX(games!$B$2:$B$1200,MATCH(connections!$A1756,games!$A$2:$A$1200,0)),""))</f>
      </c>
      <c r="U1756">
        <f>IF(connections!$A1756="","",IFERROR(INDEX(games!$B$2:$B$1200,MATCH(connections!$B1756,games!$A$2:$A$1200,0)),""))</f>
      </c>
      <c r="V1756">
        <f>IF(OR($T1756="",$U1756=""),"",$U1756-$T1756)</f>
      </c>
    </row>
    <row r="1757">
      <c r="T1757" t="str">
        <f>IF(connections!$A1757="","",IFERROR(INDEX(games!$B$2:$B$1200,MATCH(connections!$A1757,games!$A$2:$A$1200,0)),""))</f>
      </c>
      <c r="U1757">
        <f>IF(connections!$A1757="","",IFERROR(INDEX(games!$B$2:$B$1200,MATCH(connections!$B1757,games!$A$2:$A$1200,0)),""))</f>
      </c>
      <c r="V1757">
        <f>IF(OR($T1757="",$U1757=""),"",$U1757-$T1757)</f>
      </c>
    </row>
    <row r="1758">
      <c r="T1758" t="str">
        <f>IF(connections!$A1758="","",IFERROR(INDEX(games!$B$2:$B$1200,MATCH(connections!$A1758,games!$A$2:$A$1200,0)),""))</f>
      </c>
      <c r="U1758">
        <f>IF(connections!$A1758="","",IFERROR(INDEX(games!$B$2:$B$1200,MATCH(connections!$B1758,games!$A$2:$A$1200,0)),""))</f>
      </c>
      <c r="V1758">
        <f>IF(OR($T1758="",$U1758=""),"",$U1758-$T1758)</f>
      </c>
    </row>
    <row r="1759">
      <c r="T1759" t="str">
        <f>IF(connections!$A1759="","",IFERROR(INDEX(games!$B$2:$B$1200,MATCH(connections!$A1759,games!$A$2:$A$1200,0)),""))</f>
      </c>
      <c r="U1759">
        <f>IF(connections!$A1759="","",IFERROR(INDEX(games!$B$2:$B$1200,MATCH(connections!$B1759,games!$A$2:$A$1200,0)),""))</f>
      </c>
      <c r="V1759">
        <f>IF(OR($T1759="",$U1759=""),"",$U1759-$T1759)</f>
      </c>
    </row>
    <row r="1760">
      <c r="T1760" t="str">
        <f>IF(connections!$A1760="","",IFERROR(INDEX(games!$B$2:$B$1200,MATCH(connections!$A1760,games!$A$2:$A$1200,0)),""))</f>
      </c>
      <c r="U1760">
        <f>IF(connections!$A1760="","",IFERROR(INDEX(games!$B$2:$B$1200,MATCH(connections!$B1760,games!$A$2:$A$1200,0)),""))</f>
      </c>
      <c r="V1760">
        <f>IF(OR($T1760="",$U1760=""),"",$U1760-$T1760)</f>
      </c>
    </row>
    <row r="1761">
      <c r="T1761" t="str">
        <f>IF(connections!$A1761="","",IFERROR(INDEX(games!$B$2:$B$1200,MATCH(connections!$A1761,games!$A$2:$A$1200,0)),""))</f>
      </c>
      <c r="U1761">
        <f>IF(connections!$A1761="","",IFERROR(INDEX(games!$B$2:$B$1200,MATCH(connections!$B1761,games!$A$2:$A$1200,0)),""))</f>
      </c>
      <c r="V1761">
        <f>IF(OR($T1761="",$U1761=""),"",$U1761-$T1761)</f>
      </c>
    </row>
    <row r="1762">
      <c r="T1762" t="str">
        <f>IF(connections!$A1762="","",IFERROR(INDEX(games!$B$2:$B$1200,MATCH(connections!$A1762,games!$A$2:$A$1200,0)),""))</f>
      </c>
      <c r="U1762">
        <f>IF(connections!$A1762="","",IFERROR(INDEX(games!$B$2:$B$1200,MATCH(connections!$B1762,games!$A$2:$A$1200,0)),""))</f>
      </c>
      <c r="V1762">
        <f>IF(OR($T1762="",$U1762=""),"",$U1762-$T1762)</f>
      </c>
    </row>
    <row r="1763">
      <c r="T1763" t="str">
        <f>IF(connections!$A1763="","",IFERROR(INDEX(games!$B$2:$B$1200,MATCH(connections!$A1763,games!$A$2:$A$1200,0)),""))</f>
      </c>
      <c r="U1763">
        <f>IF(connections!$A1763="","",IFERROR(INDEX(games!$B$2:$B$1200,MATCH(connections!$B1763,games!$A$2:$A$1200,0)),""))</f>
      </c>
      <c r="V1763">
        <f>IF(OR($T1763="",$U1763=""),"",$U1763-$T1763)</f>
      </c>
    </row>
    <row r="1764">
      <c r="T1764" t="str">
        <f>IF(connections!$A1764="","",IFERROR(INDEX(games!$B$2:$B$1200,MATCH(connections!$A1764,games!$A$2:$A$1200,0)),""))</f>
      </c>
      <c r="U1764">
        <f>IF(connections!$A1764="","",IFERROR(INDEX(games!$B$2:$B$1200,MATCH(connections!$B1764,games!$A$2:$A$1200,0)),""))</f>
      </c>
      <c r="V1764">
        <f>IF(OR($T1764="",$U1764=""),"",$U1764-$T1764)</f>
      </c>
    </row>
    <row r="1765">
      <c r="T1765" t="str">
        <f>IF(connections!$A1765="","",IFERROR(INDEX(games!$B$2:$B$1200,MATCH(connections!$A1765,games!$A$2:$A$1200,0)),""))</f>
      </c>
      <c r="U1765">
        <f>IF(connections!$A1765="","",IFERROR(INDEX(games!$B$2:$B$1200,MATCH(connections!$B1765,games!$A$2:$A$1200,0)),""))</f>
      </c>
      <c r="V1765">
        <f>IF(OR($T1765="",$U1765=""),"",$U1765-$T1765)</f>
      </c>
    </row>
    <row r="1766">
      <c r="T1766" t="str">
        <f>IF(connections!$A1766="","",IFERROR(INDEX(games!$B$2:$B$1200,MATCH(connections!$A1766,games!$A$2:$A$1200,0)),""))</f>
      </c>
      <c r="U1766">
        <f>IF(connections!$A1766="","",IFERROR(INDEX(games!$B$2:$B$1200,MATCH(connections!$B1766,games!$A$2:$A$1200,0)),""))</f>
      </c>
      <c r="V1766">
        <f>IF(OR($T1766="",$U1766=""),"",$U1766-$T1766)</f>
      </c>
    </row>
    <row r="1767">
      <c r="T1767" t="str">
        <f>IF(connections!$A1767="","",IFERROR(INDEX(games!$B$2:$B$1200,MATCH(connections!$A1767,games!$A$2:$A$1200,0)),""))</f>
      </c>
      <c r="U1767">
        <f>IF(connections!$A1767="","",IFERROR(INDEX(games!$B$2:$B$1200,MATCH(connections!$B1767,games!$A$2:$A$1200,0)),""))</f>
      </c>
      <c r="V1767">
        <f>IF(OR($T1767="",$U1767=""),"",$U1767-$T1767)</f>
      </c>
    </row>
    <row r="1768">
      <c r="T1768" t="str">
        <f>IF(connections!$A1768="","",IFERROR(INDEX(games!$B$2:$B$1200,MATCH(connections!$A1768,games!$A$2:$A$1200,0)),""))</f>
      </c>
      <c r="U1768">
        <f>IF(connections!$A1768="","",IFERROR(INDEX(games!$B$2:$B$1200,MATCH(connections!$B1768,games!$A$2:$A$1200,0)),""))</f>
      </c>
      <c r="V1768">
        <f>IF(OR($T1768="",$U1768=""),"",$U1768-$T1768)</f>
      </c>
    </row>
    <row r="1769">
      <c r="T1769" t="str">
        <f>IF(connections!$A1769="","",IFERROR(INDEX(games!$B$2:$B$1200,MATCH(connections!$A1769,games!$A$2:$A$1200,0)),""))</f>
      </c>
      <c r="U1769">
        <f>IF(connections!$A1769="","",IFERROR(INDEX(games!$B$2:$B$1200,MATCH(connections!$B1769,games!$A$2:$A$1200,0)),""))</f>
      </c>
      <c r="V1769">
        <f>IF(OR($T1769="",$U1769=""),"",$U1769-$T1769)</f>
      </c>
    </row>
    <row r="1770">
      <c r="T1770" t="str">
        <f>IF(connections!$A1770="","",IFERROR(INDEX(games!$B$2:$B$1200,MATCH(connections!$A1770,games!$A$2:$A$1200,0)),""))</f>
      </c>
      <c r="U1770">
        <f>IF(connections!$A1770="","",IFERROR(INDEX(games!$B$2:$B$1200,MATCH(connections!$B1770,games!$A$2:$A$1200,0)),""))</f>
      </c>
      <c r="V1770">
        <f>IF(OR($T1770="",$U1770=""),"",$U1770-$T1770)</f>
      </c>
    </row>
    <row r="1771">
      <c r="T1771" t="str">
        <f>IF(connections!$A1771="","",IFERROR(INDEX(games!$B$2:$B$1200,MATCH(connections!$A1771,games!$A$2:$A$1200,0)),""))</f>
      </c>
      <c r="U1771">
        <f>IF(connections!$A1771="","",IFERROR(INDEX(games!$B$2:$B$1200,MATCH(connections!$B1771,games!$A$2:$A$1200,0)),""))</f>
      </c>
      <c r="V1771">
        <f>IF(OR($T1771="",$U1771=""),"",$U1771-$T1771)</f>
      </c>
    </row>
    <row r="1772">
      <c r="T1772" t="str">
        <f>IF(connections!$A1772="","",IFERROR(INDEX(games!$B$2:$B$1200,MATCH(connections!$A1772,games!$A$2:$A$1200,0)),""))</f>
      </c>
      <c r="U1772">
        <f>IF(connections!$A1772="","",IFERROR(INDEX(games!$B$2:$B$1200,MATCH(connections!$B1772,games!$A$2:$A$1200,0)),""))</f>
      </c>
      <c r="V1772">
        <f>IF(OR($T1772="",$U1772=""),"",$U1772-$T1772)</f>
      </c>
    </row>
    <row r="1773">
      <c r="T1773" t="str">
        <f>IF(connections!$A1773="","",IFERROR(INDEX(games!$B$2:$B$1200,MATCH(connections!$A1773,games!$A$2:$A$1200,0)),""))</f>
      </c>
      <c r="U1773">
        <f>IF(connections!$A1773="","",IFERROR(INDEX(games!$B$2:$B$1200,MATCH(connections!$B1773,games!$A$2:$A$1200,0)),""))</f>
      </c>
      <c r="V1773">
        <f>IF(OR($T1773="",$U1773=""),"",$U1773-$T1773)</f>
      </c>
    </row>
    <row r="1774">
      <c r="T1774" t="str">
        <f>IF(connections!$A1774="","",IFERROR(INDEX(games!$B$2:$B$1200,MATCH(connections!$A1774,games!$A$2:$A$1200,0)),""))</f>
      </c>
      <c r="U1774">
        <f>IF(connections!$A1774="","",IFERROR(INDEX(games!$B$2:$B$1200,MATCH(connections!$B1774,games!$A$2:$A$1200,0)),""))</f>
      </c>
      <c r="V1774">
        <f>IF(OR($T1774="",$U1774=""),"",$U1774-$T1774)</f>
      </c>
    </row>
    <row r="1775">
      <c r="T1775" t="str">
        <f>IF(connections!$A1775="","",IFERROR(INDEX(games!$B$2:$B$1200,MATCH(connections!$A1775,games!$A$2:$A$1200,0)),""))</f>
      </c>
      <c r="U1775">
        <f>IF(connections!$A1775="","",IFERROR(INDEX(games!$B$2:$B$1200,MATCH(connections!$B1775,games!$A$2:$A$1200,0)),""))</f>
      </c>
      <c r="V1775">
        <f>IF(OR($T1775="",$U1775=""),"",$U1775-$T1775)</f>
      </c>
    </row>
    <row r="1776">
      <c r="T1776" t="str">
        <f>IF(connections!$A1776="","",IFERROR(INDEX(games!$B$2:$B$1200,MATCH(connections!$A1776,games!$A$2:$A$1200,0)),""))</f>
      </c>
      <c r="U1776">
        <f>IF(connections!$A1776="","",IFERROR(INDEX(games!$B$2:$B$1200,MATCH(connections!$B1776,games!$A$2:$A$1200,0)),""))</f>
      </c>
      <c r="V1776">
        <f>IF(OR($T1776="",$U1776=""),"",$U1776-$T1776)</f>
      </c>
    </row>
    <row r="1777">
      <c r="T1777" t="str">
        <f>IF(connections!$A1777="","",IFERROR(INDEX(games!$B$2:$B$1200,MATCH(connections!$A1777,games!$A$2:$A$1200,0)),""))</f>
      </c>
      <c r="U1777">
        <f>IF(connections!$A1777="","",IFERROR(INDEX(games!$B$2:$B$1200,MATCH(connections!$B1777,games!$A$2:$A$1200,0)),""))</f>
      </c>
      <c r="V1777">
        <f>IF(OR($T1777="",$U1777=""),"",$U1777-$T1777)</f>
      </c>
    </row>
    <row r="1778">
      <c r="T1778" t="str">
        <f>IF(connections!$A1778="","",IFERROR(INDEX(games!$B$2:$B$1200,MATCH(connections!$A1778,games!$A$2:$A$1200,0)),""))</f>
      </c>
      <c r="U1778">
        <f>IF(connections!$A1778="","",IFERROR(INDEX(games!$B$2:$B$1200,MATCH(connections!$B1778,games!$A$2:$A$1200,0)),""))</f>
      </c>
      <c r="V1778">
        <f>IF(OR($T1778="",$U1778=""),"",$U1778-$T1778)</f>
      </c>
    </row>
    <row r="1779">
      <c r="T1779" t="str">
        <f>IF(connections!$A1779="","",IFERROR(INDEX(games!$B$2:$B$1200,MATCH(connections!$A1779,games!$A$2:$A$1200,0)),""))</f>
      </c>
      <c r="U1779">
        <f>IF(connections!$A1779="","",IFERROR(INDEX(games!$B$2:$B$1200,MATCH(connections!$B1779,games!$A$2:$A$1200,0)),""))</f>
      </c>
      <c r="V1779">
        <f>IF(OR($T1779="",$U1779=""),"",$U1779-$T1779)</f>
      </c>
    </row>
    <row r="1780">
      <c r="T1780" t="str">
        <f>IF(connections!$A1780="","",IFERROR(INDEX(games!$B$2:$B$1200,MATCH(connections!$A1780,games!$A$2:$A$1200,0)),""))</f>
      </c>
      <c r="U1780">
        <f>IF(connections!$A1780="","",IFERROR(INDEX(games!$B$2:$B$1200,MATCH(connections!$B1780,games!$A$2:$A$1200,0)),""))</f>
      </c>
      <c r="V1780">
        <f>IF(OR($T1780="",$U1780=""),"",$U1780-$T1780)</f>
      </c>
    </row>
    <row r="1781">
      <c r="T1781" t="str">
        <f>IF(connections!$A1781="","",IFERROR(INDEX(games!$B$2:$B$1200,MATCH(connections!$A1781,games!$A$2:$A$1200,0)),""))</f>
      </c>
      <c r="U1781">
        <f>IF(connections!$A1781="","",IFERROR(INDEX(games!$B$2:$B$1200,MATCH(connections!$B1781,games!$A$2:$A$1200,0)),""))</f>
      </c>
      <c r="V1781">
        <f>IF(OR($T1781="",$U1781=""),"",$U1781-$T1781)</f>
      </c>
    </row>
    <row r="1782">
      <c r="T1782" t="str">
        <f>IF(connections!$A1782="","",IFERROR(INDEX(games!$B$2:$B$1200,MATCH(connections!$A1782,games!$A$2:$A$1200,0)),""))</f>
      </c>
      <c r="U1782">
        <f>IF(connections!$A1782="","",IFERROR(INDEX(games!$B$2:$B$1200,MATCH(connections!$B1782,games!$A$2:$A$1200,0)),""))</f>
      </c>
      <c r="V1782">
        <f>IF(OR($T1782="",$U1782=""),"",$U1782-$T1782)</f>
      </c>
    </row>
    <row r="1783">
      <c r="T1783" t="str">
        <f>IF(connections!$A1783="","",IFERROR(INDEX(games!$B$2:$B$1200,MATCH(connections!$A1783,games!$A$2:$A$1200,0)),""))</f>
      </c>
      <c r="U1783">
        <f>IF(connections!$A1783="","",IFERROR(INDEX(games!$B$2:$B$1200,MATCH(connections!$B1783,games!$A$2:$A$1200,0)),""))</f>
      </c>
      <c r="V1783">
        <f>IF(OR($T1783="",$U1783=""),"",$U1783-$T1783)</f>
      </c>
    </row>
    <row r="1784">
      <c r="T1784" t="str">
        <f>IF(connections!$A1784="","",IFERROR(INDEX(games!$B$2:$B$1200,MATCH(connections!$A1784,games!$A$2:$A$1200,0)),""))</f>
      </c>
      <c r="U1784">
        <f>IF(connections!$A1784="","",IFERROR(INDEX(games!$B$2:$B$1200,MATCH(connections!$B1784,games!$A$2:$A$1200,0)),""))</f>
      </c>
      <c r="V1784">
        <f>IF(OR($T1784="",$U1784=""),"",$U1784-$T1784)</f>
      </c>
    </row>
    <row r="1785">
      <c r="T1785" t="str">
        <f>IF(connections!$A1785="","",IFERROR(INDEX(games!$B$2:$B$1200,MATCH(connections!$A1785,games!$A$2:$A$1200,0)),""))</f>
      </c>
      <c r="U1785">
        <f>IF(connections!$A1785="","",IFERROR(INDEX(games!$B$2:$B$1200,MATCH(connections!$B1785,games!$A$2:$A$1200,0)),""))</f>
      </c>
      <c r="V1785">
        <f>IF(OR($T1785="",$U1785=""),"",$U1785-$T1785)</f>
      </c>
    </row>
    <row r="1786">
      <c r="T1786" t="str">
        <f>IF(connections!$A1786="","",IFERROR(INDEX(games!$B$2:$B$1200,MATCH(connections!$A1786,games!$A$2:$A$1200,0)),""))</f>
      </c>
      <c r="U1786">
        <f>IF(connections!$A1786="","",IFERROR(INDEX(games!$B$2:$B$1200,MATCH(connections!$B1786,games!$A$2:$A$1200,0)),""))</f>
      </c>
      <c r="V1786">
        <f>IF(OR($T1786="",$U1786=""),"",$U1786-$T1786)</f>
      </c>
    </row>
    <row r="1787">
      <c r="T1787" t="str">
        <f>IF(connections!$A1787="","",IFERROR(INDEX(games!$B$2:$B$1200,MATCH(connections!$A1787,games!$A$2:$A$1200,0)),""))</f>
      </c>
      <c r="U1787">
        <f>IF(connections!$A1787="","",IFERROR(INDEX(games!$B$2:$B$1200,MATCH(connections!$B1787,games!$A$2:$A$1200,0)),""))</f>
      </c>
      <c r="V1787">
        <f>IF(OR($T1787="",$U1787=""),"",$U1787-$T1787)</f>
      </c>
    </row>
    <row r="1788">
      <c r="T1788" t="str">
        <f>IF(connections!$A1788="","",IFERROR(INDEX(games!$B$2:$B$1200,MATCH(connections!$A1788,games!$A$2:$A$1200,0)),""))</f>
      </c>
      <c r="U1788">
        <f>IF(connections!$A1788="","",IFERROR(INDEX(games!$B$2:$B$1200,MATCH(connections!$B1788,games!$A$2:$A$1200,0)),""))</f>
      </c>
      <c r="V1788">
        <f>IF(OR($T1788="",$U1788=""),"",$U1788-$T1788)</f>
      </c>
    </row>
    <row r="1789">
      <c r="T1789" t="str">
        <f>IF(connections!$A1789="","",IFERROR(INDEX(games!$B$2:$B$1200,MATCH(connections!$A1789,games!$A$2:$A$1200,0)),""))</f>
      </c>
      <c r="U1789">
        <f>IF(connections!$A1789="","",IFERROR(INDEX(games!$B$2:$B$1200,MATCH(connections!$B1789,games!$A$2:$A$1200,0)),""))</f>
      </c>
      <c r="V1789">
        <f>IF(OR($T1789="",$U1789=""),"",$U1789-$T1789)</f>
      </c>
    </row>
    <row r="1790">
      <c r="T1790" t="str">
        <f>IF(connections!$A1790="","",IFERROR(INDEX(games!$B$2:$B$1200,MATCH(connections!$A1790,games!$A$2:$A$1200,0)),""))</f>
      </c>
      <c r="U1790">
        <f>IF(connections!$A1790="","",IFERROR(INDEX(games!$B$2:$B$1200,MATCH(connections!$B1790,games!$A$2:$A$1200,0)),""))</f>
      </c>
      <c r="V1790">
        <f>IF(OR($T1790="",$U1790=""),"",$U1790-$T1790)</f>
      </c>
    </row>
    <row r="1791">
      <c r="T1791" t="str">
        <f>IF(connections!$A1791="","",IFERROR(INDEX(games!$B$2:$B$1200,MATCH(connections!$A1791,games!$A$2:$A$1200,0)),""))</f>
      </c>
      <c r="U1791">
        <f>IF(connections!$A1791="","",IFERROR(INDEX(games!$B$2:$B$1200,MATCH(connections!$B1791,games!$A$2:$A$1200,0)),""))</f>
      </c>
      <c r="V1791">
        <f>IF(OR($T1791="",$U1791=""),"",$U1791-$T1791)</f>
      </c>
    </row>
    <row r="1792">
      <c r="T1792" t="str">
        <f>IF(connections!$A1792="","",IFERROR(INDEX(games!$B$2:$B$1200,MATCH(connections!$A1792,games!$A$2:$A$1200,0)),""))</f>
      </c>
      <c r="U1792">
        <f>IF(connections!$A1792="","",IFERROR(INDEX(games!$B$2:$B$1200,MATCH(connections!$B1792,games!$A$2:$A$1200,0)),""))</f>
      </c>
      <c r="V1792">
        <f>IF(OR($T1792="",$U1792=""),"",$U1792-$T1792)</f>
      </c>
    </row>
    <row r="1793">
      <c r="T1793" t="str">
        <f>IF(connections!$A1793="","",IFERROR(INDEX(games!$B$2:$B$1200,MATCH(connections!$A1793,games!$A$2:$A$1200,0)),""))</f>
      </c>
      <c r="U1793">
        <f>IF(connections!$A1793="","",IFERROR(INDEX(games!$B$2:$B$1200,MATCH(connections!$B1793,games!$A$2:$A$1200,0)),""))</f>
      </c>
      <c r="V1793">
        <f>IF(OR($T1793="",$U1793=""),"",$U1793-$T1793)</f>
      </c>
    </row>
    <row r="1794">
      <c r="T1794" t="str">
        <f>IF(connections!$A1794="","",IFERROR(INDEX(games!$B$2:$B$1200,MATCH(connections!$A1794,games!$A$2:$A$1200,0)),""))</f>
      </c>
      <c r="U1794">
        <f>IF(connections!$A1794="","",IFERROR(INDEX(games!$B$2:$B$1200,MATCH(connections!$B1794,games!$A$2:$A$1200,0)),""))</f>
      </c>
      <c r="V1794">
        <f>IF(OR($T1794="",$U1794=""),"",$U1794-$T1794)</f>
      </c>
    </row>
    <row r="1795">
      <c r="T1795" t="str">
        <f>IF(connections!$A1795="","",IFERROR(INDEX(games!$B$2:$B$1200,MATCH(connections!$A1795,games!$A$2:$A$1200,0)),""))</f>
      </c>
      <c r="U1795">
        <f>IF(connections!$A1795="","",IFERROR(INDEX(games!$B$2:$B$1200,MATCH(connections!$B1795,games!$A$2:$A$1200,0)),""))</f>
      </c>
      <c r="V1795">
        <f>IF(OR($T1795="",$U1795=""),"",$U1795-$T1795)</f>
      </c>
    </row>
    <row r="1796">
      <c r="T1796" t="str">
        <f>IF(connections!$A1796="","",IFERROR(INDEX(games!$B$2:$B$1200,MATCH(connections!$A1796,games!$A$2:$A$1200,0)),""))</f>
      </c>
      <c r="U1796">
        <f>IF(connections!$A1796="","",IFERROR(INDEX(games!$B$2:$B$1200,MATCH(connections!$B1796,games!$A$2:$A$1200,0)),""))</f>
      </c>
      <c r="V1796">
        <f>IF(OR($T1796="",$U1796=""),"",$U1796-$T1796)</f>
      </c>
    </row>
    <row r="1797">
      <c r="T1797" t="str">
        <f>IF(connections!$A1797="","",IFERROR(INDEX(games!$B$2:$B$1200,MATCH(connections!$A1797,games!$A$2:$A$1200,0)),""))</f>
      </c>
      <c r="U1797">
        <f>IF(connections!$A1797="","",IFERROR(INDEX(games!$B$2:$B$1200,MATCH(connections!$B1797,games!$A$2:$A$1200,0)),""))</f>
      </c>
      <c r="V1797">
        <f>IF(OR($T1797="",$U1797=""),"",$U1797-$T1797)</f>
      </c>
    </row>
    <row r="1798">
      <c r="T1798" t="str">
        <f>IF(connections!$A1798="","",IFERROR(INDEX(games!$B$2:$B$1200,MATCH(connections!$A1798,games!$A$2:$A$1200,0)),""))</f>
      </c>
      <c r="U1798">
        <f>IF(connections!$A1798="","",IFERROR(INDEX(games!$B$2:$B$1200,MATCH(connections!$B1798,games!$A$2:$A$1200,0)),""))</f>
      </c>
      <c r="V1798">
        <f>IF(OR($T1798="",$U1798=""),"",$U1798-$T1798)</f>
      </c>
    </row>
    <row r="1799">
      <c r="T1799" t="str">
        <f>IF(connections!$A1799="","",IFERROR(INDEX(games!$B$2:$B$1200,MATCH(connections!$A1799,games!$A$2:$A$1200,0)),""))</f>
      </c>
      <c r="U1799">
        <f>IF(connections!$A1799="","",IFERROR(INDEX(games!$B$2:$B$1200,MATCH(connections!$B1799,games!$A$2:$A$1200,0)),""))</f>
      </c>
      <c r="V1799">
        <f>IF(OR($T1799="",$U1799=""),"",$U1799-$T1799)</f>
      </c>
    </row>
    <row r="1800">
      <c r="T1800" t="str">
        <f>IF(connections!$A1800="","",IFERROR(INDEX(games!$B$2:$B$1200,MATCH(connections!$A1800,games!$A$2:$A$1200,0)),""))</f>
      </c>
      <c r="U1800">
        <f>IF(connections!$A1800="","",IFERROR(INDEX(games!$B$2:$B$1200,MATCH(connections!$B1800,games!$A$2:$A$1200,0)),""))</f>
      </c>
      <c r="V1800">
        <f>IF(OR($T1800="",$U1800=""),"",$U1800-$T1800)</f>
      </c>
    </row>
    <row r="1801">
      <c r="T1801" t="str">
        <f>IF(connections!$A1801="","",IFERROR(INDEX(games!$B$2:$B$1200,MATCH(connections!$A1801,games!$A$2:$A$1200,0)),""))</f>
      </c>
      <c r="U1801">
        <f>IF(connections!$A1801="","",IFERROR(INDEX(games!$B$2:$B$1200,MATCH(connections!$B1801,games!$A$2:$A$1200,0)),""))</f>
      </c>
      <c r="V1801">
        <f>IF(OR($T1801="",$U1801=""),"",$U1801-$T1801)</f>
      </c>
    </row>
    <row r="1802">
      <c r="T1802" t="str">
        <f>IF(connections!$A1802="","",IFERROR(INDEX(games!$B$2:$B$1200,MATCH(connections!$A1802,games!$A$2:$A$1200,0)),""))</f>
      </c>
      <c r="U1802">
        <f>IF(connections!$A1802="","",IFERROR(INDEX(games!$B$2:$B$1200,MATCH(connections!$B1802,games!$A$2:$A$1200,0)),""))</f>
      </c>
      <c r="V1802">
        <f>IF(OR($T1802="",$U1802=""),"",$U1802-$T1802)</f>
      </c>
    </row>
    <row r="1803">
      <c r="T1803" t="str">
        <f>IF(connections!$A1803="","",IFERROR(INDEX(games!$B$2:$B$1200,MATCH(connections!$A1803,games!$A$2:$A$1200,0)),""))</f>
      </c>
      <c r="U1803">
        <f>IF(connections!$A1803="","",IFERROR(INDEX(games!$B$2:$B$1200,MATCH(connections!$B1803,games!$A$2:$A$1200,0)),""))</f>
      </c>
      <c r="V1803">
        <f>IF(OR($T1803="",$U1803=""),"",$U1803-$T1803)</f>
      </c>
    </row>
    <row r="1804">
      <c r="T1804" t="str">
        <f>IF(connections!$A1804="","",IFERROR(INDEX(games!$B$2:$B$1200,MATCH(connections!$A1804,games!$A$2:$A$1200,0)),""))</f>
      </c>
      <c r="U1804">
        <f>IF(connections!$A1804="","",IFERROR(INDEX(games!$B$2:$B$1200,MATCH(connections!$B1804,games!$A$2:$A$1200,0)),""))</f>
      </c>
      <c r="V1804">
        <f>IF(OR($T1804="",$U1804=""),"",$U1804-$T1804)</f>
      </c>
    </row>
    <row r="1805">
      <c r="T1805" t="str">
        <f>IF(connections!$A1805="","",IFERROR(INDEX(games!$B$2:$B$1200,MATCH(connections!$A1805,games!$A$2:$A$1200,0)),""))</f>
      </c>
      <c r="U1805">
        <f>IF(connections!$A1805="","",IFERROR(INDEX(games!$B$2:$B$1200,MATCH(connections!$B1805,games!$A$2:$A$1200,0)),""))</f>
      </c>
      <c r="V1805">
        <f>IF(OR($T1805="",$U1805=""),"",$U1805-$T1805)</f>
      </c>
    </row>
    <row r="1806">
      <c r="T1806" t="str">
        <f>IF(connections!$A1806="","",IFERROR(INDEX(games!$B$2:$B$1200,MATCH(connections!$A1806,games!$A$2:$A$1200,0)),""))</f>
      </c>
      <c r="U1806">
        <f>IF(connections!$A1806="","",IFERROR(INDEX(games!$B$2:$B$1200,MATCH(connections!$B1806,games!$A$2:$A$1200,0)),""))</f>
      </c>
      <c r="V1806">
        <f>IF(OR($T1806="",$U1806=""),"",$U1806-$T1806)</f>
      </c>
    </row>
    <row r="1807">
      <c r="T1807" t="str">
        <f>IF(connections!$A1807="","",IFERROR(INDEX(games!$B$2:$B$1200,MATCH(connections!$A1807,games!$A$2:$A$1200,0)),""))</f>
      </c>
      <c r="U1807">
        <f>IF(connections!$A1807="","",IFERROR(INDEX(games!$B$2:$B$1200,MATCH(connections!$B1807,games!$A$2:$A$1200,0)),""))</f>
      </c>
      <c r="V1807">
        <f>IF(OR($T1807="",$U1807=""),"",$U1807-$T1807)</f>
      </c>
    </row>
    <row r="1808">
      <c r="T1808" t="str">
        <f>IF(connections!$A1808="","",IFERROR(INDEX(games!$B$2:$B$1200,MATCH(connections!$A1808,games!$A$2:$A$1200,0)),""))</f>
      </c>
      <c r="U1808">
        <f>IF(connections!$A1808="","",IFERROR(INDEX(games!$B$2:$B$1200,MATCH(connections!$B1808,games!$A$2:$A$1200,0)),""))</f>
      </c>
      <c r="V1808">
        <f>IF(OR($T1808="",$U1808=""),"",$U1808-$T1808)</f>
      </c>
    </row>
    <row r="1809">
      <c r="T1809" t="str">
        <f>IF(connections!$A1809="","",IFERROR(INDEX(games!$B$2:$B$1200,MATCH(connections!$A1809,games!$A$2:$A$1200,0)),""))</f>
      </c>
      <c r="U1809">
        <f>IF(connections!$A1809="","",IFERROR(INDEX(games!$B$2:$B$1200,MATCH(connections!$B1809,games!$A$2:$A$1200,0)),""))</f>
      </c>
      <c r="V1809">
        <f>IF(OR($T1809="",$U1809=""),"",$U1809-$T1809)</f>
      </c>
    </row>
    <row r="1810">
      <c r="T1810" t="str">
        <f>IF(connections!$A1810="","",IFERROR(INDEX(games!$B$2:$B$1200,MATCH(connections!$A1810,games!$A$2:$A$1200,0)),""))</f>
      </c>
      <c r="U1810">
        <f>IF(connections!$A1810="","",IFERROR(INDEX(games!$B$2:$B$1200,MATCH(connections!$B1810,games!$A$2:$A$1200,0)),""))</f>
      </c>
      <c r="V1810">
        <f>IF(OR($T1810="",$U1810=""),"",$U1810-$T1810)</f>
      </c>
    </row>
    <row r="1811">
      <c r="T1811" t="str">
        <f>IF(connections!$A1811="","",IFERROR(INDEX(games!$B$2:$B$1200,MATCH(connections!$A1811,games!$A$2:$A$1200,0)),""))</f>
      </c>
      <c r="U1811">
        <f>IF(connections!$A1811="","",IFERROR(INDEX(games!$B$2:$B$1200,MATCH(connections!$B1811,games!$A$2:$A$1200,0)),""))</f>
      </c>
      <c r="V1811">
        <f>IF(OR($T1811="",$U1811=""),"",$U1811-$T1811)</f>
      </c>
    </row>
    <row r="1812">
      <c r="T1812" t="str">
        <f>IF(connections!$A1812="","",IFERROR(INDEX(games!$B$2:$B$1200,MATCH(connections!$A1812,games!$A$2:$A$1200,0)),""))</f>
      </c>
      <c r="U1812">
        <f>IF(connections!$A1812="","",IFERROR(INDEX(games!$B$2:$B$1200,MATCH(connections!$B1812,games!$A$2:$A$1200,0)),""))</f>
      </c>
      <c r="V1812">
        <f>IF(OR($T1812="",$U1812=""),"",$U1812-$T1812)</f>
      </c>
    </row>
    <row r="1813">
      <c r="T1813" t="str">
        <f>IF(connections!$A1813="","",IFERROR(INDEX(games!$B$2:$B$1200,MATCH(connections!$A1813,games!$A$2:$A$1200,0)),""))</f>
      </c>
      <c r="U1813">
        <f>IF(connections!$A1813="","",IFERROR(INDEX(games!$B$2:$B$1200,MATCH(connections!$B1813,games!$A$2:$A$1200,0)),""))</f>
      </c>
      <c r="V1813">
        <f>IF(OR($T1813="",$U1813=""),"",$U1813-$T1813)</f>
      </c>
    </row>
    <row r="1814">
      <c r="T1814" t="str">
        <f>IF(connections!$A1814="","",IFERROR(INDEX(games!$B$2:$B$1200,MATCH(connections!$A1814,games!$A$2:$A$1200,0)),""))</f>
      </c>
      <c r="U1814">
        <f>IF(connections!$A1814="","",IFERROR(INDEX(games!$B$2:$B$1200,MATCH(connections!$B1814,games!$A$2:$A$1200,0)),""))</f>
      </c>
      <c r="V1814">
        <f>IF(OR($T1814="",$U1814=""),"",$U1814-$T1814)</f>
      </c>
    </row>
    <row r="1815">
      <c r="T1815" t="str">
        <f>IF(connections!$A1815="","",IFERROR(INDEX(games!$B$2:$B$1200,MATCH(connections!$A1815,games!$A$2:$A$1200,0)),""))</f>
      </c>
      <c r="U1815">
        <f>IF(connections!$A1815="","",IFERROR(INDEX(games!$B$2:$B$1200,MATCH(connections!$B1815,games!$A$2:$A$1200,0)),""))</f>
      </c>
      <c r="V1815">
        <f>IF(OR($T1815="",$U1815=""),"",$U1815-$T1815)</f>
      </c>
    </row>
    <row r="1816">
      <c r="T1816" t="str">
        <f>IF(connections!$A1816="","",IFERROR(INDEX(games!$B$2:$B$1200,MATCH(connections!$A1816,games!$A$2:$A$1200,0)),""))</f>
      </c>
      <c r="U1816">
        <f>IF(connections!$A1816="","",IFERROR(INDEX(games!$B$2:$B$1200,MATCH(connections!$B1816,games!$A$2:$A$1200,0)),""))</f>
      </c>
      <c r="V1816">
        <f>IF(OR($T1816="",$U1816=""),"",$U1816-$T1816)</f>
      </c>
    </row>
    <row r="1817">
      <c r="T1817" t="str">
        <f>IF(connections!$A1817="","",IFERROR(INDEX(games!$B$2:$B$1200,MATCH(connections!$A1817,games!$A$2:$A$1200,0)),""))</f>
      </c>
      <c r="U1817">
        <f>IF(connections!$A1817="","",IFERROR(INDEX(games!$B$2:$B$1200,MATCH(connections!$B1817,games!$A$2:$A$1200,0)),""))</f>
      </c>
      <c r="V1817">
        <f>IF(OR($T1817="",$U1817=""),"",$U1817-$T1817)</f>
      </c>
    </row>
    <row r="1818">
      <c r="T1818" t="str">
        <f>IF(connections!$A1818="","",IFERROR(INDEX(games!$B$2:$B$1200,MATCH(connections!$A1818,games!$A$2:$A$1200,0)),""))</f>
      </c>
      <c r="U1818">
        <f>IF(connections!$A1818="","",IFERROR(INDEX(games!$B$2:$B$1200,MATCH(connections!$B1818,games!$A$2:$A$1200,0)),""))</f>
      </c>
      <c r="V1818">
        <f>IF(OR($T1818="",$U1818=""),"",$U1818-$T1818)</f>
      </c>
    </row>
    <row r="1819">
      <c r="T1819" t="str">
        <f>IF(connections!$A1819="","",IFERROR(INDEX(games!$B$2:$B$1200,MATCH(connections!$A1819,games!$A$2:$A$1200,0)),""))</f>
      </c>
      <c r="U1819">
        <f>IF(connections!$A1819="","",IFERROR(INDEX(games!$B$2:$B$1200,MATCH(connections!$B1819,games!$A$2:$A$1200,0)),""))</f>
      </c>
      <c r="V1819">
        <f>IF(OR($T1819="",$U1819=""),"",$U1819-$T1819)</f>
      </c>
    </row>
    <row r="1820">
      <c r="T1820" t="str">
        <f>IF(connections!$A1820="","",IFERROR(INDEX(games!$B$2:$B$1200,MATCH(connections!$A1820,games!$A$2:$A$1200,0)),""))</f>
      </c>
      <c r="U1820">
        <f>IF(connections!$A1820="","",IFERROR(INDEX(games!$B$2:$B$1200,MATCH(connections!$B1820,games!$A$2:$A$1200,0)),""))</f>
      </c>
      <c r="V1820">
        <f>IF(OR($T1820="",$U1820=""),"",$U1820-$T1820)</f>
      </c>
    </row>
    <row r="1821">
      <c r="T1821" t="str">
        <f>IF(connections!$A1821="","",IFERROR(INDEX(games!$B$2:$B$1200,MATCH(connections!$A1821,games!$A$2:$A$1200,0)),""))</f>
      </c>
      <c r="U1821">
        <f>IF(connections!$A1821="","",IFERROR(INDEX(games!$B$2:$B$1200,MATCH(connections!$B1821,games!$A$2:$A$1200,0)),""))</f>
      </c>
      <c r="V1821">
        <f>IF(OR($T1821="",$U1821=""),"",$U1821-$T1821)</f>
      </c>
    </row>
    <row r="1822">
      <c r="T1822" t="str">
        <f>IF(connections!$A1822="","",IFERROR(INDEX(games!$B$2:$B$1200,MATCH(connections!$A1822,games!$A$2:$A$1200,0)),""))</f>
      </c>
      <c r="U1822">
        <f>IF(connections!$A1822="","",IFERROR(INDEX(games!$B$2:$B$1200,MATCH(connections!$B1822,games!$A$2:$A$1200,0)),""))</f>
      </c>
      <c r="V1822">
        <f>IF(OR($T1822="",$U1822=""),"",$U1822-$T1822)</f>
      </c>
    </row>
    <row r="1823">
      <c r="T1823" t="str">
        <f>IF(connections!$A1823="","",IFERROR(INDEX(games!$B$2:$B$1200,MATCH(connections!$A1823,games!$A$2:$A$1200,0)),""))</f>
      </c>
      <c r="U1823">
        <f>IF(connections!$A1823="","",IFERROR(INDEX(games!$B$2:$B$1200,MATCH(connections!$B1823,games!$A$2:$A$1200,0)),""))</f>
      </c>
      <c r="V1823">
        <f>IF(OR($T1823="",$U1823=""),"",$U1823-$T1823)</f>
      </c>
    </row>
    <row r="1824">
      <c r="T1824" t="str">
        <f>IF(connections!$A1824="","",IFERROR(INDEX(games!$B$2:$B$1200,MATCH(connections!$A1824,games!$A$2:$A$1200,0)),""))</f>
      </c>
      <c r="U1824">
        <f>IF(connections!$A1824="","",IFERROR(INDEX(games!$B$2:$B$1200,MATCH(connections!$B1824,games!$A$2:$A$1200,0)),""))</f>
      </c>
      <c r="V1824">
        <f>IF(OR($T1824="",$U1824=""),"",$U1824-$T1824)</f>
      </c>
    </row>
    <row r="1825">
      <c r="T1825" t="str">
        <f>IF(connections!$A1825="","",IFERROR(INDEX(games!$B$2:$B$1200,MATCH(connections!$A1825,games!$A$2:$A$1200,0)),""))</f>
      </c>
      <c r="U1825">
        <f>IF(connections!$A1825="","",IFERROR(INDEX(games!$B$2:$B$1200,MATCH(connections!$B1825,games!$A$2:$A$1200,0)),""))</f>
      </c>
      <c r="V1825">
        <f>IF(OR($T1825="",$U1825=""),"",$U1825-$T1825)</f>
      </c>
    </row>
    <row r="1826">
      <c r="T1826" t="str">
        <f>IF(connections!$A1826="","",IFERROR(INDEX(games!$B$2:$B$1200,MATCH(connections!$A1826,games!$A$2:$A$1200,0)),""))</f>
      </c>
      <c r="U1826">
        <f>IF(connections!$A1826="","",IFERROR(INDEX(games!$B$2:$B$1200,MATCH(connections!$B1826,games!$A$2:$A$1200,0)),""))</f>
      </c>
      <c r="V1826">
        <f>IF(OR($T1826="",$U1826=""),"",$U1826-$T1826)</f>
      </c>
    </row>
    <row r="1827">
      <c r="T1827" t="str">
        <f>IF(connections!$A1827="","",IFERROR(INDEX(games!$B$2:$B$1200,MATCH(connections!$A1827,games!$A$2:$A$1200,0)),""))</f>
      </c>
      <c r="U1827">
        <f>IF(connections!$A1827="","",IFERROR(INDEX(games!$B$2:$B$1200,MATCH(connections!$B1827,games!$A$2:$A$1200,0)),""))</f>
      </c>
      <c r="V1827">
        <f>IF(OR($T1827="",$U1827=""),"",$U1827-$T1827)</f>
      </c>
    </row>
    <row r="1828">
      <c r="T1828" t="str">
        <f>IF(connections!$A1828="","",IFERROR(INDEX(games!$B$2:$B$1200,MATCH(connections!$A1828,games!$A$2:$A$1200,0)),""))</f>
      </c>
      <c r="U1828">
        <f>IF(connections!$A1828="","",IFERROR(INDEX(games!$B$2:$B$1200,MATCH(connections!$B1828,games!$A$2:$A$1200,0)),""))</f>
      </c>
      <c r="V1828">
        <f>IF(OR($T1828="",$U1828=""),"",$U1828-$T1828)</f>
      </c>
    </row>
    <row r="1829">
      <c r="T1829" t="str">
        <f>IF(connections!$A1829="","",IFERROR(INDEX(games!$B$2:$B$1200,MATCH(connections!$A1829,games!$A$2:$A$1200,0)),""))</f>
      </c>
      <c r="U1829">
        <f>IF(connections!$A1829="","",IFERROR(INDEX(games!$B$2:$B$1200,MATCH(connections!$B1829,games!$A$2:$A$1200,0)),""))</f>
      </c>
      <c r="V1829">
        <f>IF(OR($T1829="",$U1829=""),"",$U1829-$T1829)</f>
      </c>
    </row>
    <row r="1830">
      <c r="T1830" t="str">
        <f>IF(connections!$A1830="","",IFERROR(INDEX(games!$B$2:$B$1200,MATCH(connections!$A1830,games!$A$2:$A$1200,0)),""))</f>
      </c>
      <c r="U1830">
        <f>IF(connections!$A1830="","",IFERROR(INDEX(games!$B$2:$B$1200,MATCH(connections!$B1830,games!$A$2:$A$1200,0)),""))</f>
      </c>
      <c r="V1830">
        <f>IF(OR($T1830="",$U1830=""),"",$U1830-$T1830)</f>
      </c>
    </row>
    <row r="1831">
      <c r="T1831" t="str">
        <f>IF(connections!$A1831="","",IFERROR(INDEX(games!$B$2:$B$1200,MATCH(connections!$A1831,games!$A$2:$A$1200,0)),""))</f>
      </c>
      <c r="U1831">
        <f>IF(connections!$A1831="","",IFERROR(INDEX(games!$B$2:$B$1200,MATCH(connections!$B1831,games!$A$2:$A$1200,0)),""))</f>
      </c>
      <c r="V1831">
        <f>IF(OR($T1831="",$U1831=""),"",$U1831-$T1831)</f>
      </c>
    </row>
    <row r="1832">
      <c r="T1832" t="str">
        <f>IF(connections!$A1832="","",IFERROR(INDEX(games!$B$2:$B$1200,MATCH(connections!$A1832,games!$A$2:$A$1200,0)),""))</f>
      </c>
      <c r="U1832">
        <f>IF(connections!$A1832="","",IFERROR(INDEX(games!$B$2:$B$1200,MATCH(connections!$B1832,games!$A$2:$A$1200,0)),""))</f>
      </c>
      <c r="V1832">
        <f>IF(OR($T1832="",$U1832=""),"",$U1832-$T1832)</f>
      </c>
    </row>
    <row r="1833">
      <c r="T1833" t="str">
        <f>IF(connections!$A1833="","",IFERROR(INDEX(games!$B$2:$B$1200,MATCH(connections!$A1833,games!$A$2:$A$1200,0)),""))</f>
      </c>
      <c r="U1833">
        <f>IF(connections!$A1833="","",IFERROR(INDEX(games!$B$2:$B$1200,MATCH(connections!$B1833,games!$A$2:$A$1200,0)),""))</f>
      </c>
      <c r="V1833">
        <f>IF(OR($T1833="",$U1833=""),"",$U1833-$T1833)</f>
      </c>
    </row>
    <row r="1834">
      <c r="T1834" t="str">
        <f>IF(connections!$A1834="","",IFERROR(INDEX(games!$B$2:$B$1200,MATCH(connections!$A1834,games!$A$2:$A$1200,0)),""))</f>
      </c>
      <c r="U1834">
        <f>IF(connections!$A1834="","",IFERROR(INDEX(games!$B$2:$B$1200,MATCH(connections!$B1834,games!$A$2:$A$1200,0)),""))</f>
      </c>
      <c r="V1834">
        <f>IF(OR($T1834="",$U1834=""),"",$U1834-$T1834)</f>
      </c>
    </row>
    <row r="1835">
      <c r="T1835" t="str">
        <f>IF(connections!$A1835="","",IFERROR(INDEX(games!$B$2:$B$1200,MATCH(connections!$A1835,games!$A$2:$A$1200,0)),""))</f>
      </c>
      <c r="U1835">
        <f>IF(connections!$A1835="","",IFERROR(INDEX(games!$B$2:$B$1200,MATCH(connections!$B1835,games!$A$2:$A$1200,0)),""))</f>
      </c>
      <c r="V1835">
        <f>IF(OR($T1835="",$U1835=""),"",$U1835-$T1835)</f>
      </c>
    </row>
    <row r="1836">
      <c r="T1836" t="str">
        <f>IF(connections!$A1836="","",IFERROR(INDEX(games!$B$2:$B$1200,MATCH(connections!$A1836,games!$A$2:$A$1200,0)),""))</f>
      </c>
      <c r="U1836">
        <f>IF(connections!$A1836="","",IFERROR(INDEX(games!$B$2:$B$1200,MATCH(connections!$B1836,games!$A$2:$A$1200,0)),""))</f>
      </c>
      <c r="V1836">
        <f>IF(OR($T1836="",$U1836=""),"",$U1836-$T1836)</f>
      </c>
    </row>
    <row r="1837">
      <c r="T1837" t="str">
        <f>IF(connections!$A1837="","",IFERROR(INDEX(games!$B$2:$B$1200,MATCH(connections!$A1837,games!$A$2:$A$1200,0)),""))</f>
      </c>
      <c r="U1837">
        <f>IF(connections!$A1837="","",IFERROR(INDEX(games!$B$2:$B$1200,MATCH(connections!$B1837,games!$A$2:$A$1200,0)),""))</f>
      </c>
      <c r="V1837">
        <f>IF(OR($T1837="",$U1837=""),"",$U1837-$T1837)</f>
      </c>
    </row>
    <row r="1838">
      <c r="T1838" t="str">
        <f>IF(connections!$A1838="","",IFERROR(INDEX(games!$B$2:$B$1200,MATCH(connections!$A1838,games!$A$2:$A$1200,0)),""))</f>
      </c>
      <c r="U1838">
        <f>IF(connections!$A1838="","",IFERROR(INDEX(games!$B$2:$B$1200,MATCH(connections!$B1838,games!$A$2:$A$1200,0)),""))</f>
      </c>
      <c r="V1838">
        <f>IF(OR($T1838="",$U1838=""),"",$U1838-$T1838)</f>
      </c>
    </row>
    <row r="1839">
      <c r="T1839" t="str">
        <f>IF(connections!$A1839="","",IFERROR(INDEX(games!$B$2:$B$1200,MATCH(connections!$A1839,games!$A$2:$A$1200,0)),""))</f>
      </c>
      <c r="U1839">
        <f>IF(connections!$A1839="","",IFERROR(INDEX(games!$B$2:$B$1200,MATCH(connections!$B1839,games!$A$2:$A$1200,0)),""))</f>
      </c>
      <c r="V1839">
        <f>IF(OR($T1839="",$U1839=""),"",$U1839-$T1839)</f>
      </c>
    </row>
    <row r="1840">
      <c r="T1840" t="str">
        <f>IF(connections!$A1840="","",IFERROR(INDEX(games!$B$2:$B$1200,MATCH(connections!$A1840,games!$A$2:$A$1200,0)),""))</f>
      </c>
      <c r="U1840">
        <f>IF(connections!$A1840="","",IFERROR(INDEX(games!$B$2:$B$1200,MATCH(connections!$B1840,games!$A$2:$A$1200,0)),""))</f>
      </c>
      <c r="V1840">
        <f>IF(OR($T1840="",$U1840=""),"",$U1840-$T1840)</f>
      </c>
    </row>
    <row r="1841">
      <c r="T1841" t="str">
        <f>IF(connections!$A1841="","",IFERROR(INDEX(games!$B$2:$B$1200,MATCH(connections!$A1841,games!$A$2:$A$1200,0)),""))</f>
      </c>
      <c r="U1841">
        <f>IF(connections!$A1841="","",IFERROR(INDEX(games!$B$2:$B$1200,MATCH(connections!$B1841,games!$A$2:$A$1200,0)),""))</f>
      </c>
      <c r="V1841">
        <f>IF(OR($T1841="",$U1841=""),"",$U1841-$T1841)</f>
      </c>
    </row>
    <row r="1842">
      <c r="T1842" t="str">
        <f>IF(connections!$A1842="","",IFERROR(INDEX(games!$B$2:$B$1200,MATCH(connections!$A1842,games!$A$2:$A$1200,0)),""))</f>
      </c>
      <c r="U1842">
        <f>IF(connections!$A1842="","",IFERROR(INDEX(games!$B$2:$B$1200,MATCH(connections!$B1842,games!$A$2:$A$1200,0)),""))</f>
      </c>
      <c r="V1842">
        <f>IF(OR($T1842="",$U1842=""),"",$U1842-$T1842)</f>
      </c>
    </row>
    <row r="1843">
      <c r="T1843" t="str">
        <f>IF(connections!$A1843="","",IFERROR(INDEX(games!$B$2:$B$1200,MATCH(connections!$A1843,games!$A$2:$A$1200,0)),""))</f>
      </c>
      <c r="U1843">
        <f>IF(connections!$A1843="","",IFERROR(INDEX(games!$B$2:$B$1200,MATCH(connections!$B1843,games!$A$2:$A$1200,0)),""))</f>
      </c>
      <c r="V1843">
        <f>IF(OR($T1843="",$U1843=""),"",$U1843-$T1843)</f>
      </c>
    </row>
    <row r="1844">
      <c r="T1844" t="str">
        <f>IF(connections!$A1844="","",IFERROR(INDEX(games!$B$2:$B$1200,MATCH(connections!$A1844,games!$A$2:$A$1200,0)),""))</f>
      </c>
      <c r="U1844">
        <f>IF(connections!$A1844="","",IFERROR(INDEX(games!$B$2:$B$1200,MATCH(connections!$B1844,games!$A$2:$A$1200,0)),""))</f>
      </c>
      <c r="V1844">
        <f>IF(OR($T1844="",$U1844=""),"",$U1844-$T1844)</f>
      </c>
    </row>
    <row r="1845">
      <c r="T1845" t="str">
        <f>IF(connections!$A1845="","",IFERROR(INDEX(games!$B$2:$B$1200,MATCH(connections!$A1845,games!$A$2:$A$1200,0)),""))</f>
      </c>
      <c r="U1845">
        <f>IF(connections!$A1845="","",IFERROR(INDEX(games!$B$2:$B$1200,MATCH(connections!$B1845,games!$A$2:$A$1200,0)),""))</f>
      </c>
      <c r="V1845">
        <f>IF(OR($T1845="",$U1845=""),"",$U1845-$T1845)</f>
      </c>
    </row>
    <row r="1846">
      <c r="T1846" t="str">
        <f>IF(connections!$A1846="","",IFERROR(INDEX(games!$B$2:$B$1200,MATCH(connections!$A1846,games!$A$2:$A$1200,0)),""))</f>
      </c>
      <c r="U1846">
        <f>IF(connections!$A1846="","",IFERROR(INDEX(games!$B$2:$B$1200,MATCH(connections!$B1846,games!$A$2:$A$1200,0)),""))</f>
      </c>
      <c r="V1846">
        <f>IF(OR($T1846="",$U1846=""),"",$U1846-$T1846)</f>
      </c>
    </row>
    <row r="1847">
      <c r="T1847" t="str">
        <f>IF(connections!$A1847="","",IFERROR(INDEX(games!$B$2:$B$1200,MATCH(connections!$A1847,games!$A$2:$A$1200,0)),""))</f>
      </c>
      <c r="U1847">
        <f>IF(connections!$A1847="","",IFERROR(INDEX(games!$B$2:$B$1200,MATCH(connections!$B1847,games!$A$2:$A$1200,0)),""))</f>
      </c>
      <c r="V1847">
        <f>IF(OR($T1847="",$U1847=""),"",$U1847-$T1847)</f>
      </c>
    </row>
    <row r="1848">
      <c r="T1848" t="str">
        <f>IF(connections!$A1848="","",IFERROR(INDEX(games!$B$2:$B$1200,MATCH(connections!$A1848,games!$A$2:$A$1200,0)),""))</f>
      </c>
      <c r="U1848">
        <f>IF(connections!$A1848="","",IFERROR(INDEX(games!$B$2:$B$1200,MATCH(connections!$B1848,games!$A$2:$A$1200,0)),""))</f>
      </c>
      <c r="V1848">
        <f>IF(OR($T1848="",$U1848=""),"",$U1848-$T1848)</f>
      </c>
    </row>
    <row r="1849">
      <c r="T1849" t="str">
        <f>IF(connections!$A1849="","",IFERROR(INDEX(games!$B$2:$B$1200,MATCH(connections!$A1849,games!$A$2:$A$1200,0)),""))</f>
      </c>
      <c r="U1849">
        <f>IF(connections!$A1849="","",IFERROR(INDEX(games!$B$2:$B$1200,MATCH(connections!$B1849,games!$A$2:$A$1200,0)),""))</f>
      </c>
      <c r="V1849">
        <f>IF(OR($T1849="",$U1849=""),"",$U1849-$T1849)</f>
      </c>
    </row>
    <row r="1850">
      <c r="T1850" t="str">
        <f>IF(connections!$A1850="","",IFERROR(INDEX(games!$B$2:$B$1200,MATCH(connections!$A1850,games!$A$2:$A$1200,0)),""))</f>
      </c>
      <c r="U1850">
        <f>IF(connections!$A1850="","",IFERROR(INDEX(games!$B$2:$B$1200,MATCH(connections!$B1850,games!$A$2:$A$1200,0)),""))</f>
      </c>
      <c r="V1850">
        <f>IF(OR($T1850="",$U1850=""),"",$U1850-$T1850)</f>
      </c>
    </row>
    <row r="1851">
      <c r="T1851" t="str">
        <f>IF(connections!$A1851="","",IFERROR(INDEX(games!$B$2:$B$1200,MATCH(connections!$A1851,games!$A$2:$A$1200,0)),""))</f>
      </c>
      <c r="U1851">
        <f>IF(connections!$A1851="","",IFERROR(INDEX(games!$B$2:$B$1200,MATCH(connections!$B1851,games!$A$2:$A$1200,0)),""))</f>
      </c>
      <c r="V1851">
        <f>IF(OR($T1851="",$U1851=""),"",$U1851-$T1851)</f>
      </c>
    </row>
    <row r="1852">
      <c r="T1852" t="str">
        <f>IF(connections!$A1852="","",IFERROR(INDEX(games!$B$2:$B$1200,MATCH(connections!$A1852,games!$A$2:$A$1200,0)),""))</f>
      </c>
      <c r="U1852">
        <f>IF(connections!$A1852="","",IFERROR(INDEX(games!$B$2:$B$1200,MATCH(connections!$B1852,games!$A$2:$A$1200,0)),""))</f>
      </c>
      <c r="V1852">
        <f>IF(OR($T1852="",$U1852=""),"",$U1852-$T1852)</f>
      </c>
    </row>
    <row r="1853">
      <c r="T1853" t="str">
        <f>IF(connections!$A1853="","",IFERROR(INDEX(games!$B$2:$B$1200,MATCH(connections!$A1853,games!$A$2:$A$1200,0)),""))</f>
      </c>
      <c r="U1853">
        <f>IF(connections!$A1853="","",IFERROR(INDEX(games!$B$2:$B$1200,MATCH(connections!$B1853,games!$A$2:$A$1200,0)),""))</f>
      </c>
      <c r="V1853">
        <f>IF(OR($T1853="",$U1853=""),"",$U1853-$T1853)</f>
      </c>
    </row>
    <row r="1854">
      <c r="T1854" t="str">
        <f>IF(connections!$A1854="","",IFERROR(INDEX(games!$B$2:$B$1200,MATCH(connections!$A1854,games!$A$2:$A$1200,0)),""))</f>
      </c>
      <c r="U1854">
        <f>IF(connections!$A1854="","",IFERROR(INDEX(games!$B$2:$B$1200,MATCH(connections!$B1854,games!$A$2:$A$1200,0)),""))</f>
      </c>
      <c r="V1854">
        <f>IF(OR($T1854="",$U1854=""),"",$U1854-$T1854)</f>
      </c>
    </row>
    <row r="1855">
      <c r="T1855" t="str">
        <f>IF(connections!$A1855="","",IFERROR(INDEX(games!$B$2:$B$1200,MATCH(connections!$A1855,games!$A$2:$A$1200,0)),""))</f>
      </c>
      <c r="U1855">
        <f>IF(connections!$A1855="","",IFERROR(INDEX(games!$B$2:$B$1200,MATCH(connections!$B1855,games!$A$2:$A$1200,0)),""))</f>
      </c>
      <c r="V1855">
        <f>IF(OR($T1855="",$U1855=""),"",$U1855-$T1855)</f>
      </c>
    </row>
    <row r="1856">
      <c r="T1856" t="str">
        <f>IF(connections!$A1856="","",IFERROR(INDEX(games!$B$2:$B$1200,MATCH(connections!$A1856,games!$A$2:$A$1200,0)),""))</f>
      </c>
      <c r="U1856">
        <f>IF(connections!$A1856="","",IFERROR(INDEX(games!$B$2:$B$1200,MATCH(connections!$B1856,games!$A$2:$A$1200,0)),""))</f>
      </c>
      <c r="V1856">
        <f>IF(OR($T1856="",$U1856=""),"",$U1856-$T1856)</f>
      </c>
    </row>
    <row r="1857">
      <c r="T1857" t="str">
        <f>IF(connections!$A1857="","",IFERROR(INDEX(games!$B$2:$B$1200,MATCH(connections!$A1857,games!$A$2:$A$1200,0)),""))</f>
      </c>
      <c r="U1857">
        <f>IF(connections!$A1857="","",IFERROR(INDEX(games!$B$2:$B$1200,MATCH(connections!$B1857,games!$A$2:$A$1200,0)),""))</f>
      </c>
      <c r="V1857">
        <f>IF(OR($T1857="",$U1857=""),"",$U1857-$T1857)</f>
      </c>
    </row>
    <row r="1858">
      <c r="T1858" t="str">
        <f>IF(connections!$A1858="","",IFERROR(INDEX(games!$B$2:$B$1200,MATCH(connections!$A1858,games!$A$2:$A$1200,0)),""))</f>
      </c>
      <c r="U1858">
        <f>IF(connections!$A1858="","",IFERROR(INDEX(games!$B$2:$B$1200,MATCH(connections!$B1858,games!$A$2:$A$1200,0)),""))</f>
      </c>
      <c r="V1858">
        <f>IF(OR($T1858="",$U1858=""),"",$U1858-$T1858)</f>
      </c>
    </row>
    <row r="1859">
      <c r="T1859" t="str">
        <f>IF(connections!$A1859="","",IFERROR(INDEX(games!$B$2:$B$1200,MATCH(connections!$A1859,games!$A$2:$A$1200,0)),""))</f>
      </c>
      <c r="U1859">
        <f>IF(connections!$A1859="","",IFERROR(INDEX(games!$B$2:$B$1200,MATCH(connections!$B1859,games!$A$2:$A$1200,0)),""))</f>
      </c>
      <c r="V1859">
        <f>IF(OR($T1859="",$U1859=""),"",$U1859-$T1859)</f>
      </c>
    </row>
    <row r="1860">
      <c r="T1860" t="str">
        <f>IF(connections!$A1860="","",IFERROR(INDEX(games!$B$2:$B$1200,MATCH(connections!$A1860,games!$A$2:$A$1200,0)),""))</f>
      </c>
      <c r="U1860">
        <f>IF(connections!$A1860="","",IFERROR(INDEX(games!$B$2:$B$1200,MATCH(connections!$B1860,games!$A$2:$A$1200,0)),""))</f>
      </c>
      <c r="V1860">
        <f>IF(OR($T1860="",$U1860=""),"",$U1860-$T1860)</f>
      </c>
    </row>
    <row r="1861">
      <c r="T1861" t="str">
        <f>IF(connections!$A1861="","",IFERROR(INDEX(games!$B$2:$B$1200,MATCH(connections!$A1861,games!$A$2:$A$1200,0)),""))</f>
      </c>
      <c r="U1861">
        <f>IF(connections!$A1861="","",IFERROR(INDEX(games!$B$2:$B$1200,MATCH(connections!$B1861,games!$A$2:$A$1200,0)),""))</f>
      </c>
      <c r="V1861">
        <f>IF(OR($T1861="",$U1861=""),"",$U1861-$T1861)</f>
      </c>
    </row>
    <row r="1862">
      <c r="T1862" t="str">
        <f>IF(connections!$A1862="","",IFERROR(INDEX(games!$B$2:$B$1200,MATCH(connections!$A1862,games!$A$2:$A$1200,0)),""))</f>
      </c>
      <c r="U1862">
        <f>IF(connections!$A1862="","",IFERROR(INDEX(games!$B$2:$B$1200,MATCH(connections!$B1862,games!$A$2:$A$1200,0)),""))</f>
      </c>
      <c r="V1862">
        <f>IF(OR($T1862="",$U1862=""),"",$U1862-$T1862)</f>
      </c>
    </row>
    <row r="1863">
      <c r="T1863" t="str">
        <f>IF(connections!$A1863="","",IFERROR(INDEX(games!$B$2:$B$1200,MATCH(connections!$A1863,games!$A$2:$A$1200,0)),""))</f>
      </c>
      <c r="U1863">
        <f>IF(connections!$A1863="","",IFERROR(INDEX(games!$B$2:$B$1200,MATCH(connections!$B1863,games!$A$2:$A$1200,0)),""))</f>
      </c>
      <c r="V1863">
        <f>IF(OR($T1863="",$U1863=""),"",$U1863-$T1863)</f>
      </c>
    </row>
    <row r="1864">
      <c r="T1864" t="str">
        <f>IF(connections!$A1864="","",IFERROR(INDEX(games!$B$2:$B$1200,MATCH(connections!$A1864,games!$A$2:$A$1200,0)),""))</f>
      </c>
      <c r="U1864">
        <f>IF(connections!$A1864="","",IFERROR(INDEX(games!$B$2:$B$1200,MATCH(connections!$B1864,games!$A$2:$A$1200,0)),""))</f>
      </c>
      <c r="V1864">
        <f>IF(OR($T1864="",$U1864=""),"",$U1864-$T1864)</f>
      </c>
    </row>
    <row r="1865">
      <c r="T1865" t="str">
        <f>IF(connections!$A1865="","",IFERROR(INDEX(games!$B$2:$B$1200,MATCH(connections!$A1865,games!$A$2:$A$1200,0)),""))</f>
      </c>
      <c r="U1865">
        <f>IF(connections!$A1865="","",IFERROR(INDEX(games!$B$2:$B$1200,MATCH(connections!$B1865,games!$A$2:$A$1200,0)),""))</f>
      </c>
      <c r="V1865">
        <f>IF(OR($T1865="",$U1865=""),"",$U1865-$T1865)</f>
      </c>
    </row>
    <row r="1866">
      <c r="T1866" t="str">
        <f>IF(connections!$A1866="","",IFERROR(INDEX(games!$B$2:$B$1200,MATCH(connections!$A1866,games!$A$2:$A$1200,0)),""))</f>
      </c>
      <c r="U1866">
        <f>IF(connections!$A1866="","",IFERROR(INDEX(games!$B$2:$B$1200,MATCH(connections!$B1866,games!$A$2:$A$1200,0)),""))</f>
      </c>
      <c r="V1866">
        <f>IF(OR($T1866="",$U1866=""),"",$U1866-$T1866)</f>
      </c>
    </row>
    <row r="1867">
      <c r="T1867" t="str">
        <f>IF(connections!$A1867="","",IFERROR(INDEX(games!$B$2:$B$1200,MATCH(connections!$A1867,games!$A$2:$A$1200,0)),""))</f>
      </c>
      <c r="U1867">
        <f>IF(connections!$A1867="","",IFERROR(INDEX(games!$B$2:$B$1200,MATCH(connections!$B1867,games!$A$2:$A$1200,0)),""))</f>
      </c>
      <c r="V1867">
        <f>IF(OR($T1867="",$U1867=""),"",$U1867-$T1867)</f>
      </c>
    </row>
    <row r="1868">
      <c r="T1868" t="str">
        <f>IF(connections!$A1868="","",IFERROR(INDEX(games!$B$2:$B$1200,MATCH(connections!$A1868,games!$A$2:$A$1200,0)),""))</f>
      </c>
      <c r="U1868">
        <f>IF(connections!$A1868="","",IFERROR(INDEX(games!$B$2:$B$1200,MATCH(connections!$B1868,games!$A$2:$A$1200,0)),""))</f>
      </c>
      <c r="V1868">
        <f>IF(OR($T1868="",$U1868=""),"",$U1868-$T1868)</f>
      </c>
    </row>
    <row r="1869">
      <c r="T1869" t="str">
        <f>IF(connections!$A1869="","",IFERROR(INDEX(games!$B$2:$B$1200,MATCH(connections!$A1869,games!$A$2:$A$1200,0)),""))</f>
      </c>
      <c r="U1869">
        <f>IF(connections!$A1869="","",IFERROR(INDEX(games!$B$2:$B$1200,MATCH(connections!$B1869,games!$A$2:$A$1200,0)),""))</f>
      </c>
      <c r="V1869">
        <f>IF(OR($T1869="",$U1869=""),"",$U1869-$T1869)</f>
      </c>
    </row>
    <row r="1870">
      <c r="T1870" t="str">
        <f>IF(connections!$A1870="","",IFERROR(INDEX(games!$B$2:$B$1200,MATCH(connections!$A1870,games!$A$2:$A$1200,0)),""))</f>
      </c>
      <c r="U1870">
        <f>IF(connections!$A1870="","",IFERROR(INDEX(games!$B$2:$B$1200,MATCH(connections!$B1870,games!$A$2:$A$1200,0)),""))</f>
      </c>
      <c r="V1870">
        <f>IF(OR($T1870="",$U1870=""),"",$U1870-$T1870)</f>
      </c>
    </row>
    <row r="1871">
      <c r="T1871" t="str">
        <f>IF(connections!$A1871="","",IFERROR(INDEX(games!$B$2:$B$1200,MATCH(connections!$A1871,games!$A$2:$A$1200,0)),""))</f>
      </c>
      <c r="U1871">
        <f>IF(connections!$A1871="","",IFERROR(INDEX(games!$B$2:$B$1200,MATCH(connections!$B1871,games!$A$2:$A$1200,0)),""))</f>
      </c>
      <c r="V1871">
        <f>IF(OR($T1871="",$U1871=""),"",$U1871-$T1871)</f>
      </c>
    </row>
    <row r="1872">
      <c r="T1872" t="str">
        <f>IF(connections!$A1872="","",IFERROR(INDEX(games!$B$2:$B$1200,MATCH(connections!$A1872,games!$A$2:$A$1200,0)),""))</f>
      </c>
      <c r="U1872">
        <f>IF(connections!$A1872="","",IFERROR(INDEX(games!$B$2:$B$1200,MATCH(connections!$B1872,games!$A$2:$A$1200,0)),""))</f>
      </c>
      <c r="V1872">
        <f>IF(OR($T1872="",$U1872=""),"",$U1872-$T1872)</f>
      </c>
    </row>
    <row r="1873">
      <c r="T1873" t="str">
        <f>IF(connections!$A1873="","",IFERROR(INDEX(games!$B$2:$B$1200,MATCH(connections!$A1873,games!$A$2:$A$1200,0)),""))</f>
      </c>
      <c r="U1873">
        <f>IF(connections!$A1873="","",IFERROR(INDEX(games!$B$2:$B$1200,MATCH(connections!$B1873,games!$A$2:$A$1200,0)),""))</f>
      </c>
      <c r="V1873">
        <f>IF(OR($T1873="",$U1873=""),"",$U1873-$T1873)</f>
      </c>
    </row>
    <row r="1874">
      <c r="T1874" t="str">
        <f>IF(connections!$A1874="","",IFERROR(INDEX(games!$B$2:$B$1200,MATCH(connections!$A1874,games!$A$2:$A$1200,0)),""))</f>
      </c>
      <c r="U1874">
        <f>IF(connections!$A1874="","",IFERROR(INDEX(games!$B$2:$B$1200,MATCH(connections!$B1874,games!$A$2:$A$1200,0)),""))</f>
      </c>
      <c r="V1874">
        <f>IF(OR($T1874="",$U1874=""),"",$U1874-$T1874)</f>
      </c>
    </row>
    <row r="1875">
      <c r="T1875" t="str">
        <f>IF(connections!$A1875="","",IFERROR(INDEX(games!$B$2:$B$1200,MATCH(connections!$A1875,games!$A$2:$A$1200,0)),""))</f>
      </c>
      <c r="U1875">
        <f>IF(connections!$A1875="","",IFERROR(INDEX(games!$B$2:$B$1200,MATCH(connections!$B1875,games!$A$2:$A$1200,0)),""))</f>
      </c>
      <c r="V1875">
        <f>IF(OR($T1875="",$U1875=""),"",$U1875-$T1875)</f>
      </c>
    </row>
    <row r="1876">
      <c r="T1876" t="str">
        <f>IF(connections!$A1876="","",IFERROR(INDEX(games!$B$2:$B$1200,MATCH(connections!$A1876,games!$A$2:$A$1200,0)),""))</f>
      </c>
      <c r="U1876">
        <f>IF(connections!$A1876="","",IFERROR(INDEX(games!$B$2:$B$1200,MATCH(connections!$B1876,games!$A$2:$A$1200,0)),""))</f>
      </c>
      <c r="V1876">
        <f>IF(OR($T1876="",$U1876=""),"",$U1876-$T1876)</f>
      </c>
    </row>
    <row r="1877">
      <c r="T1877" t="str">
        <f>IF(connections!$A1877="","",IFERROR(INDEX(games!$B$2:$B$1200,MATCH(connections!$A1877,games!$A$2:$A$1200,0)),""))</f>
      </c>
      <c r="U1877">
        <f>IF(connections!$A1877="","",IFERROR(INDEX(games!$B$2:$B$1200,MATCH(connections!$B1877,games!$A$2:$A$1200,0)),""))</f>
      </c>
      <c r="V1877">
        <f>IF(OR($T1877="",$U1877=""),"",$U1877-$T1877)</f>
      </c>
    </row>
    <row r="1878">
      <c r="T1878" t="str">
        <f>IF(connections!$A1878="","",IFERROR(INDEX(games!$B$2:$B$1200,MATCH(connections!$A1878,games!$A$2:$A$1200,0)),""))</f>
      </c>
      <c r="U1878">
        <f>IF(connections!$A1878="","",IFERROR(INDEX(games!$B$2:$B$1200,MATCH(connections!$B1878,games!$A$2:$A$1200,0)),""))</f>
      </c>
      <c r="V1878">
        <f>IF(OR($T1878="",$U1878=""),"",$U1878-$T1878)</f>
      </c>
    </row>
    <row r="1879">
      <c r="T1879" t="str">
        <f>IF(connections!$A1879="","",IFERROR(INDEX(games!$B$2:$B$1200,MATCH(connections!$A1879,games!$A$2:$A$1200,0)),""))</f>
      </c>
      <c r="U1879">
        <f>IF(connections!$A1879="","",IFERROR(INDEX(games!$B$2:$B$1200,MATCH(connections!$B1879,games!$A$2:$A$1200,0)),""))</f>
      </c>
      <c r="V1879">
        <f>IF(OR($T1879="",$U1879=""),"",$U1879-$T1879)</f>
      </c>
    </row>
    <row r="1880">
      <c r="T1880" t="str">
        <f>IF(connections!$A1880="","",IFERROR(INDEX(games!$B$2:$B$1200,MATCH(connections!$A1880,games!$A$2:$A$1200,0)),""))</f>
      </c>
      <c r="U1880">
        <f>IF(connections!$A1880="","",IFERROR(INDEX(games!$B$2:$B$1200,MATCH(connections!$B1880,games!$A$2:$A$1200,0)),""))</f>
      </c>
      <c r="V1880">
        <f>IF(OR($T1880="",$U1880=""),"",$U1880-$T1880)</f>
      </c>
    </row>
    <row r="1881">
      <c r="T1881" t="str">
        <f>IF(connections!$A1881="","",IFERROR(INDEX(games!$B$2:$B$1200,MATCH(connections!$A1881,games!$A$2:$A$1200,0)),""))</f>
      </c>
      <c r="U1881">
        <f>IF(connections!$A1881="","",IFERROR(INDEX(games!$B$2:$B$1200,MATCH(connections!$B1881,games!$A$2:$A$1200,0)),""))</f>
      </c>
      <c r="V1881">
        <f>IF(OR($T1881="",$U1881=""),"",$U1881-$T1881)</f>
      </c>
    </row>
    <row r="1882">
      <c r="T1882" t="str">
        <f>IF(connections!$A1882="","",IFERROR(INDEX(games!$B$2:$B$1200,MATCH(connections!$A1882,games!$A$2:$A$1200,0)),""))</f>
      </c>
      <c r="U1882">
        <f>IF(connections!$A1882="","",IFERROR(INDEX(games!$B$2:$B$1200,MATCH(connections!$B1882,games!$A$2:$A$1200,0)),""))</f>
      </c>
      <c r="V1882">
        <f>IF(OR($T1882="",$U1882=""),"",$U1882-$T1882)</f>
      </c>
    </row>
    <row r="1883">
      <c r="T1883" t="str">
        <f>IF(connections!$A1883="","",IFERROR(INDEX(games!$B$2:$B$1200,MATCH(connections!$A1883,games!$A$2:$A$1200,0)),""))</f>
      </c>
      <c r="U1883">
        <f>IF(connections!$A1883="","",IFERROR(INDEX(games!$B$2:$B$1200,MATCH(connections!$B1883,games!$A$2:$A$1200,0)),""))</f>
      </c>
      <c r="V1883">
        <f>IF(OR($T1883="",$U1883=""),"",$U1883-$T1883)</f>
      </c>
    </row>
    <row r="1884">
      <c r="T1884" t="str">
        <f>IF(connections!$A1884="","",IFERROR(INDEX(games!$B$2:$B$1200,MATCH(connections!$A1884,games!$A$2:$A$1200,0)),""))</f>
      </c>
      <c r="U1884">
        <f>IF(connections!$A1884="","",IFERROR(INDEX(games!$B$2:$B$1200,MATCH(connections!$B1884,games!$A$2:$A$1200,0)),""))</f>
      </c>
      <c r="V1884">
        <f>IF(OR($T1884="",$U1884=""),"",$U1884-$T1884)</f>
      </c>
    </row>
    <row r="1885">
      <c r="T1885" t="str">
        <f>IF(connections!$A1885="","",IFERROR(INDEX(games!$B$2:$B$1200,MATCH(connections!$A1885,games!$A$2:$A$1200,0)),""))</f>
      </c>
      <c r="U1885">
        <f>IF(connections!$A1885="","",IFERROR(INDEX(games!$B$2:$B$1200,MATCH(connections!$B1885,games!$A$2:$A$1200,0)),""))</f>
      </c>
      <c r="V1885">
        <f>IF(OR($T1885="",$U1885=""),"",$U1885-$T1885)</f>
      </c>
    </row>
    <row r="1886">
      <c r="T1886" t="str">
        <f>IF(connections!$A1886="","",IFERROR(INDEX(games!$B$2:$B$1200,MATCH(connections!$A1886,games!$A$2:$A$1200,0)),""))</f>
      </c>
      <c r="U1886">
        <f>IF(connections!$A1886="","",IFERROR(INDEX(games!$B$2:$B$1200,MATCH(connections!$B1886,games!$A$2:$A$1200,0)),""))</f>
      </c>
      <c r="V1886">
        <f>IF(OR($T1886="",$U1886=""),"",$U1886-$T1886)</f>
      </c>
    </row>
    <row r="1887">
      <c r="T1887" t="str">
        <f>IF(connections!$A1887="","",IFERROR(INDEX(games!$B$2:$B$1200,MATCH(connections!$A1887,games!$A$2:$A$1200,0)),""))</f>
      </c>
      <c r="U1887">
        <f>IF(connections!$A1887="","",IFERROR(INDEX(games!$B$2:$B$1200,MATCH(connections!$B1887,games!$A$2:$A$1200,0)),""))</f>
      </c>
      <c r="V1887">
        <f>IF(OR($T1887="",$U1887=""),"",$U1887-$T1887)</f>
      </c>
    </row>
    <row r="1888">
      <c r="T1888" t="str">
        <f>IF(connections!$A1888="","",IFERROR(INDEX(games!$B$2:$B$1200,MATCH(connections!$A1888,games!$A$2:$A$1200,0)),""))</f>
      </c>
      <c r="U1888">
        <f>IF(connections!$A1888="","",IFERROR(INDEX(games!$B$2:$B$1200,MATCH(connections!$B1888,games!$A$2:$A$1200,0)),""))</f>
      </c>
      <c r="V1888">
        <f>IF(OR($T1888="",$U1888=""),"",$U1888-$T1888)</f>
      </c>
    </row>
    <row r="1889">
      <c r="T1889" t="str">
        <f>IF(connections!$A1889="","",IFERROR(INDEX(games!$B$2:$B$1200,MATCH(connections!$A1889,games!$A$2:$A$1200,0)),""))</f>
      </c>
      <c r="U1889">
        <f>IF(connections!$A1889="","",IFERROR(INDEX(games!$B$2:$B$1200,MATCH(connections!$B1889,games!$A$2:$A$1200,0)),""))</f>
      </c>
      <c r="V1889">
        <f>IF(OR($T1889="",$U1889=""),"",$U1889-$T1889)</f>
      </c>
    </row>
    <row r="1890">
      <c r="T1890" t="str">
        <f>IF(connections!$A1890="","",IFERROR(INDEX(games!$B$2:$B$1200,MATCH(connections!$A1890,games!$A$2:$A$1200,0)),""))</f>
      </c>
      <c r="U1890">
        <f>IF(connections!$A1890="","",IFERROR(INDEX(games!$B$2:$B$1200,MATCH(connections!$B1890,games!$A$2:$A$1200,0)),""))</f>
      </c>
      <c r="V1890">
        <f>IF(OR($T1890="",$U1890=""),"",$U1890-$T1890)</f>
      </c>
    </row>
    <row r="1891">
      <c r="T1891" t="str">
        <f>IF(connections!$A1891="","",IFERROR(INDEX(games!$B$2:$B$1200,MATCH(connections!$A1891,games!$A$2:$A$1200,0)),""))</f>
      </c>
      <c r="U1891">
        <f>IF(connections!$A1891="","",IFERROR(INDEX(games!$B$2:$B$1200,MATCH(connections!$B1891,games!$A$2:$A$1200,0)),""))</f>
      </c>
      <c r="V1891">
        <f>IF(OR($T1891="",$U1891=""),"",$U1891-$T1891)</f>
      </c>
    </row>
    <row r="1892">
      <c r="T1892" t="str">
        <f>IF(connections!$A1892="","",IFERROR(INDEX(games!$B$2:$B$1200,MATCH(connections!$A1892,games!$A$2:$A$1200,0)),""))</f>
      </c>
      <c r="U1892">
        <f>IF(connections!$A1892="","",IFERROR(INDEX(games!$B$2:$B$1200,MATCH(connections!$B1892,games!$A$2:$A$1200,0)),""))</f>
      </c>
      <c r="V1892">
        <f>IF(OR($T1892="",$U1892=""),"",$U1892-$T1892)</f>
      </c>
    </row>
    <row r="1893">
      <c r="T1893" t="str">
        <f>IF(connections!$A1893="","",IFERROR(INDEX(games!$B$2:$B$1200,MATCH(connections!$A1893,games!$A$2:$A$1200,0)),""))</f>
      </c>
      <c r="U1893">
        <f>IF(connections!$A1893="","",IFERROR(INDEX(games!$B$2:$B$1200,MATCH(connections!$B1893,games!$A$2:$A$1200,0)),""))</f>
      </c>
      <c r="V1893">
        <f>IF(OR($T1893="",$U1893=""),"",$U1893-$T1893)</f>
      </c>
    </row>
    <row r="1894">
      <c r="T1894" t="str">
        <f>IF(connections!$A1894="","",IFERROR(INDEX(games!$B$2:$B$1200,MATCH(connections!$A1894,games!$A$2:$A$1200,0)),""))</f>
      </c>
      <c r="U1894">
        <f>IF(connections!$A1894="","",IFERROR(INDEX(games!$B$2:$B$1200,MATCH(connections!$B1894,games!$A$2:$A$1200,0)),""))</f>
      </c>
      <c r="V1894">
        <f>IF(OR($T1894="",$U1894=""),"",$U1894-$T1894)</f>
      </c>
    </row>
    <row r="1895">
      <c r="T1895" t="str">
        <f>IF(connections!$A1895="","",IFERROR(INDEX(games!$B$2:$B$1200,MATCH(connections!$A1895,games!$A$2:$A$1200,0)),""))</f>
      </c>
      <c r="U1895">
        <f>IF(connections!$A1895="","",IFERROR(INDEX(games!$B$2:$B$1200,MATCH(connections!$B1895,games!$A$2:$A$1200,0)),""))</f>
      </c>
      <c r="V1895">
        <f>IF(OR($T1895="",$U1895=""),"",$U1895-$T1895)</f>
      </c>
    </row>
    <row r="1896">
      <c r="T1896" t="str">
        <f>IF(connections!$A1896="","",IFERROR(INDEX(games!$B$2:$B$1200,MATCH(connections!$A1896,games!$A$2:$A$1200,0)),""))</f>
      </c>
      <c r="U1896">
        <f>IF(connections!$A1896="","",IFERROR(INDEX(games!$B$2:$B$1200,MATCH(connections!$B1896,games!$A$2:$A$1200,0)),""))</f>
      </c>
      <c r="V1896">
        <f>IF(OR($T1896="",$U1896=""),"",$U1896-$T1896)</f>
      </c>
    </row>
    <row r="1897">
      <c r="T1897" t="str">
        <f>IF(connections!$A1897="","",IFERROR(INDEX(games!$B$2:$B$1200,MATCH(connections!$A1897,games!$A$2:$A$1200,0)),""))</f>
      </c>
      <c r="U1897">
        <f>IF(connections!$A1897="","",IFERROR(INDEX(games!$B$2:$B$1200,MATCH(connections!$B1897,games!$A$2:$A$1200,0)),""))</f>
      </c>
      <c r="V1897">
        <f>IF(OR($T1897="",$U1897=""),"",$U1897-$T1897)</f>
      </c>
    </row>
    <row r="1898">
      <c r="T1898" t="str">
        <f>IF(connections!$A1898="","",IFERROR(INDEX(games!$B$2:$B$1200,MATCH(connections!$A1898,games!$A$2:$A$1200,0)),""))</f>
      </c>
      <c r="U1898">
        <f>IF(connections!$A1898="","",IFERROR(INDEX(games!$B$2:$B$1200,MATCH(connections!$B1898,games!$A$2:$A$1200,0)),""))</f>
      </c>
      <c r="V1898">
        <f>IF(OR($T1898="",$U1898=""),"",$U1898-$T1898)</f>
      </c>
    </row>
    <row r="1899">
      <c r="T1899" t="str">
        <f>IF(connections!$A1899="","",IFERROR(INDEX(games!$B$2:$B$1200,MATCH(connections!$A1899,games!$A$2:$A$1200,0)),""))</f>
      </c>
      <c r="U1899">
        <f>IF(connections!$A1899="","",IFERROR(INDEX(games!$B$2:$B$1200,MATCH(connections!$B1899,games!$A$2:$A$1200,0)),""))</f>
      </c>
      <c r="V1899">
        <f>IF(OR($T1899="",$U1899=""),"",$U1899-$T1899)</f>
      </c>
    </row>
    <row r="1900">
      <c r="T1900" t="str">
        <f>IF(connections!$A1900="","",IFERROR(INDEX(games!$B$2:$B$1200,MATCH(connections!$A1900,games!$A$2:$A$1200,0)),""))</f>
      </c>
      <c r="U1900">
        <f>IF(connections!$A1900="","",IFERROR(INDEX(games!$B$2:$B$1200,MATCH(connections!$B1900,games!$A$2:$A$1200,0)),""))</f>
      </c>
      <c r="V1900">
        <f>IF(OR($T1900="",$U1900=""),"",$U1900-$T1900)</f>
      </c>
    </row>
    <row r="1901">
      <c r="T1901" t="str">
        <f>IF(connections!$A1901="","",IFERROR(INDEX(games!$B$2:$B$1200,MATCH(connections!$A1901,games!$A$2:$A$1200,0)),""))</f>
      </c>
      <c r="U1901">
        <f>IF(connections!$A1901="","",IFERROR(INDEX(games!$B$2:$B$1200,MATCH(connections!$B1901,games!$A$2:$A$1200,0)),""))</f>
      </c>
      <c r="V1901">
        <f>IF(OR($T1901="",$U1901=""),"",$U1901-$T1901)</f>
      </c>
    </row>
    <row r="1902">
      <c r="T1902" t="str">
        <f>IF(connections!$A1902="","",IFERROR(INDEX(games!$B$2:$B$1200,MATCH(connections!$A1902,games!$A$2:$A$1200,0)),""))</f>
      </c>
      <c r="U1902">
        <f>IF(connections!$A1902="","",IFERROR(INDEX(games!$B$2:$B$1200,MATCH(connections!$B1902,games!$A$2:$A$1200,0)),""))</f>
      </c>
      <c r="V1902">
        <f>IF(OR($T1902="",$U1902=""),"",$U1902-$T1902)</f>
      </c>
    </row>
    <row r="1903">
      <c r="T1903" t="str">
        <f>IF(connections!$A1903="","",IFERROR(INDEX(games!$B$2:$B$1200,MATCH(connections!$A1903,games!$A$2:$A$1200,0)),""))</f>
      </c>
      <c r="U1903">
        <f>IF(connections!$A1903="","",IFERROR(INDEX(games!$B$2:$B$1200,MATCH(connections!$B1903,games!$A$2:$A$1200,0)),""))</f>
      </c>
      <c r="V1903">
        <f>IF(OR($T1903="",$U1903=""),"",$U1903-$T1903)</f>
      </c>
    </row>
    <row r="1904">
      <c r="T1904" t="str">
        <f>IF(connections!$A1904="","",IFERROR(INDEX(games!$B$2:$B$1200,MATCH(connections!$A1904,games!$A$2:$A$1200,0)),""))</f>
      </c>
      <c r="U1904">
        <f>IF(connections!$A1904="","",IFERROR(INDEX(games!$B$2:$B$1200,MATCH(connections!$B1904,games!$A$2:$A$1200,0)),""))</f>
      </c>
      <c r="V1904">
        <f>IF(OR($T1904="",$U1904=""),"",$U1904-$T1904)</f>
      </c>
    </row>
    <row r="1905">
      <c r="T1905" t="str">
        <f>IF(connections!$A1905="","",IFERROR(INDEX(games!$B$2:$B$1200,MATCH(connections!$A1905,games!$A$2:$A$1200,0)),""))</f>
      </c>
      <c r="U1905">
        <f>IF(connections!$A1905="","",IFERROR(INDEX(games!$B$2:$B$1200,MATCH(connections!$B1905,games!$A$2:$A$1200,0)),""))</f>
      </c>
      <c r="V1905">
        <f>IF(OR($T1905="",$U1905=""),"",$U1905-$T1905)</f>
      </c>
    </row>
    <row r="1906">
      <c r="T1906" t="str">
        <f>IF(connections!$A1906="","",IFERROR(INDEX(games!$B$2:$B$1200,MATCH(connections!$A1906,games!$A$2:$A$1200,0)),""))</f>
      </c>
      <c r="U1906">
        <f>IF(connections!$A1906="","",IFERROR(INDEX(games!$B$2:$B$1200,MATCH(connections!$B1906,games!$A$2:$A$1200,0)),""))</f>
      </c>
      <c r="V1906">
        <f>IF(OR($T1906="",$U1906=""),"",$U1906-$T1906)</f>
      </c>
    </row>
    <row r="1907">
      <c r="T1907" t="str">
        <f>IF(connections!$A1907="","",IFERROR(INDEX(games!$B$2:$B$1200,MATCH(connections!$A1907,games!$A$2:$A$1200,0)),""))</f>
      </c>
      <c r="U1907">
        <f>IF(connections!$A1907="","",IFERROR(INDEX(games!$B$2:$B$1200,MATCH(connections!$B1907,games!$A$2:$A$1200,0)),""))</f>
      </c>
      <c r="V1907">
        <f>IF(OR($T1907="",$U1907=""),"",$U1907-$T1907)</f>
      </c>
    </row>
    <row r="1908">
      <c r="T1908" t="str">
        <f>IF(connections!$A1908="","",IFERROR(INDEX(games!$B$2:$B$1200,MATCH(connections!$A1908,games!$A$2:$A$1200,0)),""))</f>
      </c>
      <c r="U1908">
        <f>IF(connections!$A1908="","",IFERROR(INDEX(games!$B$2:$B$1200,MATCH(connections!$B1908,games!$A$2:$A$1200,0)),""))</f>
      </c>
      <c r="V1908">
        <f>IF(OR($T1908="",$U1908=""),"",$U1908-$T1908)</f>
      </c>
    </row>
    <row r="1909">
      <c r="T1909" t="str">
        <f>IF(connections!$A1909="","",IFERROR(INDEX(games!$B$2:$B$1200,MATCH(connections!$A1909,games!$A$2:$A$1200,0)),""))</f>
      </c>
      <c r="U1909">
        <f>IF(connections!$A1909="","",IFERROR(INDEX(games!$B$2:$B$1200,MATCH(connections!$B1909,games!$A$2:$A$1200,0)),""))</f>
      </c>
      <c r="V1909">
        <f>IF(OR($T1909="",$U1909=""),"",$U1909-$T1909)</f>
      </c>
    </row>
    <row r="1910">
      <c r="T1910" t="str">
        <f>IF(connections!$A1910="","",IFERROR(INDEX(games!$B$2:$B$1200,MATCH(connections!$A1910,games!$A$2:$A$1200,0)),""))</f>
      </c>
      <c r="U1910">
        <f>IF(connections!$A1910="","",IFERROR(INDEX(games!$B$2:$B$1200,MATCH(connections!$B1910,games!$A$2:$A$1200,0)),""))</f>
      </c>
      <c r="V1910">
        <f>IF(OR($T1910="",$U1910=""),"",$U1910-$T1910)</f>
      </c>
    </row>
    <row r="1911">
      <c r="T1911" t="str">
        <f>IF(connections!$A1911="","",IFERROR(INDEX(games!$B$2:$B$1200,MATCH(connections!$A1911,games!$A$2:$A$1200,0)),""))</f>
      </c>
      <c r="U1911">
        <f>IF(connections!$A1911="","",IFERROR(INDEX(games!$B$2:$B$1200,MATCH(connections!$B1911,games!$A$2:$A$1200,0)),""))</f>
      </c>
      <c r="V1911">
        <f>IF(OR($T1911="",$U1911=""),"",$U1911-$T1911)</f>
      </c>
    </row>
    <row r="1912">
      <c r="T1912" t="str">
        <f>IF(connections!$A1912="","",IFERROR(INDEX(games!$B$2:$B$1200,MATCH(connections!$A1912,games!$A$2:$A$1200,0)),""))</f>
      </c>
      <c r="U1912">
        <f>IF(connections!$A1912="","",IFERROR(INDEX(games!$B$2:$B$1200,MATCH(connections!$B1912,games!$A$2:$A$1200,0)),""))</f>
      </c>
      <c r="V1912">
        <f>IF(OR($T1912="",$U1912=""),"",$U1912-$T1912)</f>
      </c>
    </row>
    <row r="1913">
      <c r="T1913" t="str">
        <f>IF(connections!$A1913="","",IFERROR(INDEX(games!$B$2:$B$1200,MATCH(connections!$A1913,games!$A$2:$A$1200,0)),""))</f>
      </c>
      <c r="U1913">
        <f>IF(connections!$A1913="","",IFERROR(INDEX(games!$B$2:$B$1200,MATCH(connections!$B1913,games!$A$2:$A$1200,0)),""))</f>
      </c>
      <c r="V1913">
        <f>IF(OR($T1913="",$U1913=""),"",$U1913-$T1913)</f>
      </c>
    </row>
    <row r="1914">
      <c r="T1914" t="str">
        <f>IF(connections!$A1914="","",IFERROR(INDEX(games!$B$2:$B$1200,MATCH(connections!$A1914,games!$A$2:$A$1200,0)),""))</f>
      </c>
      <c r="U1914">
        <f>IF(connections!$A1914="","",IFERROR(INDEX(games!$B$2:$B$1200,MATCH(connections!$B1914,games!$A$2:$A$1200,0)),""))</f>
      </c>
      <c r="V1914">
        <f>IF(OR($T1914="",$U1914=""),"",$U1914-$T1914)</f>
      </c>
    </row>
    <row r="1915">
      <c r="T1915" t="str">
        <f>IF(connections!$A1915="","",IFERROR(INDEX(games!$B$2:$B$1200,MATCH(connections!$A1915,games!$A$2:$A$1200,0)),""))</f>
      </c>
      <c r="U1915">
        <f>IF(connections!$A1915="","",IFERROR(INDEX(games!$B$2:$B$1200,MATCH(connections!$B1915,games!$A$2:$A$1200,0)),""))</f>
      </c>
      <c r="V1915">
        <f>IF(OR($T1915="",$U1915=""),"",$U1915-$T1915)</f>
      </c>
    </row>
    <row r="1916">
      <c r="T1916" t="str">
        <f>IF(connections!$A1916="","",IFERROR(INDEX(games!$B$2:$B$1200,MATCH(connections!$A1916,games!$A$2:$A$1200,0)),""))</f>
      </c>
      <c r="U1916">
        <f>IF(connections!$A1916="","",IFERROR(INDEX(games!$B$2:$B$1200,MATCH(connections!$B1916,games!$A$2:$A$1200,0)),""))</f>
      </c>
      <c r="V1916">
        <f>IF(OR($T1916="",$U1916=""),"",$U1916-$T1916)</f>
      </c>
    </row>
    <row r="1917">
      <c r="T1917" t="str">
        <f>IF(connections!$A1917="","",IFERROR(INDEX(games!$B$2:$B$1200,MATCH(connections!$A1917,games!$A$2:$A$1200,0)),""))</f>
      </c>
      <c r="U1917">
        <f>IF(connections!$A1917="","",IFERROR(INDEX(games!$B$2:$B$1200,MATCH(connections!$B1917,games!$A$2:$A$1200,0)),""))</f>
      </c>
      <c r="V1917">
        <f>IF(OR($T1917="",$U1917=""),"",$U1917-$T1917)</f>
      </c>
    </row>
    <row r="1918">
      <c r="T1918" t="str">
        <f>IF(connections!$A1918="","",IFERROR(INDEX(games!$B$2:$B$1200,MATCH(connections!$A1918,games!$A$2:$A$1200,0)),""))</f>
      </c>
      <c r="U1918">
        <f>IF(connections!$A1918="","",IFERROR(INDEX(games!$B$2:$B$1200,MATCH(connections!$B1918,games!$A$2:$A$1200,0)),""))</f>
      </c>
      <c r="V1918">
        <f>IF(OR($T1918="",$U1918=""),"",$U1918-$T1918)</f>
      </c>
    </row>
    <row r="1919">
      <c r="T1919" t="str">
        <f>IF(connections!$A1919="","",IFERROR(INDEX(games!$B$2:$B$1200,MATCH(connections!$A1919,games!$A$2:$A$1200,0)),""))</f>
      </c>
      <c r="U1919">
        <f>IF(connections!$A1919="","",IFERROR(INDEX(games!$B$2:$B$1200,MATCH(connections!$B1919,games!$A$2:$A$1200,0)),""))</f>
      </c>
      <c r="V1919">
        <f>IF(OR($T1919="",$U1919=""),"",$U1919-$T1919)</f>
      </c>
    </row>
    <row r="1920">
      <c r="T1920" t="str">
        <f>IF(connections!$A1920="","",IFERROR(INDEX(games!$B$2:$B$1200,MATCH(connections!$A1920,games!$A$2:$A$1200,0)),""))</f>
      </c>
      <c r="U1920">
        <f>IF(connections!$A1920="","",IFERROR(INDEX(games!$B$2:$B$1200,MATCH(connections!$B1920,games!$A$2:$A$1200,0)),""))</f>
      </c>
      <c r="V1920">
        <f>IF(OR($T1920="",$U1920=""),"",$U1920-$T1920)</f>
      </c>
    </row>
    <row r="1921">
      <c r="T1921" t="str">
        <f>IF(connections!$A1921="","",IFERROR(INDEX(games!$B$2:$B$1200,MATCH(connections!$A1921,games!$A$2:$A$1200,0)),""))</f>
      </c>
      <c r="U1921">
        <f>IF(connections!$A1921="","",IFERROR(INDEX(games!$B$2:$B$1200,MATCH(connections!$B1921,games!$A$2:$A$1200,0)),""))</f>
      </c>
      <c r="V1921">
        <f>IF(OR($T1921="",$U1921=""),"",$U1921-$T1921)</f>
      </c>
    </row>
    <row r="1922">
      <c r="T1922" t="str">
        <f>IF(connections!$A1922="","",IFERROR(INDEX(games!$B$2:$B$1200,MATCH(connections!$A1922,games!$A$2:$A$1200,0)),""))</f>
      </c>
      <c r="U1922">
        <f>IF(connections!$A1922="","",IFERROR(INDEX(games!$B$2:$B$1200,MATCH(connections!$B1922,games!$A$2:$A$1200,0)),""))</f>
      </c>
      <c r="V1922">
        <f>IF(OR($T1922="",$U1922=""),"",$U1922-$T1922)</f>
      </c>
    </row>
    <row r="1923">
      <c r="T1923" t="str">
        <f>IF(connections!$A1923="","",IFERROR(INDEX(games!$B$2:$B$1200,MATCH(connections!$A1923,games!$A$2:$A$1200,0)),""))</f>
      </c>
      <c r="U1923">
        <f>IF(connections!$A1923="","",IFERROR(INDEX(games!$B$2:$B$1200,MATCH(connections!$B1923,games!$A$2:$A$1200,0)),""))</f>
      </c>
      <c r="V1923">
        <f>IF(OR($T1923="",$U1923=""),"",$U1923-$T1923)</f>
      </c>
    </row>
    <row r="1924">
      <c r="T1924" t="str">
        <f>IF(connections!$A1924="","",IFERROR(INDEX(games!$B$2:$B$1200,MATCH(connections!$A1924,games!$A$2:$A$1200,0)),""))</f>
      </c>
      <c r="U1924">
        <f>IF(connections!$A1924="","",IFERROR(INDEX(games!$B$2:$B$1200,MATCH(connections!$B1924,games!$A$2:$A$1200,0)),""))</f>
      </c>
      <c r="V1924">
        <f>IF(OR($T1924="",$U1924=""),"",$U1924-$T1924)</f>
      </c>
    </row>
    <row r="1925">
      <c r="T1925" t="str">
        <f>IF(connections!$A1925="","",IFERROR(INDEX(games!$B$2:$B$1200,MATCH(connections!$A1925,games!$A$2:$A$1200,0)),""))</f>
      </c>
      <c r="U1925">
        <f>IF(connections!$A1925="","",IFERROR(INDEX(games!$B$2:$B$1200,MATCH(connections!$B1925,games!$A$2:$A$1200,0)),""))</f>
      </c>
      <c r="V1925">
        <f>IF(OR($T1925="",$U1925=""),"",$U1925-$T1925)</f>
      </c>
    </row>
    <row r="1926">
      <c r="T1926" t="str">
        <f>IF(connections!$A1926="","",IFERROR(INDEX(games!$B$2:$B$1200,MATCH(connections!$A1926,games!$A$2:$A$1200,0)),""))</f>
      </c>
      <c r="U1926">
        <f>IF(connections!$A1926="","",IFERROR(INDEX(games!$B$2:$B$1200,MATCH(connections!$B1926,games!$A$2:$A$1200,0)),""))</f>
      </c>
      <c r="V1926">
        <f>IF(OR($T1926="",$U1926=""),"",$U1926-$T1926)</f>
      </c>
    </row>
    <row r="1927">
      <c r="T1927" t="str">
        <f>IF(connections!$A1927="","",IFERROR(INDEX(games!$B$2:$B$1200,MATCH(connections!$A1927,games!$A$2:$A$1200,0)),""))</f>
      </c>
      <c r="U1927">
        <f>IF(connections!$A1927="","",IFERROR(INDEX(games!$B$2:$B$1200,MATCH(connections!$B1927,games!$A$2:$A$1200,0)),""))</f>
      </c>
      <c r="V1927">
        <f>IF(OR($T1927="",$U1927=""),"",$U1927-$T1927)</f>
      </c>
    </row>
    <row r="1928">
      <c r="T1928" t="str">
        <f>IF(connections!$A1928="","",IFERROR(INDEX(games!$B$2:$B$1200,MATCH(connections!$A1928,games!$A$2:$A$1200,0)),""))</f>
      </c>
      <c r="U1928">
        <f>IF(connections!$A1928="","",IFERROR(INDEX(games!$B$2:$B$1200,MATCH(connections!$B1928,games!$A$2:$A$1200,0)),""))</f>
      </c>
      <c r="V1928">
        <f>IF(OR($T1928="",$U1928=""),"",$U1928-$T1928)</f>
      </c>
    </row>
    <row r="1929">
      <c r="T1929" t="str">
        <f>IF(connections!$A1929="","",IFERROR(INDEX(games!$B$2:$B$1200,MATCH(connections!$A1929,games!$A$2:$A$1200,0)),""))</f>
      </c>
      <c r="U1929">
        <f>IF(connections!$A1929="","",IFERROR(INDEX(games!$B$2:$B$1200,MATCH(connections!$B1929,games!$A$2:$A$1200,0)),""))</f>
      </c>
      <c r="V1929">
        <f>IF(OR($T1929="",$U1929=""),"",$U1929-$T1929)</f>
      </c>
    </row>
    <row r="1930">
      <c r="T1930" t="str">
        <f>IF(connections!$A1930="","",IFERROR(INDEX(games!$B$2:$B$1200,MATCH(connections!$A1930,games!$A$2:$A$1200,0)),""))</f>
      </c>
      <c r="U1930">
        <f>IF(connections!$A1930="","",IFERROR(INDEX(games!$B$2:$B$1200,MATCH(connections!$B1930,games!$A$2:$A$1200,0)),""))</f>
      </c>
      <c r="V1930">
        <f>IF(OR($T1930="",$U1930=""),"",$U1930-$T1930)</f>
      </c>
    </row>
    <row r="1931">
      <c r="T1931" t="str">
        <f>IF(connections!$A1931="","",IFERROR(INDEX(games!$B$2:$B$1200,MATCH(connections!$A1931,games!$A$2:$A$1200,0)),""))</f>
      </c>
      <c r="U1931">
        <f>IF(connections!$A1931="","",IFERROR(INDEX(games!$B$2:$B$1200,MATCH(connections!$B1931,games!$A$2:$A$1200,0)),""))</f>
      </c>
      <c r="V1931">
        <f>IF(OR($T1931="",$U1931=""),"",$U1931-$T1931)</f>
      </c>
    </row>
    <row r="1932">
      <c r="T1932" t="str">
        <f>IF(connections!$A1932="","",IFERROR(INDEX(games!$B$2:$B$1200,MATCH(connections!$A1932,games!$A$2:$A$1200,0)),""))</f>
      </c>
      <c r="U1932">
        <f>IF(connections!$A1932="","",IFERROR(INDEX(games!$B$2:$B$1200,MATCH(connections!$B1932,games!$A$2:$A$1200,0)),""))</f>
      </c>
      <c r="V1932">
        <f>IF(OR($T1932="",$U1932=""),"",$U1932-$T1932)</f>
      </c>
    </row>
    <row r="1933">
      <c r="T1933" t="str">
        <f>IF(connections!$A1933="","",IFERROR(INDEX(games!$B$2:$B$1200,MATCH(connections!$A1933,games!$A$2:$A$1200,0)),""))</f>
      </c>
      <c r="U1933">
        <f>IF(connections!$A1933="","",IFERROR(INDEX(games!$B$2:$B$1200,MATCH(connections!$B1933,games!$A$2:$A$1200,0)),""))</f>
      </c>
      <c r="V1933">
        <f>IF(OR($T1933="",$U1933=""),"",$U1933-$T1933)</f>
      </c>
    </row>
    <row r="1934">
      <c r="T1934" t="str">
        <f>IF(connections!$A1934="","",IFERROR(INDEX(games!$B$2:$B$1200,MATCH(connections!$A1934,games!$A$2:$A$1200,0)),""))</f>
      </c>
      <c r="U1934">
        <f>IF(connections!$A1934="","",IFERROR(INDEX(games!$B$2:$B$1200,MATCH(connections!$B1934,games!$A$2:$A$1200,0)),""))</f>
      </c>
      <c r="V1934">
        <f>IF(OR($T1934="",$U1934=""),"",$U1934-$T1934)</f>
      </c>
    </row>
    <row r="1935">
      <c r="T1935" t="str">
        <f>IF(connections!$A1935="","",IFERROR(INDEX(games!$B$2:$B$1200,MATCH(connections!$A1935,games!$A$2:$A$1200,0)),""))</f>
      </c>
      <c r="U1935">
        <f>IF(connections!$A1935="","",IFERROR(INDEX(games!$B$2:$B$1200,MATCH(connections!$B1935,games!$A$2:$A$1200,0)),""))</f>
      </c>
      <c r="V1935">
        <f>IF(OR($T1935="",$U1935=""),"",$U1935-$T1935)</f>
      </c>
    </row>
    <row r="1936">
      <c r="T1936" t="str">
        <f>IF(connections!$A1936="","",IFERROR(INDEX(games!$B$2:$B$1200,MATCH(connections!$A1936,games!$A$2:$A$1200,0)),""))</f>
      </c>
      <c r="U1936">
        <f>IF(connections!$A1936="","",IFERROR(INDEX(games!$B$2:$B$1200,MATCH(connections!$B1936,games!$A$2:$A$1200,0)),""))</f>
      </c>
      <c r="V1936">
        <f>IF(OR($T1936="",$U1936=""),"",$U1936-$T1936)</f>
      </c>
    </row>
    <row r="1937">
      <c r="T1937" t="str">
        <f>IF(connections!$A1937="","",IFERROR(INDEX(games!$B$2:$B$1200,MATCH(connections!$A1937,games!$A$2:$A$1200,0)),""))</f>
      </c>
      <c r="U1937">
        <f>IF(connections!$A1937="","",IFERROR(INDEX(games!$B$2:$B$1200,MATCH(connections!$B1937,games!$A$2:$A$1200,0)),""))</f>
      </c>
      <c r="V1937">
        <f>IF(OR($T1937="",$U1937=""),"",$U1937-$T1937)</f>
      </c>
    </row>
    <row r="1938">
      <c r="T1938" t="str">
        <f>IF(connections!$A1938="","",IFERROR(INDEX(games!$B$2:$B$1200,MATCH(connections!$A1938,games!$A$2:$A$1200,0)),""))</f>
      </c>
      <c r="U1938">
        <f>IF(connections!$A1938="","",IFERROR(INDEX(games!$B$2:$B$1200,MATCH(connections!$B1938,games!$A$2:$A$1200,0)),""))</f>
      </c>
      <c r="V1938">
        <f>IF(OR($T1938="",$U1938=""),"",$U1938-$T1938)</f>
      </c>
    </row>
    <row r="1939">
      <c r="T1939" t="str">
        <f>IF(connections!$A1939="","",IFERROR(INDEX(games!$B$2:$B$1200,MATCH(connections!$A1939,games!$A$2:$A$1200,0)),""))</f>
      </c>
      <c r="U1939">
        <f>IF(connections!$A1939="","",IFERROR(INDEX(games!$B$2:$B$1200,MATCH(connections!$B1939,games!$A$2:$A$1200,0)),""))</f>
      </c>
      <c r="V1939">
        <f>IF(OR($T1939="",$U1939=""),"",$U1939-$T1939)</f>
      </c>
    </row>
    <row r="1940">
      <c r="T1940" t="str">
        <f>IF(connections!$A1940="","",IFERROR(INDEX(games!$B$2:$B$1200,MATCH(connections!$A1940,games!$A$2:$A$1200,0)),""))</f>
      </c>
      <c r="U1940">
        <f>IF(connections!$A1940="","",IFERROR(INDEX(games!$B$2:$B$1200,MATCH(connections!$B1940,games!$A$2:$A$1200,0)),""))</f>
      </c>
      <c r="V1940">
        <f>IF(OR($T1940="",$U1940=""),"",$U1940-$T1940)</f>
      </c>
    </row>
    <row r="1941">
      <c r="T1941" t="str">
        <f>IF(connections!$A1941="","",IFERROR(INDEX(games!$B$2:$B$1200,MATCH(connections!$A1941,games!$A$2:$A$1200,0)),""))</f>
      </c>
      <c r="U1941">
        <f>IF(connections!$A1941="","",IFERROR(INDEX(games!$B$2:$B$1200,MATCH(connections!$B1941,games!$A$2:$A$1200,0)),""))</f>
      </c>
      <c r="V1941">
        <f>IF(OR($T1941="",$U1941=""),"",$U1941-$T1941)</f>
      </c>
    </row>
    <row r="1942">
      <c r="T1942" t="str">
        <f>IF(connections!$A1942="","",IFERROR(INDEX(games!$B$2:$B$1200,MATCH(connections!$A1942,games!$A$2:$A$1200,0)),""))</f>
      </c>
      <c r="U1942">
        <f>IF(connections!$A1942="","",IFERROR(INDEX(games!$B$2:$B$1200,MATCH(connections!$B1942,games!$A$2:$A$1200,0)),""))</f>
      </c>
      <c r="V1942">
        <f>IF(OR($T1942="",$U1942=""),"",$U1942-$T1942)</f>
      </c>
    </row>
    <row r="1943">
      <c r="T1943" t="str">
        <f>IF(connections!$A1943="","",IFERROR(INDEX(games!$B$2:$B$1200,MATCH(connections!$A1943,games!$A$2:$A$1200,0)),""))</f>
      </c>
      <c r="U1943">
        <f>IF(connections!$A1943="","",IFERROR(INDEX(games!$B$2:$B$1200,MATCH(connections!$B1943,games!$A$2:$A$1200,0)),""))</f>
      </c>
      <c r="V1943">
        <f>IF(OR($T1943="",$U1943=""),"",$U1943-$T1943)</f>
      </c>
    </row>
    <row r="1944">
      <c r="T1944" t="str">
        <f>IF(connections!$A1944="","",IFERROR(INDEX(games!$B$2:$B$1200,MATCH(connections!$A1944,games!$A$2:$A$1200,0)),""))</f>
      </c>
      <c r="U1944">
        <f>IF(connections!$A1944="","",IFERROR(INDEX(games!$B$2:$B$1200,MATCH(connections!$B1944,games!$A$2:$A$1200,0)),""))</f>
      </c>
      <c r="V1944">
        <f>IF(OR($T1944="",$U1944=""),"",$U1944-$T1944)</f>
      </c>
    </row>
    <row r="1945">
      <c r="T1945" t="str">
        <f>IF(connections!$A1945="","",IFERROR(INDEX(games!$B$2:$B$1200,MATCH(connections!$A1945,games!$A$2:$A$1200,0)),""))</f>
      </c>
      <c r="U1945">
        <f>IF(connections!$A1945="","",IFERROR(INDEX(games!$B$2:$B$1200,MATCH(connections!$B1945,games!$A$2:$A$1200,0)),""))</f>
      </c>
      <c r="V1945">
        <f>IF(OR($T1945="",$U1945=""),"",$U1945-$T1945)</f>
      </c>
    </row>
    <row r="1946">
      <c r="T1946" t="str">
        <f>IF(connections!$A1946="","",IFERROR(INDEX(games!$B$2:$B$1200,MATCH(connections!$A1946,games!$A$2:$A$1200,0)),""))</f>
      </c>
      <c r="U1946">
        <f>IF(connections!$A1946="","",IFERROR(INDEX(games!$B$2:$B$1200,MATCH(connections!$B1946,games!$A$2:$A$1200,0)),""))</f>
      </c>
      <c r="V1946">
        <f>IF(OR($T1946="",$U1946=""),"",$U1946-$T1946)</f>
      </c>
    </row>
    <row r="1947">
      <c r="T1947" t="str">
        <f>IF(connections!$A1947="","",IFERROR(INDEX(games!$B$2:$B$1200,MATCH(connections!$A1947,games!$A$2:$A$1200,0)),""))</f>
      </c>
      <c r="U1947">
        <f>IF(connections!$A1947="","",IFERROR(INDEX(games!$B$2:$B$1200,MATCH(connections!$B1947,games!$A$2:$A$1200,0)),""))</f>
      </c>
      <c r="V1947">
        <f>IF(OR($T1947="",$U1947=""),"",$U1947-$T1947)</f>
      </c>
    </row>
    <row r="1948">
      <c r="T1948" t="str">
        <f>IF(connections!$A1948="","",IFERROR(INDEX(games!$B$2:$B$1200,MATCH(connections!$A1948,games!$A$2:$A$1200,0)),""))</f>
      </c>
      <c r="U1948">
        <f>IF(connections!$A1948="","",IFERROR(INDEX(games!$B$2:$B$1200,MATCH(connections!$B1948,games!$A$2:$A$1200,0)),""))</f>
      </c>
      <c r="V1948">
        <f>IF(OR($T1948="",$U1948=""),"",$U1948-$T1948)</f>
      </c>
    </row>
    <row r="1949">
      <c r="T1949" t="str">
        <f>IF(connections!$A1949="","",IFERROR(INDEX(games!$B$2:$B$1200,MATCH(connections!$A1949,games!$A$2:$A$1200,0)),""))</f>
      </c>
      <c r="U1949">
        <f>IF(connections!$A1949="","",IFERROR(INDEX(games!$B$2:$B$1200,MATCH(connections!$B1949,games!$A$2:$A$1200,0)),""))</f>
      </c>
      <c r="V1949">
        <f>IF(OR($T1949="",$U1949=""),"",$U1949-$T1949)</f>
      </c>
    </row>
    <row r="1950">
      <c r="T1950" t="str">
        <f>IF(connections!$A1950="","",IFERROR(INDEX(games!$B$2:$B$1200,MATCH(connections!$A1950,games!$A$2:$A$1200,0)),""))</f>
      </c>
      <c r="U1950">
        <f>IF(connections!$A1950="","",IFERROR(INDEX(games!$B$2:$B$1200,MATCH(connections!$B1950,games!$A$2:$A$1200,0)),""))</f>
      </c>
      <c r="V1950">
        <f>IF(OR($T1950="",$U1950=""),"",$U1950-$T1950)</f>
      </c>
    </row>
    <row r="1951">
      <c r="T1951" t="str">
        <f>IF(connections!$A1951="","",IFERROR(INDEX(games!$B$2:$B$1200,MATCH(connections!$A1951,games!$A$2:$A$1200,0)),""))</f>
      </c>
      <c r="U1951">
        <f>IF(connections!$A1951="","",IFERROR(INDEX(games!$B$2:$B$1200,MATCH(connections!$B1951,games!$A$2:$A$1200,0)),""))</f>
      </c>
      <c r="V1951">
        <f>IF(OR($T1951="",$U1951=""),"",$U1951-$T1951)</f>
      </c>
    </row>
    <row r="1952">
      <c r="T1952" t="str">
        <f>IF(connections!$A1952="","",IFERROR(INDEX(games!$B$2:$B$1200,MATCH(connections!$A1952,games!$A$2:$A$1200,0)),""))</f>
      </c>
      <c r="U1952">
        <f>IF(connections!$A1952="","",IFERROR(INDEX(games!$B$2:$B$1200,MATCH(connections!$B1952,games!$A$2:$A$1200,0)),""))</f>
      </c>
      <c r="V1952">
        <f>IF(OR($T1952="",$U1952=""),"",$U1952-$T1952)</f>
      </c>
    </row>
    <row r="1953">
      <c r="T1953" t="str">
        <f>IF(connections!$A1953="","",IFERROR(INDEX(games!$B$2:$B$1200,MATCH(connections!$A1953,games!$A$2:$A$1200,0)),""))</f>
      </c>
      <c r="U1953">
        <f>IF(connections!$A1953="","",IFERROR(INDEX(games!$B$2:$B$1200,MATCH(connections!$B1953,games!$A$2:$A$1200,0)),""))</f>
      </c>
      <c r="V1953">
        <f>IF(OR($T1953="",$U1953=""),"",$U1953-$T1953)</f>
      </c>
    </row>
    <row r="1954">
      <c r="T1954" t="str">
        <f>IF(connections!$A1954="","",IFERROR(INDEX(games!$B$2:$B$1200,MATCH(connections!$A1954,games!$A$2:$A$1200,0)),""))</f>
      </c>
      <c r="U1954">
        <f>IF(connections!$A1954="","",IFERROR(INDEX(games!$B$2:$B$1200,MATCH(connections!$B1954,games!$A$2:$A$1200,0)),""))</f>
      </c>
      <c r="V1954">
        <f>IF(OR($T1954="",$U1954=""),"",$U1954-$T1954)</f>
      </c>
    </row>
    <row r="1955">
      <c r="T1955" t="str">
        <f>IF(connections!$A1955="","",IFERROR(INDEX(games!$B$2:$B$1200,MATCH(connections!$A1955,games!$A$2:$A$1200,0)),""))</f>
      </c>
      <c r="U1955">
        <f>IF(connections!$A1955="","",IFERROR(INDEX(games!$B$2:$B$1200,MATCH(connections!$B1955,games!$A$2:$A$1200,0)),""))</f>
      </c>
      <c r="V1955">
        <f>IF(OR($T1955="",$U1955=""),"",$U1955-$T1955)</f>
      </c>
    </row>
    <row r="1956">
      <c r="T1956" t="str">
        <f>IF(connections!$A1956="","",IFERROR(INDEX(games!$B$2:$B$1200,MATCH(connections!$A1956,games!$A$2:$A$1200,0)),""))</f>
      </c>
      <c r="U1956">
        <f>IF(connections!$A1956="","",IFERROR(INDEX(games!$B$2:$B$1200,MATCH(connections!$B1956,games!$A$2:$A$1200,0)),""))</f>
      </c>
      <c r="V1956">
        <f>IF(OR($T1956="",$U1956=""),"",$U1956-$T1956)</f>
      </c>
    </row>
    <row r="1957">
      <c r="T1957" t="str">
        <f>IF(connections!$A1957="","",IFERROR(INDEX(games!$B$2:$B$1200,MATCH(connections!$A1957,games!$A$2:$A$1200,0)),""))</f>
      </c>
      <c r="U1957">
        <f>IF(connections!$A1957="","",IFERROR(INDEX(games!$B$2:$B$1200,MATCH(connections!$B1957,games!$A$2:$A$1200,0)),""))</f>
      </c>
      <c r="V1957">
        <f>IF(OR($T1957="",$U1957=""),"",$U1957-$T1957)</f>
      </c>
    </row>
    <row r="1958">
      <c r="T1958" t="str">
        <f>IF(connections!$A1958="","",IFERROR(INDEX(games!$B$2:$B$1200,MATCH(connections!$A1958,games!$A$2:$A$1200,0)),""))</f>
      </c>
      <c r="U1958">
        <f>IF(connections!$A1958="","",IFERROR(INDEX(games!$B$2:$B$1200,MATCH(connections!$B1958,games!$A$2:$A$1200,0)),""))</f>
      </c>
      <c r="V1958">
        <f>IF(OR($T1958="",$U1958=""),"",$U1958-$T1958)</f>
      </c>
    </row>
    <row r="1959">
      <c r="T1959" t="str">
        <f>IF(connections!$A1959="","",IFERROR(INDEX(games!$B$2:$B$1200,MATCH(connections!$A1959,games!$A$2:$A$1200,0)),""))</f>
      </c>
      <c r="U1959">
        <f>IF(connections!$A1959="","",IFERROR(INDEX(games!$B$2:$B$1200,MATCH(connections!$B1959,games!$A$2:$A$1200,0)),""))</f>
      </c>
      <c r="V1959">
        <f>IF(OR($T1959="",$U1959=""),"",$U1959-$T1959)</f>
      </c>
    </row>
    <row r="1960">
      <c r="T1960" t="str">
        <f>IF(connections!$A1960="","",IFERROR(INDEX(games!$B$2:$B$1200,MATCH(connections!$A1960,games!$A$2:$A$1200,0)),""))</f>
      </c>
      <c r="U1960">
        <f>IF(connections!$A1960="","",IFERROR(INDEX(games!$B$2:$B$1200,MATCH(connections!$B1960,games!$A$2:$A$1200,0)),""))</f>
      </c>
      <c r="V1960">
        <f>IF(OR($T1960="",$U1960=""),"",$U1960-$T1960)</f>
      </c>
    </row>
    <row r="1961">
      <c r="T1961" t="str">
        <f>IF(connections!$A1961="","",IFERROR(INDEX(games!$B$2:$B$1200,MATCH(connections!$A1961,games!$A$2:$A$1200,0)),""))</f>
      </c>
      <c r="U1961">
        <f>IF(connections!$A1961="","",IFERROR(INDEX(games!$B$2:$B$1200,MATCH(connections!$B1961,games!$A$2:$A$1200,0)),""))</f>
      </c>
      <c r="V1961">
        <f>IF(OR($T1961="",$U1961=""),"",$U1961-$T1961)</f>
      </c>
    </row>
    <row r="1962">
      <c r="T1962" t="str">
        <f>IF(connections!$A1962="","",IFERROR(INDEX(games!$B$2:$B$1200,MATCH(connections!$A1962,games!$A$2:$A$1200,0)),""))</f>
      </c>
      <c r="U1962">
        <f>IF(connections!$A1962="","",IFERROR(INDEX(games!$B$2:$B$1200,MATCH(connections!$B1962,games!$A$2:$A$1200,0)),""))</f>
      </c>
      <c r="V1962">
        <f>IF(OR($T1962="",$U1962=""),"",$U1962-$T1962)</f>
      </c>
    </row>
    <row r="1963">
      <c r="T1963" t="str">
        <f>IF(connections!$A1963="","",IFERROR(INDEX(games!$B$2:$B$1200,MATCH(connections!$A1963,games!$A$2:$A$1200,0)),""))</f>
      </c>
      <c r="U1963">
        <f>IF(connections!$A1963="","",IFERROR(INDEX(games!$B$2:$B$1200,MATCH(connections!$B1963,games!$A$2:$A$1200,0)),""))</f>
      </c>
      <c r="V1963">
        <f>IF(OR($T1963="",$U1963=""),"",$U1963-$T1963)</f>
      </c>
    </row>
    <row r="1964">
      <c r="T1964" t="str">
        <f>IF(connections!$A1964="","",IFERROR(INDEX(games!$B$2:$B$1200,MATCH(connections!$A1964,games!$A$2:$A$1200,0)),""))</f>
      </c>
      <c r="U1964">
        <f>IF(connections!$A1964="","",IFERROR(INDEX(games!$B$2:$B$1200,MATCH(connections!$B1964,games!$A$2:$A$1200,0)),""))</f>
      </c>
      <c r="V1964">
        <f>IF(OR($T1964="",$U1964=""),"",$U1964-$T1964)</f>
      </c>
    </row>
    <row r="1965">
      <c r="T1965" t="str">
        <f>IF(connections!$A1965="","",IFERROR(INDEX(games!$B$2:$B$1200,MATCH(connections!$A1965,games!$A$2:$A$1200,0)),""))</f>
      </c>
      <c r="U1965">
        <f>IF(connections!$A1965="","",IFERROR(INDEX(games!$B$2:$B$1200,MATCH(connections!$B1965,games!$A$2:$A$1200,0)),""))</f>
      </c>
      <c r="V1965">
        <f>IF(OR($T1965="",$U1965=""),"",$U1965-$T1965)</f>
      </c>
    </row>
    <row r="1966">
      <c r="T1966" t="str">
        <f>IF(connections!$A1966="","",IFERROR(INDEX(games!$B$2:$B$1200,MATCH(connections!$A1966,games!$A$2:$A$1200,0)),""))</f>
      </c>
      <c r="U1966">
        <f>IF(connections!$A1966="","",IFERROR(INDEX(games!$B$2:$B$1200,MATCH(connections!$B1966,games!$A$2:$A$1200,0)),""))</f>
      </c>
      <c r="V1966">
        <f>IF(OR($T1966="",$U1966=""),"",$U1966-$T1966)</f>
      </c>
    </row>
    <row r="1967">
      <c r="T1967" t="str">
        <f>IF(connections!$A1967="","",IFERROR(INDEX(games!$B$2:$B$1200,MATCH(connections!$A1967,games!$A$2:$A$1200,0)),""))</f>
      </c>
      <c r="U1967">
        <f>IF(connections!$A1967="","",IFERROR(INDEX(games!$B$2:$B$1200,MATCH(connections!$B1967,games!$A$2:$A$1200,0)),""))</f>
      </c>
      <c r="V1967">
        <f>IF(OR($T1967="",$U1967=""),"",$U1967-$T1967)</f>
      </c>
    </row>
    <row r="1968">
      <c r="T1968" t="str">
        <f>IF(connections!$A1968="","",IFERROR(INDEX(games!$B$2:$B$1200,MATCH(connections!$A1968,games!$A$2:$A$1200,0)),""))</f>
      </c>
      <c r="U1968">
        <f>IF(connections!$A1968="","",IFERROR(INDEX(games!$B$2:$B$1200,MATCH(connections!$B1968,games!$A$2:$A$1200,0)),""))</f>
      </c>
      <c r="V1968">
        <f>IF(OR($T1968="",$U1968=""),"",$U1968-$T1968)</f>
      </c>
    </row>
    <row r="1969">
      <c r="T1969" t="str">
        <f>IF(connections!$A1969="","",IFERROR(INDEX(games!$B$2:$B$1200,MATCH(connections!$A1969,games!$A$2:$A$1200,0)),""))</f>
      </c>
      <c r="U1969">
        <f>IF(connections!$A1969="","",IFERROR(INDEX(games!$B$2:$B$1200,MATCH(connections!$B1969,games!$A$2:$A$1200,0)),""))</f>
      </c>
      <c r="V1969">
        <f>IF(OR($T1969="",$U1969=""),"",$U1969-$T1969)</f>
      </c>
    </row>
    <row r="1970">
      <c r="T1970" t="str">
        <f>IF(connections!$A1970="","",IFERROR(INDEX(games!$B$2:$B$1200,MATCH(connections!$A1970,games!$A$2:$A$1200,0)),""))</f>
      </c>
      <c r="U1970">
        <f>IF(connections!$A1970="","",IFERROR(INDEX(games!$B$2:$B$1200,MATCH(connections!$B1970,games!$A$2:$A$1200,0)),""))</f>
      </c>
      <c r="V1970">
        <f>IF(OR($T1970="",$U1970=""),"",$U1970-$T1970)</f>
      </c>
    </row>
    <row r="1971">
      <c r="T1971" t="str">
        <f>IF(connections!$A1971="","",IFERROR(INDEX(games!$B$2:$B$1200,MATCH(connections!$A1971,games!$A$2:$A$1200,0)),""))</f>
      </c>
      <c r="U1971">
        <f>IF(connections!$A1971="","",IFERROR(INDEX(games!$B$2:$B$1200,MATCH(connections!$B1971,games!$A$2:$A$1200,0)),""))</f>
      </c>
      <c r="V1971">
        <f>IF(OR($T1971="",$U1971=""),"",$U1971-$T1971)</f>
      </c>
    </row>
    <row r="1972">
      <c r="T1972" t="str">
        <f>IF(connections!$A1972="","",IFERROR(INDEX(games!$B$2:$B$1200,MATCH(connections!$A1972,games!$A$2:$A$1200,0)),""))</f>
      </c>
      <c r="U1972">
        <f>IF(connections!$A1972="","",IFERROR(INDEX(games!$B$2:$B$1200,MATCH(connections!$B1972,games!$A$2:$A$1200,0)),""))</f>
      </c>
      <c r="V1972">
        <f>IF(OR($T1972="",$U1972=""),"",$U1972-$T1972)</f>
      </c>
    </row>
    <row r="1973">
      <c r="T1973" t="str">
        <f>IF(connections!$A1973="","",IFERROR(INDEX(games!$B$2:$B$1200,MATCH(connections!$A1973,games!$A$2:$A$1200,0)),""))</f>
      </c>
      <c r="U1973">
        <f>IF(connections!$A1973="","",IFERROR(INDEX(games!$B$2:$B$1200,MATCH(connections!$B1973,games!$A$2:$A$1200,0)),""))</f>
      </c>
      <c r="V1973">
        <f>IF(OR($T1973="",$U1973=""),"",$U1973-$T1973)</f>
      </c>
    </row>
    <row r="1974">
      <c r="T1974" t="str">
        <f>IF(connections!$A1974="","",IFERROR(INDEX(games!$B$2:$B$1200,MATCH(connections!$A1974,games!$A$2:$A$1200,0)),""))</f>
      </c>
      <c r="U1974">
        <f>IF(connections!$A1974="","",IFERROR(INDEX(games!$B$2:$B$1200,MATCH(connections!$B1974,games!$A$2:$A$1200,0)),""))</f>
      </c>
      <c r="V1974">
        <f>IF(OR($T1974="",$U1974=""),"",$U1974-$T1974)</f>
      </c>
    </row>
    <row r="1975">
      <c r="T1975" t="str">
        <f>IF(connections!$A1975="","",IFERROR(INDEX(games!$B$2:$B$1200,MATCH(connections!$A1975,games!$A$2:$A$1200,0)),""))</f>
      </c>
      <c r="U1975">
        <f>IF(connections!$A1975="","",IFERROR(INDEX(games!$B$2:$B$1200,MATCH(connections!$B1975,games!$A$2:$A$1200,0)),""))</f>
      </c>
      <c r="V1975">
        <f>IF(OR($T1975="",$U1975=""),"",$U1975-$T1975)</f>
      </c>
    </row>
    <row r="1976">
      <c r="T1976" t="str">
        <f>IF(connections!$A1976="","",IFERROR(INDEX(games!$B$2:$B$1200,MATCH(connections!$A1976,games!$A$2:$A$1200,0)),""))</f>
      </c>
      <c r="U1976">
        <f>IF(connections!$A1976="","",IFERROR(INDEX(games!$B$2:$B$1200,MATCH(connections!$B1976,games!$A$2:$A$1200,0)),""))</f>
      </c>
      <c r="V1976">
        <f>IF(OR($T1976="",$U1976=""),"",$U1976-$T1976)</f>
      </c>
    </row>
    <row r="1977">
      <c r="T1977" t="str">
        <f>IF(connections!$A1977="","",IFERROR(INDEX(games!$B$2:$B$1200,MATCH(connections!$A1977,games!$A$2:$A$1200,0)),""))</f>
      </c>
      <c r="U1977">
        <f>IF(connections!$A1977="","",IFERROR(INDEX(games!$B$2:$B$1200,MATCH(connections!$B1977,games!$A$2:$A$1200,0)),""))</f>
      </c>
      <c r="V1977">
        <f>IF(OR($T1977="",$U1977=""),"",$U1977-$T1977)</f>
      </c>
    </row>
    <row r="1978">
      <c r="T1978" t="str">
        <f>IF(connections!$A1978="","",IFERROR(INDEX(games!$B$2:$B$1200,MATCH(connections!$A1978,games!$A$2:$A$1200,0)),""))</f>
      </c>
      <c r="U1978">
        <f>IF(connections!$A1978="","",IFERROR(INDEX(games!$B$2:$B$1200,MATCH(connections!$B1978,games!$A$2:$A$1200,0)),""))</f>
      </c>
      <c r="V1978">
        <f>IF(OR($T1978="",$U1978=""),"",$U1978-$T1978)</f>
      </c>
    </row>
    <row r="1979">
      <c r="T1979" t="str">
        <f>IF(connections!$A1979="","",IFERROR(INDEX(games!$B$2:$B$1200,MATCH(connections!$A1979,games!$A$2:$A$1200,0)),""))</f>
      </c>
      <c r="U1979">
        <f>IF(connections!$A1979="","",IFERROR(INDEX(games!$B$2:$B$1200,MATCH(connections!$B1979,games!$A$2:$A$1200,0)),""))</f>
      </c>
      <c r="V1979">
        <f>IF(OR($T1979="",$U1979=""),"",$U1979-$T1979)</f>
      </c>
    </row>
    <row r="1980">
      <c r="T1980" t="str">
        <f>IF(connections!$A1980="","",IFERROR(INDEX(games!$B$2:$B$1200,MATCH(connections!$A1980,games!$A$2:$A$1200,0)),""))</f>
      </c>
      <c r="U1980">
        <f>IF(connections!$A1980="","",IFERROR(INDEX(games!$B$2:$B$1200,MATCH(connections!$B1980,games!$A$2:$A$1200,0)),""))</f>
      </c>
      <c r="V1980">
        <f>IF(OR($T1980="",$U1980=""),"",$U1980-$T1980)</f>
      </c>
    </row>
    <row r="1981">
      <c r="T1981" t="str">
        <f>IF(connections!$A1981="","",IFERROR(INDEX(games!$B$2:$B$1200,MATCH(connections!$A1981,games!$A$2:$A$1200,0)),""))</f>
      </c>
      <c r="U1981">
        <f>IF(connections!$A1981="","",IFERROR(INDEX(games!$B$2:$B$1200,MATCH(connections!$B1981,games!$A$2:$A$1200,0)),""))</f>
      </c>
      <c r="V1981">
        <f>IF(OR($T1981="",$U1981=""),"",$U1981-$T1981)</f>
      </c>
    </row>
    <row r="1982">
      <c r="T1982" t="str">
        <f>IF(connections!$A1982="","",IFERROR(INDEX(games!$B$2:$B$1200,MATCH(connections!$A1982,games!$A$2:$A$1200,0)),""))</f>
      </c>
      <c r="U1982">
        <f>IF(connections!$A1982="","",IFERROR(INDEX(games!$B$2:$B$1200,MATCH(connections!$B1982,games!$A$2:$A$1200,0)),""))</f>
      </c>
      <c r="V1982">
        <f>IF(OR($T1982="",$U1982=""),"",$U1982-$T1982)</f>
      </c>
    </row>
    <row r="1983">
      <c r="T1983" t="str">
        <f>IF(connections!$A1983="","",IFERROR(INDEX(games!$B$2:$B$1200,MATCH(connections!$A1983,games!$A$2:$A$1200,0)),""))</f>
      </c>
      <c r="U1983">
        <f>IF(connections!$A1983="","",IFERROR(INDEX(games!$B$2:$B$1200,MATCH(connections!$B1983,games!$A$2:$A$1200,0)),""))</f>
      </c>
      <c r="V1983">
        <f>IF(OR($T1983="",$U1983=""),"",$U1983-$T1983)</f>
      </c>
    </row>
    <row r="1984">
      <c r="T1984" t="str">
        <f>IF(connections!$A1984="","",IFERROR(INDEX(games!$B$2:$B$1200,MATCH(connections!$A1984,games!$A$2:$A$1200,0)),""))</f>
      </c>
      <c r="U1984">
        <f>IF(connections!$A1984="","",IFERROR(INDEX(games!$B$2:$B$1200,MATCH(connections!$B1984,games!$A$2:$A$1200,0)),""))</f>
      </c>
      <c r="V1984">
        <f>IF(OR($T1984="",$U1984=""),"",$U1984-$T1984)</f>
      </c>
    </row>
    <row r="1985">
      <c r="T1985" t="str">
        <f>IF(connections!$A1985="","",IFERROR(INDEX(games!$B$2:$B$1200,MATCH(connections!$A1985,games!$A$2:$A$1200,0)),""))</f>
      </c>
      <c r="U1985">
        <f>IF(connections!$A1985="","",IFERROR(INDEX(games!$B$2:$B$1200,MATCH(connections!$B1985,games!$A$2:$A$1200,0)),""))</f>
      </c>
      <c r="V1985">
        <f>IF(OR($T1985="",$U1985=""),"",$U1985-$T1985)</f>
      </c>
    </row>
    <row r="1986">
      <c r="T1986" t="str">
        <f>IF(connections!$A1986="","",IFERROR(INDEX(games!$B$2:$B$1200,MATCH(connections!$A1986,games!$A$2:$A$1200,0)),""))</f>
      </c>
      <c r="U1986">
        <f>IF(connections!$A1986="","",IFERROR(INDEX(games!$B$2:$B$1200,MATCH(connections!$B1986,games!$A$2:$A$1200,0)),""))</f>
      </c>
      <c r="V1986">
        <f>IF(OR($T1986="",$U1986=""),"",$U1986-$T1986)</f>
      </c>
    </row>
    <row r="1987">
      <c r="T1987" t="str">
        <f>IF(connections!$A1987="","",IFERROR(INDEX(games!$B$2:$B$1200,MATCH(connections!$A1987,games!$A$2:$A$1200,0)),""))</f>
      </c>
      <c r="U1987">
        <f>IF(connections!$A1987="","",IFERROR(INDEX(games!$B$2:$B$1200,MATCH(connections!$B1987,games!$A$2:$A$1200,0)),""))</f>
      </c>
      <c r="V1987">
        <f>IF(OR($T1987="",$U1987=""),"",$U1987-$T1987)</f>
      </c>
    </row>
    <row r="1988">
      <c r="T1988" t="str">
        <f>IF(connections!$A1988="","",IFERROR(INDEX(games!$B$2:$B$1200,MATCH(connections!$A1988,games!$A$2:$A$1200,0)),""))</f>
      </c>
      <c r="U1988">
        <f>IF(connections!$A1988="","",IFERROR(INDEX(games!$B$2:$B$1200,MATCH(connections!$B1988,games!$A$2:$A$1200,0)),""))</f>
      </c>
      <c r="V1988">
        <f>IF(OR($T1988="",$U1988=""),"",$U1988-$T1988)</f>
      </c>
    </row>
    <row r="1989">
      <c r="T1989" t="str">
        <f>IF(connections!$A1989="","",IFERROR(INDEX(games!$B$2:$B$1200,MATCH(connections!$A1989,games!$A$2:$A$1200,0)),""))</f>
      </c>
      <c r="U1989">
        <f>IF(connections!$A1989="","",IFERROR(INDEX(games!$B$2:$B$1200,MATCH(connections!$B1989,games!$A$2:$A$1200,0)),""))</f>
      </c>
      <c r="V1989">
        <f>IF(OR($T1989="",$U1989=""),"",$U1989-$T1989)</f>
      </c>
    </row>
    <row r="1990">
      <c r="T1990" t="str">
        <f>IF(connections!$A1990="","",IFERROR(INDEX(games!$B$2:$B$1200,MATCH(connections!$A1990,games!$A$2:$A$1200,0)),""))</f>
      </c>
      <c r="U1990">
        <f>IF(connections!$A1990="","",IFERROR(INDEX(games!$B$2:$B$1200,MATCH(connections!$B1990,games!$A$2:$A$1200,0)),""))</f>
      </c>
      <c r="V1990">
        <f>IF(OR($T1990="",$U1990=""),"",$U1990-$T1990)</f>
      </c>
    </row>
    <row r="1991">
      <c r="T1991" t="str">
        <f>IF(connections!$A1991="","",IFERROR(INDEX(games!$B$2:$B$1200,MATCH(connections!$A1991,games!$A$2:$A$1200,0)),""))</f>
      </c>
      <c r="U1991">
        <f>IF(connections!$A1991="","",IFERROR(INDEX(games!$B$2:$B$1200,MATCH(connections!$B1991,games!$A$2:$A$1200,0)),""))</f>
      </c>
      <c r="V1991">
        <f>IF(OR($T1991="",$U1991=""),"",$U1991-$T1991)</f>
      </c>
    </row>
    <row r="1992">
      <c r="T1992" t="str">
        <f>IF(connections!$A1992="","",IFERROR(INDEX(games!$B$2:$B$1200,MATCH(connections!$A1992,games!$A$2:$A$1200,0)),""))</f>
      </c>
      <c r="U1992">
        <f>IF(connections!$A1992="","",IFERROR(INDEX(games!$B$2:$B$1200,MATCH(connections!$B1992,games!$A$2:$A$1200,0)),""))</f>
      </c>
      <c r="V1992">
        <f>IF(OR($T1992="",$U1992=""),"",$U1992-$T1992)</f>
      </c>
    </row>
    <row r="1993">
      <c r="T1993" t="str">
        <f>IF(connections!$A1993="","",IFERROR(INDEX(games!$B$2:$B$1200,MATCH(connections!$A1993,games!$A$2:$A$1200,0)),""))</f>
      </c>
      <c r="U1993">
        <f>IF(connections!$A1993="","",IFERROR(INDEX(games!$B$2:$B$1200,MATCH(connections!$B1993,games!$A$2:$A$1200,0)),""))</f>
      </c>
      <c r="V1993">
        <f>IF(OR($T1993="",$U1993=""),"",$U1993-$T1993)</f>
      </c>
    </row>
    <row r="1994">
      <c r="T1994" t="str">
        <f>IF(connections!$A1994="","",IFERROR(INDEX(games!$B$2:$B$1200,MATCH(connections!$A1994,games!$A$2:$A$1200,0)),""))</f>
      </c>
      <c r="U1994">
        <f>IF(connections!$A1994="","",IFERROR(INDEX(games!$B$2:$B$1200,MATCH(connections!$B1994,games!$A$2:$A$1200,0)),""))</f>
      </c>
      <c r="V1994">
        <f>IF(OR($T1994="",$U1994=""),"",$U1994-$T1994)</f>
      </c>
    </row>
    <row r="1995">
      <c r="T1995" t="str">
        <f>IF(connections!$A1995="","",IFERROR(INDEX(games!$B$2:$B$1200,MATCH(connections!$A1995,games!$A$2:$A$1200,0)),""))</f>
      </c>
      <c r="U1995">
        <f>IF(connections!$A1995="","",IFERROR(INDEX(games!$B$2:$B$1200,MATCH(connections!$B1995,games!$A$2:$A$1200,0)),""))</f>
      </c>
      <c r="V1995">
        <f>IF(OR($T1995="",$U1995=""),"",$U1995-$T1995)</f>
      </c>
    </row>
    <row r="1996">
      <c r="T1996" t="str">
        <f>IF(connections!$A1996="","",IFERROR(INDEX(games!$B$2:$B$1200,MATCH(connections!$A1996,games!$A$2:$A$1200,0)),""))</f>
      </c>
      <c r="U1996">
        <f>IF(connections!$A1996="","",IFERROR(INDEX(games!$B$2:$B$1200,MATCH(connections!$B1996,games!$A$2:$A$1200,0)),""))</f>
      </c>
      <c r="V1996">
        <f>IF(OR($T1996="",$U1996=""),"",$U1996-$T1996)</f>
      </c>
    </row>
    <row r="1997">
      <c r="T1997" t="str">
        <f>IF(connections!$A1997="","",IFERROR(INDEX(games!$B$2:$B$1200,MATCH(connections!$A1997,games!$A$2:$A$1200,0)),""))</f>
      </c>
      <c r="U1997">
        <f>IF(connections!$A1997="","",IFERROR(INDEX(games!$B$2:$B$1200,MATCH(connections!$B1997,games!$A$2:$A$1200,0)),""))</f>
      </c>
      <c r="V1997">
        <f>IF(OR($T1997="",$U1997=""),"",$U1997-$T1997)</f>
      </c>
    </row>
    <row r="1998">
      <c r="T1998" t="str">
        <f>IF(connections!$A1998="","",IFERROR(INDEX(games!$B$2:$B$1200,MATCH(connections!$A1998,games!$A$2:$A$1200,0)),""))</f>
      </c>
      <c r="U1998">
        <f>IF(connections!$A1998="","",IFERROR(INDEX(games!$B$2:$B$1200,MATCH(connections!$B1998,games!$A$2:$A$1200,0)),""))</f>
      </c>
      <c r="V1998">
        <f>IF(OR($T1998="",$U1998=""),"",$U1998-$T1998)</f>
      </c>
    </row>
    <row r="1999">
      <c r="T1999" t="str">
        <f>IF(connections!$A1999="","",IFERROR(INDEX(games!$B$2:$B$1200,MATCH(connections!$A1999,games!$A$2:$A$1200,0)),""))</f>
      </c>
      <c r="U1999">
        <f>IF(connections!$A1999="","",IFERROR(INDEX(games!$B$2:$B$1200,MATCH(connections!$B1999,games!$A$2:$A$1200,0)),""))</f>
      </c>
      <c r="V1999">
        <f>IF(OR($T1999="",$U1999=""),"",$U1999-$T1999)</f>
      </c>
    </row>
    <row r="2000">
      <c r="T2000" t="str">
        <f>IF(connections!$A2000="","",IFERROR(INDEX(games!$B$2:$B$1200,MATCH(connections!$A2000,games!$A$2:$A$1200,0)),""))</f>
      </c>
      <c r="U2000">
        <f>IF(connections!$A2000="","",IFERROR(INDEX(games!$B$2:$B$1200,MATCH(connections!$B2000,games!$A$2:$A$1200,0)),""))</f>
      </c>
      <c r="V2000">
        <f>IF(OR($T2000="",$U2000=""),"",$U2000-$T2000)</f>
      </c>
    </row>
    <row r="2001">
      <c r="T2001" t="str">
        <f>IF(connections!$A2001="","",IFERROR(INDEX(games!$B$2:$B$1200,MATCH(connections!$A2001,games!$A$2:$A$1200,0)),""))</f>
      </c>
      <c r="U2001">
        <f>IF(connections!$A2001="","",IFERROR(INDEX(games!$B$2:$B$1200,MATCH(connections!$B2001,games!$A$2:$A$1200,0)),""))</f>
      </c>
      <c r="V2001">
        <f>IF(OR($T2001="",$U2001=""),"",$U2001-$T2001)</f>
      </c>
    </row>
    <row r="2002">
      <c r="T2002" t="str">
        <f>IF(connections!$A2002="","",IFERROR(INDEX(games!$B$2:$B$1200,MATCH(connections!$A2002,games!$A$2:$A$1200,0)),""))</f>
      </c>
      <c r="U2002">
        <f>IF(connections!$A2002="","",IFERROR(INDEX(games!$B$2:$B$1200,MATCH(connections!$B2002,games!$A$2:$A$1200,0)),""))</f>
      </c>
      <c r="V2002">
        <f>IF(OR($T2002="",$U2002=""),"",$U2002-$T2002)</f>
      </c>
    </row>
    <row r="2003">
      <c r="T2003" t="str">
        <f>IF(connections!$A2003="","",IFERROR(INDEX(games!$B$2:$B$1200,MATCH(connections!$A2003,games!$A$2:$A$1200,0)),""))</f>
      </c>
      <c r="U2003">
        <f>IF(connections!$A2003="","",IFERROR(INDEX(games!$B$2:$B$1200,MATCH(connections!$B2003,games!$A$2:$A$1200,0)),""))</f>
      </c>
      <c r="V2003">
        <f>IF(OR($T2003="",$U2003=""),"",$U2003-$T2003)</f>
      </c>
    </row>
    <row r="2004">
      <c r="T2004" t="str">
        <f>IF(connections!$A2004="","",IFERROR(INDEX(games!$B$2:$B$1200,MATCH(connections!$A2004,games!$A$2:$A$1200,0)),""))</f>
      </c>
      <c r="U2004">
        <f>IF(connections!$A2004="","",IFERROR(INDEX(games!$B$2:$B$1200,MATCH(connections!$B2004,games!$A$2:$A$1200,0)),""))</f>
      </c>
      <c r="V2004">
        <f>IF(OR($T2004="",$U2004=""),"",$U2004-$T2004)</f>
      </c>
    </row>
    <row r="2005">
      <c r="T2005" t="str">
        <f>IF(connections!$A2005="","",IFERROR(INDEX(games!$B$2:$B$1200,MATCH(connections!$A2005,games!$A$2:$A$1200,0)),""))</f>
      </c>
      <c r="U2005">
        <f>IF(connections!$A2005="","",IFERROR(INDEX(games!$B$2:$B$1200,MATCH(connections!$B2005,games!$A$2:$A$1200,0)),""))</f>
      </c>
      <c r="V2005">
        <f>IF(OR($T2005="",$U2005=""),"",$U2005-$T2005)</f>
      </c>
    </row>
    <row r="2006">
      <c r="T2006" t="str">
        <f>IF(connections!$A2006="","",IFERROR(INDEX(games!$B$2:$B$1200,MATCH(connections!$A2006,games!$A$2:$A$1200,0)),""))</f>
      </c>
      <c r="U2006">
        <f>IF(connections!$A2006="","",IFERROR(INDEX(games!$B$2:$B$1200,MATCH(connections!$B2006,games!$A$2:$A$1200,0)),""))</f>
      </c>
      <c r="V2006">
        <f>IF(OR($T2006="",$U2006=""),"",$U2006-$T2006)</f>
      </c>
    </row>
    <row r="2007">
      <c r="T2007" t="str">
        <f>IF(connections!$A2007="","",IFERROR(INDEX(games!$B$2:$B$1200,MATCH(connections!$A2007,games!$A$2:$A$1200,0)),""))</f>
      </c>
      <c r="U2007">
        <f>IF(connections!$A2007="","",IFERROR(INDEX(games!$B$2:$B$1200,MATCH(connections!$B2007,games!$A$2:$A$1200,0)),""))</f>
      </c>
      <c r="V2007">
        <f>IF(OR($T2007="",$U2007=""),"",$U2007-$T2007)</f>
      </c>
    </row>
    <row r="2008">
      <c r="T2008" t="str">
        <f>IF(connections!$A2008="","",IFERROR(INDEX(games!$B$2:$B$1200,MATCH(connections!$A2008,games!$A$2:$A$1200,0)),""))</f>
      </c>
      <c r="U2008">
        <f>IF(connections!$A2008="","",IFERROR(INDEX(games!$B$2:$B$1200,MATCH(connections!$B2008,games!$A$2:$A$1200,0)),""))</f>
      </c>
      <c r="V2008">
        <f>IF(OR($T2008="",$U2008=""),"",$U2008-$T2008)</f>
      </c>
    </row>
    <row r="2009">
      <c r="T2009" t="str">
        <f>IF(connections!$A2009="","",IFERROR(INDEX(games!$B$2:$B$1200,MATCH(connections!$A2009,games!$A$2:$A$1200,0)),""))</f>
      </c>
      <c r="U2009">
        <f>IF(connections!$A2009="","",IFERROR(INDEX(games!$B$2:$B$1200,MATCH(connections!$B2009,games!$A$2:$A$1200,0)),""))</f>
      </c>
      <c r="V2009">
        <f>IF(OR($T2009="",$U2009=""),"",$U2009-$T2009)</f>
      </c>
    </row>
    <row r="2010">
      <c r="T2010" t="str">
        <f>IF(connections!$A2010="","",IFERROR(INDEX(games!$B$2:$B$1200,MATCH(connections!$A2010,games!$A$2:$A$1200,0)),""))</f>
      </c>
      <c r="U2010">
        <f>IF(connections!$A2010="","",IFERROR(INDEX(games!$B$2:$B$1200,MATCH(connections!$B2010,games!$A$2:$A$1200,0)),""))</f>
      </c>
      <c r="V2010">
        <f>IF(OR($T2010="",$U2010=""),"",$U2010-$T2010)</f>
      </c>
    </row>
    <row r="2011">
      <c r="T2011" t="str">
        <f>IF(connections!$A2011="","",IFERROR(INDEX(games!$B$2:$B$1200,MATCH(connections!$A2011,games!$A$2:$A$1200,0)),""))</f>
      </c>
      <c r="U2011">
        <f>IF(connections!$A2011="","",IFERROR(INDEX(games!$B$2:$B$1200,MATCH(connections!$B2011,games!$A$2:$A$1200,0)),""))</f>
      </c>
      <c r="V2011">
        <f>IF(OR($T2011="",$U2011=""),"",$U2011-$T2011)</f>
      </c>
    </row>
    <row r="2012">
      <c r="T2012" t="str">
        <f>IF(connections!$A2012="","",IFERROR(INDEX(games!$B$2:$B$1200,MATCH(connections!$A2012,games!$A$2:$A$1200,0)),""))</f>
      </c>
      <c r="U2012">
        <f>IF(connections!$A2012="","",IFERROR(INDEX(games!$B$2:$B$1200,MATCH(connections!$B2012,games!$A$2:$A$1200,0)),""))</f>
      </c>
      <c r="V2012">
        <f>IF(OR($T2012="",$U2012=""),"",$U2012-$T2012)</f>
      </c>
    </row>
    <row r="2013">
      <c r="T2013" t="str">
        <f>IF(connections!$A2013="","",IFERROR(INDEX(games!$B$2:$B$1200,MATCH(connections!$A2013,games!$A$2:$A$1200,0)),""))</f>
      </c>
      <c r="U2013">
        <f>IF(connections!$A2013="","",IFERROR(INDEX(games!$B$2:$B$1200,MATCH(connections!$B2013,games!$A$2:$A$1200,0)),""))</f>
      </c>
      <c r="V2013">
        <f>IF(OR($T2013="",$U2013=""),"",$U2013-$T2013)</f>
      </c>
    </row>
    <row r="2014">
      <c r="T2014" t="str">
        <f>IF(connections!$A2014="","",IFERROR(INDEX(games!$B$2:$B$1200,MATCH(connections!$A2014,games!$A$2:$A$1200,0)),""))</f>
      </c>
      <c r="U2014">
        <f>IF(connections!$A2014="","",IFERROR(INDEX(games!$B$2:$B$1200,MATCH(connections!$B2014,games!$A$2:$A$1200,0)),""))</f>
      </c>
      <c r="V2014">
        <f>IF(OR($T2014="",$U2014=""),"",$U2014-$T2014)</f>
      </c>
    </row>
    <row r="2015">
      <c r="T2015" t="str">
        <f>IF(connections!$A2015="","",IFERROR(INDEX(games!$B$2:$B$1200,MATCH(connections!$A2015,games!$A$2:$A$1200,0)),""))</f>
      </c>
      <c r="U2015">
        <f>IF(connections!$A2015="","",IFERROR(INDEX(games!$B$2:$B$1200,MATCH(connections!$B2015,games!$A$2:$A$1200,0)),""))</f>
      </c>
      <c r="V2015">
        <f>IF(OR($T2015="",$U2015=""),"",$U2015-$T2015)</f>
      </c>
    </row>
    <row r="2016">
      <c r="T2016" t="str">
        <f>IF(connections!$A2016="","",IFERROR(INDEX(games!$B$2:$B$1200,MATCH(connections!$A2016,games!$A$2:$A$1200,0)),""))</f>
      </c>
      <c r="U2016">
        <f>IF(connections!$A2016="","",IFERROR(INDEX(games!$B$2:$B$1200,MATCH(connections!$B2016,games!$A$2:$A$1200,0)),""))</f>
      </c>
      <c r="V2016">
        <f>IF(OR($T2016="",$U2016=""),"",$U2016-$T2016)</f>
      </c>
    </row>
    <row r="2017">
      <c r="T2017" t="str">
        <f>IF(connections!$A2017="","",IFERROR(INDEX(games!$B$2:$B$1200,MATCH(connections!$A2017,games!$A$2:$A$1200,0)),""))</f>
      </c>
      <c r="U2017">
        <f>IF(connections!$A2017="","",IFERROR(INDEX(games!$B$2:$B$1200,MATCH(connections!$B2017,games!$A$2:$A$1200,0)),""))</f>
      </c>
      <c r="V2017">
        <f>IF(OR($T2017="",$U2017=""),"",$U2017-$T2017)</f>
      </c>
    </row>
    <row r="2018">
      <c r="T2018" t="str">
        <f>IF(connections!$A2018="","",IFERROR(INDEX(games!$B$2:$B$1200,MATCH(connections!$A2018,games!$A$2:$A$1200,0)),""))</f>
      </c>
      <c r="U2018">
        <f>IF(connections!$A2018="","",IFERROR(INDEX(games!$B$2:$B$1200,MATCH(connections!$B2018,games!$A$2:$A$1200,0)),""))</f>
      </c>
      <c r="V2018">
        <f>IF(OR($T2018="",$U2018=""),"",$U2018-$T2018)</f>
      </c>
    </row>
    <row r="2019">
      <c r="T2019" t="str">
        <f>IF(connections!$A2019="","",IFERROR(INDEX(games!$B$2:$B$1200,MATCH(connections!$A2019,games!$A$2:$A$1200,0)),""))</f>
      </c>
      <c r="U2019">
        <f>IF(connections!$A2019="","",IFERROR(INDEX(games!$B$2:$B$1200,MATCH(connections!$B2019,games!$A$2:$A$1200,0)),""))</f>
      </c>
      <c r="V2019">
        <f>IF(OR($T2019="",$U2019=""),"",$U2019-$T2019)</f>
      </c>
    </row>
    <row r="2020">
      <c r="T2020" t="str">
        <f>IF(connections!$A2020="","",IFERROR(INDEX(games!$B$2:$B$1200,MATCH(connections!$A2020,games!$A$2:$A$1200,0)),""))</f>
      </c>
      <c r="U2020">
        <f>IF(connections!$A2020="","",IFERROR(INDEX(games!$B$2:$B$1200,MATCH(connections!$B2020,games!$A$2:$A$1200,0)),""))</f>
      </c>
      <c r="V2020">
        <f>IF(OR($T2020="",$U2020=""),"",$U2020-$T2020)</f>
      </c>
    </row>
    <row r="2021">
      <c r="T2021" t="str">
        <f>IF(connections!$A2021="","",IFERROR(INDEX(games!$B$2:$B$1200,MATCH(connections!$A2021,games!$A$2:$A$1200,0)),""))</f>
      </c>
      <c r="U2021">
        <f>IF(connections!$A2021="","",IFERROR(INDEX(games!$B$2:$B$1200,MATCH(connections!$B2021,games!$A$2:$A$1200,0)),""))</f>
      </c>
      <c r="V2021">
        <f>IF(OR($T2021="",$U2021=""),"",$U2021-$T2021)</f>
      </c>
    </row>
    <row r="2022">
      <c r="T2022" t="str">
        <f>IF(connections!$A2022="","",IFERROR(INDEX(games!$B$2:$B$1200,MATCH(connections!$A2022,games!$A$2:$A$1200,0)),""))</f>
      </c>
      <c r="U2022">
        <f>IF(connections!$A2022="","",IFERROR(INDEX(games!$B$2:$B$1200,MATCH(connections!$B2022,games!$A$2:$A$1200,0)),""))</f>
      </c>
      <c r="V2022">
        <f>IF(OR($T2022="",$U2022=""),"",$U2022-$T2022)</f>
      </c>
    </row>
    <row r="2023">
      <c r="T2023" t="str">
        <f>IF(connections!$A2023="","",IFERROR(INDEX(games!$B$2:$B$1200,MATCH(connections!$A2023,games!$A$2:$A$1200,0)),""))</f>
      </c>
      <c r="U2023">
        <f>IF(connections!$A2023="","",IFERROR(INDEX(games!$B$2:$B$1200,MATCH(connections!$B2023,games!$A$2:$A$1200,0)),""))</f>
      </c>
      <c r="V2023">
        <f>IF(OR($T2023="",$U2023=""),"",$U2023-$T2023)</f>
      </c>
    </row>
    <row r="2024">
      <c r="T2024" t="str">
        <f>IF(connections!$A2024="","",IFERROR(INDEX(games!$B$2:$B$1200,MATCH(connections!$A2024,games!$A$2:$A$1200,0)),""))</f>
      </c>
      <c r="U2024">
        <f>IF(connections!$A2024="","",IFERROR(INDEX(games!$B$2:$B$1200,MATCH(connections!$B2024,games!$A$2:$A$1200,0)),""))</f>
      </c>
      <c r="V2024">
        <f>IF(OR($T2024="",$U2024=""),"",$U2024-$T2024)</f>
      </c>
    </row>
    <row r="2025">
      <c r="T2025" t="str">
        <f>IF(connections!$A2025="","",IFERROR(INDEX(games!$B$2:$B$1200,MATCH(connections!$A2025,games!$A$2:$A$1200,0)),""))</f>
      </c>
      <c r="U2025">
        <f>IF(connections!$A2025="","",IFERROR(INDEX(games!$B$2:$B$1200,MATCH(connections!$B2025,games!$A$2:$A$1200,0)),""))</f>
      </c>
      <c r="V2025">
        <f>IF(OR($T2025="",$U2025=""),"",$U2025-$T2025)</f>
      </c>
    </row>
    <row r="2026">
      <c r="T2026" t="str">
        <f>IF(connections!$A2026="","",IFERROR(INDEX(games!$B$2:$B$1200,MATCH(connections!$A2026,games!$A$2:$A$1200,0)),""))</f>
      </c>
      <c r="U2026">
        <f>IF(connections!$A2026="","",IFERROR(INDEX(games!$B$2:$B$1200,MATCH(connections!$B2026,games!$A$2:$A$1200,0)),""))</f>
      </c>
      <c r="V2026">
        <f>IF(OR($T2026="",$U2026=""),"",$U2026-$T2026)</f>
      </c>
    </row>
    <row r="2027">
      <c r="T2027" t="str">
        <f>IF(connections!$A2027="","",IFERROR(INDEX(games!$B$2:$B$1200,MATCH(connections!$A2027,games!$A$2:$A$1200,0)),""))</f>
      </c>
      <c r="U2027">
        <f>IF(connections!$A2027="","",IFERROR(INDEX(games!$B$2:$B$1200,MATCH(connections!$B2027,games!$A$2:$A$1200,0)),""))</f>
      </c>
      <c r="V2027">
        <f>IF(OR($T2027="",$U2027=""),"",$U2027-$T2027)</f>
      </c>
    </row>
    <row r="2028">
      <c r="T2028" t="str">
        <f>IF(connections!$A2028="","",IFERROR(INDEX(games!$B$2:$B$1200,MATCH(connections!$A2028,games!$A$2:$A$1200,0)),""))</f>
      </c>
      <c r="U2028">
        <f>IF(connections!$A2028="","",IFERROR(INDEX(games!$B$2:$B$1200,MATCH(connections!$B2028,games!$A$2:$A$1200,0)),""))</f>
      </c>
      <c r="V2028">
        <f>IF(OR($T2028="",$U2028=""),"",$U2028-$T2028)</f>
      </c>
    </row>
    <row r="2029">
      <c r="T2029" t="str">
        <f>IF(connections!$A2029="","",IFERROR(INDEX(games!$B$2:$B$1200,MATCH(connections!$A2029,games!$A$2:$A$1200,0)),""))</f>
      </c>
      <c r="U2029">
        <f>IF(connections!$A2029="","",IFERROR(INDEX(games!$B$2:$B$1200,MATCH(connections!$B2029,games!$A$2:$A$1200,0)),""))</f>
      </c>
      <c r="V2029">
        <f>IF(OR($T2029="",$U2029=""),"",$U2029-$T2029)</f>
      </c>
    </row>
    <row r="2030">
      <c r="T2030" t="str">
        <f>IF(connections!$A2030="","",IFERROR(INDEX(games!$B$2:$B$1200,MATCH(connections!$A2030,games!$A$2:$A$1200,0)),""))</f>
      </c>
      <c r="U2030">
        <f>IF(connections!$A2030="","",IFERROR(INDEX(games!$B$2:$B$1200,MATCH(connections!$B2030,games!$A$2:$A$1200,0)),""))</f>
      </c>
      <c r="V2030">
        <f>IF(OR($T2030="",$U2030=""),"",$U2030-$T2030)</f>
      </c>
    </row>
    <row r="2031">
      <c r="T2031" t="str">
        <f>IF(connections!$A2031="","",IFERROR(INDEX(games!$B$2:$B$1200,MATCH(connections!$A2031,games!$A$2:$A$1200,0)),""))</f>
      </c>
      <c r="U2031">
        <f>IF(connections!$A2031="","",IFERROR(INDEX(games!$B$2:$B$1200,MATCH(connections!$B2031,games!$A$2:$A$1200,0)),""))</f>
      </c>
      <c r="V2031">
        <f>IF(OR($T2031="",$U2031=""),"",$U2031-$T2031)</f>
      </c>
    </row>
    <row r="2032">
      <c r="T2032" t="str">
        <f>IF(connections!$A2032="","",IFERROR(INDEX(games!$B$2:$B$1200,MATCH(connections!$A2032,games!$A$2:$A$1200,0)),""))</f>
      </c>
      <c r="U2032">
        <f>IF(connections!$A2032="","",IFERROR(INDEX(games!$B$2:$B$1200,MATCH(connections!$B2032,games!$A$2:$A$1200,0)),""))</f>
      </c>
      <c r="V2032">
        <f>IF(OR($T2032="",$U2032=""),"",$U2032-$T2032)</f>
      </c>
    </row>
    <row r="2033">
      <c r="T2033" t="str">
        <f>IF(connections!$A2033="","",IFERROR(INDEX(games!$B$2:$B$1200,MATCH(connections!$A2033,games!$A$2:$A$1200,0)),""))</f>
      </c>
      <c r="U2033">
        <f>IF(connections!$A2033="","",IFERROR(INDEX(games!$B$2:$B$1200,MATCH(connections!$B2033,games!$A$2:$A$1200,0)),""))</f>
      </c>
      <c r="V2033">
        <f>IF(OR($T2033="",$U2033=""),"",$U2033-$T2033)</f>
      </c>
    </row>
    <row r="2034">
      <c r="T2034" t="str">
        <f>IF(connections!$A2034="","",IFERROR(INDEX(games!$B$2:$B$1200,MATCH(connections!$A2034,games!$A$2:$A$1200,0)),""))</f>
      </c>
      <c r="U2034">
        <f>IF(connections!$A2034="","",IFERROR(INDEX(games!$B$2:$B$1200,MATCH(connections!$B2034,games!$A$2:$A$1200,0)),""))</f>
      </c>
      <c r="V2034">
        <f>IF(OR($T2034="",$U2034=""),"",$U2034-$T2034)</f>
      </c>
    </row>
    <row r="2035">
      <c r="T2035" t="str">
        <f>IF(connections!$A2035="","",IFERROR(INDEX(games!$B$2:$B$1200,MATCH(connections!$A2035,games!$A$2:$A$1200,0)),""))</f>
      </c>
      <c r="U2035">
        <f>IF(connections!$A2035="","",IFERROR(INDEX(games!$B$2:$B$1200,MATCH(connections!$B2035,games!$A$2:$A$1200,0)),""))</f>
      </c>
      <c r="V2035">
        <f>IF(OR($T2035="",$U2035=""),"",$U2035-$T2035)</f>
      </c>
    </row>
    <row r="2036">
      <c r="T2036" t="str">
        <f>IF(connections!$A2036="","",IFERROR(INDEX(games!$B$2:$B$1200,MATCH(connections!$A2036,games!$A$2:$A$1200,0)),""))</f>
      </c>
      <c r="U2036">
        <f>IF(connections!$A2036="","",IFERROR(INDEX(games!$B$2:$B$1200,MATCH(connections!$B2036,games!$A$2:$A$1200,0)),""))</f>
      </c>
      <c r="V2036">
        <f>IF(OR($T2036="",$U2036=""),"",$U2036-$T2036)</f>
      </c>
    </row>
    <row r="2037">
      <c r="T2037" t="str">
        <f>IF(connections!$A2037="","",IFERROR(INDEX(games!$B$2:$B$1200,MATCH(connections!$A2037,games!$A$2:$A$1200,0)),""))</f>
      </c>
      <c r="U2037">
        <f>IF(connections!$A2037="","",IFERROR(INDEX(games!$B$2:$B$1200,MATCH(connections!$B2037,games!$A$2:$A$1200,0)),""))</f>
      </c>
      <c r="V2037">
        <f>IF(OR($T2037="",$U2037=""),"",$U2037-$T2037)</f>
      </c>
    </row>
    <row r="2038">
      <c r="T2038" t="str">
        <f>IF(connections!$A2038="","",IFERROR(INDEX(games!$B$2:$B$1200,MATCH(connections!$A2038,games!$A$2:$A$1200,0)),""))</f>
      </c>
      <c r="U2038">
        <f>IF(connections!$A2038="","",IFERROR(INDEX(games!$B$2:$B$1200,MATCH(connections!$B2038,games!$A$2:$A$1200,0)),""))</f>
      </c>
      <c r="V2038">
        <f>IF(OR($T2038="",$U2038=""),"",$U2038-$T2038)</f>
      </c>
    </row>
    <row r="2039">
      <c r="T2039" t="str">
        <f>IF(connections!$A2039="","",IFERROR(INDEX(games!$B$2:$B$1200,MATCH(connections!$A2039,games!$A$2:$A$1200,0)),""))</f>
      </c>
      <c r="U2039">
        <f>IF(connections!$A2039="","",IFERROR(INDEX(games!$B$2:$B$1200,MATCH(connections!$B2039,games!$A$2:$A$1200,0)),""))</f>
      </c>
      <c r="V2039">
        <f>IF(OR($T2039="",$U2039=""),"",$U2039-$T2039)</f>
      </c>
    </row>
    <row r="2040">
      <c r="T2040" t="str">
        <f>IF(connections!$A2040="","",IFERROR(INDEX(games!$B$2:$B$1200,MATCH(connections!$A2040,games!$A$2:$A$1200,0)),""))</f>
      </c>
      <c r="U2040">
        <f>IF(connections!$A2040="","",IFERROR(INDEX(games!$B$2:$B$1200,MATCH(connections!$B2040,games!$A$2:$A$1200,0)),""))</f>
      </c>
      <c r="V2040">
        <f>IF(OR($T2040="",$U2040=""),"",$U2040-$T2040)</f>
      </c>
    </row>
    <row r="2041">
      <c r="T2041" t="str">
        <f>IF(connections!$A2041="","",IFERROR(INDEX(games!$B$2:$B$1200,MATCH(connections!$A2041,games!$A$2:$A$1200,0)),""))</f>
      </c>
      <c r="U2041">
        <f>IF(connections!$A2041="","",IFERROR(INDEX(games!$B$2:$B$1200,MATCH(connections!$B2041,games!$A$2:$A$1200,0)),""))</f>
      </c>
      <c r="V2041">
        <f>IF(OR($T2041="",$U2041=""),"",$U2041-$T2041)</f>
      </c>
    </row>
    <row r="2042">
      <c r="T2042" t="str">
        <f>IF(connections!$A2042="","",IFERROR(INDEX(games!$B$2:$B$1200,MATCH(connections!$A2042,games!$A$2:$A$1200,0)),""))</f>
      </c>
      <c r="U2042">
        <f>IF(connections!$A2042="","",IFERROR(INDEX(games!$B$2:$B$1200,MATCH(connections!$B2042,games!$A$2:$A$1200,0)),""))</f>
      </c>
      <c r="V2042">
        <f>IF(OR($T2042="",$U2042=""),"",$U2042-$T2042)</f>
      </c>
    </row>
    <row r="2043">
      <c r="T2043" t="str">
        <f>IF(connections!$A2043="","",IFERROR(INDEX(games!$B$2:$B$1200,MATCH(connections!$A2043,games!$A$2:$A$1200,0)),""))</f>
      </c>
      <c r="U2043">
        <f>IF(connections!$A2043="","",IFERROR(INDEX(games!$B$2:$B$1200,MATCH(connections!$B2043,games!$A$2:$A$1200,0)),""))</f>
      </c>
      <c r="V2043">
        <f>IF(OR($T2043="",$U2043=""),"",$U2043-$T2043)</f>
      </c>
    </row>
    <row r="2044">
      <c r="T2044" t="str">
        <f>IF(connections!$A2044="","",IFERROR(INDEX(games!$B$2:$B$1200,MATCH(connections!$A2044,games!$A$2:$A$1200,0)),""))</f>
      </c>
      <c r="U2044">
        <f>IF(connections!$A2044="","",IFERROR(INDEX(games!$B$2:$B$1200,MATCH(connections!$B2044,games!$A$2:$A$1200,0)),""))</f>
      </c>
      <c r="V2044">
        <f>IF(OR($T2044="",$U2044=""),"",$U2044-$T2044)</f>
      </c>
    </row>
    <row r="2045">
      <c r="T2045" t="str">
        <f>IF(connections!$A2045="","",IFERROR(INDEX(games!$B$2:$B$1200,MATCH(connections!$A2045,games!$A$2:$A$1200,0)),""))</f>
      </c>
      <c r="U2045">
        <f>IF(connections!$A2045="","",IFERROR(INDEX(games!$B$2:$B$1200,MATCH(connections!$B2045,games!$A$2:$A$1200,0)),""))</f>
      </c>
      <c r="V2045">
        <f>IF(OR($T2045="",$U2045=""),"",$U2045-$T2045)</f>
      </c>
    </row>
    <row r="2046">
      <c r="T2046" t="str">
        <f>IF(connections!$A2046="","",IFERROR(INDEX(games!$B$2:$B$1200,MATCH(connections!$A2046,games!$A$2:$A$1200,0)),""))</f>
      </c>
      <c r="U2046">
        <f>IF(connections!$A2046="","",IFERROR(INDEX(games!$B$2:$B$1200,MATCH(connections!$B2046,games!$A$2:$A$1200,0)),""))</f>
      </c>
      <c r="V2046">
        <f>IF(OR($T2046="",$U2046=""),"",$U2046-$T2046)</f>
      </c>
    </row>
    <row r="2047">
      <c r="T2047" t="str">
        <f>IF(connections!$A2047="","",IFERROR(INDEX(games!$B$2:$B$1200,MATCH(connections!$A2047,games!$A$2:$A$1200,0)),""))</f>
      </c>
      <c r="U2047">
        <f>IF(connections!$A2047="","",IFERROR(INDEX(games!$B$2:$B$1200,MATCH(connections!$B2047,games!$A$2:$A$1200,0)),""))</f>
      </c>
      <c r="V2047">
        <f>IF(OR($T2047="",$U2047=""),"",$U2047-$T2047)</f>
      </c>
    </row>
    <row r="2048">
      <c r="T2048" t="str">
        <f>IF(connections!$A2048="","",IFERROR(INDEX(games!$B$2:$B$1200,MATCH(connections!$A2048,games!$A$2:$A$1200,0)),""))</f>
      </c>
      <c r="U2048">
        <f>IF(connections!$A2048="","",IFERROR(INDEX(games!$B$2:$B$1200,MATCH(connections!$B2048,games!$A$2:$A$1200,0)),""))</f>
      </c>
      <c r="V2048">
        <f>IF(OR($T2048="",$U2048=""),"",$U2048-$T2048)</f>
      </c>
    </row>
    <row r="2049">
      <c r="T2049" t="str">
        <f>IF(connections!$A2049="","",IFERROR(INDEX(games!$B$2:$B$1200,MATCH(connections!$A2049,games!$A$2:$A$1200,0)),""))</f>
      </c>
      <c r="U2049">
        <f>IF(connections!$A2049="","",IFERROR(INDEX(games!$B$2:$B$1200,MATCH(connections!$B2049,games!$A$2:$A$1200,0)),""))</f>
      </c>
      <c r="V2049">
        <f>IF(OR($T2049="",$U2049=""),"",$U2049-$T2049)</f>
      </c>
    </row>
    <row r="2050">
      <c r="T2050" t="str">
        <f>IF(connections!$A2050="","",IFERROR(INDEX(games!$B$2:$B$1200,MATCH(connections!$A2050,games!$A$2:$A$1200,0)),""))</f>
      </c>
      <c r="U2050">
        <f>IF(connections!$A2050="","",IFERROR(INDEX(games!$B$2:$B$1200,MATCH(connections!$B2050,games!$A$2:$A$1200,0)),""))</f>
      </c>
      <c r="V2050">
        <f>IF(OR($T2050="",$U2050=""),"",$U2050-$T2050)</f>
      </c>
    </row>
    <row r="2051">
      <c r="T2051" t="str">
        <f>IF(connections!$A2051="","",IFERROR(INDEX(games!$B$2:$B$1200,MATCH(connections!$A2051,games!$A$2:$A$1200,0)),""))</f>
      </c>
      <c r="U2051">
        <f>IF(connections!$A2051="","",IFERROR(INDEX(games!$B$2:$B$1200,MATCH(connections!$B2051,games!$A$2:$A$1200,0)),""))</f>
      </c>
      <c r="V2051">
        <f>IF(OR($T2051="",$U2051=""),"",$U2051-$T2051)</f>
      </c>
    </row>
    <row r="2052">
      <c r="T2052" t="str">
        <f>IF(connections!$A2052="","",IFERROR(INDEX(games!$B$2:$B$1200,MATCH(connections!$A2052,games!$A$2:$A$1200,0)),""))</f>
      </c>
      <c r="U2052">
        <f>IF(connections!$A2052="","",IFERROR(INDEX(games!$B$2:$B$1200,MATCH(connections!$B2052,games!$A$2:$A$1200,0)),""))</f>
      </c>
      <c r="V2052">
        <f>IF(OR($T2052="",$U2052=""),"",$U2052-$T2052)</f>
      </c>
    </row>
    <row r="2053">
      <c r="T2053" t="str">
        <f>IF(connections!$A2053="","",IFERROR(INDEX(games!$B$2:$B$1200,MATCH(connections!$A2053,games!$A$2:$A$1200,0)),""))</f>
      </c>
      <c r="U2053">
        <f>IF(connections!$A2053="","",IFERROR(INDEX(games!$B$2:$B$1200,MATCH(connections!$B2053,games!$A$2:$A$1200,0)),""))</f>
      </c>
      <c r="V2053">
        <f>IF(OR($T2053="",$U2053=""),"",$U2053-$T2053)</f>
      </c>
    </row>
    <row r="2054">
      <c r="T2054" t="str">
        <f>IF(connections!$A2054="","",IFERROR(INDEX(games!$B$2:$B$1200,MATCH(connections!$A2054,games!$A$2:$A$1200,0)),""))</f>
      </c>
      <c r="U2054">
        <f>IF(connections!$A2054="","",IFERROR(INDEX(games!$B$2:$B$1200,MATCH(connections!$B2054,games!$A$2:$A$1200,0)),""))</f>
      </c>
      <c r="V2054">
        <f>IF(OR($T2054="",$U2054=""),"",$U2054-$T2054)</f>
      </c>
    </row>
    <row r="2055">
      <c r="T2055" t="str">
        <f>IF(connections!$A2055="","",IFERROR(INDEX(games!$B$2:$B$1200,MATCH(connections!$A2055,games!$A$2:$A$1200,0)),""))</f>
      </c>
      <c r="U2055">
        <f>IF(connections!$A2055="","",IFERROR(INDEX(games!$B$2:$B$1200,MATCH(connections!$B2055,games!$A$2:$A$1200,0)),""))</f>
      </c>
      <c r="V2055">
        <f>IF(OR($T2055="",$U2055=""),"",$U2055-$T2055)</f>
      </c>
    </row>
    <row r="2056">
      <c r="T2056" t="str">
        <f>IF(connections!$A2056="","",IFERROR(INDEX(games!$B$2:$B$1200,MATCH(connections!$A2056,games!$A$2:$A$1200,0)),""))</f>
      </c>
      <c r="U2056">
        <f>IF(connections!$A2056="","",IFERROR(INDEX(games!$B$2:$B$1200,MATCH(connections!$B2056,games!$A$2:$A$1200,0)),""))</f>
      </c>
      <c r="V2056">
        <f>IF(OR($T2056="",$U2056=""),"",$U2056-$T2056)</f>
      </c>
    </row>
    <row r="2057">
      <c r="T2057" t="str">
        <f>IF(connections!$A2057="","",IFERROR(INDEX(games!$B$2:$B$1200,MATCH(connections!$A2057,games!$A$2:$A$1200,0)),""))</f>
      </c>
      <c r="U2057">
        <f>IF(connections!$A2057="","",IFERROR(INDEX(games!$B$2:$B$1200,MATCH(connections!$B2057,games!$A$2:$A$1200,0)),""))</f>
      </c>
      <c r="V2057">
        <f>IF(OR($T2057="",$U2057=""),"",$U2057-$T2057)</f>
      </c>
    </row>
    <row r="2058">
      <c r="T2058" t="str">
        <f>IF(connections!$A2058="","",IFERROR(INDEX(games!$B$2:$B$1200,MATCH(connections!$A2058,games!$A$2:$A$1200,0)),""))</f>
      </c>
      <c r="U2058">
        <f>IF(connections!$A2058="","",IFERROR(INDEX(games!$B$2:$B$1200,MATCH(connections!$B2058,games!$A$2:$A$1200,0)),""))</f>
      </c>
      <c r="V2058">
        <f>IF(OR($T2058="",$U2058=""),"",$U2058-$T2058)</f>
      </c>
    </row>
    <row r="2059">
      <c r="T2059" t="str">
        <f>IF(connections!$A2059="","",IFERROR(INDEX(games!$B$2:$B$1200,MATCH(connections!$A2059,games!$A$2:$A$1200,0)),""))</f>
      </c>
      <c r="U2059">
        <f>IF(connections!$A2059="","",IFERROR(INDEX(games!$B$2:$B$1200,MATCH(connections!$B2059,games!$A$2:$A$1200,0)),""))</f>
      </c>
      <c r="V2059">
        <f>IF(OR($T2059="",$U2059=""),"",$U2059-$T2059)</f>
      </c>
    </row>
    <row r="2060">
      <c r="T2060" t="str">
        <f>IF(connections!$A2060="","",IFERROR(INDEX(games!$B$2:$B$1200,MATCH(connections!$A2060,games!$A$2:$A$1200,0)),""))</f>
      </c>
      <c r="U2060">
        <f>IF(connections!$A2060="","",IFERROR(INDEX(games!$B$2:$B$1200,MATCH(connections!$B2060,games!$A$2:$A$1200,0)),""))</f>
      </c>
      <c r="V2060">
        <f>IF(OR($T2060="",$U2060=""),"",$U2060-$T2060)</f>
      </c>
    </row>
    <row r="2061">
      <c r="T2061" t="str">
        <f>IF(connections!$A2061="","",IFERROR(INDEX(games!$B$2:$B$1200,MATCH(connections!$A2061,games!$A$2:$A$1200,0)),""))</f>
      </c>
      <c r="U2061">
        <f>IF(connections!$A2061="","",IFERROR(INDEX(games!$B$2:$B$1200,MATCH(connections!$B2061,games!$A$2:$A$1200,0)),""))</f>
      </c>
      <c r="V2061">
        <f>IF(OR($T2061="",$U2061=""),"",$U2061-$T2061)</f>
      </c>
    </row>
    <row r="2062">
      <c r="T2062" t="str">
        <f>IF(connections!$A2062="","",IFERROR(INDEX(games!$B$2:$B$1200,MATCH(connections!$A2062,games!$A$2:$A$1200,0)),""))</f>
      </c>
      <c r="U2062">
        <f>IF(connections!$A2062="","",IFERROR(INDEX(games!$B$2:$B$1200,MATCH(connections!$B2062,games!$A$2:$A$1200,0)),""))</f>
      </c>
      <c r="V2062">
        <f>IF(OR($T2062="",$U2062=""),"",$U2062-$T2062)</f>
      </c>
    </row>
    <row r="2063">
      <c r="T2063" t="str">
        <f>IF(connections!$A2063="","",IFERROR(INDEX(games!$B$2:$B$1200,MATCH(connections!$A2063,games!$A$2:$A$1200,0)),""))</f>
      </c>
      <c r="U2063">
        <f>IF(connections!$A2063="","",IFERROR(INDEX(games!$B$2:$B$1200,MATCH(connections!$B2063,games!$A$2:$A$1200,0)),""))</f>
      </c>
      <c r="V2063">
        <f>IF(OR($T2063="",$U2063=""),"",$U2063-$T2063)</f>
      </c>
    </row>
    <row r="2064">
      <c r="T2064" t="str">
        <f>IF(connections!$A2064="","",IFERROR(INDEX(games!$B$2:$B$1200,MATCH(connections!$A2064,games!$A$2:$A$1200,0)),""))</f>
      </c>
      <c r="U2064">
        <f>IF(connections!$A2064="","",IFERROR(INDEX(games!$B$2:$B$1200,MATCH(connections!$B2064,games!$A$2:$A$1200,0)),""))</f>
      </c>
      <c r="V2064">
        <f>IF(OR($T2064="",$U2064=""),"",$U2064-$T2064)</f>
      </c>
    </row>
    <row r="2065">
      <c r="T2065" t="str">
        <f>IF(connections!$A2065="","",IFERROR(INDEX(games!$B$2:$B$1200,MATCH(connections!$A2065,games!$A$2:$A$1200,0)),""))</f>
      </c>
      <c r="U2065">
        <f>IF(connections!$A2065="","",IFERROR(INDEX(games!$B$2:$B$1200,MATCH(connections!$B2065,games!$A$2:$A$1200,0)),""))</f>
      </c>
      <c r="V2065">
        <f>IF(OR($T2065="",$U2065=""),"",$U2065-$T2065)</f>
      </c>
    </row>
    <row r="2066">
      <c r="T2066" t="str">
        <f>IF(connections!$A2066="","",IFERROR(INDEX(games!$B$2:$B$1200,MATCH(connections!$A2066,games!$A$2:$A$1200,0)),""))</f>
      </c>
      <c r="U2066">
        <f>IF(connections!$A2066="","",IFERROR(INDEX(games!$B$2:$B$1200,MATCH(connections!$B2066,games!$A$2:$A$1200,0)),""))</f>
      </c>
      <c r="V2066">
        <f>IF(OR($T2066="",$U2066=""),"",$U2066-$T2066)</f>
      </c>
    </row>
    <row r="2067">
      <c r="T2067" t="str">
        <f>IF(connections!$A2067="","",IFERROR(INDEX(games!$B$2:$B$1200,MATCH(connections!$A2067,games!$A$2:$A$1200,0)),""))</f>
      </c>
      <c r="U2067">
        <f>IF(connections!$A2067="","",IFERROR(INDEX(games!$B$2:$B$1200,MATCH(connections!$B2067,games!$A$2:$A$1200,0)),""))</f>
      </c>
      <c r="V2067">
        <f>IF(OR($T2067="",$U2067=""),"",$U2067-$T2067)</f>
      </c>
    </row>
    <row r="2068">
      <c r="T2068" t="str">
        <f>IF(connections!$A2068="","",IFERROR(INDEX(games!$B$2:$B$1200,MATCH(connections!$A2068,games!$A$2:$A$1200,0)),""))</f>
      </c>
      <c r="U2068">
        <f>IF(connections!$A2068="","",IFERROR(INDEX(games!$B$2:$B$1200,MATCH(connections!$B2068,games!$A$2:$A$1200,0)),""))</f>
      </c>
      <c r="V2068">
        <f>IF(OR($T2068="",$U2068=""),"",$U2068-$T2068)</f>
      </c>
    </row>
    <row r="2069">
      <c r="T2069" t="str">
        <f>IF(connections!$A2069="","",IFERROR(INDEX(games!$B$2:$B$1200,MATCH(connections!$A2069,games!$A$2:$A$1200,0)),""))</f>
      </c>
      <c r="U2069">
        <f>IF(connections!$A2069="","",IFERROR(INDEX(games!$B$2:$B$1200,MATCH(connections!$B2069,games!$A$2:$A$1200,0)),""))</f>
      </c>
      <c r="V2069">
        <f>IF(OR($T2069="",$U2069=""),"",$U2069-$T2069)</f>
      </c>
    </row>
    <row r="2070">
      <c r="T2070" t="str">
        <f>IF(connections!$A2070="","",IFERROR(INDEX(games!$B$2:$B$1200,MATCH(connections!$A2070,games!$A$2:$A$1200,0)),""))</f>
      </c>
      <c r="U2070">
        <f>IF(connections!$A2070="","",IFERROR(INDEX(games!$B$2:$B$1200,MATCH(connections!$B2070,games!$A$2:$A$1200,0)),""))</f>
      </c>
      <c r="V2070">
        <f>IF(OR($T2070="",$U2070=""),"",$U2070-$T2070)</f>
      </c>
    </row>
    <row r="2071">
      <c r="T2071" t="str">
        <f>IF(connections!$A2071="","",IFERROR(INDEX(games!$B$2:$B$1200,MATCH(connections!$A2071,games!$A$2:$A$1200,0)),""))</f>
      </c>
      <c r="U2071">
        <f>IF(connections!$A2071="","",IFERROR(INDEX(games!$B$2:$B$1200,MATCH(connections!$B2071,games!$A$2:$A$1200,0)),""))</f>
      </c>
      <c r="V2071">
        <f>IF(OR($T2071="",$U2071=""),"",$U2071-$T2071)</f>
      </c>
    </row>
    <row r="2072">
      <c r="T2072" t="str">
        <f>IF(connections!$A2072="","",IFERROR(INDEX(games!$B$2:$B$1200,MATCH(connections!$A2072,games!$A$2:$A$1200,0)),""))</f>
      </c>
      <c r="U2072">
        <f>IF(connections!$A2072="","",IFERROR(INDEX(games!$B$2:$B$1200,MATCH(connections!$B2072,games!$A$2:$A$1200,0)),""))</f>
      </c>
      <c r="V2072">
        <f>IF(OR($T2072="",$U2072=""),"",$U2072-$T2072)</f>
      </c>
    </row>
    <row r="2073">
      <c r="T2073" t="str">
        <f>IF(connections!$A2073="","",IFERROR(INDEX(games!$B$2:$B$1200,MATCH(connections!$A2073,games!$A$2:$A$1200,0)),""))</f>
      </c>
      <c r="U2073">
        <f>IF(connections!$A2073="","",IFERROR(INDEX(games!$B$2:$B$1200,MATCH(connections!$B2073,games!$A$2:$A$1200,0)),""))</f>
      </c>
      <c r="V2073">
        <f>IF(OR($T2073="",$U2073=""),"",$U2073-$T2073)</f>
      </c>
    </row>
    <row r="2074">
      <c r="T2074" t="str">
        <f>IF(connections!$A2074="","",IFERROR(INDEX(games!$B$2:$B$1200,MATCH(connections!$A2074,games!$A$2:$A$1200,0)),""))</f>
      </c>
      <c r="U2074">
        <f>IF(connections!$A2074="","",IFERROR(INDEX(games!$B$2:$B$1200,MATCH(connections!$B2074,games!$A$2:$A$1200,0)),""))</f>
      </c>
      <c r="V2074">
        <f>IF(OR($T2074="",$U2074=""),"",$U2074-$T2074)</f>
      </c>
    </row>
    <row r="2075">
      <c r="T2075" t="str">
        <f>IF(connections!$A2075="","",IFERROR(INDEX(games!$B$2:$B$1200,MATCH(connections!$A2075,games!$A$2:$A$1200,0)),""))</f>
      </c>
      <c r="U2075">
        <f>IF(connections!$A2075="","",IFERROR(INDEX(games!$B$2:$B$1200,MATCH(connections!$B2075,games!$A$2:$A$1200,0)),""))</f>
      </c>
      <c r="V2075">
        <f>IF(OR($T2075="",$U2075=""),"",$U2075-$T2075)</f>
      </c>
    </row>
    <row r="2076">
      <c r="T2076" t="str">
        <f>IF(connections!$A2076="","",IFERROR(INDEX(games!$B$2:$B$1200,MATCH(connections!$A2076,games!$A$2:$A$1200,0)),""))</f>
      </c>
      <c r="U2076">
        <f>IF(connections!$A2076="","",IFERROR(INDEX(games!$B$2:$B$1200,MATCH(connections!$B2076,games!$A$2:$A$1200,0)),""))</f>
      </c>
      <c r="V2076">
        <f>IF(OR($T2076="",$U2076=""),"",$U2076-$T2076)</f>
      </c>
    </row>
    <row r="2077">
      <c r="T2077" t="str">
        <f>IF(connections!$A2077="","",IFERROR(INDEX(games!$B$2:$B$1200,MATCH(connections!$A2077,games!$A$2:$A$1200,0)),""))</f>
      </c>
      <c r="U2077">
        <f>IF(connections!$A2077="","",IFERROR(INDEX(games!$B$2:$B$1200,MATCH(connections!$B2077,games!$A$2:$A$1200,0)),""))</f>
      </c>
      <c r="V2077">
        <f>IF(OR($T2077="",$U2077=""),"",$U2077-$T2077)</f>
      </c>
    </row>
    <row r="2078">
      <c r="T2078" t="str">
        <f>IF(connections!$A2078="","",IFERROR(INDEX(games!$B$2:$B$1200,MATCH(connections!$A2078,games!$A$2:$A$1200,0)),""))</f>
      </c>
      <c r="U2078">
        <f>IF(connections!$A2078="","",IFERROR(INDEX(games!$B$2:$B$1200,MATCH(connections!$B2078,games!$A$2:$A$1200,0)),""))</f>
      </c>
      <c r="V2078">
        <f>IF(OR($T2078="",$U2078=""),"",$U2078-$T2078)</f>
      </c>
    </row>
    <row r="2079">
      <c r="T2079" t="str">
        <f>IF(connections!$A2079="","",IFERROR(INDEX(games!$B$2:$B$1200,MATCH(connections!$A2079,games!$A$2:$A$1200,0)),""))</f>
      </c>
      <c r="U2079">
        <f>IF(connections!$A2079="","",IFERROR(INDEX(games!$B$2:$B$1200,MATCH(connections!$B2079,games!$A$2:$A$1200,0)),""))</f>
      </c>
      <c r="V2079">
        <f>IF(OR($T2079="",$U2079=""),"",$U2079-$T2079)</f>
      </c>
    </row>
    <row r="2080">
      <c r="T2080" t="str">
        <f>IF(connections!$A2080="","",IFERROR(INDEX(games!$B$2:$B$1200,MATCH(connections!$A2080,games!$A$2:$A$1200,0)),""))</f>
      </c>
      <c r="U2080">
        <f>IF(connections!$A2080="","",IFERROR(INDEX(games!$B$2:$B$1200,MATCH(connections!$B2080,games!$A$2:$A$1200,0)),""))</f>
      </c>
      <c r="V2080">
        <f>IF(OR($T2080="",$U2080=""),"",$U2080-$T2080)</f>
      </c>
    </row>
    <row r="2081">
      <c r="T2081" t="str">
        <f>IF(connections!$A2081="","",IFERROR(INDEX(games!$B$2:$B$1200,MATCH(connections!$A2081,games!$A$2:$A$1200,0)),""))</f>
      </c>
      <c r="U2081">
        <f>IF(connections!$A2081="","",IFERROR(INDEX(games!$B$2:$B$1200,MATCH(connections!$B2081,games!$A$2:$A$1200,0)),""))</f>
      </c>
      <c r="V2081">
        <f>IF(OR($T2081="",$U2081=""),"",$U2081-$T2081)</f>
      </c>
    </row>
    <row r="2082">
      <c r="T2082" t="str">
        <f>IF(connections!$A2082="","",IFERROR(INDEX(games!$B$2:$B$1200,MATCH(connections!$A2082,games!$A$2:$A$1200,0)),""))</f>
      </c>
      <c r="U2082">
        <f>IF(connections!$A2082="","",IFERROR(INDEX(games!$B$2:$B$1200,MATCH(connections!$B2082,games!$A$2:$A$1200,0)),""))</f>
      </c>
      <c r="V2082">
        <f>IF(OR($T2082="",$U2082=""),"",$U2082-$T2082)</f>
      </c>
    </row>
    <row r="2083">
      <c r="T2083" t="str">
        <f>IF(connections!$A2083="","",IFERROR(INDEX(games!$B$2:$B$1200,MATCH(connections!$A2083,games!$A$2:$A$1200,0)),""))</f>
      </c>
      <c r="U2083">
        <f>IF(connections!$A2083="","",IFERROR(INDEX(games!$B$2:$B$1200,MATCH(connections!$B2083,games!$A$2:$A$1200,0)),""))</f>
      </c>
      <c r="V2083">
        <f>IF(OR($T2083="",$U2083=""),"",$U2083-$T2083)</f>
      </c>
    </row>
    <row r="2084">
      <c r="T2084" t="str">
        <f>IF(connections!$A2084="","",IFERROR(INDEX(games!$B$2:$B$1200,MATCH(connections!$A2084,games!$A$2:$A$1200,0)),""))</f>
      </c>
      <c r="U2084">
        <f>IF(connections!$A2084="","",IFERROR(INDEX(games!$B$2:$B$1200,MATCH(connections!$B2084,games!$A$2:$A$1200,0)),""))</f>
      </c>
      <c r="V2084">
        <f>IF(OR($T2084="",$U2084=""),"",$U2084-$T2084)</f>
      </c>
    </row>
    <row r="2085">
      <c r="T2085" t="str">
        <f>IF(connections!$A2085="","",IFERROR(INDEX(games!$B$2:$B$1200,MATCH(connections!$A2085,games!$A$2:$A$1200,0)),""))</f>
      </c>
      <c r="U2085">
        <f>IF(connections!$A2085="","",IFERROR(INDEX(games!$B$2:$B$1200,MATCH(connections!$B2085,games!$A$2:$A$1200,0)),""))</f>
      </c>
      <c r="V2085">
        <f>IF(OR($T2085="",$U2085=""),"",$U2085-$T2085)</f>
      </c>
    </row>
    <row r="2086">
      <c r="T2086" t="str">
        <f>IF(connections!$A2086="","",IFERROR(INDEX(games!$B$2:$B$1200,MATCH(connections!$A2086,games!$A$2:$A$1200,0)),""))</f>
      </c>
      <c r="U2086">
        <f>IF(connections!$A2086="","",IFERROR(INDEX(games!$B$2:$B$1200,MATCH(connections!$B2086,games!$A$2:$A$1200,0)),""))</f>
      </c>
      <c r="V2086">
        <f>IF(OR($T2086="",$U2086=""),"",$U2086-$T2086)</f>
      </c>
    </row>
    <row r="2087">
      <c r="T2087" t="str">
        <f>IF(connections!$A2087="","",IFERROR(INDEX(games!$B$2:$B$1200,MATCH(connections!$A2087,games!$A$2:$A$1200,0)),""))</f>
      </c>
      <c r="U2087">
        <f>IF(connections!$A2087="","",IFERROR(INDEX(games!$B$2:$B$1200,MATCH(connections!$B2087,games!$A$2:$A$1200,0)),""))</f>
      </c>
      <c r="V2087">
        <f>IF(OR($T2087="",$U2087=""),"",$U2087-$T2087)</f>
      </c>
    </row>
    <row r="2088">
      <c r="T2088" t="str">
        <f>IF(connections!$A2088="","",IFERROR(INDEX(games!$B$2:$B$1200,MATCH(connections!$A2088,games!$A$2:$A$1200,0)),""))</f>
      </c>
      <c r="U2088">
        <f>IF(connections!$A2088="","",IFERROR(INDEX(games!$B$2:$B$1200,MATCH(connections!$B2088,games!$A$2:$A$1200,0)),""))</f>
      </c>
      <c r="V2088">
        <f>IF(OR($T2088="",$U2088=""),"",$U2088-$T2088)</f>
      </c>
    </row>
    <row r="2089">
      <c r="T2089" t="str">
        <f>IF(connections!$A2089="","",IFERROR(INDEX(games!$B$2:$B$1200,MATCH(connections!$A2089,games!$A$2:$A$1200,0)),""))</f>
      </c>
      <c r="U2089">
        <f>IF(connections!$A2089="","",IFERROR(INDEX(games!$B$2:$B$1200,MATCH(connections!$B2089,games!$A$2:$A$1200,0)),""))</f>
      </c>
      <c r="V2089">
        <f>IF(OR($T2089="",$U2089=""),"",$U2089-$T2089)</f>
      </c>
    </row>
    <row r="2090">
      <c r="T2090" t="str">
        <f>IF(connections!$A2090="","",IFERROR(INDEX(games!$B$2:$B$1200,MATCH(connections!$A2090,games!$A$2:$A$1200,0)),""))</f>
      </c>
      <c r="U2090">
        <f>IF(connections!$A2090="","",IFERROR(INDEX(games!$B$2:$B$1200,MATCH(connections!$B2090,games!$A$2:$A$1200,0)),""))</f>
      </c>
      <c r="V2090">
        <f>IF(OR($T2090="",$U2090=""),"",$U2090-$T2090)</f>
      </c>
    </row>
    <row r="2091">
      <c r="T2091" t="str">
        <f>IF(connections!$A2091="","",IFERROR(INDEX(games!$B$2:$B$1200,MATCH(connections!$A2091,games!$A$2:$A$1200,0)),""))</f>
      </c>
      <c r="U2091">
        <f>IF(connections!$A2091="","",IFERROR(INDEX(games!$B$2:$B$1200,MATCH(connections!$B2091,games!$A$2:$A$1200,0)),""))</f>
      </c>
      <c r="V2091">
        <f>IF(OR($T2091="",$U2091=""),"",$U2091-$T2091)</f>
      </c>
    </row>
    <row r="2092">
      <c r="T2092" t="str">
        <f>IF(connections!$A2092="","",IFERROR(INDEX(games!$B$2:$B$1200,MATCH(connections!$A2092,games!$A$2:$A$1200,0)),""))</f>
      </c>
      <c r="U2092">
        <f>IF(connections!$A2092="","",IFERROR(INDEX(games!$B$2:$B$1200,MATCH(connections!$B2092,games!$A$2:$A$1200,0)),""))</f>
      </c>
      <c r="V2092">
        <f>IF(OR($T2092="",$U2092=""),"",$U2092-$T2092)</f>
      </c>
    </row>
    <row r="2093">
      <c r="T2093" t="str">
        <f>IF(connections!$A2093="","",IFERROR(INDEX(games!$B$2:$B$1200,MATCH(connections!$A2093,games!$A$2:$A$1200,0)),""))</f>
      </c>
      <c r="U2093">
        <f>IF(connections!$A2093="","",IFERROR(INDEX(games!$B$2:$B$1200,MATCH(connections!$B2093,games!$A$2:$A$1200,0)),""))</f>
      </c>
      <c r="V2093">
        <f>IF(OR($T2093="",$U2093=""),"",$U2093-$T2093)</f>
      </c>
    </row>
    <row r="2094">
      <c r="T2094" t="str">
        <f>IF(connections!$A2094="","",IFERROR(INDEX(games!$B$2:$B$1200,MATCH(connections!$A2094,games!$A$2:$A$1200,0)),""))</f>
      </c>
      <c r="U2094">
        <f>IF(connections!$A2094="","",IFERROR(INDEX(games!$B$2:$B$1200,MATCH(connections!$B2094,games!$A$2:$A$1200,0)),""))</f>
      </c>
      <c r="V2094">
        <f>IF(OR($T2094="",$U2094=""),"",$U2094-$T2094)</f>
      </c>
    </row>
    <row r="2095">
      <c r="T2095" t="str">
        <f>IF(connections!$A2095="","",IFERROR(INDEX(games!$B$2:$B$1200,MATCH(connections!$A2095,games!$A$2:$A$1200,0)),""))</f>
      </c>
      <c r="U2095">
        <f>IF(connections!$A2095="","",IFERROR(INDEX(games!$B$2:$B$1200,MATCH(connections!$B2095,games!$A$2:$A$1200,0)),""))</f>
      </c>
      <c r="V2095">
        <f>IF(OR($T2095="",$U2095=""),"",$U2095-$T2095)</f>
      </c>
    </row>
    <row r="2096">
      <c r="T2096" t="str">
        <f>IF(connections!$A2096="","",IFERROR(INDEX(games!$B$2:$B$1200,MATCH(connections!$A2096,games!$A$2:$A$1200,0)),""))</f>
      </c>
      <c r="U2096">
        <f>IF(connections!$A2096="","",IFERROR(INDEX(games!$B$2:$B$1200,MATCH(connections!$B2096,games!$A$2:$A$1200,0)),""))</f>
      </c>
      <c r="V2096">
        <f>IF(OR($T2096="",$U2096=""),"",$U2096-$T2096)</f>
      </c>
    </row>
    <row r="2097">
      <c r="T2097" t="str">
        <f>IF(connections!$A2097="","",IFERROR(INDEX(games!$B$2:$B$1200,MATCH(connections!$A2097,games!$A$2:$A$1200,0)),""))</f>
      </c>
      <c r="U2097">
        <f>IF(connections!$A2097="","",IFERROR(INDEX(games!$B$2:$B$1200,MATCH(connections!$B2097,games!$A$2:$A$1200,0)),""))</f>
      </c>
      <c r="V2097">
        <f>IF(OR($T2097="",$U2097=""),"",$U2097-$T2097)</f>
      </c>
    </row>
    <row r="2098">
      <c r="T2098" t="str">
        <f>IF(connections!$A2098="","",IFERROR(INDEX(games!$B$2:$B$1200,MATCH(connections!$A2098,games!$A$2:$A$1200,0)),""))</f>
      </c>
      <c r="U2098">
        <f>IF(connections!$A2098="","",IFERROR(INDEX(games!$B$2:$B$1200,MATCH(connections!$B2098,games!$A$2:$A$1200,0)),""))</f>
      </c>
      <c r="V2098">
        <f>IF(OR($T2098="",$U2098=""),"",$U2098-$T2098)</f>
      </c>
    </row>
    <row r="2099">
      <c r="T2099" t="str">
        <f>IF(connections!$A2099="","",IFERROR(INDEX(games!$B$2:$B$1200,MATCH(connections!$A2099,games!$A$2:$A$1200,0)),""))</f>
      </c>
      <c r="U2099">
        <f>IF(connections!$A2099="","",IFERROR(INDEX(games!$B$2:$B$1200,MATCH(connections!$B2099,games!$A$2:$A$1200,0)),""))</f>
      </c>
      <c r="V2099">
        <f>IF(OR($T2099="",$U2099=""),"",$U2099-$T2099)</f>
      </c>
    </row>
    <row r="2100">
      <c r="T2100" t="str">
        <f>IF(connections!$A2100="","",IFERROR(INDEX(games!$B$2:$B$1200,MATCH(connections!$A2100,games!$A$2:$A$1200,0)),""))</f>
      </c>
      <c r="U2100">
        <f>IF(connections!$A2100="","",IFERROR(INDEX(games!$B$2:$B$1200,MATCH(connections!$B2100,games!$A$2:$A$1200,0)),""))</f>
      </c>
      <c r="V2100">
        <f>IF(OR($T2100="",$U2100=""),"",$U2100-$T2100)</f>
      </c>
    </row>
    <row r="2101">
      <c r="T2101" t="str">
        <f>IF(connections!$A2101="","",IFERROR(INDEX(games!$B$2:$B$1200,MATCH(connections!$A2101,games!$A$2:$A$1200,0)),""))</f>
      </c>
      <c r="U2101">
        <f>IF(connections!$A2101="","",IFERROR(INDEX(games!$B$2:$B$1200,MATCH(connections!$B2101,games!$A$2:$A$1200,0)),""))</f>
      </c>
      <c r="V2101">
        <f>IF(OR($T2101="",$U2101=""),"",$U2101-$T2101)</f>
      </c>
    </row>
    <row r="2102">
      <c r="T2102" t="str">
        <f>IF(connections!$A2102="","",IFERROR(INDEX(games!$B$2:$B$1200,MATCH(connections!$A2102,games!$A$2:$A$1200,0)),""))</f>
      </c>
      <c r="U2102">
        <f>IF(connections!$A2102="","",IFERROR(INDEX(games!$B$2:$B$1200,MATCH(connections!$B2102,games!$A$2:$A$1200,0)),""))</f>
      </c>
      <c r="V2102">
        <f>IF(OR($T2102="",$U2102=""),"",$U2102-$T2102)</f>
      </c>
    </row>
    <row r="2103">
      <c r="T2103" t="str">
        <f>IF(connections!$A2103="","",IFERROR(INDEX(games!$B$2:$B$1200,MATCH(connections!$A2103,games!$A$2:$A$1200,0)),""))</f>
      </c>
      <c r="U2103">
        <f>IF(connections!$A2103="","",IFERROR(INDEX(games!$B$2:$B$1200,MATCH(connections!$B2103,games!$A$2:$A$1200,0)),""))</f>
      </c>
      <c r="V2103">
        <f>IF(OR($T2103="",$U2103=""),"",$U2103-$T2103)</f>
      </c>
    </row>
    <row r="2104">
      <c r="T2104" t="str">
        <f>IF(connections!$A2104="","",IFERROR(INDEX(games!$B$2:$B$1200,MATCH(connections!$A2104,games!$A$2:$A$1200,0)),""))</f>
      </c>
      <c r="U2104">
        <f>IF(connections!$A2104="","",IFERROR(INDEX(games!$B$2:$B$1200,MATCH(connections!$B2104,games!$A$2:$A$1200,0)),""))</f>
      </c>
      <c r="V2104">
        <f>IF(OR($T2104="",$U2104=""),"",$U2104-$T2104)</f>
      </c>
    </row>
    <row r="2105">
      <c r="T2105" t="str">
        <f>IF(connections!$A2105="","",IFERROR(INDEX(games!$B$2:$B$1200,MATCH(connections!$A2105,games!$A$2:$A$1200,0)),""))</f>
      </c>
      <c r="U2105">
        <f>IF(connections!$A2105="","",IFERROR(INDEX(games!$B$2:$B$1200,MATCH(connections!$B2105,games!$A$2:$A$1200,0)),""))</f>
      </c>
      <c r="V2105">
        <f>IF(OR($T2105="",$U2105=""),"",$U2105-$T2105)</f>
      </c>
    </row>
    <row r="2106">
      <c r="T2106" t="str">
        <f>IF(connections!$A2106="","",IFERROR(INDEX(games!$B$2:$B$1200,MATCH(connections!$A2106,games!$A$2:$A$1200,0)),""))</f>
      </c>
      <c r="U2106">
        <f>IF(connections!$A2106="","",IFERROR(INDEX(games!$B$2:$B$1200,MATCH(connections!$B2106,games!$A$2:$A$1200,0)),""))</f>
      </c>
      <c r="V2106">
        <f>IF(OR($T2106="",$U2106=""),"",$U2106-$T2106)</f>
      </c>
    </row>
    <row r="2107">
      <c r="T2107" t="str">
        <f>IF(connections!$A2107="","",IFERROR(INDEX(games!$B$2:$B$1200,MATCH(connections!$A2107,games!$A$2:$A$1200,0)),""))</f>
      </c>
      <c r="U2107">
        <f>IF(connections!$A2107="","",IFERROR(INDEX(games!$B$2:$B$1200,MATCH(connections!$B2107,games!$A$2:$A$1200,0)),""))</f>
      </c>
      <c r="V2107">
        <f>IF(OR($T2107="",$U2107=""),"",$U2107-$T2107)</f>
      </c>
    </row>
    <row r="2108">
      <c r="T2108" t="str">
        <f>IF(connections!$A2108="","",IFERROR(INDEX(games!$B$2:$B$1200,MATCH(connections!$A2108,games!$A$2:$A$1200,0)),""))</f>
      </c>
      <c r="U2108">
        <f>IF(connections!$A2108="","",IFERROR(INDEX(games!$B$2:$B$1200,MATCH(connections!$B2108,games!$A$2:$A$1200,0)),""))</f>
      </c>
      <c r="V2108">
        <f>IF(OR($T2108="",$U2108=""),"",$U2108-$T2108)</f>
      </c>
    </row>
    <row r="2109">
      <c r="T2109" t="str">
        <f>IF(connections!$A2109="","",IFERROR(INDEX(games!$B$2:$B$1200,MATCH(connections!$A2109,games!$A$2:$A$1200,0)),""))</f>
      </c>
      <c r="U2109">
        <f>IF(connections!$A2109="","",IFERROR(INDEX(games!$B$2:$B$1200,MATCH(connections!$B2109,games!$A$2:$A$1200,0)),""))</f>
      </c>
      <c r="V2109">
        <f>IF(OR($T2109="",$U2109=""),"",$U2109-$T2109)</f>
      </c>
    </row>
    <row r="2110">
      <c r="T2110" t="str">
        <f>IF(connections!$A2110="","",IFERROR(INDEX(games!$B$2:$B$1200,MATCH(connections!$A2110,games!$A$2:$A$1200,0)),""))</f>
      </c>
      <c r="U2110">
        <f>IF(connections!$A2110="","",IFERROR(INDEX(games!$B$2:$B$1200,MATCH(connections!$B2110,games!$A$2:$A$1200,0)),""))</f>
      </c>
      <c r="V2110">
        <f>IF(OR($T2110="",$U2110=""),"",$U2110-$T2110)</f>
      </c>
    </row>
    <row r="2111">
      <c r="T2111" t="str">
        <f>IF(connections!$A2111="","",IFERROR(INDEX(games!$B$2:$B$1200,MATCH(connections!$A2111,games!$A$2:$A$1200,0)),""))</f>
      </c>
      <c r="U2111">
        <f>IF(connections!$A2111="","",IFERROR(INDEX(games!$B$2:$B$1200,MATCH(connections!$B2111,games!$A$2:$A$1200,0)),""))</f>
      </c>
      <c r="V2111">
        <f>IF(OR($T2111="",$U2111=""),"",$U2111-$T2111)</f>
      </c>
    </row>
    <row r="2112">
      <c r="T2112" t="str">
        <f>IF(connections!$A2112="","",IFERROR(INDEX(games!$B$2:$B$1200,MATCH(connections!$A2112,games!$A$2:$A$1200,0)),""))</f>
      </c>
      <c r="U2112">
        <f>IF(connections!$A2112="","",IFERROR(INDEX(games!$B$2:$B$1200,MATCH(connections!$B2112,games!$A$2:$A$1200,0)),""))</f>
      </c>
      <c r="V2112">
        <f>IF(OR($T2112="",$U2112=""),"",$U2112-$T2112)</f>
      </c>
    </row>
    <row r="2113">
      <c r="T2113" t="str">
        <f>IF(connections!$A2113="","",IFERROR(INDEX(games!$B$2:$B$1200,MATCH(connections!$A2113,games!$A$2:$A$1200,0)),""))</f>
      </c>
      <c r="U2113">
        <f>IF(connections!$A2113="","",IFERROR(INDEX(games!$B$2:$B$1200,MATCH(connections!$B2113,games!$A$2:$A$1200,0)),""))</f>
      </c>
      <c r="V2113">
        <f>IF(OR($T2113="",$U2113=""),"",$U2113-$T2113)</f>
      </c>
    </row>
    <row r="2114">
      <c r="T2114" t="str">
        <f>IF(connections!$A2114="","",IFERROR(INDEX(games!$B$2:$B$1200,MATCH(connections!$A2114,games!$A$2:$A$1200,0)),""))</f>
      </c>
      <c r="U2114">
        <f>IF(connections!$A2114="","",IFERROR(INDEX(games!$B$2:$B$1200,MATCH(connections!$B2114,games!$A$2:$A$1200,0)),""))</f>
      </c>
      <c r="V2114">
        <f>IF(OR($T2114="",$U2114=""),"",$U2114-$T2114)</f>
      </c>
    </row>
    <row r="2115">
      <c r="T2115" t="str">
        <f>IF(connections!$A2115="","",IFERROR(INDEX(games!$B$2:$B$1200,MATCH(connections!$A2115,games!$A$2:$A$1200,0)),""))</f>
      </c>
      <c r="U2115">
        <f>IF(connections!$A2115="","",IFERROR(INDEX(games!$B$2:$B$1200,MATCH(connections!$B2115,games!$A$2:$A$1200,0)),""))</f>
      </c>
      <c r="V2115">
        <f>IF(OR($T2115="",$U2115=""),"",$U2115-$T2115)</f>
      </c>
    </row>
    <row r="2116">
      <c r="T2116" t="str">
        <f>IF(connections!$A2116="","",IFERROR(INDEX(games!$B$2:$B$1200,MATCH(connections!$A2116,games!$A$2:$A$1200,0)),""))</f>
      </c>
      <c r="U2116">
        <f>IF(connections!$A2116="","",IFERROR(INDEX(games!$B$2:$B$1200,MATCH(connections!$B2116,games!$A$2:$A$1200,0)),""))</f>
      </c>
      <c r="V2116">
        <f>IF(OR($T2116="",$U2116=""),"",$U2116-$T2116)</f>
      </c>
    </row>
    <row r="2117">
      <c r="T2117" t="str">
        <f>IF(connections!$A2117="","",IFERROR(INDEX(games!$B$2:$B$1200,MATCH(connections!$A2117,games!$A$2:$A$1200,0)),""))</f>
      </c>
      <c r="U2117">
        <f>IF(connections!$A2117="","",IFERROR(INDEX(games!$B$2:$B$1200,MATCH(connections!$B2117,games!$A$2:$A$1200,0)),""))</f>
      </c>
      <c r="V2117">
        <f>IF(OR($T2117="",$U2117=""),"",$U2117-$T2117)</f>
      </c>
    </row>
    <row r="2118">
      <c r="T2118" t="str">
        <f>IF(connections!$A2118="","",IFERROR(INDEX(games!$B$2:$B$1200,MATCH(connections!$A2118,games!$A$2:$A$1200,0)),""))</f>
      </c>
      <c r="U2118">
        <f>IF(connections!$A2118="","",IFERROR(INDEX(games!$B$2:$B$1200,MATCH(connections!$B2118,games!$A$2:$A$1200,0)),""))</f>
      </c>
      <c r="V2118">
        <f>IF(OR($T2118="",$U2118=""),"",$U2118-$T2118)</f>
      </c>
    </row>
    <row r="2119">
      <c r="T2119" t="str">
        <f>IF(connections!$A2119="","",IFERROR(INDEX(games!$B$2:$B$1200,MATCH(connections!$A2119,games!$A$2:$A$1200,0)),""))</f>
      </c>
      <c r="U2119">
        <f>IF(connections!$A2119="","",IFERROR(INDEX(games!$B$2:$B$1200,MATCH(connections!$B2119,games!$A$2:$A$1200,0)),""))</f>
      </c>
      <c r="V2119">
        <f>IF(OR($T2119="",$U2119=""),"",$U2119-$T2119)</f>
      </c>
    </row>
    <row r="2120">
      <c r="T2120" t="str">
        <f>IF(connections!$A2120="","",IFERROR(INDEX(games!$B$2:$B$1200,MATCH(connections!$A2120,games!$A$2:$A$1200,0)),""))</f>
      </c>
      <c r="U2120">
        <f>IF(connections!$A2120="","",IFERROR(INDEX(games!$B$2:$B$1200,MATCH(connections!$B2120,games!$A$2:$A$1200,0)),""))</f>
      </c>
      <c r="V2120">
        <f>IF(OR($T2120="",$U2120=""),"",$U2120-$T2120)</f>
      </c>
    </row>
    <row r="2121">
      <c r="T2121" t="str">
        <f>IF(connections!$A2121="","",IFERROR(INDEX(games!$B$2:$B$1200,MATCH(connections!$A2121,games!$A$2:$A$1200,0)),""))</f>
      </c>
      <c r="U2121">
        <f>IF(connections!$A2121="","",IFERROR(INDEX(games!$B$2:$B$1200,MATCH(connections!$B2121,games!$A$2:$A$1200,0)),""))</f>
      </c>
      <c r="V2121">
        <f>IF(OR($T2121="",$U2121=""),"",$U2121-$T2121)</f>
      </c>
    </row>
    <row r="2122">
      <c r="T2122" t="str">
        <f>IF(connections!$A2122="","",IFERROR(INDEX(games!$B$2:$B$1200,MATCH(connections!$A2122,games!$A$2:$A$1200,0)),""))</f>
      </c>
      <c r="U2122">
        <f>IF(connections!$A2122="","",IFERROR(INDEX(games!$B$2:$B$1200,MATCH(connections!$B2122,games!$A$2:$A$1200,0)),""))</f>
      </c>
      <c r="V2122">
        <f>IF(OR($T2122="",$U2122=""),"",$U2122-$T2122)</f>
      </c>
    </row>
    <row r="2123">
      <c r="T2123" t="str">
        <f>IF(connections!$A2123="","",IFERROR(INDEX(games!$B$2:$B$1200,MATCH(connections!$A2123,games!$A$2:$A$1200,0)),""))</f>
      </c>
      <c r="U2123">
        <f>IF(connections!$A2123="","",IFERROR(INDEX(games!$B$2:$B$1200,MATCH(connections!$B2123,games!$A$2:$A$1200,0)),""))</f>
      </c>
      <c r="V2123">
        <f>IF(OR($T2123="",$U2123=""),"",$U2123-$T2123)</f>
      </c>
    </row>
    <row r="2124">
      <c r="T2124" t="str">
        <f>IF(connections!$A2124="","",IFERROR(INDEX(games!$B$2:$B$1200,MATCH(connections!$A2124,games!$A$2:$A$1200,0)),""))</f>
      </c>
      <c r="U2124">
        <f>IF(connections!$A2124="","",IFERROR(INDEX(games!$B$2:$B$1200,MATCH(connections!$B2124,games!$A$2:$A$1200,0)),""))</f>
      </c>
      <c r="V2124">
        <f>IF(OR($T2124="",$U2124=""),"",$U2124-$T2124)</f>
      </c>
    </row>
    <row r="2125">
      <c r="T2125" t="str">
        <f>IF(connections!$A2125="","",IFERROR(INDEX(games!$B$2:$B$1200,MATCH(connections!$A2125,games!$A$2:$A$1200,0)),""))</f>
      </c>
      <c r="U2125">
        <f>IF(connections!$A2125="","",IFERROR(INDEX(games!$B$2:$B$1200,MATCH(connections!$B2125,games!$A$2:$A$1200,0)),""))</f>
      </c>
      <c r="V2125">
        <f>IF(OR($T2125="",$U2125=""),"",$U2125-$T2125)</f>
      </c>
    </row>
    <row r="2126">
      <c r="T2126" t="str">
        <f>IF(connections!$A2126="","",IFERROR(INDEX(games!$B$2:$B$1200,MATCH(connections!$A2126,games!$A$2:$A$1200,0)),""))</f>
      </c>
      <c r="U2126">
        <f>IF(connections!$A2126="","",IFERROR(INDEX(games!$B$2:$B$1200,MATCH(connections!$B2126,games!$A$2:$A$1200,0)),""))</f>
      </c>
      <c r="V2126">
        <f>IF(OR($T2126="",$U2126=""),"",$U2126-$T2126)</f>
      </c>
    </row>
    <row r="2127">
      <c r="T2127" t="str">
        <f>IF(connections!$A2127="","",IFERROR(INDEX(games!$B$2:$B$1200,MATCH(connections!$A2127,games!$A$2:$A$1200,0)),""))</f>
      </c>
      <c r="U2127">
        <f>IF(connections!$A2127="","",IFERROR(INDEX(games!$B$2:$B$1200,MATCH(connections!$B2127,games!$A$2:$A$1200,0)),""))</f>
      </c>
      <c r="V2127">
        <f>IF(OR($T2127="",$U2127=""),"",$U2127-$T2127)</f>
      </c>
    </row>
    <row r="2128">
      <c r="T2128" t="str">
        <f>IF(connections!$A2128="","",IFERROR(INDEX(games!$B$2:$B$1200,MATCH(connections!$A2128,games!$A$2:$A$1200,0)),""))</f>
      </c>
      <c r="U2128">
        <f>IF(connections!$A2128="","",IFERROR(INDEX(games!$B$2:$B$1200,MATCH(connections!$B2128,games!$A$2:$A$1200,0)),""))</f>
      </c>
      <c r="V2128">
        <f>IF(OR($T2128="",$U2128=""),"",$U2128-$T2128)</f>
      </c>
    </row>
    <row r="2129">
      <c r="T2129" t="str">
        <f>IF(connections!$A2129="","",IFERROR(INDEX(games!$B$2:$B$1200,MATCH(connections!$A2129,games!$A$2:$A$1200,0)),""))</f>
      </c>
      <c r="U2129">
        <f>IF(connections!$A2129="","",IFERROR(INDEX(games!$B$2:$B$1200,MATCH(connections!$B2129,games!$A$2:$A$1200,0)),""))</f>
      </c>
      <c r="V2129">
        <f>IF(OR($T2129="",$U2129=""),"",$U2129-$T2129)</f>
      </c>
    </row>
    <row r="2130">
      <c r="T2130" t="str">
        <f>IF(connections!$A2130="","",IFERROR(INDEX(games!$B$2:$B$1200,MATCH(connections!$A2130,games!$A$2:$A$1200,0)),""))</f>
      </c>
      <c r="U2130">
        <f>IF(connections!$A2130="","",IFERROR(INDEX(games!$B$2:$B$1200,MATCH(connections!$B2130,games!$A$2:$A$1200,0)),""))</f>
      </c>
      <c r="V2130">
        <f>IF(OR($T2130="",$U2130=""),"",$U2130-$T2130)</f>
      </c>
    </row>
    <row r="2131">
      <c r="T2131" t="str">
        <f>IF(connections!$A2131="","",IFERROR(INDEX(games!$B$2:$B$1200,MATCH(connections!$A2131,games!$A$2:$A$1200,0)),""))</f>
      </c>
      <c r="U2131">
        <f>IF(connections!$A2131="","",IFERROR(INDEX(games!$B$2:$B$1200,MATCH(connections!$B2131,games!$A$2:$A$1200,0)),""))</f>
      </c>
      <c r="V2131">
        <f>IF(OR($T2131="",$U2131=""),"",$U2131-$T2131)</f>
      </c>
    </row>
    <row r="2132">
      <c r="T2132" t="str">
        <f>IF(connections!$A2132="","",IFERROR(INDEX(games!$B$2:$B$1200,MATCH(connections!$A2132,games!$A$2:$A$1200,0)),""))</f>
      </c>
      <c r="U2132">
        <f>IF(connections!$A2132="","",IFERROR(INDEX(games!$B$2:$B$1200,MATCH(connections!$B2132,games!$A$2:$A$1200,0)),""))</f>
      </c>
      <c r="V2132">
        <f>IF(OR($T2132="",$U2132=""),"",$U2132-$T2132)</f>
      </c>
    </row>
    <row r="2133">
      <c r="T2133" t="str">
        <f>IF(connections!$A2133="","",IFERROR(INDEX(games!$B$2:$B$1200,MATCH(connections!$A2133,games!$A$2:$A$1200,0)),""))</f>
      </c>
      <c r="U2133">
        <f>IF(connections!$A2133="","",IFERROR(INDEX(games!$B$2:$B$1200,MATCH(connections!$B2133,games!$A$2:$A$1200,0)),""))</f>
      </c>
      <c r="V2133">
        <f>IF(OR($T2133="",$U2133=""),"",$U2133-$T2133)</f>
      </c>
    </row>
    <row r="2134">
      <c r="T2134" t="str">
        <f>IF(connections!$A2134="","",IFERROR(INDEX(games!$B$2:$B$1200,MATCH(connections!$A2134,games!$A$2:$A$1200,0)),""))</f>
      </c>
      <c r="U2134">
        <f>IF(connections!$A2134="","",IFERROR(INDEX(games!$B$2:$B$1200,MATCH(connections!$B2134,games!$A$2:$A$1200,0)),""))</f>
      </c>
      <c r="V2134">
        <f>IF(OR($T2134="",$U2134=""),"",$U2134-$T2134)</f>
      </c>
    </row>
    <row r="2135">
      <c r="T2135" t="str">
        <f>IF(connections!$A2135="","",IFERROR(INDEX(games!$B$2:$B$1200,MATCH(connections!$A2135,games!$A$2:$A$1200,0)),""))</f>
      </c>
      <c r="U2135">
        <f>IF(connections!$A2135="","",IFERROR(INDEX(games!$B$2:$B$1200,MATCH(connections!$B2135,games!$A$2:$A$1200,0)),""))</f>
      </c>
      <c r="V2135">
        <f>IF(OR($T2135="",$U2135=""),"",$U2135-$T2135)</f>
      </c>
    </row>
    <row r="2136">
      <c r="T2136" t="str">
        <f>IF(connections!$A2136="","",IFERROR(INDEX(games!$B$2:$B$1200,MATCH(connections!$A2136,games!$A$2:$A$1200,0)),""))</f>
      </c>
      <c r="U2136">
        <f>IF(connections!$A2136="","",IFERROR(INDEX(games!$B$2:$B$1200,MATCH(connections!$B2136,games!$A$2:$A$1200,0)),""))</f>
      </c>
      <c r="V2136">
        <f>IF(OR($T2136="",$U2136=""),"",$U2136-$T2136)</f>
      </c>
    </row>
    <row r="2137">
      <c r="T2137" t="str">
        <f>IF(connections!$A2137="","",IFERROR(INDEX(games!$B$2:$B$1200,MATCH(connections!$A2137,games!$A$2:$A$1200,0)),""))</f>
      </c>
      <c r="U2137">
        <f>IF(connections!$A2137="","",IFERROR(INDEX(games!$B$2:$B$1200,MATCH(connections!$B2137,games!$A$2:$A$1200,0)),""))</f>
      </c>
      <c r="V2137">
        <f>IF(OR($T2137="",$U2137=""),"",$U2137-$T2137)</f>
      </c>
    </row>
    <row r="2138">
      <c r="T2138" t="str">
        <f>IF(connections!$A2138="","",IFERROR(INDEX(games!$B$2:$B$1200,MATCH(connections!$A2138,games!$A$2:$A$1200,0)),""))</f>
      </c>
      <c r="U2138">
        <f>IF(connections!$A2138="","",IFERROR(INDEX(games!$B$2:$B$1200,MATCH(connections!$B2138,games!$A$2:$A$1200,0)),""))</f>
      </c>
      <c r="V2138">
        <f>IF(OR($T2138="",$U2138=""),"",$U2138-$T2138)</f>
      </c>
    </row>
    <row r="2139">
      <c r="T2139" t="str">
        <f>IF(connections!$A2139="","",IFERROR(INDEX(games!$B$2:$B$1200,MATCH(connections!$A2139,games!$A$2:$A$1200,0)),""))</f>
      </c>
      <c r="U2139">
        <f>IF(connections!$A2139="","",IFERROR(INDEX(games!$B$2:$B$1200,MATCH(connections!$B2139,games!$A$2:$A$1200,0)),""))</f>
      </c>
      <c r="V2139">
        <f>IF(OR($T2139="",$U2139=""),"",$U2139-$T2139)</f>
      </c>
    </row>
    <row r="2140">
      <c r="T2140" t="str">
        <f>IF(connections!$A2140="","",IFERROR(INDEX(games!$B$2:$B$1200,MATCH(connections!$A2140,games!$A$2:$A$1200,0)),""))</f>
      </c>
      <c r="U2140">
        <f>IF(connections!$A2140="","",IFERROR(INDEX(games!$B$2:$B$1200,MATCH(connections!$B2140,games!$A$2:$A$1200,0)),""))</f>
      </c>
      <c r="V2140">
        <f>IF(OR($T2140="",$U2140=""),"",$U2140-$T2140)</f>
      </c>
    </row>
    <row r="2141">
      <c r="T2141" t="str">
        <f>IF(connections!$A2141="","",IFERROR(INDEX(games!$B$2:$B$1200,MATCH(connections!$A2141,games!$A$2:$A$1200,0)),""))</f>
      </c>
      <c r="U2141">
        <f>IF(connections!$A2141="","",IFERROR(INDEX(games!$B$2:$B$1200,MATCH(connections!$B2141,games!$A$2:$A$1200,0)),""))</f>
      </c>
      <c r="V2141">
        <f>IF(OR($T2141="",$U2141=""),"",$U2141-$T2141)</f>
      </c>
    </row>
    <row r="2142">
      <c r="T2142" t="str">
        <f>IF(connections!$A2142="","",IFERROR(INDEX(games!$B$2:$B$1200,MATCH(connections!$A2142,games!$A$2:$A$1200,0)),""))</f>
      </c>
      <c r="U2142">
        <f>IF(connections!$A2142="","",IFERROR(INDEX(games!$B$2:$B$1200,MATCH(connections!$B2142,games!$A$2:$A$1200,0)),""))</f>
      </c>
      <c r="V2142">
        <f>IF(OR($T2142="",$U2142=""),"",$U2142-$T2142)</f>
      </c>
    </row>
    <row r="2143">
      <c r="T2143" t="str">
        <f>IF(connections!$A2143="","",IFERROR(INDEX(games!$B$2:$B$1200,MATCH(connections!$A2143,games!$A$2:$A$1200,0)),""))</f>
      </c>
      <c r="U2143">
        <f>IF(connections!$A2143="","",IFERROR(INDEX(games!$B$2:$B$1200,MATCH(connections!$B2143,games!$A$2:$A$1200,0)),""))</f>
      </c>
      <c r="V2143">
        <f>IF(OR($T2143="",$U2143=""),"",$U2143-$T2143)</f>
      </c>
    </row>
    <row r="2144">
      <c r="T2144" t="str">
        <f>IF(connections!$A2144="","",IFERROR(INDEX(games!$B$2:$B$1200,MATCH(connections!$A2144,games!$A$2:$A$1200,0)),""))</f>
      </c>
      <c r="U2144">
        <f>IF(connections!$A2144="","",IFERROR(INDEX(games!$B$2:$B$1200,MATCH(connections!$B2144,games!$A$2:$A$1200,0)),""))</f>
      </c>
      <c r="V2144">
        <f>IF(OR($T2144="",$U2144=""),"",$U2144-$T2144)</f>
      </c>
    </row>
    <row r="2145">
      <c r="T2145" t="str">
        <f>IF(connections!$A2145="","",IFERROR(INDEX(games!$B$2:$B$1200,MATCH(connections!$A2145,games!$A$2:$A$1200,0)),""))</f>
      </c>
      <c r="U2145">
        <f>IF(connections!$A2145="","",IFERROR(INDEX(games!$B$2:$B$1200,MATCH(connections!$B2145,games!$A$2:$A$1200,0)),""))</f>
      </c>
      <c r="V2145">
        <f>IF(OR($T2145="",$U2145=""),"",$U2145-$T2145)</f>
      </c>
    </row>
    <row r="2146">
      <c r="T2146" t="str">
        <f>IF(connections!$A2146="","",IFERROR(INDEX(games!$B$2:$B$1200,MATCH(connections!$A2146,games!$A$2:$A$1200,0)),""))</f>
      </c>
      <c r="U2146">
        <f>IF(connections!$A2146="","",IFERROR(INDEX(games!$B$2:$B$1200,MATCH(connections!$B2146,games!$A$2:$A$1200,0)),""))</f>
      </c>
      <c r="V2146">
        <f>IF(OR($T2146="",$U2146=""),"",$U2146-$T2146)</f>
      </c>
    </row>
    <row r="2147">
      <c r="T2147" t="str">
        <f>IF(connections!$A2147="","",IFERROR(INDEX(games!$B$2:$B$1200,MATCH(connections!$A2147,games!$A$2:$A$1200,0)),""))</f>
      </c>
      <c r="U2147">
        <f>IF(connections!$A2147="","",IFERROR(INDEX(games!$B$2:$B$1200,MATCH(connections!$B2147,games!$A$2:$A$1200,0)),""))</f>
      </c>
      <c r="V2147">
        <f>IF(OR($T2147="",$U2147=""),"",$U2147-$T2147)</f>
      </c>
    </row>
    <row r="2148">
      <c r="T2148" t="str">
        <f>IF(connections!$A2148="","",IFERROR(INDEX(games!$B$2:$B$1200,MATCH(connections!$A2148,games!$A$2:$A$1200,0)),""))</f>
      </c>
      <c r="U2148">
        <f>IF(connections!$A2148="","",IFERROR(INDEX(games!$B$2:$B$1200,MATCH(connections!$B2148,games!$A$2:$A$1200,0)),""))</f>
      </c>
      <c r="V2148">
        <f>IF(OR($T2148="",$U2148=""),"",$U2148-$T2148)</f>
      </c>
    </row>
    <row r="2149">
      <c r="T2149" t="str">
        <f>IF(connections!$A2149="","",IFERROR(INDEX(games!$B$2:$B$1200,MATCH(connections!$A2149,games!$A$2:$A$1200,0)),""))</f>
      </c>
      <c r="U2149">
        <f>IF(connections!$A2149="","",IFERROR(INDEX(games!$B$2:$B$1200,MATCH(connections!$B2149,games!$A$2:$A$1200,0)),""))</f>
      </c>
      <c r="V2149">
        <f>IF(OR($T2149="",$U2149=""),"",$U2149-$T2149)</f>
      </c>
    </row>
    <row r="2150">
      <c r="T2150" t="str">
        <f>IF(connections!$A2150="","",IFERROR(INDEX(games!$B$2:$B$1200,MATCH(connections!$A2150,games!$A$2:$A$1200,0)),""))</f>
      </c>
      <c r="U2150">
        <f>IF(connections!$A2150="","",IFERROR(INDEX(games!$B$2:$B$1200,MATCH(connections!$B2150,games!$A$2:$A$1200,0)),""))</f>
      </c>
      <c r="V2150">
        <f>IF(OR($T2150="",$U2150=""),"",$U2150-$T2150)</f>
      </c>
    </row>
    <row r="2151">
      <c r="T2151" t="str">
        <f>IF(connections!$A2151="","",IFERROR(INDEX(games!$B$2:$B$1200,MATCH(connections!$A2151,games!$A$2:$A$1200,0)),""))</f>
      </c>
      <c r="U2151">
        <f>IF(connections!$A2151="","",IFERROR(INDEX(games!$B$2:$B$1200,MATCH(connections!$B2151,games!$A$2:$A$1200,0)),""))</f>
      </c>
      <c r="V2151">
        <f>IF(OR($T2151="",$U2151=""),"",$U2151-$T2151)</f>
      </c>
    </row>
    <row r="2152">
      <c r="T2152" t="str">
        <f>IF(connections!$A2152="","",IFERROR(INDEX(games!$B$2:$B$1200,MATCH(connections!$A2152,games!$A$2:$A$1200,0)),""))</f>
      </c>
      <c r="U2152">
        <f>IF(connections!$A2152="","",IFERROR(INDEX(games!$B$2:$B$1200,MATCH(connections!$B2152,games!$A$2:$A$1200,0)),""))</f>
      </c>
      <c r="V2152">
        <f>IF(OR($T2152="",$U2152=""),"",$U2152-$T2152)</f>
      </c>
    </row>
    <row r="2153">
      <c r="T2153" t="str">
        <f>IF(connections!$A2153="","",IFERROR(INDEX(games!$B$2:$B$1200,MATCH(connections!$A2153,games!$A$2:$A$1200,0)),""))</f>
      </c>
      <c r="U2153">
        <f>IF(connections!$A2153="","",IFERROR(INDEX(games!$B$2:$B$1200,MATCH(connections!$B2153,games!$A$2:$A$1200,0)),""))</f>
      </c>
      <c r="V2153">
        <f>IF(OR($T2153="",$U2153=""),"",$U2153-$T2153)</f>
      </c>
    </row>
    <row r="2154">
      <c r="T2154" t="str">
        <f>IF(connections!$A2154="","",IFERROR(INDEX(games!$B$2:$B$1200,MATCH(connections!$A2154,games!$A$2:$A$1200,0)),""))</f>
      </c>
      <c r="U2154">
        <f>IF(connections!$A2154="","",IFERROR(INDEX(games!$B$2:$B$1200,MATCH(connections!$B2154,games!$A$2:$A$1200,0)),""))</f>
      </c>
      <c r="V2154">
        <f>IF(OR($T2154="",$U2154=""),"",$U2154-$T2154)</f>
      </c>
    </row>
    <row r="2155">
      <c r="T2155" t="str">
        <f>IF(connections!$A2155="","",IFERROR(INDEX(games!$B$2:$B$1200,MATCH(connections!$A2155,games!$A$2:$A$1200,0)),""))</f>
      </c>
      <c r="U2155">
        <f>IF(connections!$A2155="","",IFERROR(INDEX(games!$B$2:$B$1200,MATCH(connections!$B2155,games!$A$2:$A$1200,0)),""))</f>
      </c>
      <c r="V2155">
        <f>IF(OR($T2155="",$U2155=""),"",$U2155-$T2155)</f>
      </c>
    </row>
    <row r="2156">
      <c r="T2156" t="str">
        <f>IF(connections!$A2156="","",IFERROR(INDEX(games!$B$2:$B$1200,MATCH(connections!$A2156,games!$A$2:$A$1200,0)),""))</f>
      </c>
      <c r="U2156">
        <f>IF(connections!$A2156="","",IFERROR(INDEX(games!$B$2:$B$1200,MATCH(connections!$B2156,games!$A$2:$A$1200,0)),""))</f>
      </c>
      <c r="V2156">
        <f>IF(OR($T2156="",$U2156=""),"",$U2156-$T2156)</f>
      </c>
    </row>
    <row r="2157">
      <c r="T2157" t="str">
        <f>IF(connections!$A2157="","",IFERROR(INDEX(games!$B$2:$B$1200,MATCH(connections!$A2157,games!$A$2:$A$1200,0)),""))</f>
      </c>
      <c r="U2157">
        <f>IF(connections!$A2157="","",IFERROR(INDEX(games!$B$2:$B$1200,MATCH(connections!$B2157,games!$A$2:$A$1200,0)),""))</f>
      </c>
      <c r="V2157">
        <f>IF(OR($T2157="",$U2157=""),"",$U2157-$T2157)</f>
      </c>
    </row>
    <row r="2158">
      <c r="T2158" t="str">
        <f>IF(connections!$A2158="","",IFERROR(INDEX(games!$B$2:$B$1200,MATCH(connections!$A2158,games!$A$2:$A$1200,0)),""))</f>
      </c>
      <c r="U2158">
        <f>IF(connections!$A2158="","",IFERROR(INDEX(games!$B$2:$B$1200,MATCH(connections!$B2158,games!$A$2:$A$1200,0)),""))</f>
      </c>
      <c r="V2158">
        <f>IF(OR($T2158="",$U2158=""),"",$U2158-$T2158)</f>
      </c>
    </row>
    <row r="2159">
      <c r="T2159" t="str">
        <f>IF(connections!$A2159="","",IFERROR(INDEX(games!$B$2:$B$1200,MATCH(connections!$A2159,games!$A$2:$A$1200,0)),""))</f>
      </c>
      <c r="U2159">
        <f>IF(connections!$A2159="","",IFERROR(INDEX(games!$B$2:$B$1200,MATCH(connections!$B2159,games!$A$2:$A$1200,0)),""))</f>
      </c>
      <c r="V2159">
        <f>IF(OR($T2159="",$U2159=""),"",$U2159-$T2159)</f>
      </c>
    </row>
    <row r="2160">
      <c r="T2160" t="str">
        <f>IF(connections!$A2160="","",IFERROR(INDEX(games!$B$2:$B$1200,MATCH(connections!$A2160,games!$A$2:$A$1200,0)),""))</f>
      </c>
      <c r="U2160">
        <f>IF(connections!$A2160="","",IFERROR(INDEX(games!$B$2:$B$1200,MATCH(connections!$B2160,games!$A$2:$A$1200,0)),""))</f>
      </c>
      <c r="V2160">
        <f>IF(OR($T2160="",$U2160=""),"",$U2160-$T2160)</f>
      </c>
    </row>
    <row r="2161">
      <c r="T2161" t="str">
        <f>IF(connections!$A2161="","",IFERROR(INDEX(games!$B$2:$B$1200,MATCH(connections!$A2161,games!$A$2:$A$1200,0)),""))</f>
      </c>
      <c r="U2161">
        <f>IF(connections!$A2161="","",IFERROR(INDEX(games!$B$2:$B$1200,MATCH(connections!$B2161,games!$A$2:$A$1200,0)),""))</f>
      </c>
      <c r="V2161">
        <f>IF(OR($T2161="",$U2161=""),"",$U2161-$T2161)</f>
      </c>
    </row>
    <row r="2162">
      <c r="T2162" t="str">
        <f>IF(connections!$A2162="","",IFERROR(INDEX(games!$B$2:$B$1200,MATCH(connections!$A2162,games!$A$2:$A$1200,0)),""))</f>
      </c>
      <c r="U2162">
        <f>IF(connections!$A2162="","",IFERROR(INDEX(games!$B$2:$B$1200,MATCH(connections!$B2162,games!$A$2:$A$1200,0)),""))</f>
      </c>
      <c r="V2162">
        <f>IF(OR($T2162="",$U2162=""),"",$U2162-$T2162)</f>
      </c>
    </row>
    <row r="2163">
      <c r="T2163" t="str">
        <f>IF(connections!$A2163="","",IFERROR(INDEX(games!$B$2:$B$1200,MATCH(connections!$A2163,games!$A$2:$A$1200,0)),""))</f>
      </c>
      <c r="U2163">
        <f>IF(connections!$A2163="","",IFERROR(INDEX(games!$B$2:$B$1200,MATCH(connections!$B2163,games!$A$2:$A$1200,0)),""))</f>
      </c>
      <c r="V2163">
        <f>IF(OR($T2163="",$U2163=""),"",$U2163-$T2163)</f>
      </c>
    </row>
    <row r="2164">
      <c r="T2164" t="str">
        <f>IF(connections!$A2164="","",IFERROR(INDEX(games!$B$2:$B$1200,MATCH(connections!$A2164,games!$A$2:$A$1200,0)),""))</f>
      </c>
      <c r="U2164">
        <f>IF(connections!$A2164="","",IFERROR(INDEX(games!$B$2:$B$1200,MATCH(connections!$B2164,games!$A$2:$A$1200,0)),""))</f>
      </c>
      <c r="V2164">
        <f>IF(OR($T2164="",$U2164=""),"",$U2164-$T2164)</f>
      </c>
    </row>
    <row r="2165">
      <c r="T2165" t="str">
        <f>IF(connections!$A2165="","",IFERROR(INDEX(games!$B$2:$B$1200,MATCH(connections!$A2165,games!$A$2:$A$1200,0)),""))</f>
      </c>
      <c r="U2165">
        <f>IF(connections!$A2165="","",IFERROR(INDEX(games!$B$2:$B$1200,MATCH(connections!$B2165,games!$A$2:$A$1200,0)),""))</f>
      </c>
      <c r="V2165">
        <f>IF(OR($T2165="",$U2165=""),"",$U2165-$T2165)</f>
      </c>
    </row>
    <row r="2166">
      <c r="T2166" t="str">
        <f>IF(connections!$A2166="","",IFERROR(INDEX(games!$B$2:$B$1200,MATCH(connections!$A2166,games!$A$2:$A$1200,0)),""))</f>
      </c>
      <c r="U2166">
        <f>IF(connections!$A2166="","",IFERROR(INDEX(games!$B$2:$B$1200,MATCH(connections!$B2166,games!$A$2:$A$1200,0)),""))</f>
      </c>
      <c r="V2166">
        <f>IF(OR($T2166="",$U2166=""),"",$U2166-$T2166)</f>
      </c>
    </row>
    <row r="2167">
      <c r="T2167" t="str">
        <f>IF(connections!$A2167="","",IFERROR(INDEX(games!$B$2:$B$1200,MATCH(connections!$A2167,games!$A$2:$A$1200,0)),""))</f>
      </c>
      <c r="U2167">
        <f>IF(connections!$A2167="","",IFERROR(INDEX(games!$B$2:$B$1200,MATCH(connections!$B2167,games!$A$2:$A$1200,0)),""))</f>
      </c>
      <c r="V2167">
        <f>IF(OR($T2167="",$U2167=""),"",$U2167-$T2167)</f>
      </c>
    </row>
    <row r="2168">
      <c r="T2168" t="str">
        <f>IF(connections!$A2168="","",IFERROR(INDEX(games!$B$2:$B$1200,MATCH(connections!$A2168,games!$A$2:$A$1200,0)),""))</f>
      </c>
      <c r="U2168">
        <f>IF(connections!$A2168="","",IFERROR(INDEX(games!$B$2:$B$1200,MATCH(connections!$B2168,games!$A$2:$A$1200,0)),""))</f>
      </c>
      <c r="V2168">
        <f>IF(OR($T2168="",$U2168=""),"",$U2168-$T2168)</f>
      </c>
    </row>
    <row r="2169">
      <c r="T2169" t="str">
        <f>IF(connections!$A2169="","",IFERROR(INDEX(games!$B$2:$B$1200,MATCH(connections!$A2169,games!$A$2:$A$1200,0)),""))</f>
      </c>
      <c r="U2169">
        <f>IF(connections!$A2169="","",IFERROR(INDEX(games!$B$2:$B$1200,MATCH(connections!$B2169,games!$A$2:$A$1200,0)),""))</f>
      </c>
      <c r="V2169">
        <f>IF(OR($T2169="",$U2169=""),"",$U2169-$T2169)</f>
      </c>
    </row>
    <row r="2170">
      <c r="T2170" t="str">
        <f>IF(connections!$A2170="","",IFERROR(INDEX(games!$B$2:$B$1200,MATCH(connections!$A2170,games!$A$2:$A$1200,0)),""))</f>
      </c>
      <c r="U2170">
        <f>IF(connections!$A2170="","",IFERROR(INDEX(games!$B$2:$B$1200,MATCH(connections!$B2170,games!$A$2:$A$1200,0)),""))</f>
      </c>
      <c r="V2170">
        <f>IF(OR($T2170="",$U2170=""),"",$U2170-$T2170)</f>
      </c>
    </row>
    <row r="2171">
      <c r="T2171" t="str">
        <f>IF(connections!$A2171="","",IFERROR(INDEX(games!$B$2:$B$1200,MATCH(connections!$A2171,games!$A$2:$A$1200,0)),""))</f>
      </c>
      <c r="U2171">
        <f>IF(connections!$A2171="","",IFERROR(INDEX(games!$B$2:$B$1200,MATCH(connections!$B2171,games!$A$2:$A$1200,0)),""))</f>
      </c>
      <c r="V2171">
        <f>IF(OR($T2171="",$U2171=""),"",$U2171-$T2171)</f>
      </c>
    </row>
    <row r="2172">
      <c r="T2172" t="str">
        <f>IF(connections!$A2172="","",IFERROR(INDEX(games!$B$2:$B$1200,MATCH(connections!$A2172,games!$A$2:$A$1200,0)),""))</f>
      </c>
      <c r="U2172">
        <f>IF(connections!$A2172="","",IFERROR(INDEX(games!$B$2:$B$1200,MATCH(connections!$B2172,games!$A$2:$A$1200,0)),""))</f>
      </c>
      <c r="V2172">
        <f>IF(OR($T2172="",$U2172=""),"",$U2172-$T2172)</f>
      </c>
    </row>
    <row r="2173">
      <c r="T2173" t="str">
        <f>IF(connections!$A2173="","",IFERROR(INDEX(games!$B$2:$B$1200,MATCH(connections!$A2173,games!$A$2:$A$1200,0)),""))</f>
      </c>
      <c r="U2173">
        <f>IF(connections!$A2173="","",IFERROR(INDEX(games!$B$2:$B$1200,MATCH(connections!$B2173,games!$A$2:$A$1200,0)),""))</f>
      </c>
      <c r="V2173">
        <f>IF(OR($T2173="",$U2173=""),"",$U2173-$T2173)</f>
      </c>
    </row>
    <row r="2174">
      <c r="T2174" t="str">
        <f>IF(connections!$A2174="","",IFERROR(INDEX(games!$B$2:$B$1200,MATCH(connections!$A2174,games!$A$2:$A$1200,0)),""))</f>
      </c>
      <c r="U2174">
        <f>IF(connections!$A2174="","",IFERROR(INDEX(games!$B$2:$B$1200,MATCH(connections!$B2174,games!$A$2:$A$1200,0)),""))</f>
      </c>
      <c r="V2174">
        <f>IF(OR($T2174="",$U2174=""),"",$U2174-$T2174)</f>
      </c>
    </row>
    <row r="2175">
      <c r="T2175" t="str">
        <f>IF(connections!$A2175="","",IFERROR(INDEX(games!$B$2:$B$1200,MATCH(connections!$A2175,games!$A$2:$A$1200,0)),""))</f>
      </c>
      <c r="U2175">
        <f>IF(connections!$A2175="","",IFERROR(INDEX(games!$B$2:$B$1200,MATCH(connections!$B2175,games!$A$2:$A$1200,0)),""))</f>
      </c>
      <c r="V2175">
        <f>IF(OR($T2175="",$U2175=""),"",$U2175-$T2175)</f>
      </c>
    </row>
    <row r="2176">
      <c r="T2176" t="str">
        <f>IF(connections!$A2176="","",IFERROR(INDEX(games!$B$2:$B$1200,MATCH(connections!$A2176,games!$A$2:$A$1200,0)),""))</f>
      </c>
      <c r="U2176">
        <f>IF(connections!$A2176="","",IFERROR(INDEX(games!$B$2:$B$1200,MATCH(connections!$B2176,games!$A$2:$A$1200,0)),""))</f>
      </c>
      <c r="V2176">
        <f>IF(OR($T2176="",$U2176=""),"",$U2176-$T2176)</f>
      </c>
    </row>
    <row r="2177">
      <c r="T2177" t="str">
        <f>IF(connections!$A2177="","",IFERROR(INDEX(games!$B$2:$B$1200,MATCH(connections!$A2177,games!$A$2:$A$1200,0)),""))</f>
      </c>
      <c r="U2177">
        <f>IF(connections!$A2177="","",IFERROR(INDEX(games!$B$2:$B$1200,MATCH(connections!$B2177,games!$A$2:$A$1200,0)),""))</f>
      </c>
      <c r="V2177">
        <f>IF(OR($T2177="",$U2177=""),"",$U2177-$T2177)</f>
      </c>
    </row>
    <row r="2178">
      <c r="T2178" t="str">
        <f>IF(connections!$A2178="","",IFERROR(INDEX(games!$B$2:$B$1200,MATCH(connections!$A2178,games!$A$2:$A$1200,0)),""))</f>
      </c>
      <c r="U2178">
        <f>IF(connections!$A2178="","",IFERROR(INDEX(games!$B$2:$B$1200,MATCH(connections!$B2178,games!$A$2:$A$1200,0)),""))</f>
      </c>
      <c r="V2178">
        <f>IF(OR($T2178="",$U2178=""),"",$U2178-$T2178)</f>
      </c>
    </row>
    <row r="2179">
      <c r="T2179" t="str">
        <f>IF(connections!$A2179="","",IFERROR(INDEX(games!$B$2:$B$1200,MATCH(connections!$A2179,games!$A$2:$A$1200,0)),""))</f>
      </c>
      <c r="U2179">
        <f>IF(connections!$A2179="","",IFERROR(INDEX(games!$B$2:$B$1200,MATCH(connections!$B2179,games!$A$2:$A$1200,0)),""))</f>
      </c>
      <c r="V2179">
        <f>IF(OR($T2179="",$U2179=""),"",$U2179-$T2179)</f>
      </c>
    </row>
    <row r="2180">
      <c r="T2180" t="str">
        <f>IF(connections!$A2180="","",IFERROR(INDEX(games!$B$2:$B$1200,MATCH(connections!$A2180,games!$A$2:$A$1200,0)),""))</f>
      </c>
      <c r="U2180">
        <f>IF(connections!$A2180="","",IFERROR(INDEX(games!$B$2:$B$1200,MATCH(connections!$B2180,games!$A$2:$A$1200,0)),""))</f>
      </c>
      <c r="V2180">
        <f>IF(OR($T2180="",$U2180=""),"",$U2180-$T2180)</f>
      </c>
    </row>
    <row r="2181">
      <c r="T2181" t="str">
        <f>IF(connections!$A2181="","",IFERROR(INDEX(games!$B$2:$B$1200,MATCH(connections!$A2181,games!$A$2:$A$1200,0)),""))</f>
      </c>
      <c r="U2181">
        <f>IF(connections!$A2181="","",IFERROR(INDEX(games!$B$2:$B$1200,MATCH(connections!$B2181,games!$A$2:$A$1200,0)),""))</f>
      </c>
      <c r="V2181">
        <f>IF(OR($T2181="",$U2181=""),"",$U2181-$T2181)</f>
      </c>
    </row>
    <row r="2182">
      <c r="T2182" t="str">
        <f>IF(connections!$A2182="","",IFERROR(INDEX(games!$B$2:$B$1200,MATCH(connections!$A2182,games!$A$2:$A$1200,0)),""))</f>
      </c>
      <c r="U2182">
        <f>IF(connections!$A2182="","",IFERROR(INDEX(games!$B$2:$B$1200,MATCH(connections!$B2182,games!$A$2:$A$1200,0)),""))</f>
      </c>
      <c r="V2182">
        <f>IF(OR($T2182="",$U2182=""),"",$U2182-$T2182)</f>
      </c>
    </row>
    <row r="2183">
      <c r="T2183" t="str">
        <f>IF(connections!$A2183="","",IFERROR(INDEX(games!$B$2:$B$1200,MATCH(connections!$A2183,games!$A$2:$A$1200,0)),""))</f>
      </c>
      <c r="U2183">
        <f>IF(connections!$A2183="","",IFERROR(INDEX(games!$B$2:$B$1200,MATCH(connections!$B2183,games!$A$2:$A$1200,0)),""))</f>
      </c>
      <c r="V2183">
        <f>IF(OR($T2183="",$U2183=""),"",$U2183-$T2183)</f>
      </c>
    </row>
    <row r="2184">
      <c r="T2184" t="str">
        <f>IF(connections!$A2184="","",IFERROR(INDEX(games!$B$2:$B$1200,MATCH(connections!$A2184,games!$A$2:$A$1200,0)),""))</f>
      </c>
      <c r="U2184">
        <f>IF(connections!$A2184="","",IFERROR(INDEX(games!$B$2:$B$1200,MATCH(connections!$B2184,games!$A$2:$A$1200,0)),""))</f>
      </c>
      <c r="V2184">
        <f>IF(OR($T2184="",$U2184=""),"",$U2184-$T2184)</f>
      </c>
    </row>
    <row r="2185">
      <c r="T2185" t="str">
        <f>IF(connections!$A2185="","",IFERROR(INDEX(games!$B$2:$B$1200,MATCH(connections!$A2185,games!$A$2:$A$1200,0)),""))</f>
      </c>
      <c r="U2185">
        <f>IF(connections!$A2185="","",IFERROR(INDEX(games!$B$2:$B$1200,MATCH(connections!$B2185,games!$A$2:$A$1200,0)),""))</f>
      </c>
      <c r="V2185">
        <f>IF(OR($T2185="",$U2185=""),"",$U2185-$T2185)</f>
      </c>
    </row>
    <row r="2186">
      <c r="T2186" t="str">
        <f>IF(connections!$A2186="","",IFERROR(INDEX(games!$B$2:$B$1200,MATCH(connections!$A2186,games!$A$2:$A$1200,0)),""))</f>
      </c>
      <c r="U2186">
        <f>IF(connections!$A2186="","",IFERROR(INDEX(games!$B$2:$B$1200,MATCH(connections!$B2186,games!$A$2:$A$1200,0)),""))</f>
      </c>
      <c r="V2186">
        <f>IF(OR($T2186="",$U2186=""),"",$U2186-$T2186)</f>
      </c>
    </row>
    <row r="2187">
      <c r="T2187" t="str">
        <f>IF(connections!$A2187="","",IFERROR(INDEX(games!$B$2:$B$1200,MATCH(connections!$A2187,games!$A$2:$A$1200,0)),""))</f>
      </c>
      <c r="U2187">
        <f>IF(connections!$A2187="","",IFERROR(INDEX(games!$B$2:$B$1200,MATCH(connections!$B2187,games!$A$2:$A$1200,0)),""))</f>
      </c>
      <c r="V2187">
        <f>IF(OR($T2187="",$U2187=""),"",$U2187-$T2187)</f>
      </c>
    </row>
    <row r="2188">
      <c r="T2188" t="str">
        <f>IF(connections!$A2188="","",IFERROR(INDEX(games!$B$2:$B$1200,MATCH(connections!$A2188,games!$A$2:$A$1200,0)),""))</f>
      </c>
      <c r="U2188">
        <f>IF(connections!$A2188="","",IFERROR(INDEX(games!$B$2:$B$1200,MATCH(connections!$B2188,games!$A$2:$A$1200,0)),""))</f>
      </c>
      <c r="V2188">
        <f>IF(OR($T2188="",$U2188=""),"",$U2188-$T2188)</f>
      </c>
    </row>
    <row r="2189">
      <c r="T2189" t="str">
        <f>IF(connections!$A2189="","",IFERROR(INDEX(games!$B$2:$B$1200,MATCH(connections!$A2189,games!$A$2:$A$1200,0)),""))</f>
      </c>
      <c r="U2189">
        <f>IF(connections!$A2189="","",IFERROR(INDEX(games!$B$2:$B$1200,MATCH(connections!$B2189,games!$A$2:$A$1200,0)),""))</f>
      </c>
      <c r="V2189">
        <f>IF(OR($T2189="",$U2189=""),"",$U2189-$T2189)</f>
      </c>
    </row>
    <row r="2190">
      <c r="T2190" t="str">
        <f>IF(connections!$A2190="","",IFERROR(INDEX(games!$B$2:$B$1200,MATCH(connections!$A2190,games!$A$2:$A$1200,0)),""))</f>
      </c>
      <c r="U2190">
        <f>IF(connections!$A2190="","",IFERROR(INDEX(games!$B$2:$B$1200,MATCH(connections!$B2190,games!$A$2:$A$1200,0)),""))</f>
      </c>
      <c r="V2190">
        <f>IF(OR($T2190="",$U2190=""),"",$U2190-$T2190)</f>
      </c>
    </row>
    <row r="2191">
      <c r="T2191" t="str">
        <f>IF(connections!$A2191="","",IFERROR(INDEX(games!$B$2:$B$1200,MATCH(connections!$A2191,games!$A$2:$A$1200,0)),""))</f>
      </c>
      <c r="U2191">
        <f>IF(connections!$A2191="","",IFERROR(INDEX(games!$B$2:$B$1200,MATCH(connections!$B2191,games!$A$2:$A$1200,0)),""))</f>
      </c>
      <c r="V2191">
        <f>IF(OR($T2191="",$U2191=""),"",$U2191-$T2191)</f>
      </c>
    </row>
    <row r="2192">
      <c r="T2192" t="str">
        <f>IF(connections!$A2192="","",IFERROR(INDEX(games!$B$2:$B$1200,MATCH(connections!$A2192,games!$A$2:$A$1200,0)),""))</f>
      </c>
      <c r="U2192">
        <f>IF(connections!$A2192="","",IFERROR(INDEX(games!$B$2:$B$1200,MATCH(connections!$B2192,games!$A$2:$A$1200,0)),""))</f>
      </c>
      <c r="V2192">
        <f>IF(OR($T2192="",$U2192=""),"",$U2192-$T2192)</f>
      </c>
    </row>
    <row r="2193">
      <c r="T2193" t="str">
        <f>IF(connections!$A2193="","",IFERROR(INDEX(games!$B$2:$B$1200,MATCH(connections!$A2193,games!$A$2:$A$1200,0)),""))</f>
      </c>
      <c r="U2193">
        <f>IF(connections!$A2193="","",IFERROR(INDEX(games!$B$2:$B$1200,MATCH(connections!$B2193,games!$A$2:$A$1200,0)),""))</f>
      </c>
      <c r="V2193">
        <f>IF(OR($T2193="",$U2193=""),"",$U2193-$T2193)</f>
      </c>
    </row>
    <row r="2194">
      <c r="T2194" t="str">
        <f>IF(connections!$A2194="","",IFERROR(INDEX(games!$B$2:$B$1200,MATCH(connections!$A2194,games!$A$2:$A$1200,0)),""))</f>
      </c>
      <c r="U2194">
        <f>IF(connections!$A2194="","",IFERROR(INDEX(games!$B$2:$B$1200,MATCH(connections!$B2194,games!$A$2:$A$1200,0)),""))</f>
      </c>
      <c r="V2194">
        <f>IF(OR($T2194="",$U2194=""),"",$U2194-$T2194)</f>
      </c>
    </row>
    <row r="2195">
      <c r="T2195" t="str">
        <f>IF(connections!$A2195="","",IFERROR(INDEX(games!$B$2:$B$1200,MATCH(connections!$A2195,games!$A$2:$A$1200,0)),""))</f>
      </c>
      <c r="U2195">
        <f>IF(connections!$A2195="","",IFERROR(INDEX(games!$B$2:$B$1200,MATCH(connections!$B2195,games!$A$2:$A$1200,0)),""))</f>
      </c>
      <c r="V2195">
        <f>IF(OR($T2195="",$U2195=""),"",$U2195-$T2195)</f>
      </c>
    </row>
    <row r="2196">
      <c r="T2196" t="str">
        <f>IF(connections!$A2196="","",IFERROR(INDEX(games!$B$2:$B$1200,MATCH(connections!$A2196,games!$A$2:$A$1200,0)),""))</f>
      </c>
      <c r="U2196">
        <f>IF(connections!$A2196="","",IFERROR(INDEX(games!$B$2:$B$1200,MATCH(connections!$B2196,games!$A$2:$A$1200,0)),""))</f>
      </c>
      <c r="V2196">
        <f>IF(OR($T2196="",$U2196=""),"",$U2196-$T2196)</f>
      </c>
    </row>
    <row r="2197">
      <c r="T2197" t="str">
        <f>IF(connections!$A2197="","",IFERROR(INDEX(games!$B$2:$B$1200,MATCH(connections!$A2197,games!$A$2:$A$1200,0)),""))</f>
      </c>
      <c r="U2197">
        <f>IF(connections!$A2197="","",IFERROR(INDEX(games!$B$2:$B$1200,MATCH(connections!$B2197,games!$A$2:$A$1200,0)),""))</f>
      </c>
      <c r="V2197">
        <f>IF(OR($T2197="",$U2197=""),"",$U2197-$T2197)</f>
      </c>
    </row>
    <row r="2198">
      <c r="T2198" t="str">
        <f>IF(connections!$A2198="","",IFERROR(INDEX(games!$B$2:$B$1200,MATCH(connections!$A2198,games!$A$2:$A$1200,0)),""))</f>
      </c>
      <c r="U2198">
        <f>IF(connections!$A2198="","",IFERROR(INDEX(games!$B$2:$B$1200,MATCH(connections!$B2198,games!$A$2:$A$1200,0)),""))</f>
      </c>
      <c r="V2198">
        <f>IF(OR($T2198="",$U2198=""),"",$U2198-$T2198)</f>
      </c>
    </row>
    <row r="2199">
      <c r="T2199" t="str">
        <f>IF(connections!$A2199="","",IFERROR(INDEX(games!$B$2:$B$1200,MATCH(connections!$A2199,games!$A$2:$A$1200,0)),""))</f>
      </c>
      <c r="U2199">
        <f>IF(connections!$A2199="","",IFERROR(INDEX(games!$B$2:$B$1200,MATCH(connections!$B2199,games!$A$2:$A$1200,0)),""))</f>
      </c>
      <c r="V2199">
        <f>IF(OR($T2199="",$U2199=""),"",$U2199-$T2199)</f>
      </c>
    </row>
    <row r="2200">
      <c r="T2200" t="str">
        <f>IF(connections!$A2200="","",IFERROR(INDEX(games!$B$2:$B$1200,MATCH(connections!$A2200,games!$A$2:$A$1200,0)),""))</f>
      </c>
      <c r="U2200">
        <f>IF(connections!$A2200="","",IFERROR(INDEX(games!$B$2:$B$1200,MATCH(connections!$B2200,games!$A$2:$A$1200,0)),""))</f>
      </c>
      <c r="V2200">
        <f>IF(OR($T2200="",$U2200=""),"",$U2200-$T2200)</f>
      </c>
    </row>
    <row r="2201">
      <c r="T2201" t="str">
        <f>IF(connections!$A2201="","",IFERROR(INDEX(games!$B$2:$B$1200,MATCH(connections!$A2201,games!$A$2:$A$1200,0)),""))</f>
      </c>
      <c r="U2201">
        <f>IF(connections!$A2201="","",IFERROR(INDEX(games!$B$2:$B$1200,MATCH(connections!$B2201,games!$A$2:$A$1200,0)),""))</f>
      </c>
      <c r="V2201">
        <f>IF(OR($T2201="",$U2201=""),"",$U2201-$T2201)</f>
      </c>
    </row>
    <row r="2202">
      <c r="T2202" t="str">
        <f>IF(connections!$A2202="","",IFERROR(INDEX(games!$B$2:$B$1200,MATCH(connections!$A2202,games!$A$2:$A$1200,0)),""))</f>
      </c>
      <c r="U2202">
        <f>IF(connections!$A2202="","",IFERROR(INDEX(games!$B$2:$B$1200,MATCH(connections!$B2202,games!$A$2:$A$1200,0)),""))</f>
      </c>
      <c r="V2202">
        <f>IF(OR($T2202="",$U2202=""),"",$U2202-$T2202)</f>
      </c>
    </row>
    <row r="2203">
      <c r="T2203" t="str">
        <f>IF(connections!$A2203="","",IFERROR(INDEX(games!$B$2:$B$1200,MATCH(connections!$A2203,games!$A$2:$A$1200,0)),""))</f>
      </c>
      <c r="U2203">
        <f>IF(connections!$A2203="","",IFERROR(INDEX(games!$B$2:$B$1200,MATCH(connections!$B2203,games!$A$2:$A$1200,0)),""))</f>
      </c>
      <c r="V2203">
        <f>IF(OR($T2203="",$U2203=""),"",$U2203-$T2203)</f>
      </c>
    </row>
    <row r="2204">
      <c r="T2204" t="str">
        <f>IF(connections!$A2204="","",IFERROR(INDEX(games!$B$2:$B$1200,MATCH(connections!$A2204,games!$A$2:$A$1200,0)),""))</f>
      </c>
      <c r="U2204">
        <f>IF(connections!$A2204="","",IFERROR(INDEX(games!$B$2:$B$1200,MATCH(connections!$B2204,games!$A$2:$A$1200,0)),""))</f>
      </c>
      <c r="V2204">
        <f>IF(OR($T2204="",$U2204=""),"",$U2204-$T2204)</f>
      </c>
    </row>
    <row r="2205">
      <c r="T2205" t="str">
        <f>IF(connections!$A2205="","",IFERROR(INDEX(games!$B$2:$B$1200,MATCH(connections!$A2205,games!$A$2:$A$1200,0)),""))</f>
      </c>
      <c r="U2205">
        <f>IF(connections!$A2205="","",IFERROR(INDEX(games!$B$2:$B$1200,MATCH(connections!$B2205,games!$A$2:$A$1200,0)),""))</f>
      </c>
      <c r="V2205">
        <f>IF(OR($T2205="",$U2205=""),"",$U2205-$T2205)</f>
      </c>
    </row>
    <row r="2206">
      <c r="T2206" t="str">
        <f>IF(connections!$A2206="","",IFERROR(INDEX(games!$B$2:$B$1200,MATCH(connections!$A2206,games!$A$2:$A$1200,0)),""))</f>
      </c>
      <c r="U2206">
        <f>IF(connections!$A2206="","",IFERROR(INDEX(games!$B$2:$B$1200,MATCH(connections!$B2206,games!$A$2:$A$1200,0)),""))</f>
      </c>
      <c r="V2206">
        <f>IF(OR($T2206="",$U2206=""),"",$U2206-$T2206)</f>
      </c>
    </row>
    <row r="2207">
      <c r="T2207" t="str">
        <f>IF(connections!$A2207="","",IFERROR(INDEX(games!$B$2:$B$1200,MATCH(connections!$A2207,games!$A$2:$A$1200,0)),""))</f>
      </c>
      <c r="U2207">
        <f>IF(connections!$A2207="","",IFERROR(INDEX(games!$B$2:$B$1200,MATCH(connections!$B2207,games!$A$2:$A$1200,0)),""))</f>
      </c>
      <c r="V2207">
        <f>IF(OR($T2207="",$U2207=""),"",$U2207-$T2207)</f>
      </c>
    </row>
    <row r="2208">
      <c r="T2208" t="str">
        <f>IF(connections!$A2208="","",IFERROR(INDEX(games!$B$2:$B$1200,MATCH(connections!$A2208,games!$A$2:$A$1200,0)),""))</f>
      </c>
      <c r="U2208">
        <f>IF(connections!$A2208="","",IFERROR(INDEX(games!$B$2:$B$1200,MATCH(connections!$B2208,games!$A$2:$A$1200,0)),""))</f>
      </c>
      <c r="V2208">
        <f>IF(OR($T2208="",$U2208=""),"",$U2208-$T2208)</f>
      </c>
    </row>
    <row r="2209">
      <c r="T2209" t="str">
        <f>IF(connections!$A2209="","",IFERROR(INDEX(games!$B$2:$B$1200,MATCH(connections!$A2209,games!$A$2:$A$1200,0)),""))</f>
      </c>
      <c r="U2209">
        <f>IF(connections!$A2209="","",IFERROR(INDEX(games!$B$2:$B$1200,MATCH(connections!$B2209,games!$A$2:$A$1200,0)),""))</f>
      </c>
      <c r="V2209">
        <f>IF(OR($T2209="",$U2209=""),"",$U2209-$T2209)</f>
      </c>
    </row>
    <row r="2210">
      <c r="T2210" t="str">
        <f>IF(connections!$A2210="","",IFERROR(INDEX(games!$B$2:$B$1200,MATCH(connections!$A2210,games!$A$2:$A$1200,0)),""))</f>
      </c>
      <c r="U2210">
        <f>IF(connections!$A2210="","",IFERROR(INDEX(games!$B$2:$B$1200,MATCH(connections!$B2210,games!$A$2:$A$1200,0)),""))</f>
      </c>
      <c r="V2210">
        <f>IF(OR($T2210="",$U2210=""),"",$U2210-$T2210)</f>
      </c>
    </row>
    <row r="2211">
      <c r="T2211" t="str">
        <f>IF(connections!$A2211="","",IFERROR(INDEX(games!$B$2:$B$1200,MATCH(connections!$A2211,games!$A$2:$A$1200,0)),""))</f>
      </c>
      <c r="U2211">
        <f>IF(connections!$A2211="","",IFERROR(INDEX(games!$B$2:$B$1200,MATCH(connections!$B2211,games!$A$2:$A$1200,0)),""))</f>
      </c>
      <c r="V2211">
        <f>IF(OR($T2211="",$U2211=""),"",$U2211-$T2211)</f>
      </c>
    </row>
    <row r="2212">
      <c r="T2212" t="str">
        <f>IF(connections!$A2212="","",IFERROR(INDEX(games!$B$2:$B$1200,MATCH(connections!$A2212,games!$A$2:$A$1200,0)),""))</f>
      </c>
      <c r="U2212">
        <f>IF(connections!$A2212="","",IFERROR(INDEX(games!$B$2:$B$1200,MATCH(connections!$B2212,games!$A$2:$A$1200,0)),""))</f>
      </c>
      <c r="V2212">
        <f>IF(OR($T2212="",$U2212=""),"",$U2212-$T2212)</f>
      </c>
    </row>
    <row r="2213">
      <c r="T2213" t="str">
        <f>IF(connections!$A2213="","",IFERROR(INDEX(games!$B$2:$B$1200,MATCH(connections!$A2213,games!$A$2:$A$1200,0)),""))</f>
      </c>
      <c r="U2213">
        <f>IF(connections!$A2213="","",IFERROR(INDEX(games!$B$2:$B$1200,MATCH(connections!$B2213,games!$A$2:$A$1200,0)),""))</f>
      </c>
      <c r="V2213">
        <f>IF(OR($T2213="",$U2213=""),"",$U2213-$T2213)</f>
      </c>
    </row>
    <row r="2214">
      <c r="T2214" t="str">
        <f>IF(connections!$A2214="","",IFERROR(INDEX(games!$B$2:$B$1200,MATCH(connections!$A2214,games!$A$2:$A$1200,0)),""))</f>
      </c>
      <c r="U2214">
        <f>IF(connections!$A2214="","",IFERROR(INDEX(games!$B$2:$B$1200,MATCH(connections!$B2214,games!$A$2:$A$1200,0)),""))</f>
      </c>
      <c r="V2214">
        <f>IF(OR($T2214="",$U2214=""),"",$U2214-$T2214)</f>
      </c>
    </row>
    <row r="2215">
      <c r="T2215" t="str">
        <f>IF(connections!$A2215="","",IFERROR(INDEX(games!$B$2:$B$1200,MATCH(connections!$A2215,games!$A$2:$A$1200,0)),""))</f>
      </c>
      <c r="U2215">
        <f>IF(connections!$A2215="","",IFERROR(INDEX(games!$B$2:$B$1200,MATCH(connections!$B2215,games!$A$2:$A$1200,0)),""))</f>
      </c>
      <c r="V2215">
        <f>IF(OR($T2215="",$U2215=""),"",$U2215-$T2215)</f>
      </c>
    </row>
    <row r="2216">
      <c r="T2216" t="str">
        <f>IF(connections!$A2216="","",IFERROR(INDEX(games!$B$2:$B$1200,MATCH(connections!$A2216,games!$A$2:$A$1200,0)),""))</f>
      </c>
      <c r="U2216">
        <f>IF(connections!$A2216="","",IFERROR(INDEX(games!$B$2:$B$1200,MATCH(connections!$B2216,games!$A$2:$A$1200,0)),""))</f>
      </c>
      <c r="V2216">
        <f>IF(OR($T2216="",$U2216=""),"",$U2216-$T2216)</f>
      </c>
    </row>
    <row r="2217">
      <c r="T2217" t="str">
        <f>IF(connections!$A2217="","",IFERROR(INDEX(games!$B$2:$B$1200,MATCH(connections!$A2217,games!$A$2:$A$1200,0)),""))</f>
      </c>
      <c r="U2217">
        <f>IF(connections!$A2217="","",IFERROR(INDEX(games!$B$2:$B$1200,MATCH(connections!$B2217,games!$A$2:$A$1200,0)),""))</f>
      </c>
      <c r="V2217">
        <f>IF(OR($T2217="",$U2217=""),"",$U2217-$T2217)</f>
      </c>
    </row>
    <row r="2218">
      <c r="T2218" t="str">
        <f>IF(connections!$A2218="","",IFERROR(INDEX(games!$B$2:$B$1200,MATCH(connections!$A2218,games!$A$2:$A$1200,0)),""))</f>
      </c>
      <c r="U2218">
        <f>IF(connections!$A2218="","",IFERROR(INDEX(games!$B$2:$B$1200,MATCH(connections!$B2218,games!$A$2:$A$1200,0)),""))</f>
      </c>
      <c r="V2218">
        <f>IF(OR($T2218="",$U2218=""),"",$U2218-$T2218)</f>
      </c>
    </row>
    <row r="2219">
      <c r="T2219" t="str">
        <f>IF(connections!$A2219="","",IFERROR(INDEX(games!$B$2:$B$1200,MATCH(connections!$A2219,games!$A$2:$A$1200,0)),""))</f>
      </c>
      <c r="U2219">
        <f>IF(connections!$A2219="","",IFERROR(INDEX(games!$B$2:$B$1200,MATCH(connections!$B2219,games!$A$2:$A$1200,0)),""))</f>
      </c>
      <c r="V2219">
        <f>IF(OR($T2219="",$U2219=""),"",$U2219-$T2219)</f>
      </c>
    </row>
    <row r="2220">
      <c r="T2220" t="str">
        <f>IF(connections!$A2220="","",IFERROR(INDEX(games!$B$2:$B$1200,MATCH(connections!$A2220,games!$A$2:$A$1200,0)),""))</f>
      </c>
      <c r="U2220">
        <f>IF(connections!$A2220="","",IFERROR(INDEX(games!$B$2:$B$1200,MATCH(connections!$B2220,games!$A$2:$A$1200,0)),""))</f>
      </c>
      <c r="V2220">
        <f>IF(OR($T2220="",$U2220=""),"",$U2220-$T2220)</f>
      </c>
    </row>
    <row r="2221">
      <c r="T2221" t="str">
        <f>IF(connections!$A2221="","",IFERROR(INDEX(games!$B$2:$B$1200,MATCH(connections!$A2221,games!$A$2:$A$1200,0)),""))</f>
      </c>
      <c r="U2221">
        <f>IF(connections!$A2221="","",IFERROR(INDEX(games!$B$2:$B$1200,MATCH(connections!$B2221,games!$A$2:$A$1200,0)),""))</f>
      </c>
      <c r="V2221">
        <f>IF(OR($T2221="",$U2221=""),"",$U2221-$T2221)</f>
      </c>
    </row>
    <row r="2222">
      <c r="T2222" t="str">
        <f>IF(connections!$A2222="","",IFERROR(INDEX(games!$B$2:$B$1200,MATCH(connections!$A2222,games!$A$2:$A$1200,0)),""))</f>
      </c>
      <c r="U2222">
        <f>IF(connections!$A2222="","",IFERROR(INDEX(games!$B$2:$B$1200,MATCH(connections!$B2222,games!$A$2:$A$1200,0)),""))</f>
      </c>
      <c r="V2222">
        <f>IF(OR($T2222="",$U2222=""),"",$U2222-$T2222)</f>
      </c>
    </row>
    <row r="2223">
      <c r="T2223" t="str">
        <f>IF(connections!$A2223="","",IFERROR(INDEX(games!$B$2:$B$1200,MATCH(connections!$A2223,games!$A$2:$A$1200,0)),""))</f>
      </c>
      <c r="U2223">
        <f>IF(connections!$A2223="","",IFERROR(INDEX(games!$B$2:$B$1200,MATCH(connections!$B2223,games!$A$2:$A$1200,0)),""))</f>
      </c>
      <c r="V2223">
        <f>IF(OR($T2223="",$U2223=""),"",$U2223-$T2223)</f>
      </c>
    </row>
    <row r="2224">
      <c r="T2224" t="str">
        <f>IF(connections!$A2224="","",IFERROR(INDEX(games!$B$2:$B$1200,MATCH(connections!$A2224,games!$A$2:$A$1200,0)),""))</f>
      </c>
      <c r="U2224">
        <f>IF(connections!$A2224="","",IFERROR(INDEX(games!$B$2:$B$1200,MATCH(connections!$B2224,games!$A$2:$A$1200,0)),""))</f>
      </c>
      <c r="V2224">
        <f>IF(OR($T2224="",$U2224=""),"",$U2224-$T2224)</f>
      </c>
    </row>
    <row r="2225">
      <c r="T2225" t="str">
        <f>IF(connections!$A2225="","",IFERROR(INDEX(games!$B$2:$B$1200,MATCH(connections!$A2225,games!$A$2:$A$1200,0)),""))</f>
      </c>
      <c r="U2225">
        <f>IF(connections!$A2225="","",IFERROR(INDEX(games!$B$2:$B$1200,MATCH(connections!$B2225,games!$A$2:$A$1200,0)),""))</f>
      </c>
      <c r="V2225">
        <f>IF(OR($T2225="",$U2225=""),"",$U2225-$T2225)</f>
      </c>
    </row>
    <row r="2226">
      <c r="T2226" t="str">
        <f>IF(connections!$A2226="","",IFERROR(INDEX(games!$B$2:$B$1200,MATCH(connections!$A2226,games!$A$2:$A$1200,0)),""))</f>
      </c>
      <c r="U2226">
        <f>IF(connections!$A2226="","",IFERROR(INDEX(games!$B$2:$B$1200,MATCH(connections!$B2226,games!$A$2:$A$1200,0)),""))</f>
      </c>
      <c r="V2226">
        <f>IF(OR($T2226="",$U2226=""),"",$U2226-$T2226)</f>
      </c>
    </row>
    <row r="2227">
      <c r="T2227" t="str">
        <f>IF(connections!$A2227="","",IFERROR(INDEX(games!$B$2:$B$1200,MATCH(connections!$A2227,games!$A$2:$A$1200,0)),""))</f>
      </c>
      <c r="U2227">
        <f>IF(connections!$A2227="","",IFERROR(INDEX(games!$B$2:$B$1200,MATCH(connections!$B2227,games!$A$2:$A$1200,0)),""))</f>
      </c>
      <c r="V2227">
        <f>IF(OR($T2227="",$U2227=""),"",$U2227-$T2227)</f>
      </c>
    </row>
    <row r="2228">
      <c r="T2228" t="str">
        <f>IF(connections!$A2228="","",IFERROR(INDEX(games!$B$2:$B$1200,MATCH(connections!$A2228,games!$A$2:$A$1200,0)),""))</f>
      </c>
      <c r="U2228">
        <f>IF(connections!$A2228="","",IFERROR(INDEX(games!$B$2:$B$1200,MATCH(connections!$B2228,games!$A$2:$A$1200,0)),""))</f>
      </c>
      <c r="V2228">
        <f>IF(OR($T2228="",$U2228=""),"",$U2228-$T2228)</f>
      </c>
    </row>
    <row r="2229">
      <c r="T2229" t="str">
        <f>IF(connections!$A2229="","",IFERROR(INDEX(games!$B$2:$B$1200,MATCH(connections!$A2229,games!$A$2:$A$1200,0)),""))</f>
      </c>
      <c r="U2229">
        <f>IF(connections!$A2229="","",IFERROR(INDEX(games!$B$2:$B$1200,MATCH(connections!$B2229,games!$A$2:$A$1200,0)),""))</f>
      </c>
      <c r="V2229">
        <f>IF(OR($T2229="",$U2229=""),"",$U2229-$T2229)</f>
      </c>
    </row>
    <row r="2230">
      <c r="T2230" t="str">
        <f>IF(connections!$A2230="","",IFERROR(INDEX(games!$B$2:$B$1200,MATCH(connections!$A2230,games!$A$2:$A$1200,0)),""))</f>
      </c>
      <c r="U2230">
        <f>IF(connections!$A2230="","",IFERROR(INDEX(games!$B$2:$B$1200,MATCH(connections!$B2230,games!$A$2:$A$1200,0)),""))</f>
      </c>
      <c r="V2230">
        <f>IF(OR($T2230="",$U2230=""),"",$U2230-$T2230)</f>
      </c>
    </row>
    <row r="2231">
      <c r="T2231" t="str">
        <f>IF(connections!$A2231="","",IFERROR(INDEX(games!$B$2:$B$1200,MATCH(connections!$A2231,games!$A$2:$A$1200,0)),""))</f>
      </c>
      <c r="U2231">
        <f>IF(connections!$A2231="","",IFERROR(INDEX(games!$B$2:$B$1200,MATCH(connections!$B2231,games!$A$2:$A$1200,0)),""))</f>
      </c>
      <c r="V2231">
        <f>IF(OR($T2231="",$U2231=""),"",$U2231-$T2231)</f>
      </c>
    </row>
    <row r="2232">
      <c r="T2232" t="str">
        <f>IF(connections!$A2232="","",IFERROR(INDEX(games!$B$2:$B$1200,MATCH(connections!$A2232,games!$A$2:$A$1200,0)),""))</f>
      </c>
      <c r="U2232">
        <f>IF(connections!$A2232="","",IFERROR(INDEX(games!$B$2:$B$1200,MATCH(connections!$B2232,games!$A$2:$A$1200,0)),""))</f>
      </c>
      <c r="V2232">
        <f>IF(OR($T2232="",$U2232=""),"",$U2232-$T2232)</f>
      </c>
    </row>
    <row r="2233">
      <c r="T2233" t="str">
        <f>IF(connections!$A2233="","",IFERROR(INDEX(games!$B$2:$B$1200,MATCH(connections!$A2233,games!$A$2:$A$1200,0)),""))</f>
      </c>
      <c r="U2233">
        <f>IF(connections!$A2233="","",IFERROR(INDEX(games!$B$2:$B$1200,MATCH(connections!$B2233,games!$A$2:$A$1200,0)),""))</f>
      </c>
      <c r="V2233">
        <f>IF(OR($T2233="",$U2233=""),"",$U2233-$T2233)</f>
      </c>
    </row>
    <row r="2234">
      <c r="T2234" t="str">
        <f>IF(connections!$A2234="","",IFERROR(INDEX(games!$B$2:$B$1200,MATCH(connections!$A2234,games!$A$2:$A$1200,0)),""))</f>
      </c>
      <c r="U2234">
        <f>IF(connections!$A2234="","",IFERROR(INDEX(games!$B$2:$B$1200,MATCH(connections!$B2234,games!$A$2:$A$1200,0)),""))</f>
      </c>
      <c r="V2234">
        <f>IF(OR($T2234="",$U2234=""),"",$U2234-$T2234)</f>
      </c>
    </row>
    <row r="2235">
      <c r="T2235" t="str">
        <f>IF(connections!$A2235="","",IFERROR(INDEX(games!$B$2:$B$1200,MATCH(connections!$A2235,games!$A$2:$A$1200,0)),""))</f>
      </c>
      <c r="U2235">
        <f>IF(connections!$A2235="","",IFERROR(INDEX(games!$B$2:$B$1200,MATCH(connections!$B2235,games!$A$2:$A$1200,0)),""))</f>
      </c>
      <c r="V2235">
        <f>IF(OR($T2235="",$U2235=""),"",$U2235-$T2235)</f>
      </c>
    </row>
    <row r="2236">
      <c r="T2236" t="str">
        <f>IF(connections!$A2236="","",IFERROR(INDEX(games!$B$2:$B$1200,MATCH(connections!$A2236,games!$A$2:$A$1200,0)),""))</f>
      </c>
      <c r="U2236">
        <f>IF(connections!$A2236="","",IFERROR(INDEX(games!$B$2:$B$1200,MATCH(connections!$B2236,games!$A$2:$A$1200,0)),""))</f>
      </c>
      <c r="V2236">
        <f>IF(OR($T2236="",$U2236=""),"",$U2236-$T2236)</f>
      </c>
    </row>
    <row r="2237">
      <c r="T2237" t="str">
        <f>IF(connections!$A2237="","",IFERROR(INDEX(games!$B$2:$B$1200,MATCH(connections!$A2237,games!$A$2:$A$1200,0)),""))</f>
      </c>
      <c r="U2237">
        <f>IF(connections!$A2237="","",IFERROR(INDEX(games!$B$2:$B$1200,MATCH(connections!$B2237,games!$A$2:$A$1200,0)),""))</f>
      </c>
      <c r="V2237">
        <f>IF(OR($T2237="",$U2237=""),"",$U2237-$T2237)</f>
      </c>
    </row>
    <row r="2238">
      <c r="T2238" t="str">
        <f>IF(connections!$A2238="","",IFERROR(INDEX(games!$B$2:$B$1200,MATCH(connections!$A2238,games!$A$2:$A$1200,0)),""))</f>
      </c>
      <c r="U2238">
        <f>IF(connections!$A2238="","",IFERROR(INDEX(games!$B$2:$B$1200,MATCH(connections!$B2238,games!$A$2:$A$1200,0)),""))</f>
      </c>
      <c r="V2238">
        <f>IF(OR($T2238="",$U2238=""),"",$U2238-$T2238)</f>
      </c>
    </row>
    <row r="2239">
      <c r="T2239" t="str">
        <f>IF(connections!$A2239="","",IFERROR(INDEX(games!$B$2:$B$1200,MATCH(connections!$A2239,games!$A$2:$A$1200,0)),""))</f>
      </c>
      <c r="U2239">
        <f>IF(connections!$A2239="","",IFERROR(INDEX(games!$B$2:$B$1200,MATCH(connections!$B2239,games!$A$2:$A$1200,0)),""))</f>
      </c>
      <c r="V2239">
        <f>IF(OR($T2239="",$U2239=""),"",$U2239-$T2239)</f>
      </c>
    </row>
    <row r="2240">
      <c r="T2240" t="str">
        <f>IF(connections!$A2240="","",IFERROR(INDEX(games!$B$2:$B$1200,MATCH(connections!$A2240,games!$A$2:$A$1200,0)),""))</f>
      </c>
      <c r="U2240">
        <f>IF(connections!$A2240="","",IFERROR(INDEX(games!$B$2:$B$1200,MATCH(connections!$B2240,games!$A$2:$A$1200,0)),""))</f>
      </c>
      <c r="V2240">
        <f>IF(OR($T2240="",$U2240=""),"",$U2240-$T2240)</f>
      </c>
    </row>
    <row r="2241">
      <c r="T2241" t="str">
        <f>IF(connections!$A2241="","",IFERROR(INDEX(games!$B$2:$B$1200,MATCH(connections!$A2241,games!$A$2:$A$1200,0)),""))</f>
      </c>
      <c r="U2241">
        <f>IF(connections!$A2241="","",IFERROR(INDEX(games!$B$2:$B$1200,MATCH(connections!$B2241,games!$A$2:$A$1200,0)),""))</f>
      </c>
      <c r="V2241">
        <f>IF(OR($T2241="",$U2241=""),"",$U2241-$T2241)</f>
      </c>
    </row>
    <row r="2242">
      <c r="T2242" t="str">
        <f>IF(connections!$A2242="","",IFERROR(INDEX(games!$B$2:$B$1200,MATCH(connections!$A2242,games!$A$2:$A$1200,0)),""))</f>
      </c>
      <c r="U2242">
        <f>IF(connections!$A2242="","",IFERROR(INDEX(games!$B$2:$B$1200,MATCH(connections!$B2242,games!$A$2:$A$1200,0)),""))</f>
      </c>
      <c r="V2242">
        <f>IF(OR($T2242="",$U2242=""),"",$U2242-$T2242)</f>
      </c>
    </row>
    <row r="2243">
      <c r="T2243" t="str">
        <f>IF(connections!$A2243="","",IFERROR(INDEX(games!$B$2:$B$1200,MATCH(connections!$A2243,games!$A$2:$A$1200,0)),""))</f>
      </c>
      <c r="U2243">
        <f>IF(connections!$A2243="","",IFERROR(INDEX(games!$B$2:$B$1200,MATCH(connections!$B2243,games!$A$2:$A$1200,0)),""))</f>
      </c>
      <c r="V2243">
        <f>IF(OR($T2243="",$U2243=""),"",$U2243-$T2243)</f>
      </c>
    </row>
    <row r="2244">
      <c r="T2244" t="str">
        <f>IF(connections!$A2244="","",IFERROR(INDEX(games!$B$2:$B$1200,MATCH(connections!$A2244,games!$A$2:$A$1200,0)),""))</f>
      </c>
      <c r="U2244">
        <f>IF(connections!$A2244="","",IFERROR(INDEX(games!$B$2:$B$1200,MATCH(connections!$B2244,games!$A$2:$A$1200,0)),""))</f>
      </c>
      <c r="V2244">
        <f>IF(OR($T2244="",$U2244=""),"",$U2244-$T2244)</f>
      </c>
    </row>
    <row r="2245">
      <c r="T2245" t="str">
        <f>IF(connections!$A2245="","",IFERROR(INDEX(games!$B$2:$B$1200,MATCH(connections!$A2245,games!$A$2:$A$1200,0)),""))</f>
      </c>
      <c r="U2245">
        <f>IF(connections!$A2245="","",IFERROR(INDEX(games!$B$2:$B$1200,MATCH(connections!$B2245,games!$A$2:$A$1200,0)),""))</f>
      </c>
      <c r="V2245">
        <f>IF(OR($T2245="",$U2245=""),"",$U2245-$T2245)</f>
      </c>
    </row>
    <row r="2246">
      <c r="T2246" t="str">
        <f>IF(connections!$A2246="","",IFERROR(INDEX(games!$B$2:$B$1200,MATCH(connections!$A2246,games!$A$2:$A$1200,0)),""))</f>
      </c>
      <c r="U2246">
        <f>IF(connections!$A2246="","",IFERROR(INDEX(games!$B$2:$B$1200,MATCH(connections!$B2246,games!$A$2:$A$1200,0)),""))</f>
      </c>
      <c r="V2246">
        <f>IF(OR($T2246="",$U2246=""),"",$U2246-$T2246)</f>
      </c>
    </row>
    <row r="2247">
      <c r="T2247" t="str">
        <f>IF(connections!$A2247="","",IFERROR(INDEX(games!$B$2:$B$1200,MATCH(connections!$A2247,games!$A$2:$A$1200,0)),""))</f>
      </c>
      <c r="U2247">
        <f>IF(connections!$A2247="","",IFERROR(INDEX(games!$B$2:$B$1200,MATCH(connections!$B2247,games!$A$2:$A$1200,0)),""))</f>
      </c>
      <c r="V2247">
        <f>IF(OR($T2247="",$U2247=""),"",$U2247-$T2247)</f>
      </c>
    </row>
    <row r="2248">
      <c r="T2248" t="str">
        <f>IF(connections!$A2248="","",IFERROR(INDEX(games!$B$2:$B$1200,MATCH(connections!$A2248,games!$A$2:$A$1200,0)),""))</f>
      </c>
      <c r="U2248">
        <f>IF(connections!$A2248="","",IFERROR(INDEX(games!$B$2:$B$1200,MATCH(connections!$B2248,games!$A$2:$A$1200,0)),""))</f>
      </c>
      <c r="V2248">
        <f>IF(OR($T2248="",$U2248=""),"",$U2248-$T2248)</f>
      </c>
    </row>
    <row r="2249">
      <c r="T2249" t="str">
        <f>IF(connections!$A2249="","",IFERROR(INDEX(games!$B$2:$B$1200,MATCH(connections!$A2249,games!$A$2:$A$1200,0)),""))</f>
      </c>
      <c r="U2249">
        <f>IF(connections!$A2249="","",IFERROR(INDEX(games!$B$2:$B$1200,MATCH(connections!$B2249,games!$A$2:$A$1200,0)),""))</f>
      </c>
      <c r="V2249">
        <f>IF(OR($T2249="",$U2249=""),"",$U2249-$T2249)</f>
      </c>
    </row>
    <row r="2250">
      <c r="T2250" t="str">
        <f>IF(connections!$A2250="","",IFERROR(INDEX(games!$B$2:$B$1200,MATCH(connections!$A2250,games!$A$2:$A$1200,0)),""))</f>
      </c>
      <c r="U2250">
        <f>IF(connections!$A2250="","",IFERROR(INDEX(games!$B$2:$B$1200,MATCH(connections!$B2250,games!$A$2:$A$1200,0)),""))</f>
      </c>
      <c r="V2250">
        <f>IF(OR($T2250="",$U2250=""),"",$U2250-$T2250)</f>
      </c>
    </row>
    <row r="2251">
      <c r="T2251" t="str">
        <f>IF(connections!$A2251="","",IFERROR(INDEX(games!$B$2:$B$1200,MATCH(connections!$A2251,games!$A$2:$A$1200,0)),""))</f>
      </c>
      <c r="U2251">
        <f>IF(connections!$A2251="","",IFERROR(INDEX(games!$B$2:$B$1200,MATCH(connections!$B2251,games!$A$2:$A$1200,0)),""))</f>
      </c>
      <c r="V2251">
        <f>IF(OR($T2251="",$U2251=""),"",$U2251-$T2251)</f>
      </c>
    </row>
    <row r="2252">
      <c r="T2252" t="str">
        <f>IF(connections!$A2252="","",IFERROR(INDEX(games!$B$2:$B$1200,MATCH(connections!$A2252,games!$A$2:$A$1200,0)),""))</f>
      </c>
      <c r="U2252">
        <f>IF(connections!$A2252="","",IFERROR(INDEX(games!$B$2:$B$1200,MATCH(connections!$B2252,games!$A$2:$A$1200,0)),""))</f>
      </c>
      <c r="V2252">
        <f>IF(OR($T2252="",$U2252=""),"",$U2252-$T2252)</f>
      </c>
    </row>
    <row r="2253">
      <c r="T2253" t="str">
        <f>IF(connections!$A2253="","",IFERROR(INDEX(games!$B$2:$B$1200,MATCH(connections!$A2253,games!$A$2:$A$1200,0)),""))</f>
      </c>
      <c r="U2253">
        <f>IF(connections!$A2253="","",IFERROR(INDEX(games!$B$2:$B$1200,MATCH(connections!$B2253,games!$A$2:$A$1200,0)),""))</f>
      </c>
      <c r="V2253">
        <f>IF(OR($T2253="",$U2253=""),"",$U2253-$T2253)</f>
      </c>
    </row>
    <row r="2254">
      <c r="T2254" t="str">
        <f>IF(connections!$A2254="","",IFERROR(INDEX(games!$B$2:$B$1200,MATCH(connections!$A2254,games!$A$2:$A$1200,0)),""))</f>
      </c>
      <c r="U2254">
        <f>IF(connections!$A2254="","",IFERROR(INDEX(games!$B$2:$B$1200,MATCH(connections!$B2254,games!$A$2:$A$1200,0)),""))</f>
      </c>
      <c r="V2254">
        <f>IF(OR($T2254="",$U2254=""),"",$U2254-$T2254)</f>
      </c>
    </row>
    <row r="2255">
      <c r="T2255" t="str">
        <f>IF(connections!$A2255="","",IFERROR(INDEX(games!$B$2:$B$1200,MATCH(connections!$A2255,games!$A$2:$A$1200,0)),""))</f>
      </c>
      <c r="U2255">
        <f>IF(connections!$A2255="","",IFERROR(INDEX(games!$B$2:$B$1200,MATCH(connections!$B2255,games!$A$2:$A$1200,0)),""))</f>
      </c>
      <c r="V2255">
        <f>IF(OR($T2255="",$U2255=""),"",$U2255-$T2255)</f>
      </c>
    </row>
    <row r="2256">
      <c r="T2256" t="str">
        <f>IF(connections!$A2256="","",IFERROR(INDEX(games!$B$2:$B$1200,MATCH(connections!$A2256,games!$A$2:$A$1200,0)),""))</f>
      </c>
      <c r="U2256">
        <f>IF(connections!$A2256="","",IFERROR(INDEX(games!$B$2:$B$1200,MATCH(connections!$B2256,games!$A$2:$A$1200,0)),""))</f>
      </c>
      <c r="V2256">
        <f>IF(OR($T2256="",$U2256=""),"",$U2256-$T2256)</f>
      </c>
    </row>
    <row r="2257">
      <c r="T2257" t="str">
        <f>IF(connections!$A2257="","",IFERROR(INDEX(games!$B$2:$B$1200,MATCH(connections!$A2257,games!$A$2:$A$1200,0)),""))</f>
      </c>
      <c r="U2257">
        <f>IF(connections!$A2257="","",IFERROR(INDEX(games!$B$2:$B$1200,MATCH(connections!$B2257,games!$A$2:$A$1200,0)),""))</f>
      </c>
      <c r="V2257">
        <f>IF(OR($T2257="",$U2257=""),"",$U2257-$T2257)</f>
      </c>
    </row>
    <row r="2258">
      <c r="T2258" t="str">
        <f>IF(connections!$A2258="","",IFERROR(INDEX(games!$B$2:$B$1200,MATCH(connections!$A2258,games!$A$2:$A$1200,0)),""))</f>
      </c>
      <c r="U2258">
        <f>IF(connections!$A2258="","",IFERROR(INDEX(games!$B$2:$B$1200,MATCH(connections!$B2258,games!$A$2:$A$1200,0)),""))</f>
      </c>
      <c r="V2258">
        <f>IF(OR($T2258="",$U2258=""),"",$U2258-$T2258)</f>
      </c>
    </row>
    <row r="2259">
      <c r="T2259" t="str">
        <f>IF(connections!$A2259="","",IFERROR(INDEX(games!$B$2:$B$1200,MATCH(connections!$A2259,games!$A$2:$A$1200,0)),""))</f>
      </c>
      <c r="U2259">
        <f>IF(connections!$A2259="","",IFERROR(INDEX(games!$B$2:$B$1200,MATCH(connections!$B2259,games!$A$2:$A$1200,0)),""))</f>
      </c>
      <c r="V2259">
        <f>IF(OR($T2259="",$U2259=""),"",$U2259-$T2259)</f>
      </c>
    </row>
    <row r="2260">
      <c r="T2260" t="str">
        <f>IF(connections!$A2260="","",IFERROR(INDEX(games!$B$2:$B$1200,MATCH(connections!$A2260,games!$A$2:$A$1200,0)),""))</f>
      </c>
      <c r="U2260">
        <f>IF(connections!$A2260="","",IFERROR(INDEX(games!$B$2:$B$1200,MATCH(connections!$B2260,games!$A$2:$A$1200,0)),""))</f>
      </c>
      <c r="V2260">
        <f>IF(OR($T2260="",$U2260=""),"",$U2260-$T2260)</f>
      </c>
    </row>
    <row r="2261">
      <c r="T2261" t="str">
        <f>IF(connections!$A2261="","",IFERROR(INDEX(games!$B$2:$B$1200,MATCH(connections!$A2261,games!$A$2:$A$1200,0)),""))</f>
      </c>
      <c r="U2261">
        <f>IF(connections!$A2261="","",IFERROR(INDEX(games!$B$2:$B$1200,MATCH(connections!$B2261,games!$A$2:$A$1200,0)),""))</f>
      </c>
      <c r="V2261">
        <f>IF(OR($T2261="",$U2261=""),"",$U2261-$T2261)</f>
      </c>
    </row>
    <row r="2262">
      <c r="T2262" t="str">
        <f>IF(connections!$A2262="","",IFERROR(INDEX(games!$B$2:$B$1200,MATCH(connections!$A2262,games!$A$2:$A$1200,0)),""))</f>
      </c>
      <c r="U2262">
        <f>IF(connections!$A2262="","",IFERROR(INDEX(games!$B$2:$B$1200,MATCH(connections!$B2262,games!$A$2:$A$1200,0)),""))</f>
      </c>
      <c r="V2262">
        <f>IF(OR($T2262="",$U2262=""),"",$U2262-$T2262)</f>
      </c>
    </row>
    <row r="2263">
      <c r="T2263" t="str">
        <f>IF(connections!$A2263="","",IFERROR(INDEX(games!$B$2:$B$1200,MATCH(connections!$A2263,games!$A$2:$A$1200,0)),""))</f>
      </c>
      <c r="U2263">
        <f>IF(connections!$A2263="","",IFERROR(INDEX(games!$B$2:$B$1200,MATCH(connections!$B2263,games!$A$2:$A$1200,0)),""))</f>
      </c>
      <c r="V2263">
        <f>IF(OR($T2263="",$U2263=""),"",$U2263-$T2263)</f>
      </c>
    </row>
    <row r="2264">
      <c r="T2264" t="str">
        <f>IF(connections!$A2264="","",IFERROR(INDEX(games!$B$2:$B$1200,MATCH(connections!$A2264,games!$A$2:$A$1200,0)),""))</f>
      </c>
      <c r="U2264">
        <f>IF(connections!$A2264="","",IFERROR(INDEX(games!$B$2:$B$1200,MATCH(connections!$B2264,games!$A$2:$A$1200,0)),""))</f>
      </c>
      <c r="V2264">
        <f>IF(OR($T2264="",$U2264=""),"",$U2264-$T2264)</f>
      </c>
    </row>
    <row r="2265">
      <c r="T2265" t="str">
        <f>IF(connections!$A2265="","",IFERROR(INDEX(games!$B$2:$B$1200,MATCH(connections!$A2265,games!$A$2:$A$1200,0)),""))</f>
      </c>
      <c r="U2265">
        <f>IF(connections!$A2265="","",IFERROR(INDEX(games!$B$2:$B$1200,MATCH(connections!$B2265,games!$A$2:$A$1200,0)),""))</f>
      </c>
      <c r="V2265">
        <f>IF(OR($T2265="",$U2265=""),"",$U2265-$T2265)</f>
      </c>
    </row>
    <row r="2266">
      <c r="T2266" t="str">
        <f>IF(connections!$A2266="","",IFERROR(INDEX(games!$B$2:$B$1200,MATCH(connections!$A2266,games!$A$2:$A$1200,0)),""))</f>
      </c>
      <c r="U2266">
        <f>IF(connections!$A2266="","",IFERROR(INDEX(games!$B$2:$B$1200,MATCH(connections!$B2266,games!$A$2:$A$1200,0)),""))</f>
      </c>
      <c r="V2266">
        <f>IF(OR($T2266="",$U2266=""),"",$U2266-$T2266)</f>
      </c>
    </row>
    <row r="2267">
      <c r="T2267" t="str">
        <f>IF(connections!$A2267="","",IFERROR(INDEX(games!$B$2:$B$1200,MATCH(connections!$A2267,games!$A$2:$A$1200,0)),""))</f>
      </c>
      <c r="U2267">
        <f>IF(connections!$A2267="","",IFERROR(INDEX(games!$B$2:$B$1200,MATCH(connections!$B2267,games!$A$2:$A$1200,0)),""))</f>
      </c>
      <c r="V2267">
        <f>IF(OR($T2267="",$U2267=""),"",$U2267-$T2267)</f>
      </c>
    </row>
    <row r="2268">
      <c r="T2268" t="str">
        <f>IF(connections!$A2268="","",IFERROR(INDEX(games!$B$2:$B$1200,MATCH(connections!$A2268,games!$A$2:$A$1200,0)),""))</f>
      </c>
      <c r="U2268">
        <f>IF(connections!$A2268="","",IFERROR(INDEX(games!$B$2:$B$1200,MATCH(connections!$B2268,games!$A$2:$A$1200,0)),""))</f>
      </c>
      <c r="V2268">
        <f>IF(OR($T2268="",$U2268=""),"",$U2268-$T2268)</f>
      </c>
    </row>
    <row r="2269">
      <c r="T2269" t="str">
        <f>IF(connections!$A2269="","",IFERROR(INDEX(games!$B$2:$B$1200,MATCH(connections!$A2269,games!$A$2:$A$1200,0)),""))</f>
      </c>
      <c r="U2269">
        <f>IF(connections!$A2269="","",IFERROR(INDEX(games!$B$2:$B$1200,MATCH(connections!$B2269,games!$A$2:$A$1200,0)),""))</f>
      </c>
      <c r="V2269">
        <f>IF(OR($T2269="",$U2269=""),"",$U2269-$T2269)</f>
      </c>
    </row>
    <row r="2270">
      <c r="T2270" t="str">
        <f>IF(connections!$A2270="","",IFERROR(INDEX(games!$B$2:$B$1200,MATCH(connections!$A2270,games!$A$2:$A$1200,0)),""))</f>
      </c>
      <c r="U2270">
        <f>IF(connections!$A2270="","",IFERROR(INDEX(games!$B$2:$B$1200,MATCH(connections!$B2270,games!$A$2:$A$1200,0)),""))</f>
      </c>
      <c r="V2270">
        <f>IF(OR($T2270="",$U2270=""),"",$U2270-$T2270)</f>
      </c>
    </row>
    <row r="2271">
      <c r="T2271" t="str">
        <f>IF(connections!$A2271="","",IFERROR(INDEX(games!$B$2:$B$1200,MATCH(connections!$A2271,games!$A$2:$A$1200,0)),""))</f>
      </c>
      <c r="U2271">
        <f>IF(connections!$A2271="","",IFERROR(INDEX(games!$B$2:$B$1200,MATCH(connections!$B2271,games!$A$2:$A$1200,0)),""))</f>
      </c>
      <c r="V2271">
        <f>IF(OR($T2271="",$U2271=""),"",$U2271-$T2271)</f>
      </c>
    </row>
    <row r="2272">
      <c r="T2272" t="str">
        <f>IF(connections!$A2272="","",IFERROR(INDEX(games!$B$2:$B$1200,MATCH(connections!$A2272,games!$A$2:$A$1200,0)),""))</f>
      </c>
      <c r="U2272">
        <f>IF(connections!$A2272="","",IFERROR(INDEX(games!$B$2:$B$1200,MATCH(connections!$B2272,games!$A$2:$A$1200,0)),""))</f>
      </c>
      <c r="V2272">
        <f>IF(OR($T2272="",$U2272=""),"",$U2272-$T2272)</f>
      </c>
    </row>
    <row r="2273">
      <c r="T2273" t="str">
        <f>IF(connections!$A2273="","",IFERROR(INDEX(games!$B$2:$B$1200,MATCH(connections!$A2273,games!$A$2:$A$1200,0)),""))</f>
      </c>
      <c r="U2273">
        <f>IF(connections!$A2273="","",IFERROR(INDEX(games!$B$2:$B$1200,MATCH(connections!$B2273,games!$A$2:$A$1200,0)),""))</f>
      </c>
      <c r="V2273">
        <f>IF(OR($T2273="",$U2273=""),"",$U2273-$T2273)</f>
      </c>
    </row>
    <row r="2274">
      <c r="T2274" t="str">
        <f>IF(connections!$A2274="","",IFERROR(INDEX(games!$B$2:$B$1200,MATCH(connections!$A2274,games!$A$2:$A$1200,0)),""))</f>
      </c>
      <c r="U2274">
        <f>IF(connections!$A2274="","",IFERROR(INDEX(games!$B$2:$B$1200,MATCH(connections!$B2274,games!$A$2:$A$1200,0)),""))</f>
      </c>
      <c r="V2274">
        <f>IF(OR($T2274="",$U2274=""),"",$U2274-$T2274)</f>
      </c>
    </row>
    <row r="2275">
      <c r="T2275" t="str">
        <f>IF(connections!$A2275="","",IFERROR(INDEX(games!$B$2:$B$1200,MATCH(connections!$A2275,games!$A$2:$A$1200,0)),""))</f>
      </c>
      <c r="U2275">
        <f>IF(connections!$A2275="","",IFERROR(INDEX(games!$B$2:$B$1200,MATCH(connections!$B2275,games!$A$2:$A$1200,0)),""))</f>
      </c>
      <c r="V2275">
        <f>IF(OR($T2275="",$U2275=""),"",$U2275-$T2275)</f>
      </c>
    </row>
    <row r="2276">
      <c r="T2276" t="str">
        <f>IF(connections!$A2276="","",IFERROR(INDEX(games!$B$2:$B$1200,MATCH(connections!$A2276,games!$A$2:$A$1200,0)),""))</f>
      </c>
      <c r="U2276">
        <f>IF(connections!$A2276="","",IFERROR(INDEX(games!$B$2:$B$1200,MATCH(connections!$B2276,games!$A$2:$A$1200,0)),""))</f>
      </c>
      <c r="V2276">
        <f>IF(OR($T2276="",$U2276=""),"",$U2276-$T2276)</f>
      </c>
    </row>
    <row r="2277">
      <c r="T2277" t="str">
        <f>IF(connections!$A2277="","",IFERROR(INDEX(games!$B$2:$B$1200,MATCH(connections!$A2277,games!$A$2:$A$1200,0)),""))</f>
      </c>
      <c r="U2277">
        <f>IF(connections!$A2277="","",IFERROR(INDEX(games!$B$2:$B$1200,MATCH(connections!$B2277,games!$A$2:$A$1200,0)),""))</f>
      </c>
      <c r="V2277">
        <f>IF(OR($T2277="",$U2277=""),"",$U2277-$T2277)</f>
      </c>
    </row>
    <row r="2278">
      <c r="T2278" t="str">
        <f>IF(connections!$A2278="","",IFERROR(INDEX(games!$B$2:$B$1200,MATCH(connections!$A2278,games!$A$2:$A$1200,0)),""))</f>
      </c>
      <c r="U2278">
        <f>IF(connections!$A2278="","",IFERROR(INDEX(games!$B$2:$B$1200,MATCH(connections!$B2278,games!$A$2:$A$1200,0)),""))</f>
      </c>
      <c r="V2278">
        <f>IF(OR($T2278="",$U2278=""),"",$U2278-$T2278)</f>
      </c>
    </row>
    <row r="2279">
      <c r="T2279" t="str">
        <f>IF(connections!$A2279="","",IFERROR(INDEX(games!$B$2:$B$1200,MATCH(connections!$A2279,games!$A$2:$A$1200,0)),""))</f>
      </c>
      <c r="U2279">
        <f>IF(connections!$A2279="","",IFERROR(INDEX(games!$B$2:$B$1200,MATCH(connections!$B2279,games!$A$2:$A$1200,0)),""))</f>
      </c>
      <c r="V2279">
        <f>IF(OR($T2279="",$U2279=""),"",$U2279-$T2279)</f>
      </c>
    </row>
    <row r="2280">
      <c r="T2280" t="str">
        <f>IF(connections!$A2280="","",IFERROR(INDEX(games!$B$2:$B$1200,MATCH(connections!$A2280,games!$A$2:$A$1200,0)),""))</f>
      </c>
      <c r="U2280">
        <f>IF(connections!$A2280="","",IFERROR(INDEX(games!$B$2:$B$1200,MATCH(connections!$B2280,games!$A$2:$A$1200,0)),""))</f>
      </c>
      <c r="V2280">
        <f>IF(OR($T2280="",$U2280=""),"",$U2280-$T2280)</f>
      </c>
    </row>
    <row r="2281">
      <c r="T2281" t="str">
        <f>IF(connections!$A2281="","",IFERROR(INDEX(games!$B$2:$B$1200,MATCH(connections!$A2281,games!$A$2:$A$1200,0)),""))</f>
      </c>
      <c r="U2281">
        <f>IF(connections!$A2281="","",IFERROR(INDEX(games!$B$2:$B$1200,MATCH(connections!$B2281,games!$A$2:$A$1200,0)),""))</f>
      </c>
      <c r="V2281">
        <f>IF(OR($T2281="",$U2281=""),"",$U2281-$T2281)</f>
      </c>
    </row>
    <row r="2282">
      <c r="T2282" t="str">
        <f>IF(connections!$A2282="","",IFERROR(INDEX(games!$B$2:$B$1200,MATCH(connections!$A2282,games!$A$2:$A$1200,0)),""))</f>
      </c>
      <c r="U2282">
        <f>IF(connections!$A2282="","",IFERROR(INDEX(games!$B$2:$B$1200,MATCH(connections!$B2282,games!$A$2:$A$1200,0)),""))</f>
      </c>
      <c r="V2282">
        <f>IF(OR($T2282="",$U2282=""),"",$U2282-$T2282)</f>
      </c>
    </row>
    <row r="2283">
      <c r="T2283" t="str">
        <f>IF(connections!$A2283="","",IFERROR(INDEX(games!$B$2:$B$1200,MATCH(connections!$A2283,games!$A$2:$A$1200,0)),""))</f>
      </c>
      <c r="U2283">
        <f>IF(connections!$A2283="","",IFERROR(INDEX(games!$B$2:$B$1200,MATCH(connections!$B2283,games!$A$2:$A$1200,0)),""))</f>
      </c>
      <c r="V2283">
        <f>IF(OR($T2283="",$U2283=""),"",$U2283-$T2283)</f>
      </c>
    </row>
    <row r="2284">
      <c r="T2284" t="str">
        <f>IF(connections!$A2284="","",IFERROR(INDEX(games!$B$2:$B$1200,MATCH(connections!$A2284,games!$A$2:$A$1200,0)),""))</f>
      </c>
      <c r="U2284">
        <f>IF(connections!$A2284="","",IFERROR(INDEX(games!$B$2:$B$1200,MATCH(connections!$B2284,games!$A$2:$A$1200,0)),""))</f>
      </c>
      <c r="V2284">
        <f>IF(OR($T2284="",$U2284=""),"",$U2284-$T2284)</f>
      </c>
    </row>
    <row r="2285">
      <c r="T2285" t="str">
        <f>IF(connections!$A2285="","",IFERROR(INDEX(games!$B$2:$B$1200,MATCH(connections!$A2285,games!$A$2:$A$1200,0)),""))</f>
      </c>
      <c r="U2285">
        <f>IF(connections!$A2285="","",IFERROR(INDEX(games!$B$2:$B$1200,MATCH(connections!$B2285,games!$A$2:$A$1200,0)),""))</f>
      </c>
      <c r="V2285">
        <f>IF(OR($T2285="",$U2285=""),"",$U2285-$T2285)</f>
      </c>
    </row>
    <row r="2286">
      <c r="T2286" t="str">
        <f>IF(connections!$A2286="","",IFERROR(INDEX(games!$B$2:$B$1200,MATCH(connections!$A2286,games!$A$2:$A$1200,0)),""))</f>
      </c>
      <c r="U2286">
        <f>IF(connections!$A2286="","",IFERROR(INDEX(games!$B$2:$B$1200,MATCH(connections!$B2286,games!$A$2:$A$1200,0)),""))</f>
      </c>
      <c r="V2286">
        <f>IF(OR($T2286="",$U2286=""),"",$U2286-$T2286)</f>
      </c>
    </row>
    <row r="2287">
      <c r="T2287" t="str">
        <f>IF(connections!$A2287="","",IFERROR(INDEX(games!$B$2:$B$1200,MATCH(connections!$A2287,games!$A$2:$A$1200,0)),""))</f>
      </c>
      <c r="U2287">
        <f>IF(connections!$A2287="","",IFERROR(INDEX(games!$B$2:$B$1200,MATCH(connections!$B2287,games!$A$2:$A$1200,0)),""))</f>
      </c>
      <c r="V2287">
        <f>IF(OR($T2287="",$U2287=""),"",$U2287-$T2287)</f>
      </c>
    </row>
    <row r="2288">
      <c r="T2288" t="str">
        <f>IF(connections!$A2288="","",IFERROR(INDEX(games!$B$2:$B$1200,MATCH(connections!$A2288,games!$A$2:$A$1200,0)),""))</f>
      </c>
      <c r="U2288">
        <f>IF(connections!$A2288="","",IFERROR(INDEX(games!$B$2:$B$1200,MATCH(connections!$B2288,games!$A$2:$A$1200,0)),""))</f>
      </c>
      <c r="V2288">
        <f>IF(OR($T2288="",$U2288=""),"",$U2288-$T2288)</f>
      </c>
    </row>
    <row r="2289">
      <c r="T2289" t="str">
        <f>IF(connections!$A2289="","",IFERROR(INDEX(games!$B$2:$B$1200,MATCH(connections!$A2289,games!$A$2:$A$1200,0)),""))</f>
      </c>
      <c r="U2289">
        <f>IF(connections!$A2289="","",IFERROR(INDEX(games!$B$2:$B$1200,MATCH(connections!$B2289,games!$A$2:$A$1200,0)),""))</f>
      </c>
      <c r="V2289">
        <f>IF(OR($T2289="",$U2289=""),"",$U2289-$T2289)</f>
      </c>
    </row>
    <row r="2290">
      <c r="T2290" t="str">
        <f>IF(connections!$A2290="","",IFERROR(INDEX(games!$B$2:$B$1200,MATCH(connections!$A2290,games!$A$2:$A$1200,0)),""))</f>
      </c>
      <c r="U2290">
        <f>IF(connections!$A2290="","",IFERROR(INDEX(games!$B$2:$B$1200,MATCH(connections!$B2290,games!$A$2:$A$1200,0)),""))</f>
      </c>
      <c r="V2290">
        <f>IF(OR($T2290="",$U2290=""),"",$U2290-$T2290)</f>
      </c>
    </row>
    <row r="2291">
      <c r="T2291" t="str">
        <f>IF(connections!$A2291="","",IFERROR(INDEX(games!$B$2:$B$1200,MATCH(connections!$A2291,games!$A$2:$A$1200,0)),""))</f>
      </c>
      <c r="U2291">
        <f>IF(connections!$A2291="","",IFERROR(INDEX(games!$B$2:$B$1200,MATCH(connections!$B2291,games!$A$2:$A$1200,0)),""))</f>
      </c>
      <c r="V2291">
        <f>IF(OR($T2291="",$U2291=""),"",$U2291-$T2291)</f>
      </c>
    </row>
    <row r="2292">
      <c r="T2292" t="str">
        <f>IF(connections!$A2292="","",IFERROR(INDEX(games!$B$2:$B$1200,MATCH(connections!$A2292,games!$A$2:$A$1200,0)),""))</f>
      </c>
      <c r="U2292">
        <f>IF(connections!$A2292="","",IFERROR(INDEX(games!$B$2:$B$1200,MATCH(connections!$B2292,games!$A$2:$A$1200,0)),""))</f>
      </c>
      <c r="V2292">
        <f>IF(OR($T2292="",$U2292=""),"",$U2292-$T2292)</f>
      </c>
    </row>
    <row r="2293">
      <c r="T2293" t="str">
        <f>IF(connections!$A2293="","",IFERROR(INDEX(games!$B$2:$B$1200,MATCH(connections!$A2293,games!$A$2:$A$1200,0)),""))</f>
      </c>
      <c r="U2293">
        <f>IF(connections!$A2293="","",IFERROR(INDEX(games!$B$2:$B$1200,MATCH(connections!$B2293,games!$A$2:$A$1200,0)),""))</f>
      </c>
      <c r="V2293">
        <f>IF(OR($T2293="",$U2293=""),"",$U2293-$T2293)</f>
      </c>
    </row>
    <row r="2294">
      <c r="T2294" t="str">
        <f>IF(connections!$A2294="","",IFERROR(INDEX(games!$B$2:$B$1200,MATCH(connections!$A2294,games!$A$2:$A$1200,0)),""))</f>
      </c>
      <c r="U2294">
        <f>IF(connections!$A2294="","",IFERROR(INDEX(games!$B$2:$B$1200,MATCH(connections!$B2294,games!$A$2:$A$1200,0)),""))</f>
      </c>
      <c r="V2294">
        <f>IF(OR($T2294="",$U2294=""),"",$U2294-$T2294)</f>
      </c>
    </row>
    <row r="2295">
      <c r="T2295" t="str">
        <f>IF(connections!$A2295="","",IFERROR(INDEX(games!$B$2:$B$1200,MATCH(connections!$A2295,games!$A$2:$A$1200,0)),""))</f>
      </c>
      <c r="U2295">
        <f>IF(connections!$A2295="","",IFERROR(INDEX(games!$B$2:$B$1200,MATCH(connections!$B2295,games!$A$2:$A$1200,0)),""))</f>
      </c>
      <c r="V2295">
        <f>IF(OR($T2295="",$U2295=""),"",$U2295-$T2295)</f>
      </c>
    </row>
    <row r="2296">
      <c r="T2296" t="str">
        <f>IF(connections!$A2296="","",IFERROR(INDEX(games!$B$2:$B$1200,MATCH(connections!$A2296,games!$A$2:$A$1200,0)),""))</f>
      </c>
      <c r="U2296">
        <f>IF(connections!$A2296="","",IFERROR(INDEX(games!$B$2:$B$1200,MATCH(connections!$B2296,games!$A$2:$A$1200,0)),""))</f>
      </c>
      <c r="V2296">
        <f>IF(OR($T2296="",$U2296=""),"",$U2296-$T2296)</f>
      </c>
    </row>
    <row r="2297">
      <c r="T2297" t="str">
        <f>IF(connections!$A2297="","",IFERROR(INDEX(games!$B$2:$B$1200,MATCH(connections!$A2297,games!$A$2:$A$1200,0)),""))</f>
      </c>
      <c r="U2297">
        <f>IF(connections!$A2297="","",IFERROR(INDEX(games!$B$2:$B$1200,MATCH(connections!$B2297,games!$A$2:$A$1200,0)),""))</f>
      </c>
      <c r="V2297">
        <f>IF(OR($T2297="",$U2297=""),"",$U2297-$T2297)</f>
      </c>
    </row>
    <row r="2298">
      <c r="T2298" t="str">
        <f>IF(connections!$A2298="","",IFERROR(INDEX(games!$B$2:$B$1200,MATCH(connections!$A2298,games!$A$2:$A$1200,0)),""))</f>
      </c>
      <c r="U2298">
        <f>IF(connections!$A2298="","",IFERROR(INDEX(games!$B$2:$B$1200,MATCH(connections!$B2298,games!$A$2:$A$1200,0)),""))</f>
      </c>
      <c r="V2298">
        <f>IF(OR($T2298="",$U2298=""),"",$U2298-$T2298)</f>
      </c>
    </row>
    <row r="2299">
      <c r="T2299" t="str">
        <f>IF(connections!$A2299="","",IFERROR(INDEX(games!$B$2:$B$1200,MATCH(connections!$A2299,games!$A$2:$A$1200,0)),""))</f>
      </c>
      <c r="U2299">
        <f>IF(connections!$A2299="","",IFERROR(INDEX(games!$B$2:$B$1200,MATCH(connections!$B2299,games!$A$2:$A$1200,0)),""))</f>
      </c>
      <c r="V2299">
        <f>IF(OR($T2299="",$U2299=""),"",$U2299-$T2299)</f>
      </c>
    </row>
    <row r="2300">
      <c r="T2300" t="str">
        <f>IF(connections!$A2300="","",IFERROR(INDEX(games!$B$2:$B$1200,MATCH(connections!$A2300,games!$A$2:$A$1200,0)),""))</f>
      </c>
      <c r="U2300">
        <f>IF(connections!$A2300="","",IFERROR(INDEX(games!$B$2:$B$1200,MATCH(connections!$B2300,games!$A$2:$A$1200,0)),""))</f>
      </c>
      <c r="V2300">
        <f>IF(OR($T2300="",$U2300=""),"",$U2300-$T2300)</f>
      </c>
    </row>
    <row r="2301">
      <c r="T2301" t="str">
        <f>IF(connections!$A2301="","",IFERROR(INDEX(games!$B$2:$B$1200,MATCH(connections!$A2301,games!$A$2:$A$1200,0)),""))</f>
      </c>
      <c r="U2301">
        <f>IF(connections!$A2301="","",IFERROR(INDEX(games!$B$2:$B$1200,MATCH(connections!$B2301,games!$A$2:$A$1200,0)),""))</f>
      </c>
      <c r="V2301">
        <f>IF(OR($T2301="",$U2301=""),"",$U2301-$T2301)</f>
      </c>
    </row>
    <row r="2302">
      <c r="T2302" t="str">
        <f>IF(connections!$A2302="","",IFERROR(INDEX(games!$B$2:$B$1200,MATCH(connections!$A2302,games!$A$2:$A$1200,0)),""))</f>
      </c>
      <c r="U2302">
        <f>IF(connections!$A2302="","",IFERROR(INDEX(games!$B$2:$B$1200,MATCH(connections!$B2302,games!$A$2:$A$1200,0)),""))</f>
      </c>
      <c r="V2302">
        <f>IF(OR($T2302="",$U2302=""),"",$U2302-$T2302)</f>
      </c>
    </row>
    <row r="2303">
      <c r="T2303" t="str">
        <f>IF(connections!$A2303="","",IFERROR(INDEX(games!$B$2:$B$1200,MATCH(connections!$A2303,games!$A$2:$A$1200,0)),""))</f>
      </c>
      <c r="U2303">
        <f>IF(connections!$A2303="","",IFERROR(INDEX(games!$B$2:$B$1200,MATCH(connections!$B2303,games!$A$2:$A$1200,0)),""))</f>
      </c>
      <c r="V2303">
        <f>IF(OR($T2303="",$U2303=""),"",$U2303-$T2303)</f>
      </c>
    </row>
    <row r="2304">
      <c r="T2304" t="str">
        <f>IF(connections!$A2304="","",IFERROR(INDEX(games!$B$2:$B$1200,MATCH(connections!$A2304,games!$A$2:$A$1200,0)),""))</f>
      </c>
      <c r="U2304">
        <f>IF(connections!$A2304="","",IFERROR(INDEX(games!$B$2:$B$1200,MATCH(connections!$B2304,games!$A$2:$A$1200,0)),""))</f>
      </c>
      <c r="V2304">
        <f>IF(OR($T2304="",$U2304=""),"",$U2304-$T2304)</f>
      </c>
    </row>
    <row r="2305">
      <c r="T2305" t="str">
        <f>IF(connections!$A2305="","",IFERROR(INDEX(games!$B$2:$B$1200,MATCH(connections!$A2305,games!$A$2:$A$1200,0)),""))</f>
      </c>
      <c r="U2305">
        <f>IF(connections!$A2305="","",IFERROR(INDEX(games!$B$2:$B$1200,MATCH(connections!$B2305,games!$A$2:$A$1200,0)),""))</f>
      </c>
      <c r="V2305">
        <f>IF(OR($T2305="",$U2305=""),"",$U2305-$T2305)</f>
      </c>
    </row>
    <row r="2306">
      <c r="T2306" t="str">
        <f>IF(connections!$A2306="","",IFERROR(INDEX(games!$B$2:$B$1200,MATCH(connections!$A2306,games!$A$2:$A$1200,0)),""))</f>
      </c>
      <c r="U2306">
        <f>IF(connections!$A2306="","",IFERROR(INDEX(games!$B$2:$B$1200,MATCH(connections!$B2306,games!$A$2:$A$1200,0)),""))</f>
      </c>
      <c r="V2306">
        <f>IF(OR($T2306="",$U2306=""),"",$U2306-$T2306)</f>
      </c>
    </row>
    <row r="2307">
      <c r="T2307" t="str">
        <f>IF(connections!$A2307="","",IFERROR(INDEX(games!$B$2:$B$1200,MATCH(connections!$A2307,games!$A$2:$A$1200,0)),""))</f>
      </c>
      <c r="U2307">
        <f>IF(connections!$A2307="","",IFERROR(INDEX(games!$B$2:$B$1200,MATCH(connections!$B2307,games!$A$2:$A$1200,0)),""))</f>
      </c>
      <c r="V2307">
        <f>IF(OR($T2307="",$U2307=""),"",$U2307-$T2307)</f>
      </c>
    </row>
    <row r="2308">
      <c r="T2308" t="str">
        <f>IF(connections!$A2308="","",IFERROR(INDEX(games!$B$2:$B$1200,MATCH(connections!$A2308,games!$A$2:$A$1200,0)),""))</f>
      </c>
      <c r="U2308">
        <f>IF(connections!$A2308="","",IFERROR(INDEX(games!$B$2:$B$1200,MATCH(connections!$B2308,games!$A$2:$A$1200,0)),""))</f>
      </c>
      <c r="V2308">
        <f>IF(OR($T2308="",$U2308=""),"",$U2308-$T2308)</f>
      </c>
    </row>
    <row r="2309">
      <c r="T2309" t="str">
        <f>IF(connections!$A2309="","",IFERROR(INDEX(games!$B$2:$B$1200,MATCH(connections!$A2309,games!$A$2:$A$1200,0)),""))</f>
      </c>
      <c r="U2309">
        <f>IF(connections!$A2309="","",IFERROR(INDEX(games!$B$2:$B$1200,MATCH(connections!$B2309,games!$A$2:$A$1200,0)),""))</f>
      </c>
      <c r="V2309">
        <f>IF(OR($T2309="",$U2309=""),"",$U2309-$T2309)</f>
      </c>
    </row>
    <row r="2310">
      <c r="T2310" t="str">
        <f>IF(connections!$A2310="","",IFERROR(INDEX(games!$B$2:$B$1200,MATCH(connections!$A2310,games!$A$2:$A$1200,0)),""))</f>
      </c>
      <c r="U2310">
        <f>IF(connections!$A2310="","",IFERROR(INDEX(games!$B$2:$B$1200,MATCH(connections!$B2310,games!$A$2:$A$1200,0)),""))</f>
      </c>
      <c r="V2310">
        <f>IF(OR($T2310="",$U2310=""),"",$U2310-$T2310)</f>
      </c>
    </row>
    <row r="2311">
      <c r="T2311" t="str">
        <f>IF(connections!$A2311="","",IFERROR(INDEX(games!$B$2:$B$1200,MATCH(connections!$A2311,games!$A$2:$A$1200,0)),""))</f>
      </c>
      <c r="U2311">
        <f>IF(connections!$A2311="","",IFERROR(INDEX(games!$B$2:$B$1200,MATCH(connections!$B2311,games!$A$2:$A$1200,0)),""))</f>
      </c>
      <c r="V2311">
        <f>IF(OR($T2311="",$U2311=""),"",$U2311-$T2311)</f>
      </c>
    </row>
    <row r="2312">
      <c r="T2312" t="str">
        <f>IF(connections!$A2312="","",IFERROR(INDEX(games!$B$2:$B$1200,MATCH(connections!$A2312,games!$A$2:$A$1200,0)),""))</f>
      </c>
      <c r="U2312">
        <f>IF(connections!$A2312="","",IFERROR(INDEX(games!$B$2:$B$1200,MATCH(connections!$B2312,games!$A$2:$A$1200,0)),""))</f>
      </c>
      <c r="V2312">
        <f>IF(OR($T2312="",$U2312=""),"",$U2312-$T2312)</f>
      </c>
    </row>
    <row r="2313">
      <c r="T2313" t="str">
        <f>IF(connections!$A2313="","",IFERROR(INDEX(games!$B$2:$B$1200,MATCH(connections!$A2313,games!$A$2:$A$1200,0)),""))</f>
      </c>
      <c r="U2313">
        <f>IF(connections!$A2313="","",IFERROR(INDEX(games!$B$2:$B$1200,MATCH(connections!$B2313,games!$A$2:$A$1200,0)),""))</f>
      </c>
      <c r="V2313">
        <f>IF(OR($T2313="",$U2313=""),"",$U2313-$T2313)</f>
      </c>
    </row>
    <row r="2314">
      <c r="T2314" t="str">
        <f>IF(connections!$A2314="","",IFERROR(INDEX(games!$B$2:$B$1200,MATCH(connections!$A2314,games!$A$2:$A$1200,0)),""))</f>
      </c>
      <c r="U2314">
        <f>IF(connections!$A2314="","",IFERROR(INDEX(games!$B$2:$B$1200,MATCH(connections!$B2314,games!$A$2:$A$1200,0)),""))</f>
      </c>
      <c r="V2314">
        <f>IF(OR($T2314="",$U2314=""),"",$U2314-$T2314)</f>
      </c>
    </row>
    <row r="2315">
      <c r="T2315" t="str">
        <f>IF(connections!$A2315="","",IFERROR(INDEX(games!$B$2:$B$1200,MATCH(connections!$A2315,games!$A$2:$A$1200,0)),""))</f>
      </c>
      <c r="U2315">
        <f>IF(connections!$A2315="","",IFERROR(INDEX(games!$B$2:$B$1200,MATCH(connections!$B2315,games!$A$2:$A$1200,0)),""))</f>
      </c>
      <c r="V2315">
        <f>IF(OR($T2315="",$U2315=""),"",$U2315-$T2315)</f>
      </c>
    </row>
    <row r="2316">
      <c r="T2316" t="str">
        <f>IF(connections!$A2316="","",IFERROR(INDEX(games!$B$2:$B$1200,MATCH(connections!$A2316,games!$A$2:$A$1200,0)),""))</f>
      </c>
      <c r="U2316">
        <f>IF(connections!$A2316="","",IFERROR(INDEX(games!$B$2:$B$1200,MATCH(connections!$B2316,games!$A$2:$A$1200,0)),""))</f>
      </c>
      <c r="V2316">
        <f>IF(OR($T2316="",$U2316=""),"",$U2316-$T2316)</f>
      </c>
    </row>
    <row r="2317">
      <c r="T2317" t="str">
        <f>IF(connections!$A2317="","",IFERROR(INDEX(games!$B$2:$B$1200,MATCH(connections!$A2317,games!$A$2:$A$1200,0)),""))</f>
      </c>
      <c r="U2317">
        <f>IF(connections!$A2317="","",IFERROR(INDEX(games!$B$2:$B$1200,MATCH(connections!$B2317,games!$A$2:$A$1200,0)),""))</f>
      </c>
      <c r="V2317">
        <f>IF(OR($T2317="",$U2317=""),"",$U2317-$T2317)</f>
      </c>
    </row>
    <row r="2318">
      <c r="T2318" t="str">
        <f>IF(connections!$A2318="","",IFERROR(INDEX(games!$B$2:$B$1200,MATCH(connections!$A2318,games!$A$2:$A$1200,0)),""))</f>
      </c>
      <c r="U2318">
        <f>IF(connections!$A2318="","",IFERROR(INDEX(games!$B$2:$B$1200,MATCH(connections!$B2318,games!$A$2:$A$1200,0)),""))</f>
      </c>
      <c r="V2318">
        <f>IF(OR($T2318="",$U2318=""),"",$U2318-$T2318)</f>
      </c>
    </row>
    <row r="2319">
      <c r="T2319" t="str">
        <f>IF(connections!$A2319="","",IFERROR(INDEX(games!$B$2:$B$1200,MATCH(connections!$A2319,games!$A$2:$A$1200,0)),""))</f>
      </c>
      <c r="U2319">
        <f>IF(connections!$A2319="","",IFERROR(INDEX(games!$B$2:$B$1200,MATCH(connections!$B2319,games!$A$2:$A$1200,0)),""))</f>
      </c>
      <c r="V2319">
        <f>IF(OR($T2319="",$U2319=""),"",$U2319-$T2319)</f>
      </c>
    </row>
    <row r="2320">
      <c r="T2320" t="str">
        <f>IF(connections!$A2320="","",IFERROR(INDEX(games!$B$2:$B$1200,MATCH(connections!$A2320,games!$A$2:$A$1200,0)),""))</f>
      </c>
      <c r="U2320">
        <f>IF(connections!$A2320="","",IFERROR(INDEX(games!$B$2:$B$1200,MATCH(connections!$B2320,games!$A$2:$A$1200,0)),""))</f>
      </c>
      <c r="V2320">
        <f>IF(OR($T2320="",$U2320=""),"",$U2320-$T2320)</f>
      </c>
    </row>
    <row r="2321">
      <c r="T2321" t="str">
        <f>IF(connections!$A2321="","",IFERROR(INDEX(games!$B$2:$B$1200,MATCH(connections!$A2321,games!$A$2:$A$1200,0)),""))</f>
      </c>
      <c r="U2321">
        <f>IF(connections!$A2321="","",IFERROR(INDEX(games!$B$2:$B$1200,MATCH(connections!$B2321,games!$A$2:$A$1200,0)),""))</f>
      </c>
      <c r="V2321">
        <f>IF(OR($T2321="",$U2321=""),"",$U2321-$T2321)</f>
      </c>
    </row>
    <row r="2322">
      <c r="T2322" t="str">
        <f>IF(connections!$A2322="","",IFERROR(INDEX(games!$B$2:$B$1200,MATCH(connections!$A2322,games!$A$2:$A$1200,0)),""))</f>
      </c>
      <c r="U2322">
        <f>IF(connections!$A2322="","",IFERROR(INDEX(games!$B$2:$B$1200,MATCH(connections!$B2322,games!$A$2:$A$1200,0)),""))</f>
      </c>
      <c r="V2322">
        <f>IF(OR($T2322="",$U2322=""),"",$U2322-$T2322)</f>
      </c>
    </row>
    <row r="2323">
      <c r="T2323" t="str">
        <f>IF(connections!$A2323="","",IFERROR(INDEX(games!$B$2:$B$1200,MATCH(connections!$A2323,games!$A$2:$A$1200,0)),""))</f>
      </c>
      <c r="U2323">
        <f>IF(connections!$A2323="","",IFERROR(INDEX(games!$B$2:$B$1200,MATCH(connections!$B2323,games!$A$2:$A$1200,0)),""))</f>
      </c>
      <c r="V2323">
        <f>IF(OR($T2323="",$U2323=""),"",$U2323-$T2323)</f>
      </c>
    </row>
    <row r="2324">
      <c r="T2324" t="str">
        <f>IF(connections!$A2324="","",IFERROR(INDEX(games!$B$2:$B$1200,MATCH(connections!$A2324,games!$A$2:$A$1200,0)),""))</f>
      </c>
      <c r="U2324">
        <f>IF(connections!$A2324="","",IFERROR(INDEX(games!$B$2:$B$1200,MATCH(connections!$B2324,games!$A$2:$A$1200,0)),""))</f>
      </c>
      <c r="V2324">
        <f>IF(OR($T2324="",$U2324=""),"",$U2324-$T2324)</f>
      </c>
    </row>
    <row r="2325">
      <c r="T2325" t="str">
        <f>IF(connections!$A2325="","",IFERROR(INDEX(games!$B$2:$B$1200,MATCH(connections!$A2325,games!$A$2:$A$1200,0)),""))</f>
      </c>
      <c r="U2325">
        <f>IF(connections!$A2325="","",IFERROR(INDEX(games!$B$2:$B$1200,MATCH(connections!$B2325,games!$A$2:$A$1200,0)),""))</f>
      </c>
      <c r="V2325">
        <f>IF(OR($T2325="",$U2325=""),"",$U2325-$T2325)</f>
      </c>
    </row>
    <row r="2326">
      <c r="T2326" t="str">
        <f>IF(connections!$A2326="","",IFERROR(INDEX(games!$B$2:$B$1200,MATCH(connections!$A2326,games!$A$2:$A$1200,0)),""))</f>
      </c>
      <c r="U2326">
        <f>IF(connections!$A2326="","",IFERROR(INDEX(games!$B$2:$B$1200,MATCH(connections!$B2326,games!$A$2:$A$1200,0)),""))</f>
      </c>
      <c r="V2326">
        <f>IF(OR($T2326="",$U2326=""),"",$U2326-$T2326)</f>
      </c>
    </row>
    <row r="2327">
      <c r="T2327" t="str">
        <f>IF(connections!$A2327="","",IFERROR(INDEX(games!$B$2:$B$1200,MATCH(connections!$A2327,games!$A$2:$A$1200,0)),""))</f>
      </c>
      <c r="U2327">
        <f>IF(connections!$A2327="","",IFERROR(INDEX(games!$B$2:$B$1200,MATCH(connections!$B2327,games!$A$2:$A$1200,0)),""))</f>
      </c>
      <c r="V2327">
        <f>IF(OR($T2327="",$U2327=""),"",$U2327-$T2327)</f>
      </c>
    </row>
    <row r="2328">
      <c r="T2328" t="str">
        <f>IF(connections!$A2328="","",IFERROR(INDEX(games!$B$2:$B$1200,MATCH(connections!$A2328,games!$A$2:$A$1200,0)),""))</f>
      </c>
      <c r="U2328">
        <f>IF(connections!$A2328="","",IFERROR(INDEX(games!$B$2:$B$1200,MATCH(connections!$B2328,games!$A$2:$A$1200,0)),""))</f>
      </c>
      <c r="V2328">
        <f>IF(OR($T2328="",$U2328=""),"",$U2328-$T2328)</f>
      </c>
    </row>
    <row r="2329">
      <c r="T2329" t="str">
        <f>IF(connections!$A2329="","",IFERROR(INDEX(games!$B$2:$B$1200,MATCH(connections!$A2329,games!$A$2:$A$1200,0)),""))</f>
      </c>
      <c r="U2329">
        <f>IF(connections!$A2329="","",IFERROR(INDEX(games!$B$2:$B$1200,MATCH(connections!$B2329,games!$A$2:$A$1200,0)),""))</f>
      </c>
      <c r="V2329">
        <f>IF(OR($T2329="",$U2329=""),"",$U2329-$T2329)</f>
      </c>
    </row>
    <row r="2330">
      <c r="T2330" t="str">
        <f>IF(connections!$A2330="","",IFERROR(INDEX(games!$B$2:$B$1200,MATCH(connections!$A2330,games!$A$2:$A$1200,0)),""))</f>
      </c>
      <c r="U2330">
        <f>IF(connections!$A2330="","",IFERROR(INDEX(games!$B$2:$B$1200,MATCH(connections!$B2330,games!$A$2:$A$1200,0)),""))</f>
      </c>
      <c r="V2330">
        <f>IF(OR($T2330="",$U2330=""),"",$U2330-$T2330)</f>
      </c>
    </row>
    <row r="2331">
      <c r="T2331" t="str">
        <f>IF(connections!$A2331="","",IFERROR(INDEX(games!$B$2:$B$1200,MATCH(connections!$A2331,games!$A$2:$A$1200,0)),""))</f>
      </c>
      <c r="U2331">
        <f>IF(connections!$A2331="","",IFERROR(INDEX(games!$B$2:$B$1200,MATCH(connections!$B2331,games!$A$2:$A$1200,0)),""))</f>
      </c>
      <c r="V2331">
        <f>IF(OR($T2331="",$U2331=""),"",$U2331-$T2331)</f>
      </c>
    </row>
    <row r="2332">
      <c r="T2332" t="str">
        <f>IF(connections!$A2332="","",IFERROR(INDEX(games!$B$2:$B$1200,MATCH(connections!$A2332,games!$A$2:$A$1200,0)),""))</f>
      </c>
      <c r="U2332">
        <f>IF(connections!$A2332="","",IFERROR(INDEX(games!$B$2:$B$1200,MATCH(connections!$B2332,games!$A$2:$A$1200,0)),""))</f>
      </c>
      <c r="V2332">
        <f>IF(OR($T2332="",$U2332=""),"",$U2332-$T2332)</f>
      </c>
    </row>
    <row r="2333">
      <c r="T2333" t="str">
        <f>IF(connections!$A2333="","",IFERROR(INDEX(games!$B$2:$B$1200,MATCH(connections!$A2333,games!$A$2:$A$1200,0)),""))</f>
      </c>
      <c r="U2333">
        <f>IF(connections!$A2333="","",IFERROR(INDEX(games!$B$2:$B$1200,MATCH(connections!$B2333,games!$A$2:$A$1200,0)),""))</f>
      </c>
      <c r="V2333">
        <f>IF(OR($T2333="",$U2333=""),"",$U2333-$T2333)</f>
      </c>
    </row>
    <row r="2334">
      <c r="T2334" t="str">
        <f>IF(connections!$A2334="","",IFERROR(INDEX(games!$B$2:$B$1200,MATCH(connections!$A2334,games!$A$2:$A$1200,0)),""))</f>
      </c>
      <c r="U2334">
        <f>IF(connections!$A2334="","",IFERROR(INDEX(games!$B$2:$B$1200,MATCH(connections!$B2334,games!$A$2:$A$1200,0)),""))</f>
      </c>
      <c r="V2334">
        <f>IF(OR($T2334="",$U2334=""),"",$U2334-$T2334)</f>
      </c>
    </row>
    <row r="2335">
      <c r="T2335" t="str">
        <f>IF(connections!$A2335="","",IFERROR(INDEX(games!$B$2:$B$1200,MATCH(connections!$A2335,games!$A$2:$A$1200,0)),""))</f>
      </c>
      <c r="U2335">
        <f>IF(connections!$A2335="","",IFERROR(INDEX(games!$B$2:$B$1200,MATCH(connections!$B2335,games!$A$2:$A$1200,0)),""))</f>
      </c>
      <c r="V2335">
        <f>IF(OR($T2335="",$U2335=""),"",$U2335-$T2335)</f>
      </c>
    </row>
    <row r="2336">
      <c r="T2336" t="str">
        <f>IF(connections!$A2336="","",IFERROR(INDEX(games!$B$2:$B$1200,MATCH(connections!$A2336,games!$A$2:$A$1200,0)),""))</f>
      </c>
      <c r="U2336">
        <f>IF(connections!$A2336="","",IFERROR(INDEX(games!$B$2:$B$1200,MATCH(connections!$B2336,games!$A$2:$A$1200,0)),""))</f>
      </c>
      <c r="V2336">
        <f>IF(OR($T2336="",$U2336=""),"",$U2336-$T2336)</f>
      </c>
    </row>
    <row r="2337">
      <c r="T2337" t="str">
        <f>IF(connections!$A2337="","",IFERROR(INDEX(games!$B$2:$B$1200,MATCH(connections!$A2337,games!$A$2:$A$1200,0)),""))</f>
      </c>
      <c r="U2337">
        <f>IF(connections!$A2337="","",IFERROR(INDEX(games!$B$2:$B$1200,MATCH(connections!$B2337,games!$A$2:$A$1200,0)),""))</f>
      </c>
      <c r="V2337">
        <f>IF(OR($T2337="",$U2337=""),"",$U2337-$T2337)</f>
      </c>
    </row>
    <row r="2338">
      <c r="T2338" t="str">
        <f>IF(connections!$A2338="","",IFERROR(INDEX(games!$B$2:$B$1200,MATCH(connections!$A2338,games!$A$2:$A$1200,0)),""))</f>
      </c>
      <c r="U2338">
        <f>IF(connections!$A2338="","",IFERROR(INDEX(games!$B$2:$B$1200,MATCH(connections!$B2338,games!$A$2:$A$1200,0)),""))</f>
      </c>
      <c r="V2338">
        <f>IF(OR($T2338="",$U2338=""),"",$U2338-$T2338)</f>
      </c>
    </row>
    <row r="2339">
      <c r="T2339" t="str">
        <f>IF(connections!$A2339="","",IFERROR(INDEX(games!$B$2:$B$1200,MATCH(connections!$A2339,games!$A$2:$A$1200,0)),""))</f>
      </c>
      <c r="U2339">
        <f>IF(connections!$A2339="","",IFERROR(INDEX(games!$B$2:$B$1200,MATCH(connections!$B2339,games!$A$2:$A$1200,0)),""))</f>
      </c>
      <c r="V2339">
        <f>IF(OR($T2339="",$U2339=""),"",$U2339-$T2339)</f>
      </c>
    </row>
    <row r="2340">
      <c r="T2340" t="str">
        <f>IF(connections!$A2340="","",IFERROR(INDEX(games!$B$2:$B$1200,MATCH(connections!$A2340,games!$A$2:$A$1200,0)),""))</f>
      </c>
      <c r="U2340">
        <f>IF(connections!$A2340="","",IFERROR(INDEX(games!$B$2:$B$1200,MATCH(connections!$B2340,games!$A$2:$A$1200,0)),""))</f>
      </c>
      <c r="V2340">
        <f>IF(OR($T2340="",$U2340=""),"",$U2340-$T2340)</f>
      </c>
    </row>
    <row r="2341">
      <c r="T2341" t="str">
        <f>IF(connections!$A2341="","",IFERROR(INDEX(games!$B$2:$B$1200,MATCH(connections!$A2341,games!$A$2:$A$1200,0)),""))</f>
      </c>
      <c r="U2341">
        <f>IF(connections!$A2341="","",IFERROR(INDEX(games!$B$2:$B$1200,MATCH(connections!$B2341,games!$A$2:$A$1200,0)),""))</f>
      </c>
      <c r="V2341">
        <f>IF(OR($T2341="",$U2341=""),"",$U2341-$T2341)</f>
      </c>
    </row>
    <row r="2342">
      <c r="T2342" t="str">
        <f>IF(connections!$A2342="","",IFERROR(INDEX(games!$B$2:$B$1200,MATCH(connections!$A2342,games!$A$2:$A$1200,0)),""))</f>
      </c>
      <c r="U2342">
        <f>IF(connections!$A2342="","",IFERROR(INDEX(games!$B$2:$B$1200,MATCH(connections!$B2342,games!$A$2:$A$1200,0)),""))</f>
      </c>
      <c r="V2342">
        <f>IF(OR($T2342="",$U2342=""),"",$U2342-$T2342)</f>
      </c>
    </row>
    <row r="2343">
      <c r="T2343" t="str">
        <f>IF(connections!$A2343="","",IFERROR(INDEX(games!$B$2:$B$1200,MATCH(connections!$A2343,games!$A$2:$A$1200,0)),""))</f>
      </c>
      <c r="U2343">
        <f>IF(connections!$A2343="","",IFERROR(INDEX(games!$B$2:$B$1200,MATCH(connections!$B2343,games!$A$2:$A$1200,0)),""))</f>
      </c>
      <c r="V2343">
        <f>IF(OR($T2343="",$U2343=""),"",$U2343-$T2343)</f>
      </c>
    </row>
    <row r="2344">
      <c r="T2344" t="str">
        <f>IF(connections!$A2344="","",IFERROR(INDEX(games!$B$2:$B$1200,MATCH(connections!$A2344,games!$A$2:$A$1200,0)),""))</f>
      </c>
      <c r="U2344">
        <f>IF(connections!$A2344="","",IFERROR(INDEX(games!$B$2:$B$1200,MATCH(connections!$B2344,games!$A$2:$A$1200,0)),""))</f>
      </c>
      <c r="V2344">
        <f>IF(OR($T2344="",$U2344=""),"",$U2344-$T2344)</f>
      </c>
    </row>
    <row r="2345">
      <c r="T2345" t="str">
        <f>IF(connections!$A2345="","",IFERROR(INDEX(games!$B$2:$B$1200,MATCH(connections!$A2345,games!$A$2:$A$1200,0)),""))</f>
      </c>
      <c r="U2345">
        <f>IF(connections!$A2345="","",IFERROR(INDEX(games!$B$2:$B$1200,MATCH(connections!$B2345,games!$A$2:$A$1200,0)),""))</f>
      </c>
      <c r="V2345">
        <f>IF(OR($T2345="",$U2345=""),"",$U2345-$T2345)</f>
      </c>
    </row>
    <row r="2346">
      <c r="T2346" t="str">
        <f>IF(connections!$A2346="","",IFERROR(INDEX(games!$B$2:$B$1200,MATCH(connections!$A2346,games!$A$2:$A$1200,0)),""))</f>
      </c>
      <c r="U2346">
        <f>IF(connections!$A2346="","",IFERROR(INDEX(games!$B$2:$B$1200,MATCH(connections!$B2346,games!$A$2:$A$1200,0)),""))</f>
      </c>
      <c r="V2346">
        <f>IF(OR($T2346="",$U2346=""),"",$U2346-$T2346)</f>
      </c>
    </row>
    <row r="2347">
      <c r="T2347" t="str">
        <f>IF(connections!$A2347="","",IFERROR(INDEX(games!$B$2:$B$1200,MATCH(connections!$A2347,games!$A$2:$A$1200,0)),""))</f>
      </c>
      <c r="U2347">
        <f>IF(connections!$A2347="","",IFERROR(INDEX(games!$B$2:$B$1200,MATCH(connections!$B2347,games!$A$2:$A$1200,0)),""))</f>
      </c>
      <c r="V2347">
        <f>IF(OR($T2347="",$U2347=""),"",$U2347-$T2347)</f>
      </c>
    </row>
    <row r="2348">
      <c r="T2348" t="str">
        <f>IF(connections!$A2348="","",IFERROR(INDEX(games!$B$2:$B$1200,MATCH(connections!$A2348,games!$A$2:$A$1200,0)),""))</f>
      </c>
      <c r="U2348">
        <f>IF(connections!$A2348="","",IFERROR(INDEX(games!$B$2:$B$1200,MATCH(connections!$B2348,games!$A$2:$A$1200,0)),""))</f>
      </c>
      <c r="V2348">
        <f>IF(OR($T2348="",$U2348=""),"",$U2348-$T2348)</f>
      </c>
    </row>
    <row r="2349">
      <c r="T2349" t="str">
        <f>IF(connections!$A2349="","",IFERROR(INDEX(games!$B$2:$B$1200,MATCH(connections!$A2349,games!$A$2:$A$1200,0)),""))</f>
      </c>
      <c r="U2349">
        <f>IF(connections!$A2349="","",IFERROR(INDEX(games!$B$2:$B$1200,MATCH(connections!$B2349,games!$A$2:$A$1200,0)),""))</f>
      </c>
      <c r="V2349">
        <f>IF(OR($T2349="",$U2349=""),"",$U2349-$T2349)</f>
      </c>
    </row>
    <row r="2350">
      <c r="T2350" t="str">
        <f>IF(connections!$A2350="","",IFERROR(INDEX(games!$B$2:$B$1200,MATCH(connections!$A2350,games!$A$2:$A$1200,0)),""))</f>
      </c>
      <c r="U2350">
        <f>IF(connections!$A2350="","",IFERROR(INDEX(games!$B$2:$B$1200,MATCH(connections!$B2350,games!$A$2:$A$1200,0)),""))</f>
      </c>
      <c r="V2350">
        <f>IF(OR($T2350="",$U2350=""),"",$U2350-$T2350)</f>
      </c>
    </row>
    <row r="2351">
      <c r="T2351" t="str">
        <f>IF(connections!$A2351="","",IFERROR(INDEX(games!$B$2:$B$1200,MATCH(connections!$A2351,games!$A$2:$A$1200,0)),""))</f>
      </c>
      <c r="U2351">
        <f>IF(connections!$A2351="","",IFERROR(INDEX(games!$B$2:$B$1200,MATCH(connections!$B2351,games!$A$2:$A$1200,0)),""))</f>
      </c>
      <c r="V2351">
        <f>IF(OR($T2351="",$U2351=""),"",$U2351-$T2351)</f>
      </c>
    </row>
    <row r="2352">
      <c r="T2352" t="str">
        <f>IF(connections!$A2352="","",IFERROR(INDEX(games!$B$2:$B$1200,MATCH(connections!$A2352,games!$A$2:$A$1200,0)),""))</f>
      </c>
      <c r="U2352">
        <f>IF(connections!$A2352="","",IFERROR(INDEX(games!$B$2:$B$1200,MATCH(connections!$B2352,games!$A$2:$A$1200,0)),""))</f>
      </c>
      <c r="V2352">
        <f>IF(OR($T2352="",$U2352=""),"",$U2352-$T2352)</f>
      </c>
    </row>
    <row r="2353">
      <c r="T2353" t="str">
        <f>IF(connections!$A2353="","",IFERROR(INDEX(games!$B$2:$B$1200,MATCH(connections!$A2353,games!$A$2:$A$1200,0)),""))</f>
      </c>
      <c r="U2353">
        <f>IF(connections!$A2353="","",IFERROR(INDEX(games!$B$2:$B$1200,MATCH(connections!$B2353,games!$A$2:$A$1200,0)),""))</f>
      </c>
      <c r="V2353">
        <f>IF(OR($T2353="",$U2353=""),"",$U2353-$T2353)</f>
      </c>
    </row>
    <row r="2354">
      <c r="T2354" t="str">
        <f>IF(connections!$A2354="","",IFERROR(INDEX(games!$B$2:$B$1200,MATCH(connections!$A2354,games!$A$2:$A$1200,0)),""))</f>
      </c>
      <c r="U2354">
        <f>IF(connections!$A2354="","",IFERROR(INDEX(games!$B$2:$B$1200,MATCH(connections!$B2354,games!$A$2:$A$1200,0)),""))</f>
      </c>
      <c r="V2354">
        <f>IF(OR($T2354="",$U2354=""),"",$U2354-$T2354)</f>
      </c>
    </row>
    <row r="2355">
      <c r="T2355" t="str">
        <f>IF(connections!$A2355="","",IFERROR(INDEX(games!$B$2:$B$1200,MATCH(connections!$A2355,games!$A$2:$A$1200,0)),""))</f>
      </c>
      <c r="U2355">
        <f>IF(connections!$A2355="","",IFERROR(INDEX(games!$B$2:$B$1200,MATCH(connections!$B2355,games!$A$2:$A$1200,0)),""))</f>
      </c>
      <c r="V2355">
        <f>IF(OR($T2355="",$U2355=""),"",$U2355-$T2355)</f>
      </c>
    </row>
    <row r="2356">
      <c r="T2356" t="str">
        <f>IF(connections!$A2356="","",IFERROR(INDEX(games!$B$2:$B$1200,MATCH(connections!$A2356,games!$A$2:$A$1200,0)),""))</f>
      </c>
      <c r="U2356">
        <f>IF(connections!$A2356="","",IFERROR(INDEX(games!$B$2:$B$1200,MATCH(connections!$B2356,games!$A$2:$A$1200,0)),""))</f>
      </c>
      <c r="V2356">
        <f>IF(OR($T2356="",$U2356=""),"",$U2356-$T2356)</f>
      </c>
    </row>
    <row r="2357">
      <c r="T2357" t="str">
        <f>IF(connections!$A2357="","",IFERROR(INDEX(games!$B$2:$B$1200,MATCH(connections!$A2357,games!$A$2:$A$1200,0)),""))</f>
      </c>
      <c r="U2357">
        <f>IF(connections!$A2357="","",IFERROR(INDEX(games!$B$2:$B$1200,MATCH(connections!$B2357,games!$A$2:$A$1200,0)),""))</f>
      </c>
      <c r="V2357">
        <f>IF(OR($T2357="",$U2357=""),"",$U2357-$T2357)</f>
      </c>
    </row>
    <row r="2358">
      <c r="T2358" t="str">
        <f>IF(connections!$A2358="","",IFERROR(INDEX(games!$B$2:$B$1200,MATCH(connections!$A2358,games!$A$2:$A$1200,0)),""))</f>
      </c>
      <c r="U2358">
        <f>IF(connections!$A2358="","",IFERROR(INDEX(games!$B$2:$B$1200,MATCH(connections!$B2358,games!$A$2:$A$1200,0)),""))</f>
      </c>
      <c r="V2358">
        <f>IF(OR($T2358="",$U2358=""),"",$U2358-$T2358)</f>
      </c>
    </row>
    <row r="2359">
      <c r="T2359" t="str">
        <f>IF(connections!$A2359="","",IFERROR(INDEX(games!$B$2:$B$1200,MATCH(connections!$A2359,games!$A$2:$A$1200,0)),""))</f>
      </c>
      <c r="U2359">
        <f>IF(connections!$A2359="","",IFERROR(INDEX(games!$B$2:$B$1200,MATCH(connections!$B2359,games!$A$2:$A$1200,0)),""))</f>
      </c>
      <c r="V2359">
        <f>IF(OR($T2359="",$U2359=""),"",$U2359-$T2359)</f>
      </c>
    </row>
    <row r="2360">
      <c r="T2360" t="str">
        <f>IF(connections!$A2360="","",IFERROR(INDEX(games!$B$2:$B$1200,MATCH(connections!$A2360,games!$A$2:$A$1200,0)),""))</f>
      </c>
      <c r="U2360">
        <f>IF(connections!$A2360="","",IFERROR(INDEX(games!$B$2:$B$1200,MATCH(connections!$B2360,games!$A$2:$A$1200,0)),""))</f>
      </c>
      <c r="V2360">
        <f>IF(OR($T2360="",$U2360=""),"",$U2360-$T2360)</f>
      </c>
    </row>
    <row r="2361">
      <c r="T2361" t="str">
        <f>IF(connections!$A2361="","",IFERROR(INDEX(games!$B$2:$B$1200,MATCH(connections!$A2361,games!$A$2:$A$1200,0)),""))</f>
      </c>
      <c r="U2361">
        <f>IF(connections!$A2361="","",IFERROR(INDEX(games!$B$2:$B$1200,MATCH(connections!$B2361,games!$A$2:$A$1200,0)),""))</f>
      </c>
      <c r="V2361">
        <f>IF(OR($T2361="",$U2361=""),"",$U2361-$T2361)</f>
      </c>
    </row>
    <row r="2362">
      <c r="T2362" t="str">
        <f>IF(connections!$A2362="","",IFERROR(INDEX(games!$B$2:$B$1200,MATCH(connections!$A2362,games!$A$2:$A$1200,0)),""))</f>
      </c>
      <c r="U2362">
        <f>IF(connections!$A2362="","",IFERROR(INDEX(games!$B$2:$B$1200,MATCH(connections!$B2362,games!$A$2:$A$1200,0)),""))</f>
      </c>
      <c r="V2362">
        <f>IF(OR($T2362="",$U2362=""),"",$U2362-$T2362)</f>
      </c>
    </row>
    <row r="2363">
      <c r="T2363" t="str">
        <f>IF(connections!$A2363="","",IFERROR(INDEX(games!$B$2:$B$1200,MATCH(connections!$A2363,games!$A$2:$A$1200,0)),""))</f>
      </c>
      <c r="U2363">
        <f>IF(connections!$A2363="","",IFERROR(INDEX(games!$B$2:$B$1200,MATCH(connections!$B2363,games!$A$2:$A$1200,0)),""))</f>
      </c>
      <c r="V2363">
        <f>IF(OR($T2363="",$U2363=""),"",$U2363-$T2363)</f>
      </c>
    </row>
    <row r="2364">
      <c r="T2364" t="str">
        <f>IF(connections!$A2364="","",IFERROR(INDEX(games!$B$2:$B$1200,MATCH(connections!$A2364,games!$A$2:$A$1200,0)),""))</f>
      </c>
      <c r="U2364">
        <f>IF(connections!$A2364="","",IFERROR(INDEX(games!$B$2:$B$1200,MATCH(connections!$B2364,games!$A$2:$A$1200,0)),""))</f>
      </c>
      <c r="V2364">
        <f>IF(OR($T2364="",$U2364=""),"",$U2364-$T2364)</f>
      </c>
    </row>
    <row r="2365">
      <c r="T2365" t="str">
        <f>IF(connections!$A2365="","",IFERROR(INDEX(games!$B$2:$B$1200,MATCH(connections!$A2365,games!$A$2:$A$1200,0)),""))</f>
      </c>
      <c r="U2365">
        <f>IF(connections!$A2365="","",IFERROR(INDEX(games!$B$2:$B$1200,MATCH(connections!$B2365,games!$A$2:$A$1200,0)),""))</f>
      </c>
      <c r="V2365">
        <f>IF(OR($T2365="",$U2365=""),"",$U2365-$T2365)</f>
      </c>
    </row>
    <row r="2366">
      <c r="T2366" t="str">
        <f>IF(connections!$A2366="","",IFERROR(INDEX(games!$B$2:$B$1200,MATCH(connections!$A2366,games!$A$2:$A$1200,0)),""))</f>
      </c>
      <c r="U2366">
        <f>IF(connections!$A2366="","",IFERROR(INDEX(games!$B$2:$B$1200,MATCH(connections!$B2366,games!$A$2:$A$1200,0)),""))</f>
      </c>
      <c r="V2366">
        <f>IF(OR($T2366="",$U2366=""),"",$U2366-$T2366)</f>
      </c>
    </row>
    <row r="2367">
      <c r="T2367" t="str">
        <f>IF(connections!$A2367="","",IFERROR(INDEX(games!$B$2:$B$1200,MATCH(connections!$A2367,games!$A$2:$A$1200,0)),""))</f>
      </c>
      <c r="U2367">
        <f>IF(connections!$A2367="","",IFERROR(INDEX(games!$B$2:$B$1200,MATCH(connections!$B2367,games!$A$2:$A$1200,0)),""))</f>
      </c>
      <c r="V2367">
        <f>IF(OR($T2367="",$U2367=""),"",$U2367-$T2367)</f>
      </c>
    </row>
    <row r="2368">
      <c r="T2368" t="str">
        <f>IF(connections!$A2368="","",IFERROR(INDEX(games!$B$2:$B$1200,MATCH(connections!$A2368,games!$A$2:$A$1200,0)),""))</f>
      </c>
      <c r="U2368">
        <f>IF(connections!$A2368="","",IFERROR(INDEX(games!$B$2:$B$1200,MATCH(connections!$B2368,games!$A$2:$A$1200,0)),""))</f>
      </c>
      <c r="V2368">
        <f>IF(OR($T2368="",$U2368=""),"",$U2368-$T2368)</f>
      </c>
    </row>
    <row r="2369">
      <c r="T2369" t="str">
        <f>IF(connections!$A2369="","",IFERROR(INDEX(games!$B$2:$B$1200,MATCH(connections!$A2369,games!$A$2:$A$1200,0)),""))</f>
      </c>
      <c r="U2369">
        <f>IF(connections!$A2369="","",IFERROR(INDEX(games!$B$2:$B$1200,MATCH(connections!$B2369,games!$A$2:$A$1200,0)),""))</f>
      </c>
      <c r="V2369">
        <f>IF(OR($T2369="",$U2369=""),"",$U2369-$T2369)</f>
      </c>
    </row>
    <row r="2370">
      <c r="T2370" t="str">
        <f>IF(connections!$A2370="","",IFERROR(INDEX(games!$B$2:$B$1200,MATCH(connections!$A2370,games!$A$2:$A$1200,0)),""))</f>
      </c>
      <c r="U2370">
        <f>IF(connections!$A2370="","",IFERROR(INDEX(games!$B$2:$B$1200,MATCH(connections!$B2370,games!$A$2:$A$1200,0)),""))</f>
      </c>
      <c r="V2370">
        <f>IF(OR($T2370="",$U2370=""),"",$U2370-$T2370)</f>
      </c>
    </row>
    <row r="2371">
      <c r="T2371" t="str">
        <f>IF(connections!$A2371="","",IFERROR(INDEX(games!$B$2:$B$1200,MATCH(connections!$A2371,games!$A$2:$A$1200,0)),""))</f>
      </c>
      <c r="U2371">
        <f>IF(connections!$A2371="","",IFERROR(INDEX(games!$B$2:$B$1200,MATCH(connections!$B2371,games!$A$2:$A$1200,0)),""))</f>
      </c>
      <c r="V2371">
        <f>IF(OR($T2371="",$U2371=""),"",$U2371-$T2371)</f>
      </c>
    </row>
    <row r="2372">
      <c r="T2372" t="str">
        <f>IF(connections!$A2372="","",IFERROR(INDEX(games!$B$2:$B$1200,MATCH(connections!$A2372,games!$A$2:$A$1200,0)),""))</f>
      </c>
      <c r="U2372">
        <f>IF(connections!$A2372="","",IFERROR(INDEX(games!$B$2:$B$1200,MATCH(connections!$B2372,games!$A$2:$A$1200,0)),""))</f>
      </c>
      <c r="V2372">
        <f>IF(OR($T2372="",$U2372=""),"",$U2372-$T2372)</f>
      </c>
    </row>
    <row r="2373">
      <c r="T2373" t="str">
        <f>IF(connections!$A2373="","",IFERROR(INDEX(games!$B$2:$B$1200,MATCH(connections!$A2373,games!$A$2:$A$1200,0)),""))</f>
      </c>
      <c r="U2373">
        <f>IF(connections!$A2373="","",IFERROR(INDEX(games!$B$2:$B$1200,MATCH(connections!$B2373,games!$A$2:$A$1200,0)),""))</f>
      </c>
      <c r="V2373">
        <f>IF(OR($T2373="",$U2373=""),"",$U2373-$T2373)</f>
      </c>
    </row>
    <row r="2374">
      <c r="T2374" t="str">
        <f>IF(connections!$A2374="","",IFERROR(INDEX(games!$B$2:$B$1200,MATCH(connections!$A2374,games!$A$2:$A$1200,0)),""))</f>
      </c>
      <c r="U2374">
        <f>IF(connections!$A2374="","",IFERROR(INDEX(games!$B$2:$B$1200,MATCH(connections!$B2374,games!$A$2:$A$1200,0)),""))</f>
      </c>
      <c r="V2374">
        <f>IF(OR($T2374="",$U2374=""),"",$U2374-$T2374)</f>
      </c>
    </row>
    <row r="2375">
      <c r="T2375" t="str">
        <f>IF(connections!$A2375="","",IFERROR(INDEX(games!$B$2:$B$1200,MATCH(connections!$A2375,games!$A$2:$A$1200,0)),""))</f>
      </c>
      <c r="U2375">
        <f>IF(connections!$A2375="","",IFERROR(INDEX(games!$B$2:$B$1200,MATCH(connections!$B2375,games!$A$2:$A$1200,0)),""))</f>
      </c>
      <c r="V2375">
        <f>IF(OR($T2375="",$U2375=""),"",$U2375-$T2375)</f>
      </c>
    </row>
    <row r="2376">
      <c r="T2376" t="str">
        <f>IF(connections!$A2376="","",IFERROR(INDEX(games!$B$2:$B$1200,MATCH(connections!$A2376,games!$A$2:$A$1200,0)),""))</f>
      </c>
      <c r="U2376">
        <f>IF(connections!$A2376="","",IFERROR(INDEX(games!$B$2:$B$1200,MATCH(connections!$B2376,games!$A$2:$A$1200,0)),""))</f>
      </c>
      <c r="V2376">
        <f>IF(OR($T2376="",$U2376=""),"",$U2376-$T2376)</f>
      </c>
    </row>
    <row r="2377">
      <c r="T2377" t="str">
        <f>IF(connections!$A2377="","",IFERROR(INDEX(games!$B$2:$B$1200,MATCH(connections!$A2377,games!$A$2:$A$1200,0)),""))</f>
      </c>
      <c r="U2377">
        <f>IF(connections!$A2377="","",IFERROR(INDEX(games!$B$2:$B$1200,MATCH(connections!$B2377,games!$A$2:$A$1200,0)),""))</f>
      </c>
      <c r="V2377">
        <f>IF(OR($T2377="",$U2377=""),"",$U2377-$T2377)</f>
      </c>
    </row>
    <row r="2378">
      <c r="T2378" t="str">
        <f>IF(connections!$A2378="","",IFERROR(INDEX(games!$B$2:$B$1200,MATCH(connections!$A2378,games!$A$2:$A$1200,0)),""))</f>
      </c>
      <c r="U2378">
        <f>IF(connections!$A2378="","",IFERROR(INDEX(games!$B$2:$B$1200,MATCH(connections!$B2378,games!$A$2:$A$1200,0)),""))</f>
      </c>
      <c r="V2378">
        <f>IF(OR($T2378="",$U2378=""),"",$U2378-$T2378)</f>
      </c>
    </row>
    <row r="2379">
      <c r="T2379" t="str">
        <f>IF(connections!$A2379="","",IFERROR(INDEX(games!$B$2:$B$1200,MATCH(connections!$A2379,games!$A$2:$A$1200,0)),""))</f>
      </c>
      <c r="U2379">
        <f>IF(connections!$A2379="","",IFERROR(INDEX(games!$B$2:$B$1200,MATCH(connections!$B2379,games!$A$2:$A$1200,0)),""))</f>
      </c>
      <c r="V2379">
        <f>IF(OR($T2379="",$U2379=""),"",$U2379-$T2379)</f>
      </c>
    </row>
    <row r="2380">
      <c r="T2380" t="str">
        <f>IF(connections!$A2380="","",IFERROR(INDEX(games!$B$2:$B$1200,MATCH(connections!$A2380,games!$A$2:$A$1200,0)),""))</f>
      </c>
      <c r="U2380">
        <f>IF(connections!$A2380="","",IFERROR(INDEX(games!$B$2:$B$1200,MATCH(connections!$B2380,games!$A$2:$A$1200,0)),""))</f>
      </c>
      <c r="V2380">
        <f>IF(OR($T2380="",$U2380=""),"",$U2380-$T2380)</f>
      </c>
    </row>
    <row r="2381">
      <c r="T2381" t="str">
        <f>IF(connections!$A2381="","",IFERROR(INDEX(games!$B$2:$B$1200,MATCH(connections!$A2381,games!$A$2:$A$1200,0)),""))</f>
      </c>
      <c r="U2381">
        <f>IF(connections!$A2381="","",IFERROR(INDEX(games!$B$2:$B$1200,MATCH(connections!$B2381,games!$A$2:$A$1200,0)),""))</f>
      </c>
      <c r="V2381">
        <f>IF(OR($T2381="",$U2381=""),"",$U2381-$T2381)</f>
      </c>
    </row>
    <row r="2382">
      <c r="T2382" t="str">
        <f>IF(connections!$A2382="","",IFERROR(INDEX(games!$B$2:$B$1200,MATCH(connections!$A2382,games!$A$2:$A$1200,0)),""))</f>
      </c>
      <c r="U2382">
        <f>IF(connections!$A2382="","",IFERROR(INDEX(games!$B$2:$B$1200,MATCH(connections!$B2382,games!$A$2:$A$1200,0)),""))</f>
      </c>
      <c r="V2382">
        <f>IF(OR($T2382="",$U2382=""),"",$U2382-$T2382)</f>
      </c>
    </row>
    <row r="2383">
      <c r="T2383" t="str">
        <f>IF(connections!$A2383="","",IFERROR(INDEX(games!$B$2:$B$1200,MATCH(connections!$A2383,games!$A$2:$A$1200,0)),""))</f>
      </c>
      <c r="U2383">
        <f>IF(connections!$A2383="","",IFERROR(INDEX(games!$B$2:$B$1200,MATCH(connections!$B2383,games!$A$2:$A$1200,0)),""))</f>
      </c>
      <c r="V2383">
        <f>IF(OR($T2383="",$U2383=""),"",$U2383-$T2383)</f>
      </c>
    </row>
    <row r="2384">
      <c r="T2384" t="str">
        <f>IF(connections!$A2384="","",IFERROR(INDEX(games!$B$2:$B$1200,MATCH(connections!$A2384,games!$A$2:$A$1200,0)),""))</f>
      </c>
      <c r="U2384">
        <f>IF(connections!$A2384="","",IFERROR(INDEX(games!$B$2:$B$1200,MATCH(connections!$B2384,games!$A$2:$A$1200,0)),""))</f>
      </c>
      <c r="V2384">
        <f>IF(OR($T2384="",$U2384=""),"",$U2384-$T2384)</f>
      </c>
    </row>
    <row r="2385">
      <c r="T2385" t="str">
        <f>IF(connections!$A2385="","",IFERROR(INDEX(games!$B$2:$B$1200,MATCH(connections!$A2385,games!$A$2:$A$1200,0)),""))</f>
      </c>
      <c r="U2385">
        <f>IF(connections!$A2385="","",IFERROR(INDEX(games!$B$2:$B$1200,MATCH(connections!$B2385,games!$A$2:$A$1200,0)),""))</f>
      </c>
      <c r="V2385">
        <f>IF(OR($T2385="",$U2385=""),"",$U2385-$T2385)</f>
      </c>
    </row>
    <row r="2386">
      <c r="T2386" t="str">
        <f>IF(connections!$A2386="","",IFERROR(INDEX(games!$B$2:$B$1200,MATCH(connections!$A2386,games!$A$2:$A$1200,0)),""))</f>
      </c>
      <c r="U2386">
        <f>IF(connections!$A2386="","",IFERROR(INDEX(games!$B$2:$B$1200,MATCH(connections!$B2386,games!$A$2:$A$1200,0)),""))</f>
      </c>
      <c r="V2386">
        <f>IF(OR($T2386="",$U2386=""),"",$U2386-$T2386)</f>
      </c>
    </row>
    <row r="2387">
      <c r="T2387" t="str">
        <f>IF(connections!$A2387="","",IFERROR(INDEX(games!$B$2:$B$1200,MATCH(connections!$A2387,games!$A$2:$A$1200,0)),""))</f>
      </c>
      <c r="U2387">
        <f>IF(connections!$A2387="","",IFERROR(INDEX(games!$B$2:$B$1200,MATCH(connections!$B2387,games!$A$2:$A$1200,0)),""))</f>
      </c>
      <c r="V2387">
        <f>IF(OR($T2387="",$U2387=""),"",$U2387-$T2387)</f>
      </c>
    </row>
    <row r="2388">
      <c r="T2388" t="str">
        <f>IF(connections!$A2388="","",IFERROR(INDEX(games!$B$2:$B$1200,MATCH(connections!$A2388,games!$A$2:$A$1200,0)),""))</f>
      </c>
      <c r="U2388">
        <f>IF(connections!$A2388="","",IFERROR(INDEX(games!$B$2:$B$1200,MATCH(connections!$B2388,games!$A$2:$A$1200,0)),""))</f>
      </c>
      <c r="V2388">
        <f>IF(OR($T2388="",$U2388=""),"",$U2388-$T2388)</f>
      </c>
    </row>
    <row r="2389">
      <c r="T2389" t="str">
        <f>IF(connections!$A2389="","",IFERROR(INDEX(games!$B$2:$B$1200,MATCH(connections!$A2389,games!$A$2:$A$1200,0)),""))</f>
      </c>
      <c r="U2389">
        <f>IF(connections!$A2389="","",IFERROR(INDEX(games!$B$2:$B$1200,MATCH(connections!$B2389,games!$A$2:$A$1200,0)),""))</f>
      </c>
      <c r="V2389">
        <f>IF(OR($T2389="",$U2389=""),"",$U2389-$T2389)</f>
      </c>
    </row>
    <row r="2390">
      <c r="T2390" t="str">
        <f>IF(connections!$A2390="","",IFERROR(INDEX(games!$B$2:$B$1200,MATCH(connections!$A2390,games!$A$2:$A$1200,0)),""))</f>
      </c>
      <c r="U2390">
        <f>IF(connections!$A2390="","",IFERROR(INDEX(games!$B$2:$B$1200,MATCH(connections!$B2390,games!$A$2:$A$1200,0)),""))</f>
      </c>
      <c r="V2390">
        <f>IF(OR($T2390="",$U2390=""),"",$U2390-$T2390)</f>
      </c>
    </row>
    <row r="2391">
      <c r="T2391" t="str">
        <f>IF(connections!$A2391="","",IFERROR(INDEX(games!$B$2:$B$1200,MATCH(connections!$A2391,games!$A$2:$A$1200,0)),""))</f>
      </c>
      <c r="U2391">
        <f>IF(connections!$A2391="","",IFERROR(INDEX(games!$B$2:$B$1200,MATCH(connections!$B2391,games!$A$2:$A$1200,0)),""))</f>
      </c>
      <c r="V2391">
        <f>IF(OR($T2391="",$U2391=""),"",$U2391-$T2391)</f>
      </c>
    </row>
    <row r="2392">
      <c r="T2392" t="str">
        <f>IF(connections!$A2392="","",IFERROR(INDEX(games!$B$2:$B$1200,MATCH(connections!$A2392,games!$A$2:$A$1200,0)),""))</f>
      </c>
      <c r="U2392">
        <f>IF(connections!$A2392="","",IFERROR(INDEX(games!$B$2:$B$1200,MATCH(connections!$B2392,games!$A$2:$A$1200,0)),""))</f>
      </c>
      <c r="V2392">
        <f>IF(OR($T2392="",$U2392=""),"",$U2392-$T2392)</f>
      </c>
    </row>
    <row r="2393">
      <c r="T2393" t="str">
        <f>IF(connections!$A2393="","",IFERROR(INDEX(games!$B$2:$B$1200,MATCH(connections!$A2393,games!$A$2:$A$1200,0)),""))</f>
      </c>
      <c r="U2393">
        <f>IF(connections!$A2393="","",IFERROR(INDEX(games!$B$2:$B$1200,MATCH(connections!$B2393,games!$A$2:$A$1200,0)),""))</f>
      </c>
      <c r="V2393">
        <f>IF(OR($T2393="",$U2393=""),"",$U2393-$T2393)</f>
      </c>
    </row>
    <row r="2394">
      <c r="T2394" t="str">
        <f>IF(connections!$A2394="","",IFERROR(INDEX(games!$B$2:$B$1200,MATCH(connections!$A2394,games!$A$2:$A$1200,0)),""))</f>
      </c>
      <c r="U2394">
        <f>IF(connections!$A2394="","",IFERROR(INDEX(games!$B$2:$B$1200,MATCH(connections!$B2394,games!$A$2:$A$1200,0)),""))</f>
      </c>
      <c r="V2394">
        <f>IF(OR($T2394="",$U2394=""),"",$U2394-$T2394)</f>
      </c>
    </row>
    <row r="2395">
      <c r="T2395" t="str">
        <f>IF(connections!$A2395="","",IFERROR(INDEX(games!$B$2:$B$1200,MATCH(connections!$A2395,games!$A$2:$A$1200,0)),""))</f>
      </c>
      <c r="U2395">
        <f>IF(connections!$A2395="","",IFERROR(INDEX(games!$B$2:$B$1200,MATCH(connections!$B2395,games!$A$2:$A$1200,0)),""))</f>
      </c>
      <c r="V2395">
        <f>IF(OR($T2395="",$U2395=""),"",$U2395-$T2395)</f>
      </c>
    </row>
    <row r="2396">
      <c r="T2396" t="str">
        <f>IF(connections!$A2396="","",IFERROR(INDEX(games!$B$2:$B$1200,MATCH(connections!$A2396,games!$A$2:$A$1200,0)),""))</f>
      </c>
      <c r="U2396">
        <f>IF(connections!$A2396="","",IFERROR(INDEX(games!$B$2:$B$1200,MATCH(connections!$B2396,games!$A$2:$A$1200,0)),""))</f>
      </c>
      <c r="V2396">
        <f>IF(OR($T2396="",$U2396=""),"",$U2396-$T2396)</f>
      </c>
    </row>
    <row r="2397">
      <c r="T2397" t="str">
        <f>IF(connections!$A2397="","",IFERROR(INDEX(games!$B$2:$B$1200,MATCH(connections!$A2397,games!$A$2:$A$1200,0)),""))</f>
      </c>
      <c r="U2397">
        <f>IF(connections!$A2397="","",IFERROR(INDEX(games!$B$2:$B$1200,MATCH(connections!$B2397,games!$A$2:$A$1200,0)),""))</f>
      </c>
      <c r="V2397">
        <f>IF(OR($T2397="",$U2397=""),"",$U2397-$T2397)</f>
      </c>
    </row>
    <row r="2398">
      <c r="T2398" t="str">
        <f>IF(connections!$A2398="","",IFERROR(INDEX(games!$B$2:$B$1200,MATCH(connections!$A2398,games!$A$2:$A$1200,0)),""))</f>
      </c>
      <c r="U2398">
        <f>IF(connections!$A2398="","",IFERROR(INDEX(games!$B$2:$B$1200,MATCH(connections!$B2398,games!$A$2:$A$1200,0)),""))</f>
      </c>
      <c r="V2398">
        <f>IF(OR($T2398="",$U2398=""),"",$U2398-$T2398)</f>
      </c>
    </row>
    <row r="2399">
      <c r="T2399" t="str">
        <f>IF(connections!$A2399="","",IFERROR(INDEX(games!$B$2:$B$1200,MATCH(connections!$A2399,games!$A$2:$A$1200,0)),""))</f>
      </c>
      <c r="U2399">
        <f>IF(connections!$A2399="","",IFERROR(INDEX(games!$B$2:$B$1200,MATCH(connections!$B2399,games!$A$2:$A$1200,0)),""))</f>
      </c>
      <c r="V2399">
        <f>IF(OR($T2399="",$U2399=""),"",$U2399-$T2399)</f>
      </c>
    </row>
    <row r="2400">
      <c r="T2400" t="str">
        <f>IF(connections!$A2400="","",IFERROR(INDEX(games!$B$2:$B$1200,MATCH(connections!$A2400,games!$A$2:$A$1200,0)),""))</f>
      </c>
      <c r="U2400">
        <f>IF(connections!$A2400="","",IFERROR(INDEX(games!$B$2:$B$1200,MATCH(connections!$B2400,games!$A$2:$A$1200,0)),""))</f>
      </c>
      <c r="V2400">
        <f>IF(OR($T2400="",$U2400=""),"",$U2400-$T2400)</f>
      </c>
    </row>
    <row r="2401">
      <c r="T2401" t="str">
        <f>IF(connections!$A2401="","",IFERROR(INDEX(games!$B$2:$B$1200,MATCH(connections!$A2401,games!$A$2:$A$1200,0)),""))</f>
      </c>
      <c r="U2401">
        <f>IF(connections!$A2401="","",IFERROR(INDEX(games!$B$2:$B$1200,MATCH(connections!$B2401,games!$A$2:$A$1200,0)),""))</f>
      </c>
      <c r="V2401">
        <f>IF(OR($T2401="",$U2401=""),"",$U2401-$T2401)</f>
      </c>
    </row>
    <row r="2402">
      <c r="T2402" t="str">
        <f>IF(connections!$A2402="","",IFERROR(INDEX(games!$B$2:$B$1200,MATCH(connections!$A2402,games!$A$2:$A$1200,0)),""))</f>
      </c>
      <c r="U2402">
        <f>IF(connections!$A2402="","",IFERROR(INDEX(games!$B$2:$B$1200,MATCH(connections!$B2402,games!$A$2:$A$1200,0)),""))</f>
      </c>
      <c r="V2402">
        <f>IF(OR($T2402="",$U2402=""),"",$U2402-$T2402)</f>
      </c>
    </row>
    <row r="2403">
      <c r="T2403" t="str">
        <f>IF(connections!$A2403="","",IFERROR(INDEX(games!$B$2:$B$1200,MATCH(connections!$A2403,games!$A$2:$A$1200,0)),""))</f>
      </c>
      <c r="U2403">
        <f>IF(connections!$A2403="","",IFERROR(INDEX(games!$B$2:$B$1200,MATCH(connections!$B2403,games!$A$2:$A$1200,0)),""))</f>
      </c>
      <c r="V2403">
        <f>IF(OR($T2403="",$U2403=""),"",$U2403-$T2403)</f>
      </c>
    </row>
    <row r="2404">
      <c r="T2404" t="str">
        <f>IF(connections!$A2404="","",IFERROR(INDEX(games!$B$2:$B$1200,MATCH(connections!$A2404,games!$A$2:$A$1200,0)),""))</f>
      </c>
      <c r="U2404">
        <f>IF(connections!$A2404="","",IFERROR(INDEX(games!$B$2:$B$1200,MATCH(connections!$B2404,games!$A$2:$A$1200,0)),""))</f>
      </c>
      <c r="V2404">
        <f>IF(OR($T2404="",$U2404=""),"",$U2404-$T2404)</f>
      </c>
    </row>
    <row r="2405">
      <c r="T2405" t="str">
        <f>IF(connections!$A2405="","",IFERROR(INDEX(games!$B$2:$B$1200,MATCH(connections!$A2405,games!$A$2:$A$1200,0)),""))</f>
      </c>
      <c r="U2405">
        <f>IF(connections!$A2405="","",IFERROR(INDEX(games!$B$2:$B$1200,MATCH(connections!$B2405,games!$A$2:$A$1200,0)),""))</f>
      </c>
      <c r="V2405">
        <f>IF(OR($T2405="",$U2405=""),"",$U2405-$T2405)</f>
      </c>
    </row>
    <row r="2406">
      <c r="T2406" t="str">
        <f>IF(connections!$A2406="","",IFERROR(INDEX(games!$B$2:$B$1200,MATCH(connections!$A2406,games!$A$2:$A$1200,0)),""))</f>
      </c>
      <c r="U2406">
        <f>IF(connections!$A2406="","",IFERROR(INDEX(games!$B$2:$B$1200,MATCH(connections!$B2406,games!$A$2:$A$1200,0)),""))</f>
      </c>
      <c r="V2406">
        <f>IF(OR($T2406="",$U2406=""),"",$U2406-$T2406)</f>
      </c>
    </row>
    <row r="2407">
      <c r="T2407" t="str">
        <f>IF(connections!$A2407="","",IFERROR(INDEX(games!$B$2:$B$1200,MATCH(connections!$A2407,games!$A$2:$A$1200,0)),""))</f>
      </c>
      <c r="U2407">
        <f>IF(connections!$A2407="","",IFERROR(INDEX(games!$B$2:$B$1200,MATCH(connections!$B2407,games!$A$2:$A$1200,0)),""))</f>
      </c>
      <c r="V2407">
        <f>IF(OR($T2407="",$U2407=""),"",$U2407-$T2407)</f>
      </c>
    </row>
    <row r="2408">
      <c r="T2408" t="str">
        <f>IF(connections!$A2408="","",IFERROR(INDEX(games!$B$2:$B$1200,MATCH(connections!$A2408,games!$A$2:$A$1200,0)),""))</f>
      </c>
      <c r="U2408">
        <f>IF(connections!$A2408="","",IFERROR(INDEX(games!$B$2:$B$1200,MATCH(connections!$B2408,games!$A$2:$A$1200,0)),""))</f>
      </c>
      <c r="V2408">
        <f>IF(OR($T2408="",$U2408=""),"",$U2408-$T2408)</f>
      </c>
    </row>
    <row r="2409">
      <c r="T2409" t="str">
        <f>IF(connections!$A2409="","",IFERROR(INDEX(games!$B$2:$B$1200,MATCH(connections!$A2409,games!$A$2:$A$1200,0)),""))</f>
      </c>
      <c r="U2409">
        <f>IF(connections!$A2409="","",IFERROR(INDEX(games!$B$2:$B$1200,MATCH(connections!$B2409,games!$A$2:$A$1200,0)),""))</f>
      </c>
      <c r="V2409">
        <f>IF(OR($T2409="",$U2409=""),"",$U2409-$T2409)</f>
      </c>
    </row>
    <row r="2410">
      <c r="T2410" t="str">
        <f>IF(connections!$A2410="","",IFERROR(INDEX(games!$B$2:$B$1200,MATCH(connections!$A2410,games!$A$2:$A$1200,0)),""))</f>
      </c>
      <c r="U2410">
        <f>IF(connections!$A2410="","",IFERROR(INDEX(games!$B$2:$B$1200,MATCH(connections!$B2410,games!$A$2:$A$1200,0)),""))</f>
      </c>
      <c r="V2410">
        <f>IF(OR($T2410="",$U2410=""),"",$U2410-$T2410)</f>
      </c>
    </row>
    <row r="2411">
      <c r="T2411" t="str">
        <f>IF(connections!$A2411="","",IFERROR(INDEX(games!$B$2:$B$1200,MATCH(connections!$A2411,games!$A$2:$A$1200,0)),""))</f>
      </c>
      <c r="U2411">
        <f>IF(connections!$A2411="","",IFERROR(INDEX(games!$B$2:$B$1200,MATCH(connections!$B2411,games!$A$2:$A$1200,0)),""))</f>
      </c>
      <c r="V2411">
        <f>IF(OR($T2411="",$U2411=""),"",$U2411-$T2411)</f>
      </c>
    </row>
    <row r="2412">
      <c r="T2412" t="str">
        <f>IF(connections!$A2412="","",IFERROR(INDEX(games!$B$2:$B$1200,MATCH(connections!$A2412,games!$A$2:$A$1200,0)),""))</f>
      </c>
      <c r="U2412">
        <f>IF(connections!$A2412="","",IFERROR(INDEX(games!$B$2:$B$1200,MATCH(connections!$B2412,games!$A$2:$A$1200,0)),""))</f>
      </c>
      <c r="V2412">
        <f>IF(OR($T2412="",$U2412=""),"",$U2412-$T2412)</f>
      </c>
    </row>
    <row r="2413">
      <c r="T2413" t="str">
        <f>IF(connections!$A2413="","",IFERROR(INDEX(games!$B$2:$B$1200,MATCH(connections!$A2413,games!$A$2:$A$1200,0)),""))</f>
      </c>
      <c r="U2413">
        <f>IF(connections!$A2413="","",IFERROR(INDEX(games!$B$2:$B$1200,MATCH(connections!$B2413,games!$A$2:$A$1200,0)),""))</f>
      </c>
      <c r="V2413">
        <f>IF(OR($T2413="",$U2413=""),"",$U2413-$T2413)</f>
      </c>
    </row>
    <row r="2414">
      <c r="T2414" t="str">
        <f>IF(connections!$A2414="","",IFERROR(INDEX(games!$B$2:$B$1200,MATCH(connections!$A2414,games!$A$2:$A$1200,0)),""))</f>
      </c>
      <c r="U2414">
        <f>IF(connections!$A2414="","",IFERROR(INDEX(games!$B$2:$B$1200,MATCH(connections!$B2414,games!$A$2:$A$1200,0)),""))</f>
      </c>
      <c r="V2414">
        <f>IF(OR($T2414="",$U2414=""),"",$U2414-$T2414)</f>
      </c>
    </row>
    <row r="2415">
      <c r="T2415" t="str">
        <f>IF(connections!$A2415="","",IFERROR(INDEX(games!$B$2:$B$1200,MATCH(connections!$A2415,games!$A$2:$A$1200,0)),""))</f>
      </c>
      <c r="U2415">
        <f>IF(connections!$A2415="","",IFERROR(INDEX(games!$B$2:$B$1200,MATCH(connections!$B2415,games!$A$2:$A$1200,0)),""))</f>
      </c>
      <c r="V2415">
        <f>IF(OR($T2415="",$U2415=""),"",$U2415-$T2415)</f>
      </c>
    </row>
    <row r="2416">
      <c r="T2416" t="str">
        <f>IF(connections!$A2416="","",IFERROR(INDEX(games!$B$2:$B$1200,MATCH(connections!$A2416,games!$A$2:$A$1200,0)),""))</f>
      </c>
      <c r="U2416">
        <f>IF(connections!$A2416="","",IFERROR(INDEX(games!$B$2:$B$1200,MATCH(connections!$B2416,games!$A$2:$A$1200,0)),""))</f>
      </c>
      <c r="V2416">
        <f>IF(OR($T2416="",$U2416=""),"",$U2416-$T2416)</f>
      </c>
    </row>
    <row r="2417">
      <c r="T2417" t="str">
        <f>IF(connections!$A2417="","",IFERROR(INDEX(games!$B$2:$B$1200,MATCH(connections!$A2417,games!$A$2:$A$1200,0)),""))</f>
      </c>
      <c r="U2417">
        <f>IF(connections!$A2417="","",IFERROR(INDEX(games!$B$2:$B$1200,MATCH(connections!$B2417,games!$A$2:$A$1200,0)),""))</f>
      </c>
      <c r="V2417">
        <f>IF(OR($T2417="",$U2417=""),"",$U2417-$T2417)</f>
      </c>
    </row>
    <row r="2418">
      <c r="T2418" t="str">
        <f>IF(connections!$A2418="","",IFERROR(INDEX(games!$B$2:$B$1200,MATCH(connections!$A2418,games!$A$2:$A$1200,0)),""))</f>
      </c>
      <c r="U2418">
        <f>IF(connections!$A2418="","",IFERROR(INDEX(games!$B$2:$B$1200,MATCH(connections!$B2418,games!$A$2:$A$1200,0)),""))</f>
      </c>
      <c r="V2418">
        <f>IF(OR($T2418="",$U2418=""),"",$U2418-$T2418)</f>
      </c>
    </row>
    <row r="2419">
      <c r="T2419" t="str">
        <f>IF(connections!$A2419="","",IFERROR(INDEX(games!$B$2:$B$1200,MATCH(connections!$A2419,games!$A$2:$A$1200,0)),""))</f>
      </c>
      <c r="U2419">
        <f>IF(connections!$A2419="","",IFERROR(INDEX(games!$B$2:$B$1200,MATCH(connections!$B2419,games!$A$2:$A$1200,0)),""))</f>
      </c>
      <c r="V2419">
        <f>IF(OR($T2419="",$U2419=""),"",$U2419-$T2419)</f>
      </c>
    </row>
    <row r="2420">
      <c r="T2420" t="str">
        <f>IF(connections!$A2420="","",IFERROR(INDEX(games!$B$2:$B$1200,MATCH(connections!$A2420,games!$A$2:$A$1200,0)),""))</f>
      </c>
      <c r="U2420">
        <f>IF(connections!$A2420="","",IFERROR(INDEX(games!$B$2:$B$1200,MATCH(connections!$B2420,games!$A$2:$A$1200,0)),""))</f>
      </c>
      <c r="V2420">
        <f>IF(OR($T2420="",$U2420=""),"",$U2420-$T2420)</f>
      </c>
    </row>
    <row r="2421">
      <c r="T2421" t="str">
        <f>IF(connections!$A2421="","",IFERROR(INDEX(games!$B$2:$B$1200,MATCH(connections!$A2421,games!$A$2:$A$1200,0)),""))</f>
      </c>
      <c r="U2421">
        <f>IF(connections!$A2421="","",IFERROR(INDEX(games!$B$2:$B$1200,MATCH(connections!$B2421,games!$A$2:$A$1200,0)),""))</f>
      </c>
      <c r="V2421">
        <f>IF(OR($T2421="",$U2421=""),"",$U2421-$T2421)</f>
      </c>
    </row>
    <row r="2422">
      <c r="T2422" t="str">
        <f>IF(connections!$A2422="","",IFERROR(INDEX(games!$B$2:$B$1200,MATCH(connections!$A2422,games!$A$2:$A$1200,0)),""))</f>
      </c>
      <c r="U2422">
        <f>IF(connections!$A2422="","",IFERROR(INDEX(games!$B$2:$B$1200,MATCH(connections!$B2422,games!$A$2:$A$1200,0)),""))</f>
      </c>
      <c r="V2422">
        <f>IF(OR($T2422="",$U2422=""),"",$U2422-$T2422)</f>
      </c>
    </row>
    <row r="2423">
      <c r="T2423" t="str">
        <f>IF(connections!$A2423="","",IFERROR(INDEX(games!$B$2:$B$1200,MATCH(connections!$A2423,games!$A$2:$A$1200,0)),""))</f>
      </c>
      <c r="U2423">
        <f>IF(connections!$A2423="","",IFERROR(INDEX(games!$B$2:$B$1200,MATCH(connections!$B2423,games!$A$2:$A$1200,0)),""))</f>
      </c>
      <c r="V2423">
        <f>IF(OR($T2423="",$U2423=""),"",$U2423-$T2423)</f>
      </c>
    </row>
    <row r="2424">
      <c r="T2424" t="str">
        <f>IF(connections!$A2424="","",IFERROR(INDEX(games!$B$2:$B$1200,MATCH(connections!$A2424,games!$A$2:$A$1200,0)),""))</f>
      </c>
      <c r="U2424">
        <f>IF(connections!$A2424="","",IFERROR(INDEX(games!$B$2:$B$1200,MATCH(connections!$B2424,games!$A$2:$A$1200,0)),""))</f>
      </c>
      <c r="V2424">
        <f>IF(OR($T2424="",$U2424=""),"",$U2424-$T2424)</f>
      </c>
    </row>
    <row r="2425">
      <c r="T2425" t="str">
        <f>IF(connections!$A2425="","",IFERROR(INDEX(games!$B$2:$B$1200,MATCH(connections!$A2425,games!$A$2:$A$1200,0)),""))</f>
      </c>
      <c r="U2425">
        <f>IF(connections!$A2425="","",IFERROR(INDEX(games!$B$2:$B$1200,MATCH(connections!$B2425,games!$A$2:$A$1200,0)),""))</f>
      </c>
      <c r="V2425">
        <f>IF(OR($T2425="",$U2425=""),"",$U2425-$T2425)</f>
      </c>
    </row>
    <row r="2426">
      <c r="T2426" t="str">
        <f>IF(connections!$A2426="","",IFERROR(INDEX(games!$B$2:$B$1200,MATCH(connections!$A2426,games!$A$2:$A$1200,0)),""))</f>
      </c>
      <c r="U2426">
        <f>IF(connections!$A2426="","",IFERROR(INDEX(games!$B$2:$B$1200,MATCH(connections!$B2426,games!$A$2:$A$1200,0)),""))</f>
      </c>
      <c r="V2426">
        <f>IF(OR($T2426="",$U2426=""),"",$U2426-$T2426)</f>
      </c>
    </row>
    <row r="2427">
      <c r="T2427" t="str">
        <f>IF(connections!$A2427="","",IFERROR(INDEX(games!$B$2:$B$1200,MATCH(connections!$A2427,games!$A$2:$A$1200,0)),""))</f>
      </c>
      <c r="U2427">
        <f>IF(connections!$A2427="","",IFERROR(INDEX(games!$B$2:$B$1200,MATCH(connections!$B2427,games!$A$2:$A$1200,0)),""))</f>
      </c>
      <c r="V2427">
        <f>IF(OR($T2427="",$U2427=""),"",$U2427-$T2427)</f>
      </c>
    </row>
    <row r="2428">
      <c r="T2428" t="str">
        <f>IF(connections!$A2428="","",IFERROR(INDEX(games!$B$2:$B$1200,MATCH(connections!$A2428,games!$A$2:$A$1200,0)),""))</f>
      </c>
      <c r="U2428">
        <f>IF(connections!$A2428="","",IFERROR(INDEX(games!$B$2:$B$1200,MATCH(connections!$B2428,games!$A$2:$A$1200,0)),""))</f>
      </c>
      <c r="V2428">
        <f>IF(OR($T2428="",$U2428=""),"",$U2428-$T2428)</f>
      </c>
    </row>
    <row r="2429">
      <c r="T2429" t="str">
        <f>IF(connections!$A2429="","",IFERROR(INDEX(games!$B$2:$B$1200,MATCH(connections!$A2429,games!$A$2:$A$1200,0)),""))</f>
      </c>
      <c r="U2429">
        <f>IF(connections!$A2429="","",IFERROR(INDEX(games!$B$2:$B$1200,MATCH(connections!$B2429,games!$A$2:$A$1200,0)),""))</f>
      </c>
      <c r="V2429">
        <f>IF(OR($T2429="",$U2429=""),"",$U2429-$T2429)</f>
      </c>
    </row>
    <row r="2430">
      <c r="T2430" t="str">
        <f>IF(connections!$A2430="","",IFERROR(INDEX(games!$B$2:$B$1200,MATCH(connections!$A2430,games!$A$2:$A$1200,0)),""))</f>
      </c>
      <c r="U2430">
        <f>IF(connections!$A2430="","",IFERROR(INDEX(games!$B$2:$B$1200,MATCH(connections!$B2430,games!$A$2:$A$1200,0)),""))</f>
      </c>
      <c r="V2430">
        <f>IF(OR($T2430="",$U2430=""),"",$U2430-$T2430)</f>
      </c>
    </row>
    <row r="2431">
      <c r="T2431" t="str">
        <f>IF(connections!$A2431="","",IFERROR(INDEX(games!$B$2:$B$1200,MATCH(connections!$A2431,games!$A$2:$A$1200,0)),""))</f>
      </c>
      <c r="U2431">
        <f>IF(connections!$A2431="","",IFERROR(INDEX(games!$B$2:$B$1200,MATCH(connections!$B2431,games!$A$2:$A$1200,0)),""))</f>
      </c>
      <c r="V2431">
        <f>IF(OR($T2431="",$U2431=""),"",$U2431-$T2431)</f>
      </c>
    </row>
    <row r="2432">
      <c r="T2432" t="str">
        <f>IF(connections!$A2432="","",IFERROR(INDEX(games!$B$2:$B$1200,MATCH(connections!$A2432,games!$A$2:$A$1200,0)),""))</f>
      </c>
      <c r="U2432">
        <f>IF(connections!$A2432="","",IFERROR(INDEX(games!$B$2:$B$1200,MATCH(connections!$B2432,games!$A$2:$A$1200,0)),""))</f>
      </c>
      <c r="V2432">
        <f>IF(OR($T2432="",$U2432=""),"",$U2432-$T2432)</f>
      </c>
    </row>
    <row r="2433">
      <c r="T2433" t="str">
        <f>IF(connections!$A2433="","",IFERROR(INDEX(games!$B$2:$B$1200,MATCH(connections!$A2433,games!$A$2:$A$1200,0)),""))</f>
      </c>
      <c r="U2433">
        <f>IF(connections!$A2433="","",IFERROR(INDEX(games!$B$2:$B$1200,MATCH(connections!$B2433,games!$A$2:$A$1200,0)),""))</f>
      </c>
      <c r="V2433">
        <f>IF(OR($T2433="",$U2433=""),"",$U2433-$T2433)</f>
      </c>
    </row>
    <row r="2434">
      <c r="T2434" t="str">
        <f>IF(connections!$A2434="","",IFERROR(INDEX(games!$B$2:$B$1200,MATCH(connections!$A2434,games!$A$2:$A$1200,0)),""))</f>
      </c>
      <c r="U2434">
        <f>IF(connections!$A2434="","",IFERROR(INDEX(games!$B$2:$B$1200,MATCH(connections!$B2434,games!$A$2:$A$1200,0)),""))</f>
      </c>
      <c r="V2434">
        <f>IF(OR($T2434="",$U2434=""),"",$U2434-$T2434)</f>
      </c>
    </row>
    <row r="2435">
      <c r="T2435" t="str">
        <f>IF(connections!$A2435="","",IFERROR(INDEX(games!$B$2:$B$1200,MATCH(connections!$A2435,games!$A$2:$A$1200,0)),""))</f>
      </c>
      <c r="U2435">
        <f>IF(connections!$A2435="","",IFERROR(INDEX(games!$B$2:$B$1200,MATCH(connections!$B2435,games!$A$2:$A$1200,0)),""))</f>
      </c>
      <c r="V2435">
        <f>IF(OR($T2435="",$U2435=""),"",$U2435-$T2435)</f>
      </c>
    </row>
    <row r="2436">
      <c r="T2436" t="str">
        <f>IF(connections!$A2436="","",IFERROR(INDEX(games!$B$2:$B$1200,MATCH(connections!$A2436,games!$A$2:$A$1200,0)),""))</f>
      </c>
      <c r="U2436">
        <f>IF(connections!$A2436="","",IFERROR(INDEX(games!$B$2:$B$1200,MATCH(connections!$B2436,games!$A$2:$A$1200,0)),""))</f>
      </c>
      <c r="V2436">
        <f>IF(OR($T2436="",$U2436=""),"",$U2436-$T2436)</f>
      </c>
    </row>
    <row r="2437">
      <c r="T2437" t="str">
        <f>IF(connections!$A2437="","",IFERROR(INDEX(games!$B$2:$B$1200,MATCH(connections!$A2437,games!$A$2:$A$1200,0)),""))</f>
      </c>
      <c r="U2437">
        <f>IF(connections!$A2437="","",IFERROR(INDEX(games!$B$2:$B$1200,MATCH(connections!$B2437,games!$A$2:$A$1200,0)),""))</f>
      </c>
      <c r="V2437">
        <f>IF(OR($T2437="",$U2437=""),"",$U2437-$T2437)</f>
      </c>
    </row>
    <row r="2438">
      <c r="T2438" t="str">
        <f>IF(connections!$A2438="","",IFERROR(INDEX(games!$B$2:$B$1200,MATCH(connections!$A2438,games!$A$2:$A$1200,0)),""))</f>
      </c>
      <c r="U2438">
        <f>IF(connections!$A2438="","",IFERROR(INDEX(games!$B$2:$B$1200,MATCH(connections!$B2438,games!$A$2:$A$1200,0)),""))</f>
      </c>
      <c r="V2438">
        <f>IF(OR($T2438="",$U2438=""),"",$U2438-$T2438)</f>
      </c>
    </row>
    <row r="2439">
      <c r="T2439" t="str">
        <f>IF(connections!$A2439="","",IFERROR(INDEX(games!$B$2:$B$1200,MATCH(connections!$A2439,games!$A$2:$A$1200,0)),""))</f>
      </c>
      <c r="U2439">
        <f>IF(connections!$A2439="","",IFERROR(INDEX(games!$B$2:$B$1200,MATCH(connections!$B2439,games!$A$2:$A$1200,0)),""))</f>
      </c>
      <c r="V2439">
        <f>IF(OR($T2439="",$U2439=""),"",$U2439-$T2439)</f>
      </c>
    </row>
    <row r="2440">
      <c r="T2440" t="str">
        <f>IF(connections!$A2440="","",IFERROR(INDEX(games!$B$2:$B$1200,MATCH(connections!$A2440,games!$A$2:$A$1200,0)),""))</f>
      </c>
      <c r="U2440">
        <f>IF(connections!$A2440="","",IFERROR(INDEX(games!$B$2:$B$1200,MATCH(connections!$B2440,games!$A$2:$A$1200,0)),""))</f>
      </c>
      <c r="V2440">
        <f>IF(OR($T2440="",$U2440=""),"",$U2440-$T2440)</f>
      </c>
    </row>
    <row r="2441">
      <c r="T2441" t="str">
        <f>IF(connections!$A2441="","",IFERROR(INDEX(games!$B$2:$B$1200,MATCH(connections!$A2441,games!$A$2:$A$1200,0)),""))</f>
      </c>
      <c r="U2441">
        <f>IF(connections!$A2441="","",IFERROR(INDEX(games!$B$2:$B$1200,MATCH(connections!$B2441,games!$A$2:$A$1200,0)),""))</f>
      </c>
      <c r="V2441">
        <f>IF(OR($T2441="",$U2441=""),"",$U2441-$T2441)</f>
      </c>
    </row>
    <row r="2442">
      <c r="T2442" t="str">
        <f>IF(connections!$A2442="","",IFERROR(INDEX(games!$B$2:$B$1200,MATCH(connections!$A2442,games!$A$2:$A$1200,0)),""))</f>
      </c>
      <c r="U2442">
        <f>IF(connections!$A2442="","",IFERROR(INDEX(games!$B$2:$B$1200,MATCH(connections!$B2442,games!$A$2:$A$1200,0)),""))</f>
      </c>
      <c r="V2442">
        <f>IF(OR($T2442="",$U2442=""),"",$U2442-$T2442)</f>
      </c>
    </row>
    <row r="2443">
      <c r="T2443" t="str">
        <f>IF(connections!$A2443="","",IFERROR(INDEX(games!$B$2:$B$1200,MATCH(connections!$A2443,games!$A$2:$A$1200,0)),""))</f>
      </c>
      <c r="U2443">
        <f>IF(connections!$A2443="","",IFERROR(INDEX(games!$B$2:$B$1200,MATCH(connections!$B2443,games!$A$2:$A$1200,0)),""))</f>
      </c>
      <c r="V2443">
        <f>IF(OR($T2443="",$U2443=""),"",$U2443-$T2443)</f>
      </c>
    </row>
    <row r="2444">
      <c r="T2444" t="str">
        <f>IF(connections!$A2444="","",IFERROR(INDEX(games!$B$2:$B$1200,MATCH(connections!$A2444,games!$A$2:$A$1200,0)),""))</f>
      </c>
      <c r="U2444">
        <f>IF(connections!$A2444="","",IFERROR(INDEX(games!$B$2:$B$1200,MATCH(connections!$B2444,games!$A$2:$A$1200,0)),""))</f>
      </c>
      <c r="V2444">
        <f>IF(OR($T2444="",$U2444=""),"",$U2444-$T2444)</f>
      </c>
    </row>
    <row r="2445">
      <c r="T2445" t="str">
        <f>IF(connections!$A2445="","",IFERROR(INDEX(games!$B$2:$B$1200,MATCH(connections!$A2445,games!$A$2:$A$1200,0)),""))</f>
      </c>
      <c r="U2445">
        <f>IF(connections!$A2445="","",IFERROR(INDEX(games!$B$2:$B$1200,MATCH(connections!$B2445,games!$A$2:$A$1200,0)),""))</f>
      </c>
      <c r="V2445">
        <f>IF(OR($T2445="",$U2445=""),"",$U2445-$T2445)</f>
      </c>
    </row>
    <row r="2446">
      <c r="T2446" t="str">
        <f>IF(connections!$A2446="","",IFERROR(INDEX(games!$B$2:$B$1200,MATCH(connections!$A2446,games!$A$2:$A$1200,0)),""))</f>
      </c>
      <c r="U2446">
        <f>IF(connections!$A2446="","",IFERROR(INDEX(games!$B$2:$B$1200,MATCH(connections!$B2446,games!$A$2:$A$1200,0)),""))</f>
      </c>
      <c r="V2446">
        <f>IF(OR($T2446="",$U2446=""),"",$U2446-$T2446)</f>
      </c>
    </row>
    <row r="2447">
      <c r="T2447" t="str">
        <f>IF(connections!$A2447="","",IFERROR(INDEX(games!$B$2:$B$1200,MATCH(connections!$A2447,games!$A$2:$A$1200,0)),""))</f>
      </c>
      <c r="U2447">
        <f>IF(connections!$A2447="","",IFERROR(INDEX(games!$B$2:$B$1200,MATCH(connections!$B2447,games!$A$2:$A$1200,0)),""))</f>
      </c>
      <c r="V2447">
        <f>IF(OR($T2447="",$U2447=""),"",$U2447-$T2447)</f>
      </c>
    </row>
    <row r="2448">
      <c r="T2448" t="str">
        <f>IF(connections!$A2448="","",IFERROR(INDEX(games!$B$2:$B$1200,MATCH(connections!$A2448,games!$A$2:$A$1200,0)),""))</f>
      </c>
      <c r="U2448">
        <f>IF(connections!$A2448="","",IFERROR(INDEX(games!$B$2:$B$1200,MATCH(connections!$B2448,games!$A$2:$A$1200,0)),""))</f>
      </c>
      <c r="V2448">
        <f>IF(OR($T2448="",$U2448=""),"",$U2448-$T2448)</f>
      </c>
    </row>
    <row r="2449">
      <c r="T2449" t="str">
        <f>IF(connections!$A2449="","",IFERROR(INDEX(games!$B$2:$B$1200,MATCH(connections!$A2449,games!$A$2:$A$1200,0)),""))</f>
      </c>
      <c r="U2449">
        <f>IF(connections!$A2449="","",IFERROR(INDEX(games!$B$2:$B$1200,MATCH(connections!$B2449,games!$A$2:$A$1200,0)),""))</f>
      </c>
      <c r="V2449">
        <f>IF(OR($T2449="",$U2449=""),"",$U2449-$T2449)</f>
      </c>
    </row>
    <row r="2450">
      <c r="T2450" t="str">
        <f>IF(connections!$A2450="","",IFERROR(INDEX(games!$B$2:$B$1200,MATCH(connections!$A2450,games!$A$2:$A$1200,0)),""))</f>
      </c>
      <c r="U2450">
        <f>IF(connections!$A2450="","",IFERROR(INDEX(games!$B$2:$B$1200,MATCH(connections!$B2450,games!$A$2:$A$1200,0)),""))</f>
      </c>
      <c r="V2450">
        <f>IF(OR($T2450="",$U2450=""),"",$U2450-$T2450)</f>
      </c>
    </row>
    <row r="2451">
      <c r="T2451" t="str">
        <f>IF(connections!$A2451="","",IFERROR(INDEX(games!$B$2:$B$1200,MATCH(connections!$A2451,games!$A$2:$A$1200,0)),""))</f>
      </c>
      <c r="U2451">
        <f>IF(connections!$A2451="","",IFERROR(INDEX(games!$B$2:$B$1200,MATCH(connections!$B2451,games!$A$2:$A$1200,0)),""))</f>
      </c>
      <c r="V2451">
        <f>IF(OR($T2451="",$U2451=""),"",$U2451-$T2451)</f>
      </c>
    </row>
    <row r="2452">
      <c r="T2452" t="str">
        <f>IF(connections!$A2452="","",IFERROR(INDEX(games!$B$2:$B$1200,MATCH(connections!$A2452,games!$A$2:$A$1200,0)),""))</f>
      </c>
      <c r="U2452">
        <f>IF(connections!$A2452="","",IFERROR(INDEX(games!$B$2:$B$1200,MATCH(connections!$B2452,games!$A$2:$A$1200,0)),""))</f>
      </c>
      <c r="V2452">
        <f>IF(OR($T2452="",$U2452=""),"",$U2452-$T2452)</f>
      </c>
    </row>
    <row r="2453">
      <c r="T2453" t="str">
        <f>IF(connections!$A2453="","",IFERROR(INDEX(games!$B$2:$B$1200,MATCH(connections!$A2453,games!$A$2:$A$1200,0)),""))</f>
      </c>
      <c r="U2453">
        <f>IF(connections!$A2453="","",IFERROR(INDEX(games!$B$2:$B$1200,MATCH(connections!$B2453,games!$A$2:$A$1200,0)),""))</f>
      </c>
      <c r="V2453">
        <f>IF(OR($T2453="",$U2453=""),"",$U2453-$T2453)</f>
      </c>
    </row>
    <row r="2454">
      <c r="T2454" t="str">
        <f>IF(connections!$A2454="","",IFERROR(INDEX(games!$B$2:$B$1200,MATCH(connections!$A2454,games!$A$2:$A$1200,0)),""))</f>
      </c>
      <c r="U2454">
        <f>IF(connections!$A2454="","",IFERROR(INDEX(games!$B$2:$B$1200,MATCH(connections!$B2454,games!$A$2:$A$1200,0)),""))</f>
      </c>
      <c r="V2454">
        <f>IF(OR($T2454="",$U2454=""),"",$U2454-$T2454)</f>
      </c>
    </row>
    <row r="2455">
      <c r="T2455" t="str">
        <f>IF(connections!$A2455="","",IFERROR(INDEX(games!$B$2:$B$1200,MATCH(connections!$A2455,games!$A$2:$A$1200,0)),""))</f>
      </c>
      <c r="U2455">
        <f>IF(connections!$A2455="","",IFERROR(INDEX(games!$B$2:$B$1200,MATCH(connections!$B2455,games!$A$2:$A$1200,0)),""))</f>
      </c>
      <c r="V2455">
        <f>IF(OR($T2455="",$U2455=""),"",$U2455-$T2455)</f>
      </c>
    </row>
    <row r="2456">
      <c r="T2456" t="str">
        <f>IF(connections!$A2456="","",IFERROR(INDEX(games!$B$2:$B$1200,MATCH(connections!$A2456,games!$A$2:$A$1200,0)),""))</f>
      </c>
      <c r="U2456">
        <f>IF(connections!$A2456="","",IFERROR(INDEX(games!$B$2:$B$1200,MATCH(connections!$B2456,games!$A$2:$A$1200,0)),""))</f>
      </c>
      <c r="V2456">
        <f>IF(OR($T2456="",$U2456=""),"",$U2456-$T2456)</f>
      </c>
    </row>
    <row r="2457">
      <c r="T2457" t="str">
        <f>IF(connections!$A2457="","",IFERROR(INDEX(games!$B$2:$B$1200,MATCH(connections!$A2457,games!$A$2:$A$1200,0)),""))</f>
      </c>
      <c r="U2457">
        <f>IF(connections!$A2457="","",IFERROR(INDEX(games!$B$2:$B$1200,MATCH(connections!$B2457,games!$A$2:$A$1200,0)),""))</f>
      </c>
      <c r="V2457">
        <f>IF(OR($T2457="",$U2457=""),"",$U2457-$T2457)</f>
      </c>
    </row>
    <row r="2458">
      <c r="T2458" t="str">
        <f>IF(connections!$A2458="","",IFERROR(INDEX(games!$B$2:$B$1200,MATCH(connections!$A2458,games!$A$2:$A$1200,0)),""))</f>
      </c>
      <c r="U2458">
        <f>IF(connections!$A2458="","",IFERROR(INDEX(games!$B$2:$B$1200,MATCH(connections!$B2458,games!$A$2:$A$1200,0)),""))</f>
      </c>
      <c r="V2458">
        <f>IF(OR($T2458="",$U2458=""),"",$U2458-$T2458)</f>
      </c>
    </row>
    <row r="2459">
      <c r="T2459" t="str">
        <f>IF(connections!$A2459="","",IFERROR(INDEX(games!$B$2:$B$1200,MATCH(connections!$A2459,games!$A$2:$A$1200,0)),""))</f>
      </c>
      <c r="U2459">
        <f>IF(connections!$A2459="","",IFERROR(INDEX(games!$B$2:$B$1200,MATCH(connections!$B2459,games!$A$2:$A$1200,0)),""))</f>
      </c>
      <c r="V2459">
        <f>IF(OR($T2459="",$U2459=""),"",$U2459-$T2459)</f>
      </c>
    </row>
    <row r="2460">
      <c r="T2460" t="str">
        <f>IF(connections!$A2460="","",IFERROR(INDEX(games!$B$2:$B$1200,MATCH(connections!$A2460,games!$A$2:$A$1200,0)),""))</f>
      </c>
      <c r="U2460">
        <f>IF(connections!$A2460="","",IFERROR(INDEX(games!$B$2:$B$1200,MATCH(connections!$B2460,games!$A$2:$A$1200,0)),""))</f>
      </c>
      <c r="V2460">
        <f>IF(OR($T2460="",$U2460=""),"",$U2460-$T2460)</f>
      </c>
    </row>
    <row r="2461">
      <c r="T2461" t="str">
        <f>IF(connections!$A2461="","",IFERROR(INDEX(games!$B$2:$B$1200,MATCH(connections!$A2461,games!$A$2:$A$1200,0)),""))</f>
      </c>
      <c r="U2461">
        <f>IF(connections!$A2461="","",IFERROR(INDEX(games!$B$2:$B$1200,MATCH(connections!$B2461,games!$A$2:$A$1200,0)),""))</f>
      </c>
      <c r="V2461">
        <f>IF(OR($T2461="",$U2461=""),"",$U2461-$T2461)</f>
      </c>
    </row>
    <row r="2462">
      <c r="T2462" t="str">
        <f>IF(connections!$A2462="","",IFERROR(INDEX(games!$B$2:$B$1200,MATCH(connections!$A2462,games!$A$2:$A$1200,0)),""))</f>
      </c>
      <c r="U2462">
        <f>IF(connections!$A2462="","",IFERROR(INDEX(games!$B$2:$B$1200,MATCH(connections!$B2462,games!$A$2:$A$1200,0)),""))</f>
      </c>
      <c r="V2462">
        <f>IF(OR($T2462="",$U2462=""),"",$U2462-$T2462)</f>
      </c>
    </row>
    <row r="2463">
      <c r="T2463" t="str">
        <f>IF(connections!$A2463="","",IFERROR(INDEX(games!$B$2:$B$1200,MATCH(connections!$A2463,games!$A$2:$A$1200,0)),""))</f>
      </c>
      <c r="U2463">
        <f>IF(connections!$A2463="","",IFERROR(INDEX(games!$B$2:$B$1200,MATCH(connections!$B2463,games!$A$2:$A$1200,0)),""))</f>
      </c>
      <c r="V2463">
        <f>IF(OR($T2463="",$U2463=""),"",$U2463-$T2463)</f>
      </c>
    </row>
    <row r="2464">
      <c r="T2464" t="str">
        <f>IF(connections!$A2464="","",IFERROR(INDEX(games!$B$2:$B$1200,MATCH(connections!$A2464,games!$A$2:$A$1200,0)),""))</f>
      </c>
      <c r="U2464">
        <f>IF(connections!$A2464="","",IFERROR(INDEX(games!$B$2:$B$1200,MATCH(connections!$B2464,games!$A$2:$A$1200,0)),""))</f>
      </c>
      <c r="V2464">
        <f>IF(OR($T2464="",$U2464=""),"",$U2464-$T2464)</f>
      </c>
    </row>
    <row r="2465">
      <c r="T2465" t="str">
        <f>IF(connections!$A2465="","",IFERROR(INDEX(games!$B$2:$B$1200,MATCH(connections!$A2465,games!$A$2:$A$1200,0)),""))</f>
      </c>
      <c r="U2465">
        <f>IF(connections!$A2465="","",IFERROR(INDEX(games!$B$2:$B$1200,MATCH(connections!$B2465,games!$A$2:$A$1200,0)),""))</f>
      </c>
      <c r="V2465">
        <f>IF(OR($T2465="",$U2465=""),"",$U2465-$T2465)</f>
      </c>
    </row>
    <row r="2466">
      <c r="T2466" t="str">
        <f>IF(connections!$A2466="","",IFERROR(INDEX(games!$B$2:$B$1200,MATCH(connections!$A2466,games!$A$2:$A$1200,0)),""))</f>
      </c>
      <c r="U2466">
        <f>IF(connections!$A2466="","",IFERROR(INDEX(games!$B$2:$B$1200,MATCH(connections!$B2466,games!$A$2:$A$1200,0)),""))</f>
      </c>
      <c r="V2466">
        <f>IF(OR($T2466="",$U2466=""),"",$U2466-$T2466)</f>
      </c>
    </row>
    <row r="2467">
      <c r="T2467" t="str">
        <f>IF(connections!$A2467="","",IFERROR(INDEX(games!$B$2:$B$1200,MATCH(connections!$A2467,games!$A$2:$A$1200,0)),""))</f>
      </c>
      <c r="U2467">
        <f>IF(connections!$A2467="","",IFERROR(INDEX(games!$B$2:$B$1200,MATCH(connections!$B2467,games!$A$2:$A$1200,0)),""))</f>
      </c>
      <c r="V2467">
        <f>IF(OR($T2467="",$U2467=""),"",$U2467-$T2467)</f>
      </c>
    </row>
    <row r="2468">
      <c r="T2468" t="str">
        <f>IF(connections!$A2468="","",IFERROR(INDEX(games!$B$2:$B$1200,MATCH(connections!$A2468,games!$A$2:$A$1200,0)),""))</f>
      </c>
      <c r="U2468">
        <f>IF(connections!$A2468="","",IFERROR(INDEX(games!$B$2:$B$1200,MATCH(connections!$B2468,games!$A$2:$A$1200,0)),""))</f>
      </c>
      <c r="V2468">
        <f>IF(OR($T2468="",$U2468=""),"",$U2468-$T2468)</f>
      </c>
    </row>
    <row r="2469">
      <c r="T2469" t="str">
        <f>IF(connections!$A2469="","",IFERROR(INDEX(games!$B$2:$B$1200,MATCH(connections!$A2469,games!$A$2:$A$1200,0)),""))</f>
      </c>
      <c r="U2469">
        <f>IF(connections!$A2469="","",IFERROR(INDEX(games!$B$2:$B$1200,MATCH(connections!$B2469,games!$A$2:$A$1200,0)),""))</f>
      </c>
      <c r="V2469">
        <f>IF(OR($T2469="",$U2469=""),"",$U2469-$T2469)</f>
      </c>
    </row>
    <row r="2470">
      <c r="T2470" t="str">
        <f>IF(connections!$A2470="","",IFERROR(INDEX(games!$B$2:$B$1200,MATCH(connections!$A2470,games!$A$2:$A$1200,0)),""))</f>
      </c>
      <c r="U2470">
        <f>IF(connections!$A2470="","",IFERROR(INDEX(games!$B$2:$B$1200,MATCH(connections!$B2470,games!$A$2:$A$1200,0)),""))</f>
      </c>
      <c r="V2470">
        <f>IF(OR($T2470="",$U2470=""),"",$U2470-$T2470)</f>
      </c>
    </row>
    <row r="2471">
      <c r="T2471" t="str">
        <f>IF(connections!$A2471="","",IFERROR(INDEX(games!$B$2:$B$1200,MATCH(connections!$A2471,games!$A$2:$A$1200,0)),""))</f>
      </c>
      <c r="U2471">
        <f>IF(connections!$A2471="","",IFERROR(INDEX(games!$B$2:$B$1200,MATCH(connections!$B2471,games!$A$2:$A$1200,0)),""))</f>
      </c>
      <c r="V2471">
        <f>IF(OR($T2471="",$U2471=""),"",$U2471-$T2471)</f>
      </c>
    </row>
    <row r="2472">
      <c r="T2472" t="str">
        <f>IF(connections!$A2472="","",IFERROR(INDEX(games!$B$2:$B$1200,MATCH(connections!$A2472,games!$A$2:$A$1200,0)),""))</f>
      </c>
      <c r="U2472">
        <f>IF(connections!$A2472="","",IFERROR(INDEX(games!$B$2:$B$1200,MATCH(connections!$B2472,games!$A$2:$A$1200,0)),""))</f>
      </c>
      <c r="V2472">
        <f>IF(OR($T2472="",$U2472=""),"",$U2472-$T2472)</f>
      </c>
    </row>
    <row r="2473">
      <c r="T2473" t="str">
        <f>IF(connections!$A2473="","",IFERROR(INDEX(games!$B$2:$B$1200,MATCH(connections!$A2473,games!$A$2:$A$1200,0)),""))</f>
      </c>
      <c r="U2473">
        <f>IF(connections!$A2473="","",IFERROR(INDEX(games!$B$2:$B$1200,MATCH(connections!$B2473,games!$A$2:$A$1200,0)),""))</f>
      </c>
      <c r="V2473">
        <f>IF(OR($T2473="",$U2473=""),"",$U2473-$T2473)</f>
      </c>
    </row>
    <row r="2474">
      <c r="T2474" t="str">
        <f>IF(connections!$A2474="","",IFERROR(INDEX(games!$B$2:$B$1200,MATCH(connections!$A2474,games!$A$2:$A$1200,0)),""))</f>
      </c>
      <c r="U2474">
        <f>IF(connections!$A2474="","",IFERROR(INDEX(games!$B$2:$B$1200,MATCH(connections!$B2474,games!$A$2:$A$1200,0)),""))</f>
      </c>
      <c r="V2474">
        <f>IF(OR($T2474="",$U2474=""),"",$U2474-$T2474)</f>
      </c>
    </row>
    <row r="2475">
      <c r="T2475" t="str">
        <f>IF(connections!$A2475="","",IFERROR(INDEX(games!$B$2:$B$1200,MATCH(connections!$A2475,games!$A$2:$A$1200,0)),""))</f>
      </c>
      <c r="U2475">
        <f>IF(connections!$A2475="","",IFERROR(INDEX(games!$B$2:$B$1200,MATCH(connections!$B2475,games!$A$2:$A$1200,0)),""))</f>
      </c>
      <c r="V2475">
        <f>IF(OR($T2475="",$U2475=""),"",$U2475-$T2475)</f>
      </c>
    </row>
    <row r="2476">
      <c r="T2476" t="str">
        <f>IF(connections!$A2476="","",IFERROR(INDEX(games!$B$2:$B$1200,MATCH(connections!$A2476,games!$A$2:$A$1200,0)),""))</f>
      </c>
      <c r="U2476">
        <f>IF(connections!$A2476="","",IFERROR(INDEX(games!$B$2:$B$1200,MATCH(connections!$B2476,games!$A$2:$A$1200,0)),""))</f>
      </c>
      <c r="V2476">
        <f>IF(OR($T2476="",$U2476=""),"",$U2476-$T2476)</f>
      </c>
    </row>
    <row r="2477">
      <c r="T2477" t="str">
        <f>IF(connections!$A2477="","",IFERROR(INDEX(games!$B$2:$B$1200,MATCH(connections!$A2477,games!$A$2:$A$1200,0)),""))</f>
      </c>
      <c r="U2477">
        <f>IF(connections!$A2477="","",IFERROR(INDEX(games!$B$2:$B$1200,MATCH(connections!$B2477,games!$A$2:$A$1200,0)),""))</f>
      </c>
      <c r="V2477">
        <f>IF(OR($T2477="",$U2477=""),"",$U2477-$T2477)</f>
      </c>
    </row>
    <row r="2478">
      <c r="T2478" t="str">
        <f>IF(connections!$A2478="","",IFERROR(INDEX(games!$B$2:$B$1200,MATCH(connections!$A2478,games!$A$2:$A$1200,0)),""))</f>
      </c>
      <c r="U2478">
        <f>IF(connections!$A2478="","",IFERROR(INDEX(games!$B$2:$B$1200,MATCH(connections!$B2478,games!$A$2:$A$1200,0)),""))</f>
      </c>
      <c r="V2478">
        <f>IF(OR($T2478="",$U2478=""),"",$U2478-$T2478)</f>
      </c>
    </row>
    <row r="2479">
      <c r="T2479" t="str">
        <f>IF(connections!$A2479="","",IFERROR(INDEX(games!$B$2:$B$1200,MATCH(connections!$A2479,games!$A$2:$A$1200,0)),""))</f>
      </c>
      <c r="U2479">
        <f>IF(connections!$A2479="","",IFERROR(INDEX(games!$B$2:$B$1200,MATCH(connections!$B2479,games!$A$2:$A$1200,0)),""))</f>
      </c>
      <c r="V2479">
        <f>IF(OR($T2479="",$U2479=""),"",$U2479-$T2479)</f>
      </c>
    </row>
    <row r="2480">
      <c r="T2480" t="str">
        <f>IF(connections!$A2480="","",IFERROR(INDEX(games!$B$2:$B$1200,MATCH(connections!$A2480,games!$A$2:$A$1200,0)),""))</f>
      </c>
      <c r="U2480">
        <f>IF(connections!$A2480="","",IFERROR(INDEX(games!$B$2:$B$1200,MATCH(connections!$B2480,games!$A$2:$A$1200,0)),""))</f>
      </c>
      <c r="V2480">
        <f>IF(OR($T2480="",$U2480=""),"",$U2480-$T2480)</f>
      </c>
    </row>
    <row r="2481">
      <c r="T2481" t="str">
        <f>IF(connections!$A2481="","",IFERROR(INDEX(games!$B$2:$B$1200,MATCH(connections!$A2481,games!$A$2:$A$1200,0)),""))</f>
      </c>
      <c r="U2481">
        <f>IF(connections!$A2481="","",IFERROR(INDEX(games!$B$2:$B$1200,MATCH(connections!$B2481,games!$A$2:$A$1200,0)),""))</f>
      </c>
      <c r="V2481">
        <f>IF(OR($T2481="",$U2481=""),"",$U2481-$T2481)</f>
      </c>
    </row>
    <row r="2482">
      <c r="T2482" t="str">
        <f>IF(connections!$A2482="","",IFERROR(INDEX(games!$B$2:$B$1200,MATCH(connections!$A2482,games!$A$2:$A$1200,0)),""))</f>
      </c>
      <c r="U2482">
        <f>IF(connections!$A2482="","",IFERROR(INDEX(games!$B$2:$B$1200,MATCH(connections!$B2482,games!$A$2:$A$1200,0)),""))</f>
      </c>
      <c r="V2482">
        <f>IF(OR($T2482="",$U2482=""),"",$U2482-$T2482)</f>
      </c>
    </row>
    <row r="2483">
      <c r="T2483" t="str">
        <f>IF(connections!$A2483="","",IFERROR(INDEX(games!$B$2:$B$1200,MATCH(connections!$A2483,games!$A$2:$A$1200,0)),""))</f>
      </c>
      <c r="U2483">
        <f>IF(connections!$A2483="","",IFERROR(INDEX(games!$B$2:$B$1200,MATCH(connections!$B2483,games!$A$2:$A$1200,0)),""))</f>
      </c>
      <c r="V2483">
        <f>IF(OR($T2483="",$U2483=""),"",$U2483-$T2483)</f>
      </c>
    </row>
    <row r="2484">
      <c r="T2484" t="str">
        <f>IF(connections!$A2484="","",IFERROR(INDEX(games!$B$2:$B$1200,MATCH(connections!$A2484,games!$A$2:$A$1200,0)),""))</f>
      </c>
      <c r="U2484">
        <f>IF(connections!$A2484="","",IFERROR(INDEX(games!$B$2:$B$1200,MATCH(connections!$B2484,games!$A$2:$A$1200,0)),""))</f>
      </c>
      <c r="V2484">
        <f>IF(OR($T2484="",$U2484=""),"",$U2484-$T2484)</f>
      </c>
    </row>
    <row r="2485">
      <c r="T2485" t="str">
        <f>IF(connections!$A2485="","",IFERROR(INDEX(games!$B$2:$B$1200,MATCH(connections!$A2485,games!$A$2:$A$1200,0)),""))</f>
      </c>
      <c r="U2485">
        <f>IF(connections!$A2485="","",IFERROR(INDEX(games!$B$2:$B$1200,MATCH(connections!$B2485,games!$A$2:$A$1200,0)),""))</f>
      </c>
      <c r="V2485">
        <f>IF(OR($T2485="",$U2485=""),"",$U2485-$T2485)</f>
      </c>
    </row>
    <row r="2486">
      <c r="T2486" t="str">
        <f>IF(connections!$A2486="","",IFERROR(INDEX(games!$B$2:$B$1200,MATCH(connections!$A2486,games!$A$2:$A$1200,0)),""))</f>
      </c>
      <c r="U2486">
        <f>IF(connections!$A2486="","",IFERROR(INDEX(games!$B$2:$B$1200,MATCH(connections!$B2486,games!$A$2:$A$1200,0)),""))</f>
      </c>
      <c r="V2486">
        <f>IF(OR($T2486="",$U2486=""),"",$U2486-$T2486)</f>
      </c>
    </row>
    <row r="2487">
      <c r="T2487" t="str">
        <f>IF(connections!$A2487="","",IFERROR(INDEX(games!$B$2:$B$1200,MATCH(connections!$A2487,games!$A$2:$A$1200,0)),""))</f>
      </c>
      <c r="U2487">
        <f>IF(connections!$A2487="","",IFERROR(INDEX(games!$B$2:$B$1200,MATCH(connections!$B2487,games!$A$2:$A$1200,0)),""))</f>
      </c>
      <c r="V2487">
        <f>IF(OR($T2487="",$U2487=""),"",$U2487-$T2487)</f>
      </c>
    </row>
    <row r="2488">
      <c r="T2488" t="str">
        <f>IF(connections!$A2488="","",IFERROR(INDEX(games!$B$2:$B$1200,MATCH(connections!$A2488,games!$A$2:$A$1200,0)),""))</f>
      </c>
      <c r="U2488">
        <f>IF(connections!$A2488="","",IFERROR(INDEX(games!$B$2:$B$1200,MATCH(connections!$B2488,games!$A$2:$A$1200,0)),""))</f>
      </c>
      <c r="V2488">
        <f>IF(OR($T2488="",$U2488=""),"",$U2488-$T2488)</f>
      </c>
    </row>
    <row r="2489">
      <c r="T2489" t="str">
        <f>IF(connections!$A2489="","",IFERROR(INDEX(games!$B$2:$B$1200,MATCH(connections!$A2489,games!$A$2:$A$1200,0)),""))</f>
      </c>
      <c r="U2489">
        <f>IF(connections!$A2489="","",IFERROR(INDEX(games!$B$2:$B$1200,MATCH(connections!$B2489,games!$A$2:$A$1200,0)),""))</f>
      </c>
      <c r="V2489">
        <f>IF(OR($T2489="",$U2489=""),"",$U2489-$T2489)</f>
      </c>
    </row>
    <row r="2490">
      <c r="T2490" t="str">
        <f>IF(connections!$A2490="","",IFERROR(INDEX(games!$B$2:$B$1200,MATCH(connections!$A2490,games!$A$2:$A$1200,0)),""))</f>
      </c>
      <c r="U2490">
        <f>IF(connections!$A2490="","",IFERROR(INDEX(games!$B$2:$B$1200,MATCH(connections!$B2490,games!$A$2:$A$1200,0)),""))</f>
      </c>
      <c r="V2490">
        <f>IF(OR($T2490="",$U2490=""),"",$U2490-$T2490)</f>
      </c>
    </row>
    <row r="2491">
      <c r="T2491" t="str">
        <f>IF(connections!$A2491="","",IFERROR(INDEX(games!$B$2:$B$1200,MATCH(connections!$A2491,games!$A$2:$A$1200,0)),""))</f>
      </c>
      <c r="U2491">
        <f>IF(connections!$A2491="","",IFERROR(INDEX(games!$B$2:$B$1200,MATCH(connections!$B2491,games!$A$2:$A$1200,0)),""))</f>
      </c>
      <c r="V2491">
        <f>IF(OR($T2491="",$U2491=""),"",$U2491-$T2491)</f>
      </c>
    </row>
    <row r="2492">
      <c r="T2492" t="str">
        <f>IF(connections!$A2492="","",IFERROR(INDEX(games!$B$2:$B$1200,MATCH(connections!$A2492,games!$A$2:$A$1200,0)),""))</f>
      </c>
      <c r="U2492">
        <f>IF(connections!$A2492="","",IFERROR(INDEX(games!$B$2:$B$1200,MATCH(connections!$B2492,games!$A$2:$A$1200,0)),""))</f>
      </c>
      <c r="V2492">
        <f>IF(OR($T2492="",$U2492=""),"",$U2492-$T2492)</f>
      </c>
    </row>
    <row r="2493">
      <c r="T2493" t="str">
        <f>IF(connections!$A2493="","",IFERROR(INDEX(games!$B$2:$B$1200,MATCH(connections!$A2493,games!$A$2:$A$1200,0)),""))</f>
      </c>
      <c r="U2493">
        <f>IF(connections!$A2493="","",IFERROR(INDEX(games!$B$2:$B$1200,MATCH(connections!$B2493,games!$A$2:$A$1200,0)),""))</f>
      </c>
      <c r="V2493">
        <f>IF(OR($T2493="",$U2493=""),"",$U2493-$T2493)</f>
      </c>
    </row>
    <row r="2494">
      <c r="T2494" t="str">
        <f>IF(connections!$A2494="","",IFERROR(INDEX(games!$B$2:$B$1200,MATCH(connections!$A2494,games!$A$2:$A$1200,0)),""))</f>
      </c>
      <c r="U2494">
        <f>IF(connections!$A2494="","",IFERROR(INDEX(games!$B$2:$B$1200,MATCH(connections!$B2494,games!$A$2:$A$1200,0)),""))</f>
      </c>
      <c r="V2494">
        <f>IF(OR($T2494="",$U2494=""),"",$U2494-$T2494)</f>
      </c>
    </row>
    <row r="2495">
      <c r="T2495" t="str">
        <f>IF(connections!$A2495="","",IFERROR(INDEX(games!$B$2:$B$1200,MATCH(connections!$A2495,games!$A$2:$A$1200,0)),""))</f>
      </c>
      <c r="U2495">
        <f>IF(connections!$A2495="","",IFERROR(INDEX(games!$B$2:$B$1200,MATCH(connections!$B2495,games!$A$2:$A$1200,0)),""))</f>
      </c>
      <c r="V2495">
        <f>IF(OR($T2495="",$U2495=""),"",$U2495-$T2495)</f>
      </c>
    </row>
    <row r="2496">
      <c r="T2496" t="str">
        <f>IF(connections!$A2496="","",IFERROR(INDEX(games!$B$2:$B$1200,MATCH(connections!$A2496,games!$A$2:$A$1200,0)),""))</f>
      </c>
      <c r="U2496">
        <f>IF(connections!$A2496="","",IFERROR(INDEX(games!$B$2:$B$1200,MATCH(connections!$B2496,games!$A$2:$A$1200,0)),""))</f>
      </c>
      <c r="V2496">
        <f>IF(OR($T2496="",$U2496=""),"",$U2496-$T2496)</f>
      </c>
    </row>
    <row r="2497">
      <c r="T2497" t="str">
        <f>IF(connections!$A2497="","",IFERROR(INDEX(games!$B$2:$B$1200,MATCH(connections!$A2497,games!$A$2:$A$1200,0)),""))</f>
      </c>
      <c r="U2497">
        <f>IF(connections!$A2497="","",IFERROR(INDEX(games!$B$2:$B$1200,MATCH(connections!$B2497,games!$A$2:$A$1200,0)),""))</f>
      </c>
      <c r="V2497">
        <f>IF(OR($T2497="",$U2497=""),"",$U2497-$T2497)</f>
      </c>
    </row>
    <row r="2498">
      <c r="T2498" t="str">
        <f>IF(connections!$A2498="","",IFERROR(INDEX(games!$B$2:$B$1200,MATCH(connections!$A2498,games!$A$2:$A$1200,0)),""))</f>
      </c>
      <c r="U2498">
        <f>IF(connections!$A2498="","",IFERROR(INDEX(games!$B$2:$B$1200,MATCH(connections!$B2498,games!$A$2:$A$1200,0)),""))</f>
      </c>
      <c r="V2498">
        <f>IF(OR($T2498="",$U2498=""),"",$U2498-$T2498)</f>
      </c>
    </row>
    <row r="2499">
      <c r="T2499" t="str">
        <f>IF(connections!$A2499="","",IFERROR(INDEX(games!$B$2:$B$1200,MATCH(connections!$A2499,games!$A$2:$A$1200,0)),""))</f>
      </c>
      <c r="U2499">
        <f>IF(connections!$A2499="","",IFERROR(INDEX(games!$B$2:$B$1200,MATCH(connections!$B2499,games!$A$2:$A$1200,0)),""))</f>
      </c>
      <c r="V2499">
        <f>IF(OR($T2499="",$U2499=""),"",$U2499-$T2499)</f>
      </c>
    </row>
    <row r="2500">
      <c r="T2500" t="str">
        <f>IF(connections!$A2500="","",IFERROR(INDEX(games!$B$2:$B$1200,MATCH(connections!$A2500,games!$A$2:$A$1200,0)),""))</f>
      </c>
      <c r="U2500">
        <f>IF(connections!$A2500="","",IFERROR(INDEX(games!$B$2:$B$1200,MATCH(connections!$B2500,games!$A$2:$A$1200,0)),""))</f>
      </c>
      <c r="V2500">
        <f>IF(OR($T2500="",$U2500=""),"",$U2500-$T2500)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